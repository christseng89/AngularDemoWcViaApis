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L0_Config_Register" sheetId="2" r:id="rId6"/>
    <sheet state="visible" name="Balance_Taxonomy" sheetId="3" r:id="rId7"/>
    <sheet state="visible" name="L1_Event_Catalogue" sheetId="4" r:id="rId8"/>
    <sheet state="visible" name="L2_Balance_Movement" sheetId="5" r:id="rId9"/>
    <sheet state="visible" name="Amount_Basis" sheetId="6" r:id="rId10"/>
    <sheet state="visible" name="L1_L2_Coverage" sheetId="7" r:id="rId11"/>
    <sheet state="visible" name="L3_GL_Mapping" sheetId="8" r:id="rId12"/>
    <sheet state="visible" name="GL_Coverage" sheetId="9" r:id="rId13"/>
    <sheet state="visible" name="Tenor_Derivation" sheetId="10" r:id="rId14"/>
    <sheet state="visible" name="L4_Risk_Obligor" sheetId="11" r:id="rId15"/>
    <sheet state="visible" name="L5_Regulatory_CCF" sheetId="12" r:id="rId16"/>
    <sheet state="visible" name="Invariants" sheetId="13" r:id="rId17"/>
    <sheet state="visible" name="Test_Scenarios" sheetId="14" r:id="rId18"/>
    <sheet state="visible" name="Controls_Reports" sheetId="15" r:id="rId19"/>
  </sheets>
  <definedNames>
    <definedName hidden="1" localSheetId="1" name="_xlnm._FilterDatabase">L0_Config_Register!$A$4:$G$41</definedName>
    <definedName hidden="1" localSheetId="2" name="_xlnm._FilterDatabase">Balance_Taxonomy!$A$4:$G$55</definedName>
    <definedName hidden="1" localSheetId="3" name="_xlnm._FilterDatabase">L1_Event_Catalogue!$A$4:$I$61</definedName>
    <definedName hidden="1" localSheetId="4" name="_xlnm._FilterDatabase">L2_Balance_Movement!$A$4:$O$222</definedName>
    <definedName hidden="1" localSheetId="5" name="_xlnm._FilterDatabase">Amount_Basis!$A$4:$E$36</definedName>
    <definedName hidden="1" localSheetId="7" name="_xlnm._FilterDatabase">L3_GL_Mapping!$A$4:$I$55</definedName>
    <definedName hidden="1" localSheetId="9" name="_xlnm._FilterDatabase">Tenor_Derivation!$A$4:$J$17</definedName>
    <definedName hidden="1" localSheetId="10" name="_xlnm._FilterDatabase">L4_Risk_Obligor!$A$4:$G$12</definedName>
    <definedName hidden="1" localSheetId="11" name="_xlnm._FilterDatabase">L5_Regulatory_CCF!$A$4:$F$14</definedName>
    <definedName hidden="1" localSheetId="12" name="_xlnm._FilterDatabase">Invariants!$A$4:$D$28</definedName>
    <definedName hidden="1" localSheetId="13" name="_xlnm._FilterDatabase">Test_Scenarios!$A$4:$E$42</definedName>
    <definedName hidden="1" localSheetId="14" name="_xlnm._FilterDatabase">Controls_Reports!$A$4:$D$13</definedName>
  </definedNames>
  <calcPr/>
</workbook>
</file>

<file path=xl/sharedStrings.xml><?xml version="1.0" encoding="utf-8"?>
<sst xmlns="http://schemas.openxmlformats.org/spreadsheetml/2006/main" count="3949" uniqueCount="1243">
  <si>
    <t>TF Balance Component — mapping workbook</t>
  </si>
  <si>
    <t>Balance taxonomy</t>
  </si>
  <si>
    <t>LAYER 0 — Bank configuration register</t>
  </si>
  <si>
    <t>Engine posture STRICT. Rule C3: no parameter may ASSERT an accounting-framework conclusion — it may only select which RULE applies (see I18, I19). Column E (yellow) is the bank's value to complete.</t>
  </si>
  <si>
    <t>balance_class is structural (E9/I18). natural_side drives the derived posting_side in L2 (spec §2.2) — it is a POSTING concept. presentation_rule is a separate, REPORTING concept (spec §2.4, D6): FIXED, BY_SIGN (settlement accounts), or NET_IF_ELIGIBLE (gross unless the IAS 32.42 tests pass — I19). MEMO_ONLY never reaches the financials (I6).</t>
  </si>
  <si>
    <t>Baseline 1.0 · executable reference data and deployment gates</t>
  </si>
  <si>
    <t>Group</t>
  </si>
  <si>
    <t>balance_class</t>
  </si>
  <si>
    <t>Parameter</t>
  </si>
  <si>
    <t>Type</t>
  </si>
  <si>
    <t>Recommended / default</t>
  </si>
  <si>
    <t>Entity value (EDIT)</t>
  </si>
  <si>
    <t>balance_type</t>
  </si>
  <si>
    <t>Note</t>
  </si>
  <si>
    <t>v2 / spec ref</t>
  </si>
  <si>
    <t>natural_side</t>
  </si>
  <si>
    <t>The three artefacts</t>
  </si>
  <si>
    <t>presentation_rule</t>
  </si>
  <si>
    <t>GL description</t>
  </si>
  <si>
    <t>GL mapping</t>
  </si>
  <si>
    <t>v2 ref</t>
  </si>
  <si>
    <t>Build spec</t>
  </si>
  <si>
    <t>TF Balance Component — Implementation Specification. The 'what to build' contract.</t>
  </si>
  <si>
    <t>CONTINGENT</t>
  </si>
  <si>
    <t>Mapping</t>
  </si>
  <si>
    <t>LC_CUSTOMER_LIABILITY</t>
  </si>
  <si>
    <t>TF Balance Component — Mapping Workbook. This file: executable reference data and gates.</t>
  </si>
  <si>
    <t>Dr</t>
  </si>
  <si>
    <t>balance_type -&gt; gl_account</t>
  </si>
  <si>
    <t>FIXED</t>
  </si>
  <si>
    <t>mapping table</t>
  </si>
  <si>
    <t>Rationale</t>
  </si>
  <si>
    <t>see L3_GL_Mapping sheet</t>
  </si>
  <si>
    <t>Customers' Liability under Documentary Credits</t>
  </si>
  <si>
    <t>Trade Finance — Contingent Liability &amp; On-Balance-Sheet Lifecycle. The 'why': domain rationale, citations, worked entries.</t>
  </si>
  <si>
    <t>Bank's recourse against the applicant. NOT an on-BS liability.</t>
  </si>
  <si>
    <t>How to use this workbook</t>
  </si>
  <si>
    <t>v2 §2.2</t>
  </si>
  <si>
    <t>LC_OUTSTANDING</t>
  </si>
  <si>
    <t>Cr</t>
  </si>
  <si>
    <t>The spec holds the narrative and the rules. This workbook holds the reference data a BA maintains and a developer loads.</t>
  </si>
  <si>
    <t>Documentary Credits Outstanding</t>
  </si>
  <si>
    <t>Bank's undertaking to the beneficiary.</t>
  </si>
  <si>
    <t>Resolution key: entity, balance_type, currency, product.</t>
  </si>
  <si>
    <t>§2.2</t>
  </si>
  <si>
    <t>YELLOW cells with blue text are the bank's to complete. GREEN cells are formulas — do not overtype them.</t>
  </si>
  <si>
    <t>memo_pair_direction</t>
  </si>
  <si>
    <t>SG_CUSTOMER_LIABILITY</t>
  </si>
  <si>
    <t>enum</t>
  </si>
  <si>
    <t>Two sheets need bank input before build: L0_Config_Register (column E) and L3_GL_Mapping.</t>
  </si>
  <si>
    <t>DR_CONTRA</t>
  </si>
  <si>
    <t>Customers' Liability under Shipping Guarantees</t>
  </si>
  <si>
    <t>Entity-level. This is WHY posting_side is derived in L2 rather than stored literally.</t>
  </si>
  <si>
    <t>§2.1</t>
  </si>
  <si>
    <t>v2 §4.2</t>
  </si>
  <si>
    <t>Two sheets are gates: L1_L2_Coverage (G2, blocks the build) and GL_Coverage (G1, blocks production).</t>
  </si>
  <si>
    <t>Accounting policy</t>
  </si>
  <si>
    <t>SG_OUTSTANDING</t>
  </si>
  <si>
    <t>Shipping Guarantees Outstanding</t>
  </si>
  <si>
    <t>Three rules that must not be configured away</t>
  </si>
  <si>
    <t>Indemnity to the carrier. Beneficiary is the shipping line.</t>
  </si>
  <si>
    <t>reporting_framework</t>
  </si>
  <si>
    <t>1</t>
  </si>
  <si>
    <t>IFRS</t>
  </si>
  <si>
    <t>SG discharge is instrument-based, not amount-based — L1_Event_Catalogue (SG_REDEEMABLE is STATUS_ONLY; SG_RELEASE is full), tests T3, T4.</t>
  </si>
  <si>
    <t>CONFIRMATION_EXPOSURE</t>
  </si>
  <si>
    <t>2</t>
  </si>
  <si>
    <t>Issuing Bank Confirmation Exposure</t>
  </si>
  <si>
    <t>Obligor is the ISSUING BANK, not the exporter.</t>
  </si>
  <si>
    <t>Acceptances and DPUs are on-balance sheet on both import and export; the memo pair is a shadow — Balance_Taxonomy (MEMO_ONLY in red), I6, I18, tests T6, T15, T27.</t>
  </si>
  <si>
    <t>v2 §7.1</t>
  </si>
  <si>
    <t>IFRS | LOCAL_GAAP | US_GAAP. Presentation only — never the event topology (E9/I18).</t>
  </si>
  <si>
    <t>spec §2.3</t>
  </si>
  <si>
    <t>3</t>
  </si>
  <si>
    <t>Accounting is never driven from tenorType alone — Tenor_Derivation with provenance, tests T9, T14.</t>
  </si>
  <si>
    <t>CONFIRMATION_OUTSTANDING</t>
  </si>
  <si>
    <t>presentation_treatment</t>
  </si>
  <si>
    <t>ON_BS_GROSS</t>
  </si>
  <si>
    <t>Confirmation Undertakings Outstanding</t>
  </si>
  <si>
    <t>ON_BS_GROSS | NET_IF_ELIGIBLE | DISCLOSURE_ONLY. Selects the RULE, not the outcome: NET_IF_ELIGIBLE still nets only where the IAS 32.42 tests pass (I19).</t>
  </si>
  <si>
    <t>LAYER 1 — Business event catalogue</t>
  </si>
  <si>
    <t>spec §2.3, §2.4</t>
  </si>
  <si>
    <t>Drives off confirmed_amount, not lc_amount.</t>
  </si>
  <si>
    <t>v2 §7.2</t>
  </si>
  <si>
    <t>Sheet index</t>
  </si>
  <si>
    <t>commission_recognition</t>
  </si>
  <si>
    <t>OVER_TIME</t>
  </si>
  <si>
    <t>REIMB_UNDERTAKING_EXPOSURE</t>
  </si>
  <si>
    <t>§9.2</t>
  </si>
  <si>
    <t>Src: O = operator, M = inbound message, S = system-generated (fires unattended), B = batch. Every event carries exactly one movement_type and resolves to &gt;=1 L2 row — invariant I17, asserted in column H.</t>
  </si>
  <si>
    <t>Issuing Bank Reimbursement Exposure</t>
  </si>
  <si>
    <t>commission_materiality_threshold</t>
  </si>
  <si>
    <t>Sheet</t>
  </si>
  <si>
    <t>amount</t>
  </si>
  <si>
    <t>Only where an undertaking is issued (URR 725).</t>
  </si>
  <si>
    <t>250</t>
  </si>
  <si>
    <t>v2 §7.7</t>
  </si>
  <si>
    <t>Documented policy threshold, not a system accident.</t>
  </si>
  <si>
    <t>Side</t>
  </si>
  <si>
    <t>REIMB_UNDERTAKING_OUTSTANDING</t>
  </si>
  <si>
    <t>event_code</t>
  </si>
  <si>
    <t>ifrs_scope default by product</t>
  </si>
  <si>
    <t>Trigger</t>
  </si>
  <si>
    <t>Contents</t>
  </si>
  <si>
    <t>Src</t>
  </si>
  <si>
    <t>Reimbursement Undertakings Outstanding</t>
  </si>
  <si>
    <t>IFRS9_FGC for standbys/guarantees</t>
  </si>
  <si>
    <t>Rows</t>
  </si>
  <si>
    <t>movement_type</t>
  </si>
  <si>
    <t>Agency-only reimbursing creates nothing.</t>
  </si>
  <si>
    <t>Drives the higher_of measurement rule.</t>
  </si>
  <si>
    <t>Precondition / gate</t>
  </si>
  <si>
    <t>§9.3</t>
  </si>
  <si>
    <t>L0_Config_Register</t>
  </si>
  <si>
    <t>L2 rows</t>
  </si>
  <si>
    <t>commitment_fee_drawdown_probable</t>
  </si>
  <si>
    <t>Bank-configurable parameters. Presentation only — never event topology.</t>
  </si>
  <si>
    <t>bool by product</t>
  </si>
  <si>
    <t>I17</t>
  </si>
  <si>
    <t>TRUE</t>
  </si>
  <si>
    <t>ON_BALANCE_ASSET</t>
  </si>
  <si>
    <t>Probable -&gt; defer into EIR; not probable -&gt; time-proportion fee income.</t>
  </si>
  <si>
    <t>IMPORT_BILLS_RECEIVABLE</t>
  </si>
  <si>
    <t>Import</t>
  </si>
  <si>
    <t>Amounts / rates</t>
  </si>
  <si>
    <t>margin_pct</t>
  </si>
  <si>
    <t>% by customer/product</t>
  </si>
  <si>
    <t>LC_ISSUE</t>
  </si>
  <si>
    <t>20%</t>
  </si>
  <si>
    <t>Import Bills Receivable — Applicant</t>
  </si>
  <si>
    <t>MT700 released</t>
  </si>
  <si>
    <t>§3.1</t>
  </si>
  <si>
    <t>Sight honour.</t>
  </si>
  <si>
    <t>O</t>
  </si>
  <si>
    <t>v2 §3.5</t>
  </si>
  <si>
    <t>POST</t>
  </si>
  <si>
    <t>margin_application</t>
  </si>
  <si>
    <t>Limit approved. max_liability from Art. 30(a) amount tolerance ONLY, never 30(b) quantity.</t>
  </si>
  <si>
    <t>PRO_RATA</t>
  </si>
  <si>
    <t>ACCEPTANCE_REIMB_RECEIVABLE_APPLICANT</t>
  </si>
  <si>
    <t>FULL_ON_FIRST leaves the residual credit unmargined and makes the expiry release fail. Test T1.</t>
  </si>
  <si>
    <t>NET_IF_ELIGIBLE</t>
  </si>
  <si>
    <t>§3.5</t>
  </si>
  <si>
    <t>Acceptance Reimbursement Receivable — Applicant</t>
  </si>
  <si>
    <t>Unconditional claim on the applicant, raised at LC_ACCEPT.</t>
  </si>
  <si>
    <t>sg_uplift_pct</t>
  </si>
  <si>
    <t>v2 §3.7</t>
  </si>
  <si>
    <t>%</t>
  </si>
  <si>
    <t>110%</t>
  </si>
  <si>
    <t>§4.2</t>
  </si>
  <si>
    <t>ACCEPTANCE_REIMB_RECEIVABLE_ISSUING_BANK</t>
  </si>
  <si>
    <t>sg_unlimited_policy_notional_pct</t>
  </si>
  <si>
    <t>Acceptance Reimbursement Receivable — Issuing Bank</t>
  </si>
  <si>
    <t>120%</t>
  </si>
  <si>
    <t>Export side. Art. 7(c) claim on the issuing bank.</t>
  </si>
  <si>
    <t>Set liability_cap = UNLIMITED as a risk attribute where the carrier form is unlimited.</t>
  </si>
  <si>
    <t>v2 §7.6</t>
  </si>
  <si>
    <t>Timing</t>
  </si>
  <si>
    <t>mail_float_grace_days</t>
  </si>
  <si>
    <t>IMPORT_USANCE_FINANCING</t>
  </si>
  <si>
    <t>days by place of expiry</t>
  </si>
  <si>
    <t>15</t>
  </si>
  <si>
    <t>Expiry trigger = expiry_date + this. NEVER + 21 days (Art. 14(c) runs from shipment).</t>
  </si>
  <si>
    <t>§3.9</t>
  </si>
  <si>
    <t>Import Usance Financing</t>
  </si>
  <si>
    <t>BU-A bank-funded, and discounted acceptance.</t>
  </si>
  <si>
    <t>examination_days_ucp</t>
  </si>
  <si>
    <t>v2 §3.6</t>
  </si>
  <si>
    <t>banking days</t>
  </si>
  <si>
    <t>5</t>
  </si>
  <si>
    <t>UCP 600 Art. 16(d).</t>
  </si>
  <si>
    <t>§3.4</t>
  </si>
  <si>
    <t>IMPORT_USANCE_RECEIVABLE_APPLICANT</t>
  </si>
  <si>
    <t>examination_days_urdg</t>
  </si>
  <si>
    <t>business days</t>
  </si>
  <si>
    <t>Import Usance Receivable — Applicant</t>
  </si>
  <si>
    <t>URDG 758 Art. 20. Different calendar basis from UCP.</t>
  </si>
  <si>
    <t>§11</t>
  </si>
  <si>
    <t>BU-B. Paired with DUE_TO_REFINANCING_BANK.</t>
  </si>
  <si>
    <t>examination_days_isp</t>
  </si>
  <si>
    <t>ISP98 Rule 5.01; beyond 7 unreasonable.</t>
  </si>
  <si>
    <t>TRUST_RECEIPT_LOAN</t>
  </si>
  <si>
    <t>Balance_Taxonomy</t>
  </si>
  <si>
    <t>Trust Receipt / Import Loan</t>
  </si>
  <si>
    <t>Six balance classes, every balance type, and natural_side (drives derived posting_side).</t>
  </si>
  <si>
    <t>Post-payment financing against goods. NOT the same as BU financing.</t>
  </si>
  <si>
    <t>v2 §3.8</t>
  </si>
  <si>
    <t>IMPORT_ADVANCE_FORCED</t>
  </si>
  <si>
    <t>sg_redeemable_ageing_threshold_days</t>
  </si>
  <si>
    <t>days</t>
  </si>
  <si>
    <t>30</t>
  </si>
  <si>
    <t>Import Advance — Forced (Overdue)</t>
  </si>
  <si>
    <t>Drives the highest-value SG control report.</t>
  </si>
  <si>
    <t>Stage 3 and day-1 NPL on creation.</t>
  </si>
  <si>
    <t>§4.4</t>
  </si>
  <si>
    <t>awb_carrier_claim_period_days</t>
  </si>
  <si>
    <t>180</t>
  </si>
  <si>
    <t>Air release has no original to return; own discharge trigger.</t>
  </si>
  <si>
    <t>ADVANCE_UNDER_RESERVE</t>
  </si>
  <si>
    <t>L1_Event_Catalogue</t>
  </si>
  <si>
    <t>Risk</t>
  </si>
  <si>
    <t>ecl_ead_factor</t>
  </si>
  <si>
    <t>Every event with movement_type, plus a live I17 resolution check.</t>
  </si>
  <si>
    <t>% by product/rating</t>
  </si>
  <si>
    <t>100% for issued DCs</t>
  </si>
  <si>
    <t>Advance under Reserve — Recourse to Presenter</t>
  </si>
  <si>
    <t>IFRS 9 expected drawdown. NEVER the Basel CCF (I9).</t>
  </si>
  <si>
    <t>recourse=TRUE. Obligor is the presenter/exporter, NOT the applicant.</t>
  </si>
  <si>
    <t>v2 §3.4, §7.3</t>
  </si>
  <si>
    <t>pd_lgd_stage_model</t>
  </si>
  <si>
    <t>model reference</t>
  </si>
  <si>
    <t>SG_CLAIM_RECEIVABLE</t>
  </si>
  <si>
    <t>lgd_uplift_silent_unnominated</t>
  </si>
  <si>
    <t>percentage points</t>
  </si>
  <si>
    <t>+15pp</t>
  </si>
  <si>
    <t>Claim Receivable — Applicant</t>
  </si>
  <si>
    <t>Keys on is_nominated_bank = FALSE, not on confirmation_type = SILENT.</t>
  </si>
  <si>
    <t>§6</t>
  </si>
  <si>
    <t>May exceed booked notional where the SG form is unlimited.</t>
  </si>
  <si>
    <t>limit_type by obligor_type x product</t>
  </si>
  <si>
    <t>v2 §4.4</t>
  </si>
  <si>
    <t>mapping</t>
  </si>
  <si>
    <t>see L4_Risk_Obligor</t>
  </si>
  <si>
    <t>§10.1</t>
  </si>
  <si>
    <t>L2_Balance_Movement</t>
  </si>
  <si>
    <t>DUE_FROM_ISSUING_BANK</t>
  </si>
  <si>
    <t>LONG FORM. One row per event x posting_step x balance_type, with derived posting_side.</t>
  </si>
  <si>
    <t>Regulatory</t>
  </si>
  <si>
    <t>LC_AMD_INC</t>
  </si>
  <si>
    <t>ccf_class -&gt; ccf_pct</t>
  </si>
  <si>
    <t>MT707 increase</t>
  </si>
  <si>
    <t>Due from Issuing / Reimbursing Bank</t>
  </si>
  <si>
    <t>see L5_Regulatory_CCF</t>
  </si>
  <si>
    <t>Confirmed honour. No recourse to the exporter.</t>
  </si>
  <si>
    <t>§10.3</t>
  </si>
  <si>
    <t>v2 §7.4a</t>
  </si>
  <si>
    <t>ccf_source per class</t>
  </si>
  <si>
    <t>Incremental commission deferred over REMAINING tenor.</t>
  </si>
  <si>
    <t>REGULATORY | INTERNAL_POLICY</t>
  </si>
  <si>
    <t>§3.2</t>
  </si>
  <si>
    <t>Regulatory returns read only REGULATORY (I10).</t>
  </si>
  <si>
    <t>EXPORT_BILLS_DISCOUNTED</t>
  </si>
  <si>
    <t>sg_reweights_linked_lc</t>
  </si>
  <si>
    <t>bool</t>
  </si>
  <si>
    <t>Internal policy position. CRE20 does not address it.</t>
  </si>
  <si>
    <t>§10.2</t>
  </si>
  <si>
    <t>Export Bills Discounted — Due from Issuing Bank</t>
  </si>
  <si>
    <t>regulatory_netting_permitted</t>
  </si>
  <si>
    <t>Obligor stays the issuing bank.</t>
  </si>
  <si>
    <t>FALSE</t>
  </si>
  <si>
    <t>L1_L2_Coverage</t>
  </si>
  <si>
    <t>Set TRUE only with written supervisory agreement.</t>
  </si>
  <si>
    <t>Gate G2 — blocks the build if any event has no L2 definition.</t>
  </si>
  <si>
    <t>local_return_line_mapping</t>
  </si>
  <si>
    <t>EXPORT_BILLS_NEGOTIATED_RECOURSE</t>
  </si>
  <si>
    <t>Controls</t>
  </si>
  <si>
    <t>maker_checker_threshold by event</t>
  </si>
  <si>
    <t>Export Bills Negotiated — With Recourse</t>
  </si>
  <si>
    <t>§9.6</t>
  </si>
  <si>
    <t>Obligor is the EXPORTER. No contingent was ever released.</t>
  </si>
  <si>
    <t>v2 §7.4b</t>
  </si>
  <si>
    <t>consent_gating_enabled by event</t>
  </si>
  <si>
    <t>TRUE for LC_AMD_DEC, SG_AMD_DEC</t>
  </si>
  <si>
    <t>Beneficiary consent for LC; CARRIER consent for SG.</t>
  </si>
  <si>
    <t>§3.2, §4.3</t>
  </si>
  <si>
    <t>REFINANCING_LOAN_TO_ISSUING_BANK</t>
  </si>
  <si>
    <t>netting_setoff_right_enforceable</t>
  </si>
  <si>
    <t>bool per counterparty/jurisdiction</t>
  </si>
  <si>
    <t>LC_AMD_DEC</t>
  </si>
  <si>
    <t>IAS 32.42(a). Must survive DEFAULT, INSOLVENCY and BANKRUPTCY of all parties. Legal opinion reference required — not an operator field.</t>
  </si>
  <si>
    <t>MT707 decrease</t>
  </si>
  <si>
    <t>spec §2.4.1</t>
  </si>
  <si>
    <t>Refinancing Loan to Issuing Bank — UPAS</t>
  </si>
  <si>
    <t>Only where this bank IS the refinancing bank.</t>
  </si>
  <si>
    <t>netting_settlement_intent</t>
  </si>
  <si>
    <t>BLOCKED until beneficiary consent recorded. Art. 10(a)/(c): silence is not acceptance.</t>
  </si>
  <si>
    <t>NEITHER</t>
  </si>
  <si>
    <t>v2 §7.5</t>
  </si>
  <si>
    <t>L3_GL_Mapping</t>
  </si>
  <si>
    <t>NET | SIMULTANEOUS | NEITHER. IAS 32.42(b).</t>
  </si>
  <si>
    <t>balance_type to GL account template. Row 5 is a worked example; replace it.</t>
  </si>
  <si>
    <t>netting_policy_approved_by / _at</t>
  </si>
  <si>
    <t>INTEREST_RECEIVABLE</t>
  </si>
  <si>
    <t>text / date</t>
  </si>
  <si>
    <t>Evidenced accounting policy sign-off. Re-assessed EACH reporting date, not a permanent attribute.</t>
  </si>
  <si>
    <t>Interest Receivable</t>
  </si>
  <si>
    <t>Effective interest. Suspend on Stage 3.</t>
  </si>
  <si>
    <t>currency_precision</t>
  </si>
  <si>
    <t>int by currency</t>
  </si>
  <si>
    <t>v2 §9.4</t>
  </si>
  <si>
    <t>JPY 0 / USD 2 / KWD 3</t>
  </si>
  <si>
    <t>I20. Applied BEFORE I1A is evaluated. Ledger core, not FX layer.</t>
  </si>
  <si>
    <t>spec §11</t>
  </si>
  <si>
    <t>LC_AMD_TENOR</t>
  </si>
  <si>
    <t>Expiry / tenor change</t>
  </si>
  <si>
    <t>rounding_residual_account</t>
  </si>
  <si>
    <t>NOSTRO</t>
  </si>
  <si>
    <t>balance_type by entity</t>
  </si>
  <si>
    <t>BATCH_RECALC</t>
  </si>
  <si>
    <t>ROUNDING_RESIDUAL</t>
  </si>
  <si>
    <t>BY_SIGN</t>
  </si>
  <si>
    <t>Moves no amount but MUST re-run ECL, CCF bucket and limit expiry. Test T19.</t>
  </si>
  <si>
    <t>I21. The residual must have a named home in the SAME journal.</t>
  </si>
  <si>
    <t>GL_Coverage</t>
  </si>
  <si>
    <t>Nostro</t>
  </si>
  <si>
    <t>Gate G1 — blocks production until mapping coverage is 100%.</t>
  </si>
  <si>
    <t>idempotency_hot_lookup_days</t>
  </si>
  <si>
    <t>—</t>
  </si>
  <si>
    <t>90</t>
  </si>
  <si>
    <t>FAST-PATH CACHE HORIZON ONLY. Does NOT expire I15 uniqueness. A miss falls through to the permanent registry, never to 'not seen before'.</t>
  </si>
  <si>
    <t>ON_BALANCE_ASSET_CONTRA</t>
  </si>
  <si>
    <t>spec §5.4</t>
  </si>
  <si>
    <t>UNEARNED_DISCOUNT</t>
  </si>
  <si>
    <t>event_identity_retention</t>
  </si>
  <si>
    <t>policy</t>
  </si>
  <si>
    <t>TRANSACTION_LIFE + REGULATORY</t>
  </si>
  <si>
    <t>Permanent uniqueness registry for I15. Must never be shorter than the longest enabled undertaking tenor — 90 days is shorter than a 180-day buyer's usance. Gate G14. Test T38.</t>
  </si>
  <si>
    <t>Unearned Discount</t>
  </si>
  <si>
    <t>Nets against a named asset. Accreted by DISC_ACCRETE.</t>
  </si>
  <si>
    <t>backdating_open_period_policy</t>
  </si>
  <si>
    <t>LC_DOC_RCV</t>
  </si>
  <si>
    <t>Documents received</t>
  </si>
  <si>
    <t>EFFECTIVE_DATE</t>
  </si>
  <si>
    <t>O/M</t>
  </si>
  <si>
    <t>Governs the §5.4 backdating decision table. Prior-year always raises a PPA.</t>
  </si>
  <si>
    <t>ON_BALANCE_LIABILITY</t>
  </si>
  <si>
    <t>MEMO_ONLY</t>
  </si>
  <si>
    <t>ACCEPTANCE_DPU_OUTSTANDING</t>
  </si>
  <si>
    <t>Tenor_Derivation</t>
  </si>
  <si>
    <t>Starts the Art. 16(d) five-banking-day clock.</t>
  </si>
  <si>
    <t>tenorType as business classification, with derivation provenance fields.</t>
  </si>
  <si>
    <t>Acceptances &amp; DPU Outstanding</t>
  </si>
  <si>
    <t>THE accounting liability — not a contingent.</t>
  </si>
  <si>
    <t>CONFIRMED_ACCEPTANCE_DPU_OUTSTANDING</t>
  </si>
  <si>
    <t>Confirmed Acceptances &amp; DPU Outstanding</t>
  </si>
  <si>
    <t>Only where available_with = THIS_BANK.</t>
  </si>
  <si>
    <t>LC_DOC_REFUSE</t>
  </si>
  <si>
    <t>Refusal notice sent</t>
  </si>
  <si>
    <t>LC_SETTLEMENT_PAYABLE</t>
  </si>
  <si>
    <t>L4_Risk_Obligor</t>
  </si>
  <si>
    <t>Conforming notice within 5 banking days. Rejected if LC_DOC_PRECLUDED already fired.</t>
  </si>
  <si>
    <t>Obligor, type, recourse and limit per product/event.</t>
  </si>
  <si>
    <t>LC Settlement Payable</t>
  </si>
  <si>
    <t>Honoured but not yet paid out.</t>
  </si>
  <si>
    <t>DUE_TO_REFINANCING_BANK</t>
  </si>
  <si>
    <t>Due to Refinancing Bank — Buyer's Usance</t>
  </si>
  <si>
    <t>The interbank leg a single-IBL model hides.</t>
  </si>
  <si>
    <t>LC_CASH_MARGIN_DEPOSIT</t>
  </si>
  <si>
    <t>L5_Regulatory_CCF</t>
  </si>
  <si>
    <t>LC_DOC_WAIVER</t>
  </si>
  <si>
    <t>Applicant waives discrepancies</t>
  </si>
  <si>
    <t>CCF by class, with ccf_source separating CRE20 rules from internal-policy positions.</t>
  </si>
  <si>
    <t>LC Cash Margin Deposit</t>
  </si>
  <si>
    <t>NO_BALANCE_EFFECT</t>
  </si>
  <si>
    <t>Reclassification within customer deposits when internally funded.</t>
  </si>
  <si>
    <t>Enables honour. Moves nothing itself.</t>
  </si>
  <si>
    <t>v2 §3.1</t>
  </si>
  <si>
    <t>UNEARNED_COMMISSION_INCOME</t>
  </si>
  <si>
    <t>Unearned Commission Income</t>
  </si>
  <si>
    <t>Subject to higher_of where ifrs_scope = IFRS9_FGC.</t>
  </si>
  <si>
    <t>v2 §9.2</t>
  </si>
  <si>
    <t>Invariants</t>
  </si>
  <si>
    <t>I1A-I1C and I2-I22, sorted numerically; where each is enforced and what breaks without it.</t>
  </si>
  <si>
    <t>PROVISION_OFFBS</t>
  </si>
  <si>
    <t>LC_DOC_PRECLUDED</t>
  </si>
  <si>
    <t>5 banking days lapse, no conforming refusal</t>
  </si>
  <si>
    <t>Provision for Off-BS Credit Exposures</t>
  </si>
  <si>
    <t>IFRS 9 loss allowance. NOT a contra to the memo pair.</t>
  </si>
  <si>
    <t>S</t>
  </si>
  <si>
    <t>v2 §9.3</t>
  </si>
  <si>
    <t>Amount_Basis</t>
  </si>
  <si>
    <t>Art. 16(f). SYSTEM-GENERATED, fires unattended. Re-weights to 100%.</t>
  </si>
  <si>
    <t>CUSTOMER_CURRENT_ACCOUNT</t>
  </si>
  <si>
    <t>Machine contract for amount resolution. Every L2 row carries a code from here.</t>
  </si>
  <si>
    <t>Customer Current Account</t>
  </si>
  <si>
    <t>BENEFICIARY_ACCOUNT</t>
  </si>
  <si>
    <t>Beneficiary Account</t>
  </si>
  <si>
    <t>LC_PAY_RESERVE</t>
  </si>
  <si>
    <t>PROFIT_AND_LOSS</t>
  </si>
  <si>
    <t>Paid under reserve / against indemnity</t>
  </si>
  <si>
    <t>FEE_COMMISSION_INCOME</t>
  </si>
  <si>
    <t>Test_Scenarios</t>
  </si>
  <si>
    <t>NOT an honour. Creates a recourse asset on the presenter.</t>
  </si>
  <si>
    <t>38 tests: T1-T22 business, T23-T33 technical, T34-T38 presentation, rounding, direction and idempotency retention.</t>
  </si>
  <si>
    <t>Fee &amp; Commission Income</t>
  </si>
  <si>
    <t>LC_RESERVE_CALLED</t>
  </si>
  <si>
    <t>Reserve called, presenter refunds</t>
  </si>
  <si>
    <t>Controls_Reports</t>
  </si>
  <si>
    <t>INTEREST_INCOME</t>
  </si>
  <si>
    <t>Control report set and frequency.</t>
  </si>
  <si>
    <t>Reinstates the contingent if still within validity.</t>
  </si>
  <si>
    <t>Interest Income</t>
  </si>
  <si>
    <t>Includes the UPAS spread on BU-B.</t>
  </si>
  <si>
    <t>INTEREST_EXPENSE</t>
  </si>
  <si>
    <t>Interest Expense — Refinancing Bank</t>
  </si>
  <si>
    <t>BU-B funding leg.</t>
  </si>
  <si>
    <t>LC_HONOUR_SIGHT</t>
  </si>
  <si>
    <t>Sight honour</t>
  </si>
  <si>
    <t>IMPAIRMENT_CHARGE_OFFBS</t>
  </si>
  <si>
    <t>Row counts are formulas, so they update as rows are added.</t>
  </si>
  <si>
    <t>Complying, waived, or precluded. Margin applied PRO RATA.</t>
  </si>
  <si>
    <t>Impairment Charge — Off-BS Credit Exposures</t>
  </si>
  <si>
    <t>LC_HONOUR_BU_A</t>
  </si>
  <si>
    <t>BU honour, bank-funded</t>
  </si>
  <si>
    <t>fundingParty = SELF.</t>
  </si>
  <si>
    <t>§3.6</t>
  </si>
  <si>
    <t>ACCEPTANCE_SHADOW_DR</t>
  </si>
  <si>
    <t>Acceptance Shadow — Customers' Liability</t>
  </si>
  <si>
    <t>MIS only. NEVER feeds the financials (I6).</t>
  </si>
  <si>
    <t>LC_HONOUR_BU_B</t>
  </si>
  <si>
    <t>BU honour, correspondent funds</t>
  </si>
  <si>
    <t>ACCEPTANCE_SHADOW_CR</t>
  </si>
  <si>
    <t>fundingParty = REFINANCING_BANK. Principal only on day 1.</t>
  </si>
  <si>
    <t>Acceptance Shadow — Outstanding</t>
  </si>
  <si>
    <t>MIS only.</t>
  </si>
  <si>
    <t>CONFIRMED_ACCEPTANCE_SHADOW_DR</t>
  </si>
  <si>
    <t>Confirmed Acceptance Shadow — Exposure</t>
  </si>
  <si>
    <t>LC_ACCEPT</t>
  </si>
  <si>
    <t>Draft accepted / DPU incurred</t>
  </si>
  <si>
    <t>NOT on document arrival. Raises on-BS liability AND receivable.</t>
  </si>
  <si>
    <t>§3.7</t>
  </si>
  <si>
    <t>CONFIRMED_ACCEPTANCE_SHADOW_CR</t>
  </si>
  <si>
    <t>Confirmed Acceptance Shadow — Outstanding</t>
  </si>
  <si>
    <t>DOCUMENT_UNDER_EXAMINATION</t>
  </si>
  <si>
    <t>ACC_MATURE</t>
  </si>
  <si>
    <t>Maturity, applicant funds</t>
  </si>
  <si>
    <t>O/B</t>
  </si>
  <si>
    <t>Bills under LC — Received, Under Examination</t>
  </si>
  <si>
    <t>Original instrument presented, or payment to last known holder.</t>
  </si>
  <si>
    <t>Art. 16 clock visibility.</t>
  </si>
  <si>
    <t>§3.8</t>
  </si>
  <si>
    <t>v2 §3.4</t>
  </si>
  <si>
    <t>DOCUMENT_AT_PRESENTER_DISPOSAL</t>
  </si>
  <si>
    <t>Bills Held at Presenter's Disposal</t>
  </si>
  <si>
    <t>Refused and held.</t>
  </si>
  <si>
    <t>ACC_FINANCE</t>
  </si>
  <si>
    <t>Financed at maturity</t>
  </si>
  <si>
    <t>EXPORT_BILLS_UNDER_EXAMINATION</t>
  </si>
  <si>
    <t>Trust receipt / import loan.</t>
  </si>
  <si>
    <t>Export Bills — Received, Under Examination</t>
  </si>
  <si>
    <t>v2 §7.3</t>
  </si>
  <si>
    <t>AWB_CUSTOMER_LIABILITY</t>
  </si>
  <si>
    <t>Customers' Liability under Air Release Indemnities</t>
  </si>
  <si>
    <t>Air release is a separate product from an SG — no document of title to return.</t>
  </si>
  <si>
    <t>ACC_FORCED</t>
  </si>
  <si>
    <t>v2 §11</t>
  </si>
  <si>
    <t>Applicant fails to fund</t>
  </si>
  <si>
    <t>S/O</t>
  </si>
  <si>
    <t>AWB_OUTSTANDING</t>
  </si>
  <si>
    <t>Air Release Indemnities Outstanding</t>
  </si>
  <si>
    <t>Discharges on AWB_DISCHARGE, never on SG_RELEASE.</t>
  </si>
  <si>
    <t>ACC_DISCOUNT</t>
  </si>
  <si>
    <t>Bank discounts its own acceptance</t>
  </si>
  <si>
    <t>Rounding Residual (designated leg)</t>
  </si>
  <si>
    <t>Extinguished by merger (confusio), not set-off.</t>
  </si>
  <si>
    <t>§5.3</t>
  </si>
  <si>
    <t>I21 — a non-zero residual is posted here IN THE SAME JOURNAL. Never dropped, never absorbed into the first or largest leg.</t>
  </si>
  <si>
    <t>FX_POSITION</t>
  </si>
  <si>
    <t>ACC_CORRECTION</t>
  </si>
  <si>
    <t>Booking error</t>
  </si>
  <si>
    <t>MIRROR</t>
  </si>
  <si>
    <t>Maker != checker, reversal_of, reason code.</t>
  </si>
  <si>
    <t>FX Position (clearing)</t>
  </si>
  <si>
    <t>§5.1</t>
  </si>
  <si>
    <t>Mandatory leg on cross-currency settlement (I14). The rate margin is FX_REVALUATION income.</t>
  </si>
  <si>
    <t>v2 §9.5</t>
  </si>
  <si>
    <t>ACC_REDUCTION_CONSENTED</t>
  </si>
  <si>
    <t>Holder-agreed reduction</t>
  </si>
  <si>
    <t>DOCUMENT_UNDER_EXAMINATION_CONTRA</t>
  </si>
  <si>
    <t>Written consent. Original instrument returned if a negotiable draft.</t>
  </si>
  <si>
    <t>Bills under LC — Contra</t>
  </si>
  <si>
    <t>Pairs with DOCUMENT_UNDER_EXAMINATION (I1C).</t>
  </si>
  <si>
    <t>EXPORT_BILLS_UNDER_EXAMINATION_CONTRA</t>
  </si>
  <si>
    <t>LC_EXPIRE</t>
  </si>
  <si>
    <t>expiry_date + mail_float_grace (+ Art. 29)</t>
  </si>
  <si>
    <t>B</t>
  </si>
  <si>
    <t>NEVER + 21 days. Releases residual contingent, ECL, limit, margin, unearned commission.</t>
  </si>
  <si>
    <t>Export Bills — Contra</t>
  </si>
  <si>
    <t>Pairs with EXPORT_BILLS_UNDER_EXAMINATION (I1C).</t>
  </si>
  <si>
    <t>FX_REVALUATION</t>
  </si>
  <si>
    <t>FX Revaluation / Position margin</t>
  </si>
  <si>
    <t>Natural side Cr (income). Nil on contingent pairs by construction.</t>
  </si>
  <si>
    <t>LC_CANCEL</t>
  </si>
  <si>
    <t>Cancelled before expiry</t>
  </si>
  <si>
    <t>Beneficiary and confirming bank consent.</t>
  </si>
  <si>
    <t>SG_ISSUE</t>
  </si>
  <si>
    <t>LAYER 2 — Balance movement (machine-loadable long form)</t>
  </si>
  <si>
    <t>SG issued</t>
  </si>
  <si>
    <t>linked_lc_id MANDATORY (I5). Policy notional where the carrier form is unlimited.</t>
  </si>
  <si>
    <t>One row per event_code x posting_step x balance_type. No combined codes, no pseudo-rows. posting_side is DERIVED from natural_side in Balance_Taxonomy (green formula) — never stored literally, because memo_pair_direction is entity-configurable.</t>
  </si>
  <si>
    <t>posting_step</t>
  </si>
  <si>
    <t>step_seq</t>
  </si>
  <si>
    <t>movement</t>
  </si>
  <si>
    <t>SG_AMD_INC</t>
  </si>
  <si>
    <t>SG increase</t>
  </si>
  <si>
    <t>§4.3</t>
  </si>
  <si>
    <t>SG_AMD_DEC</t>
  </si>
  <si>
    <t>SG decrease</t>
  </si>
  <si>
    <t>Requires CARRIER consent, not the applicant's.</t>
  </si>
  <si>
    <t>posting_side (derived)</t>
  </si>
  <si>
    <t>SG_REDEEMABLE</t>
  </si>
  <si>
    <t>amount_basis_code</t>
  </si>
  <si>
    <t>Original B/L received</t>
  </si>
  <si>
    <t>amount_basis (gloss)</t>
  </si>
  <si>
    <t>STATUS_ONLY</t>
  </si>
  <si>
    <t>STATUS ONLY. NO GL MOVEMENT. Test T3.</t>
  </si>
  <si>
    <t>balance_type valid?</t>
  </si>
  <si>
    <t>basis code valid?</t>
  </si>
  <si>
    <t>posting-side integrity (G2B)</t>
  </si>
  <si>
    <t>amount-direction integrity (G13)</t>
  </si>
  <si>
    <t>RAISE_CONTINGENT</t>
  </si>
  <si>
    <t>SG_RELEASE</t>
  </si>
  <si>
    <t>INCREASE</t>
  </si>
  <si>
    <t>Original SG returned / carrier release / B/L surrendered</t>
  </si>
  <si>
    <t>FULL amount, no residual. Test T4.</t>
  </si>
  <si>
    <t>SG_CLAIM</t>
  </si>
  <si>
    <t>Carrier claims under the SG</t>
  </si>
  <si>
    <t>Stage 3. May exceed booked notional if unlimited.</t>
  </si>
  <si>
    <t>AWB_RELEASE</t>
  </si>
  <si>
    <t>Air release endorsed</t>
  </si>
  <si>
    <t>Separate product. AWB is not a document of title.</t>
  </si>
  <si>
    <t>MAX_LIABILITY</t>
  </si>
  <si>
    <t>max_liability</t>
  </si>
  <si>
    <t>AWB_DISCHARGE</t>
  </si>
  <si>
    <t>LC settled + endorsement evidence, or claim period lapsed</t>
  </si>
  <si>
    <t>Amount basis catalogue — the machine contract</t>
  </si>
  <si>
    <t>Do NOT reuse SG_RELEASE. Test T22.</t>
  </si>
  <si>
    <t>I22 — movement owns DIRECTION, amount_basis_code owns MAGNITUDE. NON_NEGATIVE bases pair with INCREASE/DECREASE; SIGNED bases MUST use movement = DERIVED_FROM_SIGN and may never pair with a static direction. A resolver is a PURE FUNCTION of (event, undertaking, config, balances-at-event-time); declared dependencies fix evaluation order. Codes are VERSIONED with the L2 mapping — changing a resolver's meaning is a new code, never an edit.</t>
  </si>
  <si>
    <t>Resolver</t>
  </si>
  <si>
    <t>Inputs</t>
  </si>
  <si>
    <t>sign_contract</t>
  </si>
  <si>
    <t>DOCUMENT_AMOUNT</t>
  </si>
  <si>
    <t>event.amount</t>
  </si>
  <si>
    <t>Export</t>
  </si>
  <si>
    <t>event</t>
  </si>
  <si>
    <t>NON_NEGATIVE</t>
  </si>
  <si>
    <t>Presented/complying document amount. The most-used basis.</t>
  </si>
  <si>
    <t>EX_ADVISE</t>
  </si>
  <si>
    <t>LC advised</t>
  </si>
  <si>
    <t>undertaking.max_liability</t>
  </si>
  <si>
    <t>NO contingent. Art. 9(b) duties are operational. Test T11.</t>
  </si>
  <si>
    <t>undertaking</t>
  </si>
  <si>
    <t>Art. 30(a) amount tolerance only — never 30(b) quantity.</t>
  </si>
  <si>
    <t>AMENDMENT_DELTA</t>
  </si>
  <si>
    <t>ABS(event.delta_amount)</t>
  </si>
  <si>
    <t>MAGNITUDE ONLY (I22). Direction comes from movement — never from the sign. Test T37.</t>
  </si>
  <si>
    <t>CONFIRMED_AMOUNT</t>
  </si>
  <si>
    <t>undertaking.confirmed_amount</t>
  </si>
  <si>
    <t>INDEPENDENT of lc_amount (I13).</t>
  </si>
  <si>
    <t>ACCEPTANCE_AMOUNT</t>
  </si>
  <si>
    <t>undertaking.acceptance_amount</t>
  </si>
  <si>
    <t>Face of the accepted draft / incurred DPU.</t>
  </si>
  <si>
    <t>MARGIN_TAKEN</t>
  </si>
  <si>
    <t>undertaking.face_amount x config.margin_pct</t>
  </si>
  <si>
    <t>undertaking, config</t>
  </si>
  <si>
    <t>At issuance.</t>
  </si>
  <si>
    <t>MARGIN_APPLIED</t>
  </si>
  <si>
    <t>DOCUMENT_AMOUNT x config.margin_pct</t>
  </si>
  <si>
    <t>event, config</t>
  </si>
  <si>
    <t>PRO RATA to utilisation. Never the full margin on a partial drawing (T1).</t>
  </si>
  <si>
    <t>CNF_ADD</t>
  </si>
  <si>
    <t>MARGIN_RESIDUAL</t>
  </si>
  <si>
    <t>Confirmation actually advised to the beneficiary</t>
  </si>
  <si>
    <t>balance(LC_CASH_MARGIN_DEPOSIT) at event time</t>
  </si>
  <si>
    <t>balances</t>
  </si>
  <si>
    <t>Released at expiry/cancellation.</t>
  </si>
  <si>
    <t>NEVER triggered by field 49 (I11). Test T10.</t>
  </si>
  <si>
    <t>§7.1</t>
  </si>
  <si>
    <t>CUSTOMER_FUNDING_REMAINDER</t>
  </si>
  <si>
    <t>DOCUMENT_AMOUNT - MARGIN_APPLIED</t>
  </si>
  <si>
    <t>derived</t>
  </si>
  <si>
    <t>DEPENDS ON MARGIN_APPLIED — evaluation order enforced by the engine.</t>
  </si>
  <si>
    <t>RESIDUAL_OUTSTANDING</t>
  </si>
  <si>
    <t>balance(&lt;undertaking outstanding&gt;) at event time</t>
  </si>
  <si>
    <t>Expiry, cancellation, recourse.</t>
  </si>
  <si>
    <t>POLICY_NOTIONAL</t>
  </si>
  <si>
    <t>invoice x config.sg_uplift_pct (or sg_unlimited_policy_notional_pct)</t>
  </si>
  <si>
    <t>config</t>
  </si>
  <si>
    <t>CNF_ADD_SILENT</t>
  </si>
  <si>
    <t>SG / AWB where the carrier form is unlimited.</t>
  </si>
  <si>
    <t>Silent confirmation added</t>
  </si>
  <si>
    <t>SG_FULL_OUTSTANDING</t>
  </si>
  <si>
    <t>confirmation_type = SILENT. LGD uplift keys on is_nominated_bank = FALSE.</t>
  </si>
  <si>
    <t>balance(SG_OUTSTANDING) at event time</t>
  </si>
  <si>
    <t>FULL amount. NEVER MIN(document, SG).</t>
  </si>
  <si>
    <t>AWB_FULL_OUTSTANDING</t>
  </si>
  <si>
    <t>balance(AWB_OUTSTANDING) at event time</t>
  </si>
  <si>
    <t>CLAIM_AMOUNT</t>
  </si>
  <si>
    <t>May EXCEED the booked notional where the SG form is unlimited.</t>
  </si>
  <si>
    <t>UNDERTAKING_AMOUNT</t>
  </si>
  <si>
    <t>CNF_AMD_INC</t>
  </si>
  <si>
    <t>undertaking.amount</t>
  </si>
  <si>
    <t>Confirmation increase</t>
  </si>
  <si>
    <t>Reimbursement undertaking (URR 725).</t>
  </si>
  <si>
    <t>Moves confirmed_amount, which may diverge from lc_amount (Art. 10(b)).</t>
  </si>
  <si>
    <t>§7.2</t>
  </si>
  <si>
    <t>COMMISSION_AMOUNT</t>
  </si>
  <si>
    <t>pricing.commission(undertaking, tenor)</t>
  </si>
  <si>
    <t>pricing</t>
  </si>
  <si>
    <t>Deferred over the undertaking period.</t>
  </si>
  <si>
    <t>COMMISSION_DELTA</t>
  </si>
  <si>
    <t>pricing.commission(delta, REMAINING tenor)</t>
  </si>
  <si>
    <t>Amendment increase — remaining tenor, not full.</t>
  </si>
  <si>
    <t>COMMISSION_UNAMORTISED</t>
  </si>
  <si>
    <t>balance(UNEARNED_COMMISSION_INCOME) at event time</t>
  </si>
  <si>
    <t>CNF_AMD_DEC</t>
  </si>
  <si>
    <t>Confirmation decrease</t>
  </si>
  <si>
    <t>Recognised in full on early termination.</t>
  </si>
  <si>
    <t>As above.</t>
  </si>
  <si>
    <t>COMMISSION_PERIOD_AMORT</t>
  </si>
  <si>
    <t>straight-line over the undertaking period</t>
  </si>
  <si>
    <t>Period accrual.</t>
  </si>
  <si>
    <t>ECL_AMOUNT</t>
  </si>
  <si>
    <t>ecl(EAD=ecl_ead_factor, PD, LGD, stage)</t>
  </si>
  <si>
    <t>risk</t>
  </si>
  <si>
    <t>EAD is the IFRS 9 factor, NEVER ccf_regulatory (I9).</t>
  </si>
  <si>
    <t>ECL_DELTA</t>
  </si>
  <si>
    <t>ECL_AMOUNT(now) - balance(PROVISION_OFFBS)</t>
  </si>
  <si>
    <t>risk, balances</t>
  </si>
  <si>
    <t>SIGNED</t>
  </si>
  <si>
    <t>SIGNED — a reassessment can be a release. Pairs with movement = DERIVED_FROM_SIGN (I22).</t>
  </si>
  <si>
    <t>EX_DOC_RCV</t>
  </si>
  <si>
    <t>Documents presented</t>
  </si>
  <si>
    <t>ECL_RELEASED</t>
  </si>
  <si>
    <t>provision attributable to the released exposure</t>
  </si>
  <si>
    <t>Starts the examination clock.</t>
  </si>
  <si>
    <t>§7.3</t>
  </si>
  <si>
    <t>Release source and raise target in ONE unit of work.</t>
  </si>
  <si>
    <t>DISCOUNT_AMOUNT</t>
  </si>
  <si>
    <t>pricing.discount(face, rate, days)</t>
  </si>
  <si>
    <t>Unearned at inception; accreted by DISC_ACCRETE.</t>
  </si>
  <si>
    <t>NET_PROCEEDS</t>
  </si>
  <si>
    <t>face - DISCOUNT_AMOUNT</t>
  </si>
  <si>
    <t>DEPENDS ON DISCOUNT_AMOUNT.</t>
  </si>
  <si>
    <t>FUNDED_AMOUNT</t>
  </si>
  <si>
    <t>EX_DOC_REFUSE</t>
  </si>
  <si>
    <t>Refinancing loan to the issuing bank.</t>
  </si>
  <si>
    <t>CONSENTED_AMOUNT</t>
  </si>
  <si>
    <t>Conforming, within 5 banking days.</t>
  </si>
  <si>
    <t>Holder-consented acceptance reduction; evidence mandatory (I8).</t>
  </si>
  <si>
    <t>ORIGINAL_AMOUNT_SIGNED</t>
  </si>
  <si>
    <t>reversed_event.amount x -1</t>
  </si>
  <si>
    <t>reversal_of</t>
  </si>
  <si>
    <t>SIGNED. MIRROR rows only; legs and direction resolved at runtime from reversal_of.</t>
  </si>
  <si>
    <t>CORRECTED_AMOUNT</t>
  </si>
  <si>
    <t>Rebook leg of a correction.</t>
  </si>
  <si>
    <t>INTEREST_PERIOD</t>
  </si>
  <si>
    <t>effective_interest(asset, period)</t>
  </si>
  <si>
    <t>balances, config</t>
  </si>
  <si>
    <t>EX_DOC_APPROVAL</t>
  </si>
  <si>
    <t>Suspend on Stage 3 / non-accrual.</t>
  </si>
  <si>
    <t>Sent on approval basis</t>
  </si>
  <si>
    <t>DISCOUNT_ACCRETION</t>
  </si>
  <si>
    <t>ONLY valid after a conforming refusal notice. Otherwise EX_DOC_PRECLUDED.</t>
  </si>
  <si>
    <t>accretion(UNEARNED_DISCOUNT, period)</t>
  </si>
  <si>
    <t>To INTEREST_INCOME.</t>
  </si>
  <si>
    <t>FX_REVAL_DELTA</t>
  </si>
  <si>
    <t>(closing_rate - carrying_rate) x monetary balance</t>
  </si>
  <si>
    <t>balances, rates</t>
  </si>
  <si>
    <t>SIGNED — moves either way. Pairs with movement = DERIVED_FROM_SIGN (I22). Nil on contingent pairs by construction.</t>
  </si>
  <si>
    <t>ZERO</t>
  </si>
  <si>
    <t>0</t>
  </si>
  <si>
    <t>n/a</t>
  </si>
  <si>
    <t>Non-posting events; declared explicitly, never inferred from absence (I17).</t>
  </si>
  <si>
    <t>EX_DOC_PRECLUDED</t>
  </si>
  <si>
    <t>On approval without refusal, or 5 days lapsed</t>
  </si>
  <si>
    <t>Art. 16(f). System-generated.</t>
  </si>
  <si>
    <t>EX_PAY_RESERVE</t>
  </si>
  <si>
    <t>Paid under reserve to the exporter</t>
  </si>
  <si>
    <t>TAKE_MARGIN</t>
  </si>
  <si>
    <t>Recourse asset on the EXPORTER.</t>
  </si>
  <si>
    <t>DECREASE</t>
  </si>
  <si>
    <t>CNF_HONOUR_SIGHT</t>
  </si>
  <si>
    <t>Confirmed sight honour</t>
  </si>
  <si>
    <t>Without recourse (Art. 8(a)). Asset = claim on the issuing bank.</t>
  </si>
  <si>
    <t>§7.4a</t>
  </si>
  <si>
    <t>face x margin_pct</t>
  </si>
  <si>
    <t>CNF_HONOUR_BU</t>
  </si>
  <si>
    <t>Confirmed BU honour, available by sight/negotiation</t>
  </si>
  <si>
    <t>Claim at SIGHT. No deferred receivable.</t>
  </si>
  <si>
    <t>§7.5</t>
  </si>
  <si>
    <t>Gates G2 / G2B / G10 / G13 — resolution, posting-side, amount-basis, amount-direction</t>
  </si>
  <si>
    <t>Live formulas. Any non-zero failure figure BLOCKS THE BUILD. G2B is a PER-ROW semantic rule keyed on movement_type — not a count of n/a rows, which can mask a lost n/a against a failed derivation. Green cells are formulas.</t>
  </si>
  <si>
    <t>Check</t>
  </si>
  <si>
    <t>EX_NEGOTIATE</t>
  </si>
  <si>
    <t>Negotiation under an unconfirmed LC</t>
  </si>
  <si>
    <t>Value</t>
  </si>
  <si>
    <t>NO contingent existed. Obligor = exporter, recourse = TRUE. Test T12.</t>
  </si>
  <si>
    <t>§7.4b</t>
  </si>
  <si>
    <t>L1 events defined</t>
  </si>
  <si>
    <t>EX_RECOURSE</t>
  </si>
  <si>
    <t>Issuing bank fails to pay</t>
  </si>
  <si>
    <t>Debit the exporter.</t>
  </si>
  <si>
    <t>CNF_ACCEPT</t>
  </si>
  <si>
    <t>THIS bank accepts / incurs the DPU</t>
  </si>
  <si>
    <t>available_with = THIS_BANK ONLY. Tests T14, T15.</t>
  </si>
  <si>
    <t>§7.6</t>
  </si>
  <si>
    <t>L1 events with at least one L2 row</t>
  </si>
  <si>
    <t>CNF_DISCOUNT</t>
  </si>
  <si>
    <t>Settles its own liability early</t>
  </si>
  <si>
    <t>Without recourse. Obligor stays the issuing bank.</t>
  </si>
  <si>
    <t>Gaps (must be 0)</t>
  </si>
  <si>
    <t>CNF_MATURE</t>
  </si>
  <si>
    <t>Confirmed acceptance matures</t>
  </si>
  <si>
    <t>L2 rows total</t>
  </si>
  <si>
    <t>CNF_REIMB</t>
  </si>
  <si>
    <t>Reimbursement received</t>
  </si>
  <si>
    <t>M</t>
  </si>
  <si>
    <t>Clears the issuing-bank claim.</t>
  </si>
  <si>
    <t>L2 rows with an unknown balance_type (must be 0)</t>
  </si>
  <si>
    <t>CNF_EXPIRE</t>
  </si>
  <si>
    <t>expiry_date + mail_float_grace at the PLACE OF EXPIRY</t>
  </si>
  <si>
    <t>Never + 21 days.</t>
  </si>
  <si>
    <t>§7.7</t>
  </si>
  <si>
    <t>L2 rows with an unknown amount_basis_code (must be 0)  [G10]</t>
  </si>
  <si>
    <t>EX_REFIN</t>
  </si>
  <si>
    <t>This bank refinances the issuing bank</t>
  </si>
  <si>
    <t>Separate FI lending product with its own credit approval.</t>
  </si>
  <si>
    <t>L2 rows failing posting-side integrity (must be 0)  [G2B]</t>
  </si>
  <si>
    <t>L2 rows failing amount-direction integrity (must be 0)  [G13]</t>
  </si>
  <si>
    <t>RMB_UNDERTAKE</t>
  </si>
  <si>
    <t>Reimbursement undertaking issued (URR 725)</t>
  </si>
  <si>
    <t>Agency-only reimbursing creates NOTHING.</t>
  </si>
  <si>
    <t>Amount_Basis codes defined</t>
  </si>
  <si>
    <t>Cross</t>
  </si>
  <si>
    <t>FEE_ACCRUE</t>
  </si>
  <si>
    <t>Period end</t>
  </si>
  <si>
    <t>DEFER_COMMISSION</t>
  </si>
  <si>
    <t>Amount_Basis codes unused in L2 (dead configuration)</t>
  </si>
  <si>
    <t>ECL_ASSESS</t>
  </si>
  <si>
    <t>Any balance-moving event, period end, rating change</t>
  </si>
  <si>
    <t>S/B</t>
  </si>
  <si>
    <t>MUST fire on LC_AMD_TENOR even though it moves no amount.</t>
  </si>
  <si>
    <t>INT_ACCRUE</t>
  </si>
  <si>
    <t>Period end, effective interest</t>
  </si>
  <si>
    <t>issuance commission</t>
  </si>
  <si>
    <t>§9.4</t>
  </si>
  <si>
    <t>GATE G2 / G2B / G10 / G13 RESULT</t>
  </si>
  <si>
    <t>DISC_ACCRETE</t>
  </si>
  <si>
    <t>Period end, unearned discount</t>
  </si>
  <si>
    <t>LAYER 3 — GL mapping template</t>
  </si>
  <si>
    <t>Row 5 is a worked EXAMPLE showing the expected format — replace it. Rules A1-A6: an unresolved mapping REJECTS the posting, never a suspense account. Gate G1 blocks production until coverage is 100%.</t>
  </si>
  <si>
    <t>entity (EDIT)</t>
  </si>
  <si>
    <t>FX_REVAL</t>
  </si>
  <si>
    <t>Contingent pairs revalue in tandem: nil P&amp;L by construction.</t>
  </si>
  <si>
    <t>ccy (EDIT)</t>
  </si>
  <si>
    <t>§9.5</t>
  </si>
  <si>
    <t>product (EDIT)</t>
  </si>
  <si>
    <t>gl_account (EDIT)</t>
  </si>
  <si>
    <t>gl_name (EDIT)</t>
  </si>
  <si>
    <t>effective_from (EDIT)</t>
  </si>
  <si>
    <t>Mapped?</t>
  </si>
  <si>
    <t>HK01</t>
  </si>
  <si>
    <t>EVT_REVERSE</t>
  </si>
  <si>
    <t>USD</t>
  </si>
  <si>
    <t>Correction</t>
  </si>
  <si>
    <t>IMPORT_LC</t>
  </si>
  <si>
    <t>991010</t>
  </si>
  <si>
    <t>Signed reversal. Re-runs fee amortisation and ECL from value date.</t>
  </si>
  <si>
    <t>Documentary Credits Outstanding — Sight</t>
  </si>
  <si>
    <t>2026-01-01</t>
  </si>
  <si>
    <t>RAISE_ECL</t>
  </si>
  <si>
    <t>ECL</t>
  </si>
  <si>
    <t>Gate G1 — GL mapping completeness</t>
  </si>
  <si>
    <t>No promotion to production while any mandatory gap remains. Coverage updates live as the BA completes L3_GL_Mapping.</t>
  </si>
  <si>
    <t>Mapping rows required (this template)</t>
  </si>
  <si>
    <t>Mapping rows completed</t>
  </si>
  <si>
    <t>Missing</t>
  </si>
  <si>
    <t>Coverage</t>
  </si>
  <si>
    <t>GATE G1 RESULT</t>
  </si>
  <si>
    <t>Production validator — the full expansion this template stands in for:</t>
  </si>
  <si>
    <t>For every ENABLED combination  entity x product x currency x event_code x balance_type,</t>
  </si>
  <si>
    <t>a GL mapping must exist. Required count = SUM over enabled entities of</t>
  </si>
  <si>
    <t>(products x currencies x distinct balance_types reachable from L2 for those products).</t>
  </si>
  <si>
    <t>Failure output:</t>
  </si>
  <si>
    <t xml:space="preserve">    MISSING_GL_MAPPING</t>
  </si>
  <si>
    <t xml:space="preserve">    Entity: TW01 | Product: IMPORT_LC | Currency: JPY</t>
  </si>
  <si>
    <t xml:space="preserve">    Balance Type: ACCEPTANCE_DPU_OUTSTANDING | Triggered by: LC_ACCEPT</t>
  </si>
  <si>
    <t>Tenor model — business classification vs accounting drivers</t>
  </si>
  <si>
    <t>tenorType is retained for product setup, UI and MIS. It is NEVER read by accounting, risk or regulatory logic (V1, build-breaking static check). Derivation requires operator confirmation and carries provenance — spec §4.3.</t>
  </si>
  <si>
    <t>delta</t>
  </si>
  <si>
    <t>tenorType (business/UI)</t>
  </si>
  <si>
    <t>undertakingAvailability</t>
  </si>
  <si>
    <t>financingStructure</t>
  </si>
  <si>
    <t>fundingParty</t>
  </si>
  <si>
    <t>availableWith</t>
  </si>
  <si>
    <t>Honour event</t>
  </si>
  <si>
    <t>Accounting result</t>
  </si>
  <si>
    <t>Provenance</t>
  </si>
  <si>
    <t>SIGHT</t>
  </si>
  <si>
    <t>NONE</t>
  </si>
  <si>
    <t>Bills receivable + settlement payable</t>
  </si>
  <si>
    <t>derived_from_tenor_type / derivation_rule_version / operator_confirmed_by / _at / overridden / override_reason</t>
  </si>
  <si>
    <t>BUYERS_USANCE</t>
  </si>
  <si>
    <t>BUYER_USANCE</t>
  </si>
  <si>
    <t>SELF</t>
  </si>
  <si>
    <t>LAYER 4 — Risk: obligor, EAD, staging</t>
  </si>
  <si>
    <t>Import usance financing (applicant)</t>
  </si>
  <si>
    <t>Risk reads the ledger; it never writes to it. I9: ecl_ead_factor and ccf_regulatory are never read from the same field. See spec §8.5 for the five separately-named exposure outputs.</t>
  </si>
  <si>
    <t>A4: the balance_type -&gt; gl_account relationship is MANY-TO-MANY. Do not assume 1:1. A2: MEMO_ONLY maps only to memorandum GL ranges. A3: CONTINGENT only to off-BS ranges, in Dr/Cr pairs.</t>
  </si>
  <si>
    <t>REFINANCING_BANK</t>
  </si>
  <si>
    <t>Product / event</t>
  </si>
  <si>
    <t>Applicant receivable AND due to refinancing bank</t>
  </si>
  <si>
    <t>obligor_party</t>
  </si>
  <si>
    <t>obligor_type</t>
  </si>
  <si>
    <t>SELLERS_USANCE</t>
  </si>
  <si>
    <t>recourse</t>
  </si>
  <si>
    <t>ACCEPTANCE</t>
  </si>
  <si>
    <t>Limit consumed</t>
  </si>
  <si>
    <t>SELLER_USANCE</t>
  </si>
  <si>
    <t>On-BS acceptance liability + reimbursement receivable</t>
  </si>
  <si>
    <t>Import LC, SG, acceptance, all import financing</t>
  </si>
  <si>
    <t>Applicant</t>
  </si>
  <si>
    <t>CORPORATE</t>
  </si>
  <si>
    <t>DEF_PAYMENT</t>
  </si>
  <si>
    <t>Customer trade limit</t>
  </si>
  <si>
    <t>As above; instrumentType = DPU</t>
  </si>
  <si>
    <t>Export confirmation, confirmed acceptance, discounted export bill</t>
  </si>
  <si>
    <t>(any)</t>
  </si>
  <si>
    <t>Issuing bank</t>
  </si>
  <si>
    <t>FI</t>
  </si>
  <si>
    <t>FI limit + COUNTRY limit</t>
  </si>
  <si>
    <t>APPLICANT</t>
  </si>
  <si>
    <t>REJECT AT VALIDATION</t>
  </si>
  <si>
    <t>Not the exporter's limit — the practical reason for the Issuing Bank Confirmation Exposure naming.</t>
  </si>
  <si>
    <t>fundingParty = APPLICANT does not exist. Buyer's usance is defined by the buyer bearing the discount cost.</t>
  </si>
  <si>
    <t>Refinancing loan to issuing bank (EX_REFIN)</t>
  </si>
  <si>
    <t>FI limit + country</t>
  </si>
  <si>
    <t>Separate FI credit approval.</t>
  </si>
  <si>
    <t>Reimbursement undertaking (RMB_UNDERTAKE)</t>
  </si>
  <si>
    <t>any</t>
  </si>
  <si>
    <t>Due from issuing bank, no recourse</t>
  </si>
  <si>
    <t>EX_NEGOTIATE (unconfirmed negotiation)</t>
  </si>
  <si>
    <t>Exporter</t>
  </si>
  <si>
    <t>Exporter limit</t>
  </si>
  <si>
    <t>Issuing bank is the secondary source only.</t>
  </si>
  <si>
    <t>SIGHT or NEGOTIATION</t>
  </si>
  <si>
    <t>ISSUING_BANK / ANY_BANK</t>
  </si>
  <si>
    <t>Presenter / beneficiary</t>
  </si>
  <si>
    <t>FI or CORPORATE</t>
  </si>
  <si>
    <t>Due from issuing bank AT SIGHT. No deferred receivable.</t>
  </si>
  <si>
    <t>Counterparty limit</t>
  </si>
  <si>
    <t>Reclassify to a normal applicant receivable once discrepancies are accepted.</t>
  </si>
  <si>
    <t>ALL — general rule</t>
  </si>
  <si>
    <t>read obligor_party off the EVENT</t>
  </si>
  <si>
    <t>ACCEPTANCE / DEF_PAYMENT</t>
  </si>
  <si>
    <t>follows the obligor</t>
  </si>
  <si>
    <t>There is NO 'never the beneficiary' rule. Hard-coding one misassigns PD/LGD on the riskiest sub-book.</t>
  </si>
  <si>
    <t>THIS_BANK</t>
  </si>
  <si>
    <t>Reimbursement due AT MATURITY (Art. 7(c))</t>
  </si>
  <si>
    <t>On-BS acceptance liability + issuing-bank receivable</t>
  </si>
  <si>
    <t>ISSUING_BANK</t>
  </si>
  <si>
    <t>(no event)</t>
  </si>
  <si>
    <t>Issuing bank's acceptance only fixes the maturity date. Test T14.</t>
  </si>
  <si>
    <t>bankRole = NOMINATED, unconfirmed: obligor is the EXPORTER</t>
  </si>
  <si>
    <t>(none)</t>
  </si>
  <si>
    <t>bankRole = ADVISING: no contingent, no asset</t>
  </si>
  <si>
    <t>incremental commission</t>
  </si>
  <si>
    <t>LAYER 5 — Regulatory: CCF and ccf_source</t>
  </si>
  <si>
    <t>I10: regulatory returns read ONLY ccf_source = REGULATORY. Internal-policy re-weights feed ead_economic and management reporting, never a supervisory return.</t>
  </si>
  <si>
    <t>ccf_class</t>
  </si>
  <si>
    <t>CCF</t>
  </si>
  <si>
    <t>ccf_source</t>
  </si>
  <si>
    <t>Applies to</t>
  </si>
  <si>
    <t>Basis / caveat</t>
  </si>
  <si>
    <t>TRADE_20</t>
  </si>
  <si>
    <t>REGULATORY</t>
  </si>
  <si>
    <t>Import LC; export confirmation — short-term self-liquidating, collateralised by the shipment</t>
  </si>
  <si>
    <t>Basel III CRE20.</t>
  </si>
  <si>
    <t>PERF_50</t>
  </si>
  <si>
    <t>50%</t>
  </si>
  <si>
    <t>Performance guarantees and performance standbys</t>
  </si>
  <si>
    <t>CRE20.</t>
  </si>
  <si>
    <t>DIRECT_CREDIT_SUB_100</t>
  </si>
  <si>
    <t>100%</t>
  </si>
  <si>
    <t>Invariants — the correctness contract</t>
  </si>
  <si>
    <t>Financial standbys; avalisation of drafts</t>
  </si>
  <si>
    <t>Enforced in code at the transaction boundary. Not in reporting, not in review. Hard-coded engine behaviour (E4) and not configurable. Sorted numerically — this sheet is a code-generation input.</t>
  </si>
  <si>
    <t>COMMITMENT_40</t>
  </si>
  <si>
    <t>40%</t>
  </si>
  <si>
    <t>Advised commitments</t>
  </si>
  <si>
    <t>UCC_10</t>
  </si>
  <si>
    <t>ID</t>
  </si>
  <si>
    <t>10%</t>
  </si>
  <si>
    <t>Invariant</t>
  </si>
  <si>
    <t>Advised, unconditionally cancellable commitments</t>
  </si>
  <si>
    <t>Enforced at</t>
  </si>
  <si>
    <t>Basel III raised UCC from 0% to 10%. The Basel II 0% treatment is SUPERSEDED.</t>
  </si>
  <si>
    <t>Why / failure mode</t>
  </si>
  <si>
    <t>SG_DCS_100</t>
  </si>
  <si>
    <t>I1A</t>
  </si>
  <si>
    <t>INTERNAL_POLICY</t>
  </si>
  <si>
    <t>Journal balance: Sum Dr = Sum Cr per posting_transaction_id per currency, always</t>
  </si>
  <si>
    <t>Shipping guarantee / delivery order endorsement</t>
  </si>
  <si>
    <t>Posting layer</t>
  </si>
  <si>
    <t>CRE20 does not name shipping guarantees. Reasoned position: an unconditional indemnity to a carrier.</t>
  </si>
  <si>
    <t>Scope is the JOURNAL — not the class, not the undertaking. A per-class rule would reject the acceptance pair, whose Dr is an ON_BALANCE_ASSET and Cr an ON_BALANCE_LIABILITY by design.</t>
  </si>
  <si>
    <t>I1B</t>
  </si>
  <si>
    <t>LC_POST_SG_100</t>
  </si>
  <si>
    <t>Contingent memo pair: contra and outstanding legs equal and opposite per undertaking_id per currency</t>
  </si>
  <si>
    <t>Posting layer + daily control</t>
  </si>
  <si>
    <t>The cheapest defect detector in the system.</t>
  </si>
  <si>
    <t>I1C</t>
  </si>
  <si>
    <t>LC covered by an SG — covered portion only</t>
  </si>
  <si>
    <t>MEMO_ONLY pair reconciles per undertaking_id per currency</t>
  </si>
  <si>
    <t>CRE20 contains NO such reclassification. Basis: the 20% CCF is conditioned on the credit being self-liquidating and collateralised by the shipment; once the goods are released that condition fails. Agree with your supervisor.</t>
  </si>
  <si>
    <t>Daily control</t>
  </si>
  <si>
    <t>A drifted shadow pair is a defect in the shadow — never a reason to adjust the accounting record.</t>
  </si>
  <si>
    <t>RMB_UNDERTAKING</t>
  </si>
  <si>
    <t>I2</t>
  </si>
  <si>
    <t>100% pending supervisory confirmation</t>
  </si>
  <si>
    <t>A TRANSFORM release and its paired create commit in ONE transaction, or neither commits</t>
  </si>
  <si>
    <t>Transaction boundary</t>
  </si>
  <si>
    <t>URR 725 reimbursement undertaking</t>
  </si>
  <si>
    <t>The reimbursing bank never sees the shipping documents, so the 'collateralised by the shipment' precondition for the 20% class fails. Do not default to 20%.</t>
  </si>
  <si>
    <t>(n/a — on balance sheet)</t>
  </si>
  <si>
    <t>Acceptances and incurred DPUs</t>
  </si>
  <si>
    <t>NOT an off-BS item at all. Risk-weight as a funded claim on the obligor.</t>
  </si>
  <si>
    <t>Unadvised line</t>
  </si>
  <si>
    <t>Not a 'commitment' under CRE20 — no arrangement offered AND accepted. Attracts nothing.</t>
  </si>
  <si>
    <t>Double-count during the window between the two postings. Test T25.</t>
  </si>
  <si>
    <t>I3</t>
  </si>
  <si>
    <t>No contingent balance may go negative</t>
  </si>
  <si>
    <t>Over-release masks a stranded balance elsewhere. NOT a substitute for I16.</t>
  </si>
  <si>
    <t>I4</t>
  </si>
  <si>
    <t>No undertaking stays OUTSTANDING past expiry_date + mail_float_grace without an explicit expiry event</t>
  </si>
  <si>
    <t>Batch + control report</t>
  </si>
  <si>
    <t>Permanently overstated off-BS book.</t>
  </si>
  <si>
    <t>I5</t>
  </si>
  <si>
    <t>Every SG carries a linked_lc_id, or an approved 'clean SG' override</t>
  </si>
  <si>
    <t>Event validation</t>
  </si>
  <si>
    <t>Unlinked SG cannot be netted; double-counts by construction.</t>
  </si>
  <si>
    <t>I6</t>
  </si>
  <si>
    <t>MEMO_ONLY balances never appear in any financial statement and can never be the FROM or TO of a CONTINGENT or ON_BALANCE_* movement</t>
  </si>
  <si>
    <t>Posting layer + config load</t>
  </si>
  <si>
    <t>The shadow acceptance book reaches the financials. Tests T6, T27.</t>
  </si>
  <si>
    <t>I7</t>
  </si>
  <si>
    <t>Corrections carry reversal_of, maker != checker, and a reason code</t>
  </si>
  <si>
    <t>Unauditable ledger.</t>
  </si>
  <si>
    <t>I8</t>
  </si>
  <si>
    <t>Acceptance/DPU positions reduce only by ACC_MATURE, ACC_FORCED, ACC_DISCOUNT, ACC_REDUCTION_CONSENTED (or CNF_ equivalents). Never by an amendment event</t>
  </si>
  <si>
    <t>An operator can write down a hard, irrevocable liability with no evidence trail.</t>
  </si>
  <si>
    <t>I9</t>
  </si>
  <si>
    <t>ecl_ead_factor and ccf_regulatory are never read from the same field</t>
  </si>
  <si>
    <t>Build-time static check</t>
  </si>
  <si>
    <t>ECL understated fivefold across the import book.</t>
  </si>
  <si>
    <t>I10</t>
  </si>
  <si>
    <t>Regulatory returns read only ccf_source = REGULATORY</t>
  </si>
  <si>
    <t>Reporting layer</t>
  </si>
  <si>
    <t>Internal-policy positions presented to a supervisor as if they were rules.</t>
  </si>
  <si>
    <t>I11</t>
  </si>
  <si>
    <t>CNF_ADD fires only on the act of advising the confirmation — never off field 49</t>
  </si>
  <si>
    <t>Confirmation liability booked on every credit the bank was merely ASKED to confirm.</t>
  </si>
  <si>
    <t>I12</t>
  </si>
  <si>
    <t>Expiry triggers never add Art. 14(c)'s 21 days</t>
  </si>
  <si>
    <t>Batch config validation</t>
  </si>
  <si>
    <t>Acceptance test scenarios</t>
  </si>
  <si>
    <t>Every expired LC carries ~3 extra weeks of overstated off-BS book.</t>
  </si>
  <si>
    <t>I13</t>
  </si>
  <si>
    <t>confirmed_amount is independent of lc_amount; the contingent follows confirmed_amount</t>
  </si>
  <si>
    <t>Data model</t>
  </si>
  <si>
    <t>T1-T22 business lifecycle. T23-T33 technical / engine-failure. T34-T38 presentation, rounding, amount direction and idempotency retention. Each asserts a specific rule; each has failed in a production TF system.</t>
  </si>
  <si>
    <t>Overstates the undertaking on every amendment advised without confirming.</t>
  </si>
  <si>
    <t>I14</t>
  </si>
  <si>
    <t>RELEASE_CONTINGENT</t>
  </si>
  <si>
    <t>Cross-currency settlement posts through an FX position pair, never customer-to-nostro direct</t>
  </si>
  <si>
    <t>FX trading income disappears; the position is unhedged and invisible.</t>
  </si>
  <si>
    <t>I15</t>
  </si>
  <si>
    <t>Idempotency. (entity, source_system, source_ref, semantic_key) unique. Same tuple + same payload_hash returns the committed result; same tuple + DIFFERENT payload_hash is a hard reject</t>
  </si>
  <si>
    <t>Scenario</t>
  </si>
  <si>
    <t>An MT707 network retry books the increase twice. Individually valid, passes every other invariant, undetectable afterwards. Tests T23, T31, T32.</t>
  </si>
  <si>
    <t>Assertion</t>
  </si>
  <si>
    <t>I16</t>
  </si>
  <si>
    <t>Guards</t>
  </si>
  <si>
    <t>Concurrency. Every undertaking balance update uses optimistic versioning or equivalent serialization</t>
  </si>
  <si>
    <t>Phase</t>
  </si>
  <si>
    <t>Two concurrent partial utilisations both pass validation under read-committed. I3 catches it only afterwards, and only sometimes. Test T24.</t>
  </si>
  <si>
    <t>Every active L1 event resolves to exactly one movement_type and at least one L2 row</t>
  </si>
  <si>
    <t>Build-time, sheet L1_L2_Coverage</t>
  </si>
  <si>
    <t>T1</t>
  </si>
  <si>
    <t>Zero-effect events must be declared, never inferred from absence.</t>
  </si>
  <si>
    <t>I18</t>
  </si>
  <si>
    <t>LC 100k, docs 50k, sight honour, margin_pct 20%</t>
  </si>
  <si>
    <t>Framework invariance. No configuration may change which balances an event creates, or their balance_class</t>
  </si>
  <si>
    <t>Config load</t>
  </si>
  <si>
    <t>If a switch could re-route LC_ACCEPT, every invariant, ECL transformation and risk rule downstream becomes framework-dependent.</t>
  </si>
  <si>
    <t>I19</t>
  </si>
  <si>
    <t>Margin applied = 10,000 NOT 20,000; residual margin 10,000 survives to expiry</t>
  </si>
  <si>
    <t>Presentation netting cannot be selected by configuration alone. The IAS 32.42 tests (legally enforceable set-off right surviving default/insolvency/bankruptcy of ALL parties, AND intent to settle net or simultaneously) must pass, per counterparty, per reporting date</t>
  </si>
  <si>
    <t>Pro-rata margin</t>
  </si>
  <si>
    <t>Reporting layer + period close (G12)</t>
  </si>
  <si>
    <t>A configuration value asserting an accounting-framework conclusion. Same defect class as the deleted acceptance_recognition. A failed or absent assessment resolves to GROSS — never net, never an error. Test T34.</t>
  </si>
  <si>
    <t>I20</t>
  </si>
  <si>
    <t>Currency precision. Every posting amount is rounded to the accounting currency's configured precision BEFORE I1A is evaluated</t>
  </si>
  <si>
    <t>T2</t>
  </si>
  <si>
    <t>Validating an unrounded journal and rounding on write is how a ledger acquires a permanent out-of-balance. Tests T30, T36.</t>
  </si>
  <si>
    <t>I21</t>
  </si>
  <si>
    <t>Rounding residual. A non-zero residual is posted to an explicitly configured rounding leg within the SAME journal</t>
  </si>
  <si>
    <t>LC 100k, docs 50k, then expire</t>
  </si>
  <si>
    <t>May never be dropped, absorbed into the first or largest leg, or carried across journals. Appears first in the PRO-RATA MARGIN step of an ordinary same-currency sight honour — it is not an FX-only concern. Test T36.</t>
  </si>
  <si>
    <t>Residual contingent 50,000 released; run date = expiry + mail_float_grace, NOT +21 days</t>
  </si>
  <si>
    <t>I12, I4</t>
  </si>
  <si>
    <t>I22</t>
  </si>
  <si>
    <t>Amount-direction separation. movement owns DIRECTION; amount_basis_code owns MAGNITUDE. NON_NEGATIVE bases pair with INCREASE/DECREASE; SIGNED bases must use DERIVED_FROM_SIGN; MIRROR rows use MIRRORED</t>
  </si>
  <si>
    <t>Build-time, gate G13</t>
  </si>
  <si>
    <t>T3</t>
  </si>
  <si>
    <t>Two independent direction signals. AMENDMENT_DELTA resolving signed while movement said DECREASE meant a decrease could be implemented as an increase. Test T37.</t>
  </si>
  <si>
    <t>SG 55k, covering docs 50k received</t>
  </si>
  <si>
    <t>Contingent UNCHANGED at 55,000; status REDEEMABLE; NO GL movement</t>
  </si>
  <si>
    <t>SG discharge</t>
  </si>
  <si>
    <t>T4</t>
  </si>
  <si>
    <t>T3 then carrier returns the original SG</t>
  </si>
  <si>
    <t>Contingent goes to 0. No 5,000 residual</t>
  </si>
  <si>
    <t>T5</t>
  </si>
  <si>
    <t>SG issued against an LC, then discrepant docs presented</t>
  </si>
  <si>
    <t>Refusal still technically permitted; discrepancy_refusal_economically_unavailable = TRUE; covered LC portion re-weighted with ccf_source = INTERNAL_POLICY</t>
  </si>
  <si>
    <t>v2 §4.5</t>
  </si>
  <si>
    <t>T6</t>
  </si>
  <si>
    <t>LC_ACCEPT 50k</t>
  </si>
  <si>
    <t>On-BS liability AND receivable both 50,000; shadow memo present; memo EXCLUDED from balance sheet totals</t>
  </si>
  <si>
    <t>I6 / I18</t>
  </si>
  <si>
    <t>T7</t>
  </si>
  <si>
    <t>Attempt an amendment-decrease against an outstanding acceptance</t>
  </si>
  <si>
    <t>REJECTED</t>
  </si>
  <si>
    <t>T8</t>
  </si>
  <si>
    <t>BU honour, fundingParty = REFINANCING_BANK</t>
  </si>
  <si>
    <t>Applicant receivable AND DUE_TO_REFINANCING_BANK both raised; NO 180 days of interest booked on day 1</t>
  </si>
  <si>
    <t>T9</t>
  </si>
  <si>
    <t>Attempt fundingParty = APPLICANT</t>
  </si>
  <si>
    <t>REJECTED at validation</t>
  </si>
  <si>
    <t>T10</t>
  </si>
  <si>
    <t>Export LC, field 49 = MAY ADD, confirmation declined</t>
  </si>
  <si>
    <t>NO contingent raised</t>
  </si>
  <si>
    <t>T11</t>
  </si>
  <si>
    <t>Advise an export LC only</t>
  </si>
  <si>
    <t>Zero balances of every class</t>
  </si>
  <si>
    <t>v2 §6</t>
  </si>
  <si>
    <t>T12</t>
  </si>
  <si>
    <t>Unconfirmed LC negotiated 40k</t>
  </si>
  <si>
    <t>Asset obligor = EXPORTER, recourse = TRUE; NO confirmation release</t>
  </si>
  <si>
    <t>T13</t>
  </si>
  <si>
    <t>LC amended +20k, confirmation not extended</t>
  </si>
  <si>
    <t>lc_amount 120,000; contingent stays 100,000</t>
  </si>
  <si>
    <t>T14</t>
  </si>
  <si>
    <t>Export SU, availableWith = ISSUING_BANK, issuing bank accepts</t>
  </si>
  <si>
    <t>NO CNF_ACCEPT; confirmation contingent unchanged</t>
  </si>
  <si>
    <t>T15</t>
  </si>
  <si>
    <t>Export SU, availableWith = THIS_BANK, this bank accepts</t>
  </si>
  <si>
    <t>On-BS liability + issuing-bank receivable raised</t>
  </si>
  <si>
    <t>T16</t>
  </si>
  <si>
    <t>Discrepant docs, 5 banking days lapse, no refusal notice</t>
  </si>
  <si>
    <t>LC_DOC_PRECLUDED fires UNATTENDED; a later LC_DOC_REFUSE is REJECTED</t>
  </si>
  <si>
    <t>T17</t>
  </si>
  <si>
    <t>Paid under reserve, reserve later called</t>
  </si>
  <si>
    <t>Contingent REINSTATED if within validity</t>
  </si>
  <si>
    <t>T18</t>
  </si>
  <si>
    <t>USD LC settled from a CNY account</t>
  </si>
  <si>
    <t>FX position pair posted; FX_REVALUATION income non-zero</t>
  </si>
  <si>
    <t>4</t>
  </si>
  <si>
    <t>T19</t>
  </si>
  <si>
    <t>LC_AMD_TENOR with no amount change</t>
  </si>
  <si>
    <t>ECL_ASSESS FIRES</t>
  </si>
  <si>
    <t>T20</t>
  </si>
  <si>
    <t>Guarantee with ifrs_scope = IFRS9_FGC</t>
  </si>
  <si>
    <t>Liability = HIGHER OF ECL and unamortised fee, not the sum</t>
  </si>
  <si>
    <t>T21</t>
  </si>
  <si>
    <t>Any exposure with ccf_source = INTERNAL_POLICY</t>
  </si>
  <si>
    <t>Excluded from the regulatory return; included in ead_economic</t>
  </si>
  <si>
    <t>T22</t>
  </si>
  <si>
    <t>AWB release, no original document of title to return</t>
  </si>
  <si>
    <t>Discharges on AWB_DISCHARGE; NEVER stuck in REDEEMABLE</t>
  </si>
  <si>
    <t>T23</t>
  </si>
  <si>
    <t>Duplicate LC_ISSUE, same source_ref, same payload</t>
  </si>
  <si>
    <t>Idempotent replay: committed result returned, BALANCES UNCHANGED, no second event row</t>
  </si>
  <si>
    <t>T24</t>
  </si>
  <si>
    <t>Two concurrent partial utilisations, 70k and 50k against 100k available</t>
  </si>
  <si>
    <t>One commits; the second gets a version conflict, reloads, and fails the business rule on the true remaining balance</t>
  </si>
  <si>
    <t>T25</t>
  </si>
  <si>
    <t>Transformation where the release commits and the paired create throws</t>
  </si>
  <si>
    <t>ENTIRE transaction rolls back. No orphan release, no half-transformed undertaking</t>
  </si>
  <si>
    <t>T26</t>
  </si>
  <si>
    <t>Posting against an unmapped (entity, balance_type, ccy, product)</t>
  </si>
  <si>
    <t>REJECTED before ledger commit. Never a suspense account</t>
  </si>
  <si>
    <t>A1 / G1</t>
  </si>
  <si>
    <t>T27</t>
  </si>
  <si>
    <t>Config maps a MEMO_ONLY balance to a financial GL range</t>
  </si>
  <si>
    <t>Configuration REJECTED AT LOAD, not at posting time</t>
  </si>
  <si>
    <t>I6 / A2 / G3</t>
  </si>
  <si>
    <t>T28</t>
  </si>
  <si>
    <t>Backdated reversal into an open period</t>
  </si>
  <si>
    <t>Original reversed against original_event_date; fee amortisation, ECL, interest and FX re-run FROM effective_date forward</t>
  </si>
  <si>
    <t>T29</t>
  </si>
  <si>
    <t>GL mapping version changed after posting</t>
  </si>
  <si>
    <t>Historical events retain the mapping version in force at their booking date</t>
  </si>
  <si>
    <t>A6</t>
  </si>
  <si>
    <t>T30</t>
  </si>
  <si>
    <t>Amounts requiring rounding at currency precision (JPY 0dp, KWD 3dp)</t>
  </si>
  <si>
    <t>Dr and Cr reconcile AT THE CURRENCY'S PRECISION; residual rounding lands on a designated leg, never silently dropped</t>
  </si>
  <si>
    <t>T31</t>
  </si>
  <si>
    <t>Same source_ref, DIFFERENT amount</t>
  </si>
  <si>
    <t>DUPLICATE_REF_PAYLOAD_MISMATCH hard error. Not idempotent success, not an overwrite</t>
  </si>
  <si>
    <t>T32</t>
  </si>
  <si>
    <t>CNF_ADD message replayed</t>
  </si>
  <si>
    <t>Confirmation contingent NOT doubled</t>
  </si>
  <si>
    <t>I15 / I11</t>
  </si>
  <si>
    <t>T33</t>
  </si>
  <si>
    <t>System LC_DOC_PRECLUDED races an operator LC_DOC_REFUSE at the deadline boundary</t>
  </si>
  <si>
    <t>EXACTLY ONE outcome wins, deterministically, on the business-date clock; the loser is recorded as rejected with a reason, not silently discarded</t>
  </si>
  <si>
    <t>I16 / spec §3.4</t>
  </si>
  <si>
    <t>T34</t>
  </si>
  <si>
    <t>presentation_treatment = NET_IF_ELIGIBLE, but the set-off right is not enforceable in insolvency</t>
  </si>
  <si>
    <t>Presents GROSS. Not net, and NOT an error</t>
  </si>
  <si>
    <t>T35</t>
  </si>
  <si>
    <t>Nostro goes into overdraft at reporting date</t>
  </si>
  <si>
    <t>Presented as a LIABILITY by sign; the ledger balance and balance_class are unchanged</t>
  </si>
  <si>
    <t>D6 / spec §2.5</t>
  </si>
  <si>
    <t>T36</t>
  </si>
  <si>
    <t>Pro-rata margin apportionment producing a residual in a 0dp currency (JPY)</t>
  </si>
  <si>
    <t>Residual posted to rounding_residual_account IN THE SAME JOURNAL; I1A passes on rounded amounts</t>
  </si>
  <si>
    <t>I20 / I21</t>
  </si>
  <si>
    <t>T37</t>
  </si>
  <si>
    <t>LC_AMD_DEC submitted with event.amount = -20,000</t>
  </si>
  <si>
    <t>Basis resolves to MAGNITUDE 20,000; movement = DECREASE alone sets direction; contingent FALLS by 20,000, never rises</t>
  </si>
  <si>
    <t>I22 / G13</t>
  </si>
  <si>
    <t>T38</t>
  </si>
  <si>
    <t>MT707 replayed on DAY 95, past idempotency_hot_lookup_days</t>
  </si>
  <si>
    <t>Hot cache misses, PERMANENT registry hits; recognised as a replay, balances unchanged. Never treated as unseen</t>
  </si>
  <si>
    <t>I15 / G14</t>
  </si>
  <si>
    <t>Controls and reports</t>
  </si>
  <si>
    <t>The daily set is what keeps the ledger provable. Do not defer these to a later phase.</t>
  </si>
  <si>
    <t>Report</t>
  </si>
  <si>
    <t>Frequency</t>
  </si>
  <si>
    <t>Purpose</t>
  </si>
  <si>
    <t>Contingent trial balance: Sum Dr = Sum Cr per undertaking x currency</t>
  </si>
  <si>
    <t>Daily</t>
  </si>
  <si>
    <t>Cheapest defect detector in the system</t>
  </si>
  <si>
    <t>§9.1</t>
  </si>
  <si>
    <t>balance_class = MEMO_ONLY reconciliation to financials = ZERO</t>
  </si>
  <si>
    <t>Proves the shadow book cannot reach the financials</t>
  </si>
  <si>
    <t>SGs in REDEEMABLE status beyond the ageing threshold</t>
  </si>
  <si>
    <t>Highest-value SG control — live exposure and an operational failure to chase the carrier</t>
  </si>
  <si>
    <t>Contingents past expiry + mail_float_grace with no release event</t>
  </si>
  <si>
    <t>Stranded contingent</t>
  </si>
  <si>
    <t>Presentations approaching the Art. 16 deadline (T-1)</t>
  </si>
  <si>
    <t>Prevents *_DOC_PRECLUDED firing</t>
  </si>
  <si>
    <t>ead_economic vs ead_regulatory bridge</t>
  </si>
  <si>
    <t>Monthly</t>
  </si>
  <si>
    <t>Keeps the two views separable and explains the delta</t>
  </si>
  <si>
    <t>Acceptances outstanding with no original instrument on file</t>
  </si>
  <si>
    <t>Negotiable-instrument risk</t>
  </si>
  <si>
    <t>§5.2</t>
  </si>
  <si>
    <t>confirmed_amount != lc_amount register</t>
  </si>
  <si>
    <t>Art. 10(b) divergence</t>
  </si>
  <si>
    <t>Undertakings tagged ccf_source = INTERNAL_POLICY</t>
  </si>
  <si>
    <t>Quarterly</t>
  </si>
  <si>
    <t>Regulatory hygiene</t>
  </si>
  <si>
    <t>RAISE_MEMO</t>
  </si>
  <si>
    <t>document</t>
  </si>
  <si>
    <t>MOVE_MEMO</t>
  </si>
  <si>
    <t>RAISE_ADVANCE</t>
  </si>
  <si>
    <t>REINSTATE_CONTINGENT</t>
  </si>
  <si>
    <t>RECOVER_CASH</t>
  </si>
  <si>
    <t>HONOUR</t>
  </si>
  <si>
    <t>APPLY_MARGIN</t>
  </si>
  <si>
    <t>document x margin_pct  (PRO RATA)</t>
  </si>
  <si>
    <t>COLLECT_CUSTOMER</t>
  </si>
  <si>
    <t>document less margin applied</t>
  </si>
  <si>
    <t>SETTLE_NOSTRO</t>
  </si>
  <si>
    <t>RELEASE_ECL</t>
  </si>
  <si>
    <t>ECL on released contingent</t>
  </si>
  <si>
    <t>FUND_FROM_OWN_BOOK</t>
  </si>
  <si>
    <t>GROSS_UP</t>
  </si>
  <si>
    <t>document — PRINCIPAL ONLY</t>
  </si>
  <si>
    <t>RECOGNISE_ONBS</t>
  </si>
  <si>
    <t>RAISE_SHADOW</t>
  </si>
  <si>
    <t>acceptance commission</t>
  </si>
  <si>
    <t>DERECOGNISE_LIABILITY</t>
  </si>
  <si>
    <t>acceptance</t>
  </si>
  <si>
    <t>REVERSE_SHADOW</t>
  </si>
  <si>
    <t>RECLASS_TO_LOAN</t>
  </si>
  <si>
    <t>RAISE_FORCED_ADVANCE</t>
  </si>
  <si>
    <t>EXTINGUISH_BY_MERGER</t>
  </si>
  <si>
    <t>FUND_DISCOUNT</t>
  </si>
  <si>
    <t>discount</t>
  </si>
  <si>
    <t>acceptance less discount</t>
  </si>
  <si>
    <t>SIGNED_REVERSAL</t>
  </si>
  <si>
    <t>(mirror of the corrected event)</t>
  </si>
  <si>
    <t>MIRRORED</t>
  </si>
  <si>
    <t>original amount, signed</t>
  </si>
  <si>
    <t>REBOOK</t>
  </si>
  <si>
    <t>corrected amount</t>
  </si>
  <si>
    <t>REDUCE_LIABILITY</t>
  </si>
  <si>
    <t>consented amount</t>
  </si>
  <si>
    <t>RESIDUAL</t>
  </si>
  <si>
    <t>residual ECL</t>
  </si>
  <si>
    <t>RECOGNISE_FEE</t>
  </si>
  <si>
    <t>unamortised commission</t>
  </si>
  <si>
    <t>RELEASE_MARGIN</t>
  </si>
  <si>
    <t>residual margin</t>
  </si>
  <si>
    <t>outstanding at cancellation</t>
  </si>
  <si>
    <t>policy notional</t>
  </si>
  <si>
    <t>SG commission</t>
  </si>
  <si>
    <t>delta — CARRIER consent required</t>
  </si>
  <si>
    <t>FULL SG amount — no residual</t>
  </si>
  <si>
    <t>SG ECL</t>
  </si>
  <si>
    <t>SG amount</t>
  </si>
  <si>
    <t>PAY_CARRIER</t>
  </si>
  <si>
    <t>claim — may exceed notional</t>
  </si>
  <si>
    <t>claim</t>
  </si>
  <si>
    <t>FULL — never via SG_RELEASE</t>
  </si>
  <si>
    <t>confirmed_amount</t>
  </si>
  <si>
    <t>confirmation commission</t>
  </si>
  <si>
    <t>ECL — FI + country</t>
  </si>
  <si>
    <t>delta of confirmed_amount</t>
  </si>
  <si>
    <t>presentation</t>
  </si>
  <si>
    <t>presentation — obligor = EXPORTER</t>
  </si>
  <si>
    <t>presentation — claim AT SIGHT</t>
  </si>
  <si>
    <t>PURCHASE</t>
  </si>
  <si>
    <t>presentation less discount</t>
  </si>
  <si>
    <t>EXERCISE_RECOURSE</t>
  </si>
  <si>
    <t>outstanding — exporter</t>
  </si>
  <si>
    <t>outstanding</t>
  </si>
  <si>
    <t>SETTLE_EARLY</t>
  </si>
  <si>
    <t>RECLASS_CLAIM</t>
  </si>
  <si>
    <t>SETTLE_BENEFICIARY</t>
  </si>
  <si>
    <t>RECEIVE_REIMBURSEMENT</t>
  </si>
  <si>
    <t>FUND_ISSUING_BANK</t>
  </si>
  <si>
    <t>funded amount</t>
  </si>
  <si>
    <t>interest</t>
  </si>
  <si>
    <t>funded less interest</t>
  </si>
  <si>
    <t>ECL — issuing bank</t>
  </si>
  <si>
    <t>AMORTISE</t>
  </si>
  <si>
    <t>period amortisation</t>
  </si>
  <si>
    <t>ADJUST_PROVISION</t>
  </si>
  <si>
    <t>DERIVED_FROM_SIGN</t>
  </si>
  <si>
    <t>ECL delta (signed)</t>
  </si>
  <si>
    <t>ACCRUE</t>
  </si>
  <si>
    <t>effective interest for the period</t>
  </si>
  <si>
    <t>ACCRETE</t>
  </si>
  <si>
    <t>period accretion</t>
  </si>
  <si>
    <t>REVALUE</t>
  </si>
  <si>
    <t>revaluation delta (signed)</t>
  </si>
  <si>
    <t>(mirror of the reversed event)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</si>
</sst>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6.0"/>
      <color rgb="FF1F3864"/>
      <name val="Arial"/>
    </font>
    <font>
      <i/>
      <sz val="10.0"/>
      <color rgb="FF595959"/>
      <name val="Arial"/>
    </font>
    <font>
      <b/>
      <sz val="11.0"/>
      <color rgb="FFC00000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008000"/>
      <name val="Arial"/>
    </font>
    <font>
      <b/>
      <sz val="10.0"/>
      <color rgb="FFC00000"/>
      <name val="Arial"/>
    </font>
    <font>
      <i/>
      <sz val="9.0"/>
      <color theme="1"/>
      <name val="Arial"/>
    </font>
    <font>
      <sz val="9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top" wrapText="0"/>
    </xf>
    <xf borderId="1" fillId="3" fontId="5" numFmtId="0" xfId="0" applyAlignment="1" applyBorder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0"/>
    </xf>
    <xf borderId="1" fillId="0" fontId="5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vertical="top" wrapText="1"/>
    </xf>
    <xf borderId="2" fillId="2" fontId="6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3" fontId="9" numFmtId="0" xfId="0" applyAlignment="1" applyBorder="1" applyFont="1">
      <alignment shrinkToFit="0" vertical="top" wrapText="0"/>
    </xf>
    <xf borderId="1" fillId="3" fontId="10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bottom" wrapText="0"/>
    </xf>
    <xf borderId="1" fillId="0" fontId="10" numFmtId="0" xfId="0" applyAlignment="1" applyBorder="1" applyFont="1">
      <alignment shrinkToFit="0" vertical="top" wrapText="0"/>
    </xf>
    <xf borderId="1" fillId="0" fontId="9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4" fontId="8" numFmtId="0" xfId="0" applyAlignment="1" applyBorder="1" applyFont="1">
      <alignment shrinkToFit="0" vertical="top" wrapText="1"/>
    </xf>
    <xf borderId="1" fillId="0" fontId="9" numFmtId="164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12.0"/>
    <col customWidth="1" min="3" max="3" width="10.0"/>
    <col customWidth="1" min="4" max="26" width="8.71"/>
  </cols>
  <sheetData>
    <row r="1">
      <c r="A1" s="2" t="s">
        <v>0</v>
      </c>
    </row>
    <row r="2">
      <c r="A2" s="4" t="s">
        <v>5</v>
      </c>
    </row>
    <row r="3">
      <c r="A3" s="5"/>
      <c r="B3" s="7"/>
    </row>
    <row r="4">
      <c r="A4" s="8" t="s">
        <v>16</v>
      </c>
      <c r="B4" s="7"/>
    </row>
    <row r="5">
      <c r="A5" s="8" t="s">
        <v>21</v>
      </c>
      <c r="B5" s="7" t="s">
        <v>22</v>
      </c>
    </row>
    <row r="6">
      <c r="A6" s="8" t="s">
        <v>24</v>
      </c>
      <c r="B6" s="7" t="s">
        <v>26</v>
      </c>
    </row>
    <row r="7">
      <c r="A7" s="8" t="s">
        <v>31</v>
      </c>
      <c r="B7" s="7" t="s">
        <v>34</v>
      </c>
    </row>
    <row r="8">
      <c r="A8" s="5"/>
      <c r="B8" s="7"/>
    </row>
    <row r="9">
      <c r="A9" s="8" t="s">
        <v>36</v>
      </c>
      <c r="B9" s="7"/>
    </row>
    <row r="10">
      <c r="A10" s="5"/>
      <c r="B10" s="7" t="s">
        <v>40</v>
      </c>
    </row>
    <row r="11">
      <c r="A11" s="5"/>
      <c r="B11" s="7" t="s">
        <v>45</v>
      </c>
    </row>
    <row r="12">
      <c r="A12" s="5"/>
      <c r="B12" s="7" t="s">
        <v>49</v>
      </c>
    </row>
    <row r="13">
      <c r="A13" s="5"/>
      <c r="B13" s="7" t="s">
        <v>55</v>
      </c>
    </row>
    <row r="14">
      <c r="A14" s="5"/>
      <c r="B14" s="7"/>
    </row>
    <row r="15">
      <c r="A15" s="8" t="s">
        <v>59</v>
      </c>
      <c r="B15" s="7"/>
    </row>
    <row r="16">
      <c r="A16" s="5" t="s">
        <v>62</v>
      </c>
      <c r="B16" s="7" t="s">
        <v>64</v>
      </c>
    </row>
    <row r="17">
      <c r="A17" s="5" t="s">
        <v>66</v>
      </c>
      <c r="B17" s="7" t="s">
        <v>69</v>
      </c>
    </row>
    <row r="18">
      <c r="A18" s="5" t="s">
        <v>73</v>
      </c>
      <c r="B18" s="7" t="s">
        <v>74</v>
      </c>
    </row>
    <row r="19">
      <c r="A19" s="5"/>
      <c r="B19" s="7"/>
    </row>
    <row r="20">
      <c r="A20" s="8" t="s">
        <v>84</v>
      </c>
      <c r="B20" s="7"/>
    </row>
    <row r="21" ht="15.75" customHeight="1">
      <c r="A21" s="14" t="s">
        <v>92</v>
      </c>
      <c r="B21" s="14" t="s">
        <v>103</v>
      </c>
      <c r="C21" s="14" t="s">
        <v>107</v>
      </c>
    </row>
    <row r="22" ht="15.75" customHeight="1">
      <c r="A22" s="5" t="s">
        <v>113</v>
      </c>
      <c r="B22" s="7" t="s">
        <v>116</v>
      </c>
      <c r="C22" s="15">
        <f>COUNTA(L0_Config_Register!B5:B600)</f>
        <v>37</v>
      </c>
    </row>
    <row r="23" ht="15.75" customHeight="1">
      <c r="A23" s="5" t="s">
        <v>182</v>
      </c>
      <c r="B23" s="7" t="s">
        <v>184</v>
      </c>
      <c r="C23" s="15">
        <f>COUNTA(Balance_Taxonomy!B5:B600)</f>
        <v>51</v>
      </c>
    </row>
    <row r="24" ht="15.75" customHeight="1">
      <c r="A24" s="5" t="s">
        <v>199</v>
      </c>
      <c r="B24" s="7" t="s">
        <v>202</v>
      </c>
      <c r="C24" s="15">
        <f>COUNTA(L1_Event_Catalogue!B5:B600)</f>
        <v>57</v>
      </c>
    </row>
    <row r="25" ht="15.75" customHeight="1">
      <c r="A25" s="5" t="s">
        <v>224</v>
      </c>
      <c r="B25" s="7" t="s">
        <v>226</v>
      </c>
      <c r="C25" s="15">
        <f>COUNTA(L2_Balance_Movement!B5:B600)</f>
        <v>218</v>
      </c>
    </row>
    <row r="26" ht="15.75" customHeight="1">
      <c r="A26" s="5" t="s">
        <v>250</v>
      </c>
      <c r="B26" s="7" t="s">
        <v>252</v>
      </c>
      <c r="C26" s="15">
        <f>COUNTA(L1_L2_Coverage!B5:B600)</f>
        <v>11</v>
      </c>
    </row>
    <row r="27" ht="15.75" customHeight="1">
      <c r="A27" s="5" t="s">
        <v>278</v>
      </c>
      <c r="B27" s="7" t="s">
        <v>280</v>
      </c>
      <c r="C27" s="15">
        <f>COUNTA(L3_GL_Mapping!B5:B600)</f>
        <v>51</v>
      </c>
    </row>
    <row r="28" ht="15.75" customHeight="1">
      <c r="A28" s="5" t="s">
        <v>303</v>
      </c>
      <c r="B28" s="7" t="s">
        <v>305</v>
      </c>
      <c r="C28" s="15">
        <f>COUNTA(GL_Coverage!B5:B600)</f>
        <v>5</v>
      </c>
    </row>
    <row r="29" ht="15.75" customHeight="1">
      <c r="A29" s="5" t="s">
        <v>328</v>
      </c>
      <c r="B29" s="7" t="s">
        <v>330</v>
      </c>
      <c r="C29" s="15">
        <f>COUNTA(Tenor_Derivation!B5:B600)</f>
        <v>13</v>
      </c>
    </row>
    <row r="30" ht="15.75" customHeight="1">
      <c r="A30" s="5" t="s">
        <v>339</v>
      </c>
      <c r="B30" s="7" t="s">
        <v>341</v>
      </c>
      <c r="C30" s="15">
        <f>COUNTA(L4_Risk_Obligor!B5:B600)</f>
        <v>8</v>
      </c>
    </row>
    <row r="31" ht="15.75" customHeight="1">
      <c r="A31" s="5" t="s">
        <v>348</v>
      </c>
      <c r="B31" s="7" t="s">
        <v>351</v>
      </c>
      <c r="C31" s="15">
        <f>COUNTA(L5_Regulatory_CCF!B5:B600)</f>
        <v>10</v>
      </c>
    </row>
    <row r="32" ht="15.75" customHeight="1">
      <c r="A32" s="5" t="s">
        <v>361</v>
      </c>
      <c r="B32" s="7" t="s">
        <v>362</v>
      </c>
      <c r="C32" s="15">
        <f>COUNTA(Invariants!B5:B600)</f>
        <v>24</v>
      </c>
    </row>
    <row r="33" ht="15.75" customHeight="1">
      <c r="A33" s="5" t="s">
        <v>370</v>
      </c>
      <c r="B33" s="7" t="s">
        <v>373</v>
      </c>
      <c r="C33" s="15">
        <f>COUNTA(Amount_Basis!B5:B600)</f>
        <v>32</v>
      </c>
    </row>
    <row r="34" ht="15.75" customHeight="1">
      <c r="A34" s="5" t="s">
        <v>381</v>
      </c>
      <c r="B34" s="7" t="s">
        <v>383</v>
      </c>
      <c r="C34" s="15">
        <f>COUNTA(Test_Scenarios!B5:B600)</f>
        <v>38</v>
      </c>
    </row>
    <row r="35" ht="15.75" customHeight="1">
      <c r="A35" s="5" t="s">
        <v>387</v>
      </c>
      <c r="B35" s="7" t="s">
        <v>389</v>
      </c>
      <c r="C35" s="15">
        <f>COUNTA(Controls_Reports!B5:B600)</f>
        <v>9</v>
      </c>
    </row>
    <row r="36" ht="15.75" customHeight="1"/>
    <row r="37" ht="15.75" customHeight="1">
      <c r="A37" s="18" t="s">
        <v>399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38.0"/>
    <col customWidth="1" min="3" max="3" width="22.0"/>
    <col customWidth="1" min="4" max="4" width="34.0"/>
    <col customWidth="1" min="5" max="5" width="24.0"/>
    <col customWidth="1" min="6" max="6" width="62.0"/>
    <col customWidth="1" min="7" max="7" width="12.0"/>
    <col customWidth="1" min="8" max="26" width="8.71"/>
  </cols>
  <sheetData>
    <row r="1">
      <c r="A1" s="1" t="s">
        <v>2</v>
      </c>
    </row>
    <row r="2">
      <c r="A2" s="3" t="s">
        <v>3</v>
      </c>
    </row>
    <row r="4" ht="30.0" customHeight="1">
      <c r="A4" s="6" t="s">
        <v>6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13</v>
      </c>
      <c r="G4" s="6" t="s">
        <v>14</v>
      </c>
    </row>
    <row r="5">
      <c r="A5" s="9" t="s">
        <v>19</v>
      </c>
      <c r="B5" s="9" t="s">
        <v>28</v>
      </c>
      <c r="C5" s="9" t="s">
        <v>30</v>
      </c>
      <c r="D5" s="10" t="s">
        <v>32</v>
      </c>
      <c r="E5" s="11"/>
      <c r="F5" s="10" t="s">
        <v>43</v>
      </c>
      <c r="G5" s="9" t="s">
        <v>44</v>
      </c>
    </row>
    <row r="6">
      <c r="A6" s="9" t="s">
        <v>19</v>
      </c>
      <c r="B6" s="9" t="s">
        <v>46</v>
      </c>
      <c r="C6" s="9" t="s">
        <v>48</v>
      </c>
      <c r="D6" s="10" t="s">
        <v>50</v>
      </c>
      <c r="E6" s="11"/>
      <c r="F6" s="10" t="s">
        <v>52</v>
      </c>
      <c r="G6" s="9" t="s">
        <v>53</v>
      </c>
    </row>
    <row r="7">
      <c r="A7" s="12" t="s">
        <v>56</v>
      </c>
      <c r="B7" s="12" t="s">
        <v>61</v>
      </c>
      <c r="C7" s="12" t="s">
        <v>48</v>
      </c>
      <c r="D7" s="13" t="s">
        <v>63</v>
      </c>
      <c r="E7" s="11"/>
      <c r="F7" s="13" t="s">
        <v>71</v>
      </c>
      <c r="G7" s="12" t="s">
        <v>72</v>
      </c>
    </row>
    <row r="8">
      <c r="A8" s="12" t="s">
        <v>56</v>
      </c>
      <c r="B8" s="12" t="s">
        <v>76</v>
      </c>
      <c r="C8" s="12" t="s">
        <v>48</v>
      </c>
      <c r="D8" s="13" t="s">
        <v>77</v>
      </c>
      <c r="E8" s="11"/>
      <c r="F8" s="13" t="s">
        <v>79</v>
      </c>
      <c r="G8" s="12" t="s">
        <v>81</v>
      </c>
    </row>
    <row r="9">
      <c r="A9" s="12" t="s">
        <v>56</v>
      </c>
      <c r="B9" s="12" t="s">
        <v>85</v>
      </c>
      <c r="C9" s="12" t="s">
        <v>48</v>
      </c>
      <c r="D9" s="13" t="s">
        <v>86</v>
      </c>
      <c r="E9" s="11"/>
      <c r="F9" s="13"/>
      <c r="G9" s="12" t="s">
        <v>88</v>
      </c>
    </row>
    <row r="10">
      <c r="A10" s="12" t="s">
        <v>56</v>
      </c>
      <c r="B10" s="12" t="s">
        <v>91</v>
      </c>
      <c r="C10" s="12" t="s">
        <v>93</v>
      </c>
      <c r="D10" s="13" t="s">
        <v>95</v>
      </c>
      <c r="E10" s="11"/>
      <c r="F10" s="13" t="s">
        <v>97</v>
      </c>
      <c r="G10" s="12" t="s">
        <v>88</v>
      </c>
    </row>
    <row r="11">
      <c r="A11" s="12" t="s">
        <v>56</v>
      </c>
      <c r="B11" s="12" t="s">
        <v>101</v>
      </c>
      <c r="C11" s="12" t="s">
        <v>48</v>
      </c>
      <c r="D11" s="13" t="s">
        <v>106</v>
      </c>
      <c r="E11" s="11"/>
      <c r="F11" s="13" t="s">
        <v>110</v>
      </c>
      <c r="G11" s="12" t="s">
        <v>112</v>
      </c>
    </row>
    <row r="12">
      <c r="A12" s="12" t="s">
        <v>56</v>
      </c>
      <c r="B12" s="12" t="s">
        <v>115</v>
      </c>
      <c r="C12" s="12" t="s">
        <v>117</v>
      </c>
      <c r="D12" s="13" t="s">
        <v>119</v>
      </c>
      <c r="E12" s="11"/>
      <c r="F12" s="13" t="s">
        <v>121</v>
      </c>
      <c r="G12" s="12" t="s">
        <v>88</v>
      </c>
    </row>
    <row r="13">
      <c r="A13" s="9" t="s">
        <v>124</v>
      </c>
      <c r="B13" s="9" t="s">
        <v>125</v>
      </c>
      <c r="C13" s="9" t="s">
        <v>126</v>
      </c>
      <c r="D13" s="10" t="s">
        <v>128</v>
      </c>
      <c r="E13" s="11"/>
      <c r="F13" s="10"/>
      <c r="G13" s="9" t="s">
        <v>131</v>
      </c>
    </row>
    <row r="14">
      <c r="A14" s="9" t="s">
        <v>124</v>
      </c>
      <c r="B14" s="9" t="s">
        <v>136</v>
      </c>
      <c r="C14" s="9" t="s">
        <v>48</v>
      </c>
      <c r="D14" s="10" t="s">
        <v>138</v>
      </c>
      <c r="E14" s="11"/>
      <c r="F14" s="10" t="s">
        <v>140</v>
      </c>
      <c r="G14" s="9" t="s">
        <v>142</v>
      </c>
    </row>
    <row r="15">
      <c r="A15" s="9" t="s">
        <v>124</v>
      </c>
      <c r="B15" s="9" t="s">
        <v>145</v>
      </c>
      <c r="C15" s="9" t="s">
        <v>147</v>
      </c>
      <c r="D15" s="10" t="s">
        <v>148</v>
      </c>
      <c r="E15" s="11"/>
      <c r="F15" s="10"/>
      <c r="G15" s="9" t="s">
        <v>149</v>
      </c>
    </row>
    <row r="16">
      <c r="A16" s="9" t="s">
        <v>124</v>
      </c>
      <c r="B16" s="9" t="s">
        <v>151</v>
      </c>
      <c r="C16" s="9" t="s">
        <v>147</v>
      </c>
      <c r="D16" s="10" t="s">
        <v>153</v>
      </c>
      <c r="E16" s="11"/>
      <c r="F16" s="10" t="s">
        <v>155</v>
      </c>
      <c r="G16" s="9" t="s">
        <v>149</v>
      </c>
    </row>
    <row r="17">
      <c r="A17" s="12" t="s">
        <v>157</v>
      </c>
      <c r="B17" s="12" t="s">
        <v>158</v>
      </c>
      <c r="C17" s="12" t="s">
        <v>160</v>
      </c>
      <c r="D17" s="13" t="s">
        <v>161</v>
      </c>
      <c r="E17" s="11"/>
      <c r="F17" s="13" t="s">
        <v>162</v>
      </c>
      <c r="G17" s="12" t="s">
        <v>163</v>
      </c>
    </row>
    <row r="18">
      <c r="A18" s="12" t="s">
        <v>157</v>
      </c>
      <c r="B18" s="12" t="s">
        <v>166</v>
      </c>
      <c r="C18" s="12" t="s">
        <v>168</v>
      </c>
      <c r="D18" s="13" t="s">
        <v>169</v>
      </c>
      <c r="E18" s="11"/>
      <c r="F18" s="13" t="s">
        <v>170</v>
      </c>
      <c r="G18" s="12" t="s">
        <v>171</v>
      </c>
    </row>
    <row r="19">
      <c r="A19" s="12" t="s">
        <v>157</v>
      </c>
      <c r="B19" s="12" t="s">
        <v>173</v>
      </c>
      <c r="C19" s="12" t="s">
        <v>174</v>
      </c>
      <c r="D19" s="13" t="s">
        <v>169</v>
      </c>
      <c r="E19" s="11"/>
      <c r="F19" s="13" t="s">
        <v>176</v>
      </c>
      <c r="G19" s="12" t="s">
        <v>177</v>
      </c>
    </row>
    <row r="20">
      <c r="A20" s="12" t="s">
        <v>157</v>
      </c>
      <c r="B20" s="12" t="s">
        <v>179</v>
      </c>
      <c r="C20" s="12" t="s">
        <v>174</v>
      </c>
      <c r="D20" s="13" t="s">
        <v>73</v>
      </c>
      <c r="E20" s="11"/>
      <c r="F20" s="13" t="s">
        <v>180</v>
      </c>
      <c r="G20" s="12" t="s">
        <v>177</v>
      </c>
    </row>
    <row r="21" ht="15.75" customHeight="1">
      <c r="A21" s="12" t="s">
        <v>157</v>
      </c>
      <c r="B21" s="12" t="s">
        <v>188</v>
      </c>
      <c r="C21" s="12" t="s">
        <v>189</v>
      </c>
      <c r="D21" s="13" t="s">
        <v>190</v>
      </c>
      <c r="E21" s="11"/>
      <c r="F21" s="13" t="s">
        <v>192</v>
      </c>
      <c r="G21" s="12" t="s">
        <v>194</v>
      </c>
    </row>
    <row r="22" ht="15.75" customHeight="1">
      <c r="A22" s="12" t="s">
        <v>157</v>
      </c>
      <c r="B22" s="12" t="s">
        <v>195</v>
      </c>
      <c r="C22" s="12" t="s">
        <v>189</v>
      </c>
      <c r="D22" s="13" t="s">
        <v>196</v>
      </c>
      <c r="E22" s="11"/>
      <c r="F22" s="13" t="s">
        <v>197</v>
      </c>
      <c r="G22" s="12" t="s">
        <v>177</v>
      </c>
    </row>
    <row r="23" ht="15.75" customHeight="1">
      <c r="A23" s="9" t="s">
        <v>200</v>
      </c>
      <c r="B23" s="9" t="s">
        <v>201</v>
      </c>
      <c r="C23" s="9" t="s">
        <v>203</v>
      </c>
      <c r="D23" s="10" t="s">
        <v>204</v>
      </c>
      <c r="E23" s="11"/>
      <c r="F23" s="10" t="s">
        <v>206</v>
      </c>
      <c r="G23" s="9" t="s">
        <v>112</v>
      </c>
    </row>
    <row r="24" ht="15.75" customHeight="1">
      <c r="A24" s="9" t="s">
        <v>200</v>
      </c>
      <c r="B24" s="9" t="s">
        <v>209</v>
      </c>
      <c r="C24" s="9" t="s">
        <v>210</v>
      </c>
      <c r="D24" s="10"/>
      <c r="E24" s="11"/>
      <c r="F24" s="10"/>
      <c r="G24" s="9" t="s">
        <v>112</v>
      </c>
    </row>
    <row r="25" ht="15.75" customHeight="1">
      <c r="A25" s="9" t="s">
        <v>200</v>
      </c>
      <c r="B25" s="9" t="s">
        <v>212</v>
      </c>
      <c r="C25" s="9" t="s">
        <v>213</v>
      </c>
      <c r="D25" s="10" t="s">
        <v>214</v>
      </c>
      <c r="E25" s="11"/>
      <c r="F25" s="10" t="s">
        <v>216</v>
      </c>
      <c r="G25" s="9" t="s">
        <v>217</v>
      </c>
    </row>
    <row r="26" ht="15.75" customHeight="1">
      <c r="A26" s="9" t="s">
        <v>200</v>
      </c>
      <c r="B26" s="9" t="s">
        <v>219</v>
      </c>
      <c r="C26" s="9" t="s">
        <v>221</v>
      </c>
      <c r="D26" s="10" t="s">
        <v>222</v>
      </c>
      <c r="E26" s="11"/>
      <c r="F26" s="10"/>
      <c r="G26" s="9" t="s">
        <v>223</v>
      </c>
    </row>
    <row r="27" ht="15.75" customHeight="1">
      <c r="A27" s="12" t="s">
        <v>227</v>
      </c>
      <c r="B27" s="12" t="s">
        <v>229</v>
      </c>
      <c r="C27" s="12" t="s">
        <v>221</v>
      </c>
      <c r="D27" s="13" t="s">
        <v>232</v>
      </c>
      <c r="E27" s="11"/>
      <c r="F27" s="13"/>
      <c r="G27" s="12" t="s">
        <v>234</v>
      </c>
    </row>
    <row r="28" ht="15.75" customHeight="1">
      <c r="A28" s="12" t="s">
        <v>227</v>
      </c>
      <c r="B28" s="12" t="s">
        <v>236</v>
      </c>
      <c r="C28" s="12" t="s">
        <v>48</v>
      </c>
      <c r="D28" s="13" t="s">
        <v>238</v>
      </c>
      <c r="E28" s="11"/>
      <c r="F28" s="13" t="s">
        <v>240</v>
      </c>
      <c r="G28" s="12" t="s">
        <v>234</v>
      </c>
    </row>
    <row r="29" ht="15.75" customHeight="1">
      <c r="A29" s="12" t="s">
        <v>227</v>
      </c>
      <c r="B29" s="12" t="s">
        <v>242</v>
      </c>
      <c r="C29" s="12" t="s">
        <v>243</v>
      </c>
      <c r="D29" s="13" t="s">
        <v>119</v>
      </c>
      <c r="E29" s="11"/>
      <c r="F29" s="13" t="s">
        <v>244</v>
      </c>
      <c r="G29" s="12" t="s">
        <v>245</v>
      </c>
    </row>
    <row r="30" ht="15.75" customHeight="1">
      <c r="A30" s="12" t="s">
        <v>227</v>
      </c>
      <c r="B30" s="12" t="s">
        <v>247</v>
      </c>
      <c r="C30" s="12" t="s">
        <v>243</v>
      </c>
      <c r="D30" s="13" t="s">
        <v>249</v>
      </c>
      <c r="E30" s="11"/>
      <c r="F30" s="13" t="s">
        <v>251</v>
      </c>
      <c r="G30" s="12" t="s">
        <v>245</v>
      </c>
    </row>
    <row r="31" ht="15.75" customHeight="1">
      <c r="A31" s="12" t="s">
        <v>227</v>
      </c>
      <c r="B31" s="12" t="s">
        <v>253</v>
      </c>
      <c r="C31" s="12" t="s">
        <v>221</v>
      </c>
      <c r="D31" s="13"/>
      <c r="E31" s="11"/>
      <c r="F31" s="13"/>
      <c r="G31" s="12" t="s">
        <v>234</v>
      </c>
    </row>
    <row r="32" ht="15.75" customHeight="1">
      <c r="A32" s="9" t="s">
        <v>255</v>
      </c>
      <c r="B32" s="9" t="s">
        <v>256</v>
      </c>
      <c r="C32" s="9" t="s">
        <v>93</v>
      </c>
      <c r="D32" s="10"/>
      <c r="E32" s="11"/>
      <c r="F32" s="10"/>
      <c r="G32" s="9" t="s">
        <v>258</v>
      </c>
    </row>
    <row r="33" ht="15.75" customHeight="1">
      <c r="A33" s="9" t="s">
        <v>255</v>
      </c>
      <c r="B33" s="9" t="s">
        <v>261</v>
      </c>
      <c r="C33" s="9" t="s">
        <v>243</v>
      </c>
      <c r="D33" s="10" t="s">
        <v>262</v>
      </c>
      <c r="E33" s="11"/>
      <c r="F33" s="10" t="s">
        <v>263</v>
      </c>
      <c r="G33" s="9" t="s">
        <v>264</v>
      </c>
    </row>
    <row r="34" ht="15.75" customHeight="1">
      <c r="A34" s="12" t="s">
        <v>56</v>
      </c>
      <c r="B34" s="12" t="s">
        <v>266</v>
      </c>
      <c r="C34" s="12" t="s">
        <v>267</v>
      </c>
      <c r="D34" s="13" t="s">
        <v>249</v>
      </c>
      <c r="E34" s="11"/>
      <c r="F34" s="13" t="s">
        <v>269</v>
      </c>
      <c r="G34" s="12" t="s">
        <v>271</v>
      </c>
    </row>
    <row r="35" ht="15.75" customHeight="1">
      <c r="A35" s="12" t="s">
        <v>56</v>
      </c>
      <c r="B35" s="12" t="s">
        <v>274</v>
      </c>
      <c r="C35" s="12" t="s">
        <v>48</v>
      </c>
      <c r="D35" s="13" t="s">
        <v>276</v>
      </c>
      <c r="E35" s="11"/>
      <c r="F35" s="13" t="s">
        <v>279</v>
      </c>
      <c r="G35" s="12" t="s">
        <v>271</v>
      </c>
    </row>
    <row r="36" ht="15.75" customHeight="1">
      <c r="A36" s="12" t="s">
        <v>56</v>
      </c>
      <c r="B36" s="12" t="s">
        <v>281</v>
      </c>
      <c r="C36" s="12" t="s">
        <v>283</v>
      </c>
      <c r="D36" s="13"/>
      <c r="E36" s="11"/>
      <c r="F36" s="13" t="s">
        <v>284</v>
      </c>
      <c r="G36" s="12" t="s">
        <v>271</v>
      </c>
    </row>
    <row r="37" ht="15.75" customHeight="1">
      <c r="A37" s="9" t="s">
        <v>124</v>
      </c>
      <c r="B37" s="9" t="s">
        <v>287</v>
      </c>
      <c r="C37" s="9" t="s">
        <v>288</v>
      </c>
      <c r="D37" s="10" t="s">
        <v>290</v>
      </c>
      <c r="E37" s="11"/>
      <c r="F37" s="10" t="s">
        <v>291</v>
      </c>
      <c r="G37" s="9" t="s">
        <v>292</v>
      </c>
    </row>
    <row r="38" ht="15.75" customHeight="1">
      <c r="A38" s="9" t="s">
        <v>124</v>
      </c>
      <c r="B38" s="9" t="s">
        <v>295</v>
      </c>
      <c r="C38" s="9" t="s">
        <v>297</v>
      </c>
      <c r="D38" s="10" t="s">
        <v>299</v>
      </c>
      <c r="E38" s="11"/>
      <c r="F38" s="10" t="s">
        <v>302</v>
      </c>
      <c r="G38" s="9" t="s">
        <v>292</v>
      </c>
    </row>
    <row r="39" ht="15.75" customHeight="1">
      <c r="A39" s="12" t="s">
        <v>255</v>
      </c>
      <c r="B39" s="12" t="s">
        <v>306</v>
      </c>
      <c r="C39" s="12" t="s">
        <v>189</v>
      </c>
      <c r="D39" s="13" t="s">
        <v>308</v>
      </c>
      <c r="E39" s="11"/>
      <c r="F39" s="13" t="s">
        <v>309</v>
      </c>
      <c r="G39" s="12" t="s">
        <v>311</v>
      </c>
    </row>
    <row r="40" ht="15.75" customHeight="1">
      <c r="A40" s="12" t="s">
        <v>255</v>
      </c>
      <c r="B40" s="12" t="s">
        <v>313</v>
      </c>
      <c r="C40" s="12" t="s">
        <v>314</v>
      </c>
      <c r="D40" s="13" t="s">
        <v>315</v>
      </c>
      <c r="E40" s="11"/>
      <c r="F40" s="13" t="s">
        <v>316</v>
      </c>
      <c r="G40" s="12" t="s">
        <v>311</v>
      </c>
    </row>
    <row r="41" ht="15.75" customHeight="1">
      <c r="A41" s="12" t="s">
        <v>255</v>
      </c>
      <c r="B41" s="12" t="s">
        <v>319</v>
      </c>
      <c r="C41" s="12" t="s">
        <v>48</v>
      </c>
      <c r="D41" s="13" t="s">
        <v>322</v>
      </c>
      <c r="E41" s="11"/>
      <c r="F41" s="13" t="s">
        <v>324</v>
      </c>
      <c r="G41" s="12" t="s">
        <v>311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4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44.0"/>
    <col customWidth="1" min="3" max="3" width="13.0"/>
    <col customWidth="1" min="4" max="4" width="20.0"/>
    <col customWidth="1" min="5" max="5" width="52.0"/>
    <col customWidth="1" min="6" max="6" width="64.0"/>
    <col customWidth="1" min="7" max="7" width="14.0"/>
    <col customWidth="1" min="8" max="26" width="8.71"/>
  </cols>
  <sheetData>
    <row r="1">
      <c r="A1" s="1" t="s">
        <v>1</v>
      </c>
    </row>
    <row r="2">
      <c r="A2" s="3" t="s">
        <v>4</v>
      </c>
    </row>
    <row r="4" ht="30.0" customHeight="1">
      <c r="A4" s="6" t="s">
        <v>7</v>
      </c>
      <c r="B4" s="6" t="s">
        <v>12</v>
      </c>
      <c r="C4" s="6" t="s">
        <v>15</v>
      </c>
      <c r="D4" s="6" t="s">
        <v>17</v>
      </c>
      <c r="E4" s="6" t="s">
        <v>18</v>
      </c>
      <c r="F4" s="6" t="s">
        <v>13</v>
      </c>
      <c r="G4" s="6" t="s">
        <v>20</v>
      </c>
    </row>
    <row r="5">
      <c r="A5" s="9" t="s">
        <v>23</v>
      </c>
      <c r="B5" s="9" t="s">
        <v>25</v>
      </c>
      <c r="C5" s="9" t="s">
        <v>27</v>
      </c>
      <c r="D5" s="9" t="s">
        <v>29</v>
      </c>
      <c r="E5" s="10" t="s">
        <v>33</v>
      </c>
      <c r="F5" s="10" t="s">
        <v>35</v>
      </c>
      <c r="G5" s="9" t="s">
        <v>37</v>
      </c>
    </row>
    <row r="6">
      <c r="A6" s="9" t="s">
        <v>23</v>
      </c>
      <c r="B6" s="9" t="s">
        <v>38</v>
      </c>
      <c r="C6" s="9" t="s">
        <v>39</v>
      </c>
      <c r="D6" s="9" t="s">
        <v>29</v>
      </c>
      <c r="E6" s="10" t="s">
        <v>41</v>
      </c>
      <c r="F6" s="10" t="s">
        <v>42</v>
      </c>
      <c r="G6" s="9" t="s">
        <v>37</v>
      </c>
    </row>
    <row r="7">
      <c r="A7" s="9" t="s">
        <v>23</v>
      </c>
      <c r="B7" s="9" t="s">
        <v>47</v>
      </c>
      <c r="C7" s="9" t="s">
        <v>27</v>
      </c>
      <c r="D7" s="9" t="s">
        <v>29</v>
      </c>
      <c r="E7" s="10" t="s">
        <v>51</v>
      </c>
      <c r="F7" s="10"/>
      <c r="G7" s="9" t="s">
        <v>54</v>
      </c>
    </row>
    <row r="8">
      <c r="A8" s="9" t="s">
        <v>23</v>
      </c>
      <c r="B8" s="9" t="s">
        <v>57</v>
      </c>
      <c r="C8" s="9" t="s">
        <v>39</v>
      </c>
      <c r="D8" s="9" t="s">
        <v>29</v>
      </c>
      <c r="E8" s="10" t="s">
        <v>58</v>
      </c>
      <c r="F8" s="10" t="s">
        <v>60</v>
      </c>
      <c r="G8" s="9" t="s">
        <v>54</v>
      </c>
    </row>
    <row r="9">
      <c r="A9" s="9" t="s">
        <v>23</v>
      </c>
      <c r="B9" s="9" t="s">
        <v>65</v>
      </c>
      <c r="C9" s="9" t="s">
        <v>27</v>
      </c>
      <c r="D9" s="9" t="s">
        <v>29</v>
      </c>
      <c r="E9" s="10" t="s">
        <v>67</v>
      </c>
      <c r="F9" s="10" t="s">
        <v>68</v>
      </c>
      <c r="G9" s="9" t="s">
        <v>70</v>
      </c>
    </row>
    <row r="10">
      <c r="A10" s="9" t="s">
        <v>23</v>
      </c>
      <c r="B10" s="9" t="s">
        <v>75</v>
      </c>
      <c r="C10" s="9" t="s">
        <v>39</v>
      </c>
      <c r="D10" s="9" t="s">
        <v>29</v>
      </c>
      <c r="E10" s="10" t="s">
        <v>78</v>
      </c>
      <c r="F10" s="10" t="s">
        <v>82</v>
      </c>
      <c r="G10" s="9" t="s">
        <v>83</v>
      </c>
    </row>
    <row r="11">
      <c r="A11" s="9" t="s">
        <v>23</v>
      </c>
      <c r="B11" s="9" t="s">
        <v>87</v>
      </c>
      <c r="C11" s="9" t="s">
        <v>27</v>
      </c>
      <c r="D11" s="9" t="s">
        <v>29</v>
      </c>
      <c r="E11" s="10" t="s">
        <v>90</v>
      </c>
      <c r="F11" s="10" t="s">
        <v>94</v>
      </c>
      <c r="G11" s="9" t="s">
        <v>96</v>
      </c>
    </row>
    <row r="12">
      <c r="A12" s="9" t="s">
        <v>23</v>
      </c>
      <c r="B12" s="9" t="s">
        <v>99</v>
      </c>
      <c r="C12" s="9" t="s">
        <v>39</v>
      </c>
      <c r="D12" s="9" t="s">
        <v>29</v>
      </c>
      <c r="E12" s="10" t="s">
        <v>105</v>
      </c>
      <c r="F12" s="10" t="s">
        <v>109</v>
      </c>
      <c r="G12" s="9" t="s">
        <v>96</v>
      </c>
    </row>
    <row r="13">
      <c r="A13" s="12" t="s">
        <v>120</v>
      </c>
      <c r="B13" s="12" t="s">
        <v>122</v>
      </c>
      <c r="C13" s="12" t="s">
        <v>27</v>
      </c>
      <c r="D13" s="12" t="s">
        <v>29</v>
      </c>
      <c r="E13" s="13" t="s">
        <v>129</v>
      </c>
      <c r="F13" s="13" t="s">
        <v>132</v>
      </c>
      <c r="G13" s="12" t="s">
        <v>134</v>
      </c>
    </row>
    <row r="14">
      <c r="A14" s="12" t="s">
        <v>120</v>
      </c>
      <c r="B14" s="12" t="s">
        <v>139</v>
      </c>
      <c r="C14" s="12" t="s">
        <v>27</v>
      </c>
      <c r="D14" s="12" t="s">
        <v>141</v>
      </c>
      <c r="E14" s="13" t="s">
        <v>143</v>
      </c>
      <c r="F14" s="13" t="s">
        <v>144</v>
      </c>
      <c r="G14" s="12" t="s">
        <v>146</v>
      </c>
    </row>
    <row r="15">
      <c r="A15" s="12" t="s">
        <v>120</v>
      </c>
      <c r="B15" s="12" t="s">
        <v>150</v>
      </c>
      <c r="C15" s="12" t="s">
        <v>27</v>
      </c>
      <c r="D15" s="12" t="s">
        <v>141</v>
      </c>
      <c r="E15" s="13" t="s">
        <v>152</v>
      </c>
      <c r="F15" s="13" t="s">
        <v>154</v>
      </c>
      <c r="G15" s="12" t="s">
        <v>156</v>
      </c>
    </row>
    <row r="16">
      <c r="A16" s="12" t="s">
        <v>120</v>
      </c>
      <c r="B16" s="12" t="s">
        <v>159</v>
      </c>
      <c r="C16" s="12" t="s">
        <v>27</v>
      </c>
      <c r="D16" s="12" t="s">
        <v>29</v>
      </c>
      <c r="E16" s="13" t="s">
        <v>164</v>
      </c>
      <c r="F16" s="13" t="s">
        <v>165</v>
      </c>
      <c r="G16" s="12" t="s">
        <v>167</v>
      </c>
    </row>
    <row r="17">
      <c r="A17" s="12" t="s">
        <v>120</v>
      </c>
      <c r="B17" s="12" t="s">
        <v>172</v>
      </c>
      <c r="C17" s="12" t="s">
        <v>27</v>
      </c>
      <c r="D17" s="12" t="s">
        <v>141</v>
      </c>
      <c r="E17" s="13" t="s">
        <v>175</v>
      </c>
      <c r="F17" s="13" t="s">
        <v>178</v>
      </c>
      <c r="G17" s="12" t="s">
        <v>167</v>
      </c>
    </row>
    <row r="18">
      <c r="A18" s="12" t="s">
        <v>120</v>
      </c>
      <c r="B18" s="12" t="s">
        <v>181</v>
      </c>
      <c r="C18" s="12" t="s">
        <v>27</v>
      </c>
      <c r="D18" s="12" t="s">
        <v>29</v>
      </c>
      <c r="E18" s="13" t="s">
        <v>183</v>
      </c>
      <c r="F18" s="13" t="s">
        <v>185</v>
      </c>
      <c r="G18" s="12" t="s">
        <v>186</v>
      </c>
    </row>
    <row r="19">
      <c r="A19" s="12" t="s">
        <v>120</v>
      </c>
      <c r="B19" s="12" t="s">
        <v>187</v>
      </c>
      <c r="C19" s="12" t="s">
        <v>27</v>
      </c>
      <c r="D19" s="12" t="s">
        <v>29</v>
      </c>
      <c r="E19" s="13" t="s">
        <v>191</v>
      </c>
      <c r="F19" s="13" t="s">
        <v>193</v>
      </c>
      <c r="G19" s="12" t="s">
        <v>186</v>
      </c>
    </row>
    <row r="20">
      <c r="A20" s="12" t="s">
        <v>120</v>
      </c>
      <c r="B20" s="12" t="s">
        <v>198</v>
      </c>
      <c r="C20" s="12" t="s">
        <v>27</v>
      </c>
      <c r="D20" s="12" t="s">
        <v>29</v>
      </c>
      <c r="E20" s="13" t="s">
        <v>205</v>
      </c>
      <c r="F20" s="13" t="s">
        <v>207</v>
      </c>
      <c r="G20" s="12" t="s">
        <v>208</v>
      </c>
    </row>
    <row r="21" ht="15.75" customHeight="1">
      <c r="A21" s="12" t="s">
        <v>120</v>
      </c>
      <c r="B21" s="12" t="s">
        <v>211</v>
      </c>
      <c r="C21" s="12" t="s">
        <v>27</v>
      </c>
      <c r="D21" s="12" t="s">
        <v>29</v>
      </c>
      <c r="E21" s="13" t="s">
        <v>215</v>
      </c>
      <c r="F21" s="13" t="s">
        <v>218</v>
      </c>
      <c r="G21" s="12" t="s">
        <v>220</v>
      </c>
    </row>
    <row r="22" ht="15.75" customHeight="1">
      <c r="A22" s="12" t="s">
        <v>120</v>
      </c>
      <c r="B22" s="12" t="s">
        <v>225</v>
      </c>
      <c r="C22" s="12" t="s">
        <v>27</v>
      </c>
      <c r="D22" s="12" t="s">
        <v>29</v>
      </c>
      <c r="E22" s="13" t="s">
        <v>231</v>
      </c>
      <c r="F22" s="13" t="s">
        <v>233</v>
      </c>
      <c r="G22" s="12" t="s">
        <v>235</v>
      </c>
    </row>
    <row r="23" ht="15.75" customHeight="1">
      <c r="A23" s="12" t="s">
        <v>120</v>
      </c>
      <c r="B23" s="12" t="s">
        <v>241</v>
      </c>
      <c r="C23" s="12" t="s">
        <v>27</v>
      </c>
      <c r="D23" s="12" t="s">
        <v>29</v>
      </c>
      <c r="E23" s="13" t="s">
        <v>246</v>
      </c>
      <c r="F23" s="13" t="s">
        <v>248</v>
      </c>
      <c r="G23" s="12" t="s">
        <v>156</v>
      </c>
    </row>
    <row r="24" ht="15.75" customHeight="1">
      <c r="A24" s="12" t="s">
        <v>120</v>
      </c>
      <c r="B24" s="12" t="s">
        <v>254</v>
      </c>
      <c r="C24" s="12" t="s">
        <v>27</v>
      </c>
      <c r="D24" s="12" t="s">
        <v>29</v>
      </c>
      <c r="E24" s="13" t="s">
        <v>257</v>
      </c>
      <c r="F24" s="13" t="s">
        <v>259</v>
      </c>
      <c r="G24" s="12" t="s">
        <v>260</v>
      </c>
    </row>
    <row r="25" ht="15.75" customHeight="1">
      <c r="A25" s="12" t="s">
        <v>120</v>
      </c>
      <c r="B25" s="12" t="s">
        <v>265</v>
      </c>
      <c r="C25" s="12" t="s">
        <v>27</v>
      </c>
      <c r="D25" s="12" t="s">
        <v>29</v>
      </c>
      <c r="E25" s="13" t="s">
        <v>272</v>
      </c>
      <c r="F25" s="13" t="s">
        <v>273</v>
      </c>
      <c r="G25" s="12" t="s">
        <v>277</v>
      </c>
    </row>
    <row r="26" ht="15.75" customHeight="1">
      <c r="A26" s="12" t="s">
        <v>120</v>
      </c>
      <c r="B26" s="12" t="s">
        <v>282</v>
      </c>
      <c r="C26" s="12" t="s">
        <v>27</v>
      </c>
      <c r="D26" s="12" t="s">
        <v>29</v>
      </c>
      <c r="E26" s="13" t="s">
        <v>285</v>
      </c>
      <c r="F26" s="13" t="s">
        <v>286</v>
      </c>
      <c r="G26" s="12" t="s">
        <v>289</v>
      </c>
    </row>
    <row r="27" ht="15.75" customHeight="1">
      <c r="A27" s="12" t="s">
        <v>120</v>
      </c>
      <c r="B27" s="12" t="s">
        <v>296</v>
      </c>
      <c r="C27" s="12" t="s">
        <v>27</v>
      </c>
      <c r="D27" s="12" t="s">
        <v>300</v>
      </c>
      <c r="E27" s="13" t="s">
        <v>304</v>
      </c>
      <c r="F27" s="13"/>
      <c r="G27" s="12" t="s">
        <v>307</v>
      </c>
    </row>
    <row r="28" ht="15.75" customHeight="1">
      <c r="A28" s="9" t="s">
        <v>310</v>
      </c>
      <c r="B28" s="9" t="s">
        <v>312</v>
      </c>
      <c r="C28" s="9" t="s">
        <v>39</v>
      </c>
      <c r="D28" s="9" t="s">
        <v>29</v>
      </c>
      <c r="E28" s="10" t="s">
        <v>317</v>
      </c>
      <c r="F28" s="10" t="s">
        <v>318</v>
      </c>
      <c r="G28" s="9" t="s">
        <v>289</v>
      </c>
    </row>
    <row r="29" ht="15.75" customHeight="1">
      <c r="A29" s="12" t="s">
        <v>325</v>
      </c>
      <c r="B29" s="12" t="s">
        <v>327</v>
      </c>
      <c r="C29" s="12" t="s">
        <v>39</v>
      </c>
      <c r="D29" s="12" t="s">
        <v>141</v>
      </c>
      <c r="E29" s="13" t="s">
        <v>331</v>
      </c>
      <c r="F29" s="13" t="s">
        <v>332</v>
      </c>
      <c r="G29" s="12" t="s">
        <v>146</v>
      </c>
    </row>
    <row r="30" ht="15.75" customHeight="1">
      <c r="A30" s="12" t="s">
        <v>325</v>
      </c>
      <c r="B30" s="12" t="s">
        <v>333</v>
      </c>
      <c r="C30" s="12" t="s">
        <v>39</v>
      </c>
      <c r="D30" s="12" t="s">
        <v>141</v>
      </c>
      <c r="E30" s="13" t="s">
        <v>334</v>
      </c>
      <c r="F30" s="13" t="s">
        <v>335</v>
      </c>
      <c r="G30" s="12" t="s">
        <v>156</v>
      </c>
    </row>
    <row r="31" ht="15.75" customHeight="1">
      <c r="A31" s="12" t="s">
        <v>325</v>
      </c>
      <c r="B31" s="12" t="s">
        <v>338</v>
      </c>
      <c r="C31" s="12" t="s">
        <v>39</v>
      </c>
      <c r="D31" s="12" t="s">
        <v>29</v>
      </c>
      <c r="E31" s="13" t="s">
        <v>342</v>
      </c>
      <c r="F31" s="13" t="s">
        <v>343</v>
      </c>
      <c r="G31" s="12" t="s">
        <v>134</v>
      </c>
    </row>
    <row r="32" ht="15.75" customHeight="1">
      <c r="A32" s="12" t="s">
        <v>325</v>
      </c>
      <c r="B32" s="12" t="s">
        <v>344</v>
      </c>
      <c r="C32" s="12" t="s">
        <v>39</v>
      </c>
      <c r="D32" s="12" t="s">
        <v>141</v>
      </c>
      <c r="E32" s="13" t="s">
        <v>345</v>
      </c>
      <c r="F32" s="13" t="s">
        <v>346</v>
      </c>
      <c r="G32" s="12" t="s">
        <v>167</v>
      </c>
    </row>
    <row r="33" ht="15.75" customHeight="1">
      <c r="A33" s="12" t="s">
        <v>325</v>
      </c>
      <c r="B33" s="12" t="s">
        <v>347</v>
      </c>
      <c r="C33" s="12" t="s">
        <v>39</v>
      </c>
      <c r="D33" s="12" t="s">
        <v>29</v>
      </c>
      <c r="E33" s="13" t="s">
        <v>352</v>
      </c>
      <c r="F33" s="13" t="s">
        <v>354</v>
      </c>
      <c r="G33" s="12" t="s">
        <v>356</v>
      </c>
    </row>
    <row r="34" ht="15.75" customHeight="1">
      <c r="A34" s="12" t="s">
        <v>325</v>
      </c>
      <c r="B34" s="12" t="s">
        <v>357</v>
      </c>
      <c r="C34" s="12" t="s">
        <v>39</v>
      </c>
      <c r="D34" s="12" t="s">
        <v>29</v>
      </c>
      <c r="E34" s="13" t="s">
        <v>358</v>
      </c>
      <c r="F34" s="13" t="s">
        <v>359</v>
      </c>
      <c r="G34" s="12" t="s">
        <v>360</v>
      </c>
    </row>
    <row r="35" ht="15.75" customHeight="1">
      <c r="A35" s="12" t="s">
        <v>325</v>
      </c>
      <c r="B35" s="12" t="s">
        <v>363</v>
      </c>
      <c r="C35" s="12" t="s">
        <v>39</v>
      </c>
      <c r="D35" s="12" t="s">
        <v>29</v>
      </c>
      <c r="E35" s="13" t="s">
        <v>366</v>
      </c>
      <c r="F35" s="13" t="s">
        <v>367</v>
      </c>
      <c r="G35" s="12" t="s">
        <v>369</v>
      </c>
    </row>
    <row r="36" ht="15.75" customHeight="1">
      <c r="A36" s="12" t="s">
        <v>325</v>
      </c>
      <c r="B36" s="12" t="s">
        <v>372</v>
      </c>
      <c r="C36" s="12" t="s">
        <v>39</v>
      </c>
      <c r="D36" s="12" t="s">
        <v>300</v>
      </c>
      <c r="E36" s="13" t="s">
        <v>374</v>
      </c>
      <c r="F36" s="13"/>
      <c r="G36" s="12" t="s">
        <v>307</v>
      </c>
    </row>
    <row r="37" ht="15.75" customHeight="1">
      <c r="A37" s="12" t="s">
        <v>325</v>
      </c>
      <c r="B37" s="12" t="s">
        <v>375</v>
      </c>
      <c r="C37" s="12" t="s">
        <v>39</v>
      </c>
      <c r="D37" s="12" t="s">
        <v>300</v>
      </c>
      <c r="E37" s="13" t="s">
        <v>376</v>
      </c>
      <c r="F37" s="13"/>
      <c r="G37" s="12" t="s">
        <v>307</v>
      </c>
    </row>
    <row r="38" ht="15.75" customHeight="1">
      <c r="A38" s="9" t="s">
        <v>378</v>
      </c>
      <c r="B38" s="9" t="s">
        <v>380</v>
      </c>
      <c r="C38" s="9" t="s">
        <v>39</v>
      </c>
      <c r="D38" s="9" t="s">
        <v>29</v>
      </c>
      <c r="E38" s="10" t="s">
        <v>384</v>
      </c>
      <c r="F38" s="10"/>
      <c r="G38" s="9" t="s">
        <v>360</v>
      </c>
    </row>
    <row r="39" ht="15.75" customHeight="1">
      <c r="A39" s="9" t="s">
        <v>378</v>
      </c>
      <c r="B39" s="9" t="s">
        <v>388</v>
      </c>
      <c r="C39" s="9" t="s">
        <v>39</v>
      </c>
      <c r="D39" s="9" t="s">
        <v>29</v>
      </c>
      <c r="E39" s="10" t="s">
        <v>391</v>
      </c>
      <c r="F39" s="10" t="s">
        <v>392</v>
      </c>
      <c r="G39" s="9" t="s">
        <v>167</v>
      </c>
    </row>
    <row r="40" ht="15.75" customHeight="1">
      <c r="A40" s="9" t="s">
        <v>378</v>
      </c>
      <c r="B40" s="9" t="s">
        <v>393</v>
      </c>
      <c r="C40" s="9" t="s">
        <v>27</v>
      </c>
      <c r="D40" s="9" t="s">
        <v>29</v>
      </c>
      <c r="E40" s="10" t="s">
        <v>394</v>
      </c>
      <c r="F40" s="10" t="s">
        <v>395</v>
      </c>
      <c r="G40" s="9" t="s">
        <v>167</v>
      </c>
    </row>
    <row r="41" ht="15.75" customHeight="1">
      <c r="A41" s="9" t="s">
        <v>378</v>
      </c>
      <c r="B41" s="9" t="s">
        <v>398</v>
      </c>
      <c r="C41" s="9" t="s">
        <v>27</v>
      </c>
      <c r="D41" s="9" t="s">
        <v>29</v>
      </c>
      <c r="E41" s="10" t="s">
        <v>401</v>
      </c>
      <c r="F41" s="10"/>
      <c r="G41" s="9" t="s">
        <v>369</v>
      </c>
    </row>
    <row r="42" ht="15.75" customHeight="1">
      <c r="A42" s="19" t="s">
        <v>326</v>
      </c>
      <c r="B42" s="12" t="s">
        <v>406</v>
      </c>
      <c r="C42" s="12" t="s">
        <v>27</v>
      </c>
      <c r="D42" s="12" t="s">
        <v>29</v>
      </c>
      <c r="E42" s="13" t="s">
        <v>407</v>
      </c>
      <c r="F42" s="13" t="s">
        <v>408</v>
      </c>
      <c r="G42" s="12" t="s">
        <v>146</v>
      </c>
    </row>
    <row r="43" ht="15.75" customHeight="1">
      <c r="A43" s="19" t="s">
        <v>326</v>
      </c>
      <c r="B43" s="12" t="s">
        <v>411</v>
      </c>
      <c r="C43" s="12" t="s">
        <v>39</v>
      </c>
      <c r="D43" s="12" t="s">
        <v>29</v>
      </c>
      <c r="E43" s="13" t="s">
        <v>413</v>
      </c>
      <c r="F43" s="13" t="s">
        <v>414</v>
      </c>
      <c r="G43" s="12" t="s">
        <v>146</v>
      </c>
    </row>
    <row r="44" ht="15.75" customHeight="1">
      <c r="A44" s="19" t="s">
        <v>326</v>
      </c>
      <c r="B44" s="12" t="s">
        <v>415</v>
      </c>
      <c r="C44" s="12" t="s">
        <v>27</v>
      </c>
      <c r="D44" s="12" t="s">
        <v>29</v>
      </c>
      <c r="E44" s="13" t="s">
        <v>416</v>
      </c>
      <c r="F44" s="13" t="s">
        <v>414</v>
      </c>
      <c r="G44" s="12" t="s">
        <v>156</v>
      </c>
    </row>
    <row r="45" ht="15.75" customHeight="1">
      <c r="A45" s="19" t="s">
        <v>326</v>
      </c>
      <c r="B45" s="12" t="s">
        <v>421</v>
      </c>
      <c r="C45" s="12" t="s">
        <v>39</v>
      </c>
      <c r="D45" s="12" t="s">
        <v>29</v>
      </c>
      <c r="E45" s="13" t="s">
        <v>422</v>
      </c>
      <c r="F45" s="13" t="s">
        <v>414</v>
      </c>
      <c r="G45" s="12" t="s">
        <v>156</v>
      </c>
    </row>
    <row r="46" ht="15.75" customHeight="1">
      <c r="A46" s="19" t="s">
        <v>326</v>
      </c>
      <c r="B46" s="12" t="s">
        <v>423</v>
      </c>
      <c r="C46" s="12" t="s">
        <v>27</v>
      </c>
      <c r="D46" s="12" t="s">
        <v>29</v>
      </c>
      <c r="E46" s="13" t="s">
        <v>427</v>
      </c>
      <c r="F46" s="13" t="s">
        <v>429</v>
      </c>
      <c r="G46" s="12" t="s">
        <v>431</v>
      </c>
    </row>
    <row r="47" ht="15.75" customHeight="1">
      <c r="A47" s="19" t="s">
        <v>326</v>
      </c>
      <c r="B47" s="12" t="s">
        <v>432</v>
      </c>
      <c r="C47" s="12" t="s">
        <v>27</v>
      </c>
      <c r="D47" s="12" t="s">
        <v>29</v>
      </c>
      <c r="E47" s="13" t="s">
        <v>433</v>
      </c>
      <c r="F47" s="13" t="s">
        <v>434</v>
      </c>
      <c r="G47" s="12" t="s">
        <v>431</v>
      </c>
    </row>
    <row r="48" ht="15.75" customHeight="1">
      <c r="A48" s="19" t="s">
        <v>326</v>
      </c>
      <c r="B48" s="12" t="s">
        <v>437</v>
      </c>
      <c r="C48" s="12" t="s">
        <v>27</v>
      </c>
      <c r="D48" s="12" t="s">
        <v>29</v>
      </c>
      <c r="E48" s="13" t="s">
        <v>439</v>
      </c>
      <c r="F48" s="13"/>
      <c r="G48" s="12" t="s">
        <v>440</v>
      </c>
    </row>
    <row r="49" ht="15.75" customHeight="1">
      <c r="A49" s="9" t="s">
        <v>23</v>
      </c>
      <c r="B49" s="9" t="s">
        <v>441</v>
      </c>
      <c r="C49" s="9" t="s">
        <v>27</v>
      </c>
      <c r="D49" s="9" t="s">
        <v>29</v>
      </c>
      <c r="E49" s="10" t="s">
        <v>442</v>
      </c>
      <c r="F49" s="10" t="s">
        <v>443</v>
      </c>
      <c r="G49" s="9" t="s">
        <v>445</v>
      </c>
    </row>
    <row r="50" ht="15.75" customHeight="1">
      <c r="A50" s="9" t="s">
        <v>23</v>
      </c>
      <c r="B50" s="9" t="s">
        <v>448</v>
      </c>
      <c r="C50" s="9" t="s">
        <v>39</v>
      </c>
      <c r="D50" s="9" t="s">
        <v>29</v>
      </c>
      <c r="E50" s="10" t="s">
        <v>449</v>
      </c>
      <c r="F50" s="10" t="s">
        <v>450</v>
      </c>
      <c r="G50" s="9" t="s">
        <v>445</v>
      </c>
    </row>
    <row r="51" ht="15.75" customHeight="1">
      <c r="A51" s="12" t="s">
        <v>120</v>
      </c>
      <c r="B51" s="12" t="s">
        <v>299</v>
      </c>
      <c r="C51" s="12" t="s">
        <v>27</v>
      </c>
      <c r="D51" s="12" t="s">
        <v>300</v>
      </c>
      <c r="E51" s="13" t="s">
        <v>453</v>
      </c>
      <c r="F51" s="13" t="s">
        <v>456</v>
      </c>
      <c r="G51" s="12" t="s">
        <v>292</v>
      </c>
    </row>
    <row r="52" ht="15.75" customHeight="1">
      <c r="A52" s="12" t="s">
        <v>120</v>
      </c>
      <c r="B52" s="12" t="s">
        <v>457</v>
      </c>
      <c r="C52" s="12" t="s">
        <v>27</v>
      </c>
      <c r="D52" s="12" t="s">
        <v>300</v>
      </c>
      <c r="E52" s="13" t="s">
        <v>462</v>
      </c>
      <c r="F52" s="13" t="s">
        <v>464</v>
      </c>
      <c r="G52" s="12" t="s">
        <v>465</v>
      </c>
    </row>
    <row r="53" ht="15.75" customHeight="1">
      <c r="A53" s="17" t="s">
        <v>326</v>
      </c>
      <c r="B53" s="9" t="s">
        <v>468</v>
      </c>
      <c r="C53" s="9" t="s">
        <v>39</v>
      </c>
      <c r="D53" s="9" t="s">
        <v>29</v>
      </c>
      <c r="E53" s="10" t="s">
        <v>470</v>
      </c>
      <c r="F53" s="10" t="s">
        <v>471</v>
      </c>
      <c r="G53" s="9" t="s">
        <v>431</v>
      </c>
    </row>
    <row r="54" ht="15.75" customHeight="1">
      <c r="A54" s="17" t="s">
        <v>326</v>
      </c>
      <c r="B54" s="9" t="s">
        <v>472</v>
      </c>
      <c r="C54" s="9" t="s">
        <v>39</v>
      </c>
      <c r="D54" s="9" t="s">
        <v>29</v>
      </c>
      <c r="E54" s="10" t="s">
        <v>477</v>
      </c>
      <c r="F54" s="10" t="s">
        <v>478</v>
      </c>
      <c r="G54" s="9" t="s">
        <v>440</v>
      </c>
    </row>
    <row r="55" ht="15.75" customHeight="1">
      <c r="A55" s="12" t="s">
        <v>378</v>
      </c>
      <c r="B55" s="12" t="s">
        <v>479</v>
      </c>
      <c r="C55" s="12" t="s">
        <v>39</v>
      </c>
      <c r="D55" s="12" t="s">
        <v>29</v>
      </c>
      <c r="E55" s="13" t="s">
        <v>480</v>
      </c>
      <c r="F55" s="13" t="s">
        <v>481</v>
      </c>
      <c r="G55" s="12" t="s">
        <v>465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55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48.0"/>
    <col customWidth="1" min="4" max="4" width="7.0"/>
    <col customWidth="1" min="5" max="5" width="22.0"/>
    <col customWidth="1" min="6" max="6" width="72.0"/>
    <col customWidth="1" min="7" max="8" width="10.0"/>
    <col customWidth="1" min="9" max="9" width="16.0"/>
    <col customWidth="1" min="10" max="26" width="8.71"/>
  </cols>
  <sheetData>
    <row r="1">
      <c r="A1" s="1" t="s">
        <v>80</v>
      </c>
    </row>
    <row r="2">
      <c r="A2" s="3" t="s">
        <v>89</v>
      </c>
    </row>
    <row r="4" ht="30.0" customHeight="1">
      <c r="A4" s="6" t="s">
        <v>98</v>
      </c>
      <c r="B4" s="6" t="s">
        <v>100</v>
      </c>
      <c r="C4" s="6" t="s">
        <v>102</v>
      </c>
      <c r="D4" s="6" t="s">
        <v>104</v>
      </c>
      <c r="E4" s="6" t="s">
        <v>108</v>
      </c>
      <c r="F4" s="6" t="s">
        <v>111</v>
      </c>
      <c r="G4" s="6" t="s">
        <v>20</v>
      </c>
      <c r="H4" s="6" t="s">
        <v>114</v>
      </c>
      <c r="I4" s="6" t="s">
        <v>118</v>
      </c>
    </row>
    <row r="5">
      <c r="A5" s="9" t="s">
        <v>123</v>
      </c>
      <c r="B5" s="9" t="s">
        <v>127</v>
      </c>
      <c r="C5" s="10" t="s">
        <v>130</v>
      </c>
      <c r="D5" s="9" t="s">
        <v>133</v>
      </c>
      <c r="E5" s="9" t="s">
        <v>135</v>
      </c>
      <c r="F5" s="10" t="s">
        <v>137</v>
      </c>
      <c r="G5" s="9" t="s">
        <v>131</v>
      </c>
      <c r="H5" s="16">
        <f>COUNTIF(L2_Balance_Movement!$B$5:$B$600,$B5)</f>
        <v>8</v>
      </c>
      <c r="I5" s="16" t="str">
        <f t="shared" ref="I5:I61" si="1">IF($H5&gt;0,"OK","MISSING L2")</f>
        <v>OK</v>
      </c>
    </row>
    <row r="6">
      <c r="A6" s="9" t="s">
        <v>123</v>
      </c>
      <c r="B6" s="9" t="s">
        <v>228</v>
      </c>
      <c r="C6" s="10" t="s">
        <v>230</v>
      </c>
      <c r="D6" s="9" t="s">
        <v>133</v>
      </c>
      <c r="E6" s="9" t="s">
        <v>135</v>
      </c>
      <c r="F6" s="10" t="s">
        <v>237</v>
      </c>
      <c r="G6" s="9" t="s">
        <v>239</v>
      </c>
      <c r="H6" s="16">
        <f>COUNTIF(L2_Balance_Movement!$B$5:$B$600,$B6)</f>
        <v>4</v>
      </c>
      <c r="I6" s="16" t="str">
        <f t="shared" si="1"/>
        <v>OK</v>
      </c>
    </row>
    <row r="7">
      <c r="A7" s="9" t="s">
        <v>123</v>
      </c>
      <c r="B7" s="9" t="s">
        <v>268</v>
      </c>
      <c r="C7" s="10" t="s">
        <v>270</v>
      </c>
      <c r="D7" s="9" t="s">
        <v>133</v>
      </c>
      <c r="E7" s="9" t="s">
        <v>135</v>
      </c>
      <c r="F7" s="10" t="s">
        <v>275</v>
      </c>
      <c r="G7" s="9" t="s">
        <v>239</v>
      </c>
      <c r="H7" s="16">
        <f>COUNTIF(L2_Balance_Movement!$B$5:$B$600,$B7)</f>
        <v>2</v>
      </c>
      <c r="I7" s="16" t="str">
        <f t="shared" si="1"/>
        <v>OK</v>
      </c>
    </row>
    <row r="8">
      <c r="A8" s="9" t="s">
        <v>123</v>
      </c>
      <c r="B8" s="9" t="s">
        <v>293</v>
      </c>
      <c r="C8" s="10" t="s">
        <v>294</v>
      </c>
      <c r="D8" s="9" t="s">
        <v>133</v>
      </c>
      <c r="E8" s="9" t="s">
        <v>298</v>
      </c>
      <c r="F8" s="10" t="s">
        <v>301</v>
      </c>
      <c r="G8" s="9" t="s">
        <v>239</v>
      </c>
      <c r="H8" s="16">
        <f>COUNTIF(L2_Balance_Movement!$B$5:$B$600,$B8)</f>
        <v>1</v>
      </c>
      <c r="I8" s="16" t="str">
        <f t="shared" si="1"/>
        <v>OK</v>
      </c>
    </row>
    <row r="9">
      <c r="A9" s="9" t="s">
        <v>123</v>
      </c>
      <c r="B9" s="9" t="s">
        <v>320</v>
      </c>
      <c r="C9" s="10" t="s">
        <v>321</v>
      </c>
      <c r="D9" s="9" t="s">
        <v>323</v>
      </c>
      <c r="E9" s="9" t="s">
        <v>326</v>
      </c>
      <c r="F9" s="10" t="s">
        <v>329</v>
      </c>
      <c r="G9" s="9" t="s">
        <v>171</v>
      </c>
      <c r="H9" s="16">
        <f>COUNTIF(L2_Balance_Movement!$B$5:$B$600,$B9)</f>
        <v>2</v>
      </c>
      <c r="I9" s="16" t="str">
        <f t="shared" si="1"/>
        <v>OK</v>
      </c>
    </row>
    <row r="10">
      <c r="A10" s="9" t="s">
        <v>123</v>
      </c>
      <c r="B10" s="9" t="s">
        <v>336</v>
      </c>
      <c r="C10" s="10" t="s">
        <v>337</v>
      </c>
      <c r="D10" s="9" t="s">
        <v>133</v>
      </c>
      <c r="E10" s="9" t="s">
        <v>326</v>
      </c>
      <c r="F10" s="10" t="s">
        <v>340</v>
      </c>
      <c r="G10" s="9" t="s">
        <v>171</v>
      </c>
      <c r="H10" s="16">
        <f>COUNTIF(L2_Balance_Movement!$B$5:$B$600,$B10)</f>
        <v>2</v>
      </c>
      <c r="I10" s="16" t="str">
        <f t="shared" si="1"/>
        <v>OK</v>
      </c>
    </row>
    <row r="11">
      <c r="A11" s="9" t="s">
        <v>123</v>
      </c>
      <c r="B11" s="9" t="s">
        <v>349</v>
      </c>
      <c r="C11" s="10" t="s">
        <v>350</v>
      </c>
      <c r="D11" s="9" t="s">
        <v>133</v>
      </c>
      <c r="E11" s="9" t="s">
        <v>353</v>
      </c>
      <c r="F11" s="10" t="s">
        <v>355</v>
      </c>
      <c r="G11" s="9" t="s">
        <v>171</v>
      </c>
      <c r="H11" s="16">
        <f>COUNTIF(L2_Balance_Movement!$B$5:$B$600,$B11)</f>
        <v>1</v>
      </c>
      <c r="I11" s="16" t="str">
        <f t="shared" si="1"/>
        <v>OK</v>
      </c>
    </row>
    <row r="12">
      <c r="A12" s="9" t="s">
        <v>123</v>
      </c>
      <c r="B12" s="9" t="s">
        <v>364</v>
      </c>
      <c r="C12" s="10" t="s">
        <v>365</v>
      </c>
      <c r="D12" s="17" t="s">
        <v>368</v>
      </c>
      <c r="E12" s="9" t="s">
        <v>298</v>
      </c>
      <c r="F12" s="10" t="s">
        <v>371</v>
      </c>
      <c r="G12" s="9" t="s">
        <v>171</v>
      </c>
      <c r="H12" s="16">
        <f>COUNTIF(L2_Balance_Movement!$B$5:$B$600,$B12)</f>
        <v>1</v>
      </c>
      <c r="I12" s="16" t="str">
        <f t="shared" si="1"/>
        <v>OK</v>
      </c>
    </row>
    <row r="13">
      <c r="A13" s="9" t="s">
        <v>123</v>
      </c>
      <c r="B13" s="9" t="s">
        <v>377</v>
      </c>
      <c r="C13" s="10" t="s">
        <v>379</v>
      </c>
      <c r="D13" s="9" t="s">
        <v>133</v>
      </c>
      <c r="E13" s="9" t="s">
        <v>135</v>
      </c>
      <c r="F13" s="10" t="s">
        <v>382</v>
      </c>
      <c r="G13" s="9" t="s">
        <v>171</v>
      </c>
      <c r="H13" s="16">
        <f>COUNTIF(L2_Balance_Movement!$B$5:$B$600,$B13)</f>
        <v>4</v>
      </c>
      <c r="I13" s="16" t="str">
        <f t="shared" si="1"/>
        <v>OK</v>
      </c>
    </row>
    <row r="14">
      <c r="A14" s="9" t="s">
        <v>123</v>
      </c>
      <c r="B14" s="9" t="s">
        <v>385</v>
      </c>
      <c r="C14" s="10" t="s">
        <v>386</v>
      </c>
      <c r="D14" s="9" t="s">
        <v>133</v>
      </c>
      <c r="E14" s="9" t="s">
        <v>135</v>
      </c>
      <c r="F14" s="10" t="s">
        <v>390</v>
      </c>
      <c r="G14" s="9" t="s">
        <v>171</v>
      </c>
      <c r="H14" s="16">
        <f>COUNTIF(L2_Balance_Movement!$B$5:$B$600,$B14)</f>
        <v>4</v>
      </c>
      <c r="I14" s="16" t="str">
        <f t="shared" si="1"/>
        <v>OK</v>
      </c>
    </row>
    <row r="15">
      <c r="A15" s="9" t="s">
        <v>123</v>
      </c>
      <c r="B15" s="9" t="s">
        <v>396</v>
      </c>
      <c r="C15" s="10" t="s">
        <v>397</v>
      </c>
      <c r="D15" s="9" t="s">
        <v>133</v>
      </c>
      <c r="E15" s="9" t="s">
        <v>135</v>
      </c>
      <c r="F15" s="10" t="s">
        <v>400</v>
      </c>
      <c r="G15" s="9" t="s">
        <v>142</v>
      </c>
      <c r="H15" s="16">
        <f>COUNTIF(L2_Balance_Movement!$B$5:$B$600,$B15)</f>
        <v>12</v>
      </c>
      <c r="I15" s="16" t="str">
        <f t="shared" si="1"/>
        <v>OK</v>
      </c>
    </row>
    <row r="16">
      <c r="A16" s="9" t="s">
        <v>123</v>
      </c>
      <c r="B16" s="9" t="s">
        <v>402</v>
      </c>
      <c r="C16" s="10" t="s">
        <v>403</v>
      </c>
      <c r="D16" s="9" t="s">
        <v>133</v>
      </c>
      <c r="E16" s="9" t="s">
        <v>135</v>
      </c>
      <c r="F16" s="10" t="s">
        <v>404</v>
      </c>
      <c r="G16" s="9" t="s">
        <v>405</v>
      </c>
      <c r="H16" s="16">
        <f>COUNTIF(L2_Balance_Movement!$B$5:$B$600,$B16)</f>
        <v>6</v>
      </c>
      <c r="I16" s="16" t="str">
        <f t="shared" si="1"/>
        <v>OK</v>
      </c>
    </row>
    <row r="17">
      <c r="A17" s="9" t="s">
        <v>123</v>
      </c>
      <c r="B17" s="9" t="s">
        <v>409</v>
      </c>
      <c r="C17" s="10" t="s">
        <v>410</v>
      </c>
      <c r="D17" s="9" t="s">
        <v>133</v>
      </c>
      <c r="E17" s="9" t="s">
        <v>135</v>
      </c>
      <c r="F17" s="10" t="s">
        <v>412</v>
      </c>
      <c r="G17" s="9" t="s">
        <v>405</v>
      </c>
      <c r="H17" s="16">
        <f>COUNTIF(L2_Balance_Movement!$B$5:$B$600,$B17)</f>
        <v>4</v>
      </c>
      <c r="I17" s="16" t="str">
        <f t="shared" si="1"/>
        <v>OK</v>
      </c>
    </row>
    <row r="18">
      <c r="A18" s="9" t="s">
        <v>123</v>
      </c>
      <c r="B18" s="9" t="s">
        <v>417</v>
      </c>
      <c r="C18" s="10" t="s">
        <v>418</v>
      </c>
      <c r="D18" s="9" t="s">
        <v>133</v>
      </c>
      <c r="E18" s="9" t="s">
        <v>135</v>
      </c>
      <c r="F18" s="10" t="s">
        <v>419</v>
      </c>
      <c r="G18" s="9" t="s">
        <v>420</v>
      </c>
      <c r="H18" s="16">
        <f>COUNTIF(L2_Balance_Movement!$B$5:$B$600,$B18)</f>
        <v>8</v>
      </c>
      <c r="I18" s="16" t="str">
        <f t="shared" si="1"/>
        <v>OK</v>
      </c>
    </row>
    <row r="19">
      <c r="A19" s="9" t="s">
        <v>123</v>
      </c>
      <c r="B19" s="9" t="s">
        <v>424</v>
      </c>
      <c r="C19" s="10" t="s">
        <v>425</v>
      </c>
      <c r="D19" s="9" t="s">
        <v>426</v>
      </c>
      <c r="E19" s="9" t="s">
        <v>135</v>
      </c>
      <c r="F19" s="10" t="s">
        <v>428</v>
      </c>
      <c r="G19" s="9" t="s">
        <v>430</v>
      </c>
      <c r="H19" s="16">
        <f>COUNTIF(L2_Balance_Movement!$B$5:$B$600,$B19)</f>
        <v>8</v>
      </c>
      <c r="I19" s="16" t="str">
        <f t="shared" si="1"/>
        <v>OK</v>
      </c>
    </row>
    <row r="20">
      <c r="A20" s="9" t="s">
        <v>123</v>
      </c>
      <c r="B20" s="9" t="s">
        <v>435</v>
      </c>
      <c r="C20" s="10" t="s">
        <v>436</v>
      </c>
      <c r="D20" s="9" t="s">
        <v>133</v>
      </c>
      <c r="E20" s="9" t="s">
        <v>135</v>
      </c>
      <c r="F20" s="10" t="s">
        <v>438</v>
      </c>
      <c r="G20" s="9" t="s">
        <v>430</v>
      </c>
      <c r="H20" s="16">
        <f>COUNTIF(L2_Balance_Movement!$B$5:$B$600,$B20)</f>
        <v>2</v>
      </c>
      <c r="I20" s="16" t="str">
        <f t="shared" si="1"/>
        <v>OK</v>
      </c>
    </row>
    <row r="21" ht="15.75" customHeight="1">
      <c r="A21" s="9" t="s">
        <v>123</v>
      </c>
      <c r="B21" s="9" t="s">
        <v>444</v>
      </c>
      <c r="C21" s="10" t="s">
        <v>446</v>
      </c>
      <c r="D21" s="9" t="s">
        <v>447</v>
      </c>
      <c r="E21" s="9" t="s">
        <v>135</v>
      </c>
      <c r="F21" s="10" t="s">
        <v>193</v>
      </c>
      <c r="G21" s="9" t="s">
        <v>430</v>
      </c>
      <c r="H21" s="16">
        <f>COUNTIF(L2_Balance_Movement!$B$5:$B$600,$B21)</f>
        <v>8</v>
      </c>
      <c r="I21" s="16" t="str">
        <f t="shared" si="1"/>
        <v>OK</v>
      </c>
    </row>
    <row r="22" ht="15.75" customHeight="1">
      <c r="A22" s="9" t="s">
        <v>123</v>
      </c>
      <c r="B22" s="9" t="s">
        <v>451</v>
      </c>
      <c r="C22" s="10" t="s">
        <v>452</v>
      </c>
      <c r="D22" s="9" t="s">
        <v>133</v>
      </c>
      <c r="E22" s="9" t="s">
        <v>135</v>
      </c>
      <c r="F22" s="10" t="s">
        <v>454</v>
      </c>
      <c r="G22" s="9" t="s">
        <v>455</v>
      </c>
      <c r="H22" s="16">
        <f>COUNTIF(L2_Balance_Movement!$B$5:$B$600,$B22)</f>
        <v>7</v>
      </c>
      <c r="I22" s="16" t="str">
        <f t="shared" si="1"/>
        <v>OK</v>
      </c>
    </row>
    <row r="23" ht="15.75" customHeight="1">
      <c r="A23" s="9" t="s">
        <v>123</v>
      </c>
      <c r="B23" s="9" t="s">
        <v>458</v>
      </c>
      <c r="C23" s="10" t="s">
        <v>459</v>
      </c>
      <c r="D23" s="9" t="s">
        <v>133</v>
      </c>
      <c r="E23" s="9" t="s">
        <v>460</v>
      </c>
      <c r="F23" s="10" t="s">
        <v>461</v>
      </c>
      <c r="G23" s="9" t="s">
        <v>463</v>
      </c>
      <c r="H23" s="16">
        <f>COUNTIF(L2_Balance_Movement!$B$5:$B$600,$B23)</f>
        <v>2</v>
      </c>
      <c r="I23" s="16" t="str">
        <f t="shared" si="1"/>
        <v>OK</v>
      </c>
    </row>
    <row r="24" ht="15.75" customHeight="1">
      <c r="A24" s="9" t="s">
        <v>123</v>
      </c>
      <c r="B24" s="9" t="s">
        <v>466</v>
      </c>
      <c r="C24" s="10" t="s">
        <v>467</v>
      </c>
      <c r="D24" s="9" t="s">
        <v>133</v>
      </c>
      <c r="E24" s="9" t="s">
        <v>135</v>
      </c>
      <c r="F24" s="10" t="s">
        <v>469</v>
      </c>
      <c r="G24" s="9" t="s">
        <v>463</v>
      </c>
      <c r="H24" s="16">
        <f>COUNTIF(L2_Balance_Movement!$B$5:$B$600,$B24)</f>
        <v>4</v>
      </c>
      <c r="I24" s="16" t="str">
        <f t="shared" si="1"/>
        <v>OK</v>
      </c>
    </row>
    <row r="25" ht="15.75" customHeight="1">
      <c r="A25" s="9" t="s">
        <v>123</v>
      </c>
      <c r="B25" s="9" t="s">
        <v>473</v>
      </c>
      <c r="C25" s="10" t="s">
        <v>474</v>
      </c>
      <c r="D25" s="9" t="s">
        <v>475</v>
      </c>
      <c r="E25" s="9" t="s">
        <v>135</v>
      </c>
      <c r="F25" s="10" t="s">
        <v>476</v>
      </c>
      <c r="G25" s="9" t="s">
        <v>163</v>
      </c>
      <c r="H25" s="16">
        <f>COUNTIF(L2_Balance_Movement!$B$5:$B$600,$B25)</f>
        <v>8</v>
      </c>
      <c r="I25" s="16" t="str">
        <f t="shared" si="1"/>
        <v>OK</v>
      </c>
    </row>
    <row r="26" ht="15.75" customHeight="1">
      <c r="A26" s="9" t="s">
        <v>123</v>
      </c>
      <c r="B26" s="9" t="s">
        <v>482</v>
      </c>
      <c r="C26" s="10" t="s">
        <v>483</v>
      </c>
      <c r="D26" s="9" t="s">
        <v>133</v>
      </c>
      <c r="E26" s="9" t="s">
        <v>135</v>
      </c>
      <c r="F26" s="10" t="s">
        <v>484</v>
      </c>
      <c r="G26" s="9" t="s">
        <v>163</v>
      </c>
      <c r="H26" s="16">
        <f>COUNTIF(L2_Balance_Movement!$B$5:$B$600,$B26)</f>
        <v>8</v>
      </c>
      <c r="I26" s="16" t="str">
        <f t="shared" si="1"/>
        <v>OK</v>
      </c>
    </row>
    <row r="27" ht="15.75" customHeight="1">
      <c r="A27" s="9" t="s">
        <v>123</v>
      </c>
      <c r="B27" s="9" t="s">
        <v>485</v>
      </c>
      <c r="C27" s="10" t="s">
        <v>487</v>
      </c>
      <c r="D27" s="9" t="s">
        <v>133</v>
      </c>
      <c r="E27" s="9" t="s">
        <v>135</v>
      </c>
      <c r="F27" s="10" t="s">
        <v>488</v>
      </c>
      <c r="G27" s="9" t="s">
        <v>149</v>
      </c>
      <c r="H27" s="16">
        <f>COUNTIF(L2_Balance_Movement!$B$5:$B$600,$B27)</f>
        <v>6</v>
      </c>
      <c r="I27" s="16" t="str">
        <f t="shared" si="1"/>
        <v>OK</v>
      </c>
    </row>
    <row r="28" ht="15.75" customHeight="1">
      <c r="A28" s="9" t="s">
        <v>123</v>
      </c>
      <c r="B28" s="9" t="s">
        <v>493</v>
      </c>
      <c r="C28" s="10" t="s">
        <v>494</v>
      </c>
      <c r="D28" s="9" t="s">
        <v>133</v>
      </c>
      <c r="E28" s="9" t="s">
        <v>135</v>
      </c>
      <c r="F28" s="10"/>
      <c r="G28" s="9" t="s">
        <v>495</v>
      </c>
      <c r="H28" s="16">
        <f>COUNTIF(L2_Balance_Movement!$B$5:$B$600,$B28)</f>
        <v>2</v>
      </c>
      <c r="I28" s="16" t="str">
        <f t="shared" si="1"/>
        <v>OK</v>
      </c>
    </row>
    <row r="29" ht="15.75" customHeight="1">
      <c r="A29" s="9" t="s">
        <v>123</v>
      </c>
      <c r="B29" s="9" t="s">
        <v>496</v>
      </c>
      <c r="C29" s="10" t="s">
        <v>497</v>
      </c>
      <c r="D29" s="9" t="s">
        <v>133</v>
      </c>
      <c r="E29" s="9" t="s">
        <v>135</v>
      </c>
      <c r="F29" s="10" t="s">
        <v>498</v>
      </c>
      <c r="G29" s="9" t="s">
        <v>495</v>
      </c>
      <c r="H29" s="16">
        <f>COUNTIF(L2_Balance_Movement!$B$5:$B$600,$B29)</f>
        <v>2</v>
      </c>
      <c r="I29" s="16" t="str">
        <f t="shared" si="1"/>
        <v>OK</v>
      </c>
    </row>
    <row r="30" ht="15.75" customHeight="1">
      <c r="A30" s="9" t="s">
        <v>123</v>
      </c>
      <c r="B30" s="9" t="s">
        <v>500</v>
      </c>
      <c r="C30" s="10" t="s">
        <v>502</v>
      </c>
      <c r="D30" s="9" t="s">
        <v>133</v>
      </c>
      <c r="E30" s="9" t="s">
        <v>504</v>
      </c>
      <c r="F30" s="10" t="s">
        <v>505</v>
      </c>
      <c r="G30" s="9" t="s">
        <v>194</v>
      </c>
      <c r="H30" s="16">
        <f>COUNTIF(L2_Balance_Movement!$B$5:$B$600,$B30)</f>
        <v>1</v>
      </c>
      <c r="I30" s="16" t="str">
        <f t="shared" si="1"/>
        <v>OK</v>
      </c>
    </row>
    <row r="31" ht="15.75" customHeight="1">
      <c r="A31" s="9" t="s">
        <v>123</v>
      </c>
      <c r="B31" s="9" t="s">
        <v>511</v>
      </c>
      <c r="C31" s="10" t="s">
        <v>513</v>
      </c>
      <c r="D31" s="9" t="s">
        <v>133</v>
      </c>
      <c r="E31" s="9" t="s">
        <v>135</v>
      </c>
      <c r="F31" s="10" t="s">
        <v>514</v>
      </c>
      <c r="G31" s="9" t="s">
        <v>194</v>
      </c>
      <c r="H31" s="16">
        <f>COUNTIF(L2_Balance_Movement!$B$5:$B$600,$B31)</f>
        <v>4</v>
      </c>
      <c r="I31" s="16" t="str">
        <f t="shared" si="1"/>
        <v>OK</v>
      </c>
    </row>
    <row r="32" ht="15.75" customHeight="1">
      <c r="A32" s="9" t="s">
        <v>123</v>
      </c>
      <c r="B32" s="9" t="s">
        <v>515</v>
      </c>
      <c r="C32" s="10" t="s">
        <v>516</v>
      </c>
      <c r="D32" s="9" t="s">
        <v>133</v>
      </c>
      <c r="E32" s="9" t="s">
        <v>135</v>
      </c>
      <c r="F32" s="10" t="s">
        <v>517</v>
      </c>
      <c r="G32" s="9" t="s">
        <v>194</v>
      </c>
      <c r="H32" s="16">
        <f>COUNTIF(L2_Balance_Movement!$B$5:$B$600,$B32)</f>
        <v>4</v>
      </c>
      <c r="I32" s="16" t="str">
        <f t="shared" si="1"/>
        <v>OK</v>
      </c>
    </row>
    <row r="33" ht="15.75" customHeight="1">
      <c r="A33" s="9" t="s">
        <v>123</v>
      </c>
      <c r="B33" s="9" t="s">
        <v>518</v>
      </c>
      <c r="C33" s="10" t="s">
        <v>519</v>
      </c>
      <c r="D33" s="9" t="s">
        <v>133</v>
      </c>
      <c r="E33" s="9" t="s">
        <v>135</v>
      </c>
      <c r="F33" s="10" t="s">
        <v>520</v>
      </c>
      <c r="G33" s="9" t="s">
        <v>177</v>
      </c>
      <c r="H33" s="16">
        <f>COUNTIF(L2_Balance_Movement!$B$5:$B$600,$B33)</f>
        <v>2</v>
      </c>
      <c r="I33" s="16" t="str">
        <f t="shared" si="1"/>
        <v>OK</v>
      </c>
    </row>
    <row r="34" ht="15.75" customHeight="1">
      <c r="A34" s="9" t="s">
        <v>123</v>
      </c>
      <c r="B34" s="9" t="s">
        <v>523</v>
      </c>
      <c r="C34" s="10" t="s">
        <v>524</v>
      </c>
      <c r="D34" s="9" t="s">
        <v>426</v>
      </c>
      <c r="E34" s="9" t="s">
        <v>135</v>
      </c>
      <c r="F34" s="10" t="s">
        <v>526</v>
      </c>
      <c r="G34" s="9" t="s">
        <v>177</v>
      </c>
      <c r="H34" s="16">
        <f>COUNTIF(L2_Balance_Movement!$B$5:$B$600,$B34)</f>
        <v>2</v>
      </c>
      <c r="I34" s="16" t="str">
        <f t="shared" si="1"/>
        <v>OK</v>
      </c>
    </row>
    <row r="35" ht="15.75" customHeight="1">
      <c r="A35" s="12" t="s">
        <v>533</v>
      </c>
      <c r="B35" s="12" t="s">
        <v>537</v>
      </c>
      <c r="C35" s="13" t="s">
        <v>538</v>
      </c>
      <c r="D35" s="12" t="s">
        <v>133</v>
      </c>
      <c r="E35" s="12" t="s">
        <v>353</v>
      </c>
      <c r="F35" s="13" t="s">
        <v>540</v>
      </c>
      <c r="G35" s="12" t="s">
        <v>217</v>
      </c>
      <c r="H35" s="20">
        <f>COUNTIF(L2_Balance_Movement!$B$5:$B$600,$B35)</f>
        <v>1</v>
      </c>
      <c r="I35" s="20" t="str">
        <f t="shared" si="1"/>
        <v>OK</v>
      </c>
    </row>
    <row r="36" ht="15.75" customHeight="1">
      <c r="A36" s="12" t="s">
        <v>533</v>
      </c>
      <c r="B36" s="12" t="s">
        <v>560</v>
      </c>
      <c r="C36" s="13" t="s">
        <v>562</v>
      </c>
      <c r="D36" s="12" t="s">
        <v>133</v>
      </c>
      <c r="E36" s="12" t="s">
        <v>135</v>
      </c>
      <c r="F36" s="13" t="s">
        <v>566</v>
      </c>
      <c r="G36" s="12" t="s">
        <v>567</v>
      </c>
      <c r="H36" s="20">
        <f>COUNTIF(L2_Balance_Movement!$B$5:$B$600,$B36)</f>
        <v>6</v>
      </c>
      <c r="I36" s="20" t="str">
        <f t="shared" si="1"/>
        <v>OK</v>
      </c>
    </row>
    <row r="37" ht="15.75" customHeight="1">
      <c r="A37" s="12" t="s">
        <v>533</v>
      </c>
      <c r="B37" s="12" t="s">
        <v>578</v>
      </c>
      <c r="C37" s="13" t="s">
        <v>580</v>
      </c>
      <c r="D37" s="12" t="s">
        <v>133</v>
      </c>
      <c r="E37" s="12" t="s">
        <v>135</v>
      </c>
      <c r="F37" s="13" t="s">
        <v>582</v>
      </c>
      <c r="G37" s="12" t="s">
        <v>217</v>
      </c>
      <c r="H37" s="20">
        <f>COUNTIF(L2_Balance_Movement!$B$5:$B$600,$B37)</f>
        <v>6</v>
      </c>
      <c r="I37" s="20" t="str">
        <f t="shared" si="1"/>
        <v>OK</v>
      </c>
    </row>
    <row r="38" ht="15.75" customHeight="1">
      <c r="A38" s="12" t="s">
        <v>533</v>
      </c>
      <c r="B38" s="12" t="s">
        <v>590</v>
      </c>
      <c r="C38" s="13" t="s">
        <v>592</v>
      </c>
      <c r="D38" s="12" t="s">
        <v>133</v>
      </c>
      <c r="E38" s="12" t="s">
        <v>135</v>
      </c>
      <c r="F38" s="13" t="s">
        <v>594</v>
      </c>
      <c r="G38" s="12" t="s">
        <v>595</v>
      </c>
      <c r="H38" s="20">
        <f>COUNTIF(L2_Balance_Movement!$B$5:$B$600,$B38)</f>
        <v>2</v>
      </c>
      <c r="I38" s="20" t="str">
        <f t="shared" si="1"/>
        <v>OK</v>
      </c>
    </row>
    <row r="39" ht="15.75" customHeight="1">
      <c r="A39" s="12" t="s">
        <v>533</v>
      </c>
      <c r="B39" s="12" t="s">
        <v>605</v>
      </c>
      <c r="C39" s="13" t="s">
        <v>606</v>
      </c>
      <c r="D39" s="12" t="s">
        <v>133</v>
      </c>
      <c r="E39" s="12" t="s">
        <v>135</v>
      </c>
      <c r="F39" s="13" t="s">
        <v>608</v>
      </c>
      <c r="G39" s="12" t="s">
        <v>595</v>
      </c>
      <c r="H39" s="20">
        <f>COUNTIF(L2_Balance_Movement!$B$5:$B$600,$B39)</f>
        <v>2</v>
      </c>
      <c r="I39" s="20" t="str">
        <f t="shared" si="1"/>
        <v>OK</v>
      </c>
    </row>
    <row r="40" ht="15.75" customHeight="1">
      <c r="A40" s="12" t="s">
        <v>533</v>
      </c>
      <c r="B40" s="12" t="s">
        <v>621</v>
      </c>
      <c r="C40" s="13" t="s">
        <v>622</v>
      </c>
      <c r="D40" s="12" t="s">
        <v>133</v>
      </c>
      <c r="E40" s="12" t="s">
        <v>326</v>
      </c>
      <c r="F40" s="13" t="s">
        <v>625</v>
      </c>
      <c r="G40" s="12" t="s">
        <v>626</v>
      </c>
      <c r="H40" s="20">
        <f>COUNTIF(L2_Balance_Movement!$B$5:$B$600,$B40)</f>
        <v>2</v>
      </c>
      <c r="I40" s="20" t="str">
        <f t="shared" si="1"/>
        <v>OK</v>
      </c>
    </row>
    <row r="41" ht="15.75" customHeight="1">
      <c r="A41" s="12" t="s">
        <v>533</v>
      </c>
      <c r="B41" s="12" t="s">
        <v>635</v>
      </c>
      <c r="C41" s="13" t="s">
        <v>337</v>
      </c>
      <c r="D41" s="12" t="s">
        <v>133</v>
      </c>
      <c r="E41" s="12" t="s">
        <v>326</v>
      </c>
      <c r="F41" s="13" t="s">
        <v>638</v>
      </c>
      <c r="G41" s="12" t="s">
        <v>626</v>
      </c>
      <c r="H41" s="20">
        <f>COUNTIF(L2_Balance_Movement!$B$5:$B$600,$B41)</f>
        <v>2</v>
      </c>
      <c r="I41" s="20" t="str">
        <f t="shared" si="1"/>
        <v>OK</v>
      </c>
    </row>
    <row r="42" ht="15.75" customHeight="1">
      <c r="A42" s="12" t="s">
        <v>533</v>
      </c>
      <c r="B42" s="12" t="s">
        <v>649</v>
      </c>
      <c r="C42" s="13" t="s">
        <v>651</v>
      </c>
      <c r="D42" s="12" t="s">
        <v>133</v>
      </c>
      <c r="E42" s="12" t="s">
        <v>353</v>
      </c>
      <c r="F42" s="13" t="s">
        <v>653</v>
      </c>
      <c r="G42" s="12" t="s">
        <v>626</v>
      </c>
      <c r="H42" s="20">
        <f>COUNTIF(L2_Balance_Movement!$B$5:$B$600,$B42)</f>
        <v>1</v>
      </c>
      <c r="I42" s="20" t="str">
        <f t="shared" si="1"/>
        <v>OK</v>
      </c>
    </row>
    <row r="43" ht="15.75" customHeight="1">
      <c r="A43" s="12" t="s">
        <v>533</v>
      </c>
      <c r="B43" s="12" t="s">
        <v>664</v>
      </c>
      <c r="C43" s="13" t="s">
        <v>665</v>
      </c>
      <c r="D43" s="19" t="s">
        <v>368</v>
      </c>
      <c r="E43" s="12" t="s">
        <v>298</v>
      </c>
      <c r="F43" s="13" t="s">
        <v>666</v>
      </c>
      <c r="G43" s="12" t="s">
        <v>626</v>
      </c>
      <c r="H43" s="20">
        <f>COUNTIF(L2_Balance_Movement!$B$5:$B$600,$B43)</f>
        <v>1</v>
      </c>
      <c r="I43" s="20" t="str">
        <f t="shared" si="1"/>
        <v>OK</v>
      </c>
    </row>
    <row r="44" ht="15.75" customHeight="1">
      <c r="A44" s="12" t="s">
        <v>533</v>
      </c>
      <c r="B44" s="12" t="s">
        <v>667</v>
      </c>
      <c r="C44" s="13" t="s">
        <v>668</v>
      </c>
      <c r="D44" s="12" t="s">
        <v>133</v>
      </c>
      <c r="E44" s="12" t="s">
        <v>135</v>
      </c>
      <c r="F44" s="13" t="s">
        <v>670</v>
      </c>
      <c r="G44" s="12" t="s">
        <v>626</v>
      </c>
      <c r="H44" s="20">
        <f>COUNTIF(L2_Balance_Movement!$B$5:$B$600,$B44)</f>
        <v>4</v>
      </c>
      <c r="I44" s="20" t="str">
        <f t="shared" si="1"/>
        <v>OK</v>
      </c>
    </row>
    <row r="45" ht="15.75" customHeight="1">
      <c r="A45" s="12" t="s">
        <v>533</v>
      </c>
      <c r="B45" s="12" t="s">
        <v>672</v>
      </c>
      <c r="C45" s="13" t="s">
        <v>673</v>
      </c>
      <c r="D45" s="12" t="s">
        <v>133</v>
      </c>
      <c r="E45" s="12" t="s">
        <v>135</v>
      </c>
      <c r="F45" s="13" t="s">
        <v>674</v>
      </c>
      <c r="G45" s="12" t="s">
        <v>675</v>
      </c>
      <c r="H45" s="20">
        <f>COUNTIF(L2_Balance_Movement!$B$5:$B$600,$B45)</f>
        <v>6</v>
      </c>
      <c r="I45" s="20" t="str">
        <f t="shared" si="1"/>
        <v>OK</v>
      </c>
    </row>
    <row r="46" ht="15.75" customHeight="1">
      <c r="A46" s="12" t="s">
        <v>533</v>
      </c>
      <c r="B46" s="12" t="s">
        <v>677</v>
      </c>
      <c r="C46" s="13" t="s">
        <v>678</v>
      </c>
      <c r="D46" s="12" t="s">
        <v>133</v>
      </c>
      <c r="E46" s="12" t="s">
        <v>135</v>
      </c>
      <c r="F46" s="13" t="s">
        <v>679</v>
      </c>
      <c r="G46" s="12" t="s">
        <v>680</v>
      </c>
      <c r="H46" s="20">
        <f>COUNTIF(L2_Balance_Movement!$B$5:$B$600,$B46)</f>
        <v>6</v>
      </c>
      <c r="I46" s="20" t="str">
        <f t="shared" si="1"/>
        <v>OK</v>
      </c>
    </row>
    <row r="47" ht="15.75" customHeight="1">
      <c r="A47" s="12" t="s">
        <v>533</v>
      </c>
      <c r="B47" s="12" t="s">
        <v>684</v>
      </c>
      <c r="C47" s="13" t="s">
        <v>685</v>
      </c>
      <c r="D47" s="12" t="s">
        <v>133</v>
      </c>
      <c r="E47" s="12" t="s">
        <v>135</v>
      </c>
      <c r="F47" s="13" t="s">
        <v>687</v>
      </c>
      <c r="G47" s="12" t="s">
        <v>688</v>
      </c>
      <c r="H47" s="20">
        <f>COUNTIF(L2_Balance_Movement!$B$5:$B$600,$B47)</f>
        <v>3</v>
      </c>
      <c r="I47" s="20" t="str">
        <f t="shared" si="1"/>
        <v>OK</v>
      </c>
    </row>
    <row r="48" ht="15.75" customHeight="1">
      <c r="A48" s="12" t="s">
        <v>533</v>
      </c>
      <c r="B48" s="12" t="s">
        <v>690</v>
      </c>
      <c r="C48" s="13" t="s">
        <v>691</v>
      </c>
      <c r="D48" s="12" t="s">
        <v>133</v>
      </c>
      <c r="E48" s="12" t="s">
        <v>135</v>
      </c>
      <c r="F48" s="13" t="s">
        <v>692</v>
      </c>
      <c r="G48" s="12" t="s">
        <v>688</v>
      </c>
      <c r="H48" s="20">
        <f>COUNTIF(L2_Balance_Movement!$B$5:$B$600,$B48)</f>
        <v>2</v>
      </c>
      <c r="I48" s="20" t="str">
        <f t="shared" si="1"/>
        <v>OK</v>
      </c>
    </row>
    <row r="49" ht="15.75" customHeight="1">
      <c r="A49" s="12" t="s">
        <v>533</v>
      </c>
      <c r="B49" s="12" t="s">
        <v>693</v>
      </c>
      <c r="C49" s="13" t="s">
        <v>694</v>
      </c>
      <c r="D49" s="12" t="s">
        <v>133</v>
      </c>
      <c r="E49" s="12" t="s">
        <v>135</v>
      </c>
      <c r="F49" s="13" t="s">
        <v>695</v>
      </c>
      <c r="G49" s="12" t="s">
        <v>696</v>
      </c>
      <c r="H49" s="20">
        <f>COUNTIF(L2_Balance_Movement!$B$5:$B$600,$B49)</f>
        <v>6</v>
      </c>
      <c r="I49" s="20" t="str">
        <f t="shared" si="1"/>
        <v>OK</v>
      </c>
    </row>
    <row r="50" ht="15.75" customHeight="1">
      <c r="A50" s="12" t="s">
        <v>533</v>
      </c>
      <c r="B50" s="12" t="s">
        <v>698</v>
      </c>
      <c r="C50" s="13" t="s">
        <v>699</v>
      </c>
      <c r="D50" s="12" t="s">
        <v>133</v>
      </c>
      <c r="E50" s="12" t="s">
        <v>135</v>
      </c>
      <c r="F50" s="13" t="s">
        <v>700</v>
      </c>
      <c r="G50" s="12" t="s">
        <v>696</v>
      </c>
      <c r="H50" s="20">
        <f>COUNTIF(L2_Balance_Movement!$B$5:$B$600,$B50)</f>
        <v>7</v>
      </c>
      <c r="I50" s="20" t="str">
        <f t="shared" si="1"/>
        <v>OK</v>
      </c>
    </row>
    <row r="51" ht="15.75" customHeight="1">
      <c r="A51" s="12" t="s">
        <v>533</v>
      </c>
      <c r="B51" s="12" t="s">
        <v>702</v>
      </c>
      <c r="C51" s="13" t="s">
        <v>703</v>
      </c>
      <c r="D51" s="12" t="s">
        <v>426</v>
      </c>
      <c r="E51" s="12" t="s">
        <v>135</v>
      </c>
      <c r="F51" s="13"/>
      <c r="G51" s="12" t="s">
        <v>696</v>
      </c>
      <c r="H51" s="20">
        <f>COUNTIF(L2_Balance_Movement!$B$5:$B$600,$B51)</f>
        <v>6</v>
      </c>
      <c r="I51" s="20" t="str">
        <f t="shared" si="1"/>
        <v>OK</v>
      </c>
    </row>
    <row r="52" ht="15.75" customHeight="1">
      <c r="A52" s="12" t="s">
        <v>533</v>
      </c>
      <c r="B52" s="12" t="s">
        <v>705</v>
      </c>
      <c r="C52" s="13" t="s">
        <v>706</v>
      </c>
      <c r="D52" s="12" t="s">
        <v>707</v>
      </c>
      <c r="E52" s="12" t="s">
        <v>135</v>
      </c>
      <c r="F52" s="13" t="s">
        <v>708</v>
      </c>
      <c r="G52" s="12" t="s">
        <v>675</v>
      </c>
      <c r="H52" s="20">
        <f>COUNTIF(L2_Balance_Movement!$B$5:$B$600,$B52)</f>
        <v>2</v>
      </c>
      <c r="I52" s="20" t="str">
        <f t="shared" si="1"/>
        <v>OK</v>
      </c>
    </row>
    <row r="53" ht="15.75" customHeight="1">
      <c r="A53" s="12" t="s">
        <v>533</v>
      </c>
      <c r="B53" s="12" t="s">
        <v>710</v>
      </c>
      <c r="C53" s="13" t="s">
        <v>711</v>
      </c>
      <c r="D53" s="12" t="s">
        <v>475</v>
      </c>
      <c r="E53" s="12" t="s">
        <v>135</v>
      </c>
      <c r="F53" s="13" t="s">
        <v>712</v>
      </c>
      <c r="G53" s="12" t="s">
        <v>713</v>
      </c>
      <c r="H53" s="20">
        <f>COUNTIF(L2_Balance_Movement!$B$5:$B$600,$B53)</f>
        <v>6</v>
      </c>
      <c r="I53" s="20" t="str">
        <f t="shared" si="1"/>
        <v>OK</v>
      </c>
    </row>
    <row r="54" ht="15.75" customHeight="1">
      <c r="A54" s="12" t="s">
        <v>533</v>
      </c>
      <c r="B54" s="12" t="s">
        <v>715</v>
      </c>
      <c r="C54" s="13" t="s">
        <v>716</v>
      </c>
      <c r="D54" s="12" t="s">
        <v>133</v>
      </c>
      <c r="E54" s="12" t="s">
        <v>135</v>
      </c>
      <c r="F54" s="13" t="s">
        <v>717</v>
      </c>
      <c r="G54" s="12" t="s">
        <v>680</v>
      </c>
      <c r="H54" s="20">
        <f>COUNTIF(L2_Balance_Movement!$B$5:$B$600,$B54)</f>
        <v>3</v>
      </c>
      <c r="I54" s="20" t="str">
        <f t="shared" si="1"/>
        <v>OK</v>
      </c>
    </row>
    <row r="55" ht="15.75" customHeight="1">
      <c r="A55" s="12" t="s">
        <v>533</v>
      </c>
      <c r="B55" s="12" t="s">
        <v>720</v>
      </c>
      <c r="C55" s="13" t="s">
        <v>721</v>
      </c>
      <c r="D55" s="12" t="s">
        <v>133</v>
      </c>
      <c r="E55" s="12" t="s">
        <v>135</v>
      </c>
      <c r="F55" s="13" t="s">
        <v>722</v>
      </c>
      <c r="G55" s="12" t="s">
        <v>713</v>
      </c>
      <c r="H55" s="20">
        <f>COUNTIF(L2_Balance_Movement!$B$5:$B$600,$B55)</f>
        <v>4</v>
      </c>
      <c r="I55" s="20" t="str">
        <f t="shared" si="1"/>
        <v>OK</v>
      </c>
    </row>
    <row r="56" ht="15.75" customHeight="1">
      <c r="A56" s="9" t="s">
        <v>724</v>
      </c>
      <c r="B56" s="9" t="s">
        <v>725</v>
      </c>
      <c r="C56" s="10" t="s">
        <v>726</v>
      </c>
      <c r="D56" s="9" t="s">
        <v>475</v>
      </c>
      <c r="E56" s="9" t="s">
        <v>135</v>
      </c>
      <c r="F56" s="10"/>
      <c r="G56" s="9" t="s">
        <v>88</v>
      </c>
      <c r="H56" s="16">
        <f>COUNTIF(L2_Balance_Movement!$B$5:$B$600,$B56)</f>
        <v>2</v>
      </c>
      <c r="I56" s="16" t="str">
        <f t="shared" si="1"/>
        <v>OK</v>
      </c>
    </row>
    <row r="57" ht="15.75" customHeight="1">
      <c r="A57" s="9" t="s">
        <v>724</v>
      </c>
      <c r="B57" s="9" t="s">
        <v>729</v>
      </c>
      <c r="C57" s="10" t="s">
        <v>730</v>
      </c>
      <c r="D57" s="9" t="s">
        <v>731</v>
      </c>
      <c r="E57" s="9" t="s">
        <v>135</v>
      </c>
      <c r="F57" s="10" t="s">
        <v>732</v>
      </c>
      <c r="G57" s="9" t="s">
        <v>112</v>
      </c>
      <c r="H57" s="16">
        <f>COUNTIF(L2_Balance_Movement!$B$5:$B$600,$B57)</f>
        <v>2</v>
      </c>
      <c r="I57" s="16" t="str">
        <f t="shared" si="1"/>
        <v>OK</v>
      </c>
    </row>
    <row r="58" ht="15.75" customHeight="1">
      <c r="A58" s="9" t="s">
        <v>724</v>
      </c>
      <c r="B58" s="9" t="s">
        <v>733</v>
      </c>
      <c r="C58" s="10" t="s">
        <v>734</v>
      </c>
      <c r="D58" s="9" t="s">
        <v>475</v>
      </c>
      <c r="E58" s="9" t="s">
        <v>135</v>
      </c>
      <c r="F58" s="10" t="s">
        <v>650</v>
      </c>
      <c r="G58" s="9" t="s">
        <v>736</v>
      </c>
      <c r="H58" s="16">
        <f>COUNTIF(L2_Balance_Movement!$B$5:$B$600,$B58)</f>
        <v>2</v>
      </c>
      <c r="I58" s="16" t="str">
        <f t="shared" si="1"/>
        <v>OK</v>
      </c>
    </row>
    <row r="59" ht="15.75" customHeight="1">
      <c r="A59" s="9" t="s">
        <v>724</v>
      </c>
      <c r="B59" s="9" t="s">
        <v>738</v>
      </c>
      <c r="C59" s="10" t="s">
        <v>739</v>
      </c>
      <c r="D59" s="9" t="s">
        <v>475</v>
      </c>
      <c r="E59" s="9" t="s">
        <v>135</v>
      </c>
      <c r="F59" s="10"/>
      <c r="G59" s="9" t="s">
        <v>736</v>
      </c>
      <c r="H59" s="16">
        <f>COUNTIF(L2_Balance_Movement!$B$5:$B$600,$B59)</f>
        <v>2</v>
      </c>
      <c r="I59" s="16" t="str">
        <f t="shared" si="1"/>
        <v>OK</v>
      </c>
    </row>
    <row r="60" ht="15.75" customHeight="1">
      <c r="A60" s="9" t="s">
        <v>724</v>
      </c>
      <c r="B60" s="9" t="s">
        <v>743</v>
      </c>
      <c r="C60" s="10" t="s">
        <v>726</v>
      </c>
      <c r="D60" s="9" t="s">
        <v>475</v>
      </c>
      <c r="E60" s="9" t="s">
        <v>135</v>
      </c>
      <c r="F60" s="10" t="s">
        <v>744</v>
      </c>
      <c r="G60" s="9" t="s">
        <v>746</v>
      </c>
      <c r="H60" s="16">
        <f>COUNTIF(L2_Balance_Movement!$B$5:$B$600,$B60)</f>
        <v>2</v>
      </c>
      <c r="I60" s="16" t="str">
        <f t="shared" si="1"/>
        <v>OK</v>
      </c>
    </row>
    <row r="61" ht="15.75" customHeight="1">
      <c r="A61" s="9" t="s">
        <v>724</v>
      </c>
      <c r="B61" s="9" t="s">
        <v>753</v>
      </c>
      <c r="C61" s="10" t="s">
        <v>755</v>
      </c>
      <c r="D61" s="9" t="s">
        <v>133</v>
      </c>
      <c r="E61" s="9" t="s">
        <v>460</v>
      </c>
      <c r="F61" s="10" t="s">
        <v>758</v>
      </c>
      <c r="G61" s="9" t="s">
        <v>258</v>
      </c>
      <c r="H61" s="16">
        <f>COUNTIF(L2_Balance_Movement!$B$5:$B$600,$B61)</f>
        <v>1</v>
      </c>
      <c r="I61" s="16" t="str">
        <f t="shared" si="1"/>
        <v>OK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61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3" width="26.0"/>
    <col customWidth="1" min="4" max="4" width="9.0"/>
    <col customWidth="1" min="5" max="5" width="44.0"/>
    <col customWidth="1" min="6" max="7" width="20.0"/>
    <col customWidth="1" min="8" max="8" width="30.0"/>
    <col customWidth="1" min="9" max="9" width="40.0"/>
    <col customWidth="1" min="10" max="10" width="20.0"/>
    <col customWidth="1" min="11" max="12" width="18.0"/>
    <col customWidth="1" min="13" max="13" width="26.0"/>
    <col customWidth="1" min="14" max="14" width="32.0"/>
    <col customWidth="1" min="15" max="15" width="9.0"/>
    <col customWidth="1" min="16" max="26" width="8.71"/>
  </cols>
  <sheetData>
    <row r="1">
      <c r="A1" s="1" t="s">
        <v>486</v>
      </c>
    </row>
    <row r="2">
      <c r="A2" s="3" t="s">
        <v>489</v>
      </c>
    </row>
    <row r="4" ht="30.0" customHeight="1">
      <c r="A4" s="6" t="s">
        <v>98</v>
      </c>
      <c r="B4" s="6" t="s">
        <v>100</v>
      </c>
      <c r="C4" s="6" t="s">
        <v>490</v>
      </c>
      <c r="D4" s="6" t="s">
        <v>491</v>
      </c>
      <c r="E4" s="6" t="s">
        <v>12</v>
      </c>
      <c r="F4" s="6" t="s">
        <v>492</v>
      </c>
      <c r="G4" s="6" t="s">
        <v>499</v>
      </c>
      <c r="H4" s="6" t="s">
        <v>501</v>
      </c>
      <c r="I4" s="6" t="s">
        <v>503</v>
      </c>
      <c r="J4" s="6" t="s">
        <v>108</v>
      </c>
      <c r="K4" s="6" t="s">
        <v>506</v>
      </c>
      <c r="L4" s="6" t="s">
        <v>507</v>
      </c>
      <c r="M4" s="6" t="s">
        <v>508</v>
      </c>
      <c r="N4" s="6" t="s">
        <v>509</v>
      </c>
      <c r="O4" s="6" t="s">
        <v>20</v>
      </c>
    </row>
    <row r="5">
      <c r="A5" s="9" t="s">
        <v>123</v>
      </c>
      <c r="B5" s="9" t="s">
        <v>127</v>
      </c>
      <c r="C5" s="9" t="s">
        <v>510</v>
      </c>
      <c r="D5" s="9">
        <v>1.0</v>
      </c>
      <c r="E5" s="10" t="s">
        <v>25</v>
      </c>
      <c r="F5" s="9" t="s">
        <v>512</v>
      </c>
      <c r="G5" s="16" t="str">
        <f t="array" ref="G5">IF(OR($F5="DERIVED_FROM_SIGN",$F5="MIRRORED"),"runtime",IFERROR(IF(INDEX(Balance_Taxonomy!$C$5:$C$400,MATCH($E5,Balance_Taxonomy!$B$5:$B$400,0))="Dr",IF($F5="INCREASE","Dr","Cr"),IF($F5="INCREASE","Cr","Dr")),"n/a"))</f>
        <v>Dr</v>
      </c>
      <c r="H5" s="9" t="s">
        <v>521</v>
      </c>
      <c r="I5" s="10" t="s">
        <v>522</v>
      </c>
      <c r="J5" s="9" t="s">
        <v>135</v>
      </c>
      <c r="K5" s="16" t="str">
        <f>IF(OR($E5="—",LEFT($E5,1)="("),"n/a",IF(COUNTIF(Balance_Taxonomy!$B$5:$B$400,$E5)&gt;0,"OK","UNKNOWN TYPE"))</f>
        <v>OK</v>
      </c>
      <c r="L5" s="16" t="str">
        <f>IF(COUNTIF(Amount_Basis!$A$5:$A$100,$H5)&gt;0,"OK","UNKNOWN CODE")</f>
        <v>OK</v>
      </c>
      <c r="M5" s="16" t="str">
        <f t="shared" ref="M5:M222" si="1">IF($F5="DERIVED_FROM_SIGN",IF($G5="runtime","OK","INVALID - must be runtime"),IF(OR($J5="POST",$J5="MEMO_ONLY"),IF(OR($G5="Dr",$G5="Cr"),"OK","INVALID - must derive"),IF(OR($G5="n/a",$G5="runtime"),"OK","INVALID - must be n/a")))</f>
        <v>OK</v>
      </c>
      <c r="N5" s="16" t="str">
        <f t="array" ref="N5">IF($J5="MIRROR",IF($F5="MIRRORED","OK","INVALID - MIRROR needs MIRRORED"),IF(IFERROR(INDEX(Amount_Basis!$D$5:$D$100,MATCH($H5,Amount_Basis!$A$5:$A$100,0)),"")="SIGNED",IF($F5="DERIVED_FROM_SIGN","OK","INVALID - SIGNED basis needs DERIVED_FROM_SIGN"),IF(OR($F5="INCREASE",$F5="DECREASE",$F5="—"),"OK","INVALID - static direction required")))</f>
        <v>OK</v>
      </c>
      <c r="O5" s="9" t="s">
        <v>131</v>
      </c>
    </row>
    <row r="6">
      <c r="A6" s="9" t="s">
        <v>123</v>
      </c>
      <c r="B6" s="9" t="s">
        <v>127</v>
      </c>
      <c r="C6" s="9" t="s">
        <v>510</v>
      </c>
      <c r="D6" s="9">
        <v>1.0</v>
      </c>
      <c r="E6" s="10" t="s">
        <v>38</v>
      </c>
      <c r="F6" s="9" t="s">
        <v>512</v>
      </c>
      <c r="G6" s="16" t="str">
        <f t="array" ref="G6">IF(OR($F6="DERIVED_FROM_SIGN",$F6="MIRRORED"),"runtime",IFERROR(IF(INDEX(Balance_Taxonomy!$C$5:$C$400,MATCH($E6,Balance_Taxonomy!$B$5:$B$400,0))="Dr",IF($F6="INCREASE","Dr","Cr"),IF($F6="INCREASE","Cr","Dr")),"n/a"))</f>
        <v>Cr</v>
      </c>
      <c r="H6" s="9" t="s">
        <v>521</v>
      </c>
      <c r="I6" s="10" t="s">
        <v>522</v>
      </c>
      <c r="J6" s="9" t="s">
        <v>135</v>
      </c>
      <c r="K6" s="16" t="str">
        <f>IF(OR($E6="—",LEFT($E6,1)="("),"n/a",IF(COUNTIF(Balance_Taxonomy!$B$5:$B$400,$E6)&gt;0,"OK","UNKNOWN TYPE"))</f>
        <v>OK</v>
      </c>
      <c r="L6" s="16" t="str">
        <f>IF(COUNTIF(Amount_Basis!$A$5:$A$100,$H6)&gt;0,"OK","UNKNOWN CODE")</f>
        <v>OK</v>
      </c>
      <c r="M6" s="16" t="str">
        <f t="shared" si="1"/>
        <v>OK</v>
      </c>
      <c r="N6" s="16" t="str">
        <f t="array" ref="N6">IF($J6="MIRROR",IF($F6="MIRRORED","OK","INVALID - MIRROR needs MIRRORED"),IF(IFERROR(INDEX(Amount_Basis!$D$5:$D$100,MATCH($H6,Amount_Basis!$A$5:$A$100,0)),"")="SIGNED",IF($F6="DERIVED_FROM_SIGN","OK","INVALID - SIGNED basis needs DERIVED_FROM_SIGN"),IF(OR($F6="INCREASE",$F6="DECREASE",$F6="—"),"OK","INVALID - static direction required")))</f>
        <v>OK</v>
      </c>
      <c r="O6" s="9" t="s">
        <v>131</v>
      </c>
    </row>
    <row r="7">
      <c r="A7" s="9" t="s">
        <v>123</v>
      </c>
      <c r="B7" s="9" t="s">
        <v>127</v>
      </c>
      <c r="C7" s="9" t="s">
        <v>669</v>
      </c>
      <c r="D7" s="9">
        <v>2.0</v>
      </c>
      <c r="E7" s="10" t="s">
        <v>372</v>
      </c>
      <c r="F7" s="9" t="s">
        <v>671</v>
      </c>
      <c r="G7" s="16" t="str">
        <f t="array" ref="G7">IF(OR($F7="DERIVED_FROM_SIGN",$F7="MIRRORED"),"runtime",IFERROR(IF(INDEX(Balance_Taxonomy!$C$5:$C$400,MATCH($E7,Balance_Taxonomy!$B$5:$B$400,0))="Dr",IF($F7="INCREASE","Dr","Cr"),IF($F7="INCREASE","Cr","Dr")),"n/a"))</f>
        <v>Dr</v>
      </c>
      <c r="H7" s="9" t="s">
        <v>552</v>
      </c>
      <c r="I7" s="10" t="s">
        <v>676</v>
      </c>
      <c r="J7" s="9" t="s">
        <v>135</v>
      </c>
      <c r="K7" s="16" t="str">
        <f>IF(OR($E7="—",LEFT($E7,1)="("),"n/a",IF(COUNTIF(Balance_Taxonomy!$B$5:$B$400,$E7)&gt;0,"OK","UNKNOWN TYPE"))</f>
        <v>OK</v>
      </c>
      <c r="L7" s="16" t="str">
        <f>IF(COUNTIF(Amount_Basis!$A$5:$A$100,$H7)&gt;0,"OK","UNKNOWN CODE")</f>
        <v>OK</v>
      </c>
      <c r="M7" s="16" t="str">
        <f t="shared" si="1"/>
        <v>OK</v>
      </c>
      <c r="N7" s="16" t="str">
        <f t="array" ref="N7">IF($J7="MIRROR",IF($F7="MIRRORED","OK","INVALID - MIRROR needs MIRRORED"),IF(IFERROR(INDEX(Amount_Basis!$D$5:$D$100,MATCH($H7,Amount_Basis!$A$5:$A$100,0)),"")="SIGNED",IF($F7="DERIVED_FROM_SIGN","OK","INVALID - SIGNED basis needs DERIVED_FROM_SIGN"),IF(OR($F7="INCREASE",$F7="DECREASE",$F7="—"),"OK","INVALID - static direction required")))</f>
        <v>OK</v>
      </c>
      <c r="O7" s="9" t="s">
        <v>131</v>
      </c>
    </row>
    <row r="8">
      <c r="A8" s="9" t="s">
        <v>123</v>
      </c>
      <c r="B8" s="9" t="s">
        <v>127</v>
      </c>
      <c r="C8" s="9" t="s">
        <v>669</v>
      </c>
      <c r="D8" s="9">
        <v>2.0</v>
      </c>
      <c r="E8" s="10" t="s">
        <v>347</v>
      </c>
      <c r="F8" s="9" t="s">
        <v>512</v>
      </c>
      <c r="G8" s="16" t="str">
        <f t="array" ref="G8">IF(OR($F8="DERIVED_FROM_SIGN",$F8="MIRRORED"),"runtime",IFERROR(IF(INDEX(Balance_Taxonomy!$C$5:$C$400,MATCH($E8,Balance_Taxonomy!$B$5:$B$400,0))="Dr",IF($F8="INCREASE","Dr","Cr"),IF($F8="INCREASE","Cr","Dr")),"n/a"))</f>
        <v>Cr</v>
      </c>
      <c r="H8" s="9" t="s">
        <v>552</v>
      </c>
      <c r="I8" s="10" t="s">
        <v>676</v>
      </c>
      <c r="J8" s="9" t="s">
        <v>135</v>
      </c>
      <c r="K8" s="16" t="str">
        <f>IF(OR($E8="—",LEFT($E8,1)="("),"n/a",IF(COUNTIF(Balance_Taxonomy!$B$5:$B$400,$E8)&gt;0,"OK","UNKNOWN TYPE"))</f>
        <v>OK</v>
      </c>
      <c r="L8" s="16" t="str">
        <f>IF(COUNTIF(Amount_Basis!$A$5:$A$100,$H8)&gt;0,"OK","UNKNOWN CODE")</f>
        <v>OK</v>
      </c>
      <c r="M8" s="16" t="str">
        <f t="shared" si="1"/>
        <v>OK</v>
      </c>
      <c r="N8" s="16" t="str">
        <f t="array" ref="N8">IF($J8="MIRROR",IF($F8="MIRRORED","OK","INVALID - MIRROR needs MIRRORED"),IF(IFERROR(INDEX(Amount_Basis!$D$5:$D$100,MATCH($H8,Amount_Basis!$A$5:$A$100,0)),"")="SIGNED",IF($F8="DERIVED_FROM_SIGN","OK","INVALID - SIGNED basis needs DERIVED_FROM_SIGN"),IF(OR($F8="INCREASE",$F8="DECREASE",$F8="—"),"OK","INVALID - static direction required")))</f>
        <v>OK</v>
      </c>
      <c r="O8" s="9" t="s">
        <v>131</v>
      </c>
    </row>
    <row r="9">
      <c r="A9" s="9" t="s">
        <v>123</v>
      </c>
      <c r="B9" s="9" t="s">
        <v>127</v>
      </c>
      <c r="C9" s="9" t="s">
        <v>727</v>
      </c>
      <c r="D9" s="9">
        <v>3.0</v>
      </c>
      <c r="E9" s="10" t="s">
        <v>372</v>
      </c>
      <c r="F9" s="9" t="s">
        <v>671</v>
      </c>
      <c r="G9" s="16" t="str">
        <f t="array" ref="G9">IF(OR($F9="DERIVED_FROM_SIGN",$F9="MIRRORED"),"runtime",IFERROR(IF(INDEX(Balance_Taxonomy!$C$5:$C$400,MATCH($E9,Balance_Taxonomy!$B$5:$B$400,0))="Dr",IF($F9="INCREASE","Dr","Cr"),IF($F9="INCREASE","Cr","Dr")),"n/a"))</f>
        <v>Dr</v>
      </c>
      <c r="H9" s="9" t="s">
        <v>596</v>
      </c>
      <c r="I9" s="10" t="s">
        <v>735</v>
      </c>
      <c r="J9" s="9" t="s">
        <v>135</v>
      </c>
      <c r="K9" s="16" t="str">
        <f>IF(OR($E9="—",LEFT($E9,1)="("),"n/a",IF(COUNTIF(Balance_Taxonomy!$B$5:$B$400,$E9)&gt;0,"OK","UNKNOWN TYPE"))</f>
        <v>OK</v>
      </c>
      <c r="L9" s="16" t="str">
        <f>IF(COUNTIF(Amount_Basis!$A$5:$A$100,$H9)&gt;0,"OK","UNKNOWN CODE")</f>
        <v>OK</v>
      </c>
      <c r="M9" s="16" t="str">
        <f t="shared" si="1"/>
        <v>OK</v>
      </c>
      <c r="N9" s="16" t="str">
        <f t="array" ref="N9">IF($J9="MIRROR",IF($F9="MIRRORED","OK","INVALID - MIRROR needs MIRRORED"),IF(IFERROR(INDEX(Amount_Basis!$D$5:$D$100,MATCH($H9,Amount_Basis!$A$5:$A$100,0)),"")="SIGNED",IF($F9="DERIVED_FROM_SIGN","OK","INVALID - SIGNED basis needs DERIVED_FROM_SIGN"),IF(OR($F9="INCREASE",$F9="DECREASE",$F9="—"),"OK","INVALID - static direction required")))</f>
        <v>OK</v>
      </c>
      <c r="O9" s="9" t="s">
        <v>131</v>
      </c>
    </row>
    <row r="10">
      <c r="A10" s="9" t="s">
        <v>123</v>
      </c>
      <c r="B10" s="9" t="s">
        <v>127</v>
      </c>
      <c r="C10" s="9" t="s">
        <v>727</v>
      </c>
      <c r="D10" s="9">
        <v>3.0</v>
      </c>
      <c r="E10" s="10" t="s">
        <v>357</v>
      </c>
      <c r="F10" s="9" t="s">
        <v>512</v>
      </c>
      <c r="G10" s="16" t="str">
        <f t="array" ref="G10">IF(OR($F10="DERIVED_FROM_SIGN",$F10="MIRRORED"),"runtime",IFERROR(IF(INDEX(Balance_Taxonomy!$C$5:$C$400,MATCH($E10,Balance_Taxonomy!$B$5:$B$400,0))="Dr",IF($F10="INCREASE","Dr","Cr"),IF($F10="INCREASE","Cr","Dr")),"n/a"))</f>
        <v>Cr</v>
      </c>
      <c r="H10" s="9" t="s">
        <v>596</v>
      </c>
      <c r="I10" s="10" t="s">
        <v>735</v>
      </c>
      <c r="J10" s="9" t="s">
        <v>135</v>
      </c>
      <c r="K10" s="16" t="str">
        <f>IF(OR($E10="—",LEFT($E10,1)="("),"n/a",IF(COUNTIF(Balance_Taxonomy!$B$5:$B$400,$E10)&gt;0,"OK","UNKNOWN TYPE"))</f>
        <v>OK</v>
      </c>
      <c r="L10" s="16" t="str">
        <f>IF(COUNTIF(Amount_Basis!$A$5:$A$100,$H10)&gt;0,"OK","UNKNOWN CODE")</f>
        <v>OK</v>
      </c>
      <c r="M10" s="16" t="str">
        <f t="shared" si="1"/>
        <v>OK</v>
      </c>
      <c r="N10" s="16" t="str">
        <f t="array" ref="N10">IF($J10="MIRROR",IF($F10="MIRRORED","OK","INVALID - MIRROR needs MIRRORED"),IF(IFERROR(INDEX(Amount_Basis!$D$5:$D$100,MATCH($H10,Amount_Basis!$A$5:$A$100,0)),"")="SIGNED",IF($F10="DERIVED_FROM_SIGN","OK","INVALID - SIGNED basis needs DERIVED_FROM_SIGN"),IF(OR($F10="INCREASE",$F10="DECREASE",$F10="—"),"OK","INVALID - static direction required")))</f>
        <v>OK</v>
      </c>
      <c r="O10" s="9" t="s">
        <v>131</v>
      </c>
    </row>
    <row r="11">
      <c r="A11" s="9" t="s">
        <v>123</v>
      </c>
      <c r="B11" s="9" t="s">
        <v>127</v>
      </c>
      <c r="C11" s="9" t="s">
        <v>761</v>
      </c>
      <c r="D11" s="9">
        <v>4.0</v>
      </c>
      <c r="E11" s="10" t="s">
        <v>398</v>
      </c>
      <c r="F11" s="9" t="s">
        <v>512</v>
      </c>
      <c r="G11" s="16" t="str">
        <f t="array" ref="G11">IF(OR($F11="DERIVED_FROM_SIGN",$F11="MIRRORED"),"runtime",IFERROR(IF(INDEX(Balance_Taxonomy!$C$5:$C$400,MATCH($E11,Balance_Taxonomy!$B$5:$B$400,0))="Dr",IF($F11="INCREASE","Dr","Cr"),IF($F11="INCREASE","Cr","Dr")),"n/a"))</f>
        <v>Dr</v>
      </c>
      <c r="H11" s="9" t="s">
        <v>612</v>
      </c>
      <c r="I11" s="10" t="s">
        <v>762</v>
      </c>
      <c r="J11" s="9" t="s">
        <v>135</v>
      </c>
      <c r="K11" s="16" t="str">
        <f>IF(OR($E11="—",LEFT($E11,1)="("),"n/a",IF(COUNTIF(Balance_Taxonomy!$B$5:$B$400,$E11)&gt;0,"OK","UNKNOWN TYPE"))</f>
        <v>OK</v>
      </c>
      <c r="L11" s="16" t="str">
        <f>IF(COUNTIF(Amount_Basis!$A$5:$A$100,$H11)&gt;0,"OK","UNKNOWN CODE")</f>
        <v>OK</v>
      </c>
      <c r="M11" s="16" t="str">
        <f t="shared" si="1"/>
        <v>OK</v>
      </c>
      <c r="N11" s="16" t="str">
        <f t="array" ref="N11">IF($J11="MIRROR",IF($F11="MIRRORED","OK","INVALID - MIRROR needs MIRRORED"),IF(IFERROR(INDEX(Amount_Basis!$D$5:$D$100,MATCH($H11,Amount_Basis!$A$5:$A$100,0)),"")="SIGNED",IF($F11="DERIVED_FROM_SIGN","OK","INVALID - SIGNED basis needs DERIVED_FROM_SIGN"),IF(OR($F11="INCREASE",$F11="DECREASE",$F11="—"),"OK","INVALID - static direction required")))</f>
        <v>OK</v>
      </c>
      <c r="O11" s="9" t="s">
        <v>131</v>
      </c>
    </row>
    <row r="12">
      <c r="A12" s="9" t="s">
        <v>123</v>
      </c>
      <c r="B12" s="9" t="s">
        <v>127</v>
      </c>
      <c r="C12" s="9" t="s">
        <v>761</v>
      </c>
      <c r="D12" s="9">
        <v>4.0</v>
      </c>
      <c r="E12" s="10" t="s">
        <v>363</v>
      </c>
      <c r="F12" s="9" t="s">
        <v>512</v>
      </c>
      <c r="G12" s="16" t="str">
        <f t="array" ref="G12">IF(OR($F12="DERIVED_FROM_SIGN",$F12="MIRRORED"),"runtime",IFERROR(IF(INDEX(Balance_Taxonomy!$C$5:$C$400,MATCH($E12,Balance_Taxonomy!$B$5:$B$400,0))="Dr",IF($F12="INCREASE","Dr","Cr"),IF($F12="INCREASE","Cr","Dr")),"n/a"))</f>
        <v>Cr</v>
      </c>
      <c r="H12" s="9" t="s">
        <v>612</v>
      </c>
      <c r="I12" s="10" t="s">
        <v>762</v>
      </c>
      <c r="J12" s="9" t="s">
        <v>135</v>
      </c>
      <c r="K12" s="16" t="str">
        <f>IF(OR($E12="—",LEFT($E12,1)="("),"n/a",IF(COUNTIF(Balance_Taxonomy!$B$5:$B$400,$E12)&gt;0,"OK","UNKNOWN TYPE"))</f>
        <v>OK</v>
      </c>
      <c r="L12" s="16" t="str">
        <f>IF(COUNTIF(Amount_Basis!$A$5:$A$100,$H12)&gt;0,"OK","UNKNOWN CODE")</f>
        <v>OK</v>
      </c>
      <c r="M12" s="16" t="str">
        <f t="shared" si="1"/>
        <v>OK</v>
      </c>
      <c r="N12" s="16" t="str">
        <f t="array" ref="N12">IF($J12="MIRROR",IF($F12="MIRRORED","OK","INVALID - MIRROR needs MIRRORED"),IF(IFERROR(INDEX(Amount_Basis!$D$5:$D$100,MATCH($H12,Amount_Basis!$A$5:$A$100,0)),"")="SIGNED",IF($F12="DERIVED_FROM_SIGN","OK","INVALID - SIGNED basis needs DERIVED_FROM_SIGN"),IF(OR($F12="INCREASE",$F12="DECREASE",$F12="—"),"OK","INVALID - static direction required")))</f>
        <v>OK</v>
      </c>
      <c r="O12" s="9" t="s">
        <v>131</v>
      </c>
    </row>
    <row r="13">
      <c r="A13" s="12" t="s">
        <v>123</v>
      </c>
      <c r="B13" s="12" t="s">
        <v>228</v>
      </c>
      <c r="C13" s="12" t="s">
        <v>510</v>
      </c>
      <c r="D13" s="12">
        <v>1.0</v>
      </c>
      <c r="E13" s="13" t="s">
        <v>25</v>
      </c>
      <c r="F13" s="12" t="s">
        <v>512</v>
      </c>
      <c r="G13" s="20" t="str">
        <f t="array" ref="G13">IF(OR($F13="DERIVED_FROM_SIGN",$F13="MIRRORED"),"runtime",IFERROR(IF(INDEX(Balance_Taxonomy!$C$5:$C$400,MATCH($E13,Balance_Taxonomy!$B$5:$B$400,0))="Dr",IF($F13="INCREASE","Dr","Cr"),IF($F13="INCREASE","Cr","Dr")),"n/a"))</f>
        <v>Dr</v>
      </c>
      <c r="H13" s="12" t="s">
        <v>543</v>
      </c>
      <c r="I13" s="13" t="s">
        <v>780</v>
      </c>
      <c r="J13" s="12" t="s">
        <v>135</v>
      </c>
      <c r="K13" s="20" t="str">
        <f>IF(OR($E13="—",LEFT($E13,1)="("),"n/a",IF(COUNTIF(Balance_Taxonomy!$B$5:$B$400,$E13)&gt;0,"OK","UNKNOWN TYPE"))</f>
        <v>OK</v>
      </c>
      <c r="L13" s="20" t="str">
        <f>IF(COUNTIF(Amount_Basis!$A$5:$A$100,$H13)&gt;0,"OK","UNKNOWN CODE")</f>
        <v>OK</v>
      </c>
      <c r="M13" s="20" t="str">
        <f t="shared" si="1"/>
        <v>OK</v>
      </c>
      <c r="N13" s="20" t="str">
        <f t="array" ref="N13">IF($J13="MIRROR",IF($F13="MIRRORED","OK","INVALID - MIRROR needs MIRRORED"),IF(IFERROR(INDEX(Amount_Basis!$D$5:$D$100,MATCH($H13,Amount_Basis!$A$5:$A$100,0)),"")="SIGNED",IF($F13="DERIVED_FROM_SIGN","OK","INVALID - SIGNED basis needs DERIVED_FROM_SIGN"),IF(OR($F13="INCREASE",$F13="DECREASE",$F13="—"),"OK","INVALID - static direction required")))</f>
        <v>OK</v>
      </c>
      <c r="O13" s="12" t="s">
        <v>239</v>
      </c>
    </row>
    <row r="14">
      <c r="A14" s="12" t="s">
        <v>123</v>
      </c>
      <c r="B14" s="12" t="s">
        <v>228</v>
      </c>
      <c r="C14" s="12" t="s">
        <v>510</v>
      </c>
      <c r="D14" s="12">
        <v>1.0</v>
      </c>
      <c r="E14" s="13" t="s">
        <v>38</v>
      </c>
      <c r="F14" s="12" t="s">
        <v>512</v>
      </c>
      <c r="G14" s="20" t="str">
        <f t="array" ref="G14">IF(OR($F14="DERIVED_FROM_SIGN",$F14="MIRRORED"),"runtime",IFERROR(IF(INDEX(Balance_Taxonomy!$C$5:$C$400,MATCH($E14,Balance_Taxonomy!$B$5:$B$400,0))="Dr",IF($F14="INCREASE","Dr","Cr"),IF($F14="INCREASE","Cr","Dr")),"n/a"))</f>
        <v>Cr</v>
      </c>
      <c r="H14" s="12" t="s">
        <v>543</v>
      </c>
      <c r="I14" s="13" t="s">
        <v>780</v>
      </c>
      <c r="J14" s="12" t="s">
        <v>135</v>
      </c>
      <c r="K14" s="20" t="str">
        <f>IF(OR($E14="—",LEFT($E14,1)="("),"n/a",IF(COUNTIF(Balance_Taxonomy!$B$5:$B$400,$E14)&gt;0,"OK","UNKNOWN TYPE"))</f>
        <v>OK</v>
      </c>
      <c r="L14" s="20" t="str">
        <f>IF(COUNTIF(Amount_Basis!$A$5:$A$100,$H14)&gt;0,"OK","UNKNOWN CODE")</f>
        <v>OK</v>
      </c>
      <c r="M14" s="20" t="str">
        <f t="shared" si="1"/>
        <v>OK</v>
      </c>
      <c r="N14" s="20" t="str">
        <f t="array" ref="N14">IF($J14="MIRROR",IF($F14="MIRRORED","OK","INVALID - MIRROR needs MIRRORED"),IF(IFERROR(INDEX(Amount_Basis!$D$5:$D$100,MATCH($H14,Amount_Basis!$A$5:$A$100,0)),"")="SIGNED",IF($F14="DERIVED_FROM_SIGN","OK","INVALID - SIGNED basis needs DERIVED_FROM_SIGN"),IF(OR($F14="INCREASE",$F14="DECREASE",$F14="—"),"OK","INVALID - static direction required")))</f>
        <v>OK</v>
      </c>
      <c r="O14" s="12" t="s">
        <v>239</v>
      </c>
    </row>
    <row r="15">
      <c r="A15" s="12" t="s">
        <v>123</v>
      </c>
      <c r="B15" s="12" t="s">
        <v>228</v>
      </c>
      <c r="C15" s="12" t="s">
        <v>727</v>
      </c>
      <c r="D15" s="12">
        <v>2.0</v>
      </c>
      <c r="E15" s="13" t="s">
        <v>372</v>
      </c>
      <c r="F15" s="12" t="s">
        <v>671</v>
      </c>
      <c r="G15" s="20" t="str">
        <f t="array" ref="G15">IF(OR($F15="DERIVED_FROM_SIGN",$F15="MIRRORED"),"runtime",IFERROR(IF(INDEX(Balance_Taxonomy!$C$5:$C$400,MATCH($E15,Balance_Taxonomy!$B$5:$B$400,0))="Dr",IF($F15="INCREASE","Dr","Cr"),IF($F15="INCREASE","Cr","Dr")),"n/a"))</f>
        <v>Dr</v>
      </c>
      <c r="H15" s="12" t="s">
        <v>600</v>
      </c>
      <c r="I15" s="13" t="s">
        <v>857</v>
      </c>
      <c r="J15" s="12" t="s">
        <v>135</v>
      </c>
      <c r="K15" s="20" t="str">
        <f>IF(OR($E15="—",LEFT($E15,1)="("),"n/a",IF(COUNTIF(Balance_Taxonomy!$B$5:$B$400,$E15)&gt;0,"OK","UNKNOWN TYPE"))</f>
        <v>OK</v>
      </c>
      <c r="L15" s="20" t="str">
        <f>IF(COUNTIF(Amount_Basis!$A$5:$A$100,$H15)&gt;0,"OK","UNKNOWN CODE")</f>
        <v>OK</v>
      </c>
      <c r="M15" s="20" t="str">
        <f t="shared" si="1"/>
        <v>OK</v>
      </c>
      <c r="N15" s="20" t="str">
        <f t="array" ref="N15">IF($J15="MIRROR",IF($F15="MIRRORED","OK","INVALID - MIRROR needs MIRRORED"),IF(IFERROR(INDEX(Amount_Basis!$D$5:$D$100,MATCH($H15,Amount_Basis!$A$5:$A$100,0)),"")="SIGNED",IF($F15="DERIVED_FROM_SIGN","OK","INVALID - SIGNED basis needs DERIVED_FROM_SIGN"),IF(OR($F15="INCREASE",$F15="DECREASE",$F15="—"),"OK","INVALID - static direction required")))</f>
        <v>OK</v>
      </c>
      <c r="O15" s="12" t="s">
        <v>239</v>
      </c>
    </row>
    <row r="16">
      <c r="A16" s="12" t="s">
        <v>123</v>
      </c>
      <c r="B16" s="12" t="s">
        <v>228</v>
      </c>
      <c r="C16" s="12" t="s">
        <v>727</v>
      </c>
      <c r="D16" s="12">
        <v>2.0</v>
      </c>
      <c r="E16" s="13" t="s">
        <v>357</v>
      </c>
      <c r="F16" s="12" t="s">
        <v>512</v>
      </c>
      <c r="G16" s="20" t="str">
        <f t="array" ref="G16">IF(OR($F16="DERIVED_FROM_SIGN",$F16="MIRRORED"),"runtime",IFERROR(IF(INDEX(Balance_Taxonomy!$C$5:$C$400,MATCH($E16,Balance_Taxonomy!$B$5:$B$400,0))="Dr",IF($F16="INCREASE","Dr","Cr"),IF($F16="INCREASE","Cr","Dr")),"n/a"))</f>
        <v>Cr</v>
      </c>
      <c r="H16" s="12" t="s">
        <v>600</v>
      </c>
      <c r="I16" s="13" t="s">
        <v>857</v>
      </c>
      <c r="J16" s="12" t="s">
        <v>135</v>
      </c>
      <c r="K16" s="20" t="str">
        <f>IF(OR($E16="—",LEFT($E16,1)="("),"n/a",IF(COUNTIF(Balance_Taxonomy!$B$5:$B$400,$E16)&gt;0,"OK","UNKNOWN TYPE"))</f>
        <v>OK</v>
      </c>
      <c r="L16" s="20" t="str">
        <f>IF(COUNTIF(Amount_Basis!$A$5:$A$100,$H16)&gt;0,"OK","UNKNOWN CODE")</f>
        <v>OK</v>
      </c>
      <c r="M16" s="20" t="str">
        <f t="shared" si="1"/>
        <v>OK</v>
      </c>
      <c r="N16" s="20" t="str">
        <f t="array" ref="N16">IF($J16="MIRROR",IF($F16="MIRRORED","OK","INVALID - MIRROR needs MIRRORED"),IF(IFERROR(INDEX(Amount_Basis!$D$5:$D$100,MATCH($H16,Amount_Basis!$A$5:$A$100,0)),"")="SIGNED",IF($F16="DERIVED_FROM_SIGN","OK","INVALID - SIGNED basis needs DERIVED_FROM_SIGN"),IF(OR($F16="INCREASE",$F16="DECREASE",$F16="—"),"OK","INVALID - static direction required")))</f>
        <v>OK</v>
      </c>
      <c r="O16" s="12" t="s">
        <v>239</v>
      </c>
    </row>
    <row r="17">
      <c r="A17" s="9" t="s">
        <v>123</v>
      </c>
      <c r="B17" s="9" t="s">
        <v>268</v>
      </c>
      <c r="C17" s="9" t="s">
        <v>964</v>
      </c>
      <c r="D17" s="9">
        <v>1.0</v>
      </c>
      <c r="E17" s="10" t="s">
        <v>38</v>
      </c>
      <c r="F17" s="9" t="s">
        <v>671</v>
      </c>
      <c r="G17" s="16" t="str">
        <f t="array" ref="G17">IF(OR($F17="DERIVED_FROM_SIGN",$F17="MIRRORED"),"runtime",IFERROR(IF(INDEX(Balance_Taxonomy!$C$5:$C$400,MATCH($E17,Balance_Taxonomy!$B$5:$B$400,0))="Dr",IF($F17="INCREASE","Dr","Cr"),IF($F17="INCREASE","Cr","Dr")),"n/a"))</f>
        <v>Dr</v>
      </c>
      <c r="H17" s="9" t="s">
        <v>543</v>
      </c>
      <c r="I17" s="10" t="s">
        <v>780</v>
      </c>
      <c r="J17" s="9" t="s">
        <v>135</v>
      </c>
      <c r="K17" s="16" t="str">
        <f>IF(OR($E17="—",LEFT($E17,1)="("),"n/a",IF(COUNTIF(Balance_Taxonomy!$B$5:$B$400,$E17)&gt;0,"OK","UNKNOWN TYPE"))</f>
        <v>OK</v>
      </c>
      <c r="L17" s="16" t="str">
        <f>IF(COUNTIF(Amount_Basis!$A$5:$A$100,$H17)&gt;0,"OK","UNKNOWN CODE")</f>
        <v>OK</v>
      </c>
      <c r="M17" s="16" t="str">
        <f t="shared" si="1"/>
        <v>OK</v>
      </c>
      <c r="N17" s="16" t="str">
        <f t="array" ref="N17">IF($J17="MIRROR",IF($F17="MIRRORED","OK","INVALID - MIRROR needs MIRRORED"),IF(IFERROR(INDEX(Amount_Basis!$D$5:$D$100,MATCH($H17,Amount_Basis!$A$5:$A$100,0)),"")="SIGNED",IF($F17="DERIVED_FROM_SIGN","OK","INVALID - SIGNED basis needs DERIVED_FROM_SIGN"),IF(OR($F17="INCREASE",$F17="DECREASE",$F17="—"),"OK","INVALID - static direction required")))</f>
        <v>OK</v>
      </c>
      <c r="O17" s="9" t="s">
        <v>239</v>
      </c>
    </row>
    <row r="18">
      <c r="A18" s="9" t="s">
        <v>123</v>
      </c>
      <c r="B18" s="9" t="s">
        <v>268</v>
      </c>
      <c r="C18" s="9" t="s">
        <v>964</v>
      </c>
      <c r="D18" s="9">
        <v>1.0</v>
      </c>
      <c r="E18" s="10" t="s">
        <v>25</v>
      </c>
      <c r="F18" s="9" t="s">
        <v>671</v>
      </c>
      <c r="G18" s="16" t="str">
        <f t="array" ref="G18">IF(OR($F18="DERIVED_FROM_SIGN",$F18="MIRRORED"),"runtime",IFERROR(IF(INDEX(Balance_Taxonomy!$C$5:$C$400,MATCH($E18,Balance_Taxonomy!$B$5:$B$400,0))="Dr",IF($F18="INCREASE","Dr","Cr"),IF($F18="INCREASE","Cr","Dr")),"n/a"))</f>
        <v>Cr</v>
      </c>
      <c r="H18" s="9" t="s">
        <v>543</v>
      </c>
      <c r="I18" s="10" t="s">
        <v>780</v>
      </c>
      <c r="J18" s="9" t="s">
        <v>135</v>
      </c>
      <c r="K18" s="16" t="str">
        <f>IF(OR($E18="—",LEFT($E18,1)="("),"n/a",IF(COUNTIF(Balance_Taxonomy!$B$5:$B$400,$E18)&gt;0,"OK","UNKNOWN TYPE"))</f>
        <v>OK</v>
      </c>
      <c r="L18" s="16" t="str">
        <f>IF(COUNTIF(Amount_Basis!$A$5:$A$100,$H18)&gt;0,"OK","UNKNOWN CODE")</f>
        <v>OK</v>
      </c>
      <c r="M18" s="16" t="str">
        <f t="shared" si="1"/>
        <v>OK</v>
      </c>
      <c r="N18" s="16" t="str">
        <f t="array" ref="N18">IF($J18="MIRROR",IF($F18="MIRRORED","OK","INVALID - MIRROR needs MIRRORED"),IF(IFERROR(INDEX(Amount_Basis!$D$5:$D$100,MATCH($H18,Amount_Basis!$A$5:$A$100,0)),"")="SIGNED",IF($F18="DERIVED_FROM_SIGN","OK","INVALID - SIGNED basis needs DERIVED_FROM_SIGN"),IF(OR($F18="INCREASE",$F18="DECREASE",$F18="—"),"OK","INVALID - static direction required")))</f>
        <v>OK</v>
      </c>
      <c r="O18" s="9" t="s">
        <v>239</v>
      </c>
    </row>
    <row r="19">
      <c r="A19" s="12" t="s">
        <v>123</v>
      </c>
      <c r="B19" s="12" t="s">
        <v>293</v>
      </c>
      <c r="C19" s="12" t="s">
        <v>307</v>
      </c>
      <c r="D19" s="12">
        <v>1.0</v>
      </c>
      <c r="E19" s="13" t="s">
        <v>307</v>
      </c>
      <c r="F19" s="12" t="s">
        <v>307</v>
      </c>
      <c r="G19" s="20" t="str">
        <f t="array" ref="G19">IF(OR($F19="DERIVED_FROM_SIGN",$F19="MIRRORED"),"runtime",IFERROR(IF(INDEX(Balance_Taxonomy!$C$5:$C$400,MATCH($E19,Balance_Taxonomy!$B$5:$B$400,0))="Dr",IF($F19="INCREASE","Dr","Cr"),IF($F19="INCREASE","Cr","Dr")),"n/a"))</f>
        <v>n/a</v>
      </c>
      <c r="H19" s="12" t="s">
        <v>660</v>
      </c>
      <c r="I19" s="13" t="s">
        <v>661</v>
      </c>
      <c r="J19" s="12" t="s">
        <v>298</v>
      </c>
      <c r="K19" s="20" t="str">
        <f>IF(OR($E19="—",LEFT($E19,1)="("),"n/a",IF(COUNTIF(Balance_Taxonomy!$B$5:$B$400,$E19)&gt;0,"OK","UNKNOWN TYPE"))</f>
        <v>n/a</v>
      </c>
      <c r="L19" s="20" t="str">
        <f>IF(COUNTIF(Amount_Basis!$A$5:$A$100,$H19)&gt;0,"OK","UNKNOWN CODE")</f>
        <v>OK</v>
      </c>
      <c r="M19" s="20" t="str">
        <f t="shared" si="1"/>
        <v>OK</v>
      </c>
      <c r="N19" s="20" t="str">
        <f t="array" ref="N19">IF($J19="MIRROR",IF($F19="MIRRORED","OK","INVALID - MIRROR needs MIRRORED"),IF(IFERROR(INDEX(Amount_Basis!$D$5:$D$100,MATCH($H19,Amount_Basis!$A$5:$A$100,0)),"")="SIGNED",IF($F19="DERIVED_FROM_SIGN","OK","INVALID - SIGNED basis needs DERIVED_FROM_SIGN"),IF(OR($F19="INCREASE",$F19="DECREASE",$F19="—"),"OK","INVALID - static direction required")))</f>
        <v>OK</v>
      </c>
      <c r="O19" s="12" t="s">
        <v>239</v>
      </c>
    </row>
    <row r="20">
      <c r="A20" s="9" t="s">
        <v>123</v>
      </c>
      <c r="B20" s="9" t="s">
        <v>320</v>
      </c>
      <c r="C20" s="9" t="s">
        <v>1156</v>
      </c>
      <c r="D20" s="9">
        <v>1.0</v>
      </c>
      <c r="E20" s="10" t="s">
        <v>423</v>
      </c>
      <c r="F20" s="9" t="s">
        <v>512</v>
      </c>
      <c r="G20" s="16" t="str">
        <f t="array" ref="G20">IF(OR($F20="DERIVED_FROM_SIGN",$F20="MIRRORED"),"runtime",IFERROR(IF(INDEX(Balance_Taxonomy!$C$5:$C$400,MATCH($E20,Balance_Taxonomy!$B$5:$B$400,0))="Dr",IF($F20="INCREASE","Dr","Cr"),IF($F20="INCREASE","Cr","Dr")),"n/a"))</f>
        <v>Dr</v>
      </c>
      <c r="H20" s="9" t="s">
        <v>531</v>
      </c>
      <c r="I20" s="10" t="s">
        <v>1157</v>
      </c>
      <c r="J20" s="9" t="s">
        <v>326</v>
      </c>
      <c r="K20" s="16" t="str">
        <f>IF(OR($E20="—",LEFT($E20,1)="("),"n/a",IF(COUNTIF(Balance_Taxonomy!$B$5:$B$400,$E20)&gt;0,"OK","UNKNOWN TYPE"))</f>
        <v>OK</v>
      </c>
      <c r="L20" s="16" t="str">
        <f>IF(COUNTIF(Amount_Basis!$A$5:$A$100,$H20)&gt;0,"OK","UNKNOWN CODE")</f>
        <v>OK</v>
      </c>
      <c r="M20" s="16" t="str">
        <f t="shared" si="1"/>
        <v>OK</v>
      </c>
      <c r="N20" s="16" t="str">
        <f t="array" ref="N20">IF($J20="MIRROR",IF($F20="MIRRORED","OK","INVALID - MIRROR needs MIRRORED"),IF(IFERROR(INDEX(Amount_Basis!$D$5:$D$100,MATCH($H20,Amount_Basis!$A$5:$A$100,0)),"")="SIGNED",IF($F20="DERIVED_FROM_SIGN","OK","INVALID - SIGNED basis needs DERIVED_FROM_SIGN"),IF(OR($F20="INCREASE",$F20="DECREASE",$F20="—"),"OK","INVALID - static direction required")))</f>
        <v>OK</v>
      </c>
      <c r="O20" s="9" t="s">
        <v>171</v>
      </c>
    </row>
    <row r="21" ht="15.75" customHeight="1">
      <c r="A21" s="9" t="s">
        <v>123</v>
      </c>
      <c r="B21" s="9" t="s">
        <v>320</v>
      </c>
      <c r="C21" s="9" t="s">
        <v>1156</v>
      </c>
      <c r="D21" s="9">
        <v>1.0</v>
      </c>
      <c r="E21" s="10" t="s">
        <v>468</v>
      </c>
      <c r="F21" s="9" t="s">
        <v>512</v>
      </c>
      <c r="G21" s="16" t="str">
        <f t="array" ref="G21">IF(OR($F21="DERIVED_FROM_SIGN",$F21="MIRRORED"),"runtime",IFERROR(IF(INDEX(Balance_Taxonomy!$C$5:$C$400,MATCH($E21,Balance_Taxonomy!$B$5:$B$400,0))="Dr",IF($F21="INCREASE","Dr","Cr"),IF($F21="INCREASE","Cr","Dr")),"n/a"))</f>
        <v>Cr</v>
      </c>
      <c r="H21" s="9" t="s">
        <v>531</v>
      </c>
      <c r="I21" s="10" t="s">
        <v>1157</v>
      </c>
      <c r="J21" s="9" t="s">
        <v>326</v>
      </c>
      <c r="K21" s="16" t="str">
        <f>IF(OR($E21="—",LEFT($E21,1)="("),"n/a",IF(COUNTIF(Balance_Taxonomy!$B$5:$B$400,$E21)&gt;0,"OK","UNKNOWN TYPE"))</f>
        <v>OK</v>
      </c>
      <c r="L21" s="16" t="str">
        <f>IF(COUNTIF(Amount_Basis!$A$5:$A$100,$H21)&gt;0,"OK","UNKNOWN CODE")</f>
        <v>OK</v>
      </c>
      <c r="M21" s="16" t="str">
        <f t="shared" si="1"/>
        <v>OK</v>
      </c>
      <c r="N21" s="16" t="str">
        <f t="array" ref="N21">IF($J21="MIRROR",IF($F21="MIRRORED","OK","INVALID - MIRROR needs MIRRORED"),IF(IFERROR(INDEX(Amount_Basis!$D$5:$D$100,MATCH($H21,Amount_Basis!$A$5:$A$100,0)),"")="SIGNED",IF($F21="DERIVED_FROM_SIGN","OK","INVALID - SIGNED basis needs DERIVED_FROM_SIGN"),IF(OR($F21="INCREASE",$F21="DECREASE",$F21="—"),"OK","INVALID - static direction required")))</f>
        <v>OK</v>
      </c>
      <c r="O21" s="9" t="s">
        <v>171</v>
      </c>
    </row>
    <row r="22" ht="15.75" customHeight="1">
      <c r="A22" s="12" t="s">
        <v>123</v>
      </c>
      <c r="B22" s="12" t="s">
        <v>336</v>
      </c>
      <c r="C22" s="12" t="s">
        <v>1158</v>
      </c>
      <c r="D22" s="12">
        <v>1.0</v>
      </c>
      <c r="E22" s="13" t="s">
        <v>432</v>
      </c>
      <c r="F22" s="12" t="s">
        <v>512</v>
      </c>
      <c r="G22" s="20" t="str">
        <f t="array" ref="G22">IF(OR($F22="DERIVED_FROM_SIGN",$F22="MIRRORED"),"runtime",IFERROR(IF(INDEX(Balance_Taxonomy!$C$5:$C$400,MATCH($E22,Balance_Taxonomy!$B$5:$B$400,0))="Dr",IF($F22="INCREASE","Dr","Cr"),IF($F22="INCREASE","Cr","Dr")),"n/a"))</f>
        <v>Dr</v>
      </c>
      <c r="H22" s="12" t="s">
        <v>531</v>
      </c>
      <c r="I22" s="13" t="s">
        <v>1157</v>
      </c>
      <c r="J22" s="12" t="s">
        <v>326</v>
      </c>
      <c r="K22" s="20" t="str">
        <f>IF(OR($E22="—",LEFT($E22,1)="("),"n/a",IF(COUNTIF(Balance_Taxonomy!$B$5:$B$400,$E22)&gt;0,"OK","UNKNOWN TYPE"))</f>
        <v>OK</v>
      </c>
      <c r="L22" s="20" t="str">
        <f>IF(COUNTIF(Amount_Basis!$A$5:$A$100,$H22)&gt;0,"OK","UNKNOWN CODE")</f>
        <v>OK</v>
      </c>
      <c r="M22" s="20" t="str">
        <f t="shared" si="1"/>
        <v>OK</v>
      </c>
      <c r="N22" s="20" t="str">
        <f t="array" ref="N22">IF($J22="MIRROR",IF($F22="MIRRORED","OK","INVALID - MIRROR needs MIRRORED"),IF(IFERROR(INDEX(Amount_Basis!$D$5:$D$100,MATCH($H22,Amount_Basis!$A$5:$A$100,0)),"")="SIGNED",IF($F22="DERIVED_FROM_SIGN","OK","INVALID - SIGNED basis needs DERIVED_FROM_SIGN"),IF(OR($F22="INCREASE",$F22="DECREASE",$F22="—"),"OK","INVALID - static direction required")))</f>
        <v>OK</v>
      </c>
      <c r="O22" s="12" t="s">
        <v>171</v>
      </c>
    </row>
    <row r="23" ht="15.75" customHeight="1">
      <c r="A23" s="12" t="s">
        <v>123</v>
      </c>
      <c r="B23" s="12" t="s">
        <v>336</v>
      </c>
      <c r="C23" s="12" t="s">
        <v>1158</v>
      </c>
      <c r="D23" s="12">
        <v>1.0</v>
      </c>
      <c r="E23" s="13" t="s">
        <v>423</v>
      </c>
      <c r="F23" s="12" t="s">
        <v>671</v>
      </c>
      <c r="G23" s="20" t="str">
        <f t="array" ref="G23">IF(OR($F23="DERIVED_FROM_SIGN",$F23="MIRRORED"),"runtime",IFERROR(IF(INDEX(Balance_Taxonomy!$C$5:$C$400,MATCH($E23,Balance_Taxonomy!$B$5:$B$400,0))="Dr",IF($F23="INCREASE","Dr","Cr"),IF($F23="INCREASE","Cr","Dr")),"n/a"))</f>
        <v>Cr</v>
      </c>
      <c r="H23" s="12" t="s">
        <v>531</v>
      </c>
      <c r="I23" s="13" t="s">
        <v>1157</v>
      </c>
      <c r="J23" s="12" t="s">
        <v>326</v>
      </c>
      <c r="K23" s="20" t="str">
        <f>IF(OR($E23="—",LEFT($E23,1)="("),"n/a",IF(COUNTIF(Balance_Taxonomy!$B$5:$B$400,$E23)&gt;0,"OK","UNKNOWN TYPE"))</f>
        <v>OK</v>
      </c>
      <c r="L23" s="20" t="str">
        <f>IF(COUNTIF(Amount_Basis!$A$5:$A$100,$H23)&gt;0,"OK","UNKNOWN CODE")</f>
        <v>OK</v>
      </c>
      <c r="M23" s="20" t="str">
        <f t="shared" si="1"/>
        <v>OK</v>
      </c>
      <c r="N23" s="20" t="str">
        <f t="array" ref="N23">IF($J23="MIRROR",IF($F23="MIRRORED","OK","INVALID - MIRROR needs MIRRORED"),IF(IFERROR(INDEX(Amount_Basis!$D$5:$D$100,MATCH($H23,Amount_Basis!$A$5:$A$100,0)),"")="SIGNED",IF($F23="DERIVED_FROM_SIGN","OK","INVALID - SIGNED basis needs DERIVED_FROM_SIGN"),IF(OR($F23="INCREASE",$F23="DECREASE",$F23="—"),"OK","INVALID - static direction required")))</f>
        <v>OK</v>
      </c>
      <c r="O23" s="12" t="s">
        <v>171</v>
      </c>
    </row>
    <row r="24" ht="15.75" customHeight="1">
      <c r="A24" s="9" t="s">
        <v>123</v>
      </c>
      <c r="B24" s="9" t="s">
        <v>349</v>
      </c>
      <c r="C24" s="9" t="s">
        <v>307</v>
      </c>
      <c r="D24" s="9">
        <v>1.0</v>
      </c>
      <c r="E24" s="10" t="s">
        <v>307</v>
      </c>
      <c r="F24" s="9" t="s">
        <v>307</v>
      </c>
      <c r="G24" s="16" t="str">
        <f t="array" ref="G24">IF(OR($F24="DERIVED_FROM_SIGN",$F24="MIRRORED"),"runtime",IFERROR(IF(INDEX(Balance_Taxonomy!$C$5:$C$400,MATCH($E24,Balance_Taxonomy!$B$5:$B$400,0))="Dr",IF($F24="INCREASE","Dr","Cr"),IF($F24="INCREASE","Cr","Dr")),"n/a"))</f>
        <v>n/a</v>
      </c>
      <c r="H24" s="9" t="s">
        <v>660</v>
      </c>
      <c r="I24" s="10" t="s">
        <v>661</v>
      </c>
      <c r="J24" s="9" t="s">
        <v>353</v>
      </c>
      <c r="K24" s="16" t="str">
        <f>IF(OR($E24="—",LEFT($E24,1)="("),"n/a",IF(COUNTIF(Balance_Taxonomy!$B$5:$B$400,$E24)&gt;0,"OK","UNKNOWN TYPE"))</f>
        <v>n/a</v>
      </c>
      <c r="L24" s="16" t="str">
        <f>IF(COUNTIF(Amount_Basis!$A$5:$A$100,$H24)&gt;0,"OK","UNKNOWN CODE")</f>
        <v>OK</v>
      </c>
      <c r="M24" s="16" t="str">
        <f t="shared" si="1"/>
        <v>OK</v>
      </c>
      <c r="N24" s="16" t="str">
        <f t="array" ref="N24">IF($J24="MIRROR",IF($F24="MIRRORED","OK","INVALID - MIRROR needs MIRRORED"),IF(IFERROR(INDEX(Amount_Basis!$D$5:$D$100,MATCH($H24,Amount_Basis!$A$5:$A$100,0)),"")="SIGNED",IF($F24="DERIVED_FROM_SIGN","OK","INVALID - SIGNED basis needs DERIVED_FROM_SIGN"),IF(OR($F24="INCREASE",$F24="DECREASE",$F24="—"),"OK","INVALID - static direction required")))</f>
        <v>OK</v>
      </c>
      <c r="O24" s="9" t="s">
        <v>171</v>
      </c>
    </row>
    <row r="25" ht="15.75" customHeight="1">
      <c r="A25" s="12" t="s">
        <v>123</v>
      </c>
      <c r="B25" s="12" t="s">
        <v>364</v>
      </c>
      <c r="C25" s="12" t="s">
        <v>307</v>
      </c>
      <c r="D25" s="12">
        <v>1.0</v>
      </c>
      <c r="E25" s="13" t="s">
        <v>307</v>
      </c>
      <c r="F25" s="12" t="s">
        <v>307</v>
      </c>
      <c r="G25" s="20" t="str">
        <f t="array" ref="G25">IF(OR($F25="DERIVED_FROM_SIGN",$F25="MIRRORED"),"runtime",IFERROR(IF(INDEX(Balance_Taxonomy!$C$5:$C$400,MATCH($E25,Balance_Taxonomy!$B$5:$B$400,0))="Dr",IF($F25="INCREASE","Dr","Cr"),IF($F25="INCREASE","Cr","Dr")),"n/a"))</f>
        <v>n/a</v>
      </c>
      <c r="H25" s="12" t="s">
        <v>660</v>
      </c>
      <c r="I25" s="13" t="s">
        <v>661</v>
      </c>
      <c r="J25" s="12" t="s">
        <v>298</v>
      </c>
      <c r="K25" s="20" t="str">
        <f>IF(OR($E25="—",LEFT($E25,1)="("),"n/a",IF(COUNTIF(Balance_Taxonomy!$B$5:$B$400,$E25)&gt;0,"OK","UNKNOWN TYPE"))</f>
        <v>n/a</v>
      </c>
      <c r="L25" s="20" t="str">
        <f>IF(COUNTIF(Amount_Basis!$A$5:$A$100,$H25)&gt;0,"OK","UNKNOWN CODE")</f>
        <v>OK</v>
      </c>
      <c r="M25" s="20" t="str">
        <f t="shared" si="1"/>
        <v>OK</v>
      </c>
      <c r="N25" s="20" t="str">
        <f t="array" ref="N25">IF($J25="MIRROR",IF($F25="MIRRORED","OK","INVALID - MIRROR needs MIRRORED"),IF(IFERROR(INDEX(Amount_Basis!$D$5:$D$100,MATCH($H25,Amount_Basis!$A$5:$A$100,0)),"")="SIGNED",IF($F25="DERIVED_FROM_SIGN","OK","INVALID - SIGNED basis needs DERIVED_FROM_SIGN"),IF(OR($F25="INCREASE",$F25="DECREASE",$F25="—"),"OK","INVALID - static direction required")))</f>
        <v>OK</v>
      </c>
      <c r="O25" s="12" t="s">
        <v>171</v>
      </c>
    </row>
    <row r="26" ht="15.75" customHeight="1">
      <c r="A26" s="9" t="s">
        <v>123</v>
      </c>
      <c r="B26" s="9" t="s">
        <v>377</v>
      </c>
      <c r="C26" s="9" t="s">
        <v>964</v>
      </c>
      <c r="D26" s="9">
        <v>1.0</v>
      </c>
      <c r="E26" s="10" t="s">
        <v>38</v>
      </c>
      <c r="F26" s="9" t="s">
        <v>671</v>
      </c>
      <c r="G26" s="16" t="str">
        <f t="array" ref="G26">IF(OR($F26="DERIVED_FROM_SIGN",$F26="MIRRORED"),"runtime",IFERROR(IF(INDEX(Balance_Taxonomy!$C$5:$C$400,MATCH($E26,Balance_Taxonomy!$B$5:$B$400,0))="Dr",IF($F26="INCREASE","Dr","Cr"),IF($F26="INCREASE","Cr","Dr")),"n/a"))</f>
        <v>Dr</v>
      </c>
      <c r="H26" s="9" t="s">
        <v>531</v>
      </c>
      <c r="I26" s="10" t="s">
        <v>1157</v>
      </c>
      <c r="J26" s="9" t="s">
        <v>135</v>
      </c>
      <c r="K26" s="16" t="str">
        <f>IF(OR($E26="—",LEFT($E26,1)="("),"n/a",IF(COUNTIF(Balance_Taxonomy!$B$5:$B$400,$E26)&gt;0,"OK","UNKNOWN TYPE"))</f>
        <v>OK</v>
      </c>
      <c r="L26" s="16" t="str">
        <f>IF(COUNTIF(Amount_Basis!$A$5:$A$100,$H26)&gt;0,"OK","UNKNOWN CODE")</f>
        <v>OK</v>
      </c>
      <c r="M26" s="16" t="str">
        <f t="shared" si="1"/>
        <v>OK</v>
      </c>
      <c r="N26" s="16" t="str">
        <f t="array" ref="N26">IF($J26="MIRROR",IF($F26="MIRRORED","OK","INVALID - MIRROR needs MIRRORED"),IF(IFERROR(INDEX(Amount_Basis!$D$5:$D$100,MATCH($H26,Amount_Basis!$A$5:$A$100,0)),"")="SIGNED",IF($F26="DERIVED_FROM_SIGN","OK","INVALID - SIGNED basis needs DERIVED_FROM_SIGN"),IF(OR($F26="INCREASE",$F26="DECREASE",$F26="—"),"OK","INVALID - static direction required")))</f>
        <v>OK</v>
      </c>
      <c r="O26" s="9" t="s">
        <v>171</v>
      </c>
    </row>
    <row r="27" ht="15.75" customHeight="1">
      <c r="A27" s="9" t="s">
        <v>123</v>
      </c>
      <c r="B27" s="9" t="s">
        <v>377</v>
      </c>
      <c r="C27" s="9" t="s">
        <v>964</v>
      </c>
      <c r="D27" s="9">
        <v>1.0</v>
      </c>
      <c r="E27" s="10" t="s">
        <v>25</v>
      </c>
      <c r="F27" s="9" t="s">
        <v>671</v>
      </c>
      <c r="G27" s="16" t="str">
        <f t="array" ref="G27">IF(OR($F27="DERIVED_FROM_SIGN",$F27="MIRRORED"),"runtime",IFERROR(IF(INDEX(Balance_Taxonomy!$C$5:$C$400,MATCH($E27,Balance_Taxonomy!$B$5:$B$400,0))="Dr",IF($F27="INCREASE","Dr","Cr"),IF($F27="INCREASE","Cr","Dr")),"n/a"))</f>
        <v>Cr</v>
      </c>
      <c r="H27" s="9" t="s">
        <v>531</v>
      </c>
      <c r="I27" s="10" t="s">
        <v>1157</v>
      </c>
      <c r="J27" s="9" t="s">
        <v>135</v>
      </c>
      <c r="K27" s="16" t="str">
        <f>IF(OR($E27="—",LEFT($E27,1)="("),"n/a",IF(COUNTIF(Balance_Taxonomy!$B$5:$B$400,$E27)&gt;0,"OK","UNKNOWN TYPE"))</f>
        <v>OK</v>
      </c>
      <c r="L27" s="16" t="str">
        <f>IF(COUNTIF(Amount_Basis!$A$5:$A$100,$H27)&gt;0,"OK","UNKNOWN CODE")</f>
        <v>OK</v>
      </c>
      <c r="M27" s="16" t="str">
        <f t="shared" si="1"/>
        <v>OK</v>
      </c>
      <c r="N27" s="16" t="str">
        <f t="array" ref="N27">IF($J27="MIRROR",IF($F27="MIRRORED","OK","INVALID - MIRROR needs MIRRORED"),IF(IFERROR(INDEX(Amount_Basis!$D$5:$D$100,MATCH($H27,Amount_Basis!$A$5:$A$100,0)),"")="SIGNED",IF($F27="DERIVED_FROM_SIGN","OK","INVALID - SIGNED basis needs DERIVED_FROM_SIGN"),IF(OR($F27="INCREASE",$F27="DECREASE",$F27="—"),"OK","INVALID - static direction required")))</f>
        <v>OK</v>
      </c>
      <c r="O27" s="9" t="s">
        <v>171</v>
      </c>
    </row>
    <row r="28" ht="15.75" customHeight="1">
      <c r="A28" s="9" t="s">
        <v>123</v>
      </c>
      <c r="B28" s="9" t="s">
        <v>377</v>
      </c>
      <c r="C28" s="9" t="s">
        <v>1159</v>
      </c>
      <c r="D28" s="9">
        <v>2.0</v>
      </c>
      <c r="E28" s="10" t="s">
        <v>198</v>
      </c>
      <c r="F28" s="9" t="s">
        <v>512</v>
      </c>
      <c r="G28" s="16" t="str">
        <f t="array" ref="G28">IF(OR($F28="DERIVED_FROM_SIGN",$F28="MIRRORED"),"runtime",IFERROR(IF(INDEX(Balance_Taxonomy!$C$5:$C$400,MATCH($E28,Balance_Taxonomy!$B$5:$B$400,0))="Dr",IF($F28="INCREASE","Dr","Cr"),IF($F28="INCREASE","Cr","Dr")),"n/a"))</f>
        <v>Dr</v>
      </c>
      <c r="H28" s="9" t="s">
        <v>531</v>
      </c>
      <c r="I28" s="10" t="s">
        <v>1157</v>
      </c>
      <c r="J28" s="9" t="s">
        <v>135</v>
      </c>
      <c r="K28" s="16" t="str">
        <f>IF(OR($E28="—",LEFT($E28,1)="("),"n/a",IF(COUNTIF(Balance_Taxonomy!$B$5:$B$400,$E28)&gt;0,"OK","UNKNOWN TYPE"))</f>
        <v>OK</v>
      </c>
      <c r="L28" s="16" t="str">
        <f>IF(COUNTIF(Amount_Basis!$A$5:$A$100,$H28)&gt;0,"OK","UNKNOWN CODE")</f>
        <v>OK</v>
      </c>
      <c r="M28" s="16" t="str">
        <f t="shared" si="1"/>
        <v>OK</v>
      </c>
      <c r="N28" s="16" t="str">
        <f t="array" ref="N28">IF($J28="MIRROR",IF($F28="MIRRORED","OK","INVALID - MIRROR needs MIRRORED"),IF(IFERROR(INDEX(Amount_Basis!$D$5:$D$100,MATCH($H28,Amount_Basis!$A$5:$A$100,0)),"")="SIGNED",IF($F28="DERIVED_FROM_SIGN","OK","INVALID - SIGNED basis needs DERIVED_FROM_SIGN"),IF(OR($F28="INCREASE",$F28="DECREASE",$F28="—"),"OK","INVALID - static direction required")))</f>
        <v>OK</v>
      </c>
      <c r="O28" s="9" t="s">
        <v>171</v>
      </c>
    </row>
    <row r="29" ht="15.75" customHeight="1">
      <c r="A29" s="9" t="s">
        <v>123</v>
      </c>
      <c r="B29" s="9" t="s">
        <v>377</v>
      </c>
      <c r="C29" s="9" t="s">
        <v>1159</v>
      </c>
      <c r="D29" s="9">
        <v>2.0</v>
      </c>
      <c r="E29" s="10" t="s">
        <v>338</v>
      </c>
      <c r="F29" s="9" t="s">
        <v>512</v>
      </c>
      <c r="G29" s="16" t="str">
        <f t="array" ref="G29">IF(OR($F29="DERIVED_FROM_SIGN",$F29="MIRRORED"),"runtime",IFERROR(IF(INDEX(Balance_Taxonomy!$C$5:$C$400,MATCH($E29,Balance_Taxonomy!$B$5:$B$400,0))="Dr",IF($F29="INCREASE","Dr","Cr"),IF($F29="INCREASE","Cr","Dr")),"n/a"))</f>
        <v>Cr</v>
      </c>
      <c r="H29" s="9" t="s">
        <v>531</v>
      </c>
      <c r="I29" s="10" t="s">
        <v>1157</v>
      </c>
      <c r="J29" s="9" t="s">
        <v>135</v>
      </c>
      <c r="K29" s="16" t="str">
        <f>IF(OR($E29="—",LEFT($E29,1)="("),"n/a",IF(COUNTIF(Balance_Taxonomy!$B$5:$B$400,$E29)&gt;0,"OK","UNKNOWN TYPE"))</f>
        <v>OK</v>
      </c>
      <c r="L29" s="16" t="str">
        <f>IF(COUNTIF(Amount_Basis!$A$5:$A$100,$H29)&gt;0,"OK","UNKNOWN CODE")</f>
        <v>OK</v>
      </c>
      <c r="M29" s="16" t="str">
        <f t="shared" si="1"/>
        <v>OK</v>
      </c>
      <c r="N29" s="16" t="str">
        <f t="array" ref="N29">IF($J29="MIRROR",IF($F29="MIRRORED","OK","INVALID - MIRROR needs MIRRORED"),IF(IFERROR(INDEX(Amount_Basis!$D$5:$D$100,MATCH($H29,Amount_Basis!$A$5:$A$100,0)),"")="SIGNED",IF($F29="DERIVED_FROM_SIGN","OK","INVALID - SIGNED basis needs DERIVED_FROM_SIGN"),IF(OR($F29="INCREASE",$F29="DECREASE",$F29="—"),"OK","INVALID - static direction required")))</f>
        <v>OK</v>
      </c>
      <c r="O29" s="9" t="s">
        <v>171</v>
      </c>
    </row>
    <row r="30" ht="15.75" customHeight="1">
      <c r="A30" s="12" t="s">
        <v>123</v>
      </c>
      <c r="B30" s="12" t="s">
        <v>385</v>
      </c>
      <c r="C30" s="12" t="s">
        <v>1160</v>
      </c>
      <c r="D30" s="12">
        <v>1.0</v>
      </c>
      <c r="E30" s="13" t="s">
        <v>25</v>
      </c>
      <c r="F30" s="12" t="s">
        <v>512</v>
      </c>
      <c r="G30" s="20" t="str">
        <f t="array" ref="G30">IF(OR($F30="DERIVED_FROM_SIGN",$F30="MIRRORED"),"runtime",IFERROR(IF(INDEX(Balance_Taxonomy!$C$5:$C$400,MATCH($E30,Balance_Taxonomy!$B$5:$B$400,0))="Dr",IF($F30="INCREASE","Dr","Cr"),IF($F30="INCREASE","Cr","Dr")),"n/a"))</f>
        <v>Dr</v>
      </c>
      <c r="H30" s="12" t="s">
        <v>531</v>
      </c>
      <c r="I30" s="13" t="s">
        <v>1157</v>
      </c>
      <c r="J30" s="12" t="s">
        <v>135</v>
      </c>
      <c r="K30" s="20" t="str">
        <f>IF(OR($E30="—",LEFT($E30,1)="("),"n/a",IF(COUNTIF(Balance_Taxonomy!$B$5:$B$400,$E30)&gt;0,"OK","UNKNOWN TYPE"))</f>
        <v>OK</v>
      </c>
      <c r="L30" s="20" t="str">
        <f>IF(COUNTIF(Amount_Basis!$A$5:$A$100,$H30)&gt;0,"OK","UNKNOWN CODE")</f>
        <v>OK</v>
      </c>
      <c r="M30" s="20" t="str">
        <f t="shared" si="1"/>
        <v>OK</v>
      </c>
      <c r="N30" s="20" t="str">
        <f t="array" ref="N30">IF($J30="MIRROR",IF($F30="MIRRORED","OK","INVALID - MIRROR needs MIRRORED"),IF(IFERROR(INDEX(Amount_Basis!$D$5:$D$100,MATCH($H30,Amount_Basis!$A$5:$A$100,0)),"")="SIGNED",IF($F30="DERIVED_FROM_SIGN","OK","INVALID - SIGNED basis needs DERIVED_FROM_SIGN"),IF(OR($F30="INCREASE",$F30="DECREASE",$F30="—"),"OK","INVALID - static direction required")))</f>
        <v>OK</v>
      </c>
      <c r="O30" s="12" t="s">
        <v>171</v>
      </c>
    </row>
    <row r="31" ht="15.75" customHeight="1">
      <c r="A31" s="12" t="s">
        <v>123</v>
      </c>
      <c r="B31" s="12" t="s">
        <v>385</v>
      </c>
      <c r="C31" s="12" t="s">
        <v>1160</v>
      </c>
      <c r="D31" s="12">
        <v>1.0</v>
      </c>
      <c r="E31" s="13" t="s">
        <v>38</v>
      </c>
      <c r="F31" s="12" t="s">
        <v>512</v>
      </c>
      <c r="G31" s="20" t="str">
        <f t="array" ref="G31">IF(OR($F31="DERIVED_FROM_SIGN",$F31="MIRRORED"),"runtime",IFERROR(IF(INDEX(Balance_Taxonomy!$C$5:$C$400,MATCH($E31,Balance_Taxonomy!$B$5:$B$400,0))="Dr",IF($F31="INCREASE","Dr","Cr"),IF($F31="INCREASE","Cr","Dr")),"n/a"))</f>
        <v>Cr</v>
      </c>
      <c r="H31" s="12" t="s">
        <v>531</v>
      </c>
      <c r="I31" s="13" t="s">
        <v>1157</v>
      </c>
      <c r="J31" s="12" t="s">
        <v>135</v>
      </c>
      <c r="K31" s="20" t="str">
        <f>IF(OR($E31="—",LEFT($E31,1)="("),"n/a",IF(COUNTIF(Balance_Taxonomy!$B$5:$B$400,$E31)&gt;0,"OK","UNKNOWN TYPE"))</f>
        <v>OK</v>
      </c>
      <c r="L31" s="20" t="str">
        <f>IF(COUNTIF(Amount_Basis!$A$5:$A$100,$H31)&gt;0,"OK","UNKNOWN CODE")</f>
        <v>OK</v>
      </c>
      <c r="M31" s="20" t="str">
        <f t="shared" si="1"/>
        <v>OK</v>
      </c>
      <c r="N31" s="20" t="str">
        <f t="array" ref="N31">IF($J31="MIRROR",IF($F31="MIRRORED","OK","INVALID - MIRROR needs MIRRORED"),IF(IFERROR(INDEX(Amount_Basis!$D$5:$D$100,MATCH($H31,Amount_Basis!$A$5:$A$100,0)),"")="SIGNED",IF($F31="DERIVED_FROM_SIGN","OK","INVALID - SIGNED basis needs DERIVED_FROM_SIGN"),IF(OR($F31="INCREASE",$F31="DECREASE",$F31="—"),"OK","INVALID - static direction required")))</f>
        <v>OK</v>
      </c>
      <c r="O31" s="12" t="s">
        <v>171</v>
      </c>
    </row>
    <row r="32" ht="15.75" customHeight="1">
      <c r="A32" s="12" t="s">
        <v>123</v>
      </c>
      <c r="B32" s="12" t="s">
        <v>385</v>
      </c>
      <c r="C32" s="12" t="s">
        <v>1161</v>
      </c>
      <c r="D32" s="12">
        <v>2.0</v>
      </c>
      <c r="E32" s="13" t="s">
        <v>296</v>
      </c>
      <c r="F32" s="12" t="s">
        <v>512</v>
      </c>
      <c r="G32" s="20" t="str">
        <f t="array" ref="G32">IF(OR($F32="DERIVED_FROM_SIGN",$F32="MIRRORED"),"runtime",IFERROR(IF(INDEX(Balance_Taxonomy!$C$5:$C$400,MATCH($E32,Balance_Taxonomy!$B$5:$B$400,0))="Dr",IF($F32="INCREASE","Dr","Cr"),IF($F32="INCREASE","Cr","Dr")),"n/a"))</f>
        <v>Dr</v>
      </c>
      <c r="H32" s="12" t="s">
        <v>531</v>
      </c>
      <c r="I32" s="13" t="s">
        <v>1157</v>
      </c>
      <c r="J32" s="12" t="s">
        <v>135</v>
      </c>
      <c r="K32" s="20" t="str">
        <f>IF(OR($E32="—",LEFT($E32,1)="("),"n/a",IF(COUNTIF(Balance_Taxonomy!$B$5:$B$400,$E32)&gt;0,"OK","UNKNOWN TYPE"))</f>
        <v>OK</v>
      </c>
      <c r="L32" s="20" t="str">
        <f>IF(COUNTIF(Amount_Basis!$A$5:$A$100,$H32)&gt;0,"OK","UNKNOWN CODE")</f>
        <v>OK</v>
      </c>
      <c r="M32" s="20" t="str">
        <f t="shared" si="1"/>
        <v>OK</v>
      </c>
      <c r="N32" s="20" t="str">
        <f t="array" ref="N32">IF($J32="MIRROR",IF($F32="MIRRORED","OK","INVALID - MIRROR needs MIRRORED"),IF(IFERROR(INDEX(Amount_Basis!$D$5:$D$100,MATCH($H32,Amount_Basis!$A$5:$A$100,0)),"")="SIGNED",IF($F32="DERIVED_FROM_SIGN","OK","INVALID - SIGNED basis needs DERIVED_FROM_SIGN"),IF(OR($F32="INCREASE",$F32="DECREASE",$F32="—"),"OK","INVALID - static direction required")))</f>
        <v>OK</v>
      </c>
      <c r="O32" s="12" t="s">
        <v>171</v>
      </c>
    </row>
    <row r="33" ht="15.75" customHeight="1">
      <c r="A33" s="12" t="s">
        <v>123</v>
      </c>
      <c r="B33" s="12" t="s">
        <v>385</v>
      </c>
      <c r="C33" s="12" t="s">
        <v>1161</v>
      </c>
      <c r="D33" s="12">
        <v>2.0</v>
      </c>
      <c r="E33" s="13" t="s">
        <v>198</v>
      </c>
      <c r="F33" s="12" t="s">
        <v>671</v>
      </c>
      <c r="G33" s="20" t="str">
        <f t="array" ref="G33">IF(OR($F33="DERIVED_FROM_SIGN",$F33="MIRRORED"),"runtime",IFERROR(IF(INDEX(Balance_Taxonomy!$C$5:$C$400,MATCH($E33,Balance_Taxonomy!$B$5:$B$400,0))="Dr",IF($F33="INCREASE","Dr","Cr"),IF($F33="INCREASE","Cr","Dr")),"n/a"))</f>
        <v>Cr</v>
      </c>
      <c r="H33" s="12" t="s">
        <v>531</v>
      </c>
      <c r="I33" s="13" t="s">
        <v>1157</v>
      </c>
      <c r="J33" s="12" t="s">
        <v>135</v>
      </c>
      <c r="K33" s="20" t="str">
        <f>IF(OR($E33="—",LEFT($E33,1)="("),"n/a",IF(COUNTIF(Balance_Taxonomy!$B$5:$B$400,$E33)&gt;0,"OK","UNKNOWN TYPE"))</f>
        <v>OK</v>
      </c>
      <c r="L33" s="20" t="str">
        <f>IF(COUNTIF(Amount_Basis!$A$5:$A$100,$H33)&gt;0,"OK","UNKNOWN CODE")</f>
        <v>OK</v>
      </c>
      <c r="M33" s="20" t="str">
        <f t="shared" si="1"/>
        <v>OK</v>
      </c>
      <c r="N33" s="20" t="str">
        <f t="array" ref="N33">IF($J33="MIRROR",IF($F33="MIRRORED","OK","INVALID - MIRROR needs MIRRORED"),IF(IFERROR(INDEX(Amount_Basis!$D$5:$D$100,MATCH($H33,Amount_Basis!$A$5:$A$100,0)),"")="SIGNED",IF($F33="DERIVED_FROM_SIGN","OK","INVALID - SIGNED basis needs DERIVED_FROM_SIGN"),IF(OR($F33="INCREASE",$F33="DECREASE",$F33="—"),"OK","INVALID - static direction required")))</f>
        <v>OK</v>
      </c>
      <c r="O33" s="12" t="s">
        <v>171</v>
      </c>
    </row>
    <row r="34" ht="15.75" customHeight="1">
      <c r="A34" s="9" t="s">
        <v>123</v>
      </c>
      <c r="B34" s="9" t="s">
        <v>396</v>
      </c>
      <c r="C34" s="9" t="s">
        <v>964</v>
      </c>
      <c r="D34" s="9">
        <v>1.0</v>
      </c>
      <c r="E34" s="10" t="s">
        <v>38</v>
      </c>
      <c r="F34" s="9" t="s">
        <v>671</v>
      </c>
      <c r="G34" s="16" t="str">
        <f t="array" ref="G34">IF(OR($F34="DERIVED_FROM_SIGN",$F34="MIRRORED"),"runtime",IFERROR(IF(INDEX(Balance_Taxonomy!$C$5:$C$400,MATCH($E34,Balance_Taxonomy!$B$5:$B$400,0))="Dr",IF($F34="INCREASE","Dr","Cr"),IF($F34="INCREASE","Cr","Dr")),"n/a"))</f>
        <v>Dr</v>
      </c>
      <c r="H34" s="9" t="s">
        <v>531</v>
      </c>
      <c r="I34" s="10" t="s">
        <v>1157</v>
      </c>
      <c r="J34" s="9" t="s">
        <v>135</v>
      </c>
      <c r="K34" s="16" t="str">
        <f>IF(OR($E34="—",LEFT($E34,1)="("),"n/a",IF(COUNTIF(Balance_Taxonomy!$B$5:$B$400,$E34)&gt;0,"OK","UNKNOWN TYPE"))</f>
        <v>OK</v>
      </c>
      <c r="L34" s="16" t="str">
        <f>IF(COUNTIF(Amount_Basis!$A$5:$A$100,$H34)&gt;0,"OK","UNKNOWN CODE")</f>
        <v>OK</v>
      </c>
      <c r="M34" s="16" t="str">
        <f t="shared" si="1"/>
        <v>OK</v>
      </c>
      <c r="N34" s="16" t="str">
        <f t="array" ref="N34">IF($J34="MIRROR",IF($F34="MIRRORED","OK","INVALID - MIRROR needs MIRRORED"),IF(IFERROR(INDEX(Amount_Basis!$D$5:$D$100,MATCH($H34,Amount_Basis!$A$5:$A$100,0)),"")="SIGNED",IF($F34="DERIVED_FROM_SIGN","OK","INVALID - SIGNED basis needs DERIVED_FROM_SIGN"),IF(OR($F34="INCREASE",$F34="DECREASE",$F34="—"),"OK","INVALID - static direction required")))</f>
        <v>OK</v>
      </c>
      <c r="O34" s="9" t="s">
        <v>142</v>
      </c>
    </row>
    <row r="35" ht="15.75" customHeight="1">
      <c r="A35" s="9" t="s">
        <v>123</v>
      </c>
      <c r="B35" s="9" t="s">
        <v>396</v>
      </c>
      <c r="C35" s="9" t="s">
        <v>964</v>
      </c>
      <c r="D35" s="9">
        <v>1.0</v>
      </c>
      <c r="E35" s="10" t="s">
        <v>25</v>
      </c>
      <c r="F35" s="9" t="s">
        <v>671</v>
      </c>
      <c r="G35" s="16" t="str">
        <f t="array" ref="G35">IF(OR($F35="DERIVED_FROM_SIGN",$F35="MIRRORED"),"runtime",IFERROR(IF(INDEX(Balance_Taxonomy!$C$5:$C$400,MATCH($E35,Balance_Taxonomy!$B$5:$B$400,0))="Dr",IF($F35="INCREASE","Dr","Cr"),IF($F35="INCREASE","Cr","Dr")),"n/a"))</f>
        <v>Cr</v>
      </c>
      <c r="H35" s="9" t="s">
        <v>531</v>
      </c>
      <c r="I35" s="10" t="s">
        <v>1157</v>
      </c>
      <c r="J35" s="9" t="s">
        <v>135</v>
      </c>
      <c r="K35" s="16" t="str">
        <f>IF(OR($E35="—",LEFT($E35,1)="("),"n/a",IF(COUNTIF(Balance_Taxonomy!$B$5:$B$400,$E35)&gt;0,"OK","UNKNOWN TYPE"))</f>
        <v>OK</v>
      </c>
      <c r="L35" s="16" t="str">
        <f>IF(COUNTIF(Amount_Basis!$A$5:$A$100,$H35)&gt;0,"OK","UNKNOWN CODE")</f>
        <v>OK</v>
      </c>
      <c r="M35" s="16" t="str">
        <f t="shared" si="1"/>
        <v>OK</v>
      </c>
      <c r="N35" s="16" t="str">
        <f t="array" ref="N35">IF($J35="MIRROR",IF($F35="MIRRORED","OK","INVALID - MIRROR needs MIRRORED"),IF(IFERROR(INDEX(Amount_Basis!$D$5:$D$100,MATCH($H35,Amount_Basis!$A$5:$A$100,0)),"")="SIGNED",IF($F35="DERIVED_FROM_SIGN","OK","INVALID - SIGNED basis needs DERIVED_FROM_SIGN"),IF(OR($F35="INCREASE",$F35="DECREASE",$F35="—"),"OK","INVALID - static direction required")))</f>
        <v>OK</v>
      </c>
      <c r="O35" s="9" t="s">
        <v>142</v>
      </c>
    </row>
    <row r="36" ht="15.75" customHeight="1">
      <c r="A36" s="9" t="s">
        <v>123</v>
      </c>
      <c r="B36" s="9" t="s">
        <v>396</v>
      </c>
      <c r="C36" s="9" t="s">
        <v>1162</v>
      </c>
      <c r="D36" s="9">
        <v>2.0</v>
      </c>
      <c r="E36" s="10" t="s">
        <v>122</v>
      </c>
      <c r="F36" s="9" t="s">
        <v>512</v>
      </c>
      <c r="G36" s="16" t="str">
        <f t="array" ref="G36">IF(OR($F36="DERIVED_FROM_SIGN",$F36="MIRRORED"),"runtime",IFERROR(IF(INDEX(Balance_Taxonomy!$C$5:$C$400,MATCH($E36,Balance_Taxonomy!$B$5:$B$400,0))="Dr",IF($F36="INCREASE","Dr","Cr"),IF($F36="INCREASE","Cr","Dr")),"n/a"))</f>
        <v>Dr</v>
      </c>
      <c r="H36" s="9" t="s">
        <v>531</v>
      </c>
      <c r="I36" s="10" t="s">
        <v>1157</v>
      </c>
      <c r="J36" s="9" t="s">
        <v>135</v>
      </c>
      <c r="K36" s="16" t="str">
        <f>IF(OR($E36="—",LEFT($E36,1)="("),"n/a",IF(COUNTIF(Balance_Taxonomy!$B$5:$B$400,$E36)&gt;0,"OK","UNKNOWN TYPE"))</f>
        <v>OK</v>
      </c>
      <c r="L36" s="16" t="str">
        <f>IF(COUNTIF(Amount_Basis!$A$5:$A$100,$H36)&gt;0,"OK","UNKNOWN CODE")</f>
        <v>OK</v>
      </c>
      <c r="M36" s="16" t="str">
        <f t="shared" si="1"/>
        <v>OK</v>
      </c>
      <c r="N36" s="16" t="str">
        <f t="array" ref="N36">IF($J36="MIRROR",IF($F36="MIRRORED","OK","INVALID - MIRROR needs MIRRORED"),IF(IFERROR(INDEX(Amount_Basis!$D$5:$D$100,MATCH($H36,Amount_Basis!$A$5:$A$100,0)),"")="SIGNED",IF($F36="DERIVED_FROM_SIGN","OK","INVALID - SIGNED basis needs DERIVED_FROM_SIGN"),IF(OR($F36="INCREASE",$F36="DECREASE",$F36="—"),"OK","INVALID - static direction required")))</f>
        <v>OK</v>
      </c>
      <c r="O36" s="9" t="s">
        <v>142</v>
      </c>
    </row>
    <row r="37" ht="15.75" customHeight="1">
      <c r="A37" s="9" t="s">
        <v>123</v>
      </c>
      <c r="B37" s="9" t="s">
        <v>396</v>
      </c>
      <c r="C37" s="9" t="s">
        <v>1162</v>
      </c>
      <c r="D37" s="9">
        <v>2.0</v>
      </c>
      <c r="E37" s="10" t="s">
        <v>338</v>
      </c>
      <c r="F37" s="9" t="s">
        <v>512</v>
      </c>
      <c r="G37" s="16" t="str">
        <f t="array" ref="G37">IF(OR($F37="DERIVED_FROM_SIGN",$F37="MIRRORED"),"runtime",IFERROR(IF(INDEX(Balance_Taxonomy!$C$5:$C$400,MATCH($E37,Balance_Taxonomy!$B$5:$B$400,0))="Dr",IF($F37="INCREASE","Dr","Cr"),IF($F37="INCREASE","Cr","Dr")),"n/a"))</f>
        <v>Cr</v>
      </c>
      <c r="H37" s="9" t="s">
        <v>531</v>
      </c>
      <c r="I37" s="10" t="s">
        <v>1157</v>
      </c>
      <c r="J37" s="9" t="s">
        <v>135</v>
      </c>
      <c r="K37" s="16" t="str">
        <f>IF(OR($E37="—",LEFT($E37,1)="("),"n/a",IF(COUNTIF(Balance_Taxonomy!$B$5:$B$400,$E37)&gt;0,"OK","UNKNOWN TYPE"))</f>
        <v>OK</v>
      </c>
      <c r="L37" s="16" t="str">
        <f>IF(COUNTIF(Amount_Basis!$A$5:$A$100,$H37)&gt;0,"OK","UNKNOWN CODE")</f>
        <v>OK</v>
      </c>
      <c r="M37" s="16" t="str">
        <f t="shared" si="1"/>
        <v>OK</v>
      </c>
      <c r="N37" s="16" t="str">
        <f t="array" ref="N37">IF($J37="MIRROR",IF($F37="MIRRORED","OK","INVALID - MIRROR needs MIRRORED"),IF(IFERROR(INDEX(Amount_Basis!$D$5:$D$100,MATCH($H37,Amount_Basis!$A$5:$A$100,0)),"")="SIGNED",IF($F37="DERIVED_FROM_SIGN","OK","INVALID - SIGNED basis needs DERIVED_FROM_SIGN"),IF(OR($F37="INCREASE",$F37="DECREASE",$F37="—"),"OK","INVALID - static direction required")))</f>
        <v>OK</v>
      </c>
      <c r="O37" s="9" t="s">
        <v>142</v>
      </c>
    </row>
    <row r="38" ht="15.75" customHeight="1">
      <c r="A38" s="9" t="s">
        <v>123</v>
      </c>
      <c r="B38" s="9" t="s">
        <v>396</v>
      </c>
      <c r="C38" s="9" t="s">
        <v>1163</v>
      </c>
      <c r="D38" s="9">
        <v>3.0</v>
      </c>
      <c r="E38" s="10" t="s">
        <v>347</v>
      </c>
      <c r="F38" s="9" t="s">
        <v>671</v>
      </c>
      <c r="G38" s="16" t="str">
        <f t="array" ref="G38">IF(OR($F38="DERIVED_FROM_SIGN",$F38="MIRRORED"),"runtime",IFERROR(IF(INDEX(Balance_Taxonomy!$C$5:$C$400,MATCH($E38,Balance_Taxonomy!$B$5:$B$400,0))="Dr",IF($F38="INCREASE","Dr","Cr"),IF($F38="INCREASE","Cr","Dr")),"n/a"))</f>
        <v>Dr</v>
      </c>
      <c r="H38" s="9" t="s">
        <v>556</v>
      </c>
      <c r="I38" s="10" t="s">
        <v>1164</v>
      </c>
      <c r="J38" s="9" t="s">
        <v>135</v>
      </c>
      <c r="K38" s="16" t="str">
        <f>IF(OR($E38="—",LEFT($E38,1)="("),"n/a",IF(COUNTIF(Balance_Taxonomy!$B$5:$B$400,$E38)&gt;0,"OK","UNKNOWN TYPE"))</f>
        <v>OK</v>
      </c>
      <c r="L38" s="16" t="str">
        <f>IF(COUNTIF(Amount_Basis!$A$5:$A$100,$H38)&gt;0,"OK","UNKNOWN CODE")</f>
        <v>OK</v>
      </c>
      <c r="M38" s="16" t="str">
        <f t="shared" si="1"/>
        <v>OK</v>
      </c>
      <c r="N38" s="16" t="str">
        <f t="array" ref="N38">IF($J38="MIRROR",IF($F38="MIRRORED","OK","INVALID - MIRROR needs MIRRORED"),IF(IFERROR(INDEX(Amount_Basis!$D$5:$D$100,MATCH($H38,Amount_Basis!$A$5:$A$100,0)),"")="SIGNED",IF($F38="DERIVED_FROM_SIGN","OK","INVALID - SIGNED basis needs DERIVED_FROM_SIGN"),IF(OR($F38="INCREASE",$F38="DECREASE",$F38="—"),"OK","INVALID - static direction required")))</f>
        <v>OK</v>
      </c>
      <c r="O38" s="9" t="s">
        <v>142</v>
      </c>
    </row>
    <row r="39" ht="15.75" customHeight="1">
      <c r="A39" s="9" t="s">
        <v>123</v>
      </c>
      <c r="B39" s="9" t="s">
        <v>396</v>
      </c>
      <c r="C39" s="9" t="s">
        <v>1163</v>
      </c>
      <c r="D39" s="9">
        <v>3.0</v>
      </c>
      <c r="E39" s="10" t="s">
        <v>122</v>
      </c>
      <c r="F39" s="9" t="s">
        <v>671</v>
      </c>
      <c r="G39" s="16" t="str">
        <f t="array" ref="G39">IF(OR($F39="DERIVED_FROM_SIGN",$F39="MIRRORED"),"runtime",IFERROR(IF(INDEX(Balance_Taxonomy!$C$5:$C$400,MATCH($E39,Balance_Taxonomy!$B$5:$B$400,0))="Dr",IF($F39="INCREASE","Dr","Cr"),IF($F39="INCREASE","Cr","Dr")),"n/a"))</f>
        <v>Cr</v>
      </c>
      <c r="H39" s="9" t="s">
        <v>556</v>
      </c>
      <c r="I39" s="10" t="s">
        <v>1164</v>
      </c>
      <c r="J39" s="9" t="s">
        <v>135</v>
      </c>
      <c r="K39" s="16" t="str">
        <f>IF(OR($E39="—",LEFT($E39,1)="("),"n/a",IF(COUNTIF(Balance_Taxonomy!$B$5:$B$400,$E39)&gt;0,"OK","UNKNOWN TYPE"))</f>
        <v>OK</v>
      </c>
      <c r="L39" s="16" t="str">
        <f>IF(COUNTIF(Amount_Basis!$A$5:$A$100,$H39)&gt;0,"OK","UNKNOWN CODE")</f>
        <v>OK</v>
      </c>
      <c r="M39" s="16" t="str">
        <f t="shared" si="1"/>
        <v>OK</v>
      </c>
      <c r="N39" s="16" t="str">
        <f t="array" ref="N39">IF($J39="MIRROR",IF($F39="MIRRORED","OK","INVALID - MIRROR needs MIRRORED"),IF(IFERROR(INDEX(Amount_Basis!$D$5:$D$100,MATCH($H39,Amount_Basis!$A$5:$A$100,0)),"")="SIGNED",IF($F39="DERIVED_FROM_SIGN","OK","INVALID - SIGNED basis needs DERIVED_FROM_SIGN"),IF(OR($F39="INCREASE",$F39="DECREASE",$F39="—"),"OK","INVALID - static direction required")))</f>
        <v>OK</v>
      </c>
      <c r="O39" s="9" t="s">
        <v>142</v>
      </c>
    </row>
    <row r="40" ht="15.75" customHeight="1">
      <c r="A40" s="9" t="s">
        <v>123</v>
      </c>
      <c r="B40" s="9" t="s">
        <v>396</v>
      </c>
      <c r="C40" s="9" t="s">
        <v>1165</v>
      </c>
      <c r="D40" s="9">
        <v>4.0</v>
      </c>
      <c r="E40" s="10" t="s">
        <v>372</v>
      </c>
      <c r="F40" s="9" t="s">
        <v>671</v>
      </c>
      <c r="G40" s="16" t="str">
        <f t="array" ref="G40">IF(OR($F40="DERIVED_FROM_SIGN",$F40="MIRRORED"),"runtime",IFERROR(IF(INDEX(Balance_Taxonomy!$C$5:$C$400,MATCH($E40,Balance_Taxonomy!$B$5:$B$400,0))="Dr",IF($F40="INCREASE","Dr","Cr"),IF($F40="INCREASE","Cr","Dr")),"n/a"))</f>
        <v>Dr</v>
      </c>
      <c r="H40" s="9" t="s">
        <v>568</v>
      </c>
      <c r="I40" s="10" t="s">
        <v>1166</v>
      </c>
      <c r="J40" s="9" t="s">
        <v>135</v>
      </c>
      <c r="K40" s="16" t="str">
        <f>IF(OR($E40="—",LEFT($E40,1)="("),"n/a",IF(COUNTIF(Balance_Taxonomy!$B$5:$B$400,$E40)&gt;0,"OK","UNKNOWN TYPE"))</f>
        <v>OK</v>
      </c>
      <c r="L40" s="16" t="str">
        <f>IF(COUNTIF(Amount_Basis!$A$5:$A$100,$H40)&gt;0,"OK","UNKNOWN CODE")</f>
        <v>OK</v>
      </c>
      <c r="M40" s="16" t="str">
        <f t="shared" si="1"/>
        <v>OK</v>
      </c>
      <c r="N40" s="16" t="str">
        <f t="array" ref="N40">IF($J40="MIRROR",IF($F40="MIRRORED","OK","INVALID - MIRROR needs MIRRORED"),IF(IFERROR(INDEX(Amount_Basis!$D$5:$D$100,MATCH($H40,Amount_Basis!$A$5:$A$100,0)),"")="SIGNED",IF($F40="DERIVED_FROM_SIGN","OK","INVALID - SIGNED basis needs DERIVED_FROM_SIGN"),IF(OR($F40="INCREASE",$F40="DECREASE",$F40="—"),"OK","INVALID - static direction required")))</f>
        <v>OK</v>
      </c>
      <c r="O40" s="9" t="s">
        <v>142</v>
      </c>
    </row>
    <row r="41" ht="15.75" customHeight="1">
      <c r="A41" s="9" t="s">
        <v>123</v>
      </c>
      <c r="B41" s="9" t="s">
        <v>396</v>
      </c>
      <c r="C41" s="9" t="s">
        <v>1165</v>
      </c>
      <c r="D41" s="9">
        <v>4.0</v>
      </c>
      <c r="E41" s="10" t="s">
        <v>122</v>
      </c>
      <c r="F41" s="9" t="s">
        <v>671</v>
      </c>
      <c r="G41" s="16" t="str">
        <f t="array" ref="G41">IF(OR($F41="DERIVED_FROM_SIGN",$F41="MIRRORED"),"runtime",IFERROR(IF(INDEX(Balance_Taxonomy!$C$5:$C$400,MATCH($E41,Balance_Taxonomy!$B$5:$B$400,0))="Dr",IF($F41="INCREASE","Dr","Cr"),IF($F41="INCREASE","Cr","Dr")),"n/a"))</f>
        <v>Cr</v>
      </c>
      <c r="H41" s="9" t="s">
        <v>568</v>
      </c>
      <c r="I41" s="10" t="s">
        <v>1166</v>
      </c>
      <c r="J41" s="9" t="s">
        <v>135</v>
      </c>
      <c r="K41" s="16" t="str">
        <f>IF(OR($E41="—",LEFT($E41,1)="("),"n/a",IF(COUNTIF(Balance_Taxonomy!$B$5:$B$400,$E41)&gt;0,"OK","UNKNOWN TYPE"))</f>
        <v>OK</v>
      </c>
      <c r="L41" s="16" t="str">
        <f>IF(COUNTIF(Amount_Basis!$A$5:$A$100,$H41)&gt;0,"OK","UNKNOWN CODE")</f>
        <v>OK</v>
      </c>
      <c r="M41" s="16" t="str">
        <f t="shared" si="1"/>
        <v>OK</v>
      </c>
      <c r="N41" s="16" t="str">
        <f t="array" ref="N41">IF($J41="MIRROR",IF($F41="MIRRORED","OK","INVALID - MIRROR needs MIRRORED"),IF(IFERROR(INDEX(Amount_Basis!$D$5:$D$100,MATCH($H41,Amount_Basis!$A$5:$A$100,0)),"")="SIGNED",IF($F41="DERIVED_FROM_SIGN","OK","INVALID - SIGNED basis needs DERIVED_FROM_SIGN"),IF(OR($F41="INCREASE",$F41="DECREASE",$F41="—"),"OK","INVALID - static direction required")))</f>
        <v>OK</v>
      </c>
      <c r="O41" s="9" t="s">
        <v>142</v>
      </c>
    </row>
    <row r="42" ht="15.75" customHeight="1">
      <c r="A42" s="9" t="s">
        <v>123</v>
      </c>
      <c r="B42" s="9" t="s">
        <v>396</v>
      </c>
      <c r="C42" s="9" t="s">
        <v>1167</v>
      </c>
      <c r="D42" s="9">
        <v>5.0</v>
      </c>
      <c r="E42" s="10" t="s">
        <v>338</v>
      </c>
      <c r="F42" s="9" t="s">
        <v>671</v>
      </c>
      <c r="G42" s="16" t="str">
        <f t="array" ref="G42">IF(OR($F42="DERIVED_FROM_SIGN",$F42="MIRRORED"),"runtime",IFERROR(IF(INDEX(Balance_Taxonomy!$C$5:$C$400,MATCH($E42,Balance_Taxonomy!$B$5:$B$400,0))="Dr",IF($F42="INCREASE","Dr","Cr"),IF($F42="INCREASE","Cr","Dr")),"n/a"))</f>
        <v>Dr</v>
      </c>
      <c r="H42" s="9" t="s">
        <v>531</v>
      </c>
      <c r="I42" s="10" t="s">
        <v>1157</v>
      </c>
      <c r="J42" s="9" t="s">
        <v>135</v>
      </c>
      <c r="K42" s="16" t="str">
        <f>IF(OR($E42="—",LEFT($E42,1)="("),"n/a",IF(COUNTIF(Balance_Taxonomy!$B$5:$B$400,$E42)&gt;0,"OK","UNKNOWN TYPE"))</f>
        <v>OK</v>
      </c>
      <c r="L42" s="16" t="str">
        <f>IF(COUNTIF(Amount_Basis!$A$5:$A$100,$H42)&gt;0,"OK","UNKNOWN CODE")</f>
        <v>OK</v>
      </c>
      <c r="M42" s="16" t="str">
        <f t="shared" si="1"/>
        <v>OK</v>
      </c>
      <c r="N42" s="16" t="str">
        <f t="array" ref="N42">IF($J42="MIRROR",IF($F42="MIRRORED","OK","INVALID - MIRROR needs MIRRORED"),IF(IFERROR(INDEX(Amount_Basis!$D$5:$D$100,MATCH($H42,Amount_Basis!$A$5:$A$100,0)),"")="SIGNED",IF($F42="DERIVED_FROM_SIGN","OK","INVALID - SIGNED basis needs DERIVED_FROM_SIGN"),IF(OR($F42="INCREASE",$F42="DECREASE",$F42="—"),"OK","INVALID - static direction required")))</f>
        <v>OK</v>
      </c>
      <c r="O42" s="9" t="s">
        <v>142</v>
      </c>
    </row>
    <row r="43" ht="15.75" customHeight="1">
      <c r="A43" s="9" t="s">
        <v>123</v>
      </c>
      <c r="B43" s="9" t="s">
        <v>396</v>
      </c>
      <c r="C43" s="9" t="s">
        <v>1167</v>
      </c>
      <c r="D43" s="9">
        <v>5.0</v>
      </c>
      <c r="E43" s="10" t="s">
        <v>296</v>
      </c>
      <c r="F43" s="9" t="s">
        <v>671</v>
      </c>
      <c r="G43" s="16" t="str">
        <f t="array" ref="G43">IF(OR($F43="DERIVED_FROM_SIGN",$F43="MIRRORED"),"runtime",IFERROR(IF(INDEX(Balance_Taxonomy!$C$5:$C$400,MATCH($E43,Balance_Taxonomy!$B$5:$B$400,0))="Dr",IF($F43="INCREASE","Dr","Cr"),IF($F43="INCREASE","Cr","Dr")),"n/a"))</f>
        <v>Cr</v>
      </c>
      <c r="H43" s="9" t="s">
        <v>531</v>
      </c>
      <c r="I43" s="10" t="s">
        <v>1157</v>
      </c>
      <c r="J43" s="9" t="s">
        <v>135</v>
      </c>
      <c r="K43" s="16" t="str">
        <f>IF(OR($E43="—",LEFT($E43,1)="("),"n/a",IF(COUNTIF(Balance_Taxonomy!$B$5:$B$400,$E43)&gt;0,"OK","UNKNOWN TYPE"))</f>
        <v>OK</v>
      </c>
      <c r="L43" s="16" t="str">
        <f>IF(COUNTIF(Amount_Basis!$A$5:$A$100,$H43)&gt;0,"OK","UNKNOWN CODE")</f>
        <v>OK</v>
      </c>
      <c r="M43" s="16" t="str">
        <f t="shared" si="1"/>
        <v>OK</v>
      </c>
      <c r="N43" s="16" t="str">
        <f t="array" ref="N43">IF($J43="MIRROR",IF($F43="MIRRORED","OK","INVALID - MIRROR needs MIRRORED"),IF(IFERROR(INDEX(Amount_Basis!$D$5:$D$100,MATCH($H43,Amount_Basis!$A$5:$A$100,0)),"")="SIGNED",IF($F43="DERIVED_FROM_SIGN","OK","INVALID - SIGNED basis needs DERIVED_FROM_SIGN"),IF(OR($F43="INCREASE",$F43="DECREASE",$F43="—"),"OK","INVALID - static direction required")))</f>
        <v>OK</v>
      </c>
      <c r="O43" s="9" t="s">
        <v>142</v>
      </c>
    </row>
    <row r="44" ht="15.75" customHeight="1">
      <c r="A44" s="9" t="s">
        <v>123</v>
      </c>
      <c r="B44" s="9" t="s">
        <v>396</v>
      </c>
      <c r="C44" s="9" t="s">
        <v>1168</v>
      </c>
      <c r="D44" s="9">
        <v>6.0</v>
      </c>
      <c r="E44" s="10" t="s">
        <v>363</v>
      </c>
      <c r="F44" s="9" t="s">
        <v>671</v>
      </c>
      <c r="G44" s="16" t="str">
        <f t="array" ref="G44">IF(OR($F44="DERIVED_FROM_SIGN",$F44="MIRRORED"),"runtime",IFERROR(IF(INDEX(Balance_Taxonomy!$C$5:$C$400,MATCH($E44,Balance_Taxonomy!$B$5:$B$400,0))="Dr",IF($F44="INCREASE","Dr","Cr"),IF($F44="INCREASE","Cr","Dr")),"n/a"))</f>
        <v>Dr</v>
      </c>
      <c r="H44" s="9" t="s">
        <v>623</v>
      </c>
      <c r="I44" s="10" t="s">
        <v>1169</v>
      </c>
      <c r="J44" s="9" t="s">
        <v>135</v>
      </c>
      <c r="K44" s="16" t="str">
        <f>IF(OR($E44="—",LEFT($E44,1)="("),"n/a",IF(COUNTIF(Balance_Taxonomy!$B$5:$B$400,$E44)&gt;0,"OK","UNKNOWN TYPE"))</f>
        <v>OK</v>
      </c>
      <c r="L44" s="16" t="str">
        <f>IF(COUNTIF(Amount_Basis!$A$5:$A$100,$H44)&gt;0,"OK","UNKNOWN CODE")</f>
        <v>OK</v>
      </c>
      <c r="M44" s="16" t="str">
        <f t="shared" si="1"/>
        <v>OK</v>
      </c>
      <c r="N44" s="16" t="str">
        <f t="array" ref="N44">IF($J44="MIRROR",IF($F44="MIRRORED","OK","INVALID - MIRROR needs MIRRORED"),IF(IFERROR(INDEX(Amount_Basis!$D$5:$D$100,MATCH($H44,Amount_Basis!$A$5:$A$100,0)),"")="SIGNED",IF($F44="DERIVED_FROM_SIGN","OK","INVALID - SIGNED basis needs DERIVED_FROM_SIGN"),IF(OR($F44="INCREASE",$F44="DECREASE",$F44="—"),"OK","INVALID - static direction required")))</f>
        <v>OK</v>
      </c>
      <c r="O44" s="9" t="s">
        <v>142</v>
      </c>
    </row>
    <row r="45" ht="15.75" customHeight="1">
      <c r="A45" s="9" t="s">
        <v>123</v>
      </c>
      <c r="B45" s="9" t="s">
        <v>396</v>
      </c>
      <c r="C45" s="9" t="s">
        <v>1168</v>
      </c>
      <c r="D45" s="9">
        <v>6.0</v>
      </c>
      <c r="E45" s="10" t="s">
        <v>398</v>
      </c>
      <c r="F45" s="9" t="s">
        <v>671</v>
      </c>
      <c r="G45" s="16" t="str">
        <f t="array" ref="G45">IF(OR($F45="DERIVED_FROM_SIGN",$F45="MIRRORED"),"runtime",IFERROR(IF(INDEX(Balance_Taxonomy!$C$5:$C$400,MATCH($E45,Balance_Taxonomy!$B$5:$B$400,0))="Dr",IF($F45="INCREASE","Dr","Cr"),IF($F45="INCREASE","Cr","Dr")),"n/a"))</f>
        <v>Cr</v>
      </c>
      <c r="H45" s="9" t="s">
        <v>623</v>
      </c>
      <c r="I45" s="10" t="s">
        <v>1169</v>
      </c>
      <c r="J45" s="9" t="s">
        <v>135</v>
      </c>
      <c r="K45" s="16" t="str">
        <f>IF(OR($E45="—",LEFT($E45,1)="("),"n/a",IF(COUNTIF(Balance_Taxonomy!$B$5:$B$400,$E45)&gt;0,"OK","UNKNOWN TYPE"))</f>
        <v>OK</v>
      </c>
      <c r="L45" s="16" t="str">
        <f>IF(COUNTIF(Amount_Basis!$A$5:$A$100,$H45)&gt;0,"OK","UNKNOWN CODE")</f>
        <v>OK</v>
      </c>
      <c r="M45" s="16" t="str">
        <f t="shared" si="1"/>
        <v>OK</v>
      </c>
      <c r="N45" s="16" t="str">
        <f t="array" ref="N45">IF($J45="MIRROR",IF($F45="MIRRORED","OK","INVALID - MIRROR needs MIRRORED"),IF(IFERROR(INDEX(Amount_Basis!$D$5:$D$100,MATCH($H45,Amount_Basis!$A$5:$A$100,0)),"")="SIGNED",IF($F45="DERIVED_FROM_SIGN","OK","INVALID - SIGNED basis needs DERIVED_FROM_SIGN"),IF(OR($F45="INCREASE",$F45="DECREASE",$F45="—"),"OK","INVALID - static direction required")))</f>
        <v>OK</v>
      </c>
      <c r="O45" s="9" t="s">
        <v>142</v>
      </c>
    </row>
    <row r="46" ht="15.75" customHeight="1">
      <c r="A46" s="12" t="s">
        <v>123</v>
      </c>
      <c r="B46" s="12" t="s">
        <v>402</v>
      </c>
      <c r="C46" s="12" t="s">
        <v>964</v>
      </c>
      <c r="D46" s="12">
        <v>1.0</v>
      </c>
      <c r="E46" s="13" t="s">
        <v>38</v>
      </c>
      <c r="F46" s="12" t="s">
        <v>671</v>
      </c>
      <c r="G46" s="20" t="str">
        <f t="array" ref="G46">IF(OR($F46="DERIVED_FROM_SIGN",$F46="MIRRORED"),"runtime",IFERROR(IF(INDEX(Balance_Taxonomy!$C$5:$C$400,MATCH($E46,Balance_Taxonomy!$B$5:$B$400,0))="Dr",IF($F46="INCREASE","Dr","Cr"),IF($F46="INCREASE","Cr","Dr")),"n/a"))</f>
        <v>Dr</v>
      </c>
      <c r="H46" s="12" t="s">
        <v>531</v>
      </c>
      <c r="I46" s="13" t="s">
        <v>1157</v>
      </c>
      <c r="J46" s="12" t="s">
        <v>135</v>
      </c>
      <c r="K46" s="20" t="str">
        <f>IF(OR($E46="—",LEFT($E46,1)="("),"n/a",IF(COUNTIF(Balance_Taxonomy!$B$5:$B$400,$E46)&gt;0,"OK","UNKNOWN TYPE"))</f>
        <v>OK</v>
      </c>
      <c r="L46" s="20" t="str">
        <f>IF(COUNTIF(Amount_Basis!$A$5:$A$100,$H46)&gt;0,"OK","UNKNOWN CODE")</f>
        <v>OK</v>
      </c>
      <c r="M46" s="20" t="str">
        <f t="shared" si="1"/>
        <v>OK</v>
      </c>
      <c r="N46" s="20" t="str">
        <f t="array" ref="N46">IF($J46="MIRROR",IF($F46="MIRRORED","OK","INVALID - MIRROR needs MIRRORED"),IF(IFERROR(INDEX(Amount_Basis!$D$5:$D$100,MATCH($H46,Amount_Basis!$A$5:$A$100,0)),"")="SIGNED",IF($F46="DERIVED_FROM_SIGN","OK","INVALID - SIGNED basis needs DERIVED_FROM_SIGN"),IF(OR($F46="INCREASE",$F46="DECREASE",$F46="—"),"OK","INVALID - static direction required")))</f>
        <v>OK</v>
      </c>
      <c r="O46" s="12" t="s">
        <v>405</v>
      </c>
    </row>
    <row r="47" ht="15.75" customHeight="1">
      <c r="A47" s="12" t="s">
        <v>123</v>
      </c>
      <c r="B47" s="12" t="s">
        <v>402</v>
      </c>
      <c r="C47" s="12" t="s">
        <v>964</v>
      </c>
      <c r="D47" s="12">
        <v>1.0</v>
      </c>
      <c r="E47" s="13" t="s">
        <v>25</v>
      </c>
      <c r="F47" s="12" t="s">
        <v>671</v>
      </c>
      <c r="G47" s="20" t="str">
        <f t="array" ref="G47">IF(OR($F47="DERIVED_FROM_SIGN",$F47="MIRRORED"),"runtime",IFERROR(IF(INDEX(Balance_Taxonomy!$C$5:$C$400,MATCH($E47,Balance_Taxonomy!$B$5:$B$400,0))="Dr",IF($F47="INCREASE","Dr","Cr"),IF($F47="INCREASE","Cr","Dr")),"n/a"))</f>
        <v>Cr</v>
      </c>
      <c r="H47" s="12" t="s">
        <v>531</v>
      </c>
      <c r="I47" s="13" t="s">
        <v>1157</v>
      </c>
      <c r="J47" s="12" t="s">
        <v>135</v>
      </c>
      <c r="K47" s="20" t="str">
        <f>IF(OR($E47="—",LEFT($E47,1)="("),"n/a",IF(COUNTIF(Balance_Taxonomy!$B$5:$B$400,$E47)&gt;0,"OK","UNKNOWN TYPE"))</f>
        <v>OK</v>
      </c>
      <c r="L47" s="20" t="str">
        <f>IF(COUNTIF(Amount_Basis!$A$5:$A$100,$H47)&gt;0,"OK","UNKNOWN CODE")</f>
        <v>OK</v>
      </c>
      <c r="M47" s="20" t="str">
        <f t="shared" si="1"/>
        <v>OK</v>
      </c>
      <c r="N47" s="20" t="str">
        <f t="array" ref="N47">IF($J47="MIRROR",IF($F47="MIRRORED","OK","INVALID - MIRROR needs MIRRORED"),IF(IFERROR(INDEX(Amount_Basis!$D$5:$D$100,MATCH($H47,Amount_Basis!$A$5:$A$100,0)),"")="SIGNED",IF($F47="DERIVED_FROM_SIGN","OK","INVALID - SIGNED basis needs DERIVED_FROM_SIGN"),IF(OR($F47="INCREASE",$F47="DECREASE",$F47="—"),"OK","INVALID - static direction required")))</f>
        <v>OK</v>
      </c>
      <c r="O47" s="12" t="s">
        <v>405</v>
      </c>
    </row>
    <row r="48" ht="15.75" customHeight="1">
      <c r="A48" s="12" t="s">
        <v>123</v>
      </c>
      <c r="B48" s="12" t="s">
        <v>402</v>
      </c>
      <c r="C48" s="12" t="s">
        <v>1170</v>
      </c>
      <c r="D48" s="12">
        <v>2.0</v>
      </c>
      <c r="E48" s="13" t="s">
        <v>159</v>
      </c>
      <c r="F48" s="12" t="s">
        <v>512</v>
      </c>
      <c r="G48" s="20" t="str">
        <f t="array" ref="G48">IF(OR($F48="DERIVED_FROM_SIGN",$F48="MIRRORED"),"runtime",IFERROR(IF(INDEX(Balance_Taxonomy!$C$5:$C$400,MATCH($E48,Balance_Taxonomy!$B$5:$B$400,0))="Dr",IF($F48="INCREASE","Dr","Cr"),IF($F48="INCREASE","Cr","Dr")),"n/a"))</f>
        <v>Dr</v>
      </c>
      <c r="H48" s="12" t="s">
        <v>531</v>
      </c>
      <c r="I48" s="13" t="s">
        <v>1157</v>
      </c>
      <c r="J48" s="12" t="s">
        <v>135</v>
      </c>
      <c r="K48" s="20" t="str">
        <f>IF(OR($E48="—",LEFT($E48,1)="("),"n/a",IF(COUNTIF(Balance_Taxonomy!$B$5:$B$400,$E48)&gt;0,"OK","UNKNOWN TYPE"))</f>
        <v>OK</v>
      </c>
      <c r="L48" s="20" t="str">
        <f>IF(COUNTIF(Amount_Basis!$A$5:$A$100,$H48)&gt;0,"OK","UNKNOWN CODE")</f>
        <v>OK</v>
      </c>
      <c r="M48" s="20" t="str">
        <f t="shared" si="1"/>
        <v>OK</v>
      </c>
      <c r="N48" s="20" t="str">
        <f t="array" ref="N48">IF($J48="MIRROR",IF($F48="MIRRORED","OK","INVALID - MIRROR needs MIRRORED"),IF(IFERROR(INDEX(Amount_Basis!$D$5:$D$100,MATCH($H48,Amount_Basis!$A$5:$A$100,0)),"")="SIGNED",IF($F48="DERIVED_FROM_SIGN","OK","INVALID - SIGNED basis needs DERIVED_FROM_SIGN"),IF(OR($F48="INCREASE",$F48="DECREASE",$F48="—"),"OK","INVALID - static direction required")))</f>
        <v>OK</v>
      </c>
      <c r="O48" s="12" t="s">
        <v>405</v>
      </c>
    </row>
    <row r="49" ht="15.75" customHeight="1">
      <c r="A49" s="12" t="s">
        <v>123</v>
      </c>
      <c r="B49" s="12" t="s">
        <v>402</v>
      </c>
      <c r="C49" s="12" t="s">
        <v>1170</v>
      </c>
      <c r="D49" s="12">
        <v>2.0</v>
      </c>
      <c r="E49" s="13" t="s">
        <v>338</v>
      </c>
      <c r="F49" s="12" t="s">
        <v>512</v>
      </c>
      <c r="G49" s="20" t="str">
        <f t="array" ref="G49">IF(OR($F49="DERIVED_FROM_SIGN",$F49="MIRRORED"),"runtime",IFERROR(IF(INDEX(Balance_Taxonomy!$C$5:$C$400,MATCH($E49,Balance_Taxonomy!$B$5:$B$400,0))="Dr",IF($F49="INCREASE","Dr","Cr"),IF($F49="INCREASE","Cr","Dr")),"n/a"))</f>
        <v>Cr</v>
      </c>
      <c r="H49" s="12" t="s">
        <v>531</v>
      </c>
      <c r="I49" s="13" t="s">
        <v>1157</v>
      </c>
      <c r="J49" s="12" t="s">
        <v>135</v>
      </c>
      <c r="K49" s="20" t="str">
        <f>IF(OR($E49="—",LEFT($E49,1)="("),"n/a",IF(COUNTIF(Balance_Taxonomy!$B$5:$B$400,$E49)&gt;0,"OK","UNKNOWN TYPE"))</f>
        <v>OK</v>
      </c>
      <c r="L49" s="20" t="str">
        <f>IF(COUNTIF(Amount_Basis!$A$5:$A$100,$H49)&gt;0,"OK","UNKNOWN CODE")</f>
        <v>OK</v>
      </c>
      <c r="M49" s="20" t="str">
        <f t="shared" si="1"/>
        <v>OK</v>
      </c>
      <c r="N49" s="20" t="str">
        <f t="array" ref="N49">IF($J49="MIRROR",IF($F49="MIRRORED","OK","INVALID - MIRROR needs MIRRORED"),IF(IFERROR(INDEX(Amount_Basis!$D$5:$D$100,MATCH($H49,Amount_Basis!$A$5:$A$100,0)),"")="SIGNED",IF($F49="DERIVED_FROM_SIGN","OK","INVALID - SIGNED basis needs DERIVED_FROM_SIGN"),IF(OR($F49="INCREASE",$F49="DECREASE",$F49="—"),"OK","INVALID - static direction required")))</f>
        <v>OK</v>
      </c>
      <c r="O49" s="12" t="s">
        <v>405</v>
      </c>
    </row>
    <row r="50" ht="15.75" customHeight="1">
      <c r="A50" s="12" t="s">
        <v>123</v>
      </c>
      <c r="B50" s="12" t="s">
        <v>402</v>
      </c>
      <c r="C50" s="12" t="s">
        <v>1167</v>
      </c>
      <c r="D50" s="12">
        <v>3.0</v>
      </c>
      <c r="E50" s="13" t="s">
        <v>338</v>
      </c>
      <c r="F50" s="12" t="s">
        <v>671</v>
      </c>
      <c r="G50" s="20" t="str">
        <f t="array" ref="G50">IF(OR($F50="DERIVED_FROM_SIGN",$F50="MIRRORED"),"runtime",IFERROR(IF(INDEX(Balance_Taxonomy!$C$5:$C$400,MATCH($E50,Balance_Taxonomy!$B$5:$B$400,0))="Dr",IF($F50="INCREASE","Dr","Cr"),IF($F50="INCREASE","Cr","Dr")),"n/a"))</f>
        <v>Dr</v>
      </c>
      <c r="H50" s="12" t="s">
        <v>531</v>
      </c>
      <c r="I50" s="13" t="s">
        <v>1157</v>
      </c>
      <c r="J50" s="12" t="s">
        <v>135</v>
      </c>
      <c r="K50" s="20" t="str">
        <f>IF(OR($E50="—",LEFT($E50,1)="("),"n/a",IF(COUNTIF(Balance_Taxonomy!$B$5:$B$400,$E50)&gt;0,"OK","UNKNOWN TYPE"))</f>
        <v>OK</v>
      </c>
      <c r="L50" s="20" t="str">
        <f>IF(COUNTIF(Amount_Basis!$A$5:$A$100,$H50)&gt;0,"OK","UNKNOWN CODE")</f>
        <v>OK</v>
      </c>
      <c r="M50" s="20" t="str">
        <f t="shared" si="1"/>
        <v>OK</v>
      </c>
      <c r="N50" s="20" t="str">
        <f t="array" ref="N50">IF($J50="MIRROR",IF($F50="MIRRORED","OK","INVALID - MIRROR needs MIRRORED"),IF(IFERROR(INDEX(Amount_Basis!$D$5:$D$100,MATCH($H50,Amount_Basis!$A$5:$A$100,0)),"")="SIGNED",IF($F50="DERIVED_FROM_SIGN","OK","INVALID - SIGNED basis needs DERIVED_FROM_SIGN"),IF(OR($F50="INCREASE",$F50="DECREASE",$F50="—"),"OK","INVALID - static direction required")))</f>
        <v>OK</v>
      </c>
      <c r="O50" s="12" t="s">
        <v>405</v>
      </c>
    </row>
    <row r="51" ht="15.75" customHeight="1">
      <c r="A51" s="12" t="s">
        <v>123</v>
      </c>
      <c r="B51" s="12" t="s">
        <v>402</v>
      </c>
      <c r="C51" s="12" t="s">
        <v>1167</v>
      </c>
      <c r="D51" s="12">
        <v>3.0</v>
      </c>
      <c r="E51" s="13" t="s">
        <v>296</v>
      </c>
      <c r="F51" s="12" t="s">
        <v>671</v>
      </c>
      <c r="G51" s="20" t="str">
        <f t="array" ref="G51">IF(OR($F51="DERIVED_FROM_SIGN",$F51="MIRRORED"),"runtime",IFERROR(IF(INDEX(Balance_Taxonomy!$C$5:$C$400,MATCH($E51,Balance_Taxonomy!$B$5:$B$400,0))="Dr",IF($F51="INCREASE","Dr","Cr"),IF($F51="INCREASE","Cr","Dr")),"n/a"))</f>
        <v>Cr</v>
      </c>
      <c r="H51" s="12" t="s">
        <v>531</v>
      </c>
      <c r="I51" s="13" t="s">
        <v>1157</v>
      </c>
      <c r="J51" s="12" t="s">
        <v>135</v>
      </c>
      <c r="K51" s="20" t="str">
        <f>IF(OR($E51="—",LEFT($E51,1)="("),"n/a",IF(COUNTIF(Balance_Taxonomy!$B$5:$B$400,$E51)&gt;0,"OK","UNKNOWN TYPE"))</f>
        <v>OK</v>
      </c>
      <c r="L51" s="20" t="str">
        <f>IF(COUNTIF(Amount_Basis!$A$5:$A$100,$H51)&gt;0,"OK","UNKNOWN CODE")</f>
        <v>OK</v>
      </c>
      <c r="M51" s="20" t="str">
        <f t="shared" si="1"/>
        <v>OK</v>
      </c>
      <c r="N51" s="20" t="str">
        <f t="array" ref="N51">IF($J51="MIRROR",IF($F51="MIRRORED","OK","INVALID - MIRROR needs MIRRORED"),IF(IFERROR(INDEX(Amount_Basis!$D$5:$D$100,MATCH($H51,Amount_Basis!$A$5:$A$100,0)),"")="SIGNED",IF($F51="DERIVED_FROM_SIGN","OK","INVALID - SIGNED basis needs DERIVED_FROM_SIGN"),IF(OR($F51="INCREASE",$F51="DECREASE",$F51="—"),"OK","INVALID - static direction required")))</f>
        <v>OK</v>
      </c>
      <c r="O51" s="12" t="s">
        <v>405</v>
      </c>
    </row>
    <row r="52" ht="15.75" customHeight="1">
      <c r="A52" s="9" t="s">
        <v>123</v>
      </c>
      <c r="B52" s="9" t="s">
        <v>409</v>
      </c>
      <c r="C52" s="9" t="s">
        <v>964</v>
      </c>
      <c r="D52" s="9">
        <v>1.0</v>
      </c>
      <c r="E52" s="10" t="s">
        <v>38</v>
      </c>
      <c r="F52" s="9" t="s">
        <v>671</v>
      </c>
      <c r="G52" s="16" t="str">
        <f t="array" ref="G52">IF(OR($F52="DERIVED_FROM_SIGN",$F52="MIRRORED"),"runtime",IFERROR(IF(INDEX(Balance_Taxonomy!$C$5:$C$400,MATCH($E52,Balance_Taxonomy!$B$5:$B$400,0))="Dr",IF($F52="INCREASE","Dr","Cr"),IF($F52="INCREASE","Cr","Dr")),"n/a"))</f>
        <v>Dr</v>
      </c>
      <c r="H52" s="9" t="s">
        <v>531</v>
      </c>
      <c r="I52" s="10" t="s">
        <v>1157</v>
      </c>
      <c r="J52" s="9" t="s">
        <v>135</v>
      </c>
      <c r="K52" s="16" t="str">
        <f>IF(OR($E52="—",LEFT($E52,1)="("),"n/a",IF(COUNTIF(Balance_Taxonomy!$B$5:$B$400,$E52)&gt;0,"OK","UNKNOWN TYPE"))</f>
        <v>OK</v>
      </c>
      <c r="L52" s="16" t="str">
        <f>IF(COUNTIF(Amount_Basis!$A$5:$A$100,$H52)&gt;0,"OK","UNKNOWN CODE")</f>
        <v>OK</v>
      </c>
      <c r="M52" s="16" t="str">
        <f t="shared" si="1"/>
        <v>OK</v>
      </c>
      <c r="N52" s="16" t="str">
        <f t="array" ref="N52">IF($J52="MIRROR",IF($F52="MIRRORED","OK","INVALID - MIRROR needs MIRRORED"),IF(IFERROR(INDEX(Amount_Basis!$D$5:$D$100,MATCH($H52,Amount_Basis!$A$5:$A$100,0)),"")="SIGNED",IF($F52="DERIVED_FROM_SIGN","OK","INVALID - SIGNED basis needs DERIVED_FROM_SIGN"),IF(OR($F52="INCREASE",$F52="DECREASE",$F52="—"),"OK","INVALID - static direction required")))</f>
        <v>OK</v>
      </c>
      <c r="O52" s="9" t="s">
        <v>405</v>
      </c>
    </row>
    <row r="53" ht="15.75" customHeight="1">
      <c r="A53" s="9" t="s">
        <v>123</v>
      </c>
      <c r="B53" s="9" t="s">
        <v>409</v>
      </c>
      <c r="C53" s="9" t="s">
        <v>964</v>
      </c>
      <c r="D53" s="9">
        <v>1.0</v>
      </c>
      <c r="E53" s="10" t="s">
        <v>25</v>
      </c>
      <c r="F53" s="9" t="s">
        <v>671</v>
      </c>
      <c r="G53" s="16" t="str">
        <f t="array" ref="G53">IF(OR($F53="DERIVED_FROM_SIGN",$F53="MIRRORED"),"runtime",IFERROR(IF(INDEX(Balance_Taxonomy!$C$5:$C$400,MATCH($E53,Balance_Taxonomy!$B$5:$B$400,0))="Dr",IF($F53="INCREASE","Dr","Cr"),IF($F53="INCREASE","Cr","Dr")),"n/a"))</f>
        <v>Cr</v>
      </c>
      <c r="H53" s="9" t="s">
        <v>531</v>
      </c>
      <c r="I53" s="10" t="s">
        <v>1157</v>
      </c>
      <c r="J53" s="9" t="s">
        <v>135</v>
      </c>
      <c r="K53" s="16" t="str">
        <f>IF(OR($E53="—",LEFT($E53,1)="("),"n/a",IF(COUNTIF(Balance_Taxonomy!$B$5:$B$400,$E53)&gt;0,"OK","UNKNOWN TYPE"))</f>
        <v>OK</v>
      </c>
      <c r="L53" s="16" t="str">
        <f>IF(COUNTIF(Amount_Basis!$A$5:$A$100,$H53)&gt;0,"OK","UNKNOWN CODE")</f>
        <v>OK</v>
      </c>
      <c r="M53" s="16" t="str">
        <f t="shared" si="1"/>
        <v>OK</v>
      </c>
      <c r="N53" s="16" t="str">
        <f t="array" ref="N53">IF($J53="MIRROR",IF($F53="MIRRORED","OK","INVALID - MIRROR needs MIRRORED"),IF(IFERROR(INDEX(Amount_Basis!$D$5:$D$100,MATCH($H53,Amount_Basis!$A$5:$A$100,0)),"")="SIGNED",IF($F53="DERIVED_FROM_SIGN","OK","INVALID - SIGNED basis needs DERIVED_FROM_SIGN"),IF(OR($F53="INCREASE",$F53="DECREASE",$F53="—"),"OK","INVALID - static direction required")))</f>
        <v>OK</v>
      </c>
      <c r="O53" s="9" t="s">
        <v>405</v>
      </c>
    </row>
    <row r="54" ht="15.75" customHeight="1">
      <c r="A54" s="9" t="s">
        <v>123</v>
      </c>
      <c r="B54" s="9" t="s">
        <v>409</v>
      </c>
      <c r="C54" s="9" t="s">
        <v>1171</v>
      </c>
      <c r="D54" s="9">
        <v>2.0</v>
      </c>
      <c r="E54" s="10" t="s">
        <v>172</v>
      </c>
      <c r="F54" s="9" t="s">
        <v>512</v>
      </c>
      <c r="G54" s="16" t="str">
        <f t="array" ref="G54">IF(OR($F54="DERIVED_FROM_SIGN",$F54="MIRRORED"),"runtime",IFERROR(IF(INDEX(Balance_Taxonomy!$C$5:$C$400,MATCH($E54,Balance_Taxonomy!$B$5:$B$400,0))="Dr",IF($F54="INCREASE","Dr","Cr"),IF($F54="INCREASE","Cr","Dr")),"n/a"))</f>
        <v>Dr</v>
      </c>
      <c r="H54" s="9" t="s">
        <v>531</v>
      </c>
      <c r="I54" s="10" t="s">
        <v>1172</v>
      </c>
      <c r="J54" s="9" t="s">
        <v>135</v>
      </c>
      <c r="K54" s="16" t="str">
        <f>IF(OR($E54="—",LEFT($E54,1)="("),"n/a",IF(COUNTIF(Balance_Taxonomy!$B$5:$B$400,$E54)&gt;0,"OK","UNKNOWN TYPE"))</f>
        <v>OK</v>
      </c>
      <c r="L54" s="16" t="str">
        <f>IF(COUNTIF(Amount_Basis!$A$5:$A$100,$H54)&gt;0,"OK","UNKNOWN CODE")</f>
        <v>OK</v>
      </c>
      <c r="M54" s="16" t="str">
        <f t="shared" si="1"/>
        <v>OK</v>
      </c>
      <c r="N54" s="16" t="str">
        <f t="array" ref="N54">IF($J54="MIRROR",IF($F54="MIRRORED","OK","INVALID - MIRROR needs MIRRORED"),IF(IFERROR(INDEX(Amount_Basis!$D$5:$D$100,MATCH($H54,Amount_Basis!$A$5:$A$100,0)),"")="SIGNED",IF($F54="DERIVED_FROM_SIGN","OK","INVALID - SIGNED basis needs DERIVED_FROM_SIGN"),IF(OR($F54="INCREASE",$F54="DECREASE",$F54="—"),"OK","INVALID - static direction required")))</f>
        <v>OK</v>
      </c>
      <c r="O54" s="9" t="s">
        <v>405</v>
      </c>
    </row>
    <row r="55" ht="15.75" customHeight="1">
      <c r="A55" s="9" t="s">
        <v>123</v>
      </c>
      <c r="B55" s="9" t="s">
        <v>409</v>
      </c>
      <c r="C55" s="9" t="s">
        <v>1171</v>
      </c>
      <c r="D55" s="9">
        <v>2.0</v>
      </c>
      <c r="E55" s="10" t="s">
        <v>344</v>
      </c>
      <c r="F55" s="9" t="s">
        <v>512</v>
      </c>
      <c r="G55" s="16" t="str">
        <f t="array" ref="G55">IF(OR($F55="DERIVED_FROM_SIGN",$F55="MIRRORED"),"runtime",IFERROR(IF(INDEX(Balance_Taxonomy!$C$5:$C$400,MATCH($E55,Balance_Taxonomy!$B$5:$B$400,0))="Dr",IF($F55="INCREASE","Dr","Cr"),IF($F55="INCREASE","Cr","Dr")),"n/a"))</f>
        <v>Cr</v>
      </c>
      <c r="H55" s="9" t="s">
        <v>531</v>
      </c>
      <c r="I55" s="10" t="s">
        <v>1172</v>
      </c>
      <c r="J55" s="9" t="s">
        <v>135</v>
      </c>
      <c r="K55" s="16" t="str">
        <f>IF(OR($E55="—",LEFT($E55,1)="("),"n/a",IF(COUNTIF(Balance_Taxonomy!$B$5:$B$400,$E55)&gt;0,"OK","UNKNOWN TYPE"))</f>
        <v>OK</v>
      </c>
      <c r="L55" s="16" t="str">
        <f>IF(COUNTIF(Amount_Basis!$A$5:$A$100,$H55)&gt;0,"OK","UNKNOWN CODE")</f>
        <v>OK</v>
      </c>
      <c r="M55" s="16" t="str">
        <f t="shared" si="1"/>
        <v>OK</v>
      </c>
      <c r="N55" s="16" t="str">
        <f t="array" ref="N55">IF($J55="MIRROR",IF($F55="MIRRORED","OK","INVALID - MIRROR needs MIRRORED"),IF(IFERROR(INDEX(Amount_Basis!$D$5:$D$100,MATCH($H55,Amount_Basis!$A$5:$A$100,0)),"")="SIGNED",IF($F55="DERIVED_FROM_SIGN","OK","INVALID - SIGNED basis needs DERIVED_FROM_SIGN"),IF(OR($F55="INCREASE",$F55="DECREASE",$F55="—"),"OK","INVALID - static direction required")))</f>
        <v>OK</v>
      </c>
      <c r="O55" s="9" t="s">
        <v>405</v>
      </c>
    </row>
    <row r="56" ht="15.75" customHeight="1">
      <c r="A56" s="12" t="s">
        <v>123</v>
      </c>
      <c r="B56" s="12" t="s">
        <v>417</v>
      </c>
      <c r="C56" s="12" t="s">
        <v>964</v>
      </c>
      <c r="D56" s="12">
        <v>1.0</v>
      </c>
      <c r="E56" s="13" t="s">
        <v>38</v>
      </c>
      <c r="F56" s="12" t="s">
        <v>671</v>
      </c>
      <c r="G56" s="20" t="str">
        <f t="array" ref="G56">IF(OR($F56="DERIVED_FROM_SIGN",$F56="MIRRORED"),"runtime",IFERROR(IF(INDEX(Balance_Taxonomy!$C$5:$C$400,MATCH($E56,Balance_Taxonomy!$B$5:$B$400,0))="Dr",IF($F56="INCREASE","Dr","Cr"),IF($F56="INCREASE","Cr","Dr")),"n/a"))</f>
        <v>Dr</v>
      </c>
      <c r="H56" s="12" t="s">
        <v>531</v>
      </c>
      <c r="I56" s="13" t="s">
        <v>1157</v>
      </c>
      <c r="J56" s="12" t="s">
        <v>135</v>
      </c>
      <c r="K56" s="20" t="str">
        <f>IF(OR($E56="—",LEFT($E56,1)="("),"n/a",IF(COUNTIF(Balance_Taxonomy!$B$5:$B$400,$E56)&gt;0,"OK","UNKNOWN TYPE"))</f>
        <v>OK</v>
      </c>
      <c r="L56" s="20" t="str">
        <f>IF(COUNTIF(Amount_Basis!$A$5:$A$100,$H56)&gt;0,"OK","UNKNOWN CODE")</f>
        <v>OK</v>
      </c>
      <c r="M56" s="20" t="str">
        <f t="shared" si="1"/>
        <v>OK</v>
      </c>
      <c r="N56" s="20" t="str">
        <f t="array" ref="N56">IF($J56="MIRROR",IF($F56="MIRRORED","OK","INVALID - MIRROR needs MIRRORED"),IF(IFERROR(INDEX(Amount_Basis!$D$5:$D$100,MATCH($H56,Amount_Basis!$A$5:$A$100,0)),"")="SIGNED",IF($F56="DERIVED_FROM_SIGN","OK","INVALID - SIGNED basis needs DERIVED_FROM_SIGN"),IF(OR($F56="INCREASE",$F56="DECREASE",$F56="—"),"OK","INVALID - static direction required")))</f>
        <v>OK</v>
      </c>
      <c r="O56" s="12" t="s">
        <v>420</v>
      </c>
    </row>
    <row r="57" ht="15.75" customHeight="1">
      <c r="A57" s="12" t="s">
        <v>123</v>
      </c>
      <c r="B57" s="12" t="s">
        <v>417</v>
      </c>
      <c r="C57" s="12" t="s">
        <v>964</v>
      </c>
      <c r="D57" s="12">
        <v>1.0</v>
      </c>
      <c r="E57" s="13" t="s">
        <v>25</v>
      </c>
      <c r="F57" s="12" t="s">
        <v>671</v>
      </c>
      <c r="G57" s="20" t="str">
        <f t="array" ref="G57">IF(OR($F57="DERIVED_FROM_SIGN",$F57="MIRRORED"),"runtime",IFERROR(IF(INDEX(Balance_Taxonomy!$C$5:$C$400,MATCH($E57,Balance_Taxonomy!$B$5:$B$400,0))="Dr",IF($F57="INCREASE","Dr","Cr"),IF($F57="INCREASE","Cr","Dr")),"n/a"))</f>
        <v>Cr</v>
      </c>
      <c r="H57" s="12" t="s">
        <v>531</v>
      </c>
      <c r="I57" s="13" t="s">
        <v>1157</v>
      </c>
      <c r="J57" s="12" t="s">
        <v>135</v>
      </c>
      <c r="K57" s="20" t="str">
        <f>IF(OR($E57="—",LEFT($E57,1)="("),"n/a",IF(COUNTIF(Balance_Taxonomy!$B$5:$B$400,$E57)&gt;0,"OK","UNKNOWN TYPE"))</f>
        <v>OK</v>
      </c>
      <c r="L57" s="20" t="str">
        <f>IF(COUNTIF(Amount_Basis!$A$5:$A$100,$H57)&gt;0,"OK","UNKNOWN CODE")</f>
        <v>OK</v>
      </c>
      <c r="M57" s="20" t="str">
        <f t="shared" si="1"/>
        <v>OK</v>
      </c>
      <c r="N57" s="20" t="str">
        <f t="array" ref="N57">IF($J57="MIRROR",IF($F57="MIRRORED","OK","INVALID - MIRROR needs MIRRORED"),IF(IFERROR(INDEX(Amount_Basis!$D$5:$D$100,MATCH($H57,Amount_Basis!$A$5:$A$100,0)),"")="SIGNED",IF($F57="DERIVED_FROM_SIGN","OK","INVALID - SIGNED basis needs DERIVED_FROM_SIGN"),IF(OR($F57="INCREASE",$F57="DECREASE",$F57="—"),"OK","INVALID - static direction required")))</f>
        <v>OK</v>
      </c>
      <c r="O57" s="12" t="s">
        <v>420</v>
      </c>
    </row>
    <row r="58" ht="15.75" customHeight="1">
      <c r="A58" s="12" t="s">
        <v>123</v>
      </c>
      <c r="B58" s="12" t="s">
        <v>417</v>
      </c>
      <c r="C58" s="12" t="s">
        <v>1173</v>
      </c>
      <c r="D58" s="12">
        <v>2.0</v>
      </c>
      <c r="E58" s="13" t="s">
        <v>139</v>
      </c>
      <c r="F58" s="12" t="s">
        <v>512</v>
      </c>
      <c r="G58" s="20" t="str">
        <f t="array" ref="G58">IF(OR($F58="DERIVED_FROM_SIGN",$F58="MIRRORED"),"runtime",IFERROR(IF(INDEX(Balance_Taxonomy!$C$5:$C$400,MATCH($E58,Balance_Taxonomy!$B$5:$B$400,0))="Dr",IF($F58="INCREASE","Dr","Cr"),IF($F58="INCREASE","Cr","Dr")),"n/a"))</f>
        <v>Dr</v>
      </c>
      <c r="H58" s="12" t="s">
        <v>531</v>
      </c>
      <c r="I58" s="13" t="s">
        <v>1157</v>
      </c>
      <c r="J58" s="12" t="s">
        <v>135</v>
      </c>
      <c r="K58" s="20" t="str">
        <f>IF(OR($E58="—",LEFT($E58,1)="("),"n/a",IF(COUNTIF(Balance_Taxonomy!$B$5:$B$400,$E58)&gt;0,"OK","UNKNOWN TYPE"))</f>
        <v>OK</v>
      </c>
      <c r="L58" s="20" t="str">
        <f>IF(COUNTIF(Amount_Basis!$A$5:$A$100,$H58)&gt;0,"OK","UNKNOWN CODE")</f>
        <v>OK</v>
      </c>
      <c r="M58" s="20" t="str">
        <f t="shared" si="1"/>
        <v>OK</v>
      </c>
      <c r="N58" s="20" t="str">
        <f t="array" ref="N58">IF($J58="MIRROR",IF($F58="MIRRORED","OK","INVALID - MIRROR needs MIRRORED"),IF(IFERROR(INDEX(Amount_Basis!$D$5:$D$100,MATCH($H58,Amount_Basis!$A$5:$A$100,0)),"")="SIGNED",IF($F58="DERIVED_FROM_SIGN","OK","INVALID - SIGNED basis needs DERIVED_FROM_SIGN"),IF(OR($F58="INCREASE",$F58="DECREASE",$F58="—"),"OK","INVALID - static direction required")))</f>
        <v>OK</v>
      </c>
      <c r="O58" s="12" t="s">
        <v>420</v>
      </c>
    </row>
    <row r="59" ht="15.75" customHeight="1">
      <c r="A59" s="12" t="s">
        <v>123</v>
      </c>
      <c r="B59" s="12" t="s">
        <v>417</v>
      </c>
      <c r="C59" s="12" t="s">
        <v>1173</v>
      </c>
      <c r="D59" s="12">
        <v>2.0</v>
      </c>
      <c r="E59" s="13" t="s">
        <v>327</v>
      </c>
      <c r="F59" s="12" t="s">
        <v>512</v>
      </c>
      <c r="G59" s="20" t="str">
        <f t="array" ref="G59">IF(OR($F59="DERIVED_FROM_SIGN",$F59="MIRRORED"),"runtime",IFERROR(IF(INDEX(Balance_Taxonomy!$C$5:$C$400,MATCH($E59,Balance_Taxonomy!$B$5:$B$400,0))="Dr",IF($F59="INCREASE","Dr","Cr"),IF($F59="INCREASE","Cr","Dr")),"n/a"))</f>
        <v>Cr</v>
      </c>
      <c r="H59" s="12" t="s">
        <v>531</v>
      </c>
      <c r="I59" s="13" t="s">
        <v>1157</v>
      </c>
      <c r="J59" s="12" t="s">
        <v>135</v>
      </c>
      <c r="K59" s="20" t="str">
        <f>IF(OR($E59="—",LEFT($E59,1)="("),"n/a",IF(COUNTIF(Balance_Taxonomy!$B$5:$B$400,$E59)&gt;0,"OK","UNKNOWN TYPE"))</f>
        <v>OK</v>
      </c>
      <c r="L59" s="20" t="str">
        <f>IF(COUNTIF(Amount_Basis!$A$5:$A$100,$H59)&gt;0,"OK","UNKNOWN CODE")</f>
        <v>OK</v>
      </c>
      <c r="M59" s="20" t="str">
        <f t="shared" si="1"/>
        <v>OK</v>
      </c>
      <c r="N59" s="20" t="str">
        <f t="array" ref="N59">IF($J59="MIRROR",IF($F59="MIRRORED","OK","INVALID - MIRROR needs MIRRORED"),IF(IFERROR(INDEX(Amount_Basis!$D$5:$D$100,MATCH($H59,Amount_Basis!$A$5:$A$100,0)),"")="SIGNED",IF($F59="DERIVED_FROM_SIGN","OK","INVALID - SIGNED basis needs DERIVED_FROM_SIGN"),IF(OR($F59="INCREASE",$F59="DECREASE",$F59="—"),"OK","INVALID - static direction required")))</f>
        <v>OK</v>
      </c>
      <c r="O59" s="12" t="s">
        <v>420</v>
      </c>
    </row>
    <row r="60" ht="15.75" customHeight="1">
      <c r="A60" s="12" t="s">
        <v>123</v>
      </c>
      <c r="B60" s="12" t="s">
        <v>417</v>
      </c>
      <c r="C60" s="12" t="s">
        <v>1174</v>
      </c>
      <c r="D60" s="12">
        <v>3.0</v>
      </c>
      <c r="E60" s="13" t="s">
        <v>406</v>
      </c>
      <c r="F60" s="12" t="s">
        <v>512</v>
      </c>
      <c r="G60" s="20" t="str">
        <f t="array" ref="G60">IF(OR($F60="DERIVED_FROM_SIGN",$F60="MIRRORED"),"runtime",IFERROR(IF(INDEX(Balance_Taxonomy!$C$5:$C$400,MATCH($E60,Balance_Taxonomy!$B$5:$B$400,0))="Dr",IF($F60="INCREASE","Dr","Cr"),IF($F60="INCREASE","Cr","Dr")),"n/a"))</f>
        <v>Dr</v>
      </c>
      <c r="H60" s="12" t="s">
        <v>531</v>
      </c>
      <c r="I60" s="13" t="s">
        <v>1157</v>
      </c>
      <c r="J60" s="12" t="s">
        <v>135</v>
      </c>
      <c r="K60" s="20" t="str">
        <f>IF(OR($E60="—",LEFT($E60,1)="("),"n/a",IF(COUNTIF(Balance_Taxonomy!$B$5:$B$400,$E60)&gt;0,"OK","UNKNOWN TYPE"))</f>
        <v>OK</v>
      </c>
      <c r="L60" s="20" t="str">
        <f>IF(COUNTIF(Amount_Basis!$A$5:$A$100,$H60)&gt;0,"OK","UNKNOWN CODE")</f>
        <v>OK</v>
      </c>
      <c r="M60" s="20" t="str">
        <f t="shared" si="1"/>
        <v>OK</v>
      </c>
      <c r="N60" s="20" t="str">
        <f t="array" ref="N60">IF($J60="MIRROR",IF($F60="MIRRORED","OK","INVALID - MIRROR needs MIRRORED"),IF(IFERROR(INDEX(Amount_Basis!$D$5:$D$100,MATCH($H60,Amount_Basis!$A$5:$A$100,0)),"")="SIGNED",IF($F60="DERIVED_FROM_SIGN","OK","INVALID - SIGNED basis needs DERIVED_FROM_SIGN"),IF(OR($F60="INCREASE",$F60="DECREASE",$F60="—"),"OK","INVALID - static direction required")))</f>
        <v>OK</v>
      </c>
      <c r="O60" s="12" t="s">
        <v>420</v>
      </c>
    </row>
    <row r="61" ht="15.75" customHeight="1">
      <c r="A61" s="12" t="s">
        <v>123</v>
      </c>
      <c r="B61" s="12" t="s">
        <v>417</v>
      </c>
      <c r="C61" s="12" t="s">
        <v>1174</v>
      </c>
      <c r="D61" s="12">
        <v>3.0</v>
      </c>
      <c r="E61" s="13" t="s">
        <v>411</v>
      </c>
      <c r="F61" s="12" t="s">
        <v>512</v>
      </c>
      <c r="G61" s="20" t="str">
        <f t="array" ref="G61">IF(OR($F61="DERIVED_FROM_SIGN",$F61="MIRRORED"),"runtime",IFERROR(IF(INDEX(Balance_Taxonomy!$C$5:$C$400,MATCH($E61,Balance_Taxonomy!$B$5:$B$400,0))="Dr",IF($F61="INCREASE","Dr","Cr"),IF($F61="INCREASE","Cr","Dr")),"n/a"))</f>
        <v>Cr</v>
      </c>
      <c r="H61" s="12" t="s">
        <v>531</v>
      </c>
      <c r="I61" s="13" t="s">
        <v>1157</v>
      </c>
      <c r="J61" s="12" t="s">
        <v>135</v>
      </c>
      <c r="K61" s="20" t="str">
        <f>IF(OR($E61="—",LEFT($E61,1)="("),"n/a",IF(COUNTIF(Balance_Taxonomy!$B$5:$B$400,$E61)&gt;0,"OK","UNKNOWN TYPE"))</f>
        <v>OK</v>
      </c>
      <c r="L61" s="20" t="str">
        <f>IF(COUNTIF(Amount_Basis!$A$5:$A$100,$H61)&gt;0,"OK","UNKNOWN CODE")</f>
        <v>OK</v>
      </c>
      <c r="M61" s="20" t="str">
        <f t="shared" si="1"/>
        <v>OK</v>
      </c>
      <c r="N61" s="20" t="str">
        <f t="array" ref="N61">IF($J61="MIRROR",IF($F61="MIRRORED","OK","INVALID - MIRROR needs MIRRORED"),IF(IFERROR(INDEX(Amount_Basis!$D$5:$D$100,MATCH($H61,Amount_Basis!$A$5:$A$100,0)),"")="SIGNED",IF($F61="DERIVED_FROM_SIGN","OK","INVALID - SIGNED basis needs DERIVED_FROM_SIGN"),IF(OR($F61="INCREASE",$F61="DECREASE",$F61="—"),"OK","INVALID - static direction required")))</f>
        <v>OK</v>
      </c>
      <c r="O61" s="12" t="s">
        <v>420</v>
      </c>
    </row>
    <row r="62" ht="15.75" customHeight="1">
      <c r="A62" s="12" t="s">
        <v>123</v>
      </c>
      <c r="B62" s="12" t="s">
        <v>417</v>
      </c>
      <c r="C62" s="12" t="s">
        <v>727</v>
      </c>
      <c r="D62" s="12">
        <v>4.0</v>
      </c>
      <c r="E62" s="13" t="s">
        <v>372</v>
      </c>
      <c r="F62" s="12" t="s">
        <v>671</v>
      </c>
      <c r="G62" s="20" t="str">
        <f t="array" ref="G62">IF(OR($F62="DERIVED_FROM_SIGN",$F62="MIRRORED"),"runtime",IFERROR(IF(INDEX(Balance_Taxonomy!$C$5:$C$400,MATCH($E62,Balance_Taxonomy!$B$5:$B$400,0))="Dr",IF($F62="INCREASE","Dr","Cr"),IF($F62="INCREASE","Cr","Dr")),"n/a"))</f>
        <v>Dr</v>
      </c>
      <c r="H62" s="12" t="s">
        <v>596</v>
      </c>
      <c r="I62" s="13" t="s">
        <v>1175</v>
      </c>
      <c r="J62" s="12" t="s">
        <v>135</v>
      </c>
      <c r="K62" s="20" t="str">
        <f>IF(OR($E62="—",LEFT($E62,1)="("),"n/a",IF(COUNTIF(Balance_Taxonomy!$B$5:$B$400,$E62)&gt;0,"OK","UNKNOWN TYPE"))</f>
        <v>OK</v>
      </c>
      <c r="L62" s="20" t="str">
        <f>IF(COUNTIF(Amount_Basis!$A$5:$A$100,$H62)&gt;0,"OK","UNKNOWN CODE")</f>
        <v>OK</v>
      </c>
      <c r="M62" s="20" t="str">
        <f t="shared" si="1"/>
        <v>OK</v>
      </c>
      <c r="N62" s="20" t="str">
        <f t="array" ref="N62">IF($J62="MIRROR",IF($F62="MIRRORED","OK","INVALID - MIRROR needs MIRRORED"),IF(IFERROR(INDEX(Amount_Basis!$D$5:$D$100,MATCH($H62,Amount_Basis!$A$5:$A$100,0)),"")="SIGNED",IF($F62="DERIVED_FROM_SIGN","OK","INVALID - SIGNED basis needs DERIVED_FROM_SIGN"),IF(OR($F62="INCREASE",$F62="DECREASE",$F62="—"),"OK","INVALID - static direction required")))</f>
        <v>OK</v>
      </c>
      <c r="O62" s="12" t="s">
        <v>420</v>
      </c>
    </row>
    <row r="63" ht="15.75" customHeight="1">
      <c r="A63" s="12" t="s">
        <v>123</v>
      </c>
      <c r="B63" s="12" t="s">
        <v>417</v>
      </c>
      <c r="C63" s="12" t="s">
        <v>727</v>
      </c>
      <c r="D63" s="12">
        <v>4.0</v>
      </c>
      <c r="E63" s="13" t="s">
        <v>357</v>
      </c>
      <c r="F63" s="12" t="s">
        <v>512</v>
      </c>
      <c r="G63" s="20" t="str">
        <f t="array" ref="G63">IF(OR($F63="DERIVED_FROM_SIGN",$F63="MIRRORED"),"runtime",IFERROR(IF(INDEX(Balance_Taxonomy!$C$5:$C$400,MATCH($E63,Balance_Taxonomy!$B$5:$B$400,0))="Dr",IF($F63="INCREASE","Dr","Cr"),IF($F63="INCREASE","Cr","Dr")),"n/a"))</f>
        <v>Cr</v>
      </c>
      <c r="H63" s="12" t="s">
        <v>596</v>
      </c>
      <c r="I63" s="13" t="s">
        <v>1175</v>
      </c>
      <c r="J63" s="12" t="s">
        <v>135</v>
      </c>
      <c r="K63" s="20" t="str">
        <f>IF(OR($E63="—",LEFT($E63,1)="("),"n/a",IF(COUNTIF(Balance_Taxonomy!$B$5:$B$400,$E63)&gt;0,"OK","UNKNOWN TYPE"))</f>
        <v>OK</v>
      </c>
      <c r="L63" s="20" t="str">
        <f>IF(COUNTIF(Amount_Basis!$A$5:$A$100,$H63)&gt;0,"OK","UNKNOWN CODE")</f>
        <v>OK</v>
      </c>
      <c r="M63" s="20" t="str">
        <f t="shared" si="1"/>
        <v>OK</v>
      </c>
      <c r="N63" s="20" t="str">
        <f t="array" ref="N63">IF($J63="MIRROR",IF($F63="MIRRORED","OK","INVALID - MIRROR needs MIRRORED"),IF(IFERROR(INDEX(Amount_Basis!$D$5:$D$100,MATCH($H63,Amount_Basis!$A$5:$A$100,0)),"")="SIGNED",IF($F63="DERIVED_FROM_SIGN","OK","INVALID - SIGNED basis needs DERIVED_FROM_SIGN"),IF(OR($F63="INCREASE",$F63="DECREASE",$F63="—"),"OK","INVALID - static direction required")))</f>
        <v>OK</v>
      </c>
      <c r="O63" s="12" t="s">
        <v>420</v>
      </c>
    </row>
    <row r="64" ht="15.75" customHeight="1">
      <c r="A64" s="9" t="s">
        <v>123</v>
      </c>
      <c r="B64" s="9" t="s">
        <v>424</v>
      </c>
      <c r="C64" s="9" t="s">
        <v>1176</v>
      </c>
      <c r="D64" s="9">
        <v>1.0</v>
      </c>
      <c r="E64" s="10" t="s">
        <v>327</v>
      </c>
      <c r="F64" s="9" t="s">
        <v>671</v>
      </c>
      <c r="G64" s="16" t="str">
        <f t="array" ref="G64">IF(OR($F64="DERIVED_FROM_SIGN",$F64="MIRRORED"),"runtime",IFERROR(IF(INDEX(Balance_Taxonomy!$C$5:$C$400,MATCH($E64,Balance_Taxonomy!$B$5:$B$400,0))="Dr",IF($F64="INCREASE","Dr","Cr"),IF($F64="INCREASE","Cr","Dr")),"n/a"))</f>
        <v>Dr</v>
      </c>
      <c r="H64" s="9" t="s">
        <v>549</v>
      </c>
      <c r="I64" s="10" t="s">
        <v>1177</v>
      </c>
      <c r="J64" s="9" t="s">
        <v>135</v>
      </c>
      <c r="K64" s="16" t="str">
        <f>IF(OR($E64="—",LEFT($E64,1)="("),"n/a",IF(COUNTIF(Balance_Taxonomy!$B$5:$B$400,$E64)&gt;0,"OK","UNKNOWN TYPE"))</f>
        <v>OK</v>
      </c>
      <c r="L64" s="16" t="str">
        <f>IF(COUNTIF(Amount_Basis!$A$5:$A$100,$H64)&gt;0,"OK","UNKNOWN CODE")</f>
        <v>OK</v>
      </c>
      <c r="M64" s="16" t="str">
        <f t="shared" si="1"/>
        <v>OK</v>
      </c>
      <c r="N64" s="16" t="str">
        <f t="array" ref="N64">IF($J64="MIRROR",IF($F64="MIRRORED","OK","INVALID - MIRROR needs MIRRORED"),IF(IFERROR(INDEX(Amount_Basis!$D$5:$D$100,MATCH($H64,Amount_Basis!$A$5:$A$100,0)),"")="SIGNED",IF($F64="DERIVED_FROM_SIGN","OK","INVALID - SIGNED basis needs DERIVED_FROM_SIGN"),IF(OR($F64="INCREASE",$F64="DECREASE",$F64="—"),"OK","INVALID - static direction required")))</f>
        <v>OK</v>
      </c>
      <c r="O64" s="9" t="s">
        <v>430</v>
      </c>
    </row>
    <row r="65" ht="15.75" customHeight="1">
      <c r="A65" s="9" t="s">
        <v>123</v>
      </c>
      <c r="B65" s="9" t="s">
        <v>424</v>
      </c>
      <c r="C65" s="9" t="s">
        <v>1176</v>
      </c>
      <c r="D65" s="9">
        <v>1.0</v>
      </c>
      <c r="E65" s="10" t="s">
        <v>338</v>
      </c>
      <c r="F65" s="9" t="s">
        <v>512</v>
      </c>
      <c r="G65" s="16" t="str">
        <f t="array" ref="G65">IF(OR($F65="DERIVED_FROM_SIGN",$F65="MIRRORED"),"runtime",IFERROR(IF(INDEX(Balance_Taxonomy!$C$5:$C$400,MATCH($E65,Balance_Taxonomy!$B$5:$B$400,0))="Dr",IF($F65="INCREASE","Dr","Cr"),IF($F65="INCREASE","Cr","Dr")),"n/a"))</f>
        <v>Cr</v>
      </c>
      <c r="H65" s="9" t="s">
        <v>549</v>
      </c>
      <c r="I65" s="10" t="s">
        <v>1177</v>
      </c>
      <c r="J65" s="9" t="s">
        <v>135</v>
      </c>
      <c r="K65" s="16" t="str">
        <f>IF(OR($E65="—",LEFT($E65,1)="("),"n/a",IF(COUNTIF(Balance_Taxonomy!$B$5:$B$400,$E65)&gt;0,"OK","UNKNOWN TYPE"))</f>
        <v>OK</v>
      </c>
      <c r="L65" s="16" t="str">
        <f>IF(COUNTIF(Amount_Basis!$A$5:$A$100,$H65)&gt;0,"OK","UNKNOWN CODE")</f>
        <v>OK</v>
      </c>
      <c r="M65" s="16" t="str">
        <f t="shared" si="1"/>
        <v>OK</v>
      </c>
      <c r="N65" s="16" t="str">
        <f t="array" ref="N65">IF($J65="MIRROR",IF($F65="MIRRORED","OK","INVALID - MIRROR needs MIRRORED"),IF(IFERROR(INDEX(Amount_Basis!$D$5:$D$100,MATCH($H65,Amount_Basis!$A$5:$A$100,0)),"")="SIGNED",IF($F65="DERIVED_FROM_SIGN","OK","INVALID - SIGNED basis needs DERIVED_FROM_SIGN"),IF(OR($F65="INCREASE",$F65="DECREASE",$F65="—"),"OK","INVALID - static direction required")))</f>
        <v>OK</v>
      </c>
      <c r="O65" s="9" t="s">
        <v>430</v>
      </c>
    </row>
    <row r="66" ht="15.75" customHeight="1">
      <c r="A66" s="9" t="s">
        <v>123</v>
      </c>
      <c r="B66" s="9" t="s">
        <v>424</v>
      </c>
      <c r="C66" s="9" t="s">
        <v>1165</v>
      </c>
      <c r="D66" s="9">
        <v>2.0</v>
      </c>
      <c r="E66" s="10" t="s">
        <v>372</v>
      </c>
      <c r="F66" s="9" t="s">
        <v>671</v>
      </c>
      <c r="G66" s="16" t="str">
        <f t="array" ref="G66">IF(OR($F66="DERIVED_FROM_SIGN",$F66="MIRRORED"),"runtime",IFERROR(IF(INDEX(Balance_Taxonomy!$C$5:$C$400,MATCH($E66,Balance_Taxonomy!$B$5:$B$400,0))="Dr",IF($F66="INCREASE","Dr","Cr"),IF($F66="INCREASE","Cr","Dr")),"n/a"))</f>
        <v>Dr</v>
      </c>
      <c r="H66" s="9" t="s">
        <v>549</v>
      </c>
      <c r="I66" s="10" t="s">
        <v>1177</v>
      </c>
      <c r="J66" s="9" t="s">
        <v>135</v>
      </c>
      <c r="K66" s="16" t="str">
        <f>IF(OR($E66="—",LEFT($E66,1)="("),"n/a",IF(COUNTIF(Balance_Taxonomy!$B$5:$B$400,$E66)&gt;0,"OK","UNKNOWN TYPE"))</f>
        <v>OK</v>
      </c>
      <c r="L66" s="16" t="str">
        <f>IF(COUNTIF(Amount_Basis!$A$5:$A$100,$H66)&gt;0,"OK","UNKNOWN CODE")</f>
        <v>OK</v>
      </c>
      <c r="M66" s="16" t="str">
        <f t="shared" si="1"/>
        <v>OK</v>
      </c>
      <c r="N66" s="16" t="str">
        <f t="array" ref="N66">IF($J66="MIRROR",IF($F66="MIRRORED","OK","INVALID - MIRROR needs MIRRORED"),IF(IFERROR(INDEX(Amount_Basis!$D$5:$D$100,MATCH($H66,Amount_Basis!$A$5:$A$100,0)),"")="SIGNED",IF($F66="DERIVED_FROM_SIGN","OK","INVALID - SIGNED basis needs DERIVED_FROM_SIGN"),IF(OR($F66="INCREASE",$F66="DECREASE",$F66="—"),"OK","INVALID - static direction required")))</f>
        <v>OK</v>
      </c>
      <c r="O66" s="9" t="s">
        <v>430</v>
      </c>
    </row>
    <row r="67" ht="15.75" customHeight="1">
      <c r="A67" s="9" t="s">
        <v>123</v>
      </c>
      <c r="B67" s="9" t="s">
        <v>424</v>
      </c>
      <c r="C67" s="9" t="s">
        <v>1165</v>
      </c>
      <c r="D67" s="9">
        <v>2.0</v>
      </c>
      <c r="E67" s="10" t="s">
        <v>139</v>
      </c>
      <c r="F67" s="9" t="s">
        <v>671</v>
      </c>
      <c r="G67" s="16" t="str">
        <f t="array" ref="G67">IF(OR($F67="DERIVED_FROM_SIGN",$F67="MIRRORED"),"runtime",IFERROR(IF(INDEX(Balance_Taxonomy!$C$5:$C$400,MATCH($E67,Balance_Taxonomy!$B$5:$B$400,0))="Dr",IF($F67="INCREASE","Dr","Cr"),IF($F67="INCREASE","Cr","Dr")),"n/a"))</f>
        <v>Cr</v>
      </c>
      <c r="H67" s="9" t="s">
        <v>549</v>
      </c>
      <c r="I67" s="10" t="s">
        <v>1177</v>
      </c>
      <c r="J67" s="9" t="s">
        <v>135</v>
      </c>
      <c r="K67" s="16" t="str">
        <f>IF(OR($E67="—",LEFT($E67,1)="("),"n/a",IF(COUNTIF(Balance_Taxonomy!$B$5:$B$400,$E67)&gt;0,"OK","UNKNOWN TYPE"))</f>
        <v>OK</v>
      </c>
      <c r="L67" s="16" t="str">
        <f>IF(COUNTIF(Amount_Basis!$A$5:$A$100,$H67)&gt;0,"OK","UNKNOWN CODE")</f>
        <v>OK</v>
      </c>
      <c r="M67" s="16" t="str">
        <f t="shared" si="1"/>
        <v>OK</v>
      </c>
      <c r="N67" s="16" t="str">
        <f t="array" ref="N67">IF($J67="MIRROR",IF($F67="MIRRORED","OK","INVALID - MIRROR needs MIRRORED"),IF(IFERROR(INDEX(Amount_Basis!$D$5:$D$100,MATCH($H67,Amount_Basis!$A$5:$A$100,0)),"")="SIGNED",IF($F67="DERIVED_FROM_SIGN","OK","INVALID - SIGNED basis needs DERIVED_FROM_SIGN"),IF(OR($F67="INCREASE",$F67="DECREASE",$F67="—"),"OK","INVALID - static direction required")))</f>
        <v>OK</v>
      </c>
      <c r="O67" s="9" t="s">
        <v>430</v>
      </c>
    </row>
    <row r="68" ht="15.75" customHeight="1">
      <c r="A68" s="9" t="s">
        <v>123</v>
      </c>
      <c r="B68" s="9" t="s">
        <v>424</v>
      </c>
      <c r="C68" s="9" t="s">
        <v>1167</v>
      </c>
      <c r="D68" s="9">
        <v>3.0</v>
      </c>
      <c r="E68" s="10" t="s">
        <v>338</v>
      </c>
      <c r="F68" s="9" t="s">
        <v>671</v>
      </c>
      <c r="G68" s="16" t="str">
        <f t="array" ref="G68">IF(OR($F68="DERIVED_FROM_SIGN",$F68="MIRRORED"),"runtime",IFERROR(IF(INDEX(Balance_Taxonomy!$C$5:$C$400,MATCH($E68,Balance_Taxonomy!$B$5:$B$400,0))="Dr",IF($F68="INCREASE","Dr","Cr"),IF($F68="INCREASE","Cr","Dr")),"n/a"))</f>
        <v>Dr</v>
      </c>
      <c r="H68" s="9" t="s">
        <v>549</v>
      </c>
      <c r="I68" s="10" t="s">
        <v>1177</v>
      </c>
      <c r="J68" s="9" t="s">
        <v>135</v>
      </c>
      <c r="K68" s="16" t="str">
        <f>IF(OR($E68="—",LEFT($E68,1)="("),"n/a",IF(COUNTIF(Balance_Taxonomy!$B$5:$B$400,$E68)&gt;0,"OK","UNKNOWN TYPE"))</f>
        <v>OK</v>
      </c>
      <c r="L68" s="16" t="str">
        <f>IF(COUNTIF(Amount_Basis!$A$5:$A$100,$H68)&gt;0,"OK","UNKNOWN CODE")</f>
        <v>OK</v>
      </c>
      <c r="M68" s="16" t="str">
        <f t="shared" si="1"/>
        <v>OK</v>
      </c>
      <c r="N68" s="16" t="str">
        <f t="array" ref="N68">IF($J68="MIRROR",IF($F68="MIRRORED","OK","INVALID - MIRROR needs MIRRORED"),IF(IFERROR(INDEX(Amount_Basis!$D$5:$D$100,MATCH($H68,Amount_Basis!$A$5:$A$100,0)),"")="SIGNED",IF($F68="DERIVED_FROM_SIGN","OK","INVALID - SIGNED basis needs DERIVED_FROM_SIGN"),IF(OR($F68="INCREASE",$F68="DECREASE",$F68="—"),"OK","INVALID - static direction required")))</f>
        <v>OK</v>
      </c>
      <c r="O68" s="9" t="s">
        <v>430</v>
      </c>
    </row>
    <row r="69" ht="15.75" customHeight="1">
      <c r="A69" s="9" t="s">
        <v>123</v>
      </c>
      <c r="B69" s="9" t="s">
        <v>424</v>
      </c>
      <c r="C69" s="9" t="s">
        <v>1167</v>
      </c>
      <c r="D69" s="9">
        <v>3.0</v>
      </c>
      <c r="E69" s="10" t="s">
        <v>296</v>
      </c>
      <c r="F69" s="9" t="s">
        <v>671</v>
      </c>
      <c r="G69" s="16" t="str">
        <f t="array" ref="G69">IF(OR($F69="DERIVED_FROM_SIGN",$F69="MIRRORED"),"runtime",IFERROR(IF(INDEX(Balance_Taxonomy!$C$5:$C$400,MATCH($E69,Balance_Taxonomy!$B$5:$B$400,0))="Dr",IF($F69="INCREASE","Dr","Cr"),IF($F69="INCREASE","Cr","Dr")),"n/a"))</f>
        <v>Cr</v>
      </c>
      <c r="H69" s="9" t="s">
        <v>549</v>
      </c>
      <c r="I69" s="10" t="s">
        <v>1177</v>
      </c>
      <c r="J69" s="9" t="s">
        <v>135</v>
      </c>
      <c r="K69" s="16" t="str">
        <f>IF(OR($E69="—",LEFT($E69,1)="("),"n/a",IF(COUNTIF(Balance_Taxonomy!$B$5:$B$400,$E69)&gt;0,"OK","UNKNOWN TYPE"))</f>
        <v>OK</v>
      </c>
      <c r="L69" s="16" t="str">
        <f>IF(COUNTIF(Amount_Basis!$A$5:$A$100,$H69)&gt;0,"OK","UNKNOWN CODE")</f>
        <v>OK</v>
      </c>
      <c r="M69" s="16" t="str">
        <f t="shared" si="1"/>
        <v>OK</v>
      </c>
      <c r="N69" s="16" t="str">
        <f t="array" ref="N69">IF($J69="MIRROR",IF($F69="MIRRORED","OK","INVALID - MIRROR needs MIRRORED"),IF(IFERROR(INDEX(Amount_Basis!$D$5:$D$100,MATCH($H69,Amount_Basis!$A$5:$A$100,0)),"")="SIGNED",IF($F69="DERIVED_FROM_SIGN","OK","INVALID - SIGNED basis needs DERIVED_FROM_SIGN"),IF(OR($F69="INCREASE",$F69="DECREASE",$F69="—"),"OK","INVALID - static direction required")))</f>
        <v>OK</v>
      </c>
      <c r="O69" s="9" t="s">
        <v>430</v>
      </c>
    </row>
    <row r="70" ht="15.75" customHeight="1">
      <c r="A70" s="9" t="s">
        <v>123</v>
      </c>
      <c r="B70" s="9" t="s">
        <v>424</v>
      </c>
      <c r="C70" s="9" t="s">
        <v>1178</v>
      </c>
      <c r="D70" s="9">
        <v>4.0</v>
      </c>
      <c r="E70" s="10" t="s">
        <v>411</v>
      </c>
      <c r="F70" s="9" t="s">
        <v>671</v>
      </c>
      <c r="G70" s="16" t="str">
        <f t="array" ref="G70">IF(OR($F70="DERIVED_FROM_SIGN",$F70="MIRRORED"),"runtime",IFERROR(IF(INDEX(Balance_Taxonomy!$C$5:$C$400,MATCH($E70,Balance_Taxonomy!$B$5:$B$400,0))="Dr",IF($F70="INCREASE","Dr","Cr"),IF($F70="INCREASE","Cr","Dr")),"n/a"))</f>
        <v>Dr</v>
      </c>
      <c r="H70" s="9" t="s">
        <v>549</v>
      </c>
      <c r="I70" s="10" t="s">
        <v>1177</v>
      </c>
      <c r="J70" s="9" t="s">
        <v>135</v>
      </c>
      <c r="K70" s="16" t="str">
        <f>IF(OR($E70="—",LEFT($E70,1)="("),"n/a",IF(COUNTIF(Balance_Taxonomy!$B$5:$B$400,$E70)&gt;0,"OK","UNKNOWN TYPE"))</f>
        <v>OK</v>
      </c>
      <c r="L70" s="16" t="str">
        <f>IF(COUNTIF(Amount_Basis!$A$5:$A$100,$H70)&gt;0,"OK","UNKNOWN CODE")</f>
        <v>OK</v>
      </c>
      <c r="M70" s="16" t="str">
        <f t="shared" si="1"/>
        <v>OK</v>
      </c>
      <c r="N70" s="16" t="str">
        <f t="array" ref="N70">IF($J70="MIRROR",IF($F70="MIRRORED","OK","INVALID - MIRROR needs MIRRORED"),IF(IFERROR(INDEX(Amount_Basis!$D$5:$D$100,MATCH($H70,Amount_Basis!$A$5:$A$100,0)),"")="SIGNED",IF($F70="DERIVED_FROM_SIGN","OK","INVALID - SIGNED basis needs DERIVED_FROM_SIGN"),IF(OR($F70="INCREASE",$F70="DECREASE",$F70="—"),"OK","INVALID - static direction required")))</f>
        <v>OK</v>
      </c>
      <c r="O70" s="9" t="s">
        <v>430</v>
      </c>
    </row>
    <row r="71" ht="15.75" customHeight="1">
      <c r="A71" s="9" t="s">
        <v>123</v>
      </c>
      <c r="B71" s="9" t="s">
        <v>424</v>
      </c>
      <c r="C71" s="9" t="s">
        <v>1178</v>
      </c>
      <c r="D71" s="9">
        <v>4.0</v>
      </c>
      <c r="E71" s="10" t="s">
        <v>406</v>
      </c>
      <c r="F71" s="9" t="s">
        <v>671</v>
      </c>
      <c r="G71" s="16" t="str">
        <f t="array" ref="G71">IF(OR($F71="DERIVED_FROM_SIGN",$F71="MIRRORED"),"runtime",IFERROR(IF(INDEX(Balance_Taxonomy!$C$5:$C$400,MATCH($E71,Balance_Taxonomy!$B$5:$B$400,0))="Dr",IF($F71="INCREASE","Dr","Cr"),IF($F71="INCREASE","Cr","Dr")),"n/a"))</f>
        <v>Cr</v>
      </c>
      <c r="H71" s="9" t="s">
        <v>549</v>
      </c>
      <c r="I71" s="10" t="s">
        <v>1177</v>
      </c>
      <c r="J71" s="9" t="s">
        <v>135</v>
      </c>
      <c r="K71" s="16" t="str">
        <f>IF(OR($E71="—",LEFT($E71,1)="("),"n/a",IF(COUNTIF(Balance_Taxonomy!$B$5:$B$400,$E71)&gt;0,"OK","UNKNOWN TYPE"))</f>
        <v>OK</v>
      </c>
      <c r="L71" s="16" t="str">
        <f>IF(COUNTIF(Amount_Basis!$A$5:$A$100,$H71)&gt;0,"OK","UNKNOWN CODE")</f>
        <v>OK</v>
      </c>
      <c r="M71" s="16" t="str">
        <f t="shared" si="1"/>
        <v>OK</v>
      </c>
      <c r="N71" s="16" t="str">
        <f t="array" ref="N71">IF($J71="MIRROR",IF($F71="MIRRORED","OK","INVALID - MIRROR needs MIRRORED"),IF(IFERROR(INDEX(Amount_Basis!$D$5:$D$100,MATCH($H71,Amount_Basis!$A$5:$A$100,0)),"")="SIGNED",IF($F71="DERIVED_FROM_SIGN","OK","INVALID - SIGNED basis needs DERIVED_FROM_SIGN"),IF(OR($F71="INCREASE",$F71="DECREASE",$F71="—"),"OK","INVALID - static direction required")))</f>
        <v>OK</v>
      </c>
      <c r="O71" s="9" t="s">
        <v>430</v>
      </c>
    </row>
    <row r="72" ht="15.75" customHeight="1">
      <c r="A72" s="12" t="s">
        <v>123</v>
      </c>
      <c r="B72" s="12" t="s">
        <v>435</v>
      </c>
      <c r="C72" s="12" t="s">
        <v>1179</v>
      </c>
      <c r="D72" s="12">
        <v>1.0</v>
      </c>
      <c r="E72" s="13" t="s">
        <v>181</v>
      </c>
      <c r="F72" s="12" t="s">
        <v>512</v>
      </c>
      <c r="G72" s="20" t="str">
        <f t="array" ref="G72">IF(OR($F72="DERIVED_FROM_SIGN",$F72="MIRRORED"),"runtime",IFERROR(IF(INDEX(Balance_Taxonomy!$C$5:$C$400,MATCH($E72,Balance_Taxonomy!$B$5:$B$400,0))="Dr",IF($F72="INCREASE","Dr","Cr"),IF($F72="INCREASE","Cr","Dr")),"n/a"))</f>
        <v>Dr</v>
      </c>
      <c r="H72" s="12" t="s">
        <v>549</v>
      </c>
      <c r="I72" s="13" t="s">
        <v>1177</v>
      </c>
      <c r="J72" s="12" t="s">
        <v>135</v>
      </c>
      <c r="K72" s="20" t="str">
        <f>IF(OR($E72="—",LEFT($E72,1)="("),"n/a",IF(COUNTIF(Balance_Taxonomy!$B$5:$B$400,$E72)&gt;0,"OK","UNKNOWN TYPE"))</f>
        <v>OK</v>
      </c>
      <c r="L72" s="20" t="str">
        <f>IF(COUNTIF(Amount_Basis!$A$5:$A$100,$H72)&gt;0,"OK","UNKNOWN CODE")</f>
        <v>OK</v>
      </c>
      <c r="M72" s="20" t="str">
        <f t="shared" si="1"/>
        <v>OK</v>
      </c>
      <c r="N72" s="20" t="str">
        <f t="array" ref="N72">IF($J72="MIRROR",IF($F72="MIRRORED","OK","INVALID - MIRROR needs MIRRORED"),IF(IFERROR(INDEX(Amount_Basis!$D$5:$D$100,MATCH($H72,Amount_Basis!$A$5:$A$100,0)),"")="SIGNED",IF($F72="DERIVED_FROM_SIGN","OK","INVALID - SIGNED basis needs DERIVED_FROM_SIGN"),IF(OR($F72="INCREASE",$F72="DECREASE",$F72="—"),"OK","INVALID - static direction required")))</f>
        <v>OK</v>
      </c>
      <c r="O72" s="12" t="s">
        <v>430</v>
      </c>
    </row>
    <row r="73" ht="15.75" customHeight="1">
      <c r="A73" s="12" t="s">
        <v>123</v>
      </c>
      <c r="B73" s="12" t="s">
        <v>435</v>
      </c>
      <c r="C73" s="12" t="s">
        <v>1179</v>
      </c>
      <c r="D73" s="12">
        <v>1.0</v>
      </c>
      <c r="E73" s="13" t="s">
        <v>139</v>
      </c>
      <c r="F73" s="12" t="s">
        <v>671</v>
      </c>
      <c r="G73" s="20" t="str">
        <f t="array" ref="G73">IF(OR($F73="DERIVED_FROM_SIGN",$F73="MIRRORED"),"runtime",IFERROR(IF(INDEX(Balance_Taxonomy!$C$5:$C$400,MATCH($E73,Balance_Taxonomy!$B$5:$B$400,0))="Dr",IF($F73="INCREASE","Dr","Cr"),IF($F73="INCREASE","Cr","Dr")),"n/a"))</f>
        <v>Cr</v>
      </c>
      <c r="H73" s="12" t="s">
        <v>549</v>
      </c>
      <c r="I73" s="13" t="s">
        <v>1177</v>
      </c>
      <c r="J73" s="12" t="s">
        <v>135</v>
      </c>
      <c r="K73" s="20" t="str">
        <f>IF(OR($E73="—",LEFT($E73,1)="("),"n/a",IF(COUNTIF(Balance_Taxonomy!$B$5:$B$400,$E73)&gt;0,"OK","UNKNOWN TYPE"))</f>
        <v>OK</v>
      </c>
      <c r="L73" s="20" t="str">
        <f>IF(COUNTIF(Amount_Basis!$A$5:$A$100,$H73)&gt;0,"OK","UNKNOWN CODE")</f>
        <v>OK</v>
      </c>
      <c r="M73" s="20" t="str">
        <f t="shared" si="1"/>
        <v>OK</v>
      </c>
      <c r="N73" s="20" t="str">
        <f t="array" ref="N73">IF($J73="MIRROR",IF($F73="MIRRORED","OK","INVALID - MIRROR needs MIRRORED"),IF(IFERROR(INDEX(Amount_Basis!$D$5:$D$100,MATCH($H73,Amount_Basis!$A$5:$A$100,0)),"")="SIGNED",IF($F73="DERIVED_FROM_SIGN","OK","INVALID - SIGNED basis needs DERIVED_FROM_SIGN"),IF(OR($F73="INCREASE",$F73="DECREASE",$F73="—"),"OK","INVALID - static direction required")))</f>
        <v>OK</v>
      </c>
      <c r="O73" s="12" t="s">
        <v>430</v>
      </c>
    </row>
    <row r="74" ht="15.75" customHeight="1">
      <c r="A74" s="9" t="s">
        <v>123</v>
      </c>
      <c r="B74" s="9" t="s">
        <v>444</v>
      </c>
      <c r="C74" s="9" t="s">
        <v>1176</v>
      </c>
      <c r="D74" s="9">
        <v>1.0</v>
      </c>
      <c r="E74" s="10" t="s">
        <v>327</v>
      </c>
      <c r="F74" s="9" t="s">
        <v>671</v>
      </c>
      <c r="G74" s="16" t="str">
        <f t="array" ref="G74">IF(OR($F74="DERIVED_FROM_SIGN",$F74="MIRRORED"),"runtime",IFERROR(IF(INDEX(Balance_Taxonomy!$C$5:$C$400,MATCH($E74,Balance_Taxonomy!$B$5:$B$400,0))="Dr",IF($F74="INCREASE","Dr","Cr"),IF($F74="INCREASE","Cr","Dr")),"n/a"))</f>
        <v>Dr</v>
      </c>
      <c r="H74" s="9" t="s">
        <v>549</v>
      </c>
      <c r="I74" s="10" t="s">
        <v>1177</v>
      </c>
      <c r="J74" s="9" t="s">
        <v>135</v>
      </c>
      <c r="K74" s="16" t="str">
        <f>IF(OR($E74="—",LEFT($E74,1)="("),"n/a",IF(COUNTIF(Balance_Taxonomy!$B$5:$B$400,$E74)&gt;0,"OK","UNKNOWN TYPE"))</f>
        <v>OK</v>
      </c>
      <c r="L74" s="16" t="str">
        <f>IF(COUNTIF(Amount_Basis!$A$5:$A$100,$H74)&gt;0,"OK","UNKNOWN CODE")</f>
        <v>OK</v>
      </c>
      <c r="M74" s="16" t="str">
        <f t="shared" si="1"/>
        <v>OK</v>
      </c>
      <c r="N74" s="16" t="str">
        <f t="array" ref="N74">IF($J74="MIRROR",IF($F74="MIRRORED","OK","INVALID - MIRROR needs MIRRORED"),IF(IFERROR(INDEX(Amount_Basis!$D$5:$D$100,MATCH($H74,Amount_Basis!$A$5:$A$100,0)),"")="SIGNED",IF($F74="DERIVED_FROM_SIGN","OK","INVALID - SIGNED basis needs DERIVED_FROM_SIGN"),IF(OR($F74="INCREASE",$F74="DECREASE",$F74="—"),"OK","INVALID - static direction required")))</f>
        <v>OK</v>
      </c>
      <c r="O74" s="9" t="s">
        <v>430</v>
      </c>
    </row>
    <row r="75" ht="15.75" customHeight="1">
      <c r="A75" s="9" t="s">
        <v>123</v>
      </c>
      <c r="B75" s="9" t="s">
        <v>444</v>
      </c>
      <c r="C75" s="9" t="s">
        <v>1176</v>
      </c>
      <c r="D75" s="9">
        <v>1.0</v>
      </c>
      <c r="E75" s="10" t="s">
        <v>338</v>
      </c>
      <c r="F75" s="9" t="s">
        <v>512</v>
      </c>
      <c r="G75" s="16" t="str">
        <f t="array" ref="G75">IF(OR($F75="DERIVED_FROM_SIGN",$F75="MIRRORED"),"runtime",IFERROR(IF(INDEX(Balance_Taxonomy!$C$5:$C$400,MATCH($E75,Balance_Taxonomy!$B$5:$B$400,0))="Dr",IF($F75="INCREASE","Dr","Cr"),IF($F75="INCREASE","Cr","Dr")),"n/a"))</f>
        <v>Cr</v>
      </c>
      <c r="H75" s="9" t="s">
        <v>549</v>
      </c>
      <c r="I75" s="10" t="s">
        <v>1177</v>
      </c>
      <c r="J75" s="9" t="s">
        <v>135</v>
      </c>
      <c r="K75" s="16" t="str">
        <f>IF(OR($E75="—",LEFT($E75,1)="("),"n/a",IF(COUNTIF(Balance_Taxonomy!$B$5:$B$400,$E75)&gt;0,"OK","UNKNOWN TYPE"))</f>
        <v>OK</v>
      </c>
      <c r="L75" s="16" t="str">
        <f>IF(COUNTIF(Amount_Basis!$A$5:$A$100,$H75)&gt;0,"OK","UNKNOWN CODE")</f>
        <v>OK</v>
      </c>
      <c r="M75" s="16" t="str">
        <f t="shared" si="1"/>
        <v>OK</v>
      </c>
      <c r="N75" s="16" t="str">
        <f t="array" ref="N75">IF($J75="MIRROR",IF($F75="MIRRORED","OK","INVALID - MIRROR needs MIRRORED"),IF(IFERROR(INDEX(Amount_Basis!$D$5:$D$100,MATCH($H75,Amount_Basis!$A$5:$A$100,0)),"")="SIGNED",IF($F75="DERIVED_FROM_SIGN","OK","INVALID - SIGNED basis needs DERIVED_FROM_SIGN"),IF(OR($F75="INCREASE",$F75="DECREASE",$F75="—"),"OK","INVALID - static direction required")))</f>
        <v>OK</v>
      </c>
      <c r="O75" s="9" t="s">
        <v>430</v>
      </c>
    </row>
    <row r="76" ht="15.75" customHeight="1">
      <c r="A76" s="9" t="s">
        <v>123</v>
      </c>
      <c r="B76" s="9" t="s">
        <v>444</v>
      </c>
      <c r="C76" s="9" t="s">
        <v>1180</v>
      </c>
      <c r="D76" s="9">
        <v>2.0</v>
      </c>
      <c r="E76" s="10" t="s">
        <v>187</v>
      </c>
      <c r="F76" s="9" t="s">
        <v>512</v>
      </c>
      <c r="G76" s="16" t="str">
        <f t="array" ref="G76">IF(OR($F76="DERIVED_FROM_SIGN",$F76="MIRRORED"),"runtime",IFERROR(IF(INDEX(Balance_Taxonomy!$C$5:$C$400,MATCH($E76,Balance_Taxonomy!$B$5:$B$400,0))="Dr",IF($F76="INCREASE","Dr","Cr"),IF($F76="INCREASE","Cr","Dr")),"n/a"))</f>
        <v>Dr</v>
      </c>
      <c r="H76" s="9" t="s">
        <v>549</v>
      </c>
      <c r="I76" s="10" t="s">
        <v>1177</v>
      </c>
      <c r="J76" s="9" t="s">
        <v>135</v>
      </c>
      <c r="K76" s="16" t="str">
        <f>IF(OR($E76="—",LEFT($E76,1)="("),"n/a",IF(COUNTIF(Balance_Taxonomy!$B$5:$B$400,$E76)&gt;0,"OK","UNKNOWN TYPE"))</f>
        <v>OK</v>
      </c>
      <c r="L76" s="16" t="str">
        <f>IF(COUNTIF(Amount_Basis!$A$5:$A$100,$H76)&gt;0,"OK","UNKNOWN CODE")</f>
        <v>OK</v>
      </c>
      <c r="M76" s="16" t="str">
        <f t="shared" si="1"/>
        <v>OK</v>
      </c>
      <c r="N76" s="16" t="str">
        <f t="array" ref="N76">IF($J76="MIRROR",IF($F76="MIRRORED","OK","INVALID - MIRROR needs MIRRORED"),IF(IFERROR(INDEX(Amount_Basis!$D$5:$D$100,MATCH($H76,Amount_Basis!$A$5:$A$100,0)),"")="SIGNED",IF($F76="DERIVED_FROM_SIGN","OK","INVALID - SIGNED basis needs DERIVED_FROM_SIGN"),IF(OR($F76="INCREASE",$F76="DECREASE",$F76="—"),"OK","INVALID - static direction required")))</f>
        <v>OK</v>
      </c>
      <c r="O76" s="9" t="s">
        <v>430</v>
      </c>
    </row>
    <row r="77" ht="15.75" customHeight="1">
      <c r="A77" s="9" t="s">
        <v>123</v>
      </c>
      <c r="B77" s="9" t="s">
        <v>444</v>
      </c>
      <c r="C77" s="9" t="s">
        <v>1180</v>
      </c>
      <c r="D77" s="9">
        <v>2.0</v>
      </c>
      <c r="E77" s="10" t="s">
        <v>139</v>
      </c>
      <c r="F77" s="9" t="s">
        <v>671</v>
      </c>
      <c r="G77" s="16" t="str">
        <f t="array" ref="G77">IF(OR($F77="DERIVED_FROM_SIGN",$F77="MIRRORED"),"runtime",IFERROR(IF(INDEX(Balance_Taxonomy!$C$5:$C$400,MATCH($E77,Balance_Taxonomy!$B$5:$B$400,0))="Dr",IF($F77="INCREASE","Dr","Cr"),IF($F77="INCREASE","Cr","Dr")),"n/a"))</f>
        <v>Cr</v>
      </c>
      <c r="H77" s="9" t="s">
        <v>549</v>
      </c>
      <c r="I77" s="10" t="s">
        <v>1177</v>
      </c>
      <c r="J77" s="9" t="s">
        <v>135</v>
      </c>
      <c r="K77" s="16" t="str">
        <f>IF(OR($E77="—",LEFT($E77,1)="("),"n/a",IF(COUNTIF(Balance_Taxonomy!$B$5:$B$400,$E77)&gt;0,"OK","UNKNOWN TYPE"))</f>
        <v>OK</v>
      </c>
      <c r="L77" s="16" t="str">
        <f>IF(COUNTIF(Amount_Basis!$A$5:$A$100,$H77)&gt;0,"OK","UNKNOWN CODE")</f>
        <v>OK</v>
      </c>
      <c r="M77" s="16" t="str">
        <f t="shared" si="1"/>
        <v>OK</v>
      </c>
      <c r="N77" s="16" t="str">
        <f t="array" ref="N77">IF($J77="MIRROR",IF($F77="MIRRORED","OK","INVALID - MIRROR needs MIRRORED"),IF(IFERROR(INDEX(Amount_Basis!$D$5:$D$100,MATCH($H77,Amount_Basis!$A$5:$A$100,0)),"")="SIGNED",IF($F77="DERIVED_FROM_SIGN","OK","INVALID - SIGNED basis needs DERIVED_FROM_SIGN"),IF(OR($F77="INCREASE",$F77="DECREASE",$F77="—"),"OK","INVALID - static direction required")))</f>
        <v>OK</v>
      </c>
      <c r="O77" s="9" t="s">
        <v>430</v>
      </c>
    </row>
    <row r="78" ht="15.75" customHeight="1">
      <c r="A78" s="9" t="s">
        <v>123</v>
      </c>
      <c r="B78" s="9" t="s">
        <v>444</v>
      </c>
      <c r="C78" s="9" t="s">
        <v>1167</v>
      </c>
      <c r="D78" s="9">
        <v>3.0</v>
      </c>
      <c r="E78" s="10" t="s">
        <v>338</v>
      </c>
      <c r="F78" s="9" t="s">
        <v>671</v>
      </c>
      <c r="G78" s="16" t="str">
        <f t="array" ref="G78">IF(OR($F78="DERIVED_FROM_SIGN",$F78="MIRRORED"),"runtime",IFERROR(IF(INDEX(Balance_Taxonomy!$C$5:$C$400,MATCH($E78,Balance_Taxonomy!$B$5:$B$400,0))="Dr",IF($F78="INCREASE","Dr","Cr"),IF($F78="INCREASE","Cr","Dr")),"n/a"))</f>
        <v>Dr</v>
      </c>
      <c r="H78" s="9" t="s">
        <v>549</v>
      </c>
      <c r="I78" s="10" t="s">
        <v>1177</v>
      </c>
      <c r="J78" s="9" t="s">
        <v>135</v>
      </c>
      <c r="K78" s="16" t="str">
        <f>IF(OR($E78="—",LEFT($E78,1)="("),"n/a",IF(COUNTIF(Balance_Taxonomy!$B$5:$B$400,$E78)&gt;0,"OK","UNKNOWN TYPE"))</f>
        <v>OK</v>
      </c>
      <c r="L78" s="16" t="str">
        <f>IF(COUNTIF(Amount_Basis!$A$5:$A$100,$H78)&gt;0,"OK","UNKNOWN CODE")</f>
        <v>OK</v>
      </c>
      <c r="M78" s="16" t="str">
        <f t="shared" si="1"/>
        <v>OK</v>
      </c>
      <c r="N78" s="16" t="str">
        <f t="array" ref="N78">IF($J78="MIRROR",IF($F78="MIRRORED","OK","INVALID - MIRROR needs MIRRORED"),IF(IFERROR(INDEX(Amount_Basis!$D$5:$D$100,MATCH($H78,Amount_Basis!$A$5:$A$100,0)),"")="SIGNED",IF($F78="DERIVED_FROM_SIGN","OK","INVALID - SIGNED basis needs DERIVED_FROM_SIGN"),IF(OR($F78="INCREASE",$F78="DECREASE",$F78="—"),"OK","INVALID - static direction required")))</f>
        <v>OK</v>
      </c>
      <c r="O78" s="9" t="s">
        <v>430</v>
      </c>
    </row>
    <row r="79" ht="15.75" customHeight="1">
      <c r="A79" s="9" t="s">
        <v>123</v>
      </c>
      <c r="B79" s="9" t="s">
        <v>444</v>
      </c>
      <c r="C79" s="9" t="s">
        <v>1167</v>
      </c>
      <c r="D79" s="9">
        <v>3.0</v>
      </c>
      <c r="E79" s="10" t="s">
        <v>296</v>
      </c>
      <c r="F79" s="9" t="s">
        <v>671</v>
      </c>
      <c r="G79" s="16" t="str">
        <f t="array" ref="G79">IF(OR($F79="DERIVED_FROM_SIGN",$F79="MIRRORED"),"runtime",IFERROR(IF(INDEX(Balance_Taxonomy!$C$5:$C$400,MATCH($E79,Balance_Taxonomy!$B$5:$B$400,0))="Dr",IF($F79="INCREASE","Dr","Cr"),IF($F79="INCREASE","Cr","Dr")),"n/a"))</f>
        <v>Cr</v>
      </c>
      <c r="H79" s="9" t="s">
        <v>549</v>
      </c>
      <c r="I79" s="10" t="s">
        <v>1177</v>
      </c>
      <c r="J79" s="9" t="s">
        <v>135</v>
      </c>
      <c r="K79" s="16" t="str">
        <f>IF(OR($E79="—",LEFT($E79,1)="("),"n/a",IF(COUNTIF(Balance_Taxonomy!$B$5:$B$400,$E79)&gt;0,"OK","UNKNOWN TYPE"))</f>
        <v>OK</v>
      </c>
      <c r="L79" s="16" t="str">
        <f>IF(COUNTIF(Amount_Basis!$A$5:$A$100,$H79)&gt;0,"OK","UNKNOWN CODE")</f>
        <v>OK</v>
      </c>
      <c r="M79" s="16" t="str">
        <f t="shared" si="1"/>
        <v>OK</v>
      </c>
      <c r="N79" s="16" t="str">
        <f t="array" ref="N79">IF($J79="MIRROR",IF($F79="MIRRORED","OK","INVALID - MIRROR needs MIRRORED"),IF(IFERROR(INDEX(Amount_Basis!$D$5:$D$100,MATCH($H79,Amount_Basis!$A$5:$A$100,0)),"")="SIGNED",IF($F79="DERIVED_FROM_SIGN","OK","INVALID - SIGNED basis needs DERIVED_FROM_SIGN"),IF(OR($F79="INCREASE",$F79="DECREASE",$F79="—"),"OK","INVALID - static direction required")))</f>
        <v>OK</v>
      </c>
      <c r="O79" s="9" t="s">
        <v>430</v>
      </c>
    </row>
    <row r="80" ht="15.75" customHeight="1">
      <c r="A80" s="9" t="s">
        <v>123</v>
      </c>
      <c r="B80" s="9" t="s">
        <v>444</v>
      </c>
      <c r="C80" s="9" t="s">
        <v>1178</v>
      </c>
      <c r="D80" s="9">
        <v>4.0</v>
      </c>
      <c r="E80" s="10" t="s">
        <v>411</v>
      </c>
      <c r="F80" s="9" t="s">
        <v>671</v>
      </c>
      <c r="G80" s="16" t="str">
        <f t="array" ref="G80">IF(OR($F80="DERIVED_FROM_SIGN",$F80="MIRRORED"),"runtime",IFERROR(IF(INDEX(Balance_Taxonomy!$C$5:$C$400,MATCH($E80,Balance_Taxonomy!$B$5:$B$400,0))="Dr",IF($F80="INCREASE","Dr","Cr"),IF($F80="INCREASE","Cr","Dr")),"n/a"))</f>
        <v>Dr</v>
      </c>
      <c r="H80" s="9" t="s">
        <v>549</v>
      </c>
      <c r="I80" s="10" t="s">
        <v>1177</v>
      </c>
      <c r="J80" s="9" t="s">
        <v>135</v>
      </c>
      <c r="K80" s="16" t="str">
        <f>IF(OR($E80="—",LEFT($E80,1)="("),"n/a",IF(COUNTIF(Balance_Taxonomy!$B$5:$B$400,$E80)&gt;0,"OK","UNKNOWN TYPE"))</f>
        <v>OK</v>
      </c>
      <c r="L80" s="16" t="str">
        <f>IF(COUNTIF(Amount_Basis!$A$5:$A$100,$H80)&gt;0,"OK","UNKNOWN CODE")</f>
        <v>OK</v>
      </c>
      <c r="M80" s="16" t="str">
        <f t="shared" si="1"/>
        <v>OK</v>
      </c>
      <c r="N80" s="16" t="str">
        <f t="array" ref="N80">IF($J80="MIRROR",IF($F80="MIRRORED","OK","INVALID - MIRROR needs MIRRORED"),IF(IFERROR(INDEX(Amount_Basis!$D$5:$D$100,MATCH($H80,Amount_Basis!$A$5:$A$100,0)),"")="SIGNED",IF($F80="DERIVED_FROM_SIGN","OK","INVALID - SIGNED basis needs DERIVED_FROM_SIGN"),IF(OR($F80="INCREASE",$F80="DECREASE",$F80="—"),"OK","INVALID - static direction required")))</f>
        <v>OK</v>
      </c>
      <c r="O80" s="9" t="s">
        <v>430</v>
      </c>
    </row>
    <row r="81" ht="15.75" customHeight="1">
      <c r="A81" s="9" t="s">
        <v>123</v>
      </c>
      <c r="B81" s="9" t="s">
        <v>444</v>
      </c>
      <c r="C81" s="9" t="s">
        <v>1178</v>
      </c>
      <c r="D81" s="9">
        <v>4.0</v>
      </c>
      <c r="E81" s="10" t="s">
        <v>406</v>
      </c>
      <c r="F81" s="9" t="s">
        <v>671</v>
      </c>
      <c r="G81" s="16" t="str">
        <f t="array" ref="G81">IF(OR($F81="DERIVED_FROM_SIGN",$F81="MIRRORED"),"runtime",IFERROR(IF(INDEX(Balance_Taxonomy!$C$5:$C$400,MATCH($E81,Balance_Taxonomy!$B$5:$B$400,0))="Dr",IF($F81="INCREASE","Dr","Cr"),IF($F81="INCREASE","Cr","Dr")),"n/a"))</f>
        <v>Cr</v>
      </c>
      <c r="H81" s="9" t="s">
        <v>549</v>
      </c>
      <c r="I81" s="10" t="s">
        <v>1177</v>
      </c>
      <c r="J81" s="9" t="s">
        <v>135</v>
      </c>
      <c r="K81" s="16" t="str">
        <f>IF(OR($E81="—",LEFT($E81,1)="("),"n/a",IF(COUNTIF(Balance_Taxonomy!$B$5:$B$400,$E81)&gt;0,"OK","UNKNOWN TYPE"))</f>
        <v>OK</v>
      </c>
      <c r="L81" s="16" t="str">
        <f>IF(COUNTIF(Amount_Basis!$A$5:$A$100,$H81)&gt;0,"OK","UNKNOWN CODE")</f>
        <v>OK</v>
      </c>
      <c r="M81" s="16" t="str">
        <f t="shared" si="1"/>
        <v>OK</v>
      </c>
      <c r="N81" s="16" t="str">
        <f t="array" ref="N81">IF($J81="MIRROR",IF($F81="MIRRORED","OK","INVALID - MIRROR needs MIRRORED"),IF(IFERROR(INDEX(Amount_Basis!$D$5:$D$100,MATCH($H81,Amount_Basis!$A$5:$A$100,0)),"")="SIGNED",IF($F81="DERIVED_FROM_SIGN","OK","INVALID - SIGNED basis needs DERIVED_FROM_SIGN"),IF(OR($F81="INCREASE",$F81="DECREASE",$F81="—"),"OK","INVALID - static direction required")))</f>
        <v>OK</v>
      </c>
      <c r="O81" s="9" t="s">
        <v>430</v>
      </c>
    </row>
    <row r="82" ht="15.75" customHeight="1">
      <c r="A82" s="12" t="s">
        <v>123</v>
      </c>
      <c r="B82" s="12" t="s">
        <v>451</v>
      </c>
      <c r="C82" s="12" t="s">
        <v>1181</v>
      </c>
      <c r="D82" s="12">
        <v>1.0</v>
      </c>
      <c r="E82" s="13" t="s">
        <v>327</v>
      </c>
      <c r="F82" s="12" t="s">
        <v>671</v>
      </c>
      <c r="G82" s="20" t="str">
        <f t="array" ref="G82">IF(OR($F82="DERIVED_FROM_SIGN",$F82="MIRRORED"),"runtime",IFERROR(IF(INDEX(Balance_Taxonomy!$C$5:$C$400,MATCH($E82,Balance_Taxonomy!$B$5:$B$400,0))="Dr",IF($F82="INCREASE","Dr","Cr"),IF($F82="INCREASE","Cr","Dr")),"n/a"))</f>
        <v>Dr</v>
      </c>
      <c r="H82" s="12" t="s">
        <v>549</v>
      </c>
      <c r="I82" s="13" t="s">
        <v>1177</v>
      </c>
      <c r="J82" s="12" t="s">
        <v>135</v>
      </c>
      <c r="K82" s="20" t="str">
        <f>IF(OR($E82="—",LEFT($E82,1)="("),"n/a",IF(COUNTIF(Balance_Taxonomy!$B$5:$B$400,$E82)&gt;0,"OK","UNKNOWN TYPE"))</f>
        <v>OK</v>
      </c>
      <c r="L82" s="20" t="str">
        <f>IF(COUNTIF(Amount_Basis!$A$5:$A$100,$H82)&gt;0,"OK","UNKNOWN CODE")</f>
        <v>OK</v>
      </c>
      <c r="M82" s="20" t="str">
        <f t="shared" si="1"/>
        <v>OK</v>
      </c>
      <c r="N82" s="20" t="str">
        <f t="array" ref="N82">IF($J82="MIRROR",IF($F82="MIRRORED","OK","INVALID - MIRROR needs MIRRORED"),IF(IFERROR(INDEX(Amount_Basis!$D$5:$D$100,MATCH($H82,Amount_Basis!$A$5:$A$100,0)),"")="SIGNED",IF($F82="DERIVED_FROM_SIGN","OK","INVALID - SIGNED basis needs DERIVED_FROM_SIGN"),IF(OR($F82="INCREASE",$F82="DECREASE",$F82="—"),"OK","INVALID - static direction required")))</f>
        <v>OK</v>
      </c>
      <c r="O82" s="12" t="s">
        <v>455</v>
      </c>
    </row>
    <row r="83" ht="15.75" customHeight="1">
      <c r="A83" s="12" t="s">
        <v>123</v>
      </c>
      <c r="B83" s="12" t="s">
        <v>451</v>
      </c>
      <c r="C83" s="12" t="s">
        <v>1181</v>
      </c>
      <c r="D83" s="12">
        <v>1.0</v>
      </c>
      <c r="E83" s="13" t="s">
        <v>139</v>
      </c>
      <c r="F83" s="12" t="s">
        <v>671</v>
      </c>
      <c r="G83" s="20" t="str">
        <f t="array" ref="G83">IF(OR($F83="DERIVED_FROM_SIGN",$F83="MIRRORED"),"runtime",IFERROR(IF(INDEX(Balance_Taxonomy!$C$5:$C$400,MATCH($E83,Balance_Taxonomy!$B$5:$B$400,0))="Dr",IF($F83="INCREASE","Dr","Cr"),IF($F83="INCREASE","Cr","Dr")),"n/a"))</f>
        <v>Cr</v>
      </c>
      <c r="H83" s="12" t="s">
        <v>549</v>
      </c>
      <c r="I83" s="13" t="s">
        <v>1177</v>
      </c>
      <c r="J83" s="12" t="s">
        <v>135</v>
      </c>
      <c r="K83" s="20" t="str">
        <f>IF(OR($E83="—",LEFT($E83,1)="("),"n/a",IF(COUNTIF(Balance_Taxonomy!$B$5:$B$400,$E83)&gt;0,"OK","UNKNOWN TYPE"))</f>
        <v>OK</v>
      </c>
      <c r="L83" s="20" t="str">
        <f>IF(COUNTIF(Amount_Basis!$A$5:$A$100,$H83)&gt;0,"OK","UNKNOWN CODE")</f>
        <v>OK</v>
      </c>
      <c r="M83" s="20" t="str">
        <f t="shared" si="1"/>
        <v>OK</v>
      </c>
      <c r="N83" s="20" t="str">
        <f t="array" ref="N83">IF($J83="MIRROR",IF($F83="MIRRORED","OK","INVALID - MIRROR needs MIRRORED"),IF(IFERROR(INDEX(Amount_Basis!$D$5:$D$100,MATCH($H83,Amount_Basis!$A$5:$A$100,0)),"")="SIGNED",IF($F83="DERIVED_FROM_SIGN","OK","INVALID - SIGNED basis needs DERIVED_FROM_SIGN"),IF(OR($F83="INCREASE",$F83="DECREASE",$F83="—"),"OK","INVALID - static direction required")))</f>
        <v>OK</v>
      </c>
      <c r="O83" s="12" t="s">
        <v>455</v>
      </c>
    </row>
    <row r="84" ht="15.75" customHeight="1">
      <c r="A84" s="12" t="s">
        <v>123</v>
      </c>
      <c r="B84" s="12" t="s">
        <v>451</v>
      </c>
      <c r="C84" s="12" t="s">
        <v>1182</v>
      </c>
      <c r="D84" s="12">
        <v>2.0</v>
      </c>
      <c r="E84" s="13" t="s">
        <v>159</v>
      </c>
      <c r="F84" s="12" t="s">
        <v>512</v>
      </c>
      <c r="G84" s="20" t="str">
        <f t="array" ref="G84">IF(OR($F84="DERIVED_FROM_SIGN",$F84="MIRRORED"),"runtime",IFERROR(IF(INDEX(Balance_Taxonomy!$C$5:$C$400,MATCH($E84,Balance_Taxonomy!$B$5:$B$400,0))="Dr",IF($F84="INCREASE","Dr","Cr"),IF($F84="INCREASE","Cr","Dr")),"n/a"))</f>
        <v>Dr</v>
      </c>
      <c r="H84" s="12" t="s">
        <v>549</v>
      </c>
      <c r="I84" s="13" t="s">
        <v>1177</v>
      </c>
      <c r="J84" s="12" t="s">
        <v>135</v>
      </c>
      <c r="K84" s="20" t="str">
        <f>IF(OR($E84="—",LEFT($E84,1)="("),"n/a",IF(COUNTIF(Balance_Taxonomy!$B$5:$B$400,$E84)&gt;0,"OK","UNKNOWN TYPE"))</f>
        <v>OK</v>
      </c>
      <c r="L84" s="20" t="str">
        <f>IF(COUNTIF(Amount_Basis!$A$5:$A$100,$H84)&gt;0,"OK","UNKNOWN CODE")</f>
        <v>OK</v>
      </c>
      <c r="M84" s="20" t="str">
        <f t="shared" si="1"/>
        <v>OK</v>
      </c>
      <c r="N84" s="20" t="str">
        <f t="array" ref="N84">IF($J84="MIRROR",IF($F84="MIRRORED","OK","INVALID - MIRROR needs MIRRORED"),IF(IFERROR(INDEX(Amount_Basis!$D$5:$D$100,MATCH($H84,Amount_Basis!$A$5:$A$100,0)),"")="SIGNED",IF($F84="DERIVED_FROM_SIGN","OK","INVALID - SIGNED basis needs DERIVED_FROM_SIGN"),IF(OR($F84="INCREASE",$F84="DECREASE",$F84="—"),"OK","INVALID - static direction required")))</f>
        <v>OK</v>
      </c>
      <c r="O84" s="12" t="s">
        <v>455</v>
      </c>
    </row>
    <row r="85" ht="15.75" customHeight="1">
      <c r="A85" s="12" t="s">
        <v>123</v>
      </c>
      <c r="B85" s="12" t="s">
        <v>451</v>
      </c>
      <c r="C85" s="12" t="s">
        <v>1182</v>
      </c>
      <c r="D85" s="12">
        <v>2.0</v>
      </c>
      <c r="E85" s="13" t="s">
        <v>312</v>
      </c>
      <c r="F85" s="12" t="s">
        <v>512</v>
      </c>
      <c r="G85" s="20" t="str">
        <f t="array" ref="G85">IF(OR($F85="DERIVED_FROM_SIGN",$F85="MIRRORED"),"runtime",IFERROR(IF(INDEX(Balance_Taxonomy!$C$5:$C$400,MATCH($E85,Balance_Taxonomy!$B$5:$B$400,0))="Dr",IF($F85="INCREASE","Dr","Cr"),IF($F85="INCREASE","Cr","Dr")),"n/a"))</f>
        <v>Cr</v>
      </c>
      <c r="H85" s="12" t="s">
        <v>628</v>
      </c>
      <c r="I85" s="13" t="s">
        <v>1183</v>
      </c>
      <c r="J85" s="12" t="s">
        <v>135</v>
      </c>
      <c r="K85" s="20" t="str">
        <f>IF(OR($E85="—",LEFT($E85,1)="("),"n/a",IF(COUNTIF(Balance_Taxonomy!$B$5:$B$400,$E85)&gt;0,"OK","UNKNOWN TYPE"))</f>
        <v>OK</v>
      </c>
      <c r="L85" s="20" t="str">
        <f>IF(COUNTIF(Amount_Basis!$A$5:$A$100,$H85)&gt;0,"OK","UNKNOWN CODE")</f>
        <v>OK</v>
      </c>
      <c r="M85" s="20" t="str">
        <f t="shared" si="1"/>
        <v>OK</v>
      </c>
      <c r="N85" s="20" t="str">
        <f t="array" ref="N85">IF($J85="MIRROR",IF($F85="MIRRORED","OK","INVALID - MIRROR needs MIRRORED"),IF(IFERROR(INDEX(Amount_Basis!$D$5:$D$100,MATCH($H85,Amount_Basis!$A$5:$A$100,0)),"")="SIGNED",IF($F85="DERIVED_FROM_SIGN","OK","INVALID - SIGNED basis needs DERIVED_FROM_SIGN"),IF(OR($F85="INCREASE",$F85="DECREASE",$F85="—"),"OK","INVALID - static direction required")))</f>
        <v>OK</v>
      </c>
      <c r="O85" s="12" t="s">
        <v>455</v>
      </c>
    </row>
    <row r="86" ht="15.75" customHeight="1">
      <c r="A86" s="12" t="s">
        <v>123</v>
      </c>
      <c r="B86" s="12" t="s">
        <v>451</v>
      </c>
      <c r="C86" s="12" t="s">
        <v>1182</v>
      </c>
      <c r="D86" s="12">
        <v>2.0</v>
      </c>
      <c r="E86" s="13" t="s">
        <v>296</v>
      </c>
      <c r="F86" s="12" t="s">
        <v>671</v>
      </c>
      <c r="G86" s="20" t="str">
        <f t="array" ref="G86">IF(OR($F86="DERIVED_FROM_SIGN",$F86="MIRRORED"),"runtime",IFERROR(IF(INDEX(Balance_Taxonomy!$C$5:$C$400,MATCH($E86,Balance_Taxonomy!$B$5:$B$400,0))="Dr",IF($F86="INCREASE","Dr","Cr"),IF($F86="INCREASE","Cr","Dr")),"n/a"))</f>
        <v>Cr</v>
      </c>
      <c r="H86" s="12" t="s">
        <v>631</v>
      </c>
      <c r="I86" s="13" t="s">
        <v>1184</v>
      </c>
      <c r="J86" s="12" t="s">
        <v>135</v>
      </c>
      <c r="K86" s="20" t="str">
        <f>IF(OR($E86="—",LEFT($E86,1)="("),"n/a",IF(COUNTIF(Balance_Taxonomy!$B$5:$B$400,$E86)&gt;0,"OK","UNKNOWN TYPE"))</f>
        <v>OK</v>
      </c>
      <c r="L86" s="20" t="str">
        <f>IF(COUNTIF(Amount_Basis!$A$5:$A$100,$H86)&gt;0,"OK","UNKNOWN CODE")</f>
        <v>OK</v>
      </c>
      <c r="M86" s="20" t="str">
        <f t="shared" si="1"/>
        <v>OK</v>
      </c>
      <c r="N86" s="20" t="str">
        <f t="array" ref="N86">IF($J86="MIRROR",IF($F86="MIRRORED","OK","INVALID - MIRROR needs MIRRORED"),IF(IFERROR(INDEX(Amount_Basis!$D$5:$D$100,MATCH($H86,Amount_Basis!$A$5:$A$100,0)),"")="SIGNED",IF($F86="DERIVED_FROM_SIGN","OK","INVALID - SIGNED basis needs DERIVED_FROM_SIGN"),IF(OR($F86="INCREASE",$F86="DECREASE",$F86="—"),"OK","INVALID - static direction required")))</f>
        <v>OK</v>
      </c>
      <c r="O86" s="12" t="s">
        <v>455</v>
      </c>
    </row>
    <row r="87" ht="15.75" customHeight="1">
      <c r="A87" s="12" t="s">
        <v>123</v>
      </c>
      <c r="B87" s="12" t="s">
        <v>451</v>
      </c>
      <c r="C87" s="12" t="s">
        <v>1178</v>
      </c>
      <c r="D87" s="12">
        <v>3.0</v>
      </c>
      <c r="E87" s="13" t="s">
        <v>411</v>
      </c>
      <c r="F87" s="12" t="s">
        <v>671</v>
      </c>
      <c r="G87" s="20" t="str">
        <f t="array" ref="G87">IF(OR($F87="DERIVED_FROM_SIGN",$F87="MIRRORED"),"runtime",IFERROR(IF(INDEX(Balance_Taxonomy!$C$5:$C$400,MATCH($E87,Balance_Taxonomy!$B$5:$B$400,0))="Dr",IF($F87="INCREASE","Dr","Cr"),IF($F87="INCREASE","Cr","Dr")),"n/a"))</f>
        <v>Dr</v>
      </c>
      <c r="H87" s="12" t="s">
        <v>549</v>
      </c>
      <c r="I87" s="13" t="s">
        <v>1177</v>
      </c>
      <c r="J87" s="12" t="s">
        <v>135</v>
      </c>
      <c r="K87" s="20" t="str">
        <f>IF(OR($E87="—",LEFT($E87,1)="("),"n/a",IF(COUNTIF(Balance_Taxonomy!$B$5:$B$400,$E87)&gt;0,"OK","UNKNOWN TYPE"))</f>
        <v>OK</v>
      </c>
      <c r="L87" s="20" t="str">
        <f>IF(COUNTIF(Amount_Basis!$A$5:$A$100,$H87)&gt;0,"OK","UNKNOWN CODE")</f>
        <v>OK</v>
      </c>
      <c r="M87" s="20" t="str">
        <f t="shared" si="1"/>
        <v>OK</v>
      </c>
      <c r="N87" s="20" t="str">
        <f t="array" ref="N87">IF($J87="MIRROR",IF($F87="MIRRORED","OK","INVALID - MIRROR needs MIRRORED"),IF(IFERROR(INDEX(Amount_Basis!$D$5:$D$100,MATCH($H87,Amount_Basis!$A$5:$A$100,0)),"")="SIGNED",IF($F87="DERIVED_FROM_SIGN","OK","INVALID - SIGNED basis needs DERIVED_FROM_SIGN"),IF(OR($F87="INCREASE",$F87="DECREASE",$F87="—"),"OK","INVALID - static direction required")))</f>
        <v>OK</v>
      </c>
      <c r="O87" s="12" t="s">
        <v>455</v>
      </c>
    </row>
    <row r="88" ht="15.75" customHeight="1">
      <c r="A88" s="12" t="s">
        <v>123</v>
      </c>
      <c r="B88" s="12" t="s">
        <v>451</v>
      </c>
      <c r="C88" s="12" t="s">
        <v>1178</v>
      </c>
      <c r="D88" s="12">
        <v>3.0</v>
      </c>
      <c r="E88" s="13" t="s">
        <v>406</v>
      </c>
      <c r="F88" s="12" t="s">
        <v>671</v>
      </c>
      <c r="G88" s="20" t="str">
        <f t="array" ref="G88">IF(OR($F88="DERIVED_FROM_SIGN",$F88="MIRRORED"),"runtime",IFERROR(IF(INDEX(Balance_Taxonomy!$C$5:$C$400,MATCH($E88,Balance_Taxonomy!$B$5:$B$400,0))="Dr",IF($F88="INCREASE","Dr","Cr"),IF($F88="INCREASE","Cr","Dr")),"n/a"))</f>
        <v>Cr</v>
      </c>
      <c r="H88" s="12" t="s">
        <v>549</v>
      </c>
      <c r="I88" s="13" t="s">
        <v>1177</v>
      </c>
      <c r="J88" s="12" t="s">
        <v>135</v>
      </c>
      <c r="K88" s="20" t="str">
        <f>IF(OR($E88="—",LEFT($E88,1)="("),"n/a",IF(COUNTIF(Balance_Taxonomy!$B$5:$B$400,$E88)&gt;0,"OK","UNKNOWN TYPE"))</f>
        <v>OK</v>
      </c>
      <c r="L88" s="20" t="str">
        <f>IF(COUNTIF(Amount_Basis!$A$5:$A$100,$H88)&gt;0,"OK","UNKNOWN CODE")</f>
        <v>OK</v>
      </c>
      <c r="M88" s="20" t="str">
        <f t="shared" si="1"/>
        <v>OK</v>
      </c>
      <c r="N88" s="20" t="str">
        <f t="array" ref="N88">IF($J88="MIRROR",IF($F88="MIRRORED","OK","INVALID - MIRROR needs MIRRORED"),IF(IFERROR(INDEX(Amount_Basis!$D$5:$D$100,MATCH($H88,Amount_Basis!$A$5:$A$100,0)),"")="SIGNED",IF($F88="DERIVED_FROM_SIGN","OK","INVALID - SIGNED basis needs DERIVED_FROM_SIGN"),IF(OR($F88="INCREASE",$F88="DECREASE",$F88="—"),"OK","INVALID - static direction required")))</f>
        <v>OK</v>
      </c>
      <c r="O88" s="12" t="s">
        <v>455</v>
      </c>
    </row>
    <row r="89" ht="15.75" customHeight="1">
      <c r="A89" s="9" t="s">
        <v>123</v>
      </c>
      <c r="B89" s="9" t="s">
        <v>458</v>
      </c>
      <c r="C89" s="9" t="s">
        <v>1185</v>
      </c>
      <c r="D89" s="9">
        <v>1.0</v>
      </c>
      <c r="E89" s="10" t="s">
        <v>1186</v>
      </c>
      <c r="F89" s="9" t="s">
        <v>1187</v>
      </c>
      <c r="G89" s="16" t="str">
        <f t="array" ref="G89">IF(OR($F89="DERIVED_FROM_SIGN",$F89="MIRRORED"),"runtime",IFERROR(IF(INDEX(Balance_Taxonomy!$C$5:$C$400,MATCH($E89,Balance_Taxonomy!$B$5:$B$400,0))="Dr",IF($F89="INCREASE","Dr","Cr"),IF($F89="INCREASE","Cr","Dr")),"n/a"))</f>
        <v>runtime</v>
      </c>
      <c r="H89" s="9" t="s">
        <v>640</v>
      </c>
      <c r="I89" s="10" t="s">
        <v>1188</v>
      </c>
      <c r="J89" s="9" t="s">
        <v>460</v>
      </c>
      <c r="K89" s="16" t="str">
        <f>IF(OR($E89="—",LEFT($E89,1)="("),"n/a",IF(COUNTIF(Balance_Taxonomy!$B$5:$B$400,$E89)&gt;0,"OK","UNKNOWN TYPE"))</f>
        <v>n/a</v>
      </c>
      <c r="L89" s="16" t="str">
        <f>IF(COUNTIF(Amount_Basis!$A$5:$A$100,$H89)&gt;0,"OK","UNKNOWN CODE")</f>
        <v>OK</v>
      </c>
      <c r="M89" s="16" t="str">
        <f t="shared" si="1"/>
        <v>OK</v>
      </c>
      <c r="N89" s="16" t="str">
        <f t="array" ref="N89">IF($J89="MIRROR",IF($F89="MIRRORED","OK","INVALID - MIRROR needs MIRRORED"),IF(IFERROR(INDEX(Amount_Basis!$D$5:$D$100,MATCH($H89,Amount_Basis!$A$5:$A$100,0)),"")="SIGNED",IF($F89="DERIVED_FROM_SIGN","OK","INVALID - SIGNED basis needs DERIVED_FROM_SIGN"),IF(OR($F89="INCREASE",$F89="DECREASE",$F89="—"),"OK","INVALID - static direction required")))</f>
        <v>OK</v>
      </c>
      <c r="O89" s="9" t="s">
        <v>463</v>
      </c>
    </row>
    <row r="90" ht="15.75" customHeight="1">
      <c r="A90" s="9" t="s">
        <v>123</v>
      </c>
      <c r="B90" s="9" t="s">
        <v>458</v>
      </c>
      <c r="C90" s="9" t="s">
        <v>1189</v>
      </c>
      <c r="D90" s="9">
        <v>2.0</v>
      </c>
      <c r="E90" s="10" t="s">
        <v>1186</v>
      </c>
      <c r="F90" s="9" t="s">
        <v>1187</v>
      </c>
      <c r="G90" s="16" t="str">
        <f t="array" ref="G90">IF(OR($F90="DERIVED_FROM_SIGN",$F90="MIRRORED"),"runtime",IFERROR(IF(INDEX(Balance_Taxonomy!$C$5:$C$400,MATCH($E90,Balance_Taxonomy!$B$5:$B$400,0))="Dr",IF($F90="INCREASE","Dr","Cr"),IF($F90="INCREASE","Cr","Dr")),"n/a"))</f>
        <v>runtime</v>
      </c>
      <c r="H90" s="9" t="s">
        <v>644</v>
      </c>
      <c r="I90" s="10" t="s">
        <v>1190</v>
      </c>
      <c r="J90" s="9" t="s">
        <v>460</v>
      </c>
      <c r="K90" s="16" t="str">
        <f>IF(OR($E90="—",LEFT($E90,1)="("),"n/a",IF(COUNTIF(Balance_Taxonomy!$B$5:$B$400,$E90)&gt;0,"OK","UNKNOWN TYPE"))</f>
        <v>n/a</v>
      </c>
      <c r="L90" s="16" t="str">
        <f>IF(COUNTIF(Amount_Basis!$A$5:$A$100,$H90)&gt;0,"OK","UNKNOWN CODE")</f>
        <v>OK</v>
      </c>
      <c r="M90" s="16" t="str">
        <f t="shared" si="1"/>
        <v>OK</v>
      </c>
      <c r="N90" s="16" t="str">
        <f t="array" ref="N90">IF($J90="MIRROR",IF($F90="MIRRORED","OK","INVALID - MIRROR needs MIRRORED"),IF(IFERROR(INDEX(Amount_Basis!$D$5:$D$100,MATCH($H90,Amount_Basis!$A$5:$A$100,0)),"")="SIGNED",IF($F90="DERIVED_FROM_SIGN","OK","INVALID - SIGNED basis needs DERIVED_FROM_SIGN"),IF(OR($F90="INCREASE",$F90="DECREASE",$F90="—"),"OK","INVALID - static direction required")))</f>
        <v>OK</v>
      </c>
      <c r="O90" s="9" t="s">
        <v>463</v>
      </c>
    </row>
    <row r="91" ht="15.75" customHeight="1">
      <c r="A91" s="12" t="s">
        <v>123</v>
      </c>
      <c r="B91" s="12" t="s">
        <v>466</v>
      </c>
      <c r="C91" s="12" t="s">
        <v>1191</v>
      </c>
      <c r="D91" s="12">
        <v>1.0</v>
      </c>
      <c r="E91" s="13" t="s">
        <v>327</v>
      </c>
      <c r="F91" s="12" t="s">
        <v>671</v>
      </c>
      <c r="G91" s="20" t="str">
        <f t="array" ref="G91">IF(OR($F91="DERIVED_FROM_SIGN",$F91="MIRRORED"),"runtime",IFERROR(IF(INDEX(Balance_Taxonomy!$C$5:$C$400,MATCH($E91,Balance_Taxonomy!$B$5:$B$400,0))="Dr",IF($F91="INCREASE","Dr","Cr"),IF($F91="INCREASE","Cr","Dr")),"n/a"))</f>
        <v>Dr</v>
      </c>
      <c r="H91" s="12" t="s">
        <v>637</v>
      </c>
      <c r="I91" s="13" t="s">
        <v>1192</v>
      </c>
      <c r="J91" s="12" t="s">
        <v>135</v>
      </c>
      <c r="K91" s="20" t="str">
        <f>IF(OR($E91="—",LEFT($E91,1)="("),"n/a",IF(COUNTIF(Balance_Taxonomy!$B$5:$B$400,$E91)&gt;0,"OK","UNKNOWN TYPE"))</f>
        <v>OK</v>
      </c>
      <c r="L91" s="20" t="str">
        <f>IF(COUNTIF(Amount_Basis!$A$5:$A$100,$H91)&gt;0,"OK","UNKNOWN CODE")</f>
        <v>OK</v>
      </c>
      <c r="M91" s="20" t="str">
        <f t="shared" si="1"/>
        <v>OK</v>
      </c>
      <c r="N91" s="20" t="str">
        <f t="array" ref="N91">IF($J91="MIRROR",IF($F91="MIRRORED","OK","INVALID - MIRROR needs MIRRORED"),IF(IFERROR(INDEX(Amount_Basis!$D$5:$D$100,MATCH($H91,Amount_Basis!$A$5:$A$100,0)),"")="SIGNED",IF($F91="DERIVED_FROM_SIGN","OK","INVALID - SIGNED basis needs DERIVED_FROM_SIGN"),IF(OR($F91="INCREASE",$F91="DECREASE",$F91="—"),"OK","INVALID - static direction required")))</f>
        <v>OK</v>
      </c>
      <c r="O91" s="12" t="s">
        <v>463</v>
      </c>
    </row>
    <row r="92" ht="15.75" customHeight="1">
      <c r="A92" s="12" t="s">
        <v>123</v>
      </c>
      <c r="B92" s="12" t="s">
        <v>466</v>
      </c>
      <c r="C92" s="12" t="s">
        <v>1191</v>
      </c>
      <c r="D92" s="12">
        <v>1.0</v>
      </c>
      <c r="E92" s="13" t="s">
        <v>139</v>
      </c>
      <c r="F92" s="12" t="s">
        <v>671</v>
      </c>
      <c r="G92" s="20" t="str">
        <f t="array" ref="G92">IF(OR($F92="DERIVED_FROM_SIGN",$F92="MIRRORED"),"runtime",IFERROR(IF(INDEX(Balance_Taxonomy!$C$5:$C$400,MATCH($E92,Balance_Taxonomy!$B$5:$B$400,0))="Dr",IF($F92="INCREASE","Dr","Cr"),IF($F92="INCREASE","Cr","Dr")),"n/a"))</f>
        <v>Cr</v>
      </c>
      <c r="H92" s="12" t="s">
        <v>637</v>
      </c>
      <c r="I92" s="13" t="s">
        <v>1192</v>
      </c>
      <c r="J92" s="12" t="s">
        <v>135</v>
      </c>
      <c r="K92" s="20" t="str">
        <f>IF(OR($E92="—",LEFT($E92,1)="("),"n/a",IF(COUNTIF(Balance_Taxonomy!$B$5:$B$400,$E92)&gt;0,"OK","UNKNOWN TYPE"))</f>
        <v>OK</v>
      </c>
      <c r="L92" s="20" t="str">
        <f>IF(COUNTIF(Amount_Basis!$A$5:$A$100,$H92)&gt;0,"OK","UNKNOWN CODE")</f>
        <v>OK</v>
      </c>
      <c r="M92" s="20" t="str">
        <f t="shared" si="1"/>
        <v>OK</v>
      </c>
      <c r="N92" s="20" t="str">
        <f t="array" ref="N92">IF($J92="MIRROR",IF($F92="MIRRORED","OK","INVALID - MIRROR needs MIRRORED"),IF(IFERROR(INDEX(Amount_Basis!$D$5:$D$100,MATCH($H92,Amount_Basis!$A$5:$A$100,0)),"")="SIGNED",IF($F92="DERIVED_FROM_SIGN","OK","INVALID - SIGNED basis needs DERIVED_FROM_SIGN"),IF(OR($F92="INCREASE",$F92="DECREASE",$F92="—"),"OK","INVALID - static direction required")))</f>
        <v>OK</v>
      </c>
      <c r="O92" s="12" t="s">
        <v>463</v>
      </c>
    </row>
    <row r="93" ht="15.75" customHeight="1">
      <c r="A93" s="12" t="s">
        <v>123</v>
      </c>
      <c r="B93" s="12" t="s">
        <v>466</v>
      </c>
      <c r="C93" s="12" t="s">
        <v>1178</v>
      </c>
      <c r="D93" s="12">
        <v>2.0</v>
      </c>
      <c r="E93" s="13" t="s">
        <v>411</v>
      </c>
      <c r="F93" s="12" t="s">
        <v>671</v>
      </c>
      <c r="G93" s="20" t="str">
        <f t="array" ref="G93">IF(OR($F93="DERIVED_FROM_SIGN",$F93="MIRRORED"),"runtime",IFERROR(IF(INDEX(Balance_Taxonomy!$C$5:$C$400,MATCH($E93,Balance_Taxonomy!$B$5:$B$400,0))="Dr",IF($F93="INCREASE","Dr","Cr"),IF($F93="INCREASE","Cr","Dr")),"n/a"))</f>
        <v>Dr</v>
      </c>
      <c r="H93" s="12" t="s">
        <v>637</v>
      </c>
      <c r="I93" s="13" t="s">
        <v>1192</v>
      </c>
      <c r="J93" s="12" t="s">
        <v>135</v>
      </c>
      <c r="K93" s="20" t="str">
        <f>IF(OR($E93="—",LEFT($E93,1)="("),"n/a",IF(COUNTIF(Balance_Taxonomy!$B$5:$B$400,$E93)&gt;0,"OK","UNKNOWN TYPE"))</f>
        <v>OK</v>
      </c>
      <c r="L93" s="20" t="str">
        <f>IF(COUNTIF(Amount_Basis!$A$5:$A$100,$H93)&gt;0,"OK","UNKNOWN CODE")</f>
        <v>OK</v>
      </c>
      <c r="M93" s="20" t="str">
        <f t="shared" si="1"/>
        <v>OK</v>
      </c>
      <c r="N93" s="20" t="str">
        <f t="array" ref="N93">IF($J93="MIRROR",IF($F93="MIRRORED","OK","INVALID - MIRROR needs MIRRORED"),IF(IFERROR(INDEX(Amount_Basis!$D$5:$D$100,MATCH($H93,Amount_Basis!$A$5:$A$100,0)),"")="SIGNED",IF($F93="DERIVED_FROM_SIGN","OK","INVALID - SIGNED basis needs DERIVED_FROM_SIGN"),IF(OR($F93="INCREASE",$F93="DECREASE",$F93="—"),"OK","INVALID - static direction required")))</f>
        <v>OK</v>
      </c>
      <c r="O93" s="12" t="s">
        <v>463</v>
      </c>
    </row>
    <row r="94" ht="15.75" customHeight="1">
      <c r="A94" s="12" t="s">
        <v>123</v>
      </c>
      <c r="B94" s="12" t="s">
        <v>466</v>
      </c>
      <c r="C94" s="12" t="s">
        <v>1178</v>
      </c>
      <c r="D94" s="12">
        <v>2.0</v>
      </c>
      <c r="E94" s="13" t="s">
        <v>406</v>
      </c>
      <c r="F94" s="12" t="s">
        <v>671</v>
      </c>
      <c r="G94" s="20" t="str">
        <f t="array" ref="G94">IF(OR($F94="DERIVED_FROM_SIGN",$F94="MIRRORED"),"runtime",IFERROR(IF(INDEX(Balance_Taxonomy!$C$5:$C$400,MATCH($E94,Balance_Taxonomy!$B$5:$B$400,0))="Dr",IF($F94="INCREASE","Dr","Cr"),IF($F94="INCREASE","Cr","Dr")),"n/a"))</f>
        <v>Cr</v>
      </c>
      <c r="H94" s="12" t="s">
        <v>637</v>
      </c>
      <c r="I94" s="13" t="s">
        <v>1192</v>
      </c>
      <c r="J94" s="12" t="s">
        <v>135</v>
      </c>
      <c r="K94" s="20" t="str">
        <f>IF(OR($E94="—",LEFT($E94,1)="("),"n/a",IF(COUNTIF(Balance_Taxonomy!$B$5:$B$400,$E94)&gt;0,"OK","UNKNOWN TYPE"))</f>
        <v>OK</v>
      </c>
      <c r="L94" s="20" t="str">
        <f>IF(COUNTIF(Amount_Basis!$A$5:$A$100,$H94)&gt;0,"OK","UNKNOWN CODE")</f>
        <v>OK</v>
      </c>
      <c r="M94" s="20" t="str">
        <f t="shared" si="1"/>
        <v>OK</v>
      </c>
      <c r="N94" s="20" t="str">
        <f t="array" ref="N94">IF($J94="MIRROR",IF($F94="MIRRORED","OK","INVALID - MIRROR needs MIRRORED"),IF(IFERROR(INDEX(Amount_Basis!$D$5:$D$100,MATCH($H94,Amount_Basis!$A$5:$A$100,0)),"")="SIGNED",IF($F94="DERIVED_FROM_SIGN","OK","INVALID - SIGNED basis needs DERIVED_FROM_SIGN"),IF(OR($F94="INCREASE",$F94="DECREASE",$F94="—"),"OK","INVALID - static direction required")))</f>
        <v>OK</v>
      </c>
      <c r="O94" s="12" t="s">
        <v>463</v>
      </c>
    </row>
    <row r="95" ht="15.75" customHeight="1">
      <c r="A95" s="9" t="s">
        <v>123</v>
      </c>
      <c r="B95" s="9" t="s">
        <v>473</v>
      </c>
      <c r="C95" s="9" t="s">
        <v>964</v>
      </c>
      <c r="D95" s="9">
        <v>1.0</v>
      </c>
      <c r="E95" s="10" t="s">
        <v>38</v>
      </c>
      <c r="F95" s="9" t="s">
        <v>671</v>
      </c>
      <c r="G95" s="16" t="str">
        <f t="array" ref="G95">IF(OR($F95="DERIVED_FROM_SIGN",$F95="MIRRORED"),"runtime",IFERROR(IF(INDEX(Balance_Taxonomy!$C$5:$C$400,MATCH($E95,Balance_Taxonomy!$B$5:$B$400,0))="Dr",IF($F95="INCREASE","Dr","Cr"),IF($F95="INCREASE","Cr","Dr")),"n/a"))</f>
        <v>Dr</v>
      </c>
      <c r="H95" s="9" t="s">
        <v>572</v>
      </c>
      <c r="I95" s="10" t="s">
        <v>1193</v>
      </c>
      <c r="J95" s="9" t="s">
        <v>135</v>
      </c>
      <c r="K95" s="16" t="str">
        <f>IF(OR($E95="—",LEFT($E95,1)="("),"n/a",IF(COUNTIF(Balance_Taxonomy!$B$5:$B$400,$E95)&gt;0,"OK","UNKNOWN TYPE"))</f>
        <v>OK</v>
      </c>
      <c r="L95" s="16" t="str">
        <f>IF(COUNTIF(Amount_Basis!$A$5:$A$100,$H95)&gt;0,"OK","UNKNOWN CODE")</f>
        <v>OK</v>
      </c>
      <c r="M95" s="16" t="str">
        <f t="shared" si="1"/>
        <v>OK</v>
      </c>
      <c r="N95" s="16" t="str">
        <f t="array" ref="N95">IF($J95="MIRROR",IF($F95="MIRRORED","OK","INVALID - MIRROR needs MIRRORED"),IF(IFERROR(INDEX(Amount_Basis!$D$5:$D$100,MATCH($H95,Amount_Basis!$A$5:$A$100,0)),"")="SIGNED",IF($F95="DERIVED_FROM_SIGN","OK","INVALID - SIGNED basis needs DERIVED_FROM_SIGN"),IF(OR($F95="INCREASE",$F95="DECREASE",$F95="—"),"OK","INVALID - static direction required")))</f>
        <v>OK</v>
      </c>
      <c r="O95" s="9" t="s">
        <v>163</v>
      </c>
    </row>
    <row r="96" ht="15.75" customHeight="1">
      <c r="A96" s="9" t="s">
        <v>123</v>
      </c>
      <c r="B96" s="9" t="s">
        <v>473</v>
      </c>
      <c r="C96" s="9" t="s">
        <v>964</v>
      </c>
      <c r="D96" s="9">
        <v>1.0</v>
      </c>
      <c r="E96" s="10" t="s">
        <v>25</v>
      </c>
      <c r="F96" s="9" t="s">
        <v>671</v>
      </c>
      <c r="G96" s="16" t="str">
        <f t="array" ref="G96">IF(OR($F96="DERIVED_FROM_SIGN",$F96="MIRRORED"),"runtime",IFERROR(IF(INDEX(Balance_Taxonomy!$C$5:$C$400,MATCH($E96,Balance_Taxonomy!$B$5:$B$400,0))="Dr",IF($F96="INCREASE","Dr","Cr"),IF($F96="INCREASE","Cr","Dr")),"n/a"))</f>
        <v>Cr</v>
      </c>
      <c r="H96" s="9" t="s">
        <v>572</v>
      </c>
      <c r="I96" s="10" t="s">
        <v>1193</v>
      </c>
      <c r="J96" s="9" t="s">
        <v>135</v>
      </c>
      <c r="K96" s="16" t="str">
        <f>IF(OR($E96="—",LEFT($E96,1)="("),"n/a",IF(COUNTIF(Balance_Taxonomy!$B$5:$B$400,$E96)&gt;0,"OK","UNKNOWN TYPE"))</f>
        <v>OK</v>
      </c>
      <c r="L96" s="16" t="str">
        <f>IF(COUNTIF(Amount_Basis!$A$5:$A$100,$H96)&gt;0,"OK","UNKNOWN CODE")</f>
        <v>OK</v>
      </c>
      <c r="M96" s="16" t="str">
        <f t="shared" si="1"/>
        <v>OK</v>
      </c>
      <c r="N96" s="16" t="str">
        <f t="array" ref="N96">IF($J96="MIRROR",IF($F96="MIRRORED","OK","INVALID - MIRROR needs MIRRORED"),IF(IFERROR(INDEX(Amount_Basis!$D$5:$D$100,MATCH($H96,Amount_Basis!$A$5:$A$100,0)),"")="SIGNED",IF($F96="DERIVED_FROM_SIGN","OK","INVALID - SIGNED basis needs DERIVED_FROM_SIGN"),IF(OR($F96="INCREASE",$F96="DECREASE",$F96="—"),"OK","INVALID - static direction required")))</f>
        <v>OK</v>
      </c>
      <c r="O96" s="9" t="s">
        <v>163</v>
      </c>
    </row>
    <row r="97" ht="15.75" customHeight="1">
      <c r="A97" s="9" t="s">
        <v>123</v>
      </c>
      <c r="B97" s="9" t="s">
        <v>473</v>
      </c>
      <c r="C97" s="9" t="s">
        <v>1168</v>
      </c>
      <c r="D97" s="9">
        <v>2.0</v>
      </c>
      <c r="E97" s="10" t="s">
        <v>363</v>
      </c>
      <c r="F97" s="9" t="s">
        <v>671</v>
      </c>
      <c r="G97" s="16" t="str">
        <f t="array" ref="G97">IF(OR($F97="DERIVED_FROM_SIGN",$F97="MIRRORED"),"runtime",IFERROR(IF(INDEX(Balance_Taxonomy!$C$5:$C$400,MATCH($E97,Balance_Taxonomy!$B$5:$B$400,0))="Dr",IF($F97="INCREASE","Dr","Cr"),IF($F97="INCREASE","Cr","Dr")),"n/a"))</f>
        <v>Dr</v>
      </c>
      <c r="H97" s="9" t="s">
        <v>623</v>
      </c>
      <c r="I97" s="10" t="s">
        <v>1194</v>
      </c>
      <c r="J97" s="9" t="s">
        <v>135</v>
      </c>
      <c r="K97" s="16" t="str">
        <f>IF(OR($E97="—",LEFT($E97,1)="("),"n/a",IF(COUNTIF(Balance_Taxonomy!$B$5:$B$400,$E97)&gt;0,"OK","UNKNOWN TYPE"))</f>
        <v>OK</v>
      </c>
      <c r="L97" s="16" t="str">
        <f>IF(COUNTIF(Amount_Basis!$A$5:$A$100,$H97)&gt;0,"OK","UNKNOWN CODE")</f>
        <v>OK</v>
      </c>
      <c r="M97" s="16" t="str">
        <f t="shared" si="1"/>
        <v>OK</v>
      </c>
      <c r="N97" s="16" t="str">
        <f t="array" ref="N97">IF($J97="MIRROR",IF($F97="MIRRORED","OK","INVALID - MIRROR needs MIRRORED"),IF(IFERROR(INDEX(Amount_Basis!$D$5:$D$100,MATCH($H97,Amount_Basis!$A$5:$A$100,0)),"")="SIGNED",IF($F97="DERIVED_FROM_SIGN","OK","INVALID - SIGNED basis needs DERIVED_FROM_SIGN"),IF(OR($F97="INCREASE",$F97="DECREASE",$F97="—"),"OK","INVALID - static direction required")))</f>
        <v>OK</v>
      </c>
      <c r="O97" s="9" t="s">
        <v>163</v>
      </c>
    </row>
    <row r="98" ht="15.75" customHeight="1">
      <c r="A98" s="9" t="s">
        <v>123</v>
      </c>
      <c r="B98" s="9" t="s">
        <v>473</v>
      </c>
      <c r="C98" s="9" t="s">
        <v>1168</v>
      </c>
      <c r="D98" s="9">
        <v>2.0</v>
      </c>
      <c r="E98" s="10" t="s">
        <v>398</v>
      </c>
      <c r="F98" s="9" t="s">
        <v>671</v>
      </c>
      <c r="G98" s="16" t="str">
        <f t="array" ref="G98">IF(OR($F98="DERIVED_FROM_SIGN",$F98="MIRRORED"),"runtime",IFERROR(IF(INDEX(Balance_Taxonomy!$C$5:$C$400,MATCH($E98,Balance_Taxonomy!$B$5:$B$400,0))="Dr",IF($F98="INCREASE","Dr","Cr"),IF($F98="INCREASE","Cr","Dr")),"n/a"))</f>
        <v>Cr</v>
      </c>
      <c r="H98" s="9" t="s">
        <v>623</v>
      </c>
      <c r="I98" s="10" t="s">
        <v>1194</v>
      </c>
      <c r="J98" s="9" t="s">
        <v>135</v>
      </c>
      <c r="K98" s="16" t="str">
        <f>IF(OR($E98="—",LEFT($E98,1)="("),"n/a",IF(COUNTIF(Balance_Taxonomy!$B$5:$B$400,$E98)&gt;0,"OK","UNKNOWN TYPE"))</f>
        <v>OK</v>
      </c>
      <c r="L98" s="16" t="str">
        <f>IF(COUNTIF(Amount_Basis!$A$5:$A$100,$H98)&gt;0,"OK","UNKNOWN CODE")</f>
        <v>OK</v>
      </c>
      <c r="M98" s="16" t="str">
        <f t="shared" si="1"/>
        <v>OK</v>
      </c>
      <c r="N98" s="16" t="str">
        <f t="array" ref="N98">IF($J98="MIRROR",IF($F98="MIRRORED","OK","INVALID - MIRROR needs MIRRORED"),IF(IFERROR(INDEX(Amount_Basis!$D$5:$D$100,MATCH($H98,Amount_Basis!$A$5:$A$100,0)),"")="SIGNED",IF($F98="DERIVED_FROM_SIGN","OK","INVALID - SIGNED basis needs DERIVED_FROM_SIGN"),IF(OR($F98="INCREASE",$F98="DECREASE",$F98="—"),"OK","INVALID - static direction required")))</f>
        <v>OK</v>
      </c>
      <c r="O98" s="9" t="s">
        <v>163</v>
      </c>
    </row>
    <row r="99" ht="15.75" customHeight="1">
      <c r="A99" s="9" t="s">
        <v>123</v>
      </c>
      <c r="B99" s="9" t="s">
        <v>473</v>
      </c>
      <c r="C99" s="9" t="s">
        <v>1195</v>
      </c>
      <c r="D99" s="9">
        <v>3.0</v>
      </c>
      <c r="E99" s="10" t="s">
        <v>357</v>
      </c>
      <c r="F99" s="9" t="s">
        <v>671</v>
      </c>
      <c r="G99" s="16" t="str">
        <f t="array" ref="G99">IF(OR($F99="DERIVED_FROM_SIGN",$F99="MIRRORED"),"runtime",IFERROR(IF(INDEX(Balance_Taxonomy!$C$5:$C$400,MATCH($E99,Balance_Taxonomy!$B$5:$B$400,0))="Dr",IF($F99="INCREASE","Dr","Cr"),IF($F99="INCREASE","Cr","Dr")),"n/a"))</f>
        <v>Dr</v>
      </c>
      <c r="H99" s="9" t="s">
        <v>603</v>
      </c>
      <c r="I99" s="10" t="s">
        <v>1196</v>
      </c>
      <c r="J99" s="9" t="s">
        <v>135</v>
      </c>
      <c r="K99" s="16" t="str">
        <f>IF(OR($E99="—",LEFT($E99,1)="("),"n/a",IF(COUNTIF(Balance_Taxonomy!$B$5:$B$400,$E99)&gt;0,"OK","UNKNOWN TYPE"))</f>
        <v>OK</v>
      </c>
      <c r="L99" s="16" t="str">
        <f>IF(COUNTIF(Amount_Basis!$A$5:$A$100,$H99)&gt;0,"OK","UNKNOWN CODE")</f>
        <v>OK</v>
      </c>
      <c r="M99" s="16" t="str">
        <f t="shared" si="1"/>
        <v>OK</v>
      </c>
      <c r="N99" s="16" t="str">
        <f t="array" ref="N99">IF($J99="MIRROR",IF($F99="MIRRORED","OK","INVALID - MIRROR needs MIRRORED"),IF(IFERROR(INDEX(Amount_Basis!$D$5:$D$100,MATCH($H99,Amount_Basis!$A$5:$A$100,0)),"")="SIGNED",IF($F99="DERIVED_FROM_SIGN","OK","INVALID - SIGNED basis needs DERIVED_FROM_SIGN"),IF(OR($F99="INCREASE",$F99="DECREASE",$F99="—"),"OK","INVALID - static direction required")))</f>
        <v>OK</v>
      </c>
      <c r="O99" s="9" t="s">
        <v>163</v>
      </c>
    </row>
    <row r="100" ht="15.75" customHeight="1">
      <c r="A100" s="9" t="s">
        <v>123</v>
      </c>
      <c r="B100" s="9" t="s">
        <v>473</v>
      </c>
      <c r="C100" s="9" t="s">
        <v>1195</v>
      </c>
      <c r="D100" s="9">
        <v>3.0</v>
      </c>
      <c r="E100" s="10" t="s">
        <v>380</v>
      </c>
      <c r="F100" s="9" t="s">
        <v>512</v>
      </c>
      <c r="G100" s="16" t="str">
        <f t="array" ref="G100">IF(OR($F100="DERIVED_FROM_SIGN",$F100="MIRRORED"),"runtime",IFERROR(IF(INDEX(Balance_Taxonomy!$C$5:$C$400,MATCH($E100,Balance_Taxonomy!$B$5:$B$400,0))="Dr",IF($F100="INCREASE","Dr","Cr"),IF($F100="INCREASE","Cr","Dr")),"n/a"))</f>
        <v>Cr</v>
      </c>
      <c r="H100" s="9" t="s">
        <v>603</v>
      </c>
      <c r="I100" s="10" t="s">
        <v>1196</v>
      </c>
      <c r="J100" s="9" t="s">
        <v>135</v>
      </c>
      <c r="K100" s="16" t="str">
        <f>IF(OR($E100="—",LEFT($E100,1)="("),"n/a",IF(COUNTIF(Balance_Taxonomy!$B$5:$B$400,$E100)&gt;0,"OK","UNKNOWN TYPE"))</f>
        <v>OK</v>
      </c>
      <c r="L100" s="16" t="str">
        <f>IF(COUNTIF(Amount_Basis!$A$5:$A$100,$H100)&gt;0,"OK","UNKNOWN CODE")</f>
        <v>OK</v>
      </c>
      <c r="M100" s="16" t="str">
        <f t="shared" si="1"/>
        <v>OK</v>
      </c>
      <c r="N100" s="16" t="str">
        <f t="array" ref="N100">IF($J100="MIRROR",IF($F100="MIRRORED","OK","INVALID - MIRROR needs MIRRORED"),IF(IFERROR(INDEX(Amount_Basis!$D$5:$D$100,MATCH($H100,Amount_Basis!$A$5:$A$100,0)),"")="SIGNED",IF($F100="DERIVED_FROM_SIGN","OK","INVALID - SIGNED basis needs DERIVED_FROM_SIGN"),IF(OR($F100="INCREASE",$F100="DECREASE",$F100="—"),"OK","INVALID - static direction required")))</f>
        <v>OK</v>
      </c>
      <c r="O100" s="9" t="s">
        <v>163</v>
      </c>
    </row>
    <row r="101" ht="15.75" customHeight="1">
      <c r="A101" s="9" t="s">
        <v>123</v>
      </c>
      <c r="B101" s="9" t="s">
        <v>473</v>
      </c>
      <c r="C101" s="9" t="s">
        <v>1197</v>
      </c>
      <c r="D101" s="9">
        <v>4.0</v>
      </c>
      <c r="E101" s="10" t="s">
        <v>347</v>
      </c>
      <c r="F101" s="9" t="s">
        <v>671</v>
      </c>
      <c r="G101" s="16" t="str">
        <f t="array" ref="G101">IF(OR($F101="DERIVED_FROM_SIGN",$F101="MIRRORED"),"runtime",IFERROR(IF(INDEX(Balance_Taxonomy!$C$5:$C$400,MATCH($E101,Balance_Taxonomy!$B$5:$B$400,0))="Dr",IF($F101="INCREASE","Dr","Cr"),IF($F101="INCREASE","Cr","Dr")),"n/a"))</f>
        <v>Dr</v>
      </c>
      <c r="H101" s="9" t="s">
        <v>561</v>
      </c>
      <c r="I101" s="10" t="s">
        <v>1198</v>
      </c>
      <c r="J101" s="9" t="s">
        <v>135</v>
      </c>
      <c r="K101" s="16" t="str">
        <f>IF(OR($E101="—",LEFT($E101,1)="("),"n/a",IF(COUNTIF(Balance_Taxonomy!$B$5:$B$400,$E101)&gt;0,"OK","UNKNOWN TYPE"))</f>
        <v>OK</v>
      </c>
      <c r="L101" s="16" t="str">
        <f>IF(COUNTIF(Amount_Basis!$A$5:$A$100,$H101)&gt;0,"OK","UNKNOWN CODE")</f>
        <v>OK</v>
      </c>
      <c r="M101" s="16" t="str">
        <f t="shared" si="1"/>
        <v>OK</v>
      </c>
      <c r="N101" s="16" t="str">
        <f t="array" ref="N101">IF($J101="MIRROR",IF($F101="MIRRORED","OK","INVALID - MIRROR needs MIRRORED"),IF(IFERROR(INDEX(Amount_Basis!$D$5:$D$100,MATCH($H101,Amount_Basis!$A$5:$A$100,0)),"")="SIGNED",IF($F101="DERIVED_FROM_SIGN","OK","INVALID - SIGNED basis needs DERIVED_FROM_SIGN"),IF(OR($F101="INCREASE",$F101="DECREASE",$F101="—"),"OK","INVALID - static direction required")))</f>
        <v>OK</v>
      </c>
      <c r="O101" s="9" t="s">
        <v>163</v>
      </c>
    </row>
    <row r="102" ht="15.75" customHeight="1">
      <c r="A102" s="9" t="s">
        <v>123</v>
      </c>
      <c r="B102" s="9" t="s">
        <v>473</v>
      </c>
      <c r="C102" s="9" t="s">
        <v>1197</v>
      </c>
      <c r="D102" s="9">
        <v>4.0</v>
      </c>
      <c r="E102" s="10" t="s">
        <v>372</v>
      </c>
      <c r="F102" s="9" t="s">
        <v>512</v>
      </c>
      <c r="G102" s="16" t="str">
        <f t="array" ref="G102">IF(OR($F102="DERIVED_FROM_SIGN",$F102="MIRRORED"),"runtime",IFERROR(IF(INDEX(Balance_Taxonomy!$C$5:$C$400,MATCH($E102,Balance_Taxonomy!$B$5:$B$400,0))="Dr",IF($F102="INCREASE","Dr","Cr"),IF($F102="INCREASE","Cr","Dr")),"n/a"))</f>
        <v>Cr</v>
      </c>
      <c r="H102" s="9" t="s">
        <v>561</v>
      </c>
      <c r="I102" s="10" t="s">
        <v>1198</v>
      </c>
      <c r="J102" s="9" t="s">
        <v>135</v>
      </c>
      <c r="K102" s="16" t="str">
        <f>IF(OR($E102="—",LEFT($E102,1)="("),"n/a",IF(COUNTIF(Balance_Taxonomy!$B$5:$B$400,$E102)&gt;0,"OK","UNKNOWN TYPE"))</f>
        <v>OK</v>
      </c>
      <c r="L102" s="16" t="str">
        <f>IF(COUNTIF(Amount_Basis!$A$5:$A$100,$H102)&gt;0,"OK","UNKNOWN CODE")</f>
        <v>OK</v>
      </c>
      <c r="M102" s="16" t="str">
        <f t="shared" si="1"/>
        <v>OK</v>
      </c>
      <c r="N102" s="16" t="str">
        <f t="array" ref="N102">IF($J102="MIRROR",IF($F102="MIRRORED","OK","INVALID - MIRROR needs MIRRORED"),IF(IFERROR(INDEX(Amount_Basis!$D$5:$D$100,MATCH($H102,Amount_Basis!$A$5:$A$100,0)),"")="SIGNED",IF($F102="DERIVED_FROM_SIGN","OK","INVALID - SIGNED basis needs DERIVED_FROM_SIGN"),IF(OR($F102="INCREASE",$F102="DECREASE",$F102="—"),"OK","INVALID - static direction required")))</f>
        <v>OK</v>
      </c>
      <c r="O102" s="9" t="s">
        <v>163</v>
      </c>
    </row>
    <row r="103" ht="15.75" customHeight="1">
      <c r="A103" s="12" t="s">
        <v>123</v>
      </c>
      <c r="B103" s="12" t="s">
        <v>482</v>
      </c>
      <c r="C103" s="12" t="s">
        <v>964</v>
      </c>
      <c r="D103" s="12">
        <v>1.0</v>
      </c>
      <c r="E103" s="13" t="s">
        <v>38</v>
      </c>
      <c r="F103" s="12" t="s">
        <v>671</v>
      </c>
      <c r="G103" s="20" t="str">
        <f t="array" ref="G103">IF(OR($F103="DERIVED_FROM_SIGN",$F103="MIRRORED"),"runtime",IFERROR(IF(INDEX(Balance_Taxonomy!$C$5:$C$400,MATCH($E103,Balance_Taxonomy!$B$5:$B$400,0))="Dr",IF($F103="INCREASE","Dr","Cr"),IF($F103="INCREASE","Cr","Dr")),"n/a"))</f>
        <v>Dr</v>
      </c>
      <c r="H103" s="12" t="s">
        <v>572</v>
      </c>
      <c r="I103" s="13" t="s">
        <v>1199</v>
      </c>
      <c r="J103" s="12" t="s">
        <v>135</v>
      </c>
      <c r="K103" s="20" t="str">
        <f>IF(OR($E103="—",LEFT($E103,1)="("),"n/a",IF(COUNTIF(Balance_Taxonomy!$B$5:$B$400,$E103)&gt;0,"OK","UNKNOWN TYPE"))</f>
        <v>OK</v>
      </c>
      <c r="L103" s="20" t="str">
        <f>IF(COUNTIF(Amount_Basis!$A$5:$A$100,$H103)&gt;0,"OK","UNKNOWN CODE")</f>
        <v>OK</v>
      </c>
      <c r="M103" s="20" t="str">
        <f t="shared" si="1"/>
        <v>OK</v>
      </c>
      <c r="N103" s="20" t="str">
        <f t="array" ref="N103">IF($J103="MIRROR",IF($F103="MIRRORED","OK","INVALID - MIRROR needs MIRRORED"),IF(IFERROR(INDEX(Amount_Basis!$D$5:$D$100,MATCH($H103,Amount_Basis!$A$5:$A$100,0)),"")="SIGNED",IF($F103="DERIVED_FROM_SIGN","OK","INVALID - SIGNED basis needs DERIVED_FROM_SIGN"),IF(OR($F103="INCREASE",$F103="DECREASE",$F103="—"),"OK","INVALID - static direction required")))</f>
        <v>OK</v>
      </c>
      <c r="O103" s="12" t="s">
        <v>163</v>
      </c>
    </row>
    <row r="104" ht="15.75" customHeight="1">
      <c r="A104" s="12" t="s">
        <v>123</v>
      </c>
      <c r="B104" s="12" t="s">
        <v>482</v>
      </c>
      <c r="C104" s="12" t="s">
        <v>964</v>
      </c>
      <c r="D104" s="12">
        <v>1.0</v>
      </c>
      <c r="E104" s="13" t="s">
        <v>25</v>
      </c>
      <c r="F104" s="12" t="s">
        <v>671</v>
      </c>
      <c r="G104" s="20" t="str">
        <f t="array" ref="G104">IF(OR($F104="DERIVED_FROM_SIGN",$F104="MIRRORED"),"runtime",IFERROR(IF(INDEX(Balance_Taxonomy!$C$5:$C$400,MATCH($E104,Balance_Taxonomy!$B$5:$B$400,0))="Dr",IF($F104="INCREASE","Dr","Cr"),IF($F104="INCREASE","Cr","Dr")),"n/a"))</f>
        <v>Cr</v>
      </c>
      <c r="H104" s="12" t="s">
        <v>572</v>
      </c>
      <c r="I104" s="13" t="s">
        <v>1199</v>
      </c>
      <c r="J104" s="12" t="s">
        <v>135</v>
      </c>
      <c r="K104" s="20" t="str">
        <f>IF(OR($E104="—",LEFT($E104,1)="("),"n/a",IF(COUNTIF(Balance_Taxonomy!$B$5:$B$400,$E104)&gt;0,"OK","UNKNOWN TYPE"))</f>
        <v>OK</v>
      </c>
      <c r="L104" s="20" t="str">
        <f>IF(COUNTIF(Amount_Basis!$A$5:$A$100,$H104)&gt;0,"OK","UNKNOWN CODE")</f>
        <v>OK</v>
      </c>
      <c r="M104" s="20" t="str">
        <f t="shared" si="1"/>
        <v>OK</v>
      </c>
      <c r="N104" s="20" t="str">
        <f t="array" ref="N104">IF($J104="MIRROR",IF($F104="MIRRORED","OK","INVALID - MIRROR needs MIRRORED"),IF(IFERROR(INDEX(Amount_Basis!$D$5:$D$100,MATCH($H104,Amount_Basis!$A$5:$A$100,0)),"")="SIGNED",IF($F104="DERIVED_FROM_SIGN","OK","INVALID - SIGNED basis needs DERIVED_FROM_SIGN"),IF(OR($F104="INCREASE",$F104="DECREASE",$F104="—"),"OK","INVALID - static direction required")))</f>
        <v>OK</v>
      </c>
      <c r="O104" s="12" t="s">
        <v>163</v>
      </c>
    </row>
    <row r="105" ht="15.75" customHeight="1">
      <c r="A105" s="12" t="s">
        <v>123</v>
      </c>
      <c r="B105" s="12" t="s">
        <v>482</v>
      </c>
      <c r="C105" s="12" t="s">
        <v>1168</v>
      </c>
      <c r="D105" s="12">
        <v>2.0</v>
      </c>
      <c r="E105" s="13" t="s">
        <v>363</v>
      </c>
      <c r="F105" s="12" t="s">
        <v>671</v>
      </c>
      <c r="G105" s="20" t="str">
        <f t="array" ref="G105">IF(OR($F105="DERIVED_FROM_SIGN",$F105="MIRRORED"),"runtime",IFERROR(IF(INDEX(Balance_Taxonomy!$C$5:$C$400,MATCH($E105,Balance_Taxonomy!$B$5:$B$400,0))="Dr",IF($F105="INCREASE","Dr","Cr"),IF($F105="INCREASE","Cr","Dr")),"n/a"))</f>
        <v>Dr</v>
      </c>
      <c r="H105" s="12" t="s">
        <v>623</v>
      </c>
      <c r="I105" s="13" t="s">
        <v>1194</v>
      </c>
      <c r="J105" s="12" t="s">
        <v>135</v>
      </c>
      <c r="K105" s="20" t="str">
        <f>IF(OR($E105="—",LEFT($E105,1)="("),"n/a",IF(COUNTIF(Balance_Taxonomy!$B$5:$B$400,$E105)&gt;0,"OK","UNKNOWN TYPE"))</f>
        <v>OK</v>
      </c>
      <c r="L105" s="20" t="str">
        <f>IF(COUNTIF(Amount_Basis!$A$5:$A$100,$H105)&gt;0,"OK","UNKNOWN CODE")</f>
        <v>OK</v>
      </c>
      <c r="M105" s="20" t="str">
        <f t="shared" si="1"/>
        <v>OK</v>
      </c>
      <c r="N105" s="20" t="str">
        <f t="array" ref="N105">IF($J105="MIRROR",IF($F105="MIRRORED","OK","INVALID - MIRROR needs MIRRORED"),IF(IFERROR(INDEX(Amount_Basis!$D$5:$D$100,MATCH($H105,Amount_Basis!$A$5:$A$100,0)),"")="SIGNED",IF($F105="DERIVED_FROM_SIGN","OK","INVALID - SIGNED basis needs DERIVED_FROM_SIGN"),IF(OR($F105="INCREASE",$F105="DECREASE",$F105="—"),"OK","INVALID - static direction required")))</f>
        <v>OK</v>
      </c>
      <c r="O105" s="12" t="s">
        <v>163</v>
      </c>
    </row>
    <row r="106" ht="15.75" customHeight="1">
      <c r="A106" s="12" t="s">
        <v>123</v>
      </c>
      <c r="B106" s="12" t="s">
        <v>482</v>
      </c>
      <c r="C106" s="12" t="s">
        <v>1168</v>
      </c>
      <c r="D106" s="12">
        <v>2.0</v>
      </c>
      <c r="E106" s="13" t="s">
        <v>398</v>
      </c>
      <c r="F106" s="12" t="s">
        <v>671</v>
      </c>
      <c r="G106" s="20" t="str">
        <f t="array" ref="G106">IF(OR($F106="DERIVED_FROM_SIGN",$F106="MIRRORED"),"runtime",IFERROR(IF(INDEX(Balance_Taxonomy!$C$5:$C$400,MATCH($E106,Balance_Taxonomy!$B$5:$B$400,0))="Dr",IF($F106="INCREASE","Dr","Cr"),IF($F106="INCREASE","Cr","Dr")),"n/a"))</f>
        <v>Cr</v>
      </c>
      <c r="H106" s="12" t="s">
        <v>623</v>
      </c>
      <c r="I106" s="13" t="s">
        <v>1194</v>
      </c>
      <c r="J106" s="12" t="s">
        <v>135</v>
      </c>
      <c r="K106" s="20" t="str">
        <f>IF(OR($E106="—",LEFT($E106,1)="("),"n/a",IF(COUNTIF(Balance_Taxonomy!$B$5:$B$400,$E106)&gt;0,"OK","UNKNOWN TYPE"))</f>
        <v>OK</v>
      </c>
      <c r="L106" s="20" t="str">
        <f>IF(COUNTIF(Amount_Basis!$A$5:$A$100,$H106)&gt;0,"OK","UNKNOWN CODE")</f>
        <v>OK</v>
      </c>
      <c r="M106" s="20" t="str">
        <f t="shared" si="1"/>
        <v>OK</v>
      </c>
      <c r="N106" s="20" t="str">
        <f t="array" ref="N106">IF($J106="MIRROR",IF($F106="MIRRORED","OK","INVALID - MIRROR needs MIRRORED"),IF(IFERROR(INDEX(Amount_Basis!$D$5:$D$100,MATCH($H106,Amount_Basis!$A$5:$A$100,0)),"")="SIGNED",IF($F106="DERIVED_FROM_SIGN","OK","INVALID - SIGNED basis needs DERIVED_FROM_SIGN"),IF(OR($F106="INCREASE",$F106="DECREASE",$F106="—"),"OK","INVALID - static direction required")))</f>
        <v>OK</v>
      </c>
      <c r="O106" s="12" t="s">
        <v>163</v>
      </c>
    </row>
    <row r="107" ht="15.75" customHeight="1">
      <c r="A107" s="12" t="s">
        <v>123</v>
      </c>
      <c r="B107" s="12" t="s">
        <v>482</v>
      </c>
      <c r="C107" s="12" t="s">
        <v>1195</v>
      </c>
      <c r="D107" s="12">
        <v>3.0</v>
      </c>
      <c r="E107" s="13" t="s">
        <v>357</v>
      </c>
      <c r="F107" s="12" t="s">
        <v>671</v>
      </c>
      <c r="G107" s="20" t="str">
        <f t="array" ref="G107">IF(OR($F107="DERIVED_FROM_SIGN",$F107="MIRRORED"),"runtime",IFERROR(IF(INDEX(Balance_Taxonomy!$C$5:$C$400,MATCH($E107,Balance_Taxonomy!$B$5:$B$400,0))="Dr",IF($F107="INCREASE","Dr","Cr"),IF($F107="INCREASE","Cr","Dr")),"n/a"))</f>
        <v>Dr</v>
      </c>
      <c r="H107" s="12" t="s">
        <v>603</v>
      </c>
      <c r="I107" s="13" t="s">
        <v>1196</v>
      </c>
      <c r="J107" s="12" t="s">
        <v>135</v>
      </c>
      <c r="K107" s="20" t="str">
        <f>IF(OR($E107="—",LEFT($E107,1)="("),"n/a",IF(COUNTIF(Balance_Taxonomy!$B$5:$B$400,$E107)&gt;0,"OK","UNKNOWN TYPE"))</f>
        <v>OK</v>
      </c>
      <c r="L107" s="20" t="str">
        <f>IF(COUNTIF(Amount_Basis!$A$5:$A$100,$H107)&gt;0,"OK","UNKNOWN CODE")</f>
        <v>OK</v>
      </c>
      <c r="M107" s="20" t="str">
        <f t="shared" si="1"/>
        <v>OK</v>
      </c>
      <c r="N107" s="20" t="str">
        <f t="array" ref="N107">IF($J107="MIRROR",IF($F107="MIRRORED","OK","INVALID - MIRROR needs MIRRORED"),IF(IFERROR(INDEX(Amount_Basis!$D$5:$D$100,MATCH($H107,Amount_Basis!$A$5:$A$100,0)),"")="SIGNED",IF($F107="DERIVED_FROM_SIGN","OK","INVALID - SIGNED basis needs DERIVED_FROM_SIGN"),IF(OR($F107="INCREASE",$F107="DECREASE",$F107="—"),"OK","INVALID - static direction required")))</f>
        <v>OK</v>
      </c>
      <c r="O107" s="12" t="s">
        <v>163</v>
      </c>
    </row>
    <row r="108" ht="15.75" customHeight="1">
      <c r="A108" s="12" t="s">
        <v>123</v>
      </c>
      <c r="B108" s="12" t="s">
        <v>482</v>
      </c>
      <c r="C108" s="12" t="s">
        <v>1195</v>
      </c>
      <c r="D108" s="12">
        <v>3.0</v>
      </c>
      <c r="E108" s="13" t="s">
        <v>380</v>
      </c>
      <c r="F108" s="12" t="s">
        <v>512</v>
      </c>
      <c r="G108" s="20" t="str">
        <f t="array" ref="G108">IF(OR($F108="DERIVED_FROM_SIGN",$F108="MIRRORED"),"runtime",IFERROR(IF(INDEX(Balance_Taxonomy!$C$5:$C$400,MATCH($E108,Balance_Taxonomy!$B$5:$B$400,0))="Dr",IF($F108="INCREASE","Dr","Cr"),IF($F108="INCREASE","Cr","Dr")),"n/a"))</f>
        <v>Cr</v>
      </c>
      <c r="H108" s="12" t="s">
        <v>603</v>
      </c>
      <c r="I108" s="13" t="s">
        <v>1196</v>
      </c>
      <c r="J108" s="12" t="s">
        <v>135</v>
      </c>
      <c r="K108" s="20" t="str">
        <f>IF(OR($E108="—",LEFT($E108,1)="("),"n/a",IF(COUNTIF(Balance_Taxonomy!$B$5:$B$400,$E108)&gt;0,"OK","UNKNOWN TYPE"))</f>
        <v>OK</v>
      </c>
      <c r="L108" s="20" t="str">
        <f>IF(COUNTIF(Amount_Basis!$A$5:$A$100,$H108)&gt;0,"OK","UNKNOWN CODE")</f>
        <v>OK</v>
      </c>
      <c r="M108" s="20" t="str">
        <f t="shared" si="1"/>
        <v>OK</v>
      </c>
      <c r="N108" s="20" t="str">
        <f t="array" ref="N108">IF($J108="MIRROR",IF($F108="MIRRORED","OK","INVALID - MIRROR needs MIRRORED"),IF(IFERROR(INDEX(Amount_Basis!$D$5:$D$100,MATCH($H108,Amount_Basis!$A$5:$A$100,0)),"")="SIGNED",IF($F108="DERIVED_FROM_SIGN","OK","INVALID - SIGNED basis needs DERIVED_FROM_SIGN"),IF(OR($F108="INCREASE",$F108="DECREASE",$F108="—"),"OK","INVALID - static direction required")))</f>
        <v>OK</v>
      </c>
      <c r="O108" s="12" t="s">
        <v>163</v>
      </c>
    </row>
    <row r="109" ht="15.75" customHeight="1">
      <c r="A109" s="12" t="s">
        <v>123</v>
      </c>
      <c r="B109" s="12" t="s">
        <v>482</v>
      </c>
      <c r="C109" s="12" t="s">
        <v>1197</v>
      </c>
      <c r="D109" s="12">
        <v>4.0</v>
      </c>
      <c r="E109" s="13" t="s">
        <v>347</v>
      </c>
      <c r="F109" s="12" t="s">
        <v>671</v>
      </c>
      <c r="G109" s="20" t="str">
        <f t="array" ref="G109">IF(OR($F109="DERIVED_FROM_SIGN",$F109="MIRRORED"),"runtime",IFERROR(IF(INDEX(Balance_Taxonomy!$C$5:$C$400,MATCH($E109,Balance_Taxonomy!$B$5:$B$400,0))="Dr",IF($F109="INCREASE","Dr","Cr"),IF($F109="INCREASE","Cr","Dr")),"n/a"))</f>
        <v>Dr</v>
      </c>
      <c r="H109" s="12" t="s">
        <v>561</v>
      </c>
      <c r="I109" s="13" t="s">
        <v>1198</v>
      </c>
      <c r="J109" s="12" t="s">
        <v>135</v>
      </c>
      <c r="K109" s="20" t="str">
        <f>IF(OR($E109="—",LEFT($E109,1)="("),"n/a",IF(COUNTIF(Balance_Taxonomy!$B$5:$B$400,$E109)&gt;0,"OK","UNKNOWN TYPE"))</f>
        <v>OK</v>
      </c>
      <c r="L109" s="20" t="str">
        <f>IF(COUNTIF(Amount_Basis!$A$5:$A$100,$H109)&gt;0,"OK","UNKNOWN CODE")</f>
        <v>OK</v>
      </c>
      <c r="M109" s="20" t="str">
        <f t="shared" si="1"/>
        <v>OK</v>
      </c>
      <c r="N109" s="20" t="str">
        <f t="array" ref="N109">IF($J109="MIRROR",IF($F109="MIRRORED","OK","INVALID - MIRROR needs MIRRORED"),IF(IFERROR(INDEX(Amount_Basis!$D$5:$D$100,MATCH($H109,Amount_Basis!$A$5:$A$100,0)),"")="SIGNED",IF($F109="DERIVED_FROM_SIGN","OK","INVALID - SIGNED basis needs DERIVED_FROM_SIGN"),IF(OR($F109="INCREASE",$F109="DECREASE",$F109="—"),"OK","INVALID - static direction required")))</f>
        <v>OK</v>
      </c>
      <c r="O109" s="12" t="s">
        <v>163</v>
      </c>
    </row>
    <row r="110" ht="15.75" customHeight="1">
      <c r="A110" s="12" t="s">
        <v>123</v>
      </c>
      <c r="B110" s="12" t="s">
        <v>482</v>
      </c>
      <c r="C110" s="12" t="s">
        <v>1197</v>
      </c>
      <c r="D110" s="12">
        <v>4.0</v>
      </c>
      <c r="E110" s="13" t="s">
        <v>372</v>
      </c>
      <c r="F110" s="12" t="s">
        <v>512</v>
      </c>
      <c r="G110" s="20" t="str">
        <f t="array" ref="G110">IF(OR($F110="DERIVED_FROM_SIGN",$F110="MIRRORED"),"runtime",IFERROR(IF(INDEX(Balance_Taxonomy!$C$5:$C$400,MATCH($E110,Balance_Taxonomy!$B$5:$B$400,0))="Dr",IF($F110="INCREASE","Dr","Cr"),IF($F110="INCREASE","Cr","Dr")),"n/a"))</f>
        <v>Cr</v>
      </c>
      <c r="H110" s="12" t="s">
        <v>561</v>
      </c>
      <c r="I110" s="13" t="s">
        <v>1198</v>
      </c>
      <c r="J110" s="12" t="s">
        <v>135</v>
      </c>
      <c r="K110" s="20" t="str">
        <f>IF(OR($E110="—",LEFT($E110,1)="("),"n/a",IF(COUNTIF(Balance_Taxonomy!$B$5:$B$400,$E110)&gt;0,"OK","UNKNOWN TYPE"))</f>
        <v>OK</v>
      </c>
      <c r="L110" s="20" t="str">
        <f>IF(COUNTIF(Amount_Basis!$A$5:$A$100,$H110)&gt;0,"OK","UNKNOWN CODE")</f>
        <v>OK</v>
      </c>
      <c r="M110" s="20" t="str">
        <f t="shared" si="1"/>
        <v>OK</v>
      </c>
      <c r="N110" s="20" t="str">
        <f t="array" ref="N110">IF($J110="MIRROR",IF($F110="MIRRORED","OK","INVALID - MIRROR needs MIRRORED"),IF(IFERROR(INDEX(Amount_Basis!$D$5:$D$100,MATCH($H110,Amount_Basis!$A$5:$A$100,0)),"")="SIGNED",IF($F110="DERIVED_FROM_SIGN","OK","INVALID - SIGNED basis needs DERIVED_FROM_SIGN"),IF(OR($F110="INCREASE",$F110="DECREASE",$F110="—"),"OK","INVALID - static direction required")))</f>
        <v>OK</v>
      </c>
      <c r="O110" s="12" t="s">
        <v>163</v>
      </c>
    </row>
    <row r="111" ht="15.75" customHeight="1">
      <c r="A111" s="9" t="s">
        <v>123</v>
      </c>
      <c r="B111" s="9" t="s">
        <v>485</v>
      </c>
      <c r="C111" s="9" t="s">
        <v>510</v>
      </c>
      <c r="D111" s="9">
        <v>1.0</v>
      </c>
      <c r="E111" s="10" t="s">
        <v>47</v>
      </c>
      <c r="F111" s="9" t="s">
        <v>512</v>
      </c>
      <c r="G111" s="16" t="str">
        <f t="array" ref="G111">IF(OR($F111="DERIVED_FROM_SIGN",$F111="MIRRORED"),"runtime",IFERROR(IF(INDEX(Balance_Taxonomy!$C$5:$C$400,MATCH($E111,Balance_Taxonomy!$B$5:$B$400,0))="Dr",IF($F111="INCREASE","Dr","Cr"),IF($F111="INCREASE","Cr","Dr")),"n/a"))</f>
        <v>Dr</v>
      </c>
      <c r="H111" s="9" t="s">
        <v>575</v>
      </c>
      <c r="I111" s="10" t="s">
        <v>1200</v>
      </c>
      <c r="J111" s="9" t="s">
        <v>135</v>
      </c>
      <c r="K111" s="16" t="str">
        <f>IF(OR($E111="—",LEFT($E111,1)="("),"n/a",IF(COUNTIF(Balance_Taxonomy!$B$5:$B$400,$E111)&gt;0,"OK","UNKNOWN TYPE"))</f>
        <v>OK</v>
      </c>
      <c r="L111" s="16" t="str">
        <f>IF(COUNTIF(Amount_Basis!$A$5:$A$100,$H111)&gt;0,"OK","UNKNOWN CODE")</f>
        <v>OK</v>
      </c>
      <c r="M111" s="16" t="str">
        <f t="shared" si="1"/>
        <v>OK</v>
      </c>
      <c r="N111" s="16" t="str">
        <f t="array" ref="N111">IF($J111="MIRROR",IF($F111="MIRRORED","OK","INVALID - MIRROR needs MIRRORED"),IF(IFERROR(INDEX(Amount_Basis!$D$5:$D$100,MATCH($H111,Amount_Basis!$A$5:$A$100,0)),"")="SIGNED",IF($F111="DERIVED_FROM_SIGN","OK","INVALID - SIGNED basis needs DERIVED_FROM_SIGN"),IF(OR($F111="INCREASE",$F111="DECREASE",$F111="—"),"OK","INVALID - static direction required")))</f>
        <v>OK</v>
      </c>
      <c r="O111" s="9" t="s">
        <v>149</v>
      </c>
    </row>
    <row r="112" ht="15.75" customHeight="1">
      <c r="A112" s="9" t="s">
        <v>123</v>
      </c>
      <c r="B112" s="9" t="s">
        <v>485</v>
      </c>
      <c r="C112" s="9" t="s">
        <v>510</v>
      </c>
      <c r="D112" s="9">
        <v>1.0</v>
      </c>
      <c r="E112" s="10" t="s">
        <v>57</v>
      </c>
      <c r="F112" s="9" t="s">
        <v>512</v>
      </c>
      <c r="G112" s="16" t="str">
        <f t="array" ref="G112">IF(OR($F112="DERIVED_FROM_SIGN",$F112="MIRRORED"),"runtime",IFERROR(IF(INDEX(Balance_Taxonomy!$C$5:$C$400,MATCH($E112,Balance_Taxonomy!$B$5:$B$400,0))="Dr",IF($F112="INCREASE","Dr","Cr"),IF($F112="INCREASE","Cr","Dr")),"n/a"))</f>
        <v>Cr</v>
      </c>
      <c r="H112" s="9" t="s">
        <v>575</v>
      </c>
      <c r="I112" s="10" t="s">
        <v>1200</v>
      </c>
      <c r="J112" s="9" t="s">
        <v>135</v>
      </c>
      <c r="K112" s="16" t="str">
        <f>IF(OR($E112="—",LEFT($E112,1)="("),"n/a",IF(COUNTIF(Balance_Taxonomy!$B$5:$B$400,$E112)&gt;0,"OK","UNKNOWN TYPE"))</f>
        <v>OK</v>
      </c>
      <c r="L112" s="16" t="str">
        <f>IF(COUNTIF(Amount_Basis!$A$5:$A$100,$H112)&gt;0,"OK","UNKNOWN CODE")</f>
        <v>OK</v>
      </c>
      <c r="M112" s="16" t="str">
        <f t="shared" si="1"/>
        <v>OK</v>
      </c>
      <c r="N112" s="16" t="str">
        <f t="array" ref="N112">IF($J112="MIRROR",IF($F112="MIRRORED","OK","INVALID - MIRROR needs MIRRORED"),IF(IFERROR(INDEX(Amount_Basis!$D$5:$D$100,MATCH($H112,Amount_Basis!$A$5:$A$100,0)),"")="SIGNED",IF($F112="DERIVED_FROM_SIGN","OK","INVALID - SIGNED basis needs DERIVED_FROM_SIGN"),IF(OR($F112="INCREASE",$F112="DECREASE",$F112="—"),"OK","INVALID - static direction required")))</f>
        <v>OK</v>
      </c>
      <c r="O112" s="9" t="s">
        <v>149</v>
      </c>
    </row>
    <row r="113" ht="15.75" customHeight="1">
      <c r="A113" s="9" t="s">
        <v>123</v>
      </c>
      <c r="B113" s="9" t="s">
        <v>485</v>
      </c>
      <c r="C113" s="9" t="s">
        <v>727</v>
      </c>
      <c r="D113" s="9">
        <v>2.0</v>
      </c>
      <c r="E113" s="10" t="s">
        <v>372</v>
      </c>
      <c r="F113" s="9" t="s">
        <v>671</v>
      </c>
      <c r="G113" s="16" t="str">
        <f t="array" ref="G113">IF(OR($F113="DERIVED_FROM_SIGN",$F113="MIRRORED"),"runtime",IFERROR(IF(INDEX(Balance_Taxonomy!$C$5:$C$400,MATCH($E113,Balance_Taxonomy!$B$5:$B$400,0))="Dr",IF($F113="INCREASE","Dr","Cr"),IF($F113="INCREASE","Cr","Dr")),"n/a"))</f>
        <v>Dr</v>
      </c>
      <c r="H113" s="9" t="s">
        <v>596</v>
      </c>
      <c r="I113" s="10" t="s">
        <v>1201</v>
      </c>
      <c r="J113" s="9" t="s">
        <v>135</v>
      </c>
      <c r="K113" s="16" t="str">
        <f>IF(OR($E113="—",LEFT($E113,1)="("),"n/a",IF(COUNTIF(Balance_Taxonomy!$B$5:$B$400,$E113)&gt;0,"OK","UNKNOWN TYPE"))</f>
        <v>OK</v>
      </c>
      <c r="L113" s="16" t="str">
        <f>IF(COUNTIF(Amount_Basis!$A$5:$A$100,$H113)&gt;0,"OK","UNKNOWN CODE")</f>
        <v>OK</v>
      </c>
      <c r="M113" s="16" t="str">
        <f t="shared" si="1"/>
        <v>OK</v>
      </c>
      <c r="N113" s="16" t="str">
        <f t="array" ref="N113">IF($J113="MIRROR",IF($F113="MIRRORED","OK","INVALID - MIRROR needs MIRRORED"),IF(IFERROR(INDEX(Amount_Basis!$D$5:$D$100,MATCH($H113,Amount_Basis!$A$5:$A$100,0)),"")="SIGNED",IF($F113="DERIVED_FROM_SIGN","OK","INVALID - SIGNED basis needs DERIVED_FROM_SIGN"),IF(OR($F113="INCREASE",$F113="DECREASE",$F113="—"),"OK","INVALID - static direction required")))</f>
        <v>OK</v>
      </c>
      <c r="O113" s="9" t="s">
        <v>149</v>
      </c>
    </row>
    <row r="114" ht="15.75" customHeight="1">
      <c r="A114" s="9" t="s">
        <v>123</v>
      </c>
      <c r="B114" s="9" t="s">
        <v>485</v>
      </c>
      <c r="C114" s="9" t="s">
        <v>727</v>
      </c>
      <c r="D114" s="9">
        <v>2.0</v>
      </c>
      <c r="E114" s="10" t="s">
        <v>357</v>
      </c>
      <c r="F114" s="9" t="s">
        <v>512</v>
      </c>
      <c r="G114" s="16" t="str">
        <f t="array" ref="G114">IF(OR($F114="DERIVED_FROM_SIGN",$F114="MIRRORED"),"runtime",IFERROR(IF(INDEX(Balance_Taxonomy!$C$5:$C$400,MATCH($E114,Balance_Taxonomy!$B$5:$B$400,0))="Dr",IF($F114="INCREASE","Dr","Cr"),IF($F114="INCREASE","Cr","Dr")),"n/a"))</f>
        <v>Cr</v>
      </c>
      <c r="H114" s="9" t="s">
        <v>596</v>
      </c>
      <c r="I114" s="10" t="s">
        <v>1201</v>
      </c>
      <c r="J114" s="9" t="s">
        <v>135</v>
      </c>
      <c r="K114" s="16" t="str">
        <f>IF(OR($E114="—",LEFT($E114,1)="("),"n/a",IF(COUNTIF(Balance_Taxonomy!$B$5:$B$400,$E114)&gt;0,"OK","UNKNOWN TYPE"))</f>
        <v>OK</v>
      </c>
      <c r="L114" s="16" t="str">
        <f>IF(COUNTIF(Amount_Basis!$A$5:$A$100,$H114)&gt;0,"OK","UNKNOWN CODE")</f>
        <v>OK</v>
      </c>
      <c r="M114" s="16" t="str">
        <f t="shared" si="1"/>
        <v>OK</v>
      </c>
      <c r="N114" s="16" t="str">
        <f t="array" ref="N114">IF($J114="MIRROR",IF($F114="MIRRORED","OK","INVALID - MIRROR needs MIRRORED"),IF(IFERROR(INDEX(Amount_Basis!$D$5:$D$100,MATCH($H114,Amount_Basis!$A$5:$A$100,0)),"")="SIGNED",IF($F114="DERIVED_FROM_SIGN","OK","INVALID - SIGNED basis needs DERIVED_FROM_SIGN"),IF(OR($F114="INCREASE",$F114="DECREASE",$F114="—"),"OK","INVALID - static direction required")))</f>
        <v>OK</v>
      </c>
      <c r="O114" s="9" t="s">
        <v>149</v>
      </c>
    </row>
    <row r="115" ht="15.75" customHeight="1">
      <c r="A115" s="9" t="s">
        <v>123</v>
      </c>
      <c r="B115" s="9" t="s">
        <v>485</v>
      </c>
      <c r="C115" s="9" t="s">
        <v>761</v>
      </c>
      <c r="D115" s="9">
        <v>3.0</v>
      </c>
      <c r="E115" s="10" t="s">
        <v>398</v>
      </c>
      <c r="F115" s="9" t="s">
        <v>512</v>
      </c>
      <c r="G115" s="16" t="str">
        <f t="array" ref="G115">IF(OR($F115="DERIVED_FROM_SIGN",$F115="MIRRORED"),"runtime",IFERROR(IF(INDEX(Balance_Taxonomy!$C$5:$C$400,MATCH($E115,Balance_Taxonomy!$B$5:$B$400,0))="Dr",IF($F115="INCREASE","Dr","Cr"),IF($F115="INCREASE","Cr","Dr")),"n/a"))</f>
        <v>Dr</v>
      </c>
      <c r="H115" s="9" t="s">
        <v>612</v>
      </c>
      <c r="I115" s="10" t="s">
        <v>762</v>
      </c>
      <c r="J115" s="9" t="s">
        <v>135</v>
      </c>
      <c r="K115" s="16" t="str">
        <f>IF(OR($E115="—",LEFT($E115,1)="("),"n/a",IF(COUNTIF(Balance_Taxonomy!$B$5:$B$400,$E115)&gt;0,"OK","UNKNOWN TYPE"))</f>
        <v>OK</v>
      </c>
      <c r="L115" s="16" t="str">
        <f>IF(COUNTIF(Amount_Basis!$A$5:$A$100,$H115)&gt;0,"OK","UNKNOWN CODE")</f>
        <v>OK</v>
      </c>
      <c r="M115" s="16" t="str">
        <f t="shared" si="1"/>
        <v>OK</v>
      </c>
      <c r="N115" s="16" t="str">
        <f t="array" ref="N115">IF($J115="MIRROR",IF($F115="MIRRORED","OK","INVALID - MIRROR needs MIRRORED"),IF(IFERROR(INDEX(Amount_Basis!$D$5:$D$100,MATCH($H115,Amount_Basis!$A$5:$A$100,0)),"")="SIGNED",IF($F115="DERIVED_FROM_SIGN","OK","INVALID - SIGNED basis needs DERIVED_FROM_SIGN"),IF(OR($F115="INCREASE",$F115="DECREASE",$F115="—"),"OK","INVALID - static direction required")))</f>
        <v>OK</v>
      </c>
      <c r="O115" s="9" t="s">
        <v>149</v>
      </c>
    </row>
    <row r="116" ht="15.75" customHeight="1">
      <c r="A116" s="9" t="s">
        <v>123</v>
      </c>
      <c r="B116" s="9" t="s">
        <v>485</v>
      </c>
      <c r="C116" s="9" t="s">
        <v>761</v>
      </c>
      <c r="D116" s="9">
        <v>3.0</v>
      </c>
      <c r="E116" s="10" t="s">
        <v>363</v>
      </c>
      <c r="F116" s="9" t="s">
        <v>512</v>
      </c>
      <c r="G116" s="16" t="str">
        <f t="array" ref="G116">IF(OR($F116="DERIVED_FROM_SIGN",$F116="MIRRORED"),"runtime",IFERROR(IF(INDEX(Balance_Taxonomy!$C$5:$C$400,MATCH($E116,Balance_Taxonomy!$B$5:$B$400,0))="Dr",IF($F116="INCREASE","Dr","Cr"),IF($F116="INCREASE","Cr","Dr")),"n/a"))</f>
        <v>Cr</v>
      </c>
      <c r="H116" s="9" t="s">
        <v>612</v>
      </c>
      <c r="I116" s="10" t="s">
        <v>762</v>
      </c>
      <c r="J116" s="9" t="s">
        <v>135</v>
      </c>
      <c r="K116" s="16" t="str">
        <f>IF(OR($E116="—",LEFT($E116,1)="("),"n/a",IF(COUNTIF(Balance_Taxonomy!$B$5:$B$400,$E116)&gt;0,"OK","UNKNOWN TYPE"))</f>
        <v>OK</v>
      </c>
      <c r="L116" s="16" t="str">
        <f>IF(COUNTIF(Amount_Basis!$A$5:$A$100,$H116)&gt;0,"OK","UNKNOWN CODE")</f>
        <v>OK</v>
      </c>
      <c r="M116" s="16" t="str">
        <f t="shared" si="1"/>
        <v>OK</v>
      </c>
      <c r="N116" s="16" t="str">
        <f t="array" ref="N116">IF($J116="MIRROR",IF($F116="MIRRORED","OK","INVALID - MIRROR needs MIRRORED"),IF(IFERROR(INDEX(Amount_Basis!$D$5:$D$100,MATCH($H116,Amount_Basis!$A$5:$A$100,0)),"")="SIGNED",IF($F116="DERIVED_FROM_SIGN","OK","INVALID - SIGNED basis needs DERIVED_FROM_SIGN"),IF(OR($F116="INCREASE",$F116="DECREASE",$F116="—"),"OK","INVALID - static direction required")))</f>
        <v>OK</v>
      </c>
      <c r="O116" s="9" t="s">
        <v>149</v>
      </c>
    </row>
    <row r="117" ht="15.75" customHeight="1">
      <c r="A117" s="12" t="s">
        <v>123</v>
      </c>
      <c r="B117" s="12" t="s">
        <v>493</v>
      </c>
      <c r="C117" s="12" t="s">
        <v>510</v>
      </c>
      <c r="D117" s="12">
        <v>1.0</v>
      </c>
      <c r="E117" s="13" t="s">
        <v>47</v>
      </c>
      <c r="F117" s="12" t="s">
        <v>512</v>
      </c>
      <c r="G117" s="20" t="str">
        <f t="array" ref="G117">IF(OR($F117="DERIVED_FROM_SIGN",$F117="MIRRORED"),"runtime",IFERROR(IF(INDEX(Balance_Taxonomy!$C$5:$C$400,MATCH($E117,Balance_Taxonomy!$B$5:$B$400,0))="Dr",IF($F117="INCREASE","Dr","Cr"),IF($F117="INCREASE","Cr","Dr")),"n/a"))</f>
        <v>Dr</v>
      </c>
      <c r="H117" s="12" t="s">
        <v>543</v>
      </c>
      <c r="I117" s="13" t="s">
        <v>780</v>
      </c>
      <c r="J117" s="12" t="s">
        <v>135</v>
      </c>
      <c r="K117" s="20" t="str">
        <f>IF(OR($E117="—",LEFT($E117,1)="("),"n/a",IF(COUNTIF(Balance_Taxonomy!$B$5:$B$400,$E117)&gt;0,"OK","UNKNOWN TYPE"))</f>
        <v>OK</v>
      </c>
      <c r="L117" s="20" t="str">
        <f>IF(COUNTIF(Amount_Basis!$A$5:$A$100,$H117)&gt;0,"OK","UNKNOWN CODE")</f>
        <v>OK</v>
      </c>
      <c r="M117" s="20" t="str">
        <f t="shared" si="1"/>
        <v>OK</v>
      </c>
      <c r="N117" s="20" t="str">
        <f t="array" ref="N117">IF($J117="MIRROR",IF($F117="MIRRORED","OK","INVALID - MIRROR needs MIRRORED"),IF(IFERROR(INDEX(Amount_Basis!$D$5:$D$100,MATCH($H117,Amount_Basis!$A$5:$A$100,0)),"")="SIGNED",IF($F117="DERIVED_FROM_SIGN","OK","INVALID - SIGNED basis needs DERIVED_FROM_SIGN"),IF(OR($F117="INCREASE",$F117="DECREASE",$F117="—"),"OK","INVALID - static direction required")))</f>
        <v>OK</v>
      </c>
      <c r="O117" s="12" t="s">
        <v>495</v>
      </c>
    </row>
    <row r="118" ht="15.75" customHeight="1">
      <c r="A118" s="12" t="s">
        <v>123</v>
      </c>
      <c r="B118" s="12" t="s">
        <v>493</v>
      </c>
      <c r="C118" s="12" t="s">
        <v>510</v>
      </c>
      <c r="D118" s="12">
        <v>1.0</v>
      </c>
      <c r="E118" s="13" t="s">
        <v>57</v>
      </c>
      <c r="F118" s="12" t="s">
        <v>512</v>
      </c>
      <c r="G118" s="20" t="str">
        <f t="array" ref="G118">IF(OR($F118="DERIVED_FROM_SIGN",$F118="MIRRORED"),"runtime",IFERROR(IF(INDEX(Balance_Taxonomy!$C$5:$C$400,MATCH($E118,Balance_Taxonomy!$B$5:$B$400,0))="Dr",IF($F118="INCREASE","Dr","Cr"),IF($F118="INCREASE","Cr","Dr")),"n/a"))</f>
        <v>Cr</v>
      </c>
      <c r="H118" s="12" t="s">
        <v>543</v>
      </c>
      <c r="I118" s="13" t="s">
        <v>780</v>
      </c>
      <c r="J118" s="12" t="s">
        <v>135</v>
      </c>
      <c r="K118" s="20" t="str">
        <f>IF(OR($E118="—",LEFT($E118,1)="("),"n/a",IF(COUNTIF(Balance_Taxonomy!$B$5:$B$400,$E118)&gt;0,"OK","UNKNOWN TYPE"))</f>
        <v>OK</v>
      </c>
      <c r="L118" s="20" t="str">
        <f>IF(COUNTIF(Amount_Basis!$A$5:$A$100,$H118)&gt;0,"OK","UNKNOWN CODE")</f>
        <v>OK</v>
      </c>
      <c r="M118" s="20" t="str">
        <f t="shared" si="1"/>
        <v>OK</v>
      </c>
      <c r="N118" s="20" t="str">
        <f t="array" ref="N118">IF($J118="MIRROR",IF($F118="MIRRORED","OK","INVALID - MIRROR needs MIRRORED"),IF(IFERROR(INDEX(Amount_Basis!$D$5:$D$100,MATCH($H118,Amount_Basis!$A$5:$A$100,0)),"")="SIGNED",IF($F118="DERIVED_FROM_SIGN","OK","INVALID - SIGNED basis needs DERIVED_FROM_SIGN"),IF(OR($F118="INCREASE",$F118="DECREASE",$F118="—"),"OK","INVALID - static direction required")))</f>
        <v>OK</v>
      </c>
      <c r="O118" s="12" t="s">
        <v>495</v>
      </c>
    </row>
    <row r="119" ht="15.75" customHeight="1">
      <c r="A119" s="9" t="s">
        <v>123</v>
      </c>
      <c r="B119" s="9" t="s">
        <v>496</v>
      </c>
      <c r="C119" s="9" t="s">
        <v>964</v>
      </c>
      <c r="D119" s="9">
        <v>1.0</v>
      </c>
      <c r="E119" s="10" t="s">
        <v>57</v>
      </c>
      <c r="F119" s="9" t="s">
        <v>671</v>
      </c>
      <c r="G119" s="16" t="str">
        <f t="array" ref="G119">IF(OR($F119="DERIVED_FROM_SIGN",$F119="MIRRORED"),"runtime",IFERROR(IF(INDEX(Balance_Taxonomy!$C$5:$C$400,MATCH($E119,Balance_Taxonomy!$B$5:$B$400,0))="Dr",IF($F119="INCREASE","Dr","Cr"),IF($F119="INCREASE","Cr","Dr")),"n/a"))</f>
        <v>Dr</v>
      </c>
      <c r="H119" s="9" t="s">
        <v>543</v>
      </c>
      <c r="I119" s="10" t="s">
        <v>1202</v>
      </c>
      <c r="J119" s="9" t="s">
        <v>135</v>
      </c>
      <c r="K119" s="16" t="str">
        <f>IF(OR($E119="—",LEFT($E119,1)="("),"n/a",IF(COUNTIF(Balance_Taxonomy!$B$5:$B$400,$E119)&gt;0,"OK","UNKNOWN TYPE"))</f>
        <v>OK</v>
      </c>
      <c r="L119" s="16" t="str">
        <f>IF(COUNTIF(Amount_Basis!$A$5:$A$100,$H119)&gt;0,"OK","UNKNOWN CODE")</f>
        <v>OK</v>
      </c>
      <c r="M119" s="16" t="str">
        <f t="shared" si="1"/>
        <v>OK</v>
      </c>
      <c r="N119" s="16" t="str">
        <f t="array" ref="N119">IF($J119="MIRROR",IF($F119="MIRRORED","OK","INVALID - MIRROR needs MIRRORED"),IF(IFERROR(INDEX(Amount_Basis!$D$5:$D$100,MATCH($H119,Amount_Basis!$A$5:$A$100,0)),"")="SIGNED",IF($F119="DERIVED_FROM_SIGN","OK","INVALID - SIGNED basis needs DERIVED_FROM_SIGN"),IF(OR($F119="INCREASE",$F119="DECREASE",$F119="—"),"OK","INVALID - static direction required")))</f>
        <v>OK</v>
      </c>
      <c r="O119" s="9" t="s">
        <v>495</v>
      </c>
    </row>
    <row r="120" ht="15.75" customHeight="1">
      <c r="A120" s="9" t="s">
        <v>123</v>
      </c>
      <c r="B120" s="9" t="s">
        <v>496</v>
      </c>
      <c r="C120" s="9" t="s">
        <v>964</v>
      </c>
      <c r="D120" s="9">
        <v>1.0</v>
      </c>
      <c r="E120" s="10" t="s">
        <v>47</v>
      </c>
      <c r="F120" s="9" t="s">
        <v>671</v>
      </c>
      <c r="G120" s="16" t="str">
        <f t="array" ref="G120">IF(OR($F120="DERIVED_FROM_SIGN",$F120="MIRRORED"),"runtime",IFERROR(IF(INDEX(Balance_Taxonomy!$C$5:$C$400,MATCH($E120,Balance_Taxonomy!$B$5:$B$400,0))="Dr",IF($F120="INCREASE","Dr","Cr"),IF($F120="INCREASE","Cr","Dr")),"n/a"))</f>
        <v>Cr</v>
      </c>
      <c r="H120" s="9" t="s">
        <v>543</v>
      </c>
      <c r="I120" s="10" t="s">
        <v>1202</v>
      </c>
      <c r="J120" s="9" t="s">
        <v>135</v>
      </c>
      <c r="K120" s="16" t="str">
        <f>IF(OR($E120="—",LEFT($E120,1)="("),"n/a",IF(COUNTIF(Balance_Taxonomy!$B$5:$B$400,$E120)&gt;0,"OK","UNKNOWN TYPE"))</f>
        <v>OK</v>
      </c>
      <c r="L120" s="16" t="str">
        <f>IF(COUNTIF(Amount_Basis!$A$5:$A$100,$H120)&gt;0,"OK","UNKNOWN CODE")</f>
        <v>OK</v>
      </c>
      <c r="M120" s="16" t="str">
        <f t="shared" si="1"/>
        <v>OK</v>
      </c>
      <c r="N120" s="16" t="str">
        <f t="array" ref="N120">IF($J120="MIRROR",IF($F120="MIRRORED","OK","INVALID - MIRROR needs MIRRORED"),IF(IFERROR(INDEX(Amount_Basis!$D$5:$D$100,MATCH($H120,Amount_Basis!$A$5:$A$100,0)),"")="SIGNED",IF($F120="DERIVED_FROM_SIGN","OK","INVALID - SIGNED basis needs DERIVED_FROM_SIGN"),IF(OR($F120="INCREASE",$F120="DECREASE",$F120="—"),"OK","INVALID - static direction required")))</f>
        <v>OK</v>
      </c>
      <c r="O120" s="9" t="s">
        <v>495</v>
      </c>
    </row>
    <row r="121" ht="15.75" customHeight="1">
      <c r="A121" s="12" t="s">
        <v>123</v>
      </c>
      <c r="B121" s="12" t="s">
        <v>500</v>
      </c>
      <c r="C121" s="12" t="s">
        <v>307</v>
      </c>
      <c r="D121" s="12">
        <v>1.0</v>
      </c>
      <c r="E121" s="13" t="s">
        <v>307</v>
      </c>
      <c r="F121" s="12" t="s">
        <v>307</v>
      </c>
      <c r="G121" s="20" t="str">
        <f t="array" ref="G121">IF(OR($F121="DERIVED_FROM_SIGN",$F121="MIRRORED"),"runtime",IFERROR(IF(INDEX(Balance_Taxonomy!$C$5:$C$400,MATCH($E121,Balance_Taxonomy!$B$5:$B$400,0))="Dr",IF($F121="INCREASE","Dr","Cr"),IF($F121="INCREASE","Cr","Dr")),"n/a"))</f>
        <v>n/a</v>
      </c>
      <c r="H121" s="12" t="s">
        <v>660</v>
      </c>
      <c r="I121" s="13" t="s">
        <v>661</v>
      </c>
      <c r="J121" s="12" t="s">
        <v>504</v>
      </c>
      <c r="K121" s="20" t="str">
        <f>IF(OR($E121="—",LEFT($E121,1)="("),"n/a",IF(COUNTIF(Balance_Taxonomy!$B$5:$B$400,$E121)&gt;0,"OK","UNKNOWN TYPE"))</f>
        <v>n/a</v>
      </c>
      <c r="L121" s="20" t="str">
        <f>IF(COUNTIF(Amount_Basis!$A$5:$A$100,$H121)&gt;0,"OK","UNKNOWN CODE")</f>
        <v>OK</v>
      </c>
      <c r="M121" s="20" t="str">
        <f t="shared" si="1"/>
        <v>OK</v>
      </c>
      <c r="N121" s="20" t="str">
        <f t="array" ref="N121">IF($J121="MIRROR",IF($F121="MIRRORED","OK","INVALID - MIRROR needs MIRRORED"),IF(IFERROR(INDEX(Amount_Basis!$D$5:$D$100,MATCH($H121,Amount_Basis!$A$5:$A$100,0)),"")="SIGNED",IF($F121="DERIVED_FROM_SIGN","OK","INVALID - SIGNED basis needs DERIVED_FROM_SIGN"),IF(OR($F121="INCREASE",$F121="DECREASE",$F121="—"),"OK","INVALID - static direction required")))</f>
        <v>OK</v>
      </c>
      <c r="O121" s="12" t="s">
        <v>194</v>
      </c>
    </row>
    <row r="122" ht="15.75" customHeight="1">
      <c r="A122" s="9" t="s">
        <v>123</v>
      </c>
      <c r="B122" s="9" t="s">
        <v>511</v>
      </c>
      <c r="C122" s="9" t="s">
        <v>964</v>
      </c>
      <c r="D122" s="9">
        <v>1.0</v>
      </c>
      <c r="E122" s="10" t="s">
        <v>57</v>
      </c>
      <c r="F122" s="9" t="s">
        <v>671</v>
      </c>
      <c r="G122" s="16" t="str">
        <f t="array" ref="G122">IF(OR($F122="DERIVED_FROM_SIGN",$F122="MIRRORED"),"runtime",IFERROR(IF(INDEX(Balance_Taxonomy!$C$5:$C$400,MATCH($E122,Balance_Taxonomy!$B$5:$B$400,0))="Dr",IF($F122="INCREASE","Dr","Cr"),IF($F122="INCREASE","Cr","Dr")),"n/a"))</f>
        <v>Dr</v>
      </c>
      <c r="H122" s="9" t="s">
        <v>581</v>
      </c>
      <c r="I122" s="10" t="s">
        <v>1203</v>
      </c>
      <c r="J122" s="9" t="s">
        <v>135</v>
      </c>
      <c r="K122" s="16" t="str">
        <f>IF(OR($E122="—",LEFT($E122,1)="("),"n/a",IF(COUNTIF(Balance_Taxonomy!$B$5:$B$400,$E122)&gt;0,"OK","UNKNOWN TYPE"))</f>
        <v>OK</v>
      </c>
      <c r="L122" s="16" t="str">
        <f>IF(COUNTIF(Amount_Basis!$A$5:$A$100,$H122)&gt;0,"OK","UNKNOWN CODE")</f>
        <v>OK</v>
      </c>
      <c r="M122" s="16" t="str">
        <f t="shared" si="1"/>
        <v>OK</v>
      </c>
      <c r="N122" s="16" t="str">
        <f t="array" ref="N122">IF($J122="MIRROR",IF($F122="MIRRORED","OK","INVALID - MIRROR needs MIRRORED"),IF(IFERROR(INDEX(Amount_Basis!$D$5:$D$100,MATCH($H122,Amount_Basis!$A$5:$A$100,0)),"")="SIGNED",IF($F122="DERIVED_FROM_SIGN","OK","INVALID - SIGNED basis needs DERIVED_FROM_SIGN"),IF(OR($F122="INCREASE",$F122="DECREASE",$F122="—"),"OK","INVALID - static direction required")))</f>
        <v>OK</v>
      </c>
      <c r="O122" s="9" t="s">
        <v>194</v>
      </c>
    </row>
    <row r="123" ht="15.75" customHeight="1">
      <c r="A123" s="9" t="s">
        <v>123</v>
      </c>
      <c r="B123" s="9" t="s">
        <v>511</v>
      </c>
      <c r="C123" s="9" t="s">
        <v>964</v>
      </c>
      <c r="D123" s="9">
        <v>1.0</v>
      </c>
      <c r="E123" s="10" t="s">
        <v>47</v>
      </c>
      <c r="F123" s="9" t="s">
        <v>671</v>
      </c>
      <c r="G123" s="16" t="str">
        <f t="array" ref="G123">IF(OR($F123="DERIVED_FROM_SIGN",$F123="MIRRORED"),"runtime",IFERROR(IF(INDEX(Balance_Taxonomy!$C$5:$C$400,MATCH($E123,Balance_Taxonomy!$B$5:$B$400,0))="Dr",IF($F123="INCREASE","Dr","Cr"),IF($F123="INCREASE","Cr","Dr")),"n/a"))</f>
        <v>Cr</v>
      </c>
      <c r="H123" s="9" t="s">
        <v>581</v>
      </c>
      <c r="I123" s="10" t="s">
        <v>1203</v>
      </c>
      <c r="J123" s="9" t="s">
        <v>135</v>
      </c>
      <c r="K123" s="16" t="str">
        <f>IF(OR($E123="—",LEFT($E123,1)="("),"n/a",IF(COUNTIF(Balance_Taxonomy!$B$5:$B$400,$E123)&gt;0,"OK","UNKNOWN TYPE"))</f>
        <v>OK</v>
      </c>
      <c r="L123" s="16" t="str">
        <f>IF(COUNTIF(Amount_Basis!$A$5:$A$100,$H123)&gt;0,"OK","UNKNOWN CODE")</f>
        <v>OK</v>
      </c>
      <c r="M123" s="16" t="str">
        <f t="shared" si="1"/>
        <v>OK</v>
      </c>
      <c r="N123" s="16" t="str">
        <f t="array" ref="N123">IF($J123="MIRROR",IF($F123="MIRRORED","OK","INVALID - MIRROR needs MIRRORED"),IF(IFERROR(INDEX(Amount_Basis!$D$5:$D$100,MATCH($H123,Amount_Basis!$A$5:$A$100,0)),"")="SIGNED",IF($F123="DERIVED_FROM_SIGN","OK","INVALID - SIGNED basis needs DERIVED_FROM_SIGN"),IF(OR($F123="INCREASE",$F123="DECREASE",$F123="—"),"OK","INVALID - static direction required")))</f>
        <v>OK</v>
      </c>
      <c r="O123" s="9" t="s">
        <v>194</v>
      </c>
    </row>
    <row r="124" ht="15.75" customHeight="1">
      <c r="A124" s="9" t="s">
        <v>123</v>
      </c>
      <c r="B124" s="9" t="s">
        <v>511</v>
      </c>
      <c r="C124" s="9" t="s">
        <v>1168</v>
      </c>
      <c r="D124" s="9">
        <v>2.0</v>
      </c>
      <c r="E124" s="10" t="s">
        <v>363</v>
      </c>
      <c r="F124" s="9" t="s">
        <v>671</v>
      </c>
      <c r="G124" s="16" t="str">
        <f t="array" ref="G124">IF(OR($F124="DERIVED_FROM_SIGN",$F124="MIRRORED"),"runtime",IFERROR(IF(INDEX(Balance_Taxonomy!$C$5:$C$400,MATCH($E124,Balance_Taxonomy!$B$5:$B$400,0))="Dr",IF($F124="INCREASE","Dr","Cr"),IF($F124="INCREASE","Cr","Dr")),"n/a"))</f>
        <v>Dr</v>
      </c>
      <c r="H124" s="9" t="s">
        <v>623</v>
      </c>
      <c r="I124" s="10" t="s">
        <v>1204</v>
      </c>
      <c r="J124" s="9" t="s">
        <v>135</v>
      </c>
      <c r="K124" s="16" t="str">
        <f>IF(OR($E124="—",LEFT($E124,1)="("),"n/a",IF(COUNTIF(Balance_Taxonomy!$B$5:$B$400,$E124)&gt;0,"OK","UNKNOWN TYPE"))</f>
        <v>OK</v>
      </c>
      <c r="L124" s="16" t="str">
        <f>IF(COUNTIF(Amount_Basis!$A$5:$A$100,$H124)&gt;0,"OK","UNKNOWN CODE")</f>
        <v>OK</v>
      </c>
      <c r="M124" s="16" t="str">
        <f t="shared" si="1"/>
        <v>OK</v>
      </c>
      <c r="N124" s="16" t="str">
        <f t="array" ref="N124">IF($J124="MIRROR",IF($F124="MIRRORED","OK","INVALID - MIRROR needs MIRRORED"),IF(IFERROR(INDEX(Amount_Basis!$D$5:$D$100,MATCH($H124,Amount_Basis!$A$5:$A$100,0)),"")="SIGNED",IF($F124="DERIVED_FROM_SIGN","OK","INVALID - SIGNED basis needs DERIVED_FROM_SIGN"),IF(OR($F124="INCREASE",$F124="DECREASE",$F124="—"),"OK","INVALID - static direction required")))</f>
        <v>OK</v>
      </c>
      <c r="O124" s="9" t="s">
        <v>194</v>
      </c>
    </row>
    <row r="125" ht="15.75" customHeight="1">
      <c r="A125" s="9" t="s">
        <v>123</v>
      </c>
      <c r="B125" s="9" t="s">
        <v>511</v>
      </c>
      <c r="C125" s="9" t="s">
        <v>1168</v>
      </c>
      <c r="D125" s="9">
        <v>2.0</v>
      </c>
      <c r="E125" s="10" t="s">
        <v>398</v>
      </c>
      <c r="F125" s="9" t="s">
        <v>671</v>
      </c>
      <c r="G125" s="16" t="str">
        <f t="array" ref="G125">IF(OR($F125="DERIVED_FROM_SIGN",$F125="MIRRORED"),"runtime",IFERROR(IF(INDEX(Balance_Taxonomy!$C$5:$C$400,MATCH($E125,Balance_Taxonomy!$B$5:$B$400,0))="Dr",IF($F125="INCREASE","Dr","Cr"),IF($F125="INCREASE","Cr","Dr")),"n/a"))</f>
        <v>Cr</v>
      </c>
      <c r="H125" s="9" t="s">
        <v>623</v>
      </c>
      <c r="I125" s="10" t="s">
        <v>1204</v>
      </c>
      <c r="J125" s="9" t="s">
        <v>135</v>
      </c>
      <c r="K125" s="16" t="str">
        <f>IF(OR($E125="—",LEFT($E125,1)="("),"n/a",IF(COUNTIF(Balance_Taxonomy!$B$5:$B$400,$E125)&gt;0,"OK","UNKNOWN TYPE"))</f>
        <v>OK</v>
      </c>
      <c r="L125" s="16" t="str">
        <f>IF(COUNTIF(Amount_Basis!$A$5:$A$100,$H125)&gt;0,"OK","UNKNOWN CODE")</f>
        <v>OK</v>
      </c>
      <c r="M125" s="16" t="str">
        <f t="shared" si="1"/>
        <v>OK</v>
      </c>
      <c r="N125" s="16" t="str">
        <f t="array" ref="N125">IF($J125="MIRROR",IF($F125="MIRRORED","OK","INVALID - MIRROR needs MIRRORED"),IF(IFERROR(INDEX(Amount_Basis!$D$5:$D$100,MATCH($H125,Amount_Basis!$A$5:$A$100,0)),"")="SIGNED",IF($F125="DERIVED_FROM_SIGN","OK","INVALID - SIGNED basis needs DERIVED_FROM_SIGN"),IF(OR($F125="INCREASE",$F125="DECREASE",$F125="—"),"OK","INVALID - static direction required")))</f>
        <v>OK</v>
      </c>
      <c r="O125" s="9" t="s">
        <v>194</v>
      </c>
    </row>
    <row r="126" ht="15.75" customHeight="1">
      <c r="A126" s="12" t="s">
        <v>123</v>
      </c>
      <c r="B126" s="12" t="s">
        <v>515</v>
      </c>
      <c r="C126" s="12" t="s">
        <v>964</v>
      </c>
      <c r="D126" s="12">
        <v>1.0</v>
      </c>
      <c r="E126" s="13" t="s">
        <v>57</v>
      </c>
      <c r="F126" s="12" t="s">
        <v>671</v>
      </c>
      <c r="G126" s="20" t="str">
        <f t="array" ref="G126">IF(OR($F126="DERIVED_FROM_SIGN",$F126="MIRRORED"),"runtime",IFERROR(IF(INDEX(Balance_Taxonomy!$C$5:$C$400,MATCH($E126,Balance_Taxonomy!$B$5:$B$400,0))="Dr",IF($F126="INCREASE","Dr","Cr"),IF($F126="INCREASE","Cr","Dr")),"n/a"))</f>
        <v>Dr</v>
      </c>
      <c r="H126" s="12" t="s">
        <v>581</v>
      </c>
      <c r="I126" s="13" t="s">
        <v>1205</v>
      </c>
      <c r="J126" s="12" t="s">
        <v>135</v>
      </c>
      <c r="K126" s="20" t="str">
        <f>IF(OR($E126="—",LEFT($E126,1)="("),"n/a",IF(COUNTIF(Balance_Taxonomy!$B$5:$B$400,$E126)&gt;0,"OK","UNKNOWN TYPE"))</f>
        <v>OK</v>
      </c>
      <c r="L126" s="20" t="str">
        <f>IF(COUNTIF(Amount_Basis!$A$5:$A$100,$H126)&gt;0,"OK","UNKNOWN CODE")</f>
        <v>OK</v>
      </c>
      <c r="M126" s="20" t="str">
        <f t="shared" si="1"/>
        <v>OK</v>
      </c>
      <c r="N126" s="20" t="str">
        <f t="array" ref="N126">IF($J126="MIRROR",IF($F126="MIRRORED","OK","INVALID - MIRROR needs MIRRORED"),IF(IFERROR(INDEX(Amount_Basis!$D$5:$D$100,MATCH($H126,Amount_Basis!$A$5:$A$100,0)),"")="SIGNED",IF($F126="DERIVED_FROM_SIGN","OK","INVALID - SIGNED basis needs DERIVED_FROM_SIGN"),IF(OR($F126="INCREASE",$F126="DECREASE",$F126="—"),"OK","INVALID - static direction required")))</f>
        <v>OK</v>
      </c>
      <c r="O126" s="12" t="s">
        <v>194</v>
      </c>
    </row>
    <row r="127" ht="15.75" customHeight="1">
      <c r="A127" s="12" t="s">
        <v>123</v>
      </c>
      <c r="B127" s="12" t="s">
        <v>515</v>
      </c>
      <c r="C127" s="12" t="s">
        <v>964</v>
      </c>
      <c r="D127" s="12">
        <v>1.0</v>
      </c>
      <c r="E127" s="13" t="s">
        <v>47</v>
      </c>
      <c r="F127" s="12" t="s">
        <v>671</v>
      </c>
      <c r="G127" s="20" t="str">
        <f t="array" ref="G127">IF(OR($F127="DERIVED_FROM_SIGN",$F127="MIRRORED"),"runtime",IFERROR(IF(INDEX(Balance_Taxonomy!$C$5:$C$400,MATCH($E127,Balance_Taxonomy!$B$5:$B$400,0))="Dr",IF($F127="INCREASE","Dr","Cr"),IF($F127="INCREASE","Cr","Dr")),"n/a"))</f>
        <v>Cr</v>
      </c>
      <c r="H127" s="12" t="s">
        <v>581</v>
      </c>
      <c r="I127" s="13" t="s">
        <v>1205</v>
      </c>
      <c r="J127" s="12" t="s">
        <v>135</v>
      </c>
      <c r="K127" s="20" t="str">
        <f>IF(OR($E127="—",LEFT($E127,1)="("),"n/a",IF(COUNTIF(Balance_Taxonomy!$B$5:$B$400,$E127)&gt;0,"OK","UNKNOWN TYPE"))</f>
        <v>OK</v>
      </c>
      <c r="L127" s="20" t="str">
        <f>IF(COUNTIF(Amount_Basis!$A$5:$A$100,$H127)&gt;0,"OK","UNKNOWN CODE")</f>
        <v>OK</v>
      </c>
      <c r="M127" s="20" t="str">
        <f t="shared" si="1"/>
        <v>OK</v>
      </c>
      <c r="N127" s="20" t="str">
        <f t="array" ref="N127">IF($J127="MIRROR",IF($F127="MIRRORED","OK","INVALID - MIRROR needs MIRRORED"),IF(IFERROR(INDEX(Amount_Basis!$D$5:$D$100,MATCH($H127,Amount_Basis!$A$5:$A$100,0)),"")="SIGNED",IF($F127="DERIVED_FROM_SIGN","OK","INVALID - SIGNED basis needs DERIVED_FROM_SIGN"),IF(OR($F127="INCREASE",$F127="DECREASE",$F127="—"),"OK","INVALID - static direction required")))</f>
        <v>OK</v>
      </c>
      <c r="O127" s="12" t="s">
        <v>194</v>
      </c>
    </row>
    <row r="128" ht="15.75" customHeight="1">
      <c r="A128" s="12" t="s">
        <v>123</v>
      </c>
      <c r="B128" s="12" t="s">
        <v>515</v>
      </c>
      <c r="C128" s="12" t="s">
        <v>1206</v>
      </c>
      <c r="D128" s="12">
        <v>2.0</v>
      </c>
      <c r="E128" s="13" t="s">
        <v>211</v>
      </c>
      <c r="F128" s="12" t="s">
        <v>512</v>
      </c>
      <c r="G128" s="20" t="str">
        <f t="array" ref="G128">IF(OR($F128="DERIVED_FROM_SIGN",$F128="MIRRORED"),"runtime",IFERROR(IF(INDEX(Balance_Taxonomy!$C$5:$C$400,MATCH($E128,Balance_Taxonomy!$B$5:$B$400,0))="Dr",IF($F128="INCREASE","Dr","Cr"),IF($F128="INCREASE","Cr","Dr")),"n/a"))</f>
        <v>Dr</v>
      </c>
      <c r="H128" s="12" t="s">
        <v>587</v>
      </c>
      <c r="I128" s="13" t="s">
        <v>1207</v>
      </c>
      <c r="J128" s="12" t="s">
        <v>135</v>
      </c>
      <c r="K128" s="20" t="str">
        <f>IF(OR($E128="—",LEFT($E128,1)="("),"n/a",IF(COUNTIF(Balance_Taxonomy!$B$5:$B$400,$E128)&gt;0,"OK","UNKNOWN TYPE"))</f>
        <v>OK</v>
      </c>
      <c r="L128" s="20" t="str">
        <f>IF(COUNTIF(Amount_Basis!$A$5:$A$100,$H128)&gt;0,"OK","UNKNOWN CODE")</f>
        <v>OK</v>
      </c>
      <c r="M128" s="20" t="str">
        <f t="shared" si="1"/>
        <v>OK</v>
      </c>
      <c r="N128" s="20" t="str">
        <f t="array" ref="N128">IF($J128="MIRROR",IF($F128="MIRRORED","OK","INVALID - MIRROR needs MIRRORED"),IF(IFERROR(INDEX(Amount_Basis!$D$5:$D$100,MATCH($H128,Amount_Basis!$A$5:$A$100,0)),"")="SIGNED",IF($F128="DERIVED_FROM_SIGN","OK","INVALID - SIGNED basis needs DERIVED_FROM_SIGN"),IF(OR($F128="INCREASE",$F128="DECREASE",$F128="—"),"OK","INVALID - static direction required")))</f>
        <v>OK</v>
      </c>
      <c r="O128" s="12" t="s">
        <v>194</v>
      </c>
    </row>
    <row r="129" ht="15.75" customHeight="1">
      <c r="A129" s="12" t="s">
        <v>123</v>
      </c>
      <c r="B129" s="12" t="s">
        <v>515</v>
      </c>
      <c r="C129" s="12" t="s">
        <v>1206</v>
      </c>
      <c r="D129" s="12">
        <v>2.0</v>
      </c>
      <c r="E129" s="13" t="s">
        <v>296</v>
      </c>
      <c r="F129" s="12" t="s">
        <v>671</v>
      </c>
      <c r="G129" s="20" t="str">
        <f t="array" ref="G129">IF(OR($F129="DERIVED_FROM_SIGN",$F129="MIRRORED"),"runtime",IFERROR(IF(INDEX(Balance_Taxonomy!$C$5:$C$400,MATCH($E129,Balance_Taxonomy!$B$5:$B$400,0))="Dr",IF($F129="INCREASE","Dr","Cr"),IF($F129="INCREASE","Cr","Dr")),"n/a"))</f>
        <v>Cr</v>
      </c>
      <c r="H129" s="12" t="s">
        <v>587</v>
      </c>
      <c r="I129" s="13" t="s">
        <v>1208</v>
      </c>
      <c r="J129" s="12" t="s">
        <v>135</v>
      </c>
      <c r="K129" s="20" t="str">
        <f>IF(OR($E129="—",LEFT($E129,1)="("),"n/a",IF(COUNTIF(Balance_Taxonomy!$B$5:$B$400,$E129)&gt;0,"OK","UNKNOWN TYPE"))</f>
        <v>OK</v>
      </c>
      <c r="L129" s="20" t="str">
        <f>IF(COUNTIF(Amount_Basis!$A$5:$A$100,$H129)&gt;0,"OK","UNKNOWN CODE")</f>
        <v>OK</v>
      </c>
      <c r="M129" s="20" t="str">
        <f t="shared" si="1"/>
        <v>OK</v>
      </c>
      <c r="N129" s="20" t="str">
        <f t="array" ref="N129">IF($J129="MIRROR",IF($F129="MIRRORED","OK","INVALID - MIRROR needs MIRRORED"),IF(IFERROR(INDEX(Amount_Basis!$D$5:$D$100,MATCH($H129,Amount_Basis!$A$5:$A$100,0)),"")="SIGNED",IF($F129="DERIVED_FROM_SIGN","OK","INVALID - SIGNED basis needs DERIVED_FROM_SIGN"),IF(OR($F129="INCREASE",$F129="DECREASE",$F129="—"),"OK","INVALID - static direction required")))</f>
        <v>OK</v>
      </c>
      <c r="O129" s="12" t="s">
        <v>194</v>
      </c>
    </row>
    <row r="130" ht="15.75" customHeight="1">
      <c r="A130" s="9" t="s">
        <v>123</v>
      </c>
      <c r="B130" s="9" t="s">
        <v>518</v>
      </c>
      <c r="C130" s="9" t="s">
        <v>510</v>
      </c>
      <c r="D130" s="9">
        <v>1.0</v>
      </c>
      <c r="E130" s="10" t="s">
        <v>441</v>
      </c>
      <c r="F130" s="9" t="s">
        <v>512</v>
      </c>
      <c r="G130" s="16" t="str">
        <f t="array" ref="G130">IF(OR($F130="DERIVED_FROM_SIGN",$F130="MIRRORED"),"runtime",IFERROR(IF(INDEX(Balance_Taxonomy!$C$5:$C$400,MATCH($E130,Balance_Taxonomy!$B$5:$B$400,0))="Dr",IF($F130="INCREASE","Dr","Cr"),IF($F130="INCREASE","Cr","Dr")),"n/a"))</f>
        <v>Dr</v>
      </c>
      <c r="H130" s="9" t="s">
        <v>575</v>
      </c>
      <c r="I130" s="10" t="s">
        <v>1200</v>
      </c>
      <c r="J130" s="9" t="s">
        <v>135</v>
      </c>
      <c r="K130" s="16" t="str">
        <f>IF(OR($E130="—",LEFT($E130,1)="("),"n/a",IF(COUNTIF(Balance_Taxonomy!$B$5:$B$400,$E130)&gt;0,"OK","UNKNOWN TYPE"))</f>
        <v>OK</v>
      </c>
      <c r="L130" s="16" t="str">
        <f>IF(COUNTIF(Amount_Basis!$A$5:$A$100,$H130)&gt;0,"OK","UNKNOWN CODE")</f>
        <v>OK</v>
      </c>
      <c r="M130" s="16" t="str">
        <f t="shared" si="1"/>
        <v>OK</v>
      </c>
      <c r="N130" s="16" t="str">
        <f t="array" ref="N130">IF($J130="MIRROR",IF($F130="MIRRORED","OK","INVALID - MIRROR needs MIRRORED"),IF(IFERROR(INDEX(Amount_Basis!$D$5:$D$100,MATCH($H130,Amount_Basis!$A$5:$A$100,0)),"")="SIGNED",IF($F130="DERIVED_FROM_SIGN","OK","INVALID - SIGNED basis needs DERIVED_FROM_SIGN"),IF(OR($F130="INCREASE",$F130="DECREASE",$F130="—"),"OK","INVALID - static direction required")))</f>
        <v>OK</v>
      </c>
      <c r="O130" s="9" t="s">
        <v>177</v>
      </c>
    </row>
    <row r="131" ht="15.75" customHeight="1">
      <c r="A131" s="9" t="s">
        <v>123</v>
      </c>
      <c r="B131" s="9" t="s">
        <v>518</v>
      </c>
      <c r="C131" s="9" t="s">
        <v>510</v>
      </c>
      <c r="D131" s="9">
        <v>1.0</v>
      </c>
      <c r="E131" s="10" t="s">
        <v>448</v>
      </c>
      <c r="F131" s="9" t="s">
        <v>512</v>
      </c>
      <c r="G131" s="16" t="str">
        <f t="array" ref="G131">IF(OR($F131="DERIVED_FROM_SIGN",$F131="MIRRORED"),"runtime",IFERROR(IF(INDEX(Balance_Taxonomy!$C$5:$C$400,MATCH($E131,Balance_Taxonomy!$B$5:$B$400,0))="Dr",IF($F131="INCREASE","Dr","Cr"),IF($F131="INCREASE","Cr","Dr")),"n/a"))</f>
        <v>Cr</v>
      </c>
      <c r="H131" s="9" t="s">
        <v>575</v>
      </c>
      <c r="I131" s="10" t="s">
        <v>1200</v>
      </c>
      <c r="J131" s="9" t="s">
        <v>135</v>
      </c>
      <c r="K131" s="16" t="str">
        <f>IF(OR($E131="—",LEFT($E131,1)="("),"n/a",IF(COUNTIF(Balance_Taxonomy!$B$5:$B$400,$E131)&gt;0,"OK","UNKNOWN TYPE"))</f>
        <v>OK</v>
      </c>
      <c r="L131" s="16" t="str">
        <f>IF(COUNTIF(Amount_Basis!$A$5:$A$100,$H131)&gt;0,"OK","UNKNOWN CODE")</f>
        <v>OK</v>
      </c>
      <c r="M131" s="16" t="str">
        <f t="shared" si="1"/>
        <v>OK</v>
      </c>
      <c r="N131" s="16" t="str">
        <f t="array" ref="N131">IF($J131="MIRROR",IF($F131="MIRRORED","OK","INVALID - MIRROR needs MIRRORED"),IF(IFERROR(INDEX(Amount_Basis!$D$5:$D$100,MATCH($H131,Amount_Basis!$A$5:$A$100,0)),"")="SIGNED",IF($F131="DERIVED_FROM_SIGN","OK","INVALID - SIGNED basis needs DERIVED_FROM_SIGN"),IF(OR($F131="INCREASE",$F131="DECREASE",$F131="—"),"OK","INVALID - static direction required")))</f>
        <v>OK</v>
      </c>
      <c r="O131" s="9" t="s">
        <v>177</v>
      </c>
    </row>
    <row r="132" ht="15.75" customHeight="1">
      <c r="A132" s="12" t="s">
        <v>123</v>
      </c>
      <c r="B132" s="12" t="s">
        <v>523</v>
      </c>
      <c r="C132" s="12" t="s">
        <v>964</v>
      </c>
      <c r="D132" s="12">
        <v>1.0</v>
      </c>
      <c r="E132" s="13" t="s">
        <v>448</v>
      </c>
      <c r="F132" s="12" t="s">
        <v>671</v>
      </c>
      <c r="G132" s="20" t="str">
        <f t="array" ref="G132">IF(OR($F132="DERIVED_FROM_SIGN",$F132="MIRRORED"),"runtime",IFERROR(IF(INDEX(Balance_Taxonomy!$C$5:$C$400,MATCH($E132,Balance_Taxonomy!$B$5:$B$400,0))="Dr",IF($F132="INCREASE","Dr","Cr"),IF($F132="INCREASE","Cr","Dr")),"n/a"))</f>
        <v>Dr</v>
      </c>
      <c r="H132" s="12" t="s">
        <v>585</v>
      </c>
      <c r="I132" s="13" t="s">
        <v>1209</v>
      </c>
      <c r="J132" s="12" t="s">
        <v>135</v>
      </c>
      <c r="K132" s="20" t="str">
        <f>IF(OR($E132="—",LEFT($E132,1)="("),"n/a",IF(COUNTIF(Balance_Taxonomy!$B$5:$B$400,$E132)&gt;0,"OK","UNKNOWN TYPE"))</f>
        <v>OK</v>
      </c>
      <c r="L132" s="20" t="str">
        <f>IF(COUNTIF(Amount_Basis!$A$5:$A$100,$H132)&gt;0,"OK","UNKNOWN CODE")</f>
        <v>OK</v>
      </c>
      <c r="M132" s="20" t="str">
        <f t="shared" si="1"/>
        <v>OK</v>
      </c>
      <c r="N132" s="20" t="str">
        <f t="array" ref="N132">IF($J132="MIRROR",IF($F132="MIRRORED","OK","INVALID - MIRROR needs MIRRORED"),IF(IFERROR(INDEX(Amount_Basis!$D$5:$D$100,MATCH($H132,Amount_Basis!$A$5:$A$100,0)),"")="SIGNED",IF($F132="DERIVED_FROM_SIGN","OK","INVALID - SIGNED basis needs DERIVED_FROM_SIGN"),IF(OR($F132="INCREASE",$F132="DECREASE",$F132="—"),"OK","INVALID - static direction required")))</f>
        <v>OK</v>
      </c>
      <c r="O132" s="12" t="s">
        <v>177</v>
      </c>
    </row>
    <row r="133" ht="15.75" customHeight="1">
      <c r="A133" s="12" t="s">
        <v>123</v>
      </c>
      <c r="B133" s="12" t="s">
        <v>523</v>
      </c>
      <c r="C133" s="12" t="s">
        <v>964</v>
      </c>
      <c r="D133" s="12">
        <v>1.0</v>
      </c>
      <c r="E133" s="13" t="s">
        <v>441</v>
      </c>
      <c r="F133" s="12" t="s">
        <v>671</v>
      </c>
      <c r="G133" s="20" t="str">
        <f t="array" ref="G133">IF(OR($F133="DERIVED_FROM_SIGN",$F133="MIRRORED"),"runtime",IFERROR(IF(INDEX(Balance_Taxonomy!$C$5:$C$400,MATCH($E133,Balance_Taxonomy!$B$5:$B$400,0))="Dr",IF($F133="INCREASE","Dr","Cr"),IF($F133="INCREASE","Cr","Dr")),"n/a"))</f>
        <v>Cr</v>
      </c>
      <c r="H133" s="12" t="s">
        <v>585</v>
      </c>
      <c r="I133" s="13" t="s">
        <v>1209</v>
      </c>
      <c r="J133" s="12" t="s">
        <v>135</v>
      </c>
      <c r="K133" s="20" t="str">
        <f>IF(OR($E133="—",LEFT($E133,1)="("),"n/a",IF(COUNTIF(Balance_Taxonomy!$B$5:$B$400,$E133)&gt;0,"OK","UNKNOWN TYPE"))</f>
        <v>OK</v>
      </c>
      <c r="L133" s="20" t="str">
        <f>IF(COUNTIF(Amount_Basis!$A$5:$A$100,$H133)&gt;0,"OK","UNKNOWN CODE")</f>
        <v>OK</v>
      </c>
      <c r="M133" s="20" t="str">
        <f t="shared" si="1"/>
        <v>OK</v>
      </c>
      <c r="N133" s="20" t="str">
        <f t="array" ref="N133">IF($J133="MIRROR",IF($F133="MIRRORED","OK","INVALID - MIRROR needs MIRRORED"),IF(IFERROR(INDEX(Amount_Basis!$D$5:$D$100,MATCH($H133,Amount_Basis!$A$5:$A$100,0)),"")="SIGNED",IF($F133="DERIVED_FROM_SIGN","OK","INVALID - SIGNED basis needs DERIVED_FROM_SIGN"),IF(OR($F133="INCREASE",$F133="DECREASE",$F133="—"),"OK","INVALID - static direction required")))</f>
        <v>OK</v>
      </c>
      <c r="O133" s="12" t="s">
        <v>177</v>
      </c>
    </row>
    <row r="134" ht="15.75" customHeight="1">
      <c r="A134" s="9" t="s">
        <v>533</v>
      </c>
      <c r="B134" s="9" t="s">
        <v>537</v>
      </c>
      <c r="C134" s="9" t="s">
        <v>307</v>
      </c>
      <c r="D134" s="9">
        <v>1.0</v>
      </c>
      <c r="E134" s="10" t="s">
        <v>307</v>
      </c>
      <c r="F134" s="9" t="s">
        <v>307</v>
      </c>
      <c r="G134" s="16" t="str">
        <f t="array" ref="G134">IF(OR($F134="DERIVED_FROM_SIGN",$F134="MIRRORED"),"runtime",IFERROR(IF(INDEX(Balance_Taxonomy!$C$5:$C$400,MATCH($E134,Balance_Taxonomy!$B$5:$B$400,0))="Dr",IF($F134="INCREASE","Dr","Cr"),IF($F134="INCREASE","Cr","Dr")),"n/a"))</f>
        <v>n/a</v>
      </c>
      <c r="H134" s="9" t="s">
        <v>660</v>
      </c>
      <c r="I134" s="10" t="s">
        <v>661</v>
      </c>
      <c r="J134" s="9" t="s">
        <v>353</v>
      </c>
      <c r="K134" s="16" t="str">
        <f>IF(OR($E134="—",LEFT($E134,1)="("),"n/a",IF(COUNTIF(Balance_Taxonomy!$B$5:$B$400,$E134)&gt;0,"OK","UNKNOWN TYPE"))</f>
        <v>n/a</v>
      </c>
      <c r="L134" s="16" t="str">
        <f>IF(COUNTIF(Amount_Basis!$A$5:$A$100,$H134)&gt;0,"OK","UNKNOWN CODE")</f>
        <v>OK</v>
      </c>
      <c r="M134" s="16" t="str">
        <f t="shared" si="1"/>
        <v>OK</v>
      </c>
      <c r="N134" s="16" t="str">
        <f t="array" ref="N134">IF($J134="MIRROR",IF($F134="MIRRORED","OK","INVALID - MIRROR needs MIRRORED"),IF(IFERROR(INDEX(Amount_Basis!$D$5:$D$100,MATCH($H134,Amount_Basis!$A$5:$A$100,0)),"")="SIGNED",IF($F134="DERIVED_FROM_SIGN","OK","INVALID - SIGNED basis needs DERIVED_FROM_SIGN"),IF(OR($F134="INCREASE",$F134="DECREASE",$F134="—"),"OK","INVALID - static direction required")))</f>
        <v>OK</v>
      </c>
      <c r="O134" s="9" t="s">
        <v>217</v>
      </c>
    </row>
    <row r="135" ht="15.75" customHeight="1">
      <c r="A135" s="12" t="s">
        <v>533</v>
      </c>
      <c r="B135" s="12" t="s">
        <v>560</v>
      </c>
      <c r="C135" s="12" t="s">
        <v>510</v>
      </c>
      <c r="D135" s="12">
        <v>1.0</v>
      </c>
      <c r="E135" s="13" t="s">
        <v>65</v>
      </c>
      <c r="F135" s="12" t="s">
        <v>512</v>
      </c>
      <c r="G135" s="20" t="str">
        <f t="array" ref="G135">IF(OR($F135="DERIVED_FROM_SIGN",$F135="MIRRORED"),"runtime",IFERROR(IF(INDEX(Balance_Taxonomy!$C$5:$C$400,MATCH($E135,Balance_Taxonomy!$B$5:$B$400,0))="Dr",IF($F135="INCREASE","Dr","Cr"),IF($F135="INCREASE","Cr","Dr")),"n/a"))</f>
        <v>Dr</v>
      </c>
      <c r="H135" s="12" t="s">
        <v>546</v>
      </c>
      <c r="I135" s="13" t="s">
        <v>1210</v>
      </c>
      <c r="J135" s="12" t="s">
        <v>135</v>
      </c>
      <c r="K135" s="20" t="str">
        <f>IF(OR($E135="—",LEFT($E135,1)="("),"n/a",IF(COUNTIF(Balance_Taxonomy!$B$5:$B$400,$E135)&gt;0,"OK","UNKNOWN TYPE"))</f>
        <v>OK</v>
      </c>
      <c r="L135" s="20" t="str">
        <f>IF(COUNTIF(Amount_Basis!$A$5:$A$100,$H135)&gt;0,"OK","UNKNOWN CODE")</f>
        <v>OK</v>
      </c>
      <c r="M135" s="20" t="str">
        <f t="shared" si="1"/>
        <v>OK</v>
      </c>
      <c r="N135" s="20" t="str">
        <f t="array" ref="N135">IF($J135="MIRROR",IF($F135="MIRRORED","OK","INVALID - MIRROR needs MIRRORED"),IF(IFERROR(INDEX(Amount_Basis!$D$5:$D$100,MATCH($H135,Amount_Basis!$A$5:$A$100,0)),"")="SIGNED",IF($F135="DERIVED_FROM_SIGN","OK","INVALID - SIGNED basis needs DERIVED_FROM_SIGN"),IF(OR($F135="INCREASE",$F135="DECREASE",$F135="—"),"OK","INVALID - static direction required")))</f>
        <v>OK</v>
      </c>
      <c r="O135" s="12" t="s">
        <v>567</v>
      </c>
    </row>
    <row r="136" ht="15.75" customHeight="1">
      <c r="A136" s="12" t="s">
        <v>533</v>
      </c>
      <c r="B136" s="12" t="s">
        <v>560</v>
      </c>
      <c r="C136" s="12" t="s">
        <v>510</v>
      </c>
      <c r="D136" s="12">
        <v>1.0</v>
      </c>
      <c r="E136" s="13" t="s">
        <v>75</v>
      </c>
      <c r="F136" s="12" t="s">
        <v>512</v>
      </c>
      <c r="G136" s="20" t="str">
        <f t="array" ref="G136">IF(OR($F136="DERIVED_FROM_SIGN",$F136="MIRRORED"),"runtime",IFERROR(IF(INDEX(Balance_Taxonomy!$C$5:$C$400,MATCH($E136,Balance_Taxonomy!$B$5:$B$400,0))="Dr",IF($F136="INCREASE","Dr","Cr"),IF($F136="INCREASE","Cr","Dr")),"n/a"))</f>
        <v>Cr</v>
      </c>
      <c r="H136" s="12" t="s">
        <v>546</v>
      </c>
      <c r="I136" s="13" t="s">
        <v>1210</v>
      </c>
      <c r="J136" s="12" t="s">
        <v>135</v>
      </c>
      <c r="K136" s="20" t="str">
        <f>IF(OR($E136="—",LEFT($E136,1)="("),"n/a",IF(COUNTIF(Balance_Taxonomy!$B$5:$B$400,$E136)&gt;0,"OK","UNKNOWN TYPE"))</f>
        <v>OK</v>
      </c>
      <c r="L136" s="20" t="str">
        <f>IF(COUNTIF(Amount_Basis!$A$5:$A$100,$H136)&gt;0,"OK","UNKNOWN CODE")</f>
        <v>OK</v>
      </c>
      <c r="M136" s="20" t="str">
        <f t="shared" si="1"/>
        <v>OK</v>
      </c>
      <c r="N136" s="20" t="str">
        <f t="array" ref="N136">IF($J136="MIRROR",IF($F136="MIRRORED","OK","INVALID - MIRROR needs MIRRORED"),IF(IFERROR(INDEX(Amount_Basis!$D$5:$D$100,MATCH($H136,Amount_Basis!$A$5:$A$100,0)),"")="SIGNED",IF($F136="DERIVED_FROM_SIGN","OK","INVALID - SIGNED basis needs DERIVED_FROM_SIGN"),IF(OR($F136="INCREASE",$F136="DECREASE",$F136="—"),"OK","INVALID - static direction required")))</f>
        <v>OK</v>
      </c>
      <c r="O136" s="12" t="s">
        <v>567</v>
      </c>
    </row>
    <row r="137" ht="15.75" customHeight="1">
      <c r="A137" s="12" t="s">
        <v>533</v>
      </c>
      <c r="B137" s="12" t="s">
        <v>560</v>
      </c>
      <c r="C137" s="12" t="s">
        <v>727</v>
      </c>
      <c r="D137" s="12">
        <v>2.0</v>
      </c>
      <c r="E137" s="13" t="s">
        <v>375</v>
      </c>
      <c r="F137" s="12" t="s">
        <v>671</v>
      </c>
      <c r="G137" s="20" t="str">
        <f t="array" ref="G137">IF(OR($F137="DERIVED_FROM_SIGN",$F137="MIRRORED"),"runtime",IFERROR(IF(INDEX(Balance_Taxonomy!$C$5:$C$400,MATCH($E137,Balance_Taxonomy!$B$5:$B$400,0))="Dr",IF($F137="INCREASE","Dr","Cr"),IF($F137="INCREASE","Cr","Dr")),"n/a"))</f>
        <v>Dr</v>
      </c>
      <c r="H137" s="12" t="s">
        <v>596</v>
      </c>
      <c r="I137" s="13" t="s">
        <v>1211</v>
      </c>
      <c r="J137" s="12" t="s">
        <v>135</v>
      </c>
      <c r="K137" s="20" t="str">
        <f>IF(OR($E137="—",LEFT($E137,1)="("),"n/a",IF(COUNTIF(Balance_Taxonomy!$B$5:$B$400,$E137)&gt;0,"OK","UNKNOWN TYPE"))</f>
        <v>OK</v>
      </c>
      <c r="L137" s="20" t="str">
        <f>IF(COUNTIF(Amount_Basis!$A$5:$A$100,$H137)&gt;0,"OK","UNKNOWN CODE")</f>
        <v>OK</v>
      </c>
      <c r="M137" s="20" t="str">
        <f t="shared" si="1"/>
        <v>OK</v>
      </c>
      <c r="N137" s="20" t="str">
        <f t="array" ref="N137">IF($J137="MIRROR",IF($F137="MIRRORED","OK","INVALID - MIRROR needs MIRRORED"),IF(IFERROR(INDEX(Amount_Basis!$D$5:$D$100,MATCH($H137,Amount_Basis!$A$5:$A$100,0)),"")="SIGNED",IF($F137="DERIVED_FROM_SIGN","OK","INVALID - SIGNED basis needs DERIVED_FROM_SIGN"),IF(OR($F137="INCREASE",$F137="DECREASE",$F137="—"),"OK","INVALID - static direction required")))</f>
        <v>OK</v>
      </c>
      <c r="O137" s="12" t="s">
        <v>567</v>
      </c>
    </row>
    <row r="138" ht="15.75" customHeight="1">
      <c r="A138" s="12" t="s">
        <v>533</v>
      </c>
      <c r="B138" s="12" t="s">
        <v>560</v>
      </c>
      <c r="C138" s="12" t="s">
        <v>727</v>
      </c>
      <c r="D138" s="12">
        <v>2.0</v>
      </c>
      <c r="E138" s="13" t="s">
        <v>357</v>
      </c>
      <c r="F138" s="12" t="s">
        <v>512</v>
      </c>
      <c r="G138" s="20" t="str">
        <f t="array" ref="G138">IF(OR($F138="DERIVED_FROM_SIGN",$F138="MIRRORED"),"runtime",IFERROR(IF(INDEX(Balance_Taxonomy!$C$5:$C$400,MATCH($E138,Balance_Taxonomy!$B$5:$B$400,0))="Dr",IF($F138="INCREASE","Dr","Cr"),IF($F138="INCREASE","Cr","Dr")),"n/a"))</f>
        <v>Cr</v>
      </c>
      <c r="H138" s="12" t="s">
        <v>596</v>
      </c>
      <c r="I138" s="13" t="s">
        <v>1211</v>
      </c>
      <c r="J138" s="12" t="s">
        <v>135</v>
      </c>
      <c r="K138" s="20" t="str">
        <f>IF(OR($E138="—",LEFT($E138,1)="("),"n/a",IF(COUNTIF(Balance_Taxonomy!$B$5:$B$400,$E138)&gt;0,"OK","UNKNOWN TYPE"))</f>
        <v>OK</v>
      </c>
      <c r="L138" s="20" t="str">
        <f>IF(COUNTIF(Amount_Basis!$A$5:$A$100,$H138)&gt;0,"OK","UNKNOWN CODE")</f>
        <v>OK</v>
      </c>
      <c r="M138" s="20" t="str">
        <f t="shared" si="1"/>
        <v>OK</v>
      </c>
      <c r="N138" s="20" t="str">
        <f t="array" ref="N138">IF($J138="MIRROR",IF($F138="MIRRORED","OK","INVALID - MIRROR needs MIRRORED"),IF(IFERROR(INDEX(Amount_Basis!$D$5:$D$100,MATCH($H138,Amount_Basis!$A$5:$A$100,0)),"")="SIGNED",IF($F138="DERIVED_FROM_SIGN","OK","INVALID - SIGNED basis needs DERIVED_FROM_SIGN"),IF(OR($F138="INCREASE",$F138="DECREASE",$F138="—"),"OK","INVALID - static direction required")))</f>
        <v>OK</v>
      </c>
      <c r="O138" s="12" t="s">
        <v>567</v>
      </c>
    </row>
    <row r="139" ht="15.75" customHeight="1">
      <c r="A139" s="12" t="s">
        <v>533</v>
      </c>
      <c r="B139" s="12" t="s">
        <v>560</v>
      </c>
      <c r="C139" s="12" t="s">
        <v>761</v>
      </c>
      <c r="D139" s="12">
        <v>3.0</v>
      </c>
      <c r="E139" s="13" t="s">
        <v>398</v>
      </c>
      <c r="F139" s="12" t="s">
        <v>512</v>
      </c>
      <c r="G139" s="20" t="str">
        <f t="array" ref="G139">IF(OR($F139="DERIVED_FROM_SIGN",$F139="MIRRORED"),"runtime",IFERROR(IF(INDEX(Balance_Taxonomy!$C$5:$C$400,MATCH($E139,Balance_Taxonomy!$B$5:$B$400,0))="Dr",IF($F139="INCREASE","Dr","Cr"),IF($F139="INCREASE","Cr","Dr")),"n/a"))</f>
        <v>Dr</v>
      </c>
      <c r="H139" s="12" t="s">
        <v>612</v>
      </c>
      <c r="I139" s="13" t="s">
        <v>1212</v>
      </c>
      <c r="J139" s="12" t="s">
        <v>135</v>
      </c>
      <c r="K139" s="20" t="str">
        <f>IF(OR($E139="—",LEFT($E139,1)="("),"n/a",IF(COUNTIF(Balance_Taxonomy!$B$5:$B$400,$E139)&gt;0,"OK","UNKNOWN TYPE"))</f>
        <v>OK</v>
      </c>
      <c r="L139" s="20" t="str">
        <f>IF(COUNTIF(Amount_Basis!$A$5:$A$100,$H139)&gt;0,"OK","UNKNOWN CODE")</f>
        <v>OK</v>
      </c>
      <c r="M139" s="20" t="str">
        <f t="shared" si="1"/>
        <v>OK</v>
      </c>
      <c r="N139" s="20" t="str">
        <f t="array" ref="N139">IF($J139="MIRROR",IF($F139="MIRRORED","OK","INVALID - MIRROR needs MIRRORED"),IF(IFERROR(INDEX(Amount_Basis!$D$5:$D$100,MATCH($H139,Amount_Basis!$A$5:$A$100,0)),"")="SIGNED",IF($F139="DERIVED_FROM_SIGN","OK","INVALID - SIGNED basis needs DERIVED_FROM_SIGN"),IF(OR($F139="INCREASE",$F139="DECREASE",$F139="—"),"OK","INVALID - static direction required")))</f>
        <v>OK</v>
      </c>
      <c r="O139" s="12" t="s">
        <v>567</v>
      </c>
    </row>
    <row r="140" ht="15.75" customHeight="1">
      <c r="A140" s="12" t="s">
        <v>533</v>
      </c>
      <c r="B140" s="12" t="s">
        <v>560</v>
      </c>
      <c r="C140" s="12" t="s">
        <v>761</v>
      </c>
      <c r="D140" s="12">
        <v>3.0</v>
      </c>
      <c r="E140" s="13" t="s">
        <v>363</v>
      </c>
      <c r="F140" s="12" t="s">
        <v>512</v>
      </c>
      <c r="G140" s="20" t="str">
        <f t="array" ref="G140">IF(OR($F140="DERIVED_FROM_SIGN",$F140="MIRRORED"),"runtime",IFERROR(IF(INDEX(Balance_Taxonomy!$C$5:$C$400,MATCH($E140,Balance_Taxonomy!$B$5:$B$400,0))="Dr",IF($F140="INCREASE","Dr","Cr"),IF($F140="INCREASE","Cr","Dr")),"n/a"))</f>
        <v>Cr</v>
      </c>
      <c r="H140" s="12" t="s">
        <v>612</v>
      </c>
      <c r="I140" s="13" t="s">
        <v>1212</v>
      </c>
      <c r="J140" s="12" t="s">
        <v>135</v>
      </c>
      <c r="K140" s="20" t="str">
        <f>IF(OR($E140="—",LEFT($E140,1)="("),"n/a",IF(COUNTIF(Balance_Taxonomy!$B$5:$B$400,$E140)&gt;0,"OK","UNKNOWN TYPE"))</f>
        <v>OK</v>
      </c>
      <c r="L140" s="20" t="str">
        <f>IF(COUNTIF(Amount_Basis!$A$5:$A$100,$H140)&gt;0,"OK","UNKNOWN CODE")</f>
        <v>OK</v>
      </c>
      <c r="M140" s="20" t="str">
        <f t="shared" si="1"/>
        <v>OK</v>
      </c>
      <c r="N140" s="20" t="str">
        <f t="array" ref="N140">IF($J140="MIRROR",IF($F140="MIRRORED","OK","INVALID - MIRROR needs MIRRORED"),IF(IFERROR(INDEX(Amount_Basis!$D$5:$D$100,MATCH($H140,Amount_Basis!$A$5:$A$100,0)),"")="SIGNED",IF($F140="DERIVED_FROM_SIGN","OK","INVALID - SIGNED basis needs DERIVED_FROM_SIGN"),IF(OR($F140="INCREASE",$F140="DECREASE",$F140="—"),"OK","INVALID - static direction required")))</f>
        <v>OK</v>
      </c>
      <c r="O140" s="12" t="s">
        <v>567</v>
      </c>
    </row>
    <row r="141" ht="15.75" customHeight="1">
      <c r="A141" s="9" t="s">
        <v>533</v>
      </c>
      <c r="B141" s="9" t="s">
        <v>578</v>
      </c>
      <c r="C141" s="9" t="s">
        <v>510</v>
      </c>
      <c r="D141" s="9">
        <v>1.0</v>
      </c>
      <c r="E141" s="10" t="s">
        <v>65</v>
      </c>
      <c r="F141" s="9" t="s">
        <v>512</v>
      </c>
      <c r="G141" s="16" t="str">
        <f t="array" ref="G141">IF(OR($F141="DERIVED_FROM_SIGN",$F141="MIRRORED"),"runtime",IFERROR(IF(INDEX(Balance_Taxonomy!$C$5:$C$400,MATCH($E141,Balance_Taxonomy!$B$5:$B$400,0))="Dr",IF($F141="INCREASE","Dr","Cr"),IF($F141="INCREASE","Cr","Dr")),"n/a"))</f>
        <v>Dr</v>
      </c>
      <c r="H141" s="9" t="s">
        <v>546</v>
      </c>
      <c r="I141" s="10" t="s">
        <v>1210</v>
      </c>
      <c r="J141" s="9" t="s">
        <v>135</v>
      </c>
      <c r="K141" s="16" t="str">
        <f>IF(OR($E141="—",LEFT($E141,1)="("),"n/a",IF(COUNTIF(Balance_Taxonomy!$B$5:$B$400,$E141)&gt;0,"OK","UNKNOWN TYPE"))</f>
        <v>OK</v>
      </c>
      <c r="L141" s="16" t="str">
        <f>IF(COUNTIF(Amount_Basis!$A$5:$A$100,$H141)&gt;0,"OK","UNKNOWN CODE")</f>
        <v>OK</v>
      </c>
      <c r="M141" s="16" t="str">
        <f t="shared" si="1"/>
        <v>OK</v>
      </c>
      <c r="N141" s="16" t="str">
        <f t="array" ref="N141">IF($J141="MIRROR",IF($F141="MIRRORED","OK","INVALID - MIRROR needs MIRRORED"),IF(IFERROR(INDEX(Amount_Basis!$D$5:$D$100,MATCH($H141,Amount_Basis!$A$5:$A$100,0)),"")="SIGNED",IF($F141="DERIVED_FROM_SIGN","OK","INVALID - SIGNED basis needs DERIVED_FROM_SIGN"),IF(OR($F141="INCREASE",$F141="DECREASE",$F141="—"),"OK","INVALID - static direction required")))</f>
        <v>OK</v>
      </c>
      <c r="O141" s="9" t="s">
        <v>217</v>
      </c>
    </row>
    <row r="142" ht="15.75" customHeight="1">
      <c r="A142" s="9" t="s">
        <v>533</v>
      </c>
      <c r="B142" s="9" t="s">
        <v>578</v>
      </c>
      <c r="C142" s="9" t="s">
        <v>510</v>
      </c>
      <c r="D142" s="9">
        <v>1.0</v>
      </c>
      <c r="E142" s="10" t="s">
        <v>75</v>
      </c>
      <c r="F142" s="9" t="s">
        <v>512</v>
      </c>
      <c r="G142" s="16" t="str">
        <f t="array" ref="G142">IF(OR($F142="DERIVED_FROM_SIGN",$F142="MIRRORED"),"runtime",IFERROR(IF(INDEX(Balance_Taxonomy!$C$5:$C$400,MATCH($E142,Balance_Taxonomy!$B$5:$B$400,0))="Dr",IF($F142="INCREASE","Dr","Cr"),IF($F142="INCREASE","Cr","Dr")),"n/a"))</f>
        <v>Cr</v>
      </c>
      <c r="H142" s="9" t="s">
        <v>546</v>
      </c>
      <c r="I142" s="10" t="s">
        <v>1210</v>
      </c>
      <c r="J142" s="9" t="s">
        <v>135</v>
      </c>
      <c r="K142" s="16" t="str">
        <f>IF(OR($E142="—",LEFT($E142,1)="("),"n/a",IF(COUNTIF(Balance_Taxonomy!$B$5:$B$400,$E142)&gt;0,"OK","UNKNOWN TYPE"))</f>
        <v>OK</v>
      </c>
      <c r="L142" s="16" t="str">
        <f>IF(COUNTIF(Amount_Basis!$A$5:$A$100,$H142)&gt;0,"OK","UNKNOWN CODE")</f>
        <v>OK</v>
      </c>
      <c r="M142" s="16" t="str">
        <f t="shared" si="1"/>
        <v>OK</v>
      </c>
      <c r="N142" s="16" t="str">
        <f t="array" ref="N142">IF($J142="MIRROR",IF($F142="MIRRORED","OK","INVALID - MIRROR needs MIRRORED"),IF(IFERROR(INDEX(Amount_Basis!$D$5:$D$100,MATCH($H142,Amount_Basis!$A$5:$A$100,0)),"")="SIGNED",IF($F142="DERIVED_FROM_SIGN","OK","INVALID - SIGNED basis needs DERIVED_FROM_SIGN"),IF(OR($F142="INCREASE",$F142="DECREASE",$F142="—"),"OK","INVALID - static direction required")))</f>
        <v>OK</v>
      </c>
      <c r="O142" s="9" t="s">
        <v>217</v>
      </c>
    </row>
    <row r="143" ht="15.75" customHeight="1">
      <c r="A143" s="9" t="s">
        <v>533</v>
      </c>
      <c r="B143" s="9" t="s">
        <v>578</v>
      </c>
      <c r="C143" s="9" t="s">
        <v>727</v>
      </c>
      <c r="D143" s="9">
        <v>2.0</v>
      </c>
      <c r="E143" s="10" t="s">
        <v>375</v>
      </c>
      <c r="F143" s="9" t="s">
        <v>671</v>
      </c>
      <c r="G143" s="16" t="str">
        <f t="array" ref="G143">IF(OR($F143="DERIVED_FROM_SIGN",$F143="MIRRORED"),"runtime",IFERROR(IF(INDEX(Balance_Taxonomy!$C$5:$C$400,MATCH($E143,Balance_Taxonomy!$B$5:$B$400,0))="Dr",IF($F143="INCREASE","Dr","Cr"),IF($F143="INCREASE","Cr","Dr")),"n/a"))</f>
        <v>Dr</v>
      </c>
      <c r="H143" s="9" t="s">
        <v>596</v>
      </c>
      <c r="I143" s="10" t="s">
        <v>1211</v>
      </c>
      <c r="J143" s="9" t="s">
        <v>135</v>
      </c>
      <c r="K143" s="16" t="str">
        <f>IF(OR($E143="—",LEFT($E143,1)="("),"n/a",IF(COUNTIF(Balance_Taxonomy!$B$5:$B$400,$E143)&gt;0,"OK","UNKNOWN TYPE"))</f>
        <v>OK</v>
      </c>
      <c r="L143" s="16" t="str">
        <f>IF(COUNTIF(Amount_Basis!$A$5:$A$100,$H143)&gt;0,"OK","UNKNOWN CODE")</f>
        <v>OK</v>
      </c>
      <c r="M143" s="16" t="str">
        <f t="shared" si="1"/>
        <v>OK</v>
      </c>
      <c r="N143" s="16" t="str">
        <f t="array" ref="N143">IF($J143="MIRROR",IF($F143="MIRRORED","OK","INVALID - MIRROR needs MIRRORED"),IF(IFERROR(INDEX(Amount_Basis!$D$5:$D$100,MATCH($H143,Amount_Basis!$A$5:$A$100,0)),"")="SIGNED",IF($F143="DERIVED_FROM_SIGN","OK","INVALID - SIGNED basis needs DERIVED_FROM_SIGN"),IF(OR($F143="INCREASE",$F143="DECREASE",$F143="—"),"OK","INVALID - static direction required")))</f>
        <v>OK</v>
      </c>
      <c r="O143" s="9" t="s">
        <v>217</v>
      </c>
    </row>
    <row r="144" ht="15.75" customHeight="1">
      <c r="A144" s="9" t="s">
        <v>533</v>
      </c>
      <c r="B144" s="9" t="s">
        <v>578</v>
      </c>
      <c r="C144" s="9" t="s">
        <v>727</v>
      </c>
      <c r="D144" s="9">
        <v>2.0</v>
      </c>
      <c r="E144" s="10" t="s">
        <v>357</v>
      </c>
      <c r="F144" s="9" t="s">
        <v>512</v>
      </c>
      <c r="G144" s="16" t="str">
        <f t="array" ref="G144">IF(OR($F144="DERIVED_FROM_SIGN",$F144="MIRRORED"),"runtime",IFERROR(IF(INDEX(Balance_Taxonomy!$C$5:$C$400,MATCH($E144,Balance_Taxonomy!$B$5:$B$400,0))="Dr",IF($F144="INCREASE","Dr","Cr"),IF($F144="INCREASE","Cr","Dr")),"n/a"))</f>
        <v>Cr</v>
      </c>
      <c r="H144" s="9" t="s">
        <v>596</v>
      </c>
      <c r="I144" s="10" t="s">
        <v>1211</v>
      </c>
      <c r="J144" s="9" t="s">
        <v>135</v>
      </c>
      <c r="K144" s="16" t="str">
        <f>IF(OR($E144="—",LEFT($E144,1)="("),"n/a",IF(COUNTIF(Balance_Taxonomy!$B$5:$B$400,$E144)&gt;0,"OK","UNKNOWN TYPE"))</f>
        <v>OK</v>
      </c>
      <c r="L144" s="16" t="str">
        <f>IF(COUNTIF(Amount_Basis!$A$5:$A$100,$H144)&gt;0,"OK","UNKNOWN CODE")</f>
        <v>OK</v>
      </c>
      <c r="M144" s="16" t="str">
        <f t="shared" si="1"/>
        <v>OK</v>
      </c>
      <c r="N144" s="16" t="str">
        <f t="array" ref="N144">IF($J144="MIRROR",IF($F144="MIRRORED","OK","INVALID - MIRROR needs MIRRORED"),IF(IFERROR(INDEX(Amount_Basis!$D$5:$D$100,MATCH($H144,Amount_Basis!$A$5:$A$100,0)),"")="SIGNED",IF($F144="DERIVED_FROM_SIGN","OK","INVALID - SIGNED basis needs DERIVED_FROM_SIGN"),IF(OR($F144="INCREASE",$F144="DECREASE",$F144="—"),"OK","INVALID - static direction required")))</f>
        <v>OK</v>
      </c>
      <c r="O144" s="9" t="s">
        <v>217</v>
      </c>
    </row>
    <row r="145" ht="15.75" customHeight="1">
      <c r="A145" s="9" t="s">
        <v>533</v>
      </c>
      <c r="B145" s="9" t="s">
        <v>578</v>
      </c>
      <c r="C145" s="9" t="s">
        <v>761</v>
      </c>
      <c r="D145" s="9">
        <v>3.0</v>
      </c>
      <c r="E145" s="10" t="s">
        <v>398</v>
      </c>
      <c r="F145" s="9" t="s">
        <v>512</v>
      </c>
      <c r="G145" s="16" t="str">
        <f t="array" ref="G145">IF(OR($F145="DERIVED_FROM_SIGN",$F145="MIRRORED"),"runtime",IFERROR(IF(INDEX(Balance_Taxonomy!$C$5:$C$400,MATCH($E145,Balance_Taxonomy!$B$5:$B$400,0))="Dr",IF($F145="INCREASE","Dr","Cr"),IF($F145="INCREASE","Cr","Dr")),"n/a"))</f>
        <v>Dr</v>
      </c>
      <c r="H145" s="9" t="s">
        <v>612</v>
      </c>
      <c r="I145" s="10" t="s">
        <v>1212</v>
      </c>
      <c r="J145" s="9" t="s">
        <v>135</v>
      </c>
      <c r="K145" s="16" t="str">
        <f>IF(OR($E145="—",LEFT($E145,1)="("),"n/a",IF(COUNTIF(Balance_Taxonomy!$B$5:$B$400,$E145)&gt;0,"OK","UNKNOWN TYPE"))</f>
        <v>OK</v>
      </c>
      <c r="L145" s="16" t="str">
        <f>IF(COUNTIF(Amount_Basis!$A$5:$A$100,$H145)&gt;0,"OK","UNKNOWN CODE")</f>
        <v>OK</v>
      </c>
      <c r="M145" s="16" t="str">
        <f t="shared" si="1"/>
        <v>OK</v>
      </c>
      <c r="N145" s="16" t="str">
        <f t="array" ref="N145">IF($J145="MIRROR",IF($F145="MIRRORED","OK","INVALID - MIRROR needs MIRRORED"),IF(IFERROR(INDEX(Amount_Basis!$D$5:$D$100,MATCH($H145,Amount_Basis!$A$5:$A$100,0)),"")="SIGNED",IF($F145="DERIVED_FROM_SIGN","OK","INVALID - SIGNED basis needs DERIVED_FROM_SIGN"),IF(OR($F145="INCREASE",$F145="DECREASE",$F145="—"),"OK","INVALID - static direction required")))</f>
        <v>OK</v>
      </c>
      <c r="O145" s="9" t="s">
        <v>217</v>
      </c>
    </row>
    <row r="146" ht="15.75" customHeight="1">
      <c r="A146" s="9" t="s">
        <v>533</v>
      </c>
      <c r="B146" s="9" t="s">
        <v>578</v>
      </c>
      <c r="C146" s="9" t="s">
        <v>761</v>
      </c>
      <c r="D146" s="9">
        <v>3.0</v>
      </c>
      <c r="E146" s="10" t="s">
        <v>363</v>
      </c>
      <c r="F146" s="9" t="s">
        <v>512</v>
      </c>
      <c r="G146" s="16" t="str">
        <f t="array" ref="G146">IF(OR($F146="DERIVED_FROM_SIGN",$F146="MIRRORED"),"runtime",IFERROR(IF(INDEX(Balance_Taxonomy!$C$5:$C$400,MATCH($E146,Balance_Taxonomy!$B$5:$B$400,0))="Dr",IF($F146="INCREASE","Dr","Cr"),IF($F146="INCREASE","Cr","Dr")),"n/a"))</f>
        <v>Cr</v>
      </c>
      <c r="H146" s="9" t="s">
        <v>612</v>
      </c>
      <c r="I146" s="10" t="s">
        <v>1212</v>
      </c>
      <c r="J146" s="9" t="s">
        <v>135</v>
      </c>
      <c r="K146" s="16" t="str">
        <f>IF(OR($E146="—",LEFT($E146,1)="("),"n/a",IF(COUNTIF(Balance_Taxonomy!$B$5:$B$400,$E146)&gt;0,"OK","UNKNOWN TYPE"))</f>
        <v>OK</v>
      </c>
      <c r="L146" s="16" t="str">
        <f>IF(COUNTIF(Amount_Basis!$A$5:$A$100,$H146)&gt;0,"OK","UNKNOWN CODE")</f>
        <v>OK</v>
      </c>
      <c r="M146" s="16" t="str">
        <f t="shared" si="1"/>
        <v>OK</v>
      </c>
      <c r="N146" s="16" t="str">
        <f t="array" ref="N146">IF($J146="MIRROR",IF($F146="MIRRORED","OK","INVALID - MIRROR needs MIRRORED"),IF(IFERROR(INDEX(Amount_Basis!$D$5:$D$100,MATCH($H146,Amount_Basis!$A$5:$A$100,0)),"")="SIGNED",IF($F146="DERIVED_FROM_SIGN","OK","INVALID - SIGNED basis needs DERIVED_FROM_SIGN"),IF(OR($F146="INCREASE",$F146="DECREASE",$F146="—"),"OK","INVALID - static direction required")))</f>
        <v>OK</v>
      </c>
      <c r="O146" s="9" t="s">
        <v>217</v>
      </c>
    </row>
    <row r="147" ht="15.75" customHeight="1">
      <c r="A147" s="12" t="s">
        <v>533</v>
      </c>
      <c r="B147" s="12" t="s">
        <v>590</v>
      </c>
      <c r="C147" s="12" t="s">
        <v>510</v>
      </c>
      <c r="D147" s="12">
        <v>1.0</v>
      </c>
      <c r="E147" s="13" t="s">
        <v>65</v>
      </c>
      <c r="F147" s="12" t="s">
        <v>512</v>
      </c>
      <c r="G147" s="20" t="str">
        <f t="array" ref="G147">IF(OR($F147="DERIVED_FROM_SIGN",$F147="MIRRORED"),"runtime",IFERROR(IF(INDEX(Balance_Taxonomy!$C$5:$C$400,MATCH($E147,Balance_Taxonomy!$B$5:$B$400,0))="Dr",IF($F147="INCREASE","Dr","Cr"),IF($F147="INCREASE","Cr","Dr")),"n/a"))</f>
        <v>Dr</v>
      </c>
      <c r="H147" s="12" t="s">
        <v>543</v>
      </c>
      <c r="I147" s="13" t="s">
        <v>1213</v>
      </c>
      <c r="J147" s="12" t="s">
        <v>135</v>
      </c>
      <c r="K147" s="20" t="str">
        <f>IF(OR($E147="—",LEFT($E147,1)="("),"n/a",IF(COUNTIF(Balance_Taxonomy!$B$5:$B$400,$E147)&gt;0,"OK","UNKNOWN TYPE"))</f>
        <v>OK</v>
      </c>
      <c r="L147" s="20" t="str">
        <f>IF(COUNTIF(Amount_Basis!$A$5:$A$100,$H147)&gt;0,"OK","UNKNOWN CODE")</f>
        <v>OK</v>
      </c>
      <c r="M147" s="20" t="str">
        <f t="shared" si="1"/>
        <v>OK</v>
      </c>
      <c r="N147" s="20" t="str">
        <f t="array" ref="N147">IF($J147="MIRROR",IF($F147="MIRRORED","OK","INVALID - MIRROR needs MIRRORED"),IF(IFERROR(INDEX(Amount_Basis!$D$5:$D$100,MATCH($H147,Amount_Basis!$A$5:$A$100,0)),"")="SIGNED",IF($F147="DERIVED_FROM_SIGN","OK","INVALID - SIGNED basis needs DERIVED_FROM_SIGN"),IF(OR($F147="INCREASE",$F147="DECREASE",$F147="—"),"OK","INVALID - static direction required")))</f>
        <v>OK</v>
      </c>
      <c r="O147" s="12" t="s">
        <v>595</v>
      </c>
    </row>
    <row r="148" ht="15.75" customHeight="1">
      <c r="A148" s="12" t="s">
        <v>533</v>
      </c>
      <c r="B148" s="12" t="s">
        <v>590</v>
      </c>
      <c r="C148" s="12" t="s">
        <v>510</v>
      </c>
      <c r="D148" s="12">
        <v>1.0</v>
      </c>
      <c r="E148" s="13" t="s">
        <v>75</v>
      </c>
      <c r="F148" s="12" t="s">
        <v>512</v>
      </c>
      <c r="G148" s="20" t="str">
        <f t="array" ref="G148">IF(OR($F148="DERIVED_FROM_SIGN",$F148="MIRRORED"),"runtime",IFERROR(IF(INDEX(Balance_Taxonomy!$C$5:$C$400,MATCH($E148,Balance_Taxonomy!$B$5:$B$400,0))="Dr",IF($F148="INCREASE","Dr","Cr"),IF($F148="INCREASE","Cr","Dr")),"n/a"))</f>
        <v>Cr</v>
      </c>
      <c r="H148" s="12" t="s">
        <v>543</v>
      </c>
      <c r="I148" s="13" t="s">
        <v>1213</v>
      </c>
      <c r="J148" s="12" t="s">
        <v>135</v>
      </c>
      <c r="K148" s="20" t="str">
        <f>IF(OR($E148="—",LEFT($E148,1)="("),"n/a",IF(COUNTIF(Balance_Taxonomy!$B$5:$B$400,$E148)&gt;0,"OK","UNKNOWN TYPE"))</f>
        <v>OK</v>
      </c>
      <c r="L148" s="20" t="str">
        <f>IF(COUNTIF(Amount_Basis!$A$5:$A$100,$H148)&gt;0,"OK","UNKNOWN CODE")</f>
        <v>OK</v>
      </c>
      <c r="M148" s="20" t="str">
        <f t="shared" si="1"/>
        <v>OK</v>
      </c>
      <c r="N148" s="20" t="str">
        <f t="array" ref="N148">IF($J148="MIRROR",IF($F148="MIRRORED","OK","INVALID - MIRROR needs MIRRORED"),IF(IFERROR(INDEX(Amount_Basis!$D$5:$D$100,MATCH($H148,Amount_Basis!$A$5:$A$100,0)),"")="SIGNED",IF($F148="DERIVED_FROM_SIGN","OK","INVALID - SIGNED basis needs DERIVED_FROM_SIGN"),IF(OR($F148="INCREASE",$F148="DECREASE",$F148="—"),"OK","INVALID - static direction required")))</f>
        <v>OK</v>
      </c>
      <c r="O148" s="12" t="s">
        <v>595</v>
      </c>
    </row>
    <row r="149" ht="15.75" customHeight="1">
      <c r="A149" s="9" t="s">
        <v>533</v>
      </c>
      <c r="B149" s="9" t="s">
        <v>605</v>
      </c>
      <c r="C149" s="9" t="s">
        <v>964</v>
      </c>
      <c r="D149" s="9">
        <v>1.0</v>
      </c>
      <c r="E149" s="10" t="s">
        <v>75</v>
      </c>
      <c r="F149" s="9" t="s">
        <v>671</v>
      </c>
      <c r="G149" s="16" t="str">
        <f t="array" ref="G149">IF(OR($F149="DERIVED_FROM_SIGN",$F149="MIRRORED"),"runtime",IFERROR(IF(INDEX(Balance_Taxonomy!$C$5:$C$400,MATCH($E149,Balance_Taxonomy!$B$5:$B$400,0))="Dr",IF($F149="INCREASE","Dr","Cr"),IF($F149="INCREASE","Cr","Dr")),"n/a"))</f>
        <v>Dr</v>
      </c>
      <c r="H149" s="9" t="s">
        <v>543</v>
      </c>
      <c r="I149" s="10" t="s">
        <v>1213</v>
      </c>
      <c r="J149" s="9" t="s">
        <v>135</v>
      </c>
      <c r="K149" s="16" t="str">
        <f>IF(OR($E149="—",LEFT($E149,1)="("),"n/a",IF(COUNTIF(Balance_Taxonomy!$B$5:$B$400,$E149)&gt;0,"OK","UNKNOWN TYPE"))</f>
        <v>OK</v>
      </c>
      <c r="L149" s="16" t="str">
        <f>IF(COUNTIF(Amount_Basis!$A$5:$A$100,$H149)&gt;0,"OK","UNKNOWN CODE")</f>
        <v>OK</v>
      </c>
      <c r="M149" s="16" t="str">
        <f t="shared" si="1"/>
        <v>OK</v>
      </c>
      <c r="N149" s="16" t="str">
        <f t="array" ref="N149">IF($J149="MIRROR",IF($F149="MIRRORED","OK","INVALID - MIRROR needs MIRRORED"),IF(IFERROR(INDEX(Amount_Basis!$D$5:$D$100,MATCH($H149,Amount_Basis!$A$5:$A$100,0)),"")="SIGNED",IF($F149="DERIVED_FROM_SIGN","OK","INVALID - SIGNED basis needs DERIVED_FROM_SIGN"),IF(OR($F149="INCREASE",$F149="DECREASE",$F149="—"),"OK","INVALID - static direction required")))</f>
        <v>OK</v>
      </c>
      <c r="O149" s="9" t="s">
        <v>595</v>
      </c>
    </row>
    <row r="150" ht="15.75" customHeight="1">
      <c r="A150" s="9" t="s">
        <v>533</v>
      </c>
      <c r="B150" s="9" t="s">
        <v>605</v>
      </c>
      <c r="C150" s="9" t="s">
        <v>964</v>
      </c>
      <c r="D150" s="9">
        <v>1.0</v>
      </c>
      <c r="E150" s="10" t="s">
        <v>65</v>
      </c>
      <c r="F150" s="9" t="s">
        <v>671</v>
      </c>
      <c r="G150" s="16" t="str">
        <f t="array" ref="G150">IF(OR($F150="DERIVED_FROM_SIGN",$F150="MIRRORED"),"runtime",IFERROR(IF(INDEX(Balance_Taxonomy!$C$5:$C$400,MATCH($E150,Balance_Taxonomy!$B$5:$B$400,0))="Dr",IF($F150="INCREASE","Dr","Cr"),IF($F150="INCREASE","Cr","Dr")),"n/a"))</f>
        <v>Cr</v>
      </c>
      <c r="H150" s="9" t="s">
        <v>543</v>
      </c>
      <c r="I150" s="10" t="s">
        <v>1213</v>
      </c>
      <c r="J150" s="9" t="s">
        <v>135</v>
      </c>
      <c r="K150" s="16" t="str">
        <f>IF(OR($E150="—",LEFT($E150,1)="("),"n/a",IF(COUNTIF(Balance_Taxonomy!$B$5:$B$400,$E150)&gt;0,"OK","UNKNOWN TYPE"))</f>
        <v>OK</v>
      </c>
      <c r="L150" s="16" t="str">
        <f>IF(COUNTIF(Amount_Basis!$A$5:$A$100,$H150)&gt;0,"OK","UNKNOWN CODE")</f>
        <v>OK</v>
      </c>
      <c r="M150" s="16" t="str">
        <f t="shared" si="1"/>
        <v>OK</v>
      </c>
      <c r="N150" s="16" t="str">
        <f t="array" ref="N150">IF($J150="MIRROR",IF($F150="MIRRORED","OK","INVALID - MIRROR needs MIRRORED"),IF(IFERROR(INDEX(Amount_Basis!$D$5:$D$100,MATCH($H150,Amount_Basis!$A$5:$A$100,0)),"")="SIGNED",IF($F150="DERIVED_FROM_SIGN","OK","INVALID - SIGNED basis needs DERIVED_FROM_SIGN"),IF(OR($F150="INCREASE",$F150="DECREASE",$F150="—"),"OK","INVALID - static direction required")))</f>
        <v>OK</v>
      </c>
      <c r="O150" s="9" t="s">
        <v>595</v>
      </c>
    </row>
    <row r="151" ht="15.75" customHeight="1">
      <c r="A151" s="12" t="s">
        <v>533</v>
      </c>
      <c r="B151" s="12" t="s">
        <v>621</v>
      </c>
      <c r="C151" s="12" t="s">
        <v>1156</v>
      </c>
      <c r="D151" s="12">
        <v>1.0</v>
      </c>
      <c r="E151" s="13" t="s">
        <v>437</v>
      </c>
      <c r="F151" s="12" t="s">
        <v>512</v>
      </c>
      <c r="G151" s="20" t="str">
        <f t="array" ref="G151">IF(OR($F151="DERIVED_FROM_SIGN",$F151="MIRRORED"),"runtime",IFERROR(IF(INDEX(Balance_Taxonomy!$C$5:$C$400,MATCH($E151,Balance_Taxonomy!$B$5:$B$400,0))="Dr",IF($F151="INCREASE","Dr","Cr"),IF($F151="INCREASE","Cr","Dr")),"n/a"))</f>
        <v>Dr</v>
      </c>
      <c r="H151" s="12" t="s">
        <v>531</v>
      </c>
      <c r="I151" s="13" t="s">
        <v>1214</v>
      </c>
      <c r="J151" s="12" t="s">
        <v>326</v>
      </c>
      <c r="K151" s="20" t="str">
        <f>IF(OR($E151="—",LEFT($E151,1)="("),"n/a",IF(COUNTIF(Balance_Taxonomy!$B$5:$B$400,$E151)&gt;0,"OK","UNKNOWN TYPE"))</f>
        <v>OK</v>
      </c>
      <c r="L151" s="20" t="str">
        <f>IF(COUNTIF(Amount_Basis!$A$5:$A$100,$H151)&gt;0,"OK","UNKNOWN CODE")</f>
        <v>OK</v>
      </c>
      <c r="M151" s="20" t="str">
        <f t="shared" si="1"/>
        <v>OK</v>
      </c>
      <c r="N151" s="20" t="str">
        <f t="array" ref="N151">IF($J151="MIRROR",IF($F151="MIRRORED","OK","INVALID - MIRROR needs MIRRORED"),IF(IFERROR(INDEX(Amount_Basis!$D$5:$D$100,MATCH($H151,Amount_Basis!$A$5:$A$100,0)),"")="SIGNED",IF($F151="DERIVED_FROM_SIGN","OK","INVALID - SIGNED basis needs DERIVED_FROM_SIGN"),IF(OR($F151="INCREASE",$F151="DECREASE",$F151="—"),"OK","INVALID - static direction required")))</f>
        <v>OK</v>
      </c>
      <c r="O151" s="12" t="s">
        <v>626</v>
      </c>
    </row>
    <row r="152" ht="15.75" customHeight="1">
      <c r="A152" s="12" t="s">
        <v>533</v>
      </c>
      <c r="B152" s="12" t="s">
        <v>621</v>
      </c>
      <c r="C152" s="12" t="s">
        <v>1156</v>
      </c>
      <c r="D152" s="12">
        <v>1.0</v>
      </c>
      <c r="E152" s="13" t="s">
        <v>472</v>
      </c>
      <c r="F152" s="12" t="s">
        <v>512</v>
      </c>
      <c r="G152" s="20" t="str">
        <f t="array" ref="G152">IF(OR($F152="DERIVED_FROM_SIGN",$F152="MIRRORED"),"runtime",IFERROR(IF(INDEX(Balance_Taxonomy!$C$5:$C$400,MATCH($E152,Balance_Taxonomy!$B$5:$B$400,0))="Dr",IF($F152="INCREASE","Dr","Cr"),IF($F152="INCREASE","Cr","Dr")),"n/a"))</f>
        <v>Cr</v>
      </c>
      <c r="H152" s="12" t="s">
        <v>531</v>
      </c>
      <c r="I152" s="13" t="s">
        <v>1214</v>
      </c>
      <c r="J152" s="12" t="s">
        <v>326</v>
      </c>
      <c r="K152" s="20" t="str">
        <f>IF(OR($E152="—",LEFT($E152,1)="("),"n/a",IF(COUNTIF(Balance_Taxonomy!$B$5:$B$400,$E152)&gt;0,"OK","UNKNOWN TYPE"))</f>
        <v>OK</v>
      </c>
      <c r="L152" s="20" t="str">
        <f>IF(COUNTIF(Amount_Basis!$A$5:$A$100,$H152)&gt;0,"OK","UNKNOWN CODE")</f>
        <v>OK</v>
      </c>
      <c r="M152" s="20" t="str">
        <f t="shared" si="1"/>
        <v>OK</v>
      </c>
      <c r="N152" s="20" t="str">
        <f t="array" ref="N152">IF($J152="MIRROR",IF($F152="MIRRORED","OK","INVALID - MIRROR needs MIRRORED"),IF(IFERROR(INDEX(Amount_Basis!$D$5:$D$100,MATCH($H152,Amount_Basis!$A$5:$A$100,0)),"")="SIGNED",IF($F152="DERIVED_FROM_SIGN","OK","INVALID - SIGNED basis needs DERIVED_FROM_SIGN"),IF(OR($F152="INCREASE",$F152="DECREASE",$F152="—"),"OK","INVALID - static direction required")))</f>
        <v>OK</v>
      </c>
      <c r="O152" s="12" t="s">
        <v>626</v>
      </c>
    </row>
    <row r="153" ht="15.75" customHeight="1">
      <c r="A153" s="9" t="s">
        <v>533</v>
      </c>
      <c r="B153" s="9" t="s">
        <v>635</v>
      </c>
      <c r="C153" s="9" t="s">
        <v>1158</v>
      </c>
      <c r="D153" s="9">
        <v>1.0</v>
      </c>
      <c r="E153" s="10" t="s">
        <v>432</v>
      </c>
      <c r="F153" s="9" t="s">
        <v>512</v>
      </c>
      <c r="G153" s="16" t="str">
        <f t="array" ref="G153">IF(OR($F153="DERIVED_FROM_SIGN",$F153="MIRRORED"),"runtime",IFERROR(IF(INDEX(Balance_Taxonomy!$C$5:$C$400,MATCH($E153,Balance_Taxonomy!$B$5:$B$400,0))="Dr",IF($F153="INCREASE","Dr","Cr"),IF($F153="INCREASE","Cr","Dr")),"n/a"))</f>
        <v>Dr</v>
      </c>
      <c r="H153" s="9" t="s">
        <v>531</v>
      </c>
      <c r="I153" s="10" t="s">
        <v>1214</v>
      </c>
      <c r="J153" s="9" t="s">
        <v>326</v>
      </c>
      <c r="K153" s="16" t="str">
        <f>IF(OR($E153="—",LEFT($E153,1)="("),"n/a",IF(COUNTIF(Balance_Taxonomy!$B$5:$B$400,$E153)&gt;0,"OK","UNKNOWN TYPE"))</f>
        <v>OK</v>
      </c>
      <c r="L153" s="16" t="str">
        <f>IF(COUNTIF(Amount_Basis!$A$5:$A$100,$H153)&gt;0,"OK","UNKNOWN CODE")</f>
        <v>OK</v>
      </c>
      <c r="M153" s="16" t="str">
        <f t="shared" si="1"/>
        <v>OK</v>
      </c>
      <c r="N153" s="16" t="str">
        <f t="array" ref="N153">IF($J153="MIRROR",IF($F153="MIRRORED","OK","INVALID - MIRROR needs MIRRORED"),IF(IFERROR(INDEX(Amount_Basis!$D$5:$D$100,MATCH($H153,Amount_Basis!$A$5:$A$100,0)),"")="SIGNED",IF($F153="DERIVED_FROM_SIGN","OK","INVALID - SIGNED basis needs DERIVED_FROM_SIGN"),IF(OR($F153="INCREASE",$F153="DECREASE",$F153="—"),"OK","INVALID - static direction required")))</f>
        <v>OK</v>
      </c>
      <c r="O153" s="9" t="s">
        <v>626</v>
      </c>
    </row>
    <row r="154" ht="15.75" customHeight="1">
      <c r="A154" s="9" t="s">
        <v>533</v>
      </c>
      <c r="B154" s="9" t="s">
        <v>635</v>
      </c>
      <c r="C154" s="9" t="s">
        <v>1158</v>
      </c>
      <c r="D154" s="9">
        <v>1.0</v>
      </c>
      <c r="E154" s="10" t="s">
        <v>437</v>
      </c>
      <c r="F154" s="9" t="s">
        <v>671</v>
      </c>
      <c r="G154" s="16" t="str">
        <f t="array" ref="G154">IF(OR($F154="DERIVED_FROM_SIGN",$F154="MIRRORED"),"runtime",IFERROR(IF(INDEX(Balance_Taxonomy!$C$5:$C$400,MATCH($E154,Balance_Taxonomy!$B$5:$B$400,0))="Dr",IF($F154="INCREASE","Dr","Cr"),IF($F154="INCREASE","Cr","Dr")),"n/a"))</f>
        <v>Cr</v>
      </c>
      <c r="H154" s="9" t="s">
        <v>531</v>
      </c>
      <c r="I154" s="10" t="s">
        <v>1214</v>
      </c>
      <c r="J154" s="9" t="s">
        <v>326</v>
      </c>
      <c r="K154" s="16" t="str">
        <f>IF(OR($E154="—",LEFT($E154,1)="("),"n/a",IF(COUNTIF(Balance_Taxonomy!$B$5:$B$400,$E154)&gt;0,"OK","UNKNOWN TYPE"))</f>
        <v>OK</v>
      </c>
      <c r="L154" s="16" t="str">
        <f>IF(COUNTIF(Amount_Basis!$A$5:$A$100,$H154)&gt;0,"OK","UNKNOWN CODE")</f>
        <v>OK</v>
      </c>
      <c r="M154" s="16" t="str">
        <f t="shared" si="1"/>
        <v>OK</v>
      </c>
      <c r="N154" s="16" t="str">
        <f t="array" ref="N154">IF($J154="MIRROR",IF($F154="MIRRORED","OK","INVALID - MIRROR needs MIRRORED"),IF(IFERROR(INDEX(Amount_Basis!$D$5:$D$100,MATCH($H154,Amount_Basis!$A$5:$A$100,0)),"")="SIGNED",IF($F154="DERIVED_FROM_SIGN","OK","INVALID - SIGNED basis needs DERIVED_FROM_SIGN"),IF(OR($F154="INCREASE",$F154="DECREASE",$F154="—"),"OK","INVALID - static direction required")))</f>
        <v>OK</v>
      </c>
      <c r="O154" s="9" t="s">
        <v>626</v>
      </c>
    </row>
    <row r="155" ht="15.75" customHeight="1">
      <c r="A155" s="12" t="s">
        <v>533</v>
      </c>
      <c r="B155" s="12" t="s">
        <v>649</v>
      </c>
      <c r="C155" s="12" t="s">
        <v>307</v>
      </c>
      <c r="D155" s="12">
        <v>1.0</v>
      </c>
      <c r="E155" s="13" t="s">
        <v>307</v>
      </c>
      <c r="F155" s="12" t="s">
        <v>307</v>
      </c>
      <c r="G155" s="20" t="str">
        <f t="array" ref="G155">IF(OR($F155="DERIVED_FROM_SIGN",$F155="MIRRORED"),"runtime",IFERROR(IF(INDEX(Balance_Taxonomy!$C$5:$C$400,MATCH($E155,Balance_Taxonomy!$B$5:$B$400,0))="Dr",IF($F155="INCREASE","Dr","Cr"),IF($F155="INCREASE","Cr","Dr")),"n/a"))</f>
        <v>n/a</v>
      </c>
      <c r="H155" s="12" t="s">
        <v>660</v>
      </c>
      <c r="I155" s="13" t="s">
        <v>661</v>
      </c>
      <c r="J155" s="12" t="s">
        <v>353</v>
      </c>
      <c r="K155" s="20" t="str">
        <f>IF(OR($E155="—",LEFT($E155,1)="("),"n/a",IF(COUNTIF(Balance_Taxonomy!$B$5:$B$400,$E155)&gt;0,"OK","UNKNOWN TYPE"))</f>
        <v>n/a</v>
      </c>
      <c r="L155" s="20" t="str">
        <f>IF(COUNTIF(Amount_Basis!$A$5:$A$100,$H155)&gt;0,"OK","UNKNOWN CODE")</f>
        <v>OK</v>
      </c>
      <c r="M155" s="20" t="str">
        <f t="shared" si="1"/>
        <v>OK</v>
      </c>
      <c r="N155" s="20" t="str">
        <f t="array" ref="N155">IF($J155="MIRROR",IF($F155="MIRRORED","OK","INVALID - MIRROR needs MIRRORED"),IF(IFERROR(INDEX(Amount_Basis!$D$5:$D$100,MATCH($H155,Amount_Basis!$A$5:$A$100,0)),"")="SIGNED",IF($F155="DERIVED_FROM_SIGN","OK","INVALID - SIGNED basis needs DERIVED_FROM_SIGN"),IF(OR($F155="INCREASE",$F155="DECREASE",$F155="—"),"OK","INVALID - static direction required")))</f>
        <v>OK</v>
      </c>
      <c r="O155" s="12" t="s">
        <v>626</v>
      </c>
    </row>
    <row r="156" ht="15.75" customHeight="1">
      <c r="A156" s="9" t="s">
        <v>533</v>
      </c>
      <c r="B156" s="9" t="s">
        <v>664</v>
      </c>
      <c r="C156" s="9" t="s">
        <v>307</v>
      </c>
      <c r="D156" s="9">
        <v>1.0</v>
      </c>
      <c r="E156" s="10" t="s">
        <v>307</v>
      </c>
      <c r="F156" s="9" t="s">
        <v>307</v>
      </c>
      <c r="G156" s="16" t="str">
        <f t="array" ref="G156">IF(OR($F156="DERIVED_FROM_SIGN",$F156="MIRRORED"),"runtime",IFERROR(IF(INDEX(Balance_Taxonomy!$C$5:$C$400,MATCH($E156,Balance_Taxonomy!$B$5:$B$400,0))="Dr",IF($F156="INCREASE","Dr","Cr"),IF($F156="INCREASE","Cr","Dr")),"n/a"))</f>
        <v>n/a</v>
      </c>
      <c r="H156" s="9" t="s">
        <v>660</v>
      </c>
      <c r="I156" s="10" t="s">
        <v>661</v>
      </c>
      <c r="J156" s="9" t="s">
        <v>298</v>
      </c>
      <c r="K156" s="16" t="str">
        <f>IF(OR($E156="—",LEFT($E156,1)="("),"n/a",IF(COUNTIF(Balance_Taxonomy!$B$5:$B$400,$E156)&gt;0,"OK","UNKNOWN TYPE"))</f>
        <v>n/a</v>
      </c>
      <c r="L156" s="16" t="str">
        <f>IF(COUNTIF(Amount_Basis!$A$5:$A$100,$H156)&gt;0,"OK","UNKNOWN CODE")</f>
        <v>OK</v>
      </c>
      <c r="M156" s="16" t="str">
        <f t="shared" si="1"/>
        <v>OK</v>
      </c>
      <c r="N156" s="16" t="str">
        <f t="array" ref="N156">IF($J156="MIRROR",IF($F156="MIRRORED","OK","INVALID - MIRROR needs MIRRORED"),IF(IFERROR(INDEX(Amount_Basis!$D$5:$D$100,MATCH($H156,Amount_Basis!$A$5:$A$100,0)),"")="SIGNED",IF($F156="DERIVED_FROM_SIGN","OK","INVALID - SIGNED basis needs DERIVED_FROM_SIGN"),IF(OR($F156="INCREASE",$F156="DECREASE",$F156="—"),"OK","INVALID - static direction required")))</f>
        <v>OK</v>
      </c>
      <c r="O156" s="9" t="s">
        <v>626</v>
      </c>
    </row>
    <row r="157" ht="15.75" customHeight="1">
      <c r="A157" s="12" t="s">
        <v>533</v>
      </c>
      <c r="B157" s="12" t="s">
        <v>667</v>
      </c>
      <c r="C157" s="12" t="s">
        <v>964</v>
      </c>
      <c r="D157" s="12">
        <v>1.0</v>
      </c>
      <c r="E157" s="13" t="s">
        <v>75</v>
      </c>
      <c r="F157" s="12" t="s">
        <v>671</v>
      </c>
      <c r="G157" s="20" t="str">
        <f t="array" ref="G157">IF(OR($F157="DERIVED_FROM_SIGN",$F157="MIRRORED"),"runtime",IFERROR(IF(INDEX(Balance_Taxonomy!$C$5:$C$400,MATCH($E157,Balance_Taxonomy!$B$5:$B$400,0))="Dr",IF($F157="INCREASE","Dr","Cr"),IF($F157="INCREASE","Cr","Dr")),"n/a"))</f>
        <v>Dr</v>
      </c>
      <c r="H157" s="12" t="s">
        <v>531</v>
      </c>
      <c r="I157" s="13" t="s">
        <v>1214</v>
      </c>
      <c r="J157" s="12" t="s">
        <v>135</v>
      </c>
      <c r="K157" s="20" t="str">
        <f>IF(OR($E157="—",LEFT($E157,1)="("),"n/a",IF(COUNTIF(Balance_Taxonomy!$B$5:$B$400,$E157)&gt;0,"OK","UNKNOWN TYPE"))</f>
        <v>OK</v>
      </c>
      <c r="L157" s="20" t="str">
        <f>IF(COUNTIF(Amount_Basis!$A$5:$A$100,$H157)&gt;0,"OK","UNKNOWN CODE")</f>
        <v>OK</v>
      </c>
      <c r="M157" s="20" t="str">
        <f t="shared" si="1"/>
        <v>OK</v>
      </c>
      <c r="N157" s="20" t="str">
        <f t="array" ref="N157">IF($J157="MIRROR",IF($F157="MIRRORED","OK","INVALID - MIRROR needs MIRRORED"),IF(IFERROR(INDEX(Amount_Basis!$D$5:$D$100,MATCH($H157,Amount_Basis!$A$5:$A$100,0)),"")="SIGNED",IF($F157="DERIVED_FROM_SIGN","OK","INVALID - SIGNED basis needs DERIVED_FROM_SIGN"),IF(OR($F157="INCREASE",$F157="DECREASE",$F157="—"),"OK","INVALID - static direction required")))</f>
        <v>OK</v>
      </c>
      <c r="O157" s="12" t="s">
        <v>626</v>
      </c>
    </row>
    <row r="158" ht="15.75" customHeight="1">
      <c r="A158" s="12" t="s">
        <v>533</v>
      </c>
      <c r="B158" s="12" t="s">
        <v>667</v>
      </c>
      <c r="C158" s="12" t="s">
        <v>964</v>
      </c>
      <c r="D158" s="12">
        <v>1.0</v>
      </c>
      <c r="E158" s="13" t="s">
        <v>65</v>
      </c>
      <c r="F158" s="12" t="s">
        <v>671</v>
      </c>
      <c r="G158" s="20" t="str">
        <f t="array" ref="G158">IF(OR($F158="DERIVED_FROM_SIGN",$F158="MIRRORED"),"runtime",IFERROR(IF(INDEX(Balance_Taxonomy!$C$5:$C$400,MATCH($E158,Balance_Taxonomy!$B$5:$B$400,0))="Dr",IF($F158="INCREASE","Dr","Cr"),IF($F158="INCREASE","Cr","Dr")),"n/a"))</f>
        <v>Cr</v>
      </c>
      <c r="H158" s="12" t="s">
        <v>531</v>
      </c>
      <c r="I158" s="13" t="s">
        <v>1214</v>
      </c>
      <c r="J158" s="12" t="s">
        <v>135</v>
      </c>
      <c r="K158" s="20" t="str">
        <f>IF(OR($E158="—",LEFT($E158,1)="("),"n/a",IF(COUNTIF(Balance_Taxonomy!$B$5:$B$400,$E158)&gt;0,"OK","UNKNOWN TYPE"))</f>
        <v>OK</v>
      </c>
      <c r="L158" s="20" t="str">
        <f>IF(COUNTIF(Amount_Basis!$A$5:$A$100,$H158)&gt;0,"OK","UNKNOWN CODE")</f>
        <v>OK</v>
      </c>
      <c r="M158" s="20" t="str">
        <f t="shared" si="1"/>
        <v>OK</v>
      </c>
      <c r="N158" s="20" t="str">
        <f t="array" ref="N158">IF($J158="MIRROR",IF($F158="MIRRORED","OK","INVALID - MIRROR needs MIRRORED"),IF(IFERROR(INDEX(Amount_Basis!$D$5:$D$100,MATCH($H158,Amount_Basis!$A$5:$A$100,0)),"")="SIGNED",IF($F158="DERIVED_FROM_SIGN","OK","INVALID - SIGNED basis needs DERIVED_FROM_SIGN"),IF(OR($F158="INCREASE",$F158="DECREASE",$F158="—"),"OK","INVALID - static direction required")))</f>
        <v>OK</v>
      </c>
      <c r="O158" s="12" t="s">
        <v>626</v>
      </c>
    </row>
    <row r="159" ht="15.75" customHeight="1">
      <c r="A159" s="12" t="s">
        <v>533</v>
      </c>
      <c r="B159" s="12" t="s">
        <v>667</v>
      </c>
      <c r="C159" s="12" t="s">
        <v>1159</v>
      </c>
      <c r="D159" s="12">
        <v>2.0</v>
      </c>
      <c r="E159" s="13" t="s">
        <v>198</v>
      </c>
      <c r="F159" s="12" t="s">
        <v>512</v>
      </c>
      <c r="G159" s="20" t="str">
        <f t="array" ref="G159">IF(OR($F159="DERIVED_FROM_SIGN",$F159="MIRRORED"),"runtime",IFERROR(IF(INDEX(Balance_Taxonomy!$C$5:$C$400,MATCH($E159,Balance_Taxonomy!$B$5:$B$400,0))="Dr",IF($F159="INCREASE","Dr","Cr"),IF($F159="INCREASE","Cr","Dr")),"n/a"))</f>
        <v>Dr</v>
      </c>
      <c r="H159" s="12" t="s">
        <v>531</v>
      </c>
      <c r="I159" s="13" t="s">
        <v>1215</v>
      </c>
      <c r="J159" s="12" t="s">
        <v>135</v>
      </c>
      <c r="K159" s="20" t="str">
        <f>IF(OR($E159="—",LEFT($E159,1)="("),"n/a",IF(COUNTIF(Balance_Taxonomy!$B$5:$B$400,$E159)&gt;0,"OK","UNKNOWN TYPE"))</f>
        <v>OK</v>
      </c>
      <c r="L159" s="20" t="str">
        <f>IF(COUNTIF(Amount_Basis!$A$5:$A$100,$H159)&gt;0,"OK","UNKNOWN CODE")</f>
        <v>OK</v>
      </c>
      <c r="M159" s="20" t="str">
        <f t="shared" si="1"/>
        <v>OK</v>
      </c>
      <c r="N159" s="20" t="str">
        <f t="array" ref="N159">IF($J159="MIRROR",IF($F159="MIRRORED","OK","INVALID - MIRROR needs MIRRORED"),IF(IFERROR(INDEX(Amount_Basis!$D$5:$D$100,MATCH($H159,Amount_Basis!$A$5:$A$100,0)),"")="SIGNED",IF($F159="DERIVED_FROM_SIGN","OK","INVALID - SIGNED basis needs DERIVED_FROM_SIGN"),IF(OR($F159="INCREASE",$F159="DECREASE",$F159="—"),"OK","INVALID - static direction required")))</f>
        <v>OK</v>
      </c>
      <c r="O159" s="12" t="s">
        <v>626</v>
      </c>
    </row>
    <row r="160" ht="15.75" customHeight="1">
      <c r="A160" s="12" t="s">
        <v>533</v>
      </c>
      <c r="B160" s="12" t="s">
        <v>667</v>
      </c>
      <c r="C160" s="12" t="s">
        <v>1159</v>
      </c>
      <c r="D160" s="12">
        <v>2.0</v>
      </c>
      <c r="E160" s="13" t="s">
        <v>375</v>
      </c>
      <c r="F160" s="12" t="s">
        <v>512</v>
      </c>
      <c r="G160" s="20" t="str">
        <f t="array" ref="G160">IF(OR($F160="DERIVED_FROM_SIGN",$F160="MIRRORED"),"runtime",IFERROR(IF(INDEX(Balance_Taxonomy!$C$5:$C$400,MATCH($E160,Balance_Taxonomy!$B$5:$B$400,0))="Dr",IF($F160="INCREASE","Dr","Cr"),IF($F160="INCREASE","Cr","Dr")),"n/a"))</f>
        <v>Cr</v>
      </c>
      <c r="H160" s="12" t="s">
        <v>531</v>
      </c>
      <c r="I160" s="13" t="s">
        <v>1214</v>
      </c>
      <c r="J160" s="12" t="s">
        <v>135</v>
      </c>
      <c r="K160" s="20" t="str">
        <f>IF(OR($E160="—",LEFT($E160,1)="("),"n/a",IF(COUNTIF(Balance_Taxonomy!$B$5:$B$400,$E160)&gt;0,"OK","UNKNOWN TYPE"))</f>
        <v>OK</v>
      </c>
      <c r="L160" s="20" t="str">
        <f>IF(COUNTIF(Amount_Basis!$A$5:$A$100,$H160)&gt;0,"OK","UNKNOWN CODE")</f>
        <v>OK</v>
      </c>
      <c r="M160" s="20" t="str">
        <f t="shared" si="1"/>
        <v>OK</v>
      </c>
      <c r="N160" s="20" t="str">
        <f t="array" ref="N160">IF($J160="MIRROR",IF($F160="MIRRORED","OK","INVALID - MIRROR needs MIRRORED"),IF(IFERROR(INDEX(Amount_Basis!$D$5:$D$100,MATCH($H160,Amount_Basis!$A$5:$A$100,0)),"")="SIGNED",IF($F160="DERIVED_FROM_SIGN","OK","INVALID - SIGNED basis needs DERIVED_FROM_SIGN"),IF(OR($F160="INCREASE",$F160="DECREASE",$F160="—"),"OK","INVALID - static direction required")))</f>
        <v>OK</v>
      </c>
      <c r="O160" s="12" t="s">
        <v>626</v>
      </c>
    </row>
    <row r="161" ht="15.75" customHeight="1">
      <c r="A161" s="9" t="s">
        <v>533</v>
      </c>
      <c r="B161" s="9" t="s">
        <v>672</v>
      </c>
      <c r="C161" s="9" t="s">
        <v>964</v>
      </c>
      <c r="D161" s="9">
        <v>1.0</v>
      </c>
      <c r="E161" s="10" t="s">
        <v>75</v>
      </c>
      <c r="F161" s="9" t="s">
        <v>671</v>
      </c>
      <c r="G161" s="16" t="str">
        <f t="array" ref="G161">IF(OR($F161="DERIVED_FROM_SIGN",$F161="MIRRORED"),"runtime",IFERROR(IF(INDEX(Balance_Taxonomy!$C$5:$C$400,MATCH($E161,Balance_Taxonomy!$B$5:$B$400,0))="Dr",IF($F161="INCREASE","Dr","Cr"),IF($F161="INCREASE","Cr","Dr")),"n/a"))</f>
        <v>Dr</v>
      </c>
      <c r="H161" s="9" t="s">
        <v>531</v>
      </c>
      <c r="I161" s="10" t="s">
        <v>1214</v>
      </c>
      <c r="J161" s="9" t="s">
        <v>135</v>
      </c>
      <c r="K161" s="16" t="str">
        <f>IF(OR($E161="—",LEFT($E161,1)="("),"n/a",IF(COUNTIF(Balance_Taxonomy!$B$5:$B$400,$E161)&gt;0,"OK","UNKNOWN TYPE"))</f>
        <v>OK</v>
      </c>
      <c r="L161" s="16" t="str">
        <f>IF(COUNTIF(Amount_Basis!$A$5:$A$100,$H161)&gt;0,"OK","UNKNOWN CODE")</f>
        <v>OK</v>
      </c>
      <c r="M161" s="16" t="str">
        <f t="shared" si="1"/>
        <v>OK</v>
      </c>
      <c r="N161" s="16" t="str">
        <f t="array" ref="N161">IF($J161="MIRROR",IF($F161="MIRRORED","OK","INVALID - MIRROR needs MIRRORED"),IF(IFERROR(INDEX(Amount_Basis!$D$5:$D$100,MATCH($H161,Amount_Basis!$A$5:$A$100,0)),"")="SIGNED",IF($F161="DERIVED_FROM_SIGN","OK","INVALID - SIGNED basis needs DERIVED_FROM_SIGN"),IF(OR($F161="INCREASE",$F161="DECREASE",$F161="—"),"OK","INVALID - static direction required")))</f>
        <v>OK</v>
      </c>
      <c r="O161" s="9" t="s">
        <v>675</v>
      </c>
    </row>
    <row r="162" ht="15.75" customHeight="1">
      <c r="A162" s="9" t="s">
        <v>533</v>
      </c>
      <c r="B162" s="9" t="s">
        <v>672</v>
      </c>
      <c r="C162" s="9" t="s">
        <v>964</v>
      </c>
      <c r="D162" s="9">
        <v>1.0</v>
      </c>
      <c r="E162" s="10" t="s">
        <v>65</v>
      </c>
      <c r="F162" s="9" t="s">
        <v>671</v>
      </c>
      <c r="G162" s="16" t="str">
        <f t="array" ref="G162">IF(OR($F162="DERIVED_FROM_SIGN",$F162="MIRRORED"),"runtime",IFERROR(IF(INDEX(Balance_Taxonomy!$C$5:$C$400,MATCH($E162,Balance_Taxonomy!$B$5:$B$400,0))="Dr",IF($F162="INCREASE","Dr","Cr"),IF($F162="INCREASE","Cr","Dr")),"n/a"))</f>
        <v>Cr</v>
      </c>
      <c r="H162" s="9" t="s">
        <v>531</v>
      </c>
      <c r="I162" s="10" t="s">
        <v>1214</v>
      </c>
      <c r="J162" s="9" t="s">
        <v>135</v>
      </c>
      <c r="K162" s="16" t="str">
        <f>IF(OR($E162="—",LEFT($E162,1)="("),"n/a",IF(COUNTIF(Balance_Taxonomy!$B$5:$B$400,$E162)&gt;0,"OK","UNKNOWN TYPE"))</f>
        <v>OK</v>
      </c>
      <c r="L162" s="16" t="str">
        <f>IF(COUNTIF(Amount_Basis!$A$5:$A$100,$H162)&gt;0,"OK","UNKNOWN CODE")</f>
        <v>OK</v>
      </c>
      <c r="M162" s="16" t="str">
        <f t="shared" si="1"/>
        <v>OK</v>
      </c>
      <c r="N162" s="16" t="str">
        <f t="array" ref="N162">IF($J162="MIRROR",IF($F162="MIRRORED","OK","INVALID - MIRROR needs MIRRORED"),IF(IFERROR(INDEX(Amount_Basis!$D$5:$D$100,MATCH($H162,Amount_Basis!$A$5:$A$100,0)),"")="SIGNED",IF($F162="DERIVED_FROM_SIGN","OK","INVALID - SIGNED basis needs DERIVED_FROM_SIGN"),IF(OR($F162="INCREASE",$F162="DECREASE",$F162="—"),"OK","INVALID - static direction required")))</f>
        <v>OK</v>
      </c>
      <c r="O162" s="9" t="s">
        <v>675</v>
      </c>
    </row>
    <row r="163" ht="15.75" customHeight="1">
      <c r="A163" s="9" t="s">
        <v>533</v>
      </c>
      <c r="B163" s="9" t="s">
        <v>672</v>
      </c>
      <c r="C163" s="9" t="s">
        <v>1162</v>
      </c>
      <c r="D163" s="9">
        <v>2.0</v>
      </c>
      <c r="E163" s="10" t="s">
        <v>225</v>
      </c>
      <c r="F163" s="9" t="s">
        <v>512</v>
      </c>
      <c r="G163" s="16" t="str">
        <f t="array" ref="G163">IF(OR($F163="DERIVED_FROM_SIGN",$F163="MIRRORED"),"runtime",IFERROR(IF(INDEX(Balance_Taxonomy!$C$5:$C$400,MATCH($E163,Balance_Taxonomy!$B$5:$B$400,0))="Dr",IF($F163="INCREASE","Dr","Cr"),IF($F163="INCREASE","Cr","Dr")),"n/a"))</f>
        <v>Dr</v>
      </c>
      <c r="H163" s="9" t="s">
        <v>531</v>
      </c>
      <c r="I163" s="10" t="s">
        <v>1216</v>
      </c>
      <c r="J163" s="9" t="s">
        <v>135</v>
      </c>
      <c r="K163" s="16" t="str">
        <f>IF(OR($E163="—",LEFT($E163,1)="("),"n/a",IF(COUNTIF(Balance_Taxonomy!$B$5:$B$400,$E163)&gt;0,"OK","UNKNOWN TYPE"))</f>
        <v>OK</v>
      </c>
      <c r="L163" s="16" t="str">
        <f>IF(COUNTIF(Amount_Basis!$A$5:$A$100,$H163)&gt;0,"OK","UNKNOWN CODE")</f>
        <v>OK</v>
      </c>
      <c r="M163" s="16" t="str">
        <f t="shared" si="1"/>
        <v>OK</v>
      </c>
      <c r="N163" s="16" t="str">
        <f t="array" ref="N163">IF($J163="MIRROR",IF($F163="MIRRORED","OK","INVALID - MIRROR needs MIRRORED"),IF(IFERROR(INDEX(Amount_Basis!$D$5:$D$100,MATCH($H163,Amount_Basis!$A$5:$A$100,0)),"")="SIGNED",IF($F163="DERIVED_FROM_SIGN","OK","INVALID - SIGNED basis needs DERIVED_FROM_SIGN"),IF(OR($F163="INCREASE",$F163="DECREASE",$F163="—"),"OK","INVALID - static direction required")))</f>
        <v>OK</v>
      </c>
      <c r="O163" s="9" t="s">
        <v>675</v>
      </c>
    </row>
    <row r="164" ht="15.75" customHeight="1">
      <c r="A164" s="9" t="s">
        <v>533</v>
      </c>
      <c r="B164" s="9" t="s">
        <v>672</v>
      </c>
      <c r="C164" s="9" t="s">
        <v>1162</v>
      </c>
      <c r="D164" s="9">
        <v>2.0</v>
      </c>
      <c r="E164" s="10" t="s">
        <v>375</v>
      </c>
      <c r="F164" s="9" t="s">
        <v>512</v>
      </c>
      <c r="G164" s="16" t="str">
        <f t="array" ref="G164">IF(OR($F164="DERIVED_FROM_SIGN",$F164="MIRRORED"),"runtime",IFERROR(IF(INDEX(Balance_Taxonomy!$C$5:$C$400,MATCH($E164,Balance_Taxonomy!$B$5:$B$400,0))="Dr",IF($F164="INCREASE","Dr","Cr"),IF($F164="INCREASE","Cr","Dr")),"n/a"))</f>
        <v>Cr</v>
      </c>
      <c r="H164" s="9" t="s">
        <v>531</v>
      </c>
      <c r="I164" s="10" t="s">
        <v>1214</v>
      </c>
      <c r="J164" s="9" t="s">
        <v>135</v>
      </c>
      <c r="K164" s="16" t="str">
        <f>IF(OR($E164="—",LEFT($E164,1)="("),"n/a",IF(COUNTIF(Balance_Taxonomy!$B$5:$B$400,$E164)&gt;0,"OK","UNKNOWN TYPE"))</f>
        <v>OK</v>
      </c>
      <c r="L164" s="16" t="str">
        <f>IF(COUNTIF(Amount_Basis!$A$5:$A$100,$H164)&gt;0,"OK","UNKNOWN CODE")</f>
        <v>OK</v>
      </c>
      <c r="M164" s="16" t="str">
        <f t="shared" si="1"/>
        <v>OK</v>
      </c>
      <c r="N164" s="16" t="str">
        <f t="array" ref="N164">IF($J164="MIRROR",IF($F164="MIRRORED","OK","INVALID - MIRROR needs MIRRORED"),IF(IFERROR(INDEX(Amount_Basis!$D$5:$D$100,MATCH($H164,Amount_Basis!$A$5:$A$100,0)),"")="SIGNED",IF($F164="DERIVED_FROM_SIGN","OK","INVALID - SIGNED basis needs DERIVED_FROM_SIGN"),IF(OR($F164="INCREASE",$F164="DECREASE",$F164="—"),"OK","INVALID - static direction required")))</f>
        <v>OK</v>
      </c>
      <c r="O164" s="9" t="s">
        <v>675</v>
      </c>
    </row>
    <row r="165" ht="15.75" customHeight="1">
      <c r="A165" s="9" t="s">
        <v>533</v>
      </c>
      <c r="B165" s="9" t="s">
        <v>672</v>
      </c>
      <c r="C165" s="9" t="s">
        <v>1168</v>
      </c>
      <c r="D165" s="9">
        <v>3.0</v>
      </c>
      <c r="E165" s="10" t="s">
        <v>363</v>
      </c>
      <c r="F165" s="9" t="s">
        <v>671</v>
      </c>
      <c r="G165" s="16" t="str">
        <f t="array" ref="G165">IF(OR($F165="DERIVED_FROM_SIGN",$F165="MIRRORED"),"runtime",IFERROR(IF(INDEX(Balance_Taxonomy!$C$5:$C$400,MATCH($E165,Balance_Taxonomy!$B$5:$B$400,0))="Dr",IF($F165="INCREASE","Dr","Cr"),IF($F165="INCREASE","Cr","Dr")),"n/a"))</f>
        <v>Dr</v>
      </c>
      <c r="H165" s="9" t="s">
        <v>623</v>
      </c>
      <c r="I165" s="10" t="s">
        <v>1169</v>
      </c>
      <c r="J165" s="9" t="s">
        <v>135</v>
      </c>
      <c r="K165" s="16" t="str">
        <f>IF(OR($E165="—",LEFT($E165,1)="("),"n/a",IF(COUNTIF(Balance_Taxonomy!$B$5:$B$400,$E165)&gt;0,"OK","UNKNOWN TYPE"))</f>
        <v>OK</v>
      </c>
      <c r="L165" s="16" t="str">
        <f>IF(COUNTIF(Amount_Basis!$A$5:$A$100,$H165)&gt;0,"OK","UNKNOWN CODE")</f>
        <v>OK</v>
      </c>
      <c r="M165" s="16" t="str">
        <f t="shared" si="1"/>
        <v>OK</v>
      </c>
      <c r="N165" s="16" t="str">
        <f t="array" ref="N165">IF($J165="MIRROR",IF($F165="MIRRORED","OK","INVALID - MIRROR needs MIRRORED"),IF(IFERROR(INDEX(Amount_Basis!$D$5:$D$100,MATCH($H165,Amount_Basis!$A$5:$A$100,0)),"")="SIGNED",IF($F165="DERIVED_FROM_SIGN","OK","INVALID - SIGNED basis needs DERIVED_FROM_SIGN"),IF(OR($F165="INCREASE",$F165="DECREASE",$F165="—"),"OK","INVALID - static direction required")))</f>
        <v>OK</v>
      </c>
      <c r="O165" s="9" t="s">
        <v>675</v>
      </c>
    </row>
    <row r="166" ht="15.75" customHeight="1">
      <c r="A166" s="9" t="s">
        <v>533</v>
      </c>
      <c r="B166" s="9" t="s">
        <v>672</v>
      </c>
      <c r="C166" s="9" t="s">
        <v>1168</v>
      </c>
      <c r="D166" s="9">
        <v>3.0</v>
      </c>
      <c r="E166" s="10" t="s">
        <v>398</v>
      </c>
      <c r="F166" s="9" t="s">
        <v>671</v>
      </c>
      <c r="G166" s="16" t="str">
        <f t="array" ref="G166">IF(OR($F166="DERIVED_FROM_SIGN",$F166="MIRRORED"),"runtime",IFERROR(IF(INDEX(Balance_Taxonomy!$C$5:$C$400,MATCH($E166,Balance_Taxonomy!$B$5:$B$400,0))="Dr",IF($F166="INCREASE","Dr","Cr"),IF($F166="INCREASE","Cr","Dr")),"n/a"))</f>
        <v>Cr</v>
      </c>
      <c r="H166" s="9" t="s">
        <v>623</v>
      </c>
      <c r="I166" s="10" t="s">
        <v>1169</v>
      </c>
      <c r="J166" s="9" t="s">
        <v>135</v>
      </c>
      <c r="K166" s="16" t="str">
        <f>IF(OR($E166="—",LEFT($E166,1)="("),"n/a",IF(COUNTIF(Balance_Taxonomy!$B$5:$B$400,$E166)&gt;0,"OK","UNKNOWN TYPE"))</f>
        <v>OK</v>
      </c>
      <c r="L166" s="16" t="str">
        <f>IF(COUNTIF(Amount_Basis!$A$5:$A$100,$H166)&gt;0,"OK","UNKNOWN CODE")</f>
        <v>OK</v>
      </c>
      <c r="M166" s="16" t="str">
        <f t="shared" si="1"/>
        <v>OK</v>
      </c>
      <c r="N166" s="16" t="str">
        <f t="array" ref="N166">IF($J166="MIRROR",IF($F166="MIRRORED","OK","INVALID - MIRROR needs MIRRORED"),IF(IFERROR(INDEX(Amount_Basis!$D$5:$D$100,MATCH($H166,Amount_Basis!$A$5:$A$100,0)),"")="SIGNED",IF($F166="DERIVED_FROM_SIGN","OK","INVALID - SIGNED basis needs DERIVED_FROM_SIGN"),IF(OR($F166="INCREASE",$F166="DECREASE",$F166="—"),"OK","INVALID - static direction required")))</f>
        <v>OK</v>
      </c>
      <c r="O166" s="9" t="s">
        <v>675</v>
      </c>
    </row>
    <row r="167" ht="15.75" customHeight="1">
      <c r="A167" s="12" t="s">
        <v>533</v>
      </c>
      <c r="B167" s="12" t="s">
        <v>677</v>
      </c>
      <c r="C167" s="12" t="s">
        <v>964</v>
      </c>
      <c r="D167" s="12">
        <v>1.0</v>
      </c>
      <c r="E167" s="13" t="s">
        <v>75</v>
      </c>
      <c r="F167" s="12" t="s">
        <v>671</v>
      </c>
      <c r="G167" s="20" t="str">
        <f t="array" ref="G167">IF(OR($F167="DERIVED_FROM_SIGN",$F167="MIRRORED"),"runtime",IFERROR(IF(INDEX(Balance_Taxonomy!$C$5:$C$400,MATCH($E167,Balance_Taxonomy!$B$5:$B$400,0))="Dr",IF($F167="INCREASE","Dr","Cr"),IF($F167="INCREASE","Cr","Dr")),"n/a"))</f>
        <v>Dr</v>
      </c>
      <c r="H167" s="12" t="s">
        <v>531</v>
      </c>
      <c r="I167" s="13" t="s">
        <v>1214</v>
      </c>
      <c r="J167" s="12" t="s">
        <v>135</v>
      </c>
      <c r="K167" s="20" t="str">
        <f>IF(OR($E167="—",LEFT($E167,1)="("),"n/a",IF(COUNTIF(Balance_Taxonomy!$B$5:$B$400,$E167)&gt;0,"OK","UNKNOWN TYPE"))</f>
        <v>OK</v>
      </c>
      <c r="L167" s="20" t="str">
        <f>IF(COUNTIF(Amount_Basis!$A$5:$A$100,$H167)&gt;0,"OK","UNKNOWN CODE")</f>
        <v>OK</v>
      </c>
      <c r="M167" s="20" t="str">
        <f t="shared" si="1"/>
        <v>OK</v>
      </c>
      <c r="N167" s="20" t="str">
        <f t="array" ref="N167">IF($J167="MIRROR",IF($F167="MIRRORED","OK","INVALID - MIRROR needs MIRRORED"),IF(IFERROR(INDEX(Amount_Basis!$D$5:$D$100,MATCH($H167,Amount_Basis!$A$5:$A$100,0)),"")="SIGNED",IF($F167="DERIVED_FROM_SIGN","OK","INVALID - SIGNED basis needs DERIVED_FROM_SIGN"),IF(OR($F167="INCREASE",$F167="DECREASE",$F167="—"),"OK","INVALID - static direction required")))</f>
        <v>OK</v>
      </c>
      <c r="O167" s="12" t="s">
        <v>680</v>
      </c>
    </row>
    <row r="168" ht="15.75" customHeight="1">
      <c r="A168" s="12" t="s">
        <v>533</v>
      </c>
      <c r="B168" s="12" t="s">
        <v>677</v>
      </c>
      <c r="C168" s="12" t="s">
        <v>964</v>
      </c>
      <c r="D168" s="12">
        <v>1.0</v>
      </c>
      <c r="E168" s="13" t="s">
        <v>65</v>
      </c>
      <c r="F168" s="12" t="s">
        <v>671</v>
      </c>
      <c r="G168" s="20" t="str">
        <f t="array" ref="G168">IF(OR($F168="DERIVED_FROM_SIGN",$F168="MIRRORED"),"runtime",IFERROR(IF(INDEX(Balance_Taxonomy!$C$5:$C$400,MATCH($E168,Balance_Taxonomy!$B$5:$B$400,0))="Dr",IF($F168="INCREASE","Dr","Cr"),IF($F168="INCREASE","Cr","Dr")),"n/a"))</f>
        <v>Cr</v>
      </c>
      <c r="H168" s="12" t="s">
        <v>531</v>
      </c>
      <c r="I168" s="13" t="s">
        <v>1214</v>
      </c>
      <c r="J168" s="12" t="s">
        <v>135</v>
      </c>
      <c r="K168" s="20" t="str">
        <f>IF(OR($E168="—",LEFT($E168,1)="("),"n/a",IF(COUNTIF(Balance_Taxonomy!$B$5:$B$400,$E168)&gt;0,"OK","UNKNOWN TYPE"))</f>
        <v>OK</v>
      </c>
      <c r="L168" s="20" t="str">
        <f>IF(COUNTIF(Amount_Basis!$A$5:$A$100,$H168)&gt;0,"OK","UNKNOWN CODE")</f>
        <v>OK</v>
      </c>
      <c r="M168" s="20" t="str">
        <f t="shared" si="1"/>
        <v>OK</v>
      </c>
      <c r="N168" s="20" t="str">
        <f t="array" ref="N168">IF($J168="MIRROR",IF($F168="MIRRORED","OK","INVALID - MIRROR needs MIRRORED"),IF(IFERROR(INDEX(Amount_Basis!$D$5:$D$100,MATCH($H168,Amount_Basis!$A$5:$A$100,0)),"")="SIGNED",IF($F168="DERIVED_FROM_SIGN","OK","INVALID - SIGNED basis needs DERIVED_FROM_SIGN"),IF(OR($F168="INCREASE",$F168="DECREASE",$F168="—"),"OK","INVALID - static direction required")))</f>
        <v>OK</v>
      </c>
      <c r="O168" s="12" t="s">
        <v>680</v>
      </c>
    </row>
    <row r="169" ht="15.75" customHeight="1">
      <c r="A169" s="12" t="s">
        <v>533</v>
      </c>
      <c r="B169" s="12" t="s">
        <v>677</v>
      </c>
      <c r="C169" s="12" t="s">
        <v>1162</v>
      </c>
      <c r="D169" s="12">
        <v>2.0</v>
      </c>
      <c r="E169" s="13" t="s">
        <v>225</v>
      </c>
      <c r="F169" s="12" t="s">
        <v>512</v>
      </c>
      <c r="G169" s="20" t="str">
        <f t="array" ref="G169">IF(OR($F169="DERIVED_FROM_SIGN",$F169="MIRRORED"),"runtime",IFERROR(IF(INDEX(Balance_Taxonomy!$C$5:$C$400,MATCH($E169,Balance_Taxonomy!$B$5:$B$400,0))="Dr",IF($F169="INCREASE","Dr","Cr"),IF($F169="INCREASE","Cr","Dr")),"n/a"))</f>
        <v>Dr</v>
      </c>
      <c r="H169" s="12" t="s">
        <v>531</v>
      </c>
      <c r="I169" s="13" t="s">
        <v>1216</v>
      </c>
      <c r="J169" s="12" t="s">
        <v>135</v>
      </c>
      <c r="K169" s="20" t="str">
        <f>IF(OR($E169="—",LEFT($E169,1)="("),"n/a",IF(COUNTIF(Balance_Taxonomy!$B$5:$B$400,$E169)&gt;0,"OK","UNKNOWN TYPE"))</f>
        <v>OK</v>
      </c>
      <c r="L169" s="20" t="str">
        <f>IF(COUNTIF(Amount_Basis!$A$5:$A$100,$H169)&gt;0,"OK","UNKNOWN CODE")</f>
        <v>OK</v>
      </c>
      <c r="M169" s="20" t="str">
        <f t="shared" si="1"/>
        <v>OK</v>
      </c>
      <c r="N169" s="20" t="str">
        <f t="array" ref="N169">IF($J169="MIRROR",IF($F169="MIRRORED","OK","INVALID - MIRROR needs MIRRORED"),IF(IFERROR(INDEX(Amount_Basis!$D$5:$D$100,MATCH($H169,Amount_Basis!$A$5:$A$100,0)),"")="SIGNED",IF($F169="DERIVED_FROM_SIGN","OK","INVALID - SIGNED basis needs DERIVED_FROM_SIGN"),IF(OR($F169="INCREASE",$F169="DECREASE",$F169="—"),"OK","INVALID - static direction required")))</f>
        <v>OK</v>
      </c>
      <c r="O169" s="12" t="s">
        <v>680</v>
      </c>
    </row>
    <row r="170" ht="15.75" customHeight="1">
      <c r="A170" s="12" t="s">
        <v>533</v>
      </c>
      <c r="B170" s="12" t="s">
        <v>677</v>
      </c>
      <c r="C170" s="12" t="s">
        <v>1162</v>
      </c>
      <c r="D170" s="12">
        <v>2.0</v>
      </c>
      <c r="E170" s="13" t="s">
        <v>375</v>
      </c>
      <c r="F170" s="12" t="s">
        <v>512</v>
      </c>
      <c r="G170" s="20" t="str">
        <f t="array" ref="G170">IF(OR($F170="DERIVED_FROM_SIGN",$F170="MIRRORED"),"runtime",IFERROR(IF(INDEX(Balance_Taxonomy!$C$5:$C$400,MATCH($E170,Balance_Taxonomy!$B$5:$B$400,0))="Dr",IF($F170="INCREASE","Dr","Cr"),IF($F170="INCREASE","Cr","Dr")),"n/a"))</f>
        <v>Cr</v>
      </c>
      <c r="H170" s="12" t="s">
        <v>531</v>
      </c>
      <c r="I170" s="13" t="s">
        <v>1214</v>
      </c>
      <c r="J170" s="12" t="s">
        <v>135</v>
      </c>
      <c r="K170" s="20" t="str">
        <f>IF(OR($E170="—",LEFT($E170,1)="("),"n/a",IF(COUNTIF(Balance_Taxonomy!$B$5:$B$400,$E170)&gt;0,"OK","UNKNOWN TYPE"))</f>
        <v>OK</v>
      </c>
      <c r="L170" s="20" t="str">
        <f>IF(COUNTIF(Amount_Basis!$A$5:$A$100,$H170)&gt;0,"OK","UNKNOWN CODE")</f>
        <v>OK</v>
      </c>
      <c r="M170" s="20" t="str">
        <f t="shared" si="1"/>
        <v>OK</v>
      </c>
      <c r="N170" s="20" t="str">
        <f t="array" ref="N170">IF($J170="MIRROR",IF($F170="MIRRORED","OK","INVALID - MIRROR needs MIRRORED"),IF(IFERROR(INDEX(Amount_Basis!$D$5:$D$100,MATCH($H170,Amount_Basis!$A$5:$A$100,0)),"")="SIGNED",IF($F170="DERIVED_FROM_SIGN","OK","INVALID - SIGNED basis needs DERIVED_FROM_SIGN"),IF(OR($F170="INCREASE",$F170="DECREASE",$F170="—"),"OK","INVALID - static direction required")))</f>
        <v>OK</v>
      </c>
      <c r="O170" s="12" t="s">
        <v>680</v>
      </c>
    </row>
    <row r="171" ht="15.75" customHeight="1">
      <c r="A171" s="12" t="s">
        <v>533</v>
      </c>
      <c r="B171" s="12" t="s">
        <v>677</v>
      </c>
      <c r="C171" s="12" t="s">
        <v>1168</v>
      </c>
      <c r="D171" s="12">
        <v>3.0</v>
      </c>
      <c r="E171" s="13" t="s">
        <v>363</v>
      </c>
      <c r="F171" s="12" t="s">
        <v>671</v>
      </c>
      <c r="G171" s="20" t="str">
        <f t="array" ref="G171">IF(OR($F171="DERIVED_FROM_SIGN",$F171="MIRRORED"),"runtime",IFERROR(IF(INDEX(Balance_Taxonomy!$C$5:$C$400,MATCH($E171,Balance_Taxonomy!$B$5:$B$400,0))="Dr",IF($F171="INCREASE","Dr","Cr"),IF($F171="INCREASE","Cr","Dr")),"n/a"))</f>
        <v>Dr</v>
      </c>
      <c r="H171" s="12" t="s">
        <v>623</v>
      </c>
      <c r="I171" s="13" t="s">
        <v>1169</v>
      </c>
      <c r="J171" s="12" t="s">
        <v>135</v>
      </c>
      <c r="K171" s="20" t="str">
        <f>IF(OR($E171="—",LEFT($E171,1)="("),"n/a",IF(COUNTIF(Balance_Taxonomy!$B$5:$B$400,$E171)&gt;0,"OK","UNKNOWN TYPE"))</f>
        <v>OK</v>
      </c>
      <c r="L171" s="20" t="str">
        <f>IF(COUNTIF(Amount_Basis!$A$5:$A$100,$H171)&gt;0,"OK","UNKNOWN CODE")</f>
        <v>OK</v>
      </c>
      <c r="M171" s="20" t="str">
        <f t="shared" si="1"/>
        <v>OK</v>
      </c>
      <c r="N171" s="20" t="str">
        <f t="array" ref="N171">IF($J171="MIRROR",IF($F171="MIRRORED","OK","INVALID - MIRROR needs MIRRORED"),IF(IFERROR(INDEX(Amount_Basis!$D$5:$D$100,MATCH($H171,Amount_Basis!$A$5:$A$100,0)),"")="SIGNED",IF($F171="DERIVED_FROM_SIGN","OK","INVALID - SIGNED basis needs DERIVED_FROM_SIGN"),IF(OR($F171="INCREASE",$F171="DECREASE",$F171="—"),"OK","INVALID - static direction required")))</f>
        <v>OK</v>
      </c>
      <c r="O171" s="12" t="s">
        <v>680</v>
      </c>
    </row>
    <row r="172" ht="15.75" customHeight="1">
      <c r="A172" s="12" t="s">
        <v>533</v>
      </c>
      <c r="B172" s="12" t="s">
        <v>677</v>
      </c>
      <c r="C172" s="12" t="s">
        <v>1168</v>
      </c>
      <c r="D172" s="12">
        <v>3.0</v>
      </c>
      <c r="E172" s="13" t="s">
        <v>398</v>
      </c>
      <c r="F172" s="12" t="s">
        <v>671</v>
      </c>
      <c r="G172" s="20" t="str">
        <f t="array" ref="G172">IF(OR($F172="DERIVED_FROM_SIGN",$F172="MIRRORED"),"runtime",IFERROR(IF(INDEX(Balance_Taxonomy!$C$5:$C$400,MATCH($E172,Balance_Taxonomy!$B$5:$B$400,0))="Dr",IF($F172="INCREASE","Dr","Cr"),IF($F172="INCREASE","Cr","Dr")),"n/a"))</f>
        <v>Cr</v>
      </c>
      <c r="H172" s="12" t="s">
        <v>623</v>
      </c>
      <c r="I172" s="13" t="s">
        <v>1169</v>
      </c>
      <c r="J172" s="12" t="s">
        <v>135</v>
      </c>
      <c r="K172" s="20" t="str">
        <f>IF(OR($E172="—",LEFT($E172,1)="("),"n/a",IF(COUNTIF(Balance_Taxonomy!$B$5:$B$400,$E172)&gt;0,"OK","UNKNOWN TYPE"))</f>
        <v>OK</v>
      </c>
      <c r="L172" s="20" t="str">
        <f>IF(COUNTIF(Amount_Basis!$A$5:$A$100,$H172)&gt;0,"OK","UNKNOWN CODE")</f>
        <v>OK</v>
      </c>
      <c r="M172" s="20" t="str">
        <f t="shared" si="1"/>
        <v>OK</v>
      </c>
      <c r="N172" s="20" t="str">
        <f t="array" ref="N172">IF($J172="MIRROR",IF($F172="MIRRORED","OK","INVALID - MIRROR needs MIRRORED"),IF(IFERROR(INDEX(Amount_Basis!$D$5:$D$100,MATCH($H172,Amount_Basis!$A$5:$A$100,0)),"")="SIGNED",IF($F172="DERIVED_FROM_SIGN","OK","INVALID - SIGNED basis needs DERIVED_FROM_SIGN"),IF(OR($F172="INCREASE",$F172="DECREASE",$F172="—"),"OK","INVALID - static direction required")))</f>
        <v>OK</v>
      </c>
      <c r="O172" s="12" t="s">
        <v>680</v>
      </c>
    </row>
    <row r="173" ht="15.75" customHeight="1">
      <c r="A173" s="9" t="s">
        <v>533</v>
      </c>
      <c r="B173" s="9" t="s">
        <v>684</v>
      </c>
      <c r="C173" s="9" t="s">
        <v>1217</v>
      </c>
      <c r="D173" s="9">
        <v>1.0</v>
      </c>
      <c r="E173" s="10" t="s">
        <v>254</v>
      </c>
      <c r="F173" s="9" t="s">
        <v>512</v>
      </c>
      <c r="G173" s="16" t="str">
        <f t="array" ref="G173">IF(OR($F173="DERIVED_FROM_SIGN",$F173="MIRRORED"),"runtime",IFERROR(IF(INDEX(Balance_Taxonomy!$C$5:$C$400,MATCH($E173,Balance_Taxonomy!$B$5:$B$400,0))="Dr",IF($F173="INCREASE","Dr","Cr"),IF($F173="INCREASE","Cr","Dr")),"n/a"))</f>
        <v>Dr</v>
      </c>
      <c r="H173" s="9" t="s">
        <v>531</v>
      </c>
      <c r="I173" s="10" t="s">
        <v>1215</v>
      </c>
      <c r="J173" s="9" t="s">
        <v>135</v>
      </c>
      <c r="K173" s="16" t="str">
        <f>IF(OR($E173="—",LEFT($E173,1)="("),"n/a",IF(COUNTIF(Balance_Taxonomy!$B$5:$B$400,$E173)&gt;0,"OK","UNKNOWN TYPE"))</f>
        <v>OK</v>
      </c>
      <c r="L173" s="16" t="str">
        <f>IF(COUNTIF(Amount_Basis!$A$5:$A$100,$H173)&gt;0,"OK","UNKNOWN CODE")</f>
        <v>OK</v>
      </c>
      <c r="M173" s="16" t="str">
        <f t="shared" si="1"/>
        <v>OK</v>
      </c>
      <c r="N173" s="16" t="str">
        <f t="array" ref="N173">IF($J173="MIRROR",IF($F173="MIRRORED","OK","INVALID - MIRROR needs MIRRORED"),IF(IFERROR(INDEX(Amount_Basis!$D$5:$D$100,MATCH($H173,Amount_Basis!$A$5:$A$100,0)),"")="SIGNED",IF($F173="DERIVED_FROM_SIGN","OK","INVALID - SIGNED basis needs DERIVED_FROM_SIGN"),IF(OR($F173="INCREASE",$F173="DECREASE",$F173="—"),"OK","INVALID - static direction required")))</f>
        <v>OK</v>
      </c>
      <c r="O173" s="9" t="s">
        <v>688</v>
      </c>
    </row>
    <row r="174" ht="15.75" customHeight="1">
      <c r="A174" s="9" t="s">
        <v>533</v>
      </c>
      <c r="B174" s="9" t="s">
        <v>684</v>
      </c>
      <c r="C174" s="9" t="s">
        <v>1217</v>
      </c>
      <c r="D174" s="9">
        <v>1.0</v>
      </c>
      <c r="E174" s="10" t="s">
        <v>312</v>
      </c>
      <c r="F174" s="9" t="s">
        <v>512</v>
      </c>
      <c r="G174" s="16" t="str">
        <f t="array" ref="G174">IF(OR($F174="DERIVED_FROM_SIGN",$F174="MIRRORED"),"runtime",IFERROR(IF(INDEX(Balance_Taxonomy!$C$5:$C$400,MATCH($E174,Balance_Taxonomy!$B$5:$B$400,0))="Dr",IF($F174="INCREASE","Dr","Cr"),IF($F174="INCREASE","Cr","Dr")),"n/a"))</f>
        <v>Cr</v>
      </c>
      <c r="H174" s="9" t="s">
        <v>628</v>
      </c>
      <c r="I174" s="10" t="s">
        <v>1183</v>
      </c>
      <c r="J174" s="9" t="s">
        <v>135</v>
      </c>
      <c r="K174" s="16" t="str">
        <f>IF(OR($E174="—",LEFT($E174,1)="("),"n/a",IF(COUNTIF(Balance_Taxonomy!$B$5:$B$400,$E174)&gt;0,"OK","UNKNOWN TYPE"))</f>
        <v>OK</v>
      </c>
      <c r="L174" s="16" t="str">
        <f>IF(COUNTIF(Amount_Basis!$A$5:$A$100,$H174)&gt;0,"OK","UNKNOWN CODE")</f>
        <v>OK</v>
      </c>
      <c r="M174" s="16" t="str">
        <f t="shared" si="1"/>
        <v>OK</v>
      </c>
      <c r="N174" s="16" t="str">
        <f t="array" ref="N174">IF($J174="MIRROR",IF($F174="MIRRORED","OK","INVALID - MIRROR needs MIRRORED"),IF(IFERROR(INDEX(Amount_Basis!$D$5:$D$100,MATCH($H174,Amount_Basis!$A$5:$A$100,0)),"")="SIGNED",IF($F174="DERIVED_FROM_SIGN","OK","INVALID - SIGNED basis needs DERIVED_FROM_SIGN"),IF(OR($F174="INCREASE",$F174="DECREASE",$F174="—"),"OK","INVALID - static direction required")))</f>
        <v>OK</v>
      </c>
      <c r="O174" s="9" t="s">
        <v>688</v>
      </c>
    </row>
    <row r="175" ht="15.75" customHeight="1">
      <c r="A175" s="9" t="s">
        <v>533</v>
      </c>
      <c r="B175" s="9" t="s">
        <v>684</v>
      </c>
      <c r="C175" s="9" t="s">
        <v>1217</v>
      </c>
      <c r="D175" s="9">
        <v>1.0</v>
      </c>
      <c r="E175" s="10" t="s">
        <v>375</v>
      </c>
      <c r="F175" s="9" t="s">
        <v>512</v>
      </c>
      <c r="G175" s="16" t="str">
        <f t="array" ref="G175">IF(OR($F175="DERIVED_FROM_SIGN",$F175="MIRRORED"),"runtime",IFERROR(IF(INDEX(Balance_Taxonomy!$C$5:$C$400,MATCH($E175,Balance_Taxonomy!$B$5:$B$400,0))="Dr",IF($F175="INCREASE","Dr","Cr"),IF($F175="INCREASE","Cr","Dr")),"n/a"))</f>
        <v>Cr</v>
      </c>
      <c r="H175" s="9" t="s">
        <v>631</v>
      </c>
      <c r="I175" s="10" t="s">
        <v>1218</v>
      </c>
      <c r="J175" s="9" t="s">
        <v>135</v>
      </c>
      <c r="K175" s="16" t="str">
        <f>IF(OR($E175="—",LEFT($E175,1)="("),"n/a",IF(COUNTIF(Balance_Taxonomy!$B$5:$B$400,$E175)&gt;0,"OK","UNKNOWN TYPE"))</f>
        <v>OK</v>
      </c>
      <c r="L175" s="16" t="str">
        <f>IF(COUNTIF(Amount_Basis!$A$5:$A$100,$H175)&gt;0,"OK","UNKNOWN CODE")</f>
        <v>OK</v>
      </c>
      <c r="M175" s="16" t="str">
        <f t="shared" si="1"/>
        <v>OK</v>
      </c>
      <c r="N175" s="16" t="str">
        <f t="array" ref="N175">IF($J175="MIRROR",IF($F175="MIRRORED","OK","INVALID - MIRROR needs MIRRORED"),IF(IFERROR(INDEX(Amount_Basis!$D$5:$D$100,MATCH($H175,Amount_Basis!$A$5:$A$100,0)),"")="SIGNED",IF($F175="DERIVED_FROM_SIGN","OK","INVALID - SIGNED basis needs DERIVED_FROM_SIGN"),IF(OR($F175="INCREASE",$F175="DECREASE",$F175="—"),"OK","INVALID - static direction required")))</f>
        <v>OK</v>
      </c>
      <c r="O175" s="9" t="s">
        <v>688</v>
      </c>
    </row>
    <row r="176" ht="15.75" customHeight="1">
      <c r="A176" s="12" t="s">
        <v>533</v>
      </c>
      <c r="B176" s="12" t="s">
        <v>690</v>
      </c>
      <c r="C176" s="12" t="s">
        <v>1219</v>
      </c>
      <c r="D176" s="12">
        <v>1.0</v>
      </c>
      <c r="E176" s="13" t="s">
        <v>372</v>
      </c>
      <c r="F176" s="12" t="s">
        <v>671</v>
      </c>
      <c r="G176" s="20" t="str">
        <f t="array" ref="G176">IF(OR($F176="DERIVED_FROM_SIGN",$F176="MIRRORED"),"runtime",IFERROR(IF(INDEX(Balance_Taxonomy!$C$5:$C$400,MATCH($E176,Balance_Taxonomy!$B$5:$B$400,0))="Dr",IF($F176="INCREASE","Dr","Cr"),IF($F176="INCREASE","Cr","Dr")),"n/a"))</f>
        <v>Dr</v>
      </c>
      <c r="H176" s="12" t="s">
        <v>572</v>
      </c>
      <c r="I176" s="13" t="s">
        <v>1220</v>
      </c>
      <c r="J176" s="12" t="s">
        <v>135</v>
      </c>
      <c r="K176" s="20" t="str">
        <f>IF(OR($E176="—",LEFT($E176,1)="("),"n/a",IF(COUNTIF(Balance_Taxonomy!$B$5:$B$400,$E176)&gt;0,"OK","UNKNOWN TYPE"))</f>
        <v>OK</v>
      </c>
      <c r="L176" s="20" t="str">
        <f>IF(COUNTIF(Amount_Basis!$A$5:$A$100,$H176)&gt;0,"OK","UNKNOWN CODE")</f>
        <v>OK</v>
      </c>
      <c r="M176" s="20" t="str">
        <f t="shared" si="1"/>
        <v>OK</v>
      </c>
      <c r="N176" s="20" t="str">
        <f t="array" ref="N176">IF($J176="MIRROR",IF($F176="MIRRORED","OK","INVALID - MIRROR needs MIRRORED"),IF(IFERROR(INDEX(Amount_Basis!$D$5:$D$100,MATCH($H176,Amount_Basis!$A$5:$A$100,0)),"")="SIGNED",IF($F176="DERIVED_FROM_SIGN","OK","INVALID - SIGNED basis needs DERIVED_FROM_SIGN"),IF(OR($F176="INCREASE",$F176="DECREASE",$F176="—"),"OK","INVALID - static direction required")))</f>
        <v>OK</v>
      </c>
      <c r="O176" s="12" t="s">
        <v>688</v>
      </c>
    </row>
    <row r="177" ht="15.75" customHeight="1">
      <c r="A177" s="12" t="s">
        <v>533</v>
      </c>
      <c r="B177" s="12" t="s">
        <v>690</v>
      </c>
      <c r="C177" s="12" t="s">
        <v>1219</v>
      </c>
      <c r="D177" s="12">
        <v>1.0</v>
      </c>
      <c r="E177" s="13" t="s">
        <v>254</v>
      </c>
      <c r="F177" s="12" t="s">
        <v>671</v>
      </c>
      <c r="G177" s="20" t="str">
        <f t="array" ref="G177">IF(OR($F177="DERIVED_FROM_SIGN",$F177="MIRRORED"),"runtime",IFERROR(IF(INDEX(Balance_Taxonomy!$C$5:$C$400,MATCH($E177,Balance_Taxonomy!$B$5:$B$400,0))="Dr",IF($F177="INCREASE","Dr","Cr"),IF($F177="INCREASE","Cr","Dr")),"n/a"))</f>
        <v>Cr</v>
      </c>
      <c r="H177" s="12" t="s">
        <v>572</v>
      </c>
      <c r="I177" s="13" t="s">
        <v>1221</v>
      </c>
      <c r="J177" s="12" t="s">
        <v>135</v>
      </c>
      <c r="K177" s="20" t="str">
        <f>IF(OR($E177="—",LEFT($E177,1)="("),"n/a",IF(COUNTIF(Balance_Taxonomy!$B$5:$B$400,$E177)&gt;0,"OK","UNKNOWN TYPE"))</f>
        <v>OK</v>
      </c>
      <c r="L177" s="20" t="str">
        <f>IF(COUNTIF(Amount_Basis!$A$5:$A$100,$H177)&gt;0,"OK","UNKNOWN CODE")</f>
        <v>OK</v>
      </c>
      <c r="M177" s="20" t="str">
        <f t="shared" si="1"/>
        <v>OK</v>
      </c>
      <c r="N177" s="20" t="str">
        <f t="array" ref="N177">IF($J177="MIRROR",IF($F177="MIRRORED","OK","INVALID - MIRROR needs MIRRORED"),IF(IFERROR(INDEX(Amount_Basis!$D$5:$D$100,MATCH($H177,Amount_Basis!$A$5:$A$100,0)),"")="SIGNED",IF($F177="DERIVED_FROM_SIGN","OK","INVALID - SIGNED basis needs DERIVED_FROM_SIGN"),IF(OR($F177="INCREASE",$F177="DECREASE",$F177="—"),"OK","INVALID - static direction required")))</f>
        <v>OK</v>
      </c>
      <c r="O177" s="12" t="s">
        <v>688</v>
      </c>
    </row>
    <row r="178" ht="15.75" customHeight="1">
      <c r="A178" s="9" t="s">
        <v>533</v>
      </c>
      <c r="B178" s="9" t="s">
        <v>693</v>
      </c>
      <c r="C178" s="9" t="s">
        <v>964</v>
      </c>
      <c r="D178" s="9">
        <v>1.0</v>
      </c>
      <c r="E178" s="10" t="s">
        <v>75</v>
      </c>
      <c r="F178" s="9" t="s">
        <v>671</v>
      </c>
      <c r="G178" s="16" t="str">
        <f t="array" ref="G178">IF(OR($F178="DERIVED_FROM_SIGN",$F178="MIRRORED"),"runtime",IFERROR(IF(INDEX(Balance_Taxonomy!$C$5:$C$400,MATCH($E178,Balance_Taxonomy!$B$5:$B$400,0))="Dr",IF($F178="INCREASE","Dr","Cr"),IF($F178="INCREASE","Cr","Dr")),"n/a"))</f>
        <v>Dr</v>
      </c>
      <c r="H178" s="9" t="s">
        <v>531</v>
      </c>
      <c r="I178" s="10" t="s">
        <v>1214</v>
      </c>
      <c r="J178" s="9" t="s">
        <v>135</v>
      </c>
      <c r="K178" s="16" t="str">
        <f>IF(OR($E178="—",LEFT($E178,1)="("),"n/a",IF(COUNTIF(Balance_Taxonomy!$B$5:$B$400,$E178)&gt;0,"OK","UNKNOWN TYPE"))</f>
        <v>OK</v>
      </c>
      <c r="L178" s="16" t="str">
        <f>IF(COUNTIF(Amount_Basis!$A$5:$A$100,$H178)&gt;0,"OK","UNKNOWN CODE")</f>
        <v>OK</v>
      </c>
      <c r="M178" s="16" t="str">
        <f t="shared" si="1"/>
        <v>OK</v>
      </c>
      <c r="N178" s="16" t="str">
        <f t="array" ref="N178">IF($J178="MIRROR",IF($F178="MIRRORED","OK","INVALID - MIRROR needs MIRRORED"),IF(IFERROR(INDEX(Amount_Basis!$D$5:$D$100,MATCH($H178,Amount_Basis!$A$5:$A$100,0)),"")="SIGNED",IF($F178="DERIVED_FROM_SIGN","OK","INVALID - SIGNED basis needs DERIVED_FROM_SIGN"),IF(OR($F178="INCREASE",$F178="DECREASE",$F178="—"),"OK","INVALID - static direction required")))</f>
        <v>OK</v>
      </c>
      <c r="O178" s="9" t="s">
        <v>696</v>
      </c>
    </row>
    <row r="179" ht="15.75" customHeight="1">
      <c r="A179" s="9" t="s">
        <v>533</v>
      </c>
      <c r="B179" s="9" t="s">
        <v>693</v>
      </c>
      <c r="C179" s="9" t="s">
        <v>964</v>
      </c>
      <c r="D179" s="9">
        <v>1.0</v>
      </c>
      <c r="E179" s="10" t="s">
        <v>65</v>
      </c>
      <c r="F179" s="9" t="s">
        <v>671</v>
      </c>
      <c r="G179" s="16" t="str">
        <f t="array" ref="G179">IF(OR($F179="DERIVED_FROM_SIGN",$F179="MIRRORED"),"runtime",IFERROR(IF(INDEX(Balance_Taxonomy!$C$5:$C$400,MATCH($E179,Balance_Taxonomy!$B$5:$B$400,0))="Dr",IF($F179="INCREASE","Dr","Cr"),IF($F179="INCREASE","Cr","Dr")),"n/a"))</f>
        <v>Cr</v>
      </c>
      <c r="H179" s="9" t="s">
        <v>531</v>
      </c>
      <c r="I179" s="10" t="s">
        <v>1214</v>
      </c>
      <c r="J179" s="9" t="s">
        <v>135</v>
      </c>
      <c r="K179" s="16" t="str">
        <f>IF(OR($E179="—",LEFT($E179,1)="("),"n/a",IF(COUNTIF(Balance_Taxonomy!$B$5:$B$400,$E179)&gt;0,"OK","UNKNOWN TYPE"))</f>
        <v>OK</v>
      </c>
      <c r="L179" s="16" t="str">
        <f>IF(COUNTIF(Amount_Basis!$A$5:$A$100,$H179)&gt;0,"OK","UNKNOWN CODE")</f>
        <v>OK</v>
      </c>
      <c r="M179" s="16" t="str">
        <f t="shared" si="1"/>
        <v>OK</v>
      </c>
      <c r="N179" s="16" t="str">
        <f t="array" ref="N179">IF($J179="MIRROR",IF($F179="MIRRORED","OK","INVALID - MIRROR needs MIRRORED"),IF(IFERROR(INDEX(Amount_Basis!$D$5:$D$100,MATCH($H179,Amount_Basis!$A$5:$A$100,0)),"")="SIGNED",IF($F179="DERIVED_FROM_SIGN","OK","INVALID - SIGNED basis needs DERIVED_FROM_SIGN"),IF(OR($F179="INCREASE",$F179="DECREASE",$F179="—"),"OK","INVALID - static direction required")))</f>
        <v>OK</v>
      </c>
      <c r="O179" s="9" t="s">
        <v>696</v>
      </c>
    </row>
    <row r="180" ht="15.75" customHeight="1">
      <c r="A180" s="9" t="s">
        <v>533</v>
      </c>
      <c r="B180" s="9" t="s">
        <v>693</v>
      </c>
      <c r="C180" s="9" t="s">
        <v>1173</v>
      </c>
      <c r="D180" s="9">
        <v>2.0</v>
      </c>
      <c r="E180" s="10" t="s">
        <v>150</v>
      </c>
      <c r="F180" s="9" t="s">
        <v>512</v>
      </c>
      <c r="G180" s="16" t="str">
        <f t="array" ref="G180">IF(OR($F180="DERIVED_FROM_SIGN",$F180="MIRRORED"),"runtime",IFERROR(IF(INDEX(Balance_Taxonomy!$C$5:$C$400,MATCH($E180,Balance_Taxonomy!$B$5:$B$400,0))="Dr",IF($F180="INCREASE","Dr","Cr"),IF($F180="INCREASE","Cr","Dr")),"n/a"))</f>
        <v>Dr</v>
      </c>
      <c r="H180" s="9" t="s">
        <v>531</v>
      </c>
      <c r="I180" s="10" t="s">
        <v>1214</v>
      </c>
      <c r="J180" s="9" t="s">
        <v>135</v>
      </c>
      <c r="K180" s="16" t="str">
        <f>IF(OR($E180="—",LEFT($E180,1)="("),"n/a",IF(COUNTIF(Balance_Taxonomy!$B$5:$B$400,$E180)&gt;0,"OK","UNKNOWN TYPE"))</f>
        <v>OK</v>
      </c>
      <c r="L180" s="16" t="str">
        <f>IF(COUNTIF(Amount_Basis!$A$5:$A$100,$H180)&gt;0,"OK","UNKNOWN CODE")</f>
        <v>OK</v>
      </c>
      <c r="M180" s="16" t="str">
        <f t="shared" si="1"/>
        <v>OK</v>
      </c>
      <c r="N180" s="16" t="str">
        <f t="array" ref="N180">IF($J180="MIRROR",IF($F180="MIRRORED","OK","INVALID - MIRROR needs MIRRORED"),IF(IFERROR(INDEX(Amount_Basis!$D$5:$D$100,MATCH($H180,Amount_Basis!$A$5:$A$100,0)),"")="SIGNED",IF($F180="DERIVED_FROM_SIGN","OK","INVALID - SIGNED basis needs DERIVED_FROM_SIGN"),IF(OR($F180="INCREASE",$F180="DECREASE",$F180="—"),"OK","INVALID - static direction required")))</f>
        <v>OK</v>
      </c>
      <c r="O180" s="9" t="s">
        <v>696</v>
      </c>
    </row>
    <row r="181" ht="15.75" customHeight="1">
      <c r="A181" s="9" t="s">
        <v>533</v>
      </c>
      <c r="B181" s="9" t="s">
        <v>693</v>
      </c>
      <c r="C181" s="9" t="s">
        <v>1173</v>
      </c>
      <c r="D181" s="9">
        <v>2.0</v>
      </c>
      <c r="E181" s="10" t="s">
        <v>333</v>
      </c>
      <c r="F181" s="9" t="s">
        <v>512</v>
      </c>
      <c r="G181" s="16" t="str">
        <f t="array" ref="G181">IF(OR($F181="DERIVED_FROM_SIGN",$F181="MIRRORED"),"runtime",IFERROR(IF(INDEX(Balance_Taxonomy!$C$5:$C$400,MATCH($E181,Balance_Taxonomy!$B$5:$B$400,0))="Dr",IF($F181="INCREASE","Dr","Cr"),IF($F181="INCREASE","Cr","Dr")),"n/a"))</f>
        <v>Cr</v>
      </c>
      <c r="H181" s="9" t="s">
        <v>531</v>
      </c>
      <c r="I181" s="10" t="s">
        <v>1214</v>
      </c>
      <c r="J181" s="9" t="s">
        <v>135</v>
      </c>
      <c r="K181" s="16" t="str">
        <f>IF(OR($E181="—",LEFT($E181,1)="("),"n/a",IF(COUNTIF(Balance_Taxonomy!$B$5:$B$400,$E181)&gt;0,"OK","UNKNOWN TYPE"))</f>
        <v>OK</v>
      </c>
      <c r="L181" s="16" t="str">
        <f>IF(COUNTIF(Amount_Basis!$A$5:$A$100,$H181)&gt;0,"OK","UNKNOWN CODE")</f>
        <v>OK</v>
      </c>
      <c r="M181" s="16" t="str">
        <f t="shared" si="1"/>
        <v>OK</v>
      </c>
      <c r="N181" s="16" t="str">
        <f t="array" ref="N181">IF($J181="MIRROR",IF($F181="MIRRORED","OK","INVALID - MIRROR needs MIRRORED"),IF(IFERROR(INDEX(Amount_Basis!$D$5:$D$100,MATCH($H181,Amount_Basis!$A$5:$A$100,0)),"")="SIGNED",IF($F181="DERIVED_FROM_SIGN","OK","INVALID - SIGNED basis needs DERIVED_FROM_SIGN"),IF(OR($F181="INCREASE",$F181="DECREASE",$F181="—"),"OK","INVALID - static direction required")))</f>
        <v>OK</v>
      </c>
      <c r="O181" s="9" t="s">
        <v>696</v>
      </c>
    </row>
    <row r="182" ht="15.75" customHeight="1">
      <c r="A182" s="9" t="s">
        <v>533</v>
      </c>
      <c r="B182" s="9" t="s">
        <v>693</v>
      </c>
      <c r="C182" s="9" t="s">
        <v>1174</v>
      </c>
      <c r="D182" s="9">
        <v>3.0</v>
      </c>
      <c r="E182" s="10" t="s">
        <v>415</v>
      </c>
      <c r="F182" s="9" t="s">
        <v>512</v>
      </c>
      <c r="G182" s="16" t="str">
        <f t="array" ref="G182">IF(OR($F182="DERIVED_FROM_SIGN",$F182="MIRRORED"),"runtime",IFERROR(IF(INDEX(Balance_Taxonomy!$C$5:$C$400,MATCH($E182,Balance_Taxonomy!$B$5:$B$400,0))="Dr",IF($F182="INCREASE","Dr","Cr"),IF($F182="INCREASE","Cr","Dr")),"n/a"))</f>
        <v>Dr</v>
      </c>
      <c r="H182" s="9" t="s">
        <v>531</v>
      </c>
      <c r="I182" s="10" t="s">
        <v>1214</v>
      </c>
      <c r="J182" s="9" t="s">
        <v>135</v>
      </c>
      <c r="K182" s="16" t="str">
        <f>IF(OR($E182="—",LEFT($E182,1)="("),"n/a",IF(COUNTIF(Balance_Taxonomy!$B$5:$B$400,$E182)&gt;0,"OK","UNKNOWN TYPE"))</f>
        <v>OK</v>
      </c>
      <c r="L182" s="16" t="str">
        <f>IF(COUNTIF(Amount_Basis!$A$5:$A$100,$H182)&gt;0,"OK","UNKNOWN CODE")</f>
        <v>OK</v>
      </c>
      <c r="M182" s="16" t="str">
        <f t="shared" si="1"/>
        <v>OK</v>
      </c>
      <c r="N182" s="16" t="str">
        <f t="array" ref="N182">IF($J182="MIRROR",IF($F182="MIRRORED","OK","INVALID - MIRROR needs MIRRORED"),IF(IFERROR(INDEX(Amount_Basis!$D$5:$D$100,MATCH($H182,Amount_Basis!$A$5:$A$100,0)),"")="SIGNED",IF($F182="DERIVED_FROM_SIGN","OK","INVALID - SIGNED basis needs DERIVED_FROM_SIGN"),IF(OR($F182="INCREASE",$F182="DECREASE",$F182="—"),"OK","INVALID - static direction required")))</f>
        <v>OK</v>
      </c>
      <c r="O182" s="9" t="s">
        <v>696</v>
      </c>
    </row>
    <row r="183" ht="15.75" customHeight="1">
      <c r="A183" s="9" t="s">
        <v>533</v>
      </c>
      <c r="B183" s="9" t="s">
        <v>693</v>
      </c>
      <c r="C183" s="9" t="s">
        <v>1174</v>
      </c>
      <c r="D183" s="9">
        <v>3.0</v>
      </c>
      <c r="E183" s="10" t="s">
        <v>421</v>
      </c>
      <c r="F183" s="9" t="s">
        <v>512</v>
      </c>
      <c r="G183" s="16" t="str">
        <f t="array" ref="G183">IF(OR($F183="DERIVED_FROM_SIGN",$F183="MIRRORED"),"runtime",IFERROR(IF(INDEX(Balance_Taxonomy!$C$5:$C$400,MATCH($E183,Balance_Taxonomy!$B$5:$B$400,0))="Dr",IF($F183="INCREASE","Dr","Cr"),IF($F183="INCREASE","Cr","Dr")),"n/a"))</f>
        <v>Cr</v>
      </c>
      <c r="H183" s="9" t="s">
        <v>531</v>
      </c>
      <c r="I183" s="10" t="s">
        <v>1214</v>
      </c>
      <c r="J183" s="9" t="s">
        <v>135</v>
      </c>
      <c r="K183" s="16" t="str">
        <f>IF(OR($E183="—",LEFT($E183,1)="("),"n/a",IF(COUNTIF(Balance_Taxonomy!$B$5:$B$400,$E183)&gt;0,"OK","UNKNOWN TYPE"))</f>
        <v>OK</v>
      </c>
      <c r="L183" s="16" t="str">
        <f>IF(COUNTIF(Amount_Basis!$A$5:$A$100,$H183)&gt;0,"OK","UNKNOWN CODE")</f>
        <v>OK</v>
      </c>
      <c r="M183" s="16" t="str">
        <f t="shared" si="1"/>
        <v>OK</v>
      </c>
      <c r="N183" s="16" t="str">
        <f t="array" ref="N183">IF($J183="MIRROR",IF($F183="MIRRORED","OK","INVALID - MIRROR needs MIRRORED"),IF(IFERROR(INDEX(Amount_Basis!$D$5:$D$100,MATCH($H183,Amount_Basis!$A$5:$A$100,0)),"")="SIGNED",IF($F183="DERIVED_FROM_SIGN","OK","INVALID - SIGNED basis needs DERIVED_FROM_SIGN"),IF(OR($F183="INCREASE",$F183="DECREASE",$F183="—"),"OK","INVALID - static direction required")))</f>
        <v>OK</v>
      </c>
      <c r="O183" s="9" t="s">
        <v>696</v>
      </c>
    </row>
    <row r="184" ht="15.75" customHeight="1">
      <c r="A184" s="12" t="s">
        <v>533</v>
      </c>
      <c r="B184" s="12" t="s">
        <v>698</v>
      </c>
      <c r="C184" s="12" t="s">
        <v>1222</v>
      </c>
      <c r="D184" s="12">
        <v>1.0</v>
      </c>
      <c r="E184" s="13" t="s">
        <v>333</v>
      </c>
      <c r="F184" s="12" t="s">
        <v>671</v>
      </c>
      <c r="G184" s="20" t="str">
        <f t="array" ref="G184">IF(OR($F184="DERIVED_FROM_SIGN",$F184="MIRRORED"),"runtime",IFERROR(IF(INDEX(Balance_Taxonomy!$C$5:$C$400,MATCH($E184,Balance_Taxonomy!$B$5:$B$400,0))="Dr",IF($F184="INCREASE","Dr","Cr"),IF($F184="INCREASE","Cr","Dr")),"n/a"))</f>
        <v>Dr</v>
      </c>
      <c r="H184" s="12" t="s">
        <v>549</v>
      </c>
      <c r="I184" s="13" t="s">
        <v>1177</v>
      </c>
      <c r="J184" s="12" t="s">
        <v>135</v>
      </c>
      <c r="K184" s="20" t="str">
        <f>IF(OR($E184="—",LEFT($E184,1)="("),"n/a",IF(COUNTIF(Balance_Taxonomy!$B$5:$B$400,$E184)&gt;0,"OK","UNKNOWN TYPE"))</f>
        <v>OK</v>
      </c>
      <c r="L184" s="20" t="str">
        <f>IF(COUNTIF(Amount_Basis!$A$5:$A$100,$H184)&gt;0,"OK","UNKNOWN CODE")</f>
        <v>OK</v>
      </c>
      <c r="M184" s="20" t="str">
        <f t="shared" si="1"/>
        <v>OK</v>
      </c>
      <c r="N184" s="20" t="str">
        <f t="array" ref="N184">IF($J184="MIRROR",IF($F184="MIRRORED","OK","INVALID - MIRROR needs MIRRORED"),IF(IFERROR(INDEX(Amount_Basis!$D$5:$D$100,MATCH($H184,Amount_Basis!$A$5:$A$100,0)),"")="SIGNED",IF($F184="DERIVED_FROM_SIGN","OK","INVALID - SIGNED basis needs DERIVED_FROM_SIGN"),IF(OR($F184="INCREASE",$F184="DECREASE",$F184="—"),"OK","INVALID - static direction required")))</f>
        <v>OK</v>
      </c>
      <c r="O184" s="12" t="s">
        <v>696</v>
      </c>
    </row>
    <row r="185" ht="15.75" customHeight="1">
      <c r="A185" s="12" t="s">
        <v>533</v>
      </c>
      <c r="B185" s="12" t="s">
        <v>698</v>
      </c>
      <c r="C185" s="12" t="s">
        <v>1222</v>
      </c>
      <c r="D185" s="12">
        <v>1.0</v>
      </c>
      <c r="E185" s="13" t="s">
        <v>312</v>
      </c>
      <c r="F185" s="12" t="s">
        <v>512</v>
      </c>
      <c r="G185" s="20" t="str">
        <f t="array" ref="G185">IF(OR($F185="DERIVED_FROM_SIGN",$F185="MIRRORED"),"runtime",IFERROR(IF(INDEX(Balance_Taxonomy!$C$5:$C$400,MATCH($E185,Balance_Taxonomy!$B$5:$B$400,0))="Dr",IF($F185="INCREASE","Dr","Cr"),IF($F185="INCREASE","Cr","Dr")),"n/a"))</f>
        <v>Cr</v>
      </c>
      <c r="H185" s="12" t="s">
        <v>628</v>
      </c>
      <c r="I185" s="13" t="s">
        <v>1183</v>
      </c>
      <c r="J185" s="12" t="s">
        <v>135</v>
      </c>
      <c r="K185" s="20" t="str">
        <f>IF(OR($E185="—",LEFT($E185,1)="("),"n/a",IF(COUNTIF(Balance_Taxonomy!$B$5:$B$400,$E185)&gt;0,"OK","UNKNOWN TYPE"))</f>
        <v>OK</v>
      </c>
      <c r="L185" s="20" t="str">
        <f>IF(COUNTIF(Amount_Basis!$A$5:$A$100,$H185)&gt;0,"OK","UNKNOWN CODE")</f>
        <v>OK</v>
      </c>
      <c r="M185" s="20" t="str">
        <f t="shared" si="1"/>
        <v>OK</v>
      </c>
      <c r="N185" s="20" t="str">
        <f t="array" ref="N185">IF($J185="MIRROR",IF($F185="MIRRORED","OK","INVALID - MIRROR needs MIRRORED"),IF(IFERROR(INDEX(Amount_Basis!$D$5:$D$100,MATCH($H185,Amount_Basis!$A$5:$A$100,0)),"")="SIGNED",IF($F185="DERIVED_FROM_SIGN","OK","INVALID - SIGNED basis needs DERIVED_FROM_SIGN"),IF(OR($F185="INCREASE",$F185="DECREASE",$F185="—"),"OK","INVALID - static direction required")))</f>
        <v>OK</v>
      </c>
      <c r="O185" s="12" t="s">
        <v>696</v>
      </c>
    </row>
    <row r="186" ht="15.75" customHeight="1">
      <c r="A186" s="12" t="s">
        <v>533</v>
      </c>
      <c r="B186" s="12" t="s">
        <v>698</v>
      </c>
      <c r="C186" s="12" t="s">
        <v>1222</v>
      </c>
      <c r="D186" s="12">
        <v>1.0</v>
      </c>
      <c r="E186" s="13" t="s">
        <v>375</v>
      </c>
      <c r="F186" s="12" t="s">
        <v>512</v>
      </c>
      <c r="G186" s="20" t="str">
        <f t="array" ref="G186">IF(OR($F186="DERIVED_FROM_SIGN",$F186="MIRRORED"),"runtime",IFERROR(IF(INDEX(Balance_Taxonomy!$C$5:$C$400,MATCH($E186,Balance_Taxonomy!$B$5:$B$400,0))="Dr",IF($F186="INCREASE","Dr","Cr"),IF($F186="INCREASE","Cr","Dr")),"n/a"))</f>
        <v>Cr</v>
      </c>
      <c r="H186" s="12" t="s">
        <v>631</v>
      </c>
      <c r="I186" s="13" t="s">
        <v>1184</v>
      </c>
      <c r="J186" s="12" t="s">
        <v>135</v>
      </c>
      <c r="K186" s="20" t="str">
        <f>IF(OR($E186="—",LEFT($E186,1)="("),"n/a",IF(COUNTIF(Balance_Taxonomy!$B$5:$B$400,$E186)&gt;0,"OK","UNKNOWN TYPE"))</f>
        <v>OK</v>
      </c>
      <c r="L186" s="20" t="str">
        <f>IF(COUNTIF(Amount_Basis!$A$5:$A$100,$H186)&gt;0,"OK","UNKNOWN CODE")</f>
        <v>OK</v>
      </c>
      <c r="M186" s="20" t="str">
        <f t="shared" si="1"/>
        <v>OK</v>
      </c>
      <c r="N186" s="20" t="str">
        <f t="array" ref="N186">IF($J186="MIRROR",IF($F186="MIRRORED","OK","INVALID - MIRROR needs MIRRORED"),IF(IFERROR(INDEX(Amount_Basis!$D$5:$D$100,MATCH($H186,Amount_Basis!$A$5:$A$100,0)),"")="SIGNED",IF($F186="DERIVED_FROM_SIGN","OK","INVALID - SIGNED basis needs DERIVED_FROM_SIGN"),IF(OR($F186="INCREASE",$F186="DECREASE",$F186="—"),"OK","INVALID - static direction required")))</f>
        <v>OK</v>
      </c>
      <c r="O186" s="12" t="s">
        <v>696</v>
      </c>
    </row>
    <row r="187" ht="15.75" customHeight="1">
      <c r="A187" s="12" t="s">
        <v>533</v>
      </c>
      <c r="B187" s="12" t="s">
        <v>698</v>
      </c>
      <c r="C187" s="12" t="s">
        <v>1223</v>
      </c>
      <c r="D187" s="12">
        <v>2.0</v>
      </c>
      <c r="E187" s="13" t="s">
        <v>241</v>
      </c>
      <c r="F187" s="12" t="s">
        <v>512</v>
      </c>
      <c r="G187" s="20" t="str">
        <f t="array" ref="G187">IF(OR($F187="DERIVED_FROM_SIGN",$F187="MIRRORED"),"runtime",IFERROR(IF(INDEX(Balance_Taxonomy!$C$5:$C$400,MATCH($E187,Balance_Taxonomy!$B$5:$B$400,0))="Dr",IF($F187="INCREASE","Dr","Cr"),IF($F187="INCREASE","Cr","Dr")),"n/a"))</f>
        <v>Dr</v>
      </c>
      <c r="H187" s="12" t="s">
        <v>549</v>
      </c>
      <c r="I187" s="13" t="s">
        <v>1177</v>
      </c>
      <c r="J187" s="12" t="s">
        <v>135</v>
      </c>
      <c r="K187" s="20" t="str">
        <f>IF(OR($E187="—",LEFT($E187,1)="("),"n/a",IF(COUNTIF(Balance_Taxonomy!$B$5:$B$400,$E187)&gt;0,"OK","UNKNOWN TYPE"))</f>
        <v>OK</v>
      </c>
      <c r="L187" s="20" t="str">
        <f>IF(COUNTIF(Amount_Basis!$A$5:$A$100,$H187)&gt;0,"OK","UNKNOWN CODE")</f>
        <v>OK</v>
      </c>
      <c r="M187" s="20" t="str">
        <f t="shared" si="1"/>
        <v>OK</v>
      </c>
      <c r="N187" s="20" t="str">
        <f t="array" ref="N187">IF($J187="MIRROR",IF($F187="MIRRORED","OK","INVALID - MIRROR needs MIRRORED"),IF(IFERROR(INDEX(Amount_Basis!$D$5:$D$100,MATCH($H187,Amount_Basis!$A$5:$A$100,0)),"")="SIGNED",IF($F187="DERIVED_FROM_SIGN","OK","INVALID - SIGNED basis needs DERIVED_FROM_SIGN"),IF(OR($F187="INCREASE",$F187="DECREASE",$F187="—"),"OK","INVALID - static direction required")))</f>
        <v>OK</v>
      </c>
      <c r="O187" s="12" t="s">
        <v>696</v>
      </c>
    </row>
    <row r="188" ht="15.75" customHeight="1">
      <c r="A188" s="12" t="s">
        <v>533</v>
      </c>
      <c r="B188" s="12" t="s">
        <v>698</v>
      </c>
      <c r="C188" s="12" t="s">
        <v>1223</v>
      </c>
      <c r="D188" s="12">
        <v>2.0</v>
      </c>
      <c r="E188" s="13" t="s">
        <v>150</v>
      </c>
      <c r="F188" s="12" t="s">
        <v>671</v>
      </c>
      <c r="G188" s="20" t="str">
        <f t="array" ref="G188">IF(OR($F188="DERIVED_FROM_SIGN",$F188="MIRRORED"),"runtime",IFERROR(IF(INDEX(Balance_Taxonomy!$C$5:$C$400,MATCH($E188,Balance_Taxonomy!$B$5:$B$400,0))="Dr",IF($F188="INCREASE","Dr","Cr"),IF($F188="INCREASE","Cr","Dr")),"n/a"))</f>
        <v>Cr</v>
      </c>
      <c r="H188" s="12" t="s">
        <v>549</v>
      </c>
      <c r="I188" s="13" t="s">
        <v>1177</v>
      </c>
      <c r="J188" s="12" t="s">
        <v>135</v>
      </c>
      <c r="K188" s="20" t="str">
        <f>IF(OR($E188="—",LEFT($E188,1)="("),"n/a",IF(COUNTIF(Balance_Taxonomy!$B$5:$B$400,$E188)&gt;0,"OK","UNKNOWN TYPE"))</f>
        <v>OK</v>
      </c>
      <c r="L188" s="20" t="str">
        <f>IF(COUNTIF(Amount_Basis!$A$5:$A$100,$H188)&gt;0,"OK","UNKNOWN CODE")</f>
        <v>OK</v>
      </c>
      <c r="M188" s="20" t="str">
        <f t="shared" si="1"/>
        <v>OK</v>
      </c>
      <c r="N188" s="20" t="str">
        <f t="array" ref="N188">IF($J188="MIRROR",IF($F188="MIRRORED","OK","INVALID - MIRROR needs MIRRORED"),IF(IFERROR(INDEX(Amount_Basis!$D$5:$D$100,MATCH($H188,Amount_Basis!$A$5:$A$100,0)),"")="SIGNED",IF($F188="DERIVED_FROM_SIGN","OK","INVALID - SIGNED basis needs DERIVED_FROM_SIGN"),IF(OR($F188="INCREASE",$F188="DECREASE",$F188="—"),"OK","INVALID - static direction required")))</f>
        <v>OK</v>
      </c>
      <c r="O188" s="12" t="s">
        <v>696</v>
      </c>
    </row>
    <row r="189" ht="15.75" customHeight="1">
      <c r="A189" s="12" t="s">
        <v>533</v>
      </c>
      <c r="B189" s="12" t="s">
        <v>698</v>
      </c>
      <c r="C189" s="12" t="s">
        <v>1178</v>
      </c>
      <c r="D189" s="12">
        <v>3.0</v>
      </c>
      <c r="E189" s="13" t="s">
        <v>421</v>
      </c>
      <c r="F189" s="12" t="s">
        <v>671</v>
      </c>
      <c r="G189" s="20" t="str">
        <f t="array" ref="G189">IF(OR($F189="DERIVED_FROM_SIGN",$F189="MIRRORED"),"runtime",IFERROR(IF(INDEX(Balance_Taxonomy!$C$5:$C$400,MATCH($E189,Balance_Taxonomy!$B$5:$B$400,0))="Dr",IF($F189="INCREASE","Dr","Cr"),IF($F189="INCREASE","Cr","Dr")),"n/a"))</f>
        <v>Dr</v>
      </c>
      <c r="H189" s="12" t="s">
        <v>549</v>
      </c>
      <c r="I189" s="13" t="s">
        <v>1177</v>
      </c>
      <c r="J189" s="12" t="s">
        <v>135</v>
      </c>
      <c r="K189" s="20" t="str">
        <f>IF(OR($E189="—",LEFT($E189,1)="("),"n/a",IF(COUNTIF(Balance_Taxonomy!$B$5:$B$400,$E189)&gt;0,"OK","UNKNOWN TYPE"))</f>
        <v>OK</v>
      </c>
      <c r="L189" s="20" t="str">
        <f>IF(COUNTIF(Amount_Basis!$A$5:$A$100,$H189)&gt;0,"OK","UNKNOWN CODE")</f>
        <v>OK</v>
      </c>
      <c r="M189" s="20" t="str">
        <f t="shared" si="1"/>
        <v>OK</v>
      </c>
      <c r="N189" s="20" t="str">
        <f t="array" ref="N189">IF($J189="MIRROR",IF($F189="MIRRORED","OK","INVALID - MIRROR needs MIRRORED"),IF(IFERROR(INDEX(Amount_Basis!$D$5:$D$100,MATCH($H189,Amount_Basis!$A$5:$A$100,0)),"")="SIGNED",IF($F189="DERIVED_FROM_SIGN","OK","INVALID - SIGNED basis needs DERIVED_FROM_SIGN"),IF(OR($F189="INCREASE",$F189="DECREASE",$F189="—"),"OK","INVALID - static direction required")))</f>
        <v>OK</v>
      </c>
      <c r="O189" s="12" t="s">
        <v>696</v>
      </c>
    </row>
    <row r="190" ht="15.75" customHeight="1">
      <c r="A190" s="12" t="s">
        <v>533</v>
      </c>
      <c r="B190" s="12" t="s">
        <v>698</v>
      </c>
      <c r="C190" s="12" t="s">
        <v>1178</v>
      </c>
      <c r="D190" s="12">
        <v>3.0</v>
      </c>
      <c r="E190" s="13" t="s">
        <v>415</v>
      </c>
      <c r="F190" s="12" t="s">
        <v>671</v>
      </c>
      <c r="G190" s="20" t="str">
        <f t="array" ref="G190">IF(OR($F190="DERIVED_FROM_SIGN",$F190="MIRRORED"),"runtime",IFERROR(IF(INDEX(Balance_Taxonomy!$C$5:$C$400,MATCH($E190,Balance_Taxonomy!$B$5:$B$400,0))="Dr",IF($F190="INCREASE","Dr","Cr"),IF($F190="INCREASE","Cr","Dr")),"n/a"))</f>
        <v>Cr</v>
      </c>
      <c r="H190" s="12" t="s">
        <v>549</v>
      </c>
      <c r="I190" s="13" t="s">
        <v>1177</v>
      </c>
      <c r="J190" s="12" t="s">
        <v>135</v>
      </c>
      <c r="K190" s="20" t="str">
        <f>IF(OR($E190="—",LEFT($E190,1)="("),"n/a",IF(COUNTIF(Balance_Taxonomy!$B$5:$B$400,$E190)&gt;0,"OK","UNKNOWN TYPE"))</f>
        <v>OK</v>
      </c>
      <c r="L190" s="20" t="str">
        <f>IF(COUNTIF(Amount_Basis!$A$5:$A$100,$H190)&gt;0,"OK","UNKNOWN CODE")</f>
        <v>OK</v>
      </c>
      <c r="M190" s="20" t="str">
        <f t="shared" si="1"/>
        <v>OK</v>
      </c>
      <c r="N190" s="20" t="str">
        <f t="array" ref="N190">IF($J190="MIRROR",IF($F190="MIRRORED","OK","INVALID - MIRROR needs MIRRORED"),IF(IFERROR(INDEX(Amount_Basis!$D$5:$D$100,MATCH($H190,Amount_Basis!$A$5:$A$100,0)),"")="SIGNED",IF($F190="DERIVED_FROM_SIGN","OK","INVALID - SIGNED basis needs DERIVED_FROM_SIGN"),IF(OR($F190="INCREASE",$F190="DECREASE",$F190="—"),"OK","INVALID - static direction required")))</f>
        <v>OK</v>
      </c>
      <c r="O190" s="12" t="s">
        <v>696</v>
      </c>
    </row>
    <row r="191" ht="15.75" customHeight="1">
      <c r="A191" s="9" t="s">
        <v>533</v>
      </c>
      <c r="B191" s="9" t="s">
        <v>702</v>
      </c>
      <c r="C191" s="9" t="s">
        <v>1224</v>
      </c>
      <c r="D191" s="9">
        <v>1.0</v>
      </c>
      <c r="E191" s="10" t="s">
        <v>333</v>
      </c>
      <c r="F191" s="9" t="s">
        <v>671</v>
      </c>
      <c r="G191" s="16" t="str">
        <f t="array" ref="G191">IF(OR($F191="DERIVED_FROM_SIGN",$F191="MIRRORED"),"runtime",IFERROR(IF(INDEX(Balance_Taxonomy!$C$5:$C$400,MATCH($E191,Balance_Taxonomy!$B$5:$B$400,0))="Dr",IF($F191="INCREASE","Dr","Cr"),IF($F191="INCREASE","Cr","Dr")),"n/a"))</f>
        <v>Dr</v>
      </c>
      <c r="H191" s="9" t="s">
        <v>549</v>
      </c>
      <c r="I191" s="10" t="s">
        <v>1177</v>
      </c>
      <c r="J191" s="9" t="s">
        <v>135</v>
      </c>
      <c r="K191" s="16" t="str">
        <f>IF(OR($E191="—",LEFT($E191,1)="("),"n/a",IF(COUNTIF(Balance_Taxonomy!$B$5:$B$400,$E191)&gt;0,"OK","UNKNOWN TYPE"))</f>
        <v>OK</v>
      </c>
      <c r="L191" s="16" t="str">
        <f>IF(COUNTIF(Amount_Basis!$A$5:$A$100,$H191)&gt;0,"OK","UNKNOWN CODE")</f>
        <v>OK</v>
      </c>
      <c r="M191" s="16" t="str">
        <f t="shared" si="1"/>
        <v>OK</v>
      </c>
      <c r="N191" s="16" t="str">
        <f t="array" ref="N191">IF($J191="MIRROR",IF($F191="MIRRORED","OK","INVALID - MIRROR needs MIRRORED"),IF(IFERROR(INDEX(Amount_Basis!$D$5:$D$100,MATCH($H191,Amount_Basis!$A$5:$A$100,0)),"")="SIGNED",IF($F191="DERIVED_FROM_SIGN","OK","INVALID - SIGNED basis needs DERIVED_FROM_SIGN"),IF(OR($F191="INCREASE",$F191="DECREASE",$F191="—"),"OK","INVALID - static direction required")))</f>
        <v>OK</v>
      </c>
      <c r="O191" s="9" t="s">
        <v>696</v>
      </c>
    </row>
    <row r="192" ht="15.75" customHeight="1">
      <c r="A192" s="9" t="s">
        <v>533</v>
      </c>
      <c r="B192" s="9" t="s">
        <v>702</v>
      </c>
      <c r="C192" s="9" t="s">
        <v>1224</v>
      </c>
      <c r="D192" s="9">
        <v>1.0</v>
      </c>
      <c r="E192" s="10" t="s">
        <v>375</v>
      </c>
      <c r="F192" s="9" t="s">
        <v>512</v>
      </c>
      <c r="G192" s="16" t="str">
        <f t="array" ref="G192">IF(OR($F192="DERIVED_FROM_SIGN",$F192="MIRRORED"),"runtime",IFERROR(IF(INDEX(Balance_Taxonomy!$C$5:$C$400,MATCH($E192,Balance_Taxonomy!$B$5:$B$400,0))="Dr",IF($F192="INCREASE","Dr","Cr"),IF($F192="INCREASE","Cr","Dr")),"n/a"))</f>
        <v>Cr</v>
      </c>
      <c r="H192" s="9" t="s">
        <v>549</v>
      </c>
      <c r="I192" s="10" t="s">
        <v>1177</v>
      </c>
      <c r="J192" s="9" t="s">
        <v>135</v>
      </c>
      <c r="K192" s="16" t="str">
        <f>IF(OR($E192="—",LEFT($E192,1)="("),"n/a",IF(COUNTIF(Balance_Taxonomy!$B$5:$B$400,$E192)&gt;0,"OK","UNKNOWN TYPE"))</f>
        <v>OK</v>
      </c>
      <c r="L192" s="16" t="str">
        <f>IF(COUNTIF(Amount_Basis!$A$5:$A$100,$H192)&gt;0,"OK","UNKNOWN CODE")</f>
        <v>OK</v>
      </c>
      <c r="M192" s="16" t="str">
        <f t="shared" si="1"/>
        <v>OK</v>
      </c>
      <c r="N192" s="16" t="str">
        <f t="array" ref="N192">IF($J192="MIRROR",IF($F192="MIRRORED","OK","INVALID - MIRROR needs MIRRORED"),IF(IFERROR(INDEX(Amount_Basis!$D$5:$D$100,MATCH($H192,Amount_Basis!$A$5:$A$100,0)),"")="SIGNED",IF($F192="DERIVED_FROM_SIGN","OK","INVALID - SIGNED basis needs DERIVED_FROM_SIGN"),IF(OR($F192="INCREASE",$F192="DECREASE",$F192="—"),"OK","INVALID - static direction required")))</f>
        <v>OK</v>
      </c>
      <c r="O192" s="9" t="s">
        <v>696</v>
      </c>
    </row>
    <row r="193" ht="15.75" customHeight="1">
      <c r="A193" s="9" t="s">
        <v>533</v>
      </c>
      <c r="B193" s="9" t="s">
        <v>702</v>
      </c>
      <c r="C193" s="9" t="s">
        <v>1225</v>
      </c>
      <c r="D193" s="9">
        <v>2.0</v>
      </c>
      <c r="E193" s="10" t="s">
        <v>296</v>
      </c>
      <c r="F193" s="9" t="s">
        <v>512</v>
      </c>
      <c r="G193" s="16" t="str">
        <f t="array" ref="G193">IF(OR($F193="DERIVED_FROM_SIGN",$F193="MIRRORED"),"runtime",IFERROR(IF(INDEX(Balance_Taxonomy!$C$5:$C$400,MATCH($E193,Balance_Taxonomy!$B$5:$B$400,0))="Dr",IF($F193="INCREASE","Dr","Cr"),IF($F193="INCREASE","Cr","Dr")),"n/a"))</f>
        <v>Dr</v>
      </c>
      <c r="H193" s="9" t="s">
        <v>549</v>
      </c>
      <c r="I193" s="10" t="s">
        <v>1177</v>
      </c>
      <c r="J193" s="9" t="s">
        <v>135</v>
      </c>
      <c r="K193" s="16" t="str">
        <f>IF(OR($E193="—",LEFT($E193,1)="("),"n/a",IF(COUNTIF(Balance_Taxonomy!$B$5:$B$400,$E193)&gt;0,"OK","UNKNOWN TYPE"))</f>
        <v>OK</v>
      </c>
      <c r="L193" s="16" t="str">
        <f>IF(COUNTIF(Amount_Basis!$A$5:$A$100,$H193)&gt;0,"OK","UNKNOWN CODE")</f>
        <v>OK</v>
      </c>
      <c r="M193" s="16" t="str">
        <f t="shared" si="1"/>
        <v>OK</v>
      </c>
      <c r="N193" s="16" t="str">
        <f t="array" ref="N193">IF($J193="MIRROR",IF($F193="MIRRORED","OK","INVALID - MIRROR needs MIRRORED"),IF(IFERROR(INDEX(Amount_Basis!$D$5:$D$100,MATCH($H193,Amount_Basis!$A$5:$A$100,0)),"")="SIGNED",IF($F193="DERIVED_FROM_SIGN","OK","INVALID - SIGNED basis needs DERIVED_FROM_SIGN"),IF(OR($F193="INCREASE",$F193="DECREASE",$F193="—"),"OK","INVALID - static direction required")))</f>
        <v>OK</v>
      </c>
      <c r="O193" s="9" t="s">
        <v>696</v>
      </c>
    </row>
    <row r="194" ht="15.75" customHeight="1">
      <c r="A194" s="9" t="s">
        <v>533</v>
      </c>
      <c r="B194" s="9" t="s">
        <v>702</v>
      </c>
      <c r="C194" s="9" t="s">
        <v>1225</v>
      </c>
      <c r="D194" s="9">
        <v>2.0</v>
      </c>
      <c r="E194" s="10" t="s">
        <v>150</v>
      </c>
      <c r="F194" s="9" t="s">
        <v>671</v>
      </c>
      <c r="G194" s="16" t="str">
        <f t="array" ref="G194">IF(OR($F194="DERIVED_FROM_SIGN",$F194="MIRRORED"),"runtime",IFERROR(IF(INDEX(Balance_Taxonomy!$C$5:$C$400,MATCH($E194,Balance_Taxonomy!$B$5:$B$400,0))="Dr",IF($F194="INCREASE","Dr","Cr"),IF($F194="INCREASE","Cr","Dr")),"n/a"))</f>
        <v>Cr</v>
      </c>
      <c r="H194" s="9" t="s">
        <v>549</v>
      </c>
      <c r="I194" s="10" t="s">
        <v>1177</v>
      </c>
      <c r="J194" s="9" t="s">
        <v>135</v>
      </c>
      <c r="K194" s="16" t="str">
        <f>IF(OR($E194="—",LEFT($E194,1)="("),"n/a",IF(COUNTIF(Balance_Taxonomy!$B$5:$B$400,$E194)&gt;0,"OK","UNKNOWN TYPE"))</f>
        <v>OK</v>
      </c>
      <c r="L194" s="16" t="str">
        <f>IF(COUNTIF(Amount_Basis!$A$5:$A$100,$H194)&gt;0,"OK","UNKNOWN CODE")</f>
        <v>OK</v>
      </c>
      <c r="M194" s="16" t="str">
        <f t="shared" si="1"/>
        <v>OK</v>
      </c>
      <c r="N194" s="16" t="str">
        <f t="array" ref="N194">IF($J194="MIRROR",IF($F194="MIRRORED","OK","INVALID - MIRROR needs MIRRORED"),IF(IFERROR(INDEX(Amount_Basis!$D$5:$D$100,MATCH($H194,Amount_Basis!$A$5:$A$100,0)),"")="SIGNED",IF($F194="DERIVED_FROM_SIGN","OK","INVALID - SIGNED basis needs DERIVED_FROM_SIGN"),IF(OR($F194="INCREASE",$F194="DECREASE",$F194="—"),"OK","INVALID - static direction required")))</f>
        <v>OK</v>
      </c>
      <c r="O194" s="9" t="s">
        <v>696</v>
      </c>
    </row>
    <row r="195" ht="15.75" customHeight="1">
      <c r="A195" s="9" t="s">
        <v>533</v>
      </c>
      <c r="B195" s="9" t="s">
        <v>702</v>
      </c>
      <c r="C195" s="9" t="s">
        <v>1178</v>
      </c>
      <c r="D195" s="9">
        <v>3.0</v>
      </c>
      <c r="E195" s="10" t="s">
        <v>421</v>
      </c>
      <c r="F195" s="9" t="s">
        <v>671</v>
      </c>
      <c r="G195" s="16" t="str">
        <f t="array" ref="G195">IF(OR($F195="DERIVED_FROM_SIGN",$F195="MIRRORED"),"runtime",IFERROR(IF(INDEX(Balance_Taxonomy!$C$5:$C$400,MATCH($E195,Balance_Taxonomy!$B$5:$B$400,0))="Dr",IF($F195="INCREASE","Dr","Cr"),IF($F195="INCREASE","Cr","Dr")),"n/a"))</f>
        <v>Dr</v>
      </c>
      <c r="H195" s="9" t="s">
        <v>549</v>
      </c>
      <c r="I195" s="10" t="s">
        <v>1177</v>
      </c>
      <c r="J195" s="9" t="s">
        <v>135</v>
      </c>
      <c r="K195" s="16" t="str">
        <f>IF(OR($E195="—",LEFT($E195,1)="("),"n/a",IF(COUNTIF(Balance_Taxonomy!$B$5:$B$400,$E195)&gt;0,"OK","UNKNOWN TYPE"))</f>
        <v>OK</v>
      </c>
      <c r="L195" s="16" t="str">
        <f>IF(COUNTIF(Amount_Basis!$A$5:$A$100,$H195)&gt;0,"OK","UNKNOWN CODE")</f>
        <v>OK</v>
      </c>
      <c r="M195" s="16" t="str">
        <f t="shared" si="1"/>
        <v>OK</v>
      </c>
      <c r="N195" s="16" t="str">
        <f t="array" ref="N195">IF($J195="MIRROR",IF($F195="MIRRORED","OK","INVALID - MIRROR needs MIRRORED"),IF(IFERROR(INDEX(Amount_Basis!$D$5:$D$100,MATCH($H195,Amount_Basis!$A$5:$A$100,0)),"")="SIGNED",IF($F195="DERIVED_FROM_SIGN","OK","INVALID - SIGNED basis needs DERIVED_FROM_SIGN"),IF(OR($F195="INCREASE",$F195="DECREASE",$F195="—"),"OK","INVALID - static direction required")))</f>
        <v>OK</v>
      </c>
      <c r="O195" s="9" t="s">
        <v>696</v>
      </c>
    </row>
    <row r="196" ht="15.75" customHeight="1">
      <c r="A196" s="9" t="s">
        <v>533</v>
      </c>
      <c r="B196" s="9" t="s">
        <v>702</v>
      </c>
      <c r="C196" s="9" t="s">
        <v>1178</v>
      </c>
      <c r="D196" s="9">
        <v>3.0</v>
      </c>
      <c r="E196" s="10" t="s">
        <v>415</v>
      </c>
      <c r="F196" s="9" t="s">
        <v>671</v>
      </c>
      <c r="G196" s="16" t="str">
        <f t="array" ref="G196">IF(OR($F196="DERIVED_FROM_SIGN",$F196="MIRRORED"),"runtime",IFERROR(IF(INDEX(Balance_Taxonomy!$C$5:$C$400,MATCH($E196,Balance_Taxonomy!$B$5:$B$400,0))="Dr",IF($F196="INCREASE","Dr","Cr"),IF($F196="INCREASE","Cr","Dr")),"n/a"))</f>
        <v>Cr</v>
      </c>
      <c r="H196" s="9" t="s">
        <v>549</v>
      </c>
      <c r="I196" s="10" t="s">
        <v>1177</v>
      </c>
      <c r="J196" s="9" t="s">
        <v>135</v>
      </c>
      <c r="K196" s="16" t="str">
        <f>IF(OR($E196="—",LEFT($E196,1)="("),"n/a",IF(COUNTIF(Balance_Taxonomy!$B$5:$B$400,$E196)&gt;0,"OK","UNKNOWN TYPE"))</f>
        <v>OK</v>
      </c>
      <c r="L196" s="16" t="str">
        <f>IF(COUNTIF(Amount_Basis!$A$5:$A$100,$H196)&gt;0,"OK","UNKNOWN CODE")</f>
        <v>OK</v>
      </c>
      <c r="M196" s="16" t="str">
        <f t="shared" si="1"/>
        <v>OK</v>
      </c>
      <c r="N196" s="16" t="str">
        <f t="array" ref="N196">IF($J196="MIRROR",IF($F196="MIRRORED","OK","INVALID - MIRROR needs MIRRORED"),IF(IFERROR(INDEX(Amount_Basis!$D$5:$D$100,MATCH($H196,Amount_Basis!$A$5:$A$100,0)),"")="SIGNED",IF($F196="DERIVED_FROM_SIGN","OK","INVALID - SIGNED basis needs DERIVED_FROM_SIGN"),IF(OR($F196="INCREASE",$F196="DECREASE",$F196="—"),"OK","INVALID - static direction required")))</f>
        <v>OK</v>
      </c>
      <c r="O196" s="9" t="s">
        <v>696</v>
      </c>
    </row>
    <row r="197" ht="15.75" customHeight="1">
      <c r="A197" s="12" t="s">
        <v>533</v>
      </c>
      <c r="B197" s="12" t="s">
        <v>705</v>
      </c>
      <c r="C197" s="12" t="s">
        <v>1225</v>
      </c>
      <c r="D197" s="12">
        <v>1.0</v>
      </c>
      <c r="E197" s="13" t="s">
        <v>296</v>
      </c>
      <c r="F197" s="12" t="s">
        <v>512</v>
      </c>
      <c r="G197" s="20" t="str">
        <f t="array" ref="G197">IF(OR($F197="DERIVED_FROM_SIGN",$F197="MIRRORED"),"runtime",IFERROR(IF(INDEX(Balance_Taxonomy!$C$5:$C$400,MATCH($E197,Balance_Taxonomy!$B$5:$B$400,0))="Dr",IF($F197="INCREASE","Dr","Cr"),IF($F197="INCREASE","Cr","Dr")),"n/a"))</f>
        <v>Dr</v>
      </c>
      <c r="H197" s="12" t="s">
        <v>587</v>
      </c>
      <c r="I197" s="13" t="s">
        <v>1208</v>
      </c>
      <c r="J197" s="12" t="s">
        <v>135</v>
      </c>
      <c r="K197" s="20" t="str">
        <f>IF(OR($E197="—",LEFT($E197,1)="("),"n/a",IF(COUNTIF(Balance_Taxonomy!$B$5:$B$400,$E197)&gt;0,"OK","UNKNOWN TYPE"))</f>
        <v>OK</v>
      </c>
      <c r="L197" s="20" t="str">
        <f>IF(COUNTIF(Amount_Basis!$A$5:$A$100,$H197)&gt;0,"OK","UNKNOWN CODE")</f>
        <v>OK</v>
      </c>
      <c r="M197" s="20" t="str">
        <f t="shared" si="1"/>
        <v>OK</v>
      </c>
      <c r="N197" s="20" t="str">
        <f t="array" ref="N197">IF($J197="MIRROR",IF($F197="MIRRORED","OK","INVALID - MIRROR needs MIRRORED"),IF(IFERROR(INDEX(Amount_Basis!$D$5:$D$100,MATCH($H197,Amount_Basis!$A$5:$A$100,0)),"")="SIGNED",IF($F197="DERIVED_FROM_SIGN","OK","INVALID - SIGNED basis needs DERIVED_FROM_SIGN"),IF(OR($F197="INCREASE",$F197="DECREASE",$F197="—"),"OK","INVALID - static direction required")))</f>
        <v>OK</v>
      </c>
      <c r="O197" s="12" t="s">
        <v>675</v>
      </c>
    </row>
    <row r="198" ht="15.75" customHeight="1">
      <c r="A198" s="12" t="s">
        <v>533</v>
      </c>
      <c r="B198" s="12" t="s">
        <v>705</v>
      </c>
      <c r="C198" s="12" t="s">
        <v>1225</v>
      </c>
      <c r="D198" s="12">
        <v>1.0</v>
      </c>
      <c r="E198" s="13" t="s">
        <v>225</v>
      </c>
      <c r="F198" s="12" t="s">
        <v>671</v>
      </c>
      <c r="G198" s="20" t="str">
        <f t="array" ref="G198">IF(OR($F198="DERIVED_FROM_SIGN",$F198="MIRRORED"),"runtime",IFERROR(IF(INDEX(Balance_Taxonomy!$C$5:$C$400,MATCH($E198,Balance_Taxonomy!$B$5:$B$400,0))="Dr",IF($F198="INCREASE","Dr","Cr"),IF($F198="INCREASE","Cr","Dr")),"n/a"))</f>
        <v>Cr</v>
      </c>
      <c r="H198" s="12" t="s">
        <v>587</v>
      </c>
      <c r="I198" s="13" t="s">
        <v>1208</v>
      </c>
      <c r="J198" s="12" t="s">
        <v>135</v>
      </c>
      <c r="K198" s="20" t="str">
        <f>IF(OR($E198="—",LEFT($E198,1)="("),"n/a",IF(COUNTIF(Balance_Taxonomy!$B$5:$B$400,$E198)&gt;0,"OK","UNKNOWN TYPE"))</f>
        <v>OK</v>
      </c>
      <c r="L198" s="20" t="str">
        <f>IF(COUNTIF(Amount_Basis!$A$5:$A$100,$H198)&gt;0,"OK","UNKNOWN CODE")</f>
        <v>OK</v>
      </c>
      <c r="M198" s="20" t="str">
        <f t="shared" si="1"/>
        <v>OK</v>
      </c>
      <c r="N198" s="20" t="str">
        <f t="array" ref="N198">IF($J198="MIRROR",IF($F198="MIRRORED","OK","INVALID - MIRROR needs MIRRORED"),IF(IFERROR(INDEX(Amount_Basis!$D$5:$D$100,MATCH($H198,Amount_Basis!$A$5:$A$100,0)),"")="SIGNED",IF($F198="DERIVED_FROM_SIGN","OK","INVALID - SIGNED basis needs DERIVED_FROM_SIGN"),IF(OR($F198="INCREASE",$F198="DECREASE",$F198="—"),"OK","INVALID - static direction required")))</f>
        <v>OK</v>
      </c>
      <c r="O198" s="12" t="s">
        <v>675</v>
      </c>
    </row>
    <row r="199" ht="15.75" customHeight="1">
      <c r="A199" s="9" t="s">
        <v>533</v>
      </c>
      <c r="B199" s="9" t="s">
        <v>710</v>
      </c>
      <c r="C199" s="9" t="s">
        <v>964</v>
      </c>
      <c r="D199" s="9">
        <v>1.0</v>
      </c>
      <c r="E199" s="10" t="s">
        <v>75</v>
      </c>
      <c r="F199" s="9" t="s">
        <v>671</v>
      </c>
      <c r="G199" s="16" t="str">
        <f t="array" ref="G199">IF(OR($F199="DERIVED_FROM_SIGN",$F199="MIRRORED"),"runtime",IFERROR(IF(INDEX(Balance_Taxonomy!$C$5:$C$400,MATCH($E199,Balance_Taxonomy!$B$5:$B$400,0))="Dr",IF($F199="INCREASE","Dr","Cr"),IF($F199="INCREASE","Cr","Dr")),"n/a"))</f>
        <v>Dr</v>
      </c>
      <c r="H199" s="9" t="s">
        <v>572</v>
      </c>
      <c r="I199" s="10" t="s">
        <v>1193</v>
      </c>
      <c r="J199" s="9" t="s">
        <v>135</v>
      </c>
      <c r="K199" s="16" t="str">
        <f>IF(OR($E199="—",LEFT($E199,1)="("),"n/a",IF(COUNTIF(Balance_Taxonomy!$B$5:$B$400,$E199)&gt;0,"OK","UNKNOWN TYPE"))</f>
        <v>OK</v>
      </c>
      <c r="L199" s="16" t="str">
        <f>IF(COUNTIF(Amount_Basis!$A$5:$A$100,$H199)&gt;0,"OK","UNKNOWN CODE")</f>
        <v>OK</v>
      </c>
      <c r="M199" s="16" t="str">
        <f t="shared" si="1"/>
        <v>OK</v>
      </c>
      <c r="N199" s="16" t="str">
        <f t="array" ref="N199">IF($J199="MIRROR",IF($F199="MIRRORED","OK","INVALID - MIRROR needs MIRRORED"),IF(IFERROR(INDEX(Amount_Basis!$D$5:$D$100,MATCH($H199,Amount_Basis!$A$5:$A$100,0)),"")="SIGNED",IF($F199="DERIVED_FROM_SIGN","OK","INVALID - SIGNED basis needs DERIVED_FROM_SIGN"),IF(OR($F199="INCREASE",$F199="DECREASE",$F199="—"),"OK","INVALID - static direction required")))</f>
        <v>OK</v>
      </c>
      <c r="O199" s="9" t="s">
        <v>713</v>
      </c>
    </row>
    <row r="200" ht="15.75" customHeight="1">
      <c r="A200" s="9" t="s">
        <v>533</v>
      </c>
      <c r="B200" s="9" t="s">
        <v>710</v>
      </c>
      <c r="C200" s="9" t="s">
        <v>964</v>
      </c>
      <c r="D200" s="9">
        <v>1.0</v>
      </c>
      <c r="E200" s="10" t="s">
        <v>65</v>
      </c>
      <c r="F200" s="9" t="s">
        <v>671</v>
      </c>
      <c r="G200" s="16" t="str">
        <f t="array" ref="G200">IF(OR($F200="DERIVED_FROM_SIGN",$F200="MIRRORED"),"runtime",IFERROR(IF(INDEX(Balance_Taxonomy!$C$5:$C$400,MATCH($E200,Balance_Taxonomy!$B$5:$B$400,0))="Dr",IF($F200="INCREASE","Dr","Cr"),IF($F200="INCREASE","Cr","Dr")),"n/a"))</f>
        <v>Cr</v>
      </c>
      <c r="H200" s="9" t="s">
        <v>572</v>
      </c>
      <c r="I200" s="10" t="s">
        <v>1193</v>
      </c>
      <c r="J200" s="9" t="s">
        <v>135</v>
      </c>
      <c r="K200" s="16" t="str">
        <f>IF(OR($E200="—",LEFT($E200,1)="("),"n/a",IF(COUNTIF(Balance_Taxonomy!$B$5:$B$400,$E200)&gt;0,"OK","UNKNOWN TYPE"))</f>
        <v>OK</v>
      </c>
      <c r="L200" s="16" t="str">
        <f>IF(COUNTIF(Amount_Basis!$A$5:$A$100,$H200)&gt;0,"OK","UNKNOWN CODE")</f>
        <v>OK</v>
      </c>
      <c r="M200" s="16" t="str">
        <f t="shared" si="1"/>
        <v>OK</v>
      </c>
      <c r="N200" s="16" t="str">
        <f t="array" ref="N200">IF($J200="MIRROR",IF($F200="MIRRORED","OK","INVALID - MIRROR needs MIRRORED"),IF(IFERROR(INDEX(Amount_Basis!$D$5:$D$100,MATCH($H200,Amount_Basis!$A$5:$A$100,0)),"")="SIGNED",IF($F200="DERIVED_FROM_SIGN","OK","INVALID - SIGNED basis needs DERIVED_FROM_SIGN"),IF(OR($F200="INCREASE",$F200="DECREASE",$F200="—"),"OK","INVALID - static direction required")))</f>
        <v>OK</v>
      </c>
      <c r="O200" s="9" t="s">
        <v>713</v>
      </c>
    </row>
    <row r="201" ht="15.75" customHeight="1">
      <c r="A201" s="9" t="s">
        <v>533</v>
      </c>
      <c r="B201" s="9" t="s">
        <v>710</v>
      </c>
      <c r="C201" s="9" t="s">
        <v>1168</v>
      </c>
      <c r="D201" s="9">
        <v>2.0</v>
      </c>
      <c r="E201" s="10" t="s">
        <v>363</v>
      </c>
      <c r="F201" s="9" t="s">
        <v>671</v>
      </c>
      <c r="G201" s="16" t="str">
        <f t="array" ref="G201">IF(OR($F201="DERIVED_FROM_SIGN",$F201="MIRRORED"),"runtime",IFERROR(IF(INDEX(Balance_Taxonomy!$C$5:$C$400,MATCH($E201,Balance_Taxonomy!$B$5:$B$400,0))="Dr",IF($F201="INCREASE","Dr","Cr"),IF($F201="INCREASE","Cr","Dr")),"n/a"))</f>
        <v>Dr</v>
      </c>
      <c r="H201" s="9" t="s">
        <v>623</v>
      </c>
      <c r="I201" s="10" t="s">
        <v>1194</v>
      </c>
      <c r="J201" s="9" t="s">
        <v>135</v>
      </c>
      <c r="K201" s="16" t="str">
        <f>IF(OR($E201="—",LEFT($E201,1)="("),"n/a",IF(COUNTIF(Balance_Taxonomy!$B$5:$B$400,$E201)&gt;0,"OK","UNKNOWN TYPE"))</f>
        <v>OK</v>
      </c>
      <c r="L201" s="16" t="str">
        <f>IF(COUNTIF(Amount_Basis!$A$5:$A$100,$H201)&gt;0,"OK","UNKNOWN CODE")</f>
        <v>OK</v>
      </c>
      <c r="M201" s="16" t="str">
        <f t="shared" si="1"/>
        <v>OK</v>
      </c>
      <c r="N201" s="16" t="str">
        <f t="array" ref="N201">IF($J201="MIRROR",IF($F201="MIRRORED","OK","INVALID - MIRROR needs MIRRORED"),IF(IFERROR(INDEX(Amount_Basis!$D$5:$D$100,MATCH($H201,Amount_Basis!$A$5:$A$100,0)),"")="SIGNED",IF($F201="DERIVED_FROM_SIGN","OK","INVALID - SIGNED basis needs DERIVED_FROM_SIGN"),IF(OR($F201="INCREASE",$F201="DECREASE",$F201="—"),"OK","INVALID - static direction required")))</f>
        <v>OK</v>
      </c>
      <c r="O201" s="9" t="s">
        <v>713</v>
      </c>
    </row>
    <row r="202" ht="15.75" customHeight="1">
      <c r="A202" s="9" t="s">
        <v>533</v>
      </c>
      <c r="B202" s="9" t="s">
        <v>710</v>
      </c>
      <c r="C202" s="9" t="s">
        <v>1168</v>
      </c>
      <c r="D202" s="9">
        <v>2.0</v>
      </c>
      <c r="E202" s="10" t="s">
        <v>398</v>
      </c>
      <c r="F202" s="9" t="s">
        <v>671</v>
      </c>
      <c r="G202" s="16" t="str">
        <f t="array" ref="G202">IF(OR($F202="DERIVED_FROM_SIGN",$F202="MIRRORED"),"runtime",IFERROR(IF(INDEX(Balance_Taxonomy!$C$5:$C$400,MATCH($E202,Balance_Taxonomy!$B$5:$B$400,0))="Dr",IF($F202="INCREASE","Dr","Cr"),IF($F202="INCREASE","Cr","Dr")),"n/a"))</f>
        <v>Cr</v>
      </c>
      <c r="H202" s="9" t="s">
        <v>623</v>
      </c>
      <c r="I202" s="10" t="s">
        <v>1194</v>
      </c>
      <c r="J202" s="9" t="s">
        <v>135</v>
      </c>
      <c r="K202" s="16" t="str">
        <f>IF(OR($E202="—",LEFT($E202,1)="("),"n/a",IF(COUNTIF(Balance_Taxonomy!$B$5:$B$400,$E202)&gt;0,"OK","UNKNOWN TYPE"))</f>
        <v>OK</v>
      </c>
      <c r="L202" s="16" t="str">
        <f>IF(COUNTIF(Amount_Basis!$A$5:$A$100,$H202)&gt;0,"OK","UNKNOWN CODE")</f>
        <v>OK</v>
      </c>
      <c r="M202" s="16" t="str">
        <f t="shared" si="1"/>
        <v>OK</v>
      </c>
      <c r="N202" s="16" t="str">
        <f t="array" ref="N202">IF($J202="MIRROR",IF($F202="MIRRORED","OK","INVALID - MIRROR needs MIRRORED"),IF(IFERROR(INDEX(Amount_Basis!$D$5:$D$100,MATCH($H202,Amount_Basis!$A$5:$A$100,0)),"")="SIGNED",IF($F202="DERIVED_FROM_SIGN","OK","INVALID - SIGNED basis needs DERIVED_FROM_SIGN"),IF(OR($F202="INCREASE",$F202="DECREASE",$F202="—"),"OK","INVALID - static direction required")))</f>
        <v>OK</v>
      </c>
      <c r="O202" s="9" t="s">
        <v>713</v>
      </c>
    </row>
    <row r="203" ht="15.75" customHeight="1">
      <c r="A203" s="9" t="s">
        <v>533</v>
      </c>
      <c r="B203" s="9" t="s">
        <v>710</v>
      </c>
      <c r="C203" s="9" t="s">
        <v>1195</v>
      </c>
      <c r="D203" s="9">
        <v>3.0</v>
      </c>
      <c r="E203" s="10" t="s">
        <v>357</v>
      </c>
      <c r="F203" s="9" t="s">
        <v>671</v>
      </c>
      <c r="G203" s="16" t="str">
        <f t="array" ref="G203">IF(OR($F203="DERIVED_FROM_SIGN",$F203="MIRRORED"),"runtime",IFERROR(IF(INDEX(Balance_Taxonomy!$C$5:$C$400,MATCH($E203,Balance_Taxonomy!$B$5:$B$400,0))="Dr",IF($F203="INCREASE","Dr","Cr"),IF($F203="INCREASE","Cr","Dr")),"n/a"))</f>
        <v>Dr</v>
      </c>
      <c r="H203" s="9" t="s">
        <v>603</v>
      </c>
      <c r="I203" s="10" t="s">
        <v>1196</v>
      </c>
      <c r="J203" s="9" t="s">
        <v>135</v>
      </c>
      <c r="K203" s="16" t="str">
        <f>IF(OR($E203="—",LEFT($E203,1)="("),"n/a",IF(COUNTIF(Balance_Taxonomy!$B$5:$B$400,$E203)&gt;0,"OK","UNKNOWN TYPE"))</f>
        <v>OK</v>
      </c>
      <c r="L203" s="16" t="str">
        <f>IF(COUNTIF(Amount_Basis!$A$5:$A$100,$H203)&gt;0,"OK","UNKNOWN CODE")</f>
        <v>OK</v>
      </c>
      <c r="M203" s="16" t="str">
        <f t="shared" si="1"/>
        <v>OK</v>
      </c>
      <c r="N203" s="16" t="str">
        <f t="array" ref="N203">IF($J203="MIRROR",IF($F203="MIRRORED","OK","INVALID - MIRROR needs MIRRORED"),IF(IFERROR(INDEX(Amount_Basis!$D$5:$D$100,MATCH($H203,Amount_Basis!$A$5:$A$100,0)),"")="SIGNED",IF($F203="DERIVED_FROM_SIGN","OK","INVALID - SIGNED basis needs DERIVED_FROM_SIGN"),IF(OR($F203="INCREASE",$F203="DECREASE",$F203="—"),"OK","INVALID - static direction required")))</f>
        <v>OK</v>
      </c>
      <c r="O203" s="9" t="s">
        <v>713</v>
      </c>
    </row>
    <row r="204" ht="15.75" customHeight="1">
      <c r="A204" s="9" t="s">
        <v>533</v>
      </c>
      <c r="B204" s="9" t="s">
        <v>710</v>
      </c>
      <c r="C204" s="9" t="s">
        <v>1195</v>
      </c>
      <c r="D204" s="9">
        <v>3.0</v>
      </c>
      <c r="E204" s="10" t="s">
        <v>380</v>
      </c>
      <c r="F204" s="9" t="s">
        <v>512</v>
      </c>
      <c r="G204" s="16" t="str">
        <f t="array" ref="G204">IF(OR($F204="DERIVED_FROM_SIGN",$F204="MIRRORED"),"runtime",IFERROR(IF(INDEX(Balance_Taxonomy!$C$5:$C$400,MATCH($E204,Balance_Taxonomy!$B$5:$B$400,0))="Dr",IF($F204="INCREASE","Dr","Cr"),IF($F204="INCREASE","Cr","Dr")),"n/a"))</f>
        <v>Cr</v>
      </c>
      <c r="H204" s="9" t="s">
        <v>603</v>
      </c>
      <c r="I204" s="10" t="s">
        <v>1196</v>
      </c>
      <c r="J204" s="9" t="s">
        <v>135</v>
      </c>
      <c r="K204" s="16" t="str">
        <f>IF(OR($E204="—",LEFT($E204,1)="("),"n/a",IF(COUNTIF(Balance_Taxonomy!$B$5:$B$400,$E204)&gt;0,"OK","UNKNOWN TYPE"))</f>
        <v>OK</v>
      </c>
      <c r="L204" s="16" t="str">
        <f>IF(COUNTIF(Amount_Basis!$A$5:$A$100,$H204)&gt;0,"OK","UNKNOWN CODE")</f>
        <v>OK</v>
      </c>
      <c r="M204" s="16" t="str">
        <f t="shared" si="1"/>
        <v>OK</v>
      </c>
      <c r="N204" s="16" t="str">
        <f t="array" ref="N204">IF($J204="MIRROR",IF($F204="MIRRORED","OK","INVALID - MIRROR needs MIRRORED"),IF(IFERROR(INDEX(Amount_Basis!$D$5:$D$100,MATCH($H204,Amount_Basis!$A$5:$A$100,0)),"")="SIGNED",IF($F204="DERIVED_FROM_SIGN","OK","INVALID - SIGNED basis needs DERIVED_FROM_SIGN"),IF(OR($F204="INCREASE",$F204="DECREASE",$F204="—"),"OK","INVALID - static direction required")))</f>
        <v>OK</v>
      </c>
      <c r="O204" s="9" t="s">
        <v>713</v>
      </c>
    </row>
    <row r="205" ht="15.75" customHeight="1">
      <c r="A205" s="12" t="s">
        <v>533</v>
      </c>
      <c r="B205" s="12" t="s">
        <v>715</v>
      </c>
      <c r="C205" s="12" t="s">
        <v>1226</v>
      </c>
      <c r="D205" s="12">
        <v>1.0</v>
      </c>
      <c r="E205" s="13" t="s">
        <v>265</v>
      </c>
      <c r="F205" s="12" t="s">
        <v>512</v>
      </c>
      <c r="G205" s="20" t="str">
        <f t="array" ref="G205">IF(OR($F205="DERIVED_FROM_SIGN",$F205="MIRRORED"),"runtime",IFERROR(IF(INDEX(Balance_Taxonomy!$C$5:$C$400,MATCH($E205,Balance_Taxonomy!$B$5:$B$400,0))="Dr",IF($F205="INCREASE","Dr","Cr"),IF($F205="INCREASE","Cr","Dr")),"n/a"))</f>
        <v>Dr</v>
      </c>
      <c r="H205" s="12" t="s">
        <v>634</v>
      </c>
      <c r="I205" s="13" t="s">
        <v>1227</v>
      </c>
      <c r="J205" s="12" t="s">
        <v>135</v>
      </c>
      <c r="K205" s="20" t="str">
        <f>IF(OR($E205="—",LEFT($E205,1)="("),"n/a",IF(COUNTIF(Balance_Taxonomy!$B$5:$B$400,$E205)&gt;0,"OK","UNKNOWN TYPE"))</f>
        <v>OK</v>
      </c>
      <c r="L205" s="20" t="str">
        <f>IF(COUNTIF(Amount_Basis!$A$5:$A$100,$H205)&gt;0,"OK","UNKNOWN CODE")</f>
        <v>OK</v>
      </c>
      <c r="M205" s="20" t="str">
        <f t="shared" si="1"/>
        <v>OK</v>
      </c>
      <c r="N205" s="20" t="str">
        <f t="array" ref="N205">IF($J205="MIRROR",IF($F205="MIRRORED","OK","INVALID - MIRROR needs MIRRORED"),IF(IFERROR(INDEX(Amount_Basis!$D$5:$D$100,MATCH($H205,Amount_Basis!$A$5:$A$100,0)),"")="SIGNED",IF($F205="DERIVED_FROM_SIGN","OK","INVALID - SIGNED basis needs DERIVED_FROM_SIGN"),IF(OR($F205="INCREASE",$F205="DECREASE",$F205="—"),"OK","INVALID - static direction required")))</f>
        <v>OK</v>
      </c>
      <c r="O205" s="12" t="s">
        <v>680</v>
      </c>
    </row>
    <row r="206" ht="15.75" customHeight="1">
      <c r="A206" s="12" t="s">
        <v>533</v>
      </c>
      <c r="B206" s="12" t="s">
        <v>715</v>
      </c>
      <c r="C206" s="12" t="s">
        <v>1226</v>
      </c>
      <c r="D206" s="12">
        <v>1.0</v>
      </c>
      <c r="E206" s="13" t="s">
        <v>312</v>
      </c>
      <c r="F206" s="12" t="s">
        <v>512</v>
      </c>
      <c r="G206" s="20" t="str">
        <f t="array" ref="G206">IF(OR($F206="DERIVED_FROM_SIGN",$F206="MIRRORED"),"runtime",IFERROR(IF(INDEX(Balance_Taxonomy!$C$5:$C$400,MATCH($E206,Balance_Taxonomy!$B$5:$B$400,0))="Dr",IF($F206="INCREASE","Dr","Cr"),IF($F206="INCREASE","Cr","Dr")),"n/a"))</f>
        <v>Cr</v>
      </c>
      <c r="H206" s="12" t="s">
        <v>628</v>
      </c>
      <c r="I206" s="13" t="s">
        <v>1228</v>
      </c>
      <c r="J206" s="12" t="s">
        <v>135</v>
      </c>
      <c r="K206" s="20" t="str">
        <f>IF(OR($E206="—",LEFT($E206,1)="("),"n/a",IF(COUNTIF(Balance_Taxonomy!$B$5:$B$400,$E206)&gt;0,"OK","UNKNOWN TYPE"))</f>
        <v>OK</v>
      </c>
      <c r="L206" s="20" t="str">
        <f>IF(COUNTIF(Amount_Basis!$A$5:$A$100,$H206)&gt;0,"OK","UNKNOWN CODE")</f>
        <v>OK</v>
      </c>
      <c r="M206" s="20" t="str">
        <f t="shared" si="1"/>
        <v>OK</v>
      </c>
      <c r="N206" s="20" t="str">
        <f t="array" ref="N206">IF($J206="MIRROR",IF($F206="MIRRORED","OK","INVALID - MIRROR needs MIRRORED"),IF(IFERROR(INDEX(Amount_Basis!$D$5:$D$100,MATCH($H206,Amount_Basis!$A$5:$A$100,0)),"")="SIGNED",IF($F206="DERIVED_FROM_SIGN","OK","INVALID - SIGNED basis needs DERIVED_FROM_SIGN"),IF(OR($F206="INCREASE",$F206="DECREASE",$F206="—"),"OK","INVALID - static direction required")))</f>
        <v>OK</v>
      </c>
      <c r="O206" s="12" t="s">
        <v>680</v>
      </c>
    </row>
    <row r="207" ht="15.75" customHeight="1">
      <c r="A207" s="12" t="s">
        <v>533</v>
      </c>
      <c r="B207" s="12" t="s">
        <v>715</v>
      </c>
      <c r="C207" s="12" t="s">
        <v>1226</v>
      </c>
      <c r="D207" s="12">
        <v>1.0</v>
      </c>
      <c r="E207" s="13" t="s">
        <v>375</v>
      </c>
      <c r="F207" s="12" t="s">
        <v>512</v>
      </c>
      <c r="G207" s="20" t="str">
        <f t="array" ref="G207">IF(OR($F207="DERIVED_FROM_SIGN",$F207="MIRRORED"),"runtime",IFERROR(IF(INDEX(Balance_Taxonomy!$C$5:$C$400,MATCH($E207,Balance_Taxonomy!$B$5:$B$400,0))="Dr",IF($F207="INCREASE","Dr","Cr"),IF($F207="INCREASE","Cr","Dr")),"n/a"))</f>
        <v>Cr</v>
      </c>
      <c r="H207" s="12" t="s">
        <v>631</v>
      </c>
      <c r="I207" s="13" t="s">
        <v>1229</v>
      </c>
      <c r="J207" s="12" t="s">
        <v>135</v>
      </c>
      <c r="K207" s="20" t="str">
        <f>IF(OR($E207="—",LEFT($E207,1)="("),"n/a",IF(COUNTIF(Balance_Taxonomy!$B$5:$B$400,$E207)&gt;0,"OK","UNKNOWN TYPE"))</f>
        <v>OK</v>
      </c>
      <c r="L207" s="20" t="str">
        <f>IF(COUNTIF(Amount_Basis!$A$5:$A$100,$H207)&gt;0,"OK","UNKNOWN CODE")</f>
        <v>OK</v>
      </c>
      <c r="M207" s="20" t="str">
        <f t="shared" si="1"/>
        <v>OK</v>
      </c>
      <c r="N207" s="20" t="str">
        <f t="array" ref="N207">IF($J207="MIRROR",IF($F207="MIRRORED","OK","INVALID - MIRROR needs MIRRORED"),IF(IFERROR(INDEX(Amount_Basis!$D$5:$D$100,MATCH($H207,Amount_Basis!$A$5:$A$100,0)),"")="SIGNED",IF($F207="DERIVED_FROM_SIGN","OK","INVALID - SIGNED basis needs DERIVED_FROM_SIGN"),IF(OR($F207="INCREASE",$F207="DECREASE",$F207="—"),"OK","INVALID - static direction required")))</f>
        <v>OK</v>
      </c>
      <c r="O207" s="12" t="s">
        <v>680</v>
      </c>
    </row>
    <row r="208" ht="15.75" customHeight="1">
      <c r="A208" s="9" t="s">
        <v>533</v>
      </c>
      <c r="B208" s="9" t="s">
        <v>720</v>
      </c>
      <c r="C208" s="9" t="s">
        <v>510</v>
      </c>
      <c r="D208" s="9">
        <v>1.0</v>
      </c>
      <c r="E208" s="10" t="s">
        <v>87</v>
      </c>
      <c r="F208" s="9" t="s">
        <v>512</v>
      </c>
      <c r="G208" s="16" t="str">
        <f t="array" ref="G208">IF(OR($F208="DERIVED_FROM_SIGN",$F208="MIRRORED"),"runtime",IFERROR(IF(INDEX(Balance_Taxonomy!$C$5:$C$400,MATCH($E208,Balance_Taxonomy!$B$5:$B$400,0))="Dr",IF($F208="INCREASE","Dr","Cr"),IF($F208="INCREASE","Cr","Dr")),"n/a"))</f>
        <v>Dr</v>
      </c>
      <c r="H208" s="9" t="s">
        <v>589</v>
      </c>
      <c r="I208" s="10" t="s">
        <v>541</v>
      </c>
      <c r="J208" s="9" t="s">
        <v>135</v>
      </c>
      <c r="K208" s="16" t="str">
        <f>IF(OR($E208="—",LEFT($E208,1)="("),"n/a",IF(COUNTIF(Balance_Taxonomy!$B$5:$B$400,$E208)&gt;0,"OK","UNKNOWN TYPE"))</f>
        <v>OK</v>
      </c>
      <c r="L208" s="16" t="str">
        <f>IF(COUNTIF(Amount_Basis!$A$5:$A$100,$H208)&gt;0,"OK","UNKNOWN CODE")</f>
        <v>OK</v>
      </c>
      <c r="M208" s="16" t="str">
        <f t="shared" si="1"/>
        <v>OK</v>
      </c>
      <c r="N208" s="16" t="str">
        <f t="array" ref="N208">IF($J208="MIRROR",IF($F208="MIRRORED","OK","INVALID - MIRROR needs MIRRORED"),IF(IFERROR(INDEX(Amount_Basis!$D$5:$D$100,MATCH($H208,Amount_Basis!$A$5:$A$100,0)),"")="SIGNED",IF($F208="DERIVED_FROM_SIGN","OK","INVALID - SIGNED basis needs DERIVED_FROM_SIGN"),IF(OR($F208="INCREASE",$F208="DECREASE",$F208="—"),"OK","INVALID - static direction required")))</f>
        <v>OK</v>
      </c>
      <c r="O208" s="9" t="s">
        <v>713</v>
      </c>
    </row>
    <row r="209" ht="15.75" customHeight="1">
      <c r="A209" s="9" t="s">
        <v>533</v>
      </c>
      <c r="B209" s="9" t="s">
        <v>720</v>
      </c>
      <c r="C209" s="9" t="s">
        <v>510</v>
      </c>
      <c r="D209" s="9">
        <v>1.0</v>
      </c>
      <c r="E209" s="10" t="s">
        <v>99</v>
      </c>
      <c r="F209" s="9" t="s">
        <v>512</v>
      </c>
      <c r="G209" s="16" t="str">
        <f t="array" ref="G209">IF(OR($F209="DERIVED_FROM_SIGN",$F209="MIRRORED"),"runtime",IFERROR(IF(INDEX(Balance_Taxonomy!$C$5:$C$400,MATCH($E209,Balance_Taxonomy!$B$5:$B$400,0))="Dr",IF($F209="INCREASE","Dr","Cr"),IF($F209="INCREASE","Cr","Dr")),"n/a"))</f>
        <v>Cr</v>
      </c>
      <c r="H209" s="9" t="s">
        <v>589</v>
      </c>
      <c r="I209" s="10" t="s">
        <v>541</v>
      </c>
      <c r="J209" s="9" t="s">
        <v>135</v>
      </c>
      <c r="K209" s="16" t="str">
        <f>IF(OR($E209="—",LEFT($E209,1)="("),"n/a",IF(COUNTIF(Balance_Taxonomy!$B$5:$B$400,$E209)&gt;0,"OK","UNKNOWN TYPE"))</f>
        <v>OK</v>
      </c>
      <c r="L209" s="16" t="str">
        <f>IF(COUNTIF(Amount_Basis!$A$5:$A$100,$H209)&gt;0,"OK","UNKNOWN CODE")</f>
        <v>OK</v>
      </c>
      <c r="M209" s="16" t="str">
        <f t="shared" si="1"/>
        <v>OK</v>
      </c>
      <c r="N209" s="16" t="str">
        <f t="array" ref="N209">IF($J209="MIRROR",IF($F209="MIRRORED","OK","INVALID - MIRROR needs MIRRORED"),IF(IFERROR(INDEX(Amount_Basis!$D$5:$D$100,MATCH($H209,Amount_Basis!$A$5:$A$100,0)),"")="SIGNED",IF($F209="DERIVED_FROM_SIGN","OK","INVALID - SIGNED basis needs DERIVED_FROM_SIGN"),IF(OR($F209="INCREASE",$F209="DECREASE",$F209="—"),"OK","INVALID - static direction required")))</f>
        <v>OK</v>
      </c>
      <c r="O209" s="9" t="s">
        <v>713</v>
      </c>
    </row>
    <row r="210" ht="15.75" customHeight="1">
      <c r="A210" s="9" t="s">
        <v>533</v>
      </c>
      <c r="B210" s="9" t="s">
        <v>720</v>
      </c>
      <c r="C210" s="9" t="s">
        <v>761</v>
      </c>
      <c r="D210" s="9">
        <v>2.0</v>
      </c>
      <c r="E210" s="10" t="s">
        <v>398</v>
      </c>
      <c r="F210" s="9" t="s">
        <v>512</v>
      </c>
      <c r="G210" s="16" t="str">
        <f t="array" ref="G210">IF(OR($F210="DERIVED_FROM_SIGN",$F210="MIRRORED"),"runtime",IFERROR(IF(INDEX(Balance_Taxonomy!$C$5:$C$400,MATCH($E210,Balance_Taxonomy!$B$5:$B$400,0))="Dr",IF($F210="INCREASE","Dr","Cr"),IF($F210="INCREASE","Cr","Dr")),"n/a"))</f>
        <v>Dr</v>
      </c>
      <c r="H210" s="9" t="s">
        <v>612</v>
      </c>
      <c r="I210" s="10" t="s">
        <v>1230</v>
      </c>
      <c r="J210" s="9" t="s">
        <v>135</v>
      </c>
      <c r="K210" s="16" t="str">
        <f>IF(OR($E210="—",LEFT($E210,1)="("),"n/a",IF(COUNTIF(Balance_Taxonomy!$B$5:$B$400,$E210)&gt;0,"OK","UNKNOWN TYPE"))</f>
        <v>OK</v>
      </c>
      <c r="L210" s="16" t="str">
        <f>IF(COUNTIF(Amount_Basis!$A$5:$A$100,$H210)&gt;0,"OK","UNKNOWN CODE")</f>
        <v>OK</v>
      </c>
      <c r="M210" s="16" t="str">
        <f t="shared" si="1"/>
        <v>OK</v>
      </c>
      <c r="N210" s="16" t="str">
        <f t="array" ref="N210">IF($J210="MIRROR",IF($F210="MIRRORED","OK","INVALID - MIRROR needs MIRRORED"),IF(IFERROR(INDEX(Amount_Basis!$D$5:$D$100,MATCH($H210,Amount_Basis!$A$5:$A$100,0)),"")="SIGNED",IF($F210="DERIVED_FROM_SIGN","OK","INVALID - SIGNED basis needs DERIVED_FROM_SIGN"),IF(OR($F210="INCREASE",$F210="DECREASE",$F210="—"),"OK","INVALID - static direction required")))</f>
        <v>OK</v>
      </c>
      <c r="O210" s="9" t="s">
        <v>713</v>
      </c>
    </row>
    <row r="211" ht="15.75" customHeight="1">
      <c r="A211" s="9" t="s">
        <v>533</v>
      </c>
      <c r="B211" s="9" t="s">
        <v>720</v>
      </c>
      <c r="C211" s="9" t="s">
        <v>761</v>
      </c>
      <c r="D211" s="9">
        <v>2.0</v>
      </c>
      <c r="E211" s="10" t="s">
        <v>363</v>
      </c>
      <c r="F211" s="9" t="s">
        <v>512</v>
      </c>
      <c r="G211" s="16" t="str">
        <f t="array" ref="G211">IF(OR($F211="DERIVED_FROM_SIGN",$F211="MIRRORED"),"runtime",IFERROR(IF(INDEX(Balance_Taxonomy!$C$5:$C$400,MATCH($E211,Balance_Taxonomy!$B$5:$B$400,0))="Dr",IF($F211="INCREASE","Dr","Cr"),IF($F211="INCREASE","Cr","Dr")),"n/a"))</f>
        <v>Cr</v>
      </c>
      <c r="H211" s="9" t="s">
        <v>612</v>
      </c>
      <c r="I211" s="10" t="s">
        <v>1230</v>
      </c>
      <c r="J211" s="9" t="s">
        <v>135</v>
      </c>
      <c r="K211" s="16" t="str">
        <f>IF(OR($E211="—",LEFT($E211,1)="("),"n/a",IF(COUNTIF(Balance_Taxonomy!$B$5:$B$400,$E211)&gt;0,"OK","UNKNOWN TYPE"))</f>
        <v>OK</v>
      </c>
      <c r="L211" s="16" t="str">
        <f>IF(COUNTIF(Amount_Basis!$A$5:$A$100,$H211)&gt;0,"OK","UNKNOWN CODE")</f>
        <v>OK</v>
      </c>
      <c r="M211" s="16" t="str">
        <f t="shared" si="1"/>
        <v>OK</v>
      </c>
      <c r="N211" s="16" t="str">
        <f t="array" ref="N211">IF($J211="MIRROR",IF($F211="MIRRORED","OK","INVALID - MIRROR needs MIRRORED"),IF(IFERROR(INDEX(Amount_Basis!$D$5:$D$100,MATCH($H211,Amount_Basis!$A$5:$A$100,0)),"")="SIGNED",IF($F211="DERIVED_FROM_SIGN","OK","INVALID - SIGNED basis needs DERIVED_FROM_SIGN"),IF(OR($F211="INCREASE",$F211="DECREASE",$F211="—"),"OK","INVALID - static direction required")))</f>
        <v>OK</v>
      </c>
      <c r="O211" s="9" t="s">
        <v>713</v>
      </c>
    </row>
    <row r="212" ht="15.75" customHeight="1">
      <c r="A212" s="12" t="s">
        <v>724</v>
      </c>
      <c r="B212" s="12" t="s">
        <v>725</v>
      </c>
      <c r="C212" s="12" t="s">
        <v>1231</v>
      </c>
      <c r="D212" s="12">
        <v>1.0</v>
      </c>
      <c r="E212" s="13" t="s">
        <v>357</v>
      </c>
      <c r="F212" s="12" t="s">
        <v>671</v>
      </c>
      <c r="G212" s="20" t="str">
        <f t="array" ref="G212">IF(OR($F212="DERIVED_FROM_SIGN",$F212="MIRRORED"),"runtime",IFERROR(IF(INDEX(Balance_Taxonomy!$C$5:$C$400,MATCH($E212,Balance_Taxonomy!$B$5:$B$400,0))="Dr",IF($F212="INCREASE","Dr","Cr"),IF($F212="INCREASE","Cr","Dr")),"n/a"))</f>
        <v>Dr</v>
      </c>
      <c r="H212" s="12" t="s">
        <v>609</v>
      </c>
      <c r="I212" s="13" t="s">
        <v>1232</v>
      </c>
      <c r="J212" s="12" t="s">
        <v>135</v>
      </c>
      <c r="K212" s="20" t="str">
        <f>IF(OR($E212="—",LEFT($E212,1)="("),"n/a",IF(COUNTIF(Balance_Taxonomy!$B$5:$B$400,$E212)&gt;0,"OK","UNKNOWN TYPE"))</f>
        <v>OK</v>
      </c>
      <c r="L212" s="20" t="str">
        <f>IF(COUNTIF(Amount_Basis!$A$5:$A$100,$H212)&gt;0,"OK","UNKNOWN CODE")</f>
        <v>OK</v>
      </c>
      <c r="M212" s="20" t="str">
        <f t="shared" si="1"/>
        <v>OK</v>
      </c>
      <c r="N212" s="20" t="str">
        <f t="array" ref="N212">IF($J212="MIRROR",IF($F212="MIRRORED","OK","INVALID - MIRROR needs MIRRORED"),IF(IFERROR(INDEX(Amount_Basis!$D$5:$D$100,MATCH($H212,Amount_Basis!$A$5:$A$100,0)),"")="SIGNED",IF($F212="DERIVED_FROM_SIGN","OK","INVALID - SIGNED basis needs DERIVED_FROM_SIGN"),IF(OR($F212="INCREASE",$F212="DECREASE",$F212="—"),"OK","INVALID - static direction required")))</f>
        <v>OK</v>
      </c>
      <c r="O212" s="12" t="s">
        <v>88</v>
      </c>
    </row>
    <row r="213" ht="15.75" customHeight="1">
      <c r="A213" s="12" t="s">
        <v>724</v>
      </c>
      <c r="B213" s="12" t="s">
        <v>725</v>
      </c>
      <c r="C213" s="12" t="s">
        <v>1231</v>
      </c>
      <c r="D213" s="12">
        <v>1.0</v>
      </c>
      <c r="E213" s="13" t="s">
        <v>380</v>
      </c>
      <c r="F213" s="12" t="s">
        <v>512</v>
      </c>
      <c r="G213" s="20" t="str">
        <f t="array" ref="G213">IF(OR($F213="DERIVED_FROM_SIGN",$F213="MIRRORED"),"runtime",IFERROR(IF(INDEX(Balance_Taxonomy!$C$5:$C$400,MATCH($E213,Balance_Taxonomy!$B$5:$B$400,0))="Dr",IF($F213="INCREASE","Dr","Cr"),IF($F213="INCREASE","Cr","Dr")),"n/a"))</f>
        <v>Cr</v>
      </c>
      <c r="H213" s="12" t="s">
        <v>609</v>
      </c>
      <c r="I213" s="13" t="s">
        <v>1232</v>
      </c>
      <c r="J213" s="12" t="s">
        <v>135</v>
      </c>
      <c r="K213" s="20" t="str">
        <f>IF(OR($E213="—",LEFT($E213,1)="("),"n/a",IF(COUNTIF(Balance_Taxonomy!$B$5:$B$400,$E213)&gt;0,"OK","UNKNOWN TYPE"))</f>
        <v>OK</v>
      </c>
      <c r="L213" s="20" t="str">
        <f>IF(COUNTIF(Amount_Basis!$A$5:$A$100,$H213)&gt;0,"OK","UNKNOWN CODE")</f>
        <v>OK</v>
      </c>
      <c r="M213" s="20" t="str">
        <f t="shared" si="1"/>
        <v>OK</v>
      </c>
      <c r="N213" s="20" t="str">
        <f t="array" ref="N213">IF($J213="MIRROR",IF($F213="MIRRORED","OK","INVALID - MIRROR needs MIRRORED"),IF(IFERROR(INDEX(Amount_Basis!$D$5:$D$100,MATCH($H213,Amount_Basis!$A$5:$A$100,0)),"")="SIGNED",IF($F213="DERIVED_FROM_SIGN","OK","INVALID - SIGNED basis needs DERIVED_FROM_SIGN"),IF(OR($F213="INCREASE",$F213="DECREASE",$F213="—"),"OK","INVALID - static direction required")))</f>
        <v>OK</v>
      </c>
      <c r="O213" s="12" t="s">
        <v>88</v>
      </c>
    </row>
    <row r="214" ht="15.75" customHeight="1">
      <c r="A214" s="9" t="s">
        <v>724</v>
      </c>
      <c r="B214" s="9" t="s">
        <v>729</v>
      </c>
      <c r="C214" s="9" t="s">
        <v>1233</v>
      </c>
      <c r="D214" s="9">
        <v>1.0</v>
      </c>
      <c r="E214" s="10" t="s">
        <v>398</v>
      </c>
      <c r="F214" s="9" t="s">
        <v>1234</v>
      </c>
      <c r="G214" s="16" t="str">
        <f t="array" ref="G214">IF(OR($F214="DERIVED_FROM_SIGN",$F214="MIRRORED"),"runtime",IFERROR(IF(INDEX(Balance_Taxonomy!$C$5:$C$400,MATCH($E214,Balance_Taxonomy!$B$5:$B$400,0))="Dr",IF($F214="INCREASE","Dr","Cr"),IF($F214="INCREASE","Cr","Dr")),"n/a"))</f>
        <v>runtime</v>
      </c>
      <c r="H214" s="9" t="s">
        <v>616</v>
      </c>
      <c r="I214" s="10" t="s">
        <v>1235</v>
      </c>
      <c r="J214" s="9" t="s">
        <v>135</v>
      </c>
      <c r="K214" s="16" t="str">
        <f>IF(OR($E214="—",LEFT($E214,1)="("),"n/a",IF(COUNTIF(Balance_Taxonomy!$B$5:$B$400,$E214)&gt;0,"OK","UNKNOWN TYPE"))</f>
        <v>OK</v>
      </c>
      <c r="L214" s="16" t="str">
        <f>IF(COUNTIF(Amount_Basis!$A$5:$A$100,$H214)&gt;0,"OK","UNKNOWN CODE")</f>
        <v>OK</v>
      </c>
      <c r="M214" s="16" t="str">
        <f t="shared" si="1"/>
        <v>OK</v>
      </c>
      <c r="N214" s="16" t="str">
        <f t="array" ref="N214">IF($J214="MIRROR",IF($F214="MIRRORED","OK","INVALID - MIRROR needs MIRRORED"),IF(IFERROR(INDEX(Amount_Basis!$D$5:$D$100,MATCH($H214,Amount_Basis!$A$5:$A$100,0)),"")="SIGNED",IF($F214="DERIVED_FROM_SIGN","OK","INVALID - SIGNED basis needs DERIVED_FROM_SIGN"),IF(OR($F214="INCREASE",$F214="DECREASE",$F214="—"),"OK","INVALID - static direction required")))</f>
        <v>OK</v>
      </c>
      <c r="O214" s="9" t="s">
        <v>112</v>
      </c>
    </row>
    <row r="215" ht="15.75" customHeight="1">
      <c r="A215" s="9" t="s">
        <v>724</v>
      </c>
      <c r="B215" s="9" t="s">
        <v>729</v>
      </c>
      <c r="C215" s="9" t="s">
        <v>1233</v>
      </c>
      <c r="D215" s="9">
        <v>1.0</v>
      </c>
      <c r="E215" s="10" t="s">
        <v>363</v>
      </c>
      <c r="F215" s="9" t="s">
        <v>1234</v>
      </c>
      <c r="G215" s="16" t="str">
        <f t="array" ref="G215">IF(OR($F215="DERIVED_FROM_SIGN",$F215="MIRRORED"),"runtime",IFERROR(IF(INDEX(Balance_Taxonomy!$C$5:$C$400,MATCH($E215,Balance_Taxonomy!$B$5:$B$400,0))="Dr",IF($F215="INCREASE","Dr","Cr"),IF($F215="INCREASE","Cr","Dr")),"n/a"))</f>
        <v>runtime</v>
      </c>
      <c r="H215" s="9" t="s">
        <v>616</v>
      </c>
      <c r="I215" s="10" t="s">
        <v>1235</v>
      </c>
      <c r="J215" s="9" t="s">
        <v>135</v>
      </c>
      <c r="K215" s="16" t="str">
        <f>IF(OR($E215="—",LEFT($E215,1)="("),"n/a",IF(COUNTIF(Balance_Taxonomy!$B$5:$B$400,$E215)&gt;0,"OK","UNKNOWN TYPE"))</f>
        <v>OK</v>
      </c>
      <c r="L215" s="16" t="str">
        <f>IF(COUNTIF(Amount_Basis!$A$5:$A$100,$H215)&gt;0,"OK","UNKNOWN CODE")</f>
        <v>OK</v>
      </c>
      <c r="M215" s="16" t="str">
        <f t="shared" si="1"/>
        <v>OK</v>
      </c>
      <c r="N215" s="16" t="str">
        <f t="array" ref="N215">IF($J215="MIRROR",IF($F215="MIRRORED","OK","INVALID - MIRROR needs MIRRORED"),IF(IFERROR(INDEX(Amount_Basis!$D$5:$D$100,MATCH($H215,Amount_Basis!$A$5:$A$100,0)),"")="SIGNED",IF($F215="DERIVED_FROM_SIGN","OK","INVALID - SIGNED basis needs DERIVED_FROM_SIGN"),IF(OR($F215="INCREASE",$F215="DECREASE",$F215="—"),"OK","INVALID - static direction required")))</f>
        <v>OK</v>
      </c>
      <c r="O215" s="9" t="s">
        <v>112</v>
      </c>
    </row>
    <row r="216" ht="15.75" customHeight="1">
      <c r="A216" s="12" t="s">
        <v>724</v>
      </c>
      <c r="B216" s="12" t="s">
        <v>733</v>
      </c>
      <c r="C216" s="12" t="s">
        <v>1236</v>
      </c>
      <c r="D216" s="12">
        <v>1.0</v>
      </c>
      <c r="E216" s="13" t="s">
        <v>282</v>
      </c>
      <c r="F216" s="12" t="s">
        <v>512</v>
      </c>
      <c r="G216" s="20" t="str">
        <f t="array" ref="G216">IF(OR($F216="DERIVED_FROM_SIGN",$F216="MIRRORED"),"runtime",IFERROR(IF(INDEX(Balance_Taxonomy!$C$5:$C$400,MATCH($E216,Balance_Taxonomy!$B$5:$B$400,0))="Dr",IF($F216="INCREASE","Dr","Cr"),IF($F216="INCREASE","Cr","Dr")),"n/a"))</f>
        <v>Dr</v>
      </c>
      <c r="H216" s="12" t="s">
        <v>646</v>
      </c>
      <c r="I216" s="13" t="s">
        <v>1237</v>
      </c>
      <c r="J216" s="12" t="s">
        <v>135</v>
      </c>
      <c r="K216" s="20" t="str">
        <f>IF(OR($E216="—",LEFT($E216,1)="("),"n/a",IF(COUNTIF(Balance_Taxonomy!$B$5:$B$400,$E216)&gt;0,"OK","UNKNOWN TYPE"))</f>
        <v>OK</v>
      </c>
      <c r="L216" s="20" t="str">
        <f>IF(COUNTIF(Amount_Basis!$A$5:$A$100,$H216)&gt;0,"OK","UNKNOWN CODE")</f>
        <v>OK</v>
      </c>
      <c r="M216" s="20" t="str">
        <f t="shared" si="1"/>
        <v>OK</v>
      </c>
      <c r="N216" s="20" t="str">
        <f t="array" ref="N216">IF($J216="MIRROR",IF($F216="MIRRORED","OK","INVALID - MIRROR needs MIRRORED"),IF(IFERROR(INDEX(Amount_Basis!$D$5:$D$100,MATCH($H216,Amount_Basis!$A$5:$A$100,0)),"")="SIGNED",IF($F216="DERIVED_FROM_SIGN","OK","INVALID - SIGNED basis needs DERIVED_FROM_SIGN"),IF(OR($F216="INCREASE",$F216="DECREASE",$F216="—"),"OK","INVALID - static direction required")))</f>
        <v>OK</v>
      </c>
      <c r="O216" s="12" t="s">
        <v>736</v>
      </c>
    </row>
    <row r="217" ht="15.75" customHeight="1">
      <c r="A217" s="12" t="s">
        <v>724</v>
      </c>
      <c r="B217" s="12" t="s">
        <v>733</v>
      </c>
      <c r="C217" s="12" t="s">
        <v>1236</v>
      </c>
      <c r="D217" s="12">
        <v>1.0</v>
      </c>
      <c r="E217" s="13" t="s">
        <v>388</v>
      </c>
      <c r="F217" s="12" t="s">
        <v>512</v>
      </c>
      <c r="G217" s="20" t="str">
        <f t="array" ref="G217">IF(OR($F217="DERIVED_FROM_SIGN",$F217="MIRRORED"),"runtime",IFERROR(IF(INDEX(Balance_Taxonomy!$C$5:$C$400,MATCH($E217,Balance_Taxonomy!$B$5:$B$400,0))="Dr",IF($F217="INCREASE","Dr","Cr"),IF($F217="INCREASE","Cr","Dr")),"n/a"))</f>
        <v>Cr</v>
      </c>
      <c r="H217" s="12" t="s">
        <v>646</v>
      </c>
      <c r="I217" s="13" t="s">
        <v>1237</v>
      </c>
      <c r="J217" s="12" t="s">
        <v>135</v>
      </c>
      <c r="K217" s="20" t="str">
        <f>IF(OR($E217="—",LEFT($E217,1)="("),"n/a",IF(COUNTIF(Balance_Taxonomy!$B$5:$B$400,$E217)&gt;0,"OK","UNKNOWN TYPE"))</f>
        <v>OK</v>
      </c>
      <c r="L217" s="20" t="str">
        <f>IF(COUNTIF(Amount_Basis!$A$5:$A$100,$H217)&gt;0,"OK","UNKNOWN CODE")</f>
        <v>OK</v>
      </c>
      <c r="M217" s="20" t="str">
        <f t="shared" si="1"/>
        <v>OK</v>
      </c>
      <c r="N217" s="20" t="str">
        <f t="array" ref="N217">IF($J217="MIRROR",IF($F217="MIRRORED","OK","INVALID - MIRROR needs MIRRORED"),IF(IFERROR(INDEX(Amount_Basis!$D$5:$D$100,MATCH($H217,Amount_Basis!$A$5:$A$100,0)),"")="SIGNED",IF($F217="DERIVED_FROM_SIGN","OK","INVALID - SIGNED basis needs DERIVED_FROM_SIGN"),IF(OR($F217="INCREASE",$F217="DECREASE",$F217="—"),"OK","INVALID - static direction required")))</f>
        <v>OK</v>
      </c>
      <c r="O217" s="12" t="s">
        <v>736</v>
      </c>
    </row>
    <row r="218" ht="15.75" customHeight="1">
      <c r="A218" s="9" t="s">
        <v>724</v>
      </c>
      <c r="B218" s="9" t="s">
        <v>738</v>
      </c>
      <c r="C218" s="9" t="s">
        <v>1238</v>
      </c>
      <c r="D218" s="9">
        <v>1.0</v>
      </c>
      <c r="E218" s="10" t="s">
        <v>312</v>
      </c>
      <c r="F218" s="9" t="s">
        <v>671</v>
      </c>
      <c r="G218" s="16" t="str">
        <f t="array" ref="G218">IF(OR($F218="DERIVED_FROM_SIGN",$F218="MIRRORED"),"runtime",IFERROR(IF(INDEX(Balance_Taxonomy!$C$5:$C$400,MATCH($E218,Balance_Taxonomy!$B$5:$B$400,0))="Dr",IF($F218="INCREASE","Dr","Cr"),IF($F218="INCREASE","Cr","Dr")),"n/a"))</f>
        <v>Dr</v>
      </c>
      <c r="H218" s="9" t="s">
        <v>652</v>
      </c>
      <c r="I218" s="10" t="s">
        <v>1239</v>
      </c>
      <c r="J218" s="9" t="s">
        <v>135</v>
      </c>
      <c r="K218" s="16" t="str">
        <f>IF(OR($E218="—",LEFT($E218,1)="("),"n/a",IF(COUNTIF(Balance_Taxonomy!$B$5:$B$400,$E218)&gt;0,"OK","UNKNOWN TYPE"))</f>
        <v>OK</v>
      </c>
      <c r="L218" s="16" t="str">
        <f>IF(COUNTIF(Amount_Basis!$A$5:$A$100,$H218)&gt;0,"OK","UNKNOWN CODE")</f>
        <v>OK</v>
      </c>
      <c r="M218" s="16" t="str">
        <f t="shared" si="1"/>
        <v>OK</v>
      </c>
      <c r="N218" s="16" t="str">
        <f t="array" ref="N218">IF($J218="MIRROR",IF($F218="MIRRORED","OK","INVALID - MIRROR needs MIRRORED"),IF(IFERROR(INDEX(Amount_Basis!$D$5:$D$100,MATCH($H218,Amount_Basis!$A$5:$A$100,0)),"")="SIGNED",IF($F218="DERIVED_FROM_SIGN","OK","INVALID - SIGNED basis needs DERIVED_FROM_SIGN"),IF(OR($F218="INCREASE",$F218="DECREASE",$F218="—"),"OK","INVALID - static direction required")))</f>
        <v>OK</v>
      </c>
      <c r="O218" s="9" t="s">
        <v>736</v>
      </c>
    </row>
    <row r="219" ht="15.75" customHeight="1">
      <c r="A219" s="9" t="s">
        <v>724</v>
      </c>
      <c r="B219" s="9" t="s">
        <v>738</v>
      </c>
      <c r="C219" s="9" t="s">
        <v>1238</v>
      </c>
      <c r="D219" s="9">
        <v>1.0</v>
      </c>
      <c r="E219" s="10" t="s">
        <v>388</v>
      </c>
      <c r="F219" s="9" t="s">
        <v>512</v>
      </c>
      <c r="G219" s="16" t="str">
        <f t="array" ref="G219">IF(OR($F219="DERIVED_FROM_SIGN",$F219="MIRRORED"),"runtime",IFERROR(IF(INDEX(Balance_Taxonomy!$C$5:$C$400,MATCH($E219,Balance_Taxonomy!$B$5:$B$400,0))="Dr",IF($F219="INCREASE","Dr","Cr"),IF($F219="INCREASE","Cr","Dr")),"n/a"))</f>
        <v>Cr</v>
      </c>
      <c r="H219" s="9" t="s">
        <v>652</v>
      </c>
      <c r="I219" s="10" t="s">
        <v>1239</v>
      </c>
      <c r="J219" s="9" t="s">
        <v>135</v>
      </c>
      <c r="K219" s="16" t="str">
        <f>IF(OR($E219="—",LEFT($E219,1)="("),"n/a",IF(COUNTIF(Balance_Taxonomy!$B$5:$B$400,$E219)&gt;0,"OK","UNKNOWN TYPE"))</f>
        <v>OK</v>
      </c>
      <c r="L219" s="16" t="str">
        <f>IF(COUNTIF(Amount_Basis!$A$5:$A$100,$H219)&gt;0,"OK","UNKNOWN CODE")</f>
        <v>OK</v>
      </c>
      <c r="M219" s="16" t="str">
        <f t="shared" si="1"/>
        <v>OK</v>
      </c>
      <c r="N219" s="16" t="str">
        <f t="array" ref="N219">IF($J219="MIRROR",IF($F219="MIRRORED","OK","INVALID - MIRROR needs MIRRORED"),IF(IFERROR(INDEX(Amount_Basis!$D$5:$D$100,MATCH($H219,Amount_Basis!$A$5:$A$100,0)),"")="SIGNED",IF($F219="DERIVED_FROM_SIGN","OK","INVALID - SIGNED basis needs DERIVED_FROM_SIGN"),IF(OR($F219="INCREASE",$F219="DECREASE",$F219="—"),"OK","INVALID - static direction required")))</f>
        <v>OK</v>
      </c>
      <c r="O219" s="9" t="s">
        <v>736</v>
      </c>
    </row>
    <row r="220" ht="15.75" customHeight="1">
      <c r="A220" s="12" t="s">
        <v>724</v>
      </c>
      <c r="B220" s="12" t="s">
        <v>743</v>
      </c>
      <c r="C220" s="12" t="s">
        <v>1240</v>
      </c>
      <c r="D220" s="12">
        <v>1.0</v>
      </c>
      <c r="E220" s="13" t="s">
        <v>457</v>
      </c>
      <c r="F220" s="12" t="s">
        <v>1234</v>
      </c>
      <c r="G220" s="20" t="str">
        <f t="array" ref="G220">IF(OR($F220="DERIVED_FROM_SIGN",$F220="MIRRORED"),"runtime",IFERROR(IF(INDEX(Balance_Taxonomy!$C$5:$C$400,MATCH($E220,Balance_Taxonomy!$B$5:$B$400,0))="Dr",IF($F220="INCREASE","Dr","Cr"),IF($F220="INCREASE","Cr","Dr")),"n/a"))</f>
        <v>runtime</v>
      </c>
      <c r="H220" s="12" t="s">
        <v>656</v>
      </c>
      <c r="I220" s="13" t="s">
        <v>1241</v>
      </c>
      <c r="J220" s="12" t="s">
        <v>135</v>
      </c>
      <c r="K220" s="20" t="str">
        <f>IF(OR($E220="—",LEFT($E220,1)="("),"n/a",IF(COUNTIF(Balance_Taxonomy!$B$5:$B$400,$E220)&gt;0,"OK","UNKNOWN TYPE"))</f>
        <v>OK</v>
      </c>
      <c r="L220" s="20" t="str">
        <f>IF(COUNTIF(Amount_Basis!$A$5:$A$100,$H220)&gt;0,"OK","UNKNOWN CODE")</f>
        <v>OK</v>
      </c>
      <c r="M220" s="20" t="str">
        <f t="shared" si="1"/>
        <v>OK</v>
      </c>
      <c r="N220" s="20" t="str">
        <f t="array" ref="N220">IF($J220="MIRROR",IF($F220="MIRRORED","OK","INVALID - MIRROR needs MIRRORED"),IF(IFERROR(INDEX(Amount_Basis!$D$5:$D$100,MATCH($H220,Amount_Basis!$A$5:$A$100,0)),"")="SIGNED",IF($F220="DERIVED_FROM_SIGN","OK","INVALID - SIGNED basis needs DERIVED_FROM_SIGN"),IF(OR($F220="INCREASE",$F220="DECREASE",$F220="—"),"OK","INVALID - static direction required")))</f>
        <v>OK</v>
      </c>
      <c r="O220" s="12" t="s">
        <v>746</v>
      </c>
    </row>
    <row r="221" ht="15.75" customHeight="1">
      <c r="A221" s="12" t="s">
        <v>724</v>
      </c>
      <c r="B221" s="12" t="s">
        <v>743</v>
      </c>
      <c r="C221" s="12" t="s">
        <v>1240</v>
      </c>
      <c r="D221" s="12">
        <v>1.0</v>
      </c>
      <c r="E221" s="13" t="s">
        <v>479</v>
      </c>
      <c r="F221" s="12" t="s">
        <v>1234</v>
      </c>
      <c r="G221" s="20" t="str">
        <f t="array" ref="G221">IF(OR($F221="DERIVED_FROM_SIGN",$F221="MIRRORED"),"runtime",IFERROR(IF(INDEX(Balance_Taxonomy!$C$5:$C$400,MATCH($E221,Balance_Taxonomy!$B$5:$B$400,0))="Dr",IF($F221="INCREASE","Dr","Cr"),IF($F221="INCREASE","Cr","Dr")),"n/a"))</f>
        <v>runtime</v>
      </c>
      <c r="H221" s="12" t="s">
        <v>656</v>
      </c>
      <c r="I221" s="13" t="s">
        <v>1241</v>
      </c>
      <c r="J221" s="12" t="s">
        <v>135</v>
      </c>
      <c r="K221" s="20" t="str">
        <f>IF(OR($E221="—",LEFT($E221,1)="("),"n/a",IF(COUNTIF(Balance_Taxonomy!$B$5:$B$400,$E221)&gt;0,"OK","UNKNOWN TYPE"))</f>
        <v>OK</v>
      </c>
      <c r="L221" s="20" t="str">
        <f>IF(COUNTIF(Amount_Basis!$A$5:$A$100,$H221)&gt;0,"OK","UNKNOWN CODE")</f>
        <v>OK</v>
      </c>
      <c r="M221" s="20" t="str">
        <f t="shared" si="1"/>
        <v>OK</v>
      </c>
      <c r="N221" s="20" t="str">
        <f t="array" ref="N221">IF($J221="MIRROR",IF($F221="MIRRORED","OK","INVALID - MIRROR needs MIRRORED"),IF(IFERROR(INDEX(Amount_Basis!$D$5:$D$100,MATCH($H221,Amount_Basis!$A$5:$A$100,0)),"")="SIGNED",IF($F221="DERIVED_FROM_SIGN","OK","INVALID - SIGNED basis needs DERIVED_FROM_SIGN"),IF(OR($F221="INCREASE",$F221="DECREASE",$F221="—"),"OK","INVALID - static direction required")))</f>
        <v>OK</v>
      </c>
      <c r="O221" s="12" t="s">
        <v>746</v>
      </c>
    </row>
    <row r="222" ht="15.75" customHeight="1">
      <c r="A222" s="9" t="s">
        <v>724</v>
      </c>
      <c r="B222" s="9" t="s">
        <v>753</v>
      </c>
      <c r="C222" s="9" t="s">
        <v>1185</v>
      </c>
      <c r="D222" s="9">
        <v>1.0</v>
      </c>
      <c r="E222" s="10" t="s">
        <v>1242</v>
      </c>
      <c r="F222" s="9" t="s">
        <v>1187</v>
      </c>
      <c r="G222" s="16" t="str">
        <f t="array" ref="G222">IF(OR($F222="DERIVED_FROM_SIGN",$F222="MIRRORED"),"runtime",IFERROR(IF(INDEX(Balance_Taxonomy!$C$5:$C$400,MATCH($E222,Balance_Taxonomy!$B$5:$B$400,0))="Dr",IF($F222="INCREASE","Dr","Cr"),IF($F222="INCREASE","Cr","Dr")),"n/a"))</f>
        <v>runtime</v>
      </c>
      <c r="H222" s="9" t="s">
        <v>640</v>
      </c>
      <c r="I222" s="10" t="s">
        <v>1188</v>
      </c>
      <c r="J222" s="9" t="s">
        <v>460</v>
      </c>
      <c r="K222" s="16" t="str">
        <f>IF(OR($E222="—",LEFT($E222,1)="("),"n/a",IF(COUNTIF(Balance_Taxonomy!$B$5:$B$400,$E222)&gt;0,"OK","UNKNOWN TYPE"))</f>
        <v>n/a</v>
      </c>
      <c r="L222" s="16" t="str">
        <f>IF(COUNTIF(Amount_Basis!$A$5:$A$100,$H222)&gt;0,"OK","UNKNOWN CODE")</f>
        <v>OK</v>
      </c>
      <c r="M222" s="16" t="str">
        <f t="shared" si="1"/>
        <v>OK</v>
      </c>
      <c r="N222" s="16" t="str">
        <f t="array" ref="N222">IF($J222="MIRROR",IF($F222="MIRRORED","OK","INVALID - MIRROR needs MIRRORED"),IF(IFERROR(INDEX(Amount_Basis!$D$5:$D$100,MATCH($H222,Amount_Basis!$A$5:$A$100,0)),"")="SIGNED",IF($F222="DERIVED_FROM_SIGN","OK","INVALID - SIGNED basis needs DERIVED_FROM_SIGN"),IF(OR($F222="INCREASE",$F222="DECREASE",$F222="—"),"OK","INVALID - static direction required")))</f>
        <v>OK</v>
      </c>
      <c r="O222" s="9" t="s">
        <v>258</v>
      </c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222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54.0"/>
    <col customWidth="1" min="3" max="3" width="22.0"/>
    <col customWidth="1" min="4" max="4" width="17.0"/>
    <col customWidth="1" min="5" max="5" width="86.0"/>
    <col customWidth="1" min="6" max="26" width="8.71"/>
  </cols>
  <sheetData>
    <row r="1">
      <c r="A1" s="1" t="s">
        <v>525</v>
      </c>
    </row>
    <row r="2">
      <c r="A2" s="3" t="s">
        <v>527</v>
      </c>
    </row>
    <row r="4" ht="30.0" customHeight="1">
      <c r="A4" s="6" t="s">
        <v>501</v>
      </c>
      <c r="B4" s="6" t="s">
        <v>528</v>
      </c>
      <c r="C4" s="6" t="s">
        <v>529</v>
      </c>
      <c r="D4" s="6" t="s">
        <v>530</v>
      </c>
      <c r="E4" s="6" t="s">
        <v>13</v>
      </c>
    </row>
    <row r="5">
      <c r="A5" s="12" t="s">
        <v>531</v>
      </c>
      <c r="B5" s="13" t="s">
        <v>532</v>
      </c>
      <c r="C5" s="12" t="s">
        <v>534</v>
      </c>
      <c r="D5" s="12" t="s">
        <v>535</v>
      </c>
      <c r="E5" s="13" t="s">
        <v>536</v>
      </c>
    </row>
    <row r="6">
      <c r="A6" s="9" t="s">
        <v>521</v>
      </c>
      <c r="B6" s="10" t="s">
        <v>539</v>
      </c>
      <c r="C6" s="9" t="s">
        <v>541</v>
      </c>
      <c r="D6" s="9" t="s">
        <v>535</v>
      </c>
      <c r="E6" s="10" t="s">
        <v>542</v>
      </c>
    </row>
    <row r="7">
      <c r="A7" s="12" t="s">
        <v>543</v>
      </c>
      <c r="B7" s="13" t="s">
        <v>544</v>
      </c>
      <c r="C7" s="12" t="s">
        <v>534</v>
      </c>
      <c r="D7" s="12" t="s">
        <v>535</v>
      </c>
      <c r="E7" s="13" t="s">
        <v>545</v>
      </c>
    </row>
    <row r="8">
      <c r="A8" s="9" t="s">
        <v>546</v>
      </c>
      <c r="B8" s="10" t="s">
        <v>547</v>
      </c>
      <c r="C8" s="9" t="s">
        <v>541</v>
      </c>
      <c r="D8" s="9" t="s">
        <v>535</v>
      </c>
      <c r="E8" s="10" t="s">
        <v>548</v>
      </c>
    </row>
    <row r="9">
      <c r="A9" s="12" t="s">
        <v>549</v>
      </c>
      <c r="B9" s="13" t="s">
        <v>550</v>
      </c>
      <c r="C9" s="12" t="s">
        <v>541</v>
      </c>
      <c r="D9" s="12" t="s">
        <v>535</v>
      </c>
      <c r="E9" s="13" t="s">
        <v>551</v>
      </c>
    </row>
    <row r="10">
      <c r="A10" s="9" t="s">
        <v>552</v>
      </c>
      <c r="B10" s="10" t="s">
        <v>553</v>
      </c>
      <c r="C10" s="9" t="s">
        <v>554</v>
      </c>
      <c r="D10" s="9" t="s">
        <v>535</v>
      </c>
      <c r="E10" s="10" t="s">
        <v>555</v>
      </c>
    </row>
    <row r="11">
      <c r="A11" s="12" t="s">
        <v>556</v>
      </c>
      <c r="B11" s="13" t="s">
        <v>557</v>
      </c>
      <c r="C11" s="12" t="s">
        <v>558</v>
      </c>
      <c r="D11" s="12" t="s">
        <v>535</v>
      </c>
      <c r="E11" s="13" t="s">
        <v>559</v>
      </c>
    </row>
    <row r="12">
      <c r="A12" s="9" t="s">
        <v>561</v>
      </c>
      <c r="B12" s="10" t="s">
        <v>563</v>
      </c>
      <c r="C12" s="9" t="s">
        <v>564</v>
      </c>
      <c r="D12" s="9" t="s">
        <v>535</v>
      </c>
      <c r="E12" s="10" t="s">
        <v>565</v>
      </c>
    </row>
    <row r="13">
      <c r="A13" s="12" t="s">
        <v>568</v>
      </c>
      <c r="B13" s="13" t="s">
        <v>569</v>
      </c>
      <c r="C13" s="12" t="s">
        <v>570</v>
      </c>
      <c r="D13" s="12" t="s">
        <v>535</v>
      </c>
      <c r="E13" s="13" t="s">
        <v>571</v>
      </c>
    </row>
    <row r="14">
      <c r="A14" s="9" t="s">
        <v>572</v>
      </c>
      <c r="B14" s="10" t="s">
        <v>573</v>
      </c>
      <c r="C14" s="9" t="s">
        <v>564</v>
      </c>
      <c r="D14" s="9" t="s">
        <v>535</v>
      </c>
      <c r="E14" s="10" t="s">
        <v>574</v>
      </c>
    </row>
    <row r="15">
      <c r="A15" s="12" t="s">
        <v>575</v>
      </c>
      <c r="B15" s="13" t="s">
        <v>576</v>
      </c>
      <c r="C15" s="12" t="s">
        <v>577</v>
      </c>
      <c r="D15" s="12" t="s">
        <v>535</v>
      </c>
      <c r="E15" s="13" t="s">
        <v>579</v>
      </c>
    </row>
    <row r="16">
      <c r="A16" s="9" t="s">
        <v>581</v>
      </c>
      <c r="B16" s="10" t="s">
        <v>583</v>
      </c>
      <c r="C16" s="9" t="s">
        <v>564</v>
      </c>
      <c r="D16" s="9" t="s">
        <v>535</v>
      </c>
      <c r="E16" s="10" t="s">
        <v>584</v>
      </c>
    </row>
    <row r="17">
      <c r="A17" s="12" t="s">
        <v>585</v>
      </c>
      <c r="B17" s="13" t="s">
        <v>586</v>
      </c>
      <c r="C17" s="12" t="s">
        <v>564</v>
      </c>
      <c r="D17" s="12" t="s">
        <v>535</v>
      </c>
      <c r="E17" s="13" t="s">
        <v>197</v>
      </c>
    </row>
    <row r="18">
      <c r="A18" s="9" t="s">
        <v>587</v>
      </c>
      <c r="B18" s="10" t="s">
        <v>532</v>
      </c>
      <c r="C18" s="9" t="s">
        <v>534</v>
      </c>
      <c r="D18" s="9" t="s">
        <v>535</v>
      </c>
      <c r="E18" s="10" t="s">
        <v>588</v>
      </c>
    </row>
    <row r="19">
      <c r="A19" s="12" t="s">
        <v>589</v>
      </c>
      <c r="B19" s="13" t="s">
        <v>591</v>
      </c>
      <c r="C19" s="12" t="s">
        <v>541</v>
      </c>
      <c r="D19" s="12" t="s">
        <v>535</v>
      </c>
      <c r="E19" s="13" t="s">
        <v>593</v>
      </c>
    </row>
    <row r="20">
      <c r="A20" s="9" t="s">
        <v>596</v>
      </c>
      <c r="B20" s="10" t="s">
        <v>597</v>
      </c>
      <c r="C20" s="9" t="s">
        <v>598</v>
      </c>
      <c r="D20" s="9" t="s">
        <v>535</v>
      </c>
      <c r="E20" s="10" t="s">
        <v>599</v>
      </c>
    </row>
    <row r="21" ht="15.75" customHeight="1">
      <c r="A21" s="12" t="s">
        <v>600</v>
      </c>
      <c r="B21" s="13" t="s">
        <v>601</v>
      </c>
      <c r="C21" s="12" t="s">
        <v>598</v>
      </c>
      <c r="D21" s="12" t="s">
        <v>535</v>
      </c>
      <c r="E21" s="13" t="s">
        <v>602</v>
      </c>
    </row>
    <row r="22" ht="15.75" customHeight="1">
      <c r="A22" s="9" t="s">
        <v>603</v>
      </c>
      <c r="B22" s="10" t="s">
        <v>604</v>
      </c>
      <c r="C22" s="9" t="s">
        <v>564</v>
      </c>
      <c r="D22" s="9" t="s">
        <v>535</v>
      </c>
      <c r="E22" s="10" t="s">
        <v>607</v>
      </c>
    </row>
    <row r="23" ht="15.75" customHeight="1">
      <c r="A23" s="12" t="s">
        <v>609</v>
      </c>
      <c r="B23" s="13" t="s">
        <v>610</v>
      </c>
      <c r="C23" s="12" t="s">
        <v>577</v>
      </c>
      <c r="D23" s="12" t="s">
        <v>535</v>
      </c>
      <c r="E23" s="13" t="s">
        <v>611</v>
      </c>
    </row>
    <row r="24" ht="15.75" customHeight="1">
      <c r="A24" s="9" t="s">
        <v>612</v>
      </c>
      <c r="B24" s="10" t="s">
        <v>613</v>
      </c>
      <c r="C24" s="9" t="s">
        <v>614</v>
      </c>
      <c r="D24" s="9" t="s">
        <v>535</v>
      </c>
      <c r="E24" s="10" t="s">
        <v>615</v>
      </c>
    </row>
    <row r="25" ht="15.75" customHeight="1">
      <c r="A25" s="12" t="s">
        <v>616</v>
      </c>
      <c r="B25" s="13" t="s">
        <v>617</v>
      </c>
      <c r="C25" s="12" t="s">
        <v>618</v>
      </c>
      <c r="D25" s="12" t="s">
        <v>619</v>
      </c>
      <c r="E25" s="13" t="s">
        <v>620</v>
      </c>
    </row>
    <row r="26" ht="15.75" customHeight="1">
      <c r="A26" s="9" t="s">
        <v>623</v>
      </c>
      <c r="B26" s="10" t="s">
        <v>624</v>
      </c>
      <c r="C26" s="9" t="s">
        <v>618</v>
      </c>
      <c r="D26" s="9" t="s">
        <v>535</v>
      </c>
      <c r="E26" s="10" t="s">
        <v>627</v>
      </c>
    </row>
    <row r="27" ht="15.75" customHeight="1">
      <c r="A27" s="12" t="s">
        <v>628</v>
      </c>
      <c r="B27" s="13" t="s">
        <v>629</v>
      </c>
      <c r="C27" s="12" t="s">
        <v>598</v>
      </c>
      <c r="D27" s="12" t="s">
        <v>535</v>
      </c>
      <c r="E27" s="13" t="s">
        <v>630</v>
      </c>
    </row>
    <row r="28" ht="15.75" customHeight="1">
      <c r="A28" s="9" t="s">
        <v>631</v>
      </c>
      <c r="B28" s="10" t="s">
        <v>632</v>
      </c>
      <c r="C28" s="9" t="s">
        <v>570</v>
      </c>
      <c r="D28" s="9" t="s">
        <v>535</v>
      </c>
      <c r="E28" s="10" t="s">
        <v>633</v>
      </c>
    </row>
    <row r="29" ht="15.75" customHeight="1">
      <c r="A29" s="12" t="s">
        <v>634</v>
      </c>
      <c r="B29" s="13" t="s">
        <v>532</v>
      </c>
      <c r="C29" s="12" t="s">
        <v>534</v>
      </c>
      <c r="D29" s="12" t="s">
        <v>535</v>
      </c>
      <c r="E29" s="13" t="s">
        <v>636</v>
      </c>
    </row>
    <row r="30" ht="15.75" customHeight="1">
      <c r="A30" s="9" t="s">
        <v>637</v>
      </c>
      <c r="B30" s="10" t="s">
        <v>532</v>
      </c>
      <c r="C30" s="9" t="s">
        <v>534</v>
      </c>
      <c r="D30" s="9" t="s">
        <v>535</v>
      </c>
      <c r="E30" s="10" t="s">
        <v>639</v>
      </c>
    </row>
    <row r="31" ht="15.75" customHeight="1">
      <c r="A31" s="12" t="s">
        <v>640</v>
      </c>
      <c r="B31" s="13" t="s">
        <v>641</v>
      </c>
      <c r="C31" s="12" t="s">
        <v>642</v>
      </c>
      <c r="D31" s="12" t="s">
        <v>619</v>
      </c>
      <c r="E31" s="13" t="s">
        <v>643</v>
      </c>
    </row>
    <row r="32" ht="15.75" customHeight="1">
      <c r="A32" s="9" t="s">
        <v>644</v>
      </c>
      <c r="B32" s="10" t="s">
        <v>532</v>
      </c>
      <c r="C32" s="9" t="s">
        <v>534</v>
      </c>
      <c r="D32" s="9" t="s">
        <v>535</v>
      </c>
      <c r="E32" s="10" t="s">
        <v>645</v>
      </c>
    </row>
    <row r="33" ht="15.75" customHeight="1">
      <c r="A33" s="12" t="s">
        <v>646</v>
      </c>
      <c r="B33" s="13" t="s">
        <v>647</v>
      </c>
      <c r="C33" s="12" t="s">
        <v>648</v>
      </c>
      <c r="D33" s="12" t="s">
        <v>535</v>
      </c>
      <c r="E33" s="13" t="s">
        <v>650</v>
      </c>
    </row>
    <row r="34" ht="15.75" customHeight="1">
      <c r="A34" s="9" t="s">
        <v>652</v>
      </c>
      <c r="B34" s="10" t="s">
        <v>654</v>
      </c>
      <c r="C34" s="9" t="s">
        <v>564</v>
      </c>
      <c r="D34" s="9" t="s">
        <v>535</v>
      </c>
      <c r="E34" s="10" t="s">
        <v>655</v>
      </c>
    </row>
    <row r="35" ht="15.75" customHeight="1">
      <c r="A35" s="12" t="s">
        <v>656</v>
      </c>
      <c r="B35" s="13" t="s">
        <v>657</v>
      </c>
      <c r="C35" s="12" t="s">
        <v>658</v>
      </c>
      <c r="D35" s="12" t="s">
        <v>619</v>
      </c>
      <c r="E35" s="13" t="s">
        <v>659</v>
      </c>
    </row>
    <row r="36" ht="15.75" customHeight="1">
      <c r="A36" s="9" t="s">
        <v>660</v>
      </c>
      <c r="B36" s="10" t="s">
        <v>661</v>
      </c>
      <c r="C36" s="9" t="s">
        <v>307</v>
      </c>
      <c r="D36" s="9" t="s">
        <v>662</v>
      </c>
      <c r="E36" s="10" t="s">
        <v>663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36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" width="26.0"/>
    <col customWidth="1" min="3" max="26" width="8.71"/>
  </cols>
  <sheetData>
    <row r="1">
      <c r="A1" s="1" t="s">
        <v>681</v>
      </c>
    </row>
    <row r="2">
      <c r="A2" s="3" t="s">
        <v>682</v>
      </c>
    </row>
    <row r="4">
      <c r="A4" s="14" t="s">
        <v>683</v>
      </c>
      <c r="B4" s="14" t="s">
        <v>686</v>
      </c>
    </row>
    <row r="5">
      <c r="A5" s="21" t="s">
        <v>689</v>
      </c>
      <c r="B5" s="22">
        <f>COUNTA(L1_Event_Catalogue!$B$5:$B$400)</f>
        <v>57</v>
      </c>
    </row>
    <row r="6">
      <c r="A6" s="21" t="s">
        <v>697</v>
      </c>
      <c r="B6" s="22">
        <f>COUNTIF(L1_Event_Catalogue!$I$5:$I$400,"OK")</f>
        <v>57</v>
      </c>
    </row>
    <row r="7">
      <c r="A7" s="21" t="s">
        <v>701</v>
      </c>
      <c r="B7" s="22">
        <f>B5-B6</f>
        <v>0</v>
      </c>
    </row>
    <row r="8">
      <c r="A8" s="21" t="s">
        <v>704</v>
      </c>
      <c r="B8" s="22">
        <f>COUNTA(L2_Balance_Movement!$B$5:$B$600)</f>
        <v>218</v>
      </c>
    </row>
    <row r="9">
      <c r="A9" s="21" t="s">
        <v>709</v>
      </c>
      <c r="B9" s="22">
        <f>COUNTIF(L2_Balance_Movement!$K$5:$K$600,"UNKNOWN TYPE")</f>
        <v>0</v>
      </c>
    </row>
    <row r="10">
      <c r="A10" s="21" t="s">
        <v>714</v>
      </c>
      <c r="B10" s="22">
        <f>COUNTIF(L2_Balance_Movement!$L$5:$L$600,"UNKNOWN CODE")</f>
        <v>0</v>
      </c>
    </row>
    <row r="11">
      <c r="A11" s="21" t="s">
        <v>718</v>
      </c>
      <c r="B11" s="22">
        <f>COUNTIF(L2_Balance_Movement!$M$5:$M$600,"INVALID*")</f>
        <v>0</v>
      </c>
    </row>
    <row r="12">
      <c r="A12" s="21" t="s">
        <v>719</v>
      </c>
      <c r="B12" s="22">
        <f>COUNTIF(L2_Balance_Movement!$N$5:$N$600,"INVALID*")</f>
        <v>0</v>
      </c>
    </row>
    <row r="13">
      <c r="A13" s="21" t="s">
        <v>723</v>
      </c>
      <c r="B13" s="22">
        <f>COUNTA(Amount_Basis!$A$5:$A$100)</f>
        <v>32</v>
      </c>
    </row>
    <row r="14">
      <c r="A14" s="21" t="s">
        <v>728</v>
      </c>
      <c r="B14" s="22">
        <f>SUMPRODUCT((Amount_Basis!$A$5:$A$100&lt;&gt;"")*(COUNTIF(L2_Balance_Movement!$H$5:$H$600,Amount_Basis!$A$5:$A$100&amp;"")=0))</f>
        <v>0</v>
      </c>
    </row>
    <row r="15">
      <c r="A15" s="23" t="s">
        <v>737</v>
      </c>
      <c r="B15" s="22" t="str">
        <f>IF(AND(B7=0,B9=0,B10=0,B11=0,B12=0,B14=0),"PASS","FAIL — BLOCK BUILD")</f>
        <v>PASS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4.0"/>
    <col customWidth="1" min="3" max="3" width="26.0"/>
    <col customWidth="1" min="4" max="4" width="11.0"/>
    <col customWidth="1" min="5" max="5" width="16.0"/>
    <col customWidth="1" min="6" max="6" width="20.0"/>
    <col customWidth="1" min="7" max="7" width="48.0"/>
    <col customWidth="1" min="8" max="8" width="18.0"/>
    <col customWidth="1" min="9" max="9" width="12.0"/>
    <col customWidth="1" min="10" max="26" width="8.71"/>
  </cols>
  <sheetData>
    <row r="1">
      <c r="A1" s="1" t="s">
        <v>740</v>
      </c>
    </row>
    <row r="2">
      <c r="A2" s="3" t="s">
        <v>741</v>
      </c>
    </row>
    <row r="4" ht="30.0" customHeight="1">
      <c r="A4" s="6" t="s">
        <v>742</v>
      </c>
      <c r="B4" s="6" t="s">
        <v>12</v>
      </c>
      <c r="C4" s="6" t="s">
        <v>7</v>
      </c>
      <c r="D4" s="6" t="s">
        <v>745</v>
      </c>
      <c r="E4" s="6" t="s">
        <v>747</v>
      </c>
      <c r="F4" s="6" t="s">
        <v>748</v>
      </c>
      <c r="G4" s="6" t="s">
        <v>749</v>
      </c>
      <c r="H4" s="6" t="s">
        <v>750</v>
      </c>
      <c r="I4" s="6" t="s">
        <v>751</v>
      </c>
    </row>
    <row r="5">
      <c r="A5" s="11" t="s">
        <v>752</v>
      </c>
      <c r="B5" s="12" t="s">
        <v>38</v>
      </c>
      <c r="C5" s="12" t="s">
        <v>23</v>
      </c>
      <c r="D5" s="11" t="s">
        <v>754</v>
      </c>
      <c r="E5" s="11" t="s">
        <v>756</v>
      </c>
      <c r="F5" s="11" t="s">
        <v>757</v>
      </c>
      <c r="G5" s="24" t="s">
        <v>759</v>
      </c>
      <c r="H5" s="11" t="s">
        <v>760</v>
      </c>
      <c r="I5" s="20" t="str">
        <f t="shared" ref="I5:I55" si="1">IF(COUNTBLANK($A5:$H5)=0,"OK","INCOMPLETE")</f>
        <v>OK</v>
      </c>
    </row>
    <row r="6">
      <c r="A6" s="11"/>
      <c r="B6" s="9" t="s">
        <v>25</v>
      </c>
      <c r="C6" s="9" t="s">
        <v>23</v>
      </c>
      <c r="D6" s="11"/>
      <c r="E6" s="11"/>
      <c r="F6" s="11"/>
      <c r="G6" s="24"/>
      <c r="H6" s="11"/>
      <c r="I6" s="16" t="str">
        <f t="shared" si="1"/>
        <v>INCOMPLETE</v>
      </c>
    </row>
    <row r="7">
      <c r="A7" s="11"/>
      <c r="B7" s="12" t="s">
        <v>47</v>
      </c>
      <c r="C7" s="12" t="s">
        <v>23</v>
      </c>
      <c r="D7" s="11"/>
      <c r="E7" s="11"/>
      <c r="F7" s="11"/>
      <c r="G7" s="24"/>
      <c r="H7" s="11"/>
      <c r="I7" s="20" t="str">
        <f t="shared" si="1"/>
        <v>INCOMPLETE</v>
      </c>
    </row>
    <row r="8">
      <c r="A8" s="11"/>
      <c r="B8" s="9" t="s">
        <v>57</v>
      </c>
      <c r="C8" s="9" t="s">
        <v>23</v>
      </c>
      <c r="D8" s="11"/>
      <c r="E8" s="11"/>
      <c r="F8" s="11"/>
      <c r="G8" s="24"/>
      <c r="H8" s="11"/>
      <c r="I8" s="16" t="str">
        <f t="shared" si="1"/>
        <v>INCOMPLETE</v>
      </c>
    </row>
    <row r="9">
      <c r="A9" s="11"/>
      <c r="B9" s="12" t="s">
        <v>65</v>
      </c>
      <c r="C9" s="12" t="s">
        <v>23</v>
      </c>
      <c r="D9" s="11"/>
      <c r="E9" s="11"/>
      <c r="F9" s="11"/>
      <c r="G9" s="24"/>
      <c r="H9" s="11"/>
      <c r="I9" s="20" t="str">
        <f t="shared" si="1"/>
        <v>INCOMPLETE</v>
      </c>
    </row>
    <row r="10">
      <c r="A10" s="11"/>
      <c r="B10" s="9" t="s">
        <v>75</v>
      </c>
      <c r="C10" s="9" t="s">
        <v>23</v>
      </c>
      <c r="D10" s="11"/>
      <c r="E10" s="11"/>
      <c r="F10" s="11"/>
      <c r="G10" s="24"/>
      <c r="H10" s="11"/>
      <c r="I10" s="16" t="str">
        <f t="shared" si="1"/>
        <v>INCOMPLETE</v>
      </c>
    </row>
    <row r="11">
      <c r="A11" s="11"/>
      <c r="B11" s="12" t="s">
        <v>87</v>
      </c>
      <c r="C11" s="12" t="s">
        <v>23</v>
      </c>
      <c r="D11" s="11"/>
      <c r="E11" s="11"/>
      <c r="F11" s="11"/>
      <c r="G11" s="24"/>
      <c r="H11" s="11"/>
      <c r="I11" s="20" t="str">
        <f t="shared" si="1"/>
        <v>INCOMPLETE</v>
      </c>
    </row>
    <row r="12">
      <c r="A12" s="11"/>
      <c r="B12" s="9" t="s">
        <v>99</v>
      </c>
      <c r="C12" s="9" t="s">
        <v>23</v>
      </c>
      <c r="D12" s="11"/>
      <c r="E12" s="11"/>
      <c r="F12" s="11"/>
      <c r="G12" s="24"/>
      <c r="H12" s="11"/>
      <c r="I12" s="16" t="str">
        <f t="shared" si="1"/>
        <v>INCOMPLETE</v>
      </c>
    </row>
    <row r="13">
      <c r="A13" s="11"/>
      <c r="B13" s="12" t="s">
        <v>122</v>
      </c>
      <c r="C13" s="12" t="s">
        <v>120</v>
      </c>
      <c r="D13" s="11"/>
      <c r="E13" s="11"/>
      <c r="F13" s="11"/>
      <c r="G13" s="24"/>
      <c r="H13" s="11"/>
      <c r="I13" s="20" t="str">
        <f t="shared" si="1"/>
        <v>INCOMPLETE</v>
      </c>
    </row>
    <row r="14">
      <c r="A14" s="11"/>
      <c r="B14" s="9" t="s">
        <v>139</v>
      </c>
      <c r="C14" s="9" t="s">
        <v>120</v>
      </c>
      <c r="D14" s="11"/>
      <c r="E14" s="11"/>
      <c r="F14" s="11"/>
      <c r="G14" s="24"/>
      <c r="H14" s="11"/>
      <c r="I14" s="16" t="str">
        <f t="shared" si="1"/>
        <v>INCOMPLETE</v>
      </c>
    </row>
    <row r="15">
      <c r="A15" s="11"/>
      <c r="B15" s="12" t="s">
        <v>150</v>
      </c>
      <c r="C15" s="12" t="s">
        <v>120</v>
      </c>
      <c r="D15" s="11"/>
      <c r="E15" s="11"/>
      <c r="F15" s="11"/>
      <c r="G15" s="24"/>
      <c r="H15" s="11"/>
      <c r="I15" s="20" t="str">
        <f t="shared" si="1"/>
        <v>INCOMPLETE</v>
      </c>
    </row>
    <row r="16">
      <c r="A16" s="11"/>
      <c r="B16" s="9" t="s">
        <v>159</v>
      </c>
      <c r="C16" s="9" t="s">
        <v>120</v>
      </c>
      <c r="D16" s="11"/>
      <c r="E16" s="11"/>
      <c r="F16" s="11"/>
      <c r="G16" s="24"/>
      <c r="H16" s="11"/>
      <c r="I16" s="16" t="str">
        <f t="shared" si="1"/>
        <v>INCOMPLETE</v>
      </c>
    </row>
    <row r="17">
      <c r="A17" s="11"/>
      <c r="B17" s="12" t="s">
        <v>172</v>
      </c>
      <c r="C17" s="12" t="s">
        <v>120</v>
      </c>
      <c r="D17" s="11"/>
      <c r="E17" s="11"/>
      <c r="F17" s="11"/>
      <c r="G17" s="24"/>
      <c r="H17" s="11"/>
      <c r="I17" s="20" t="str">
        <f t="shared" si="1"/>
        <v>INCOMPLETE</v>
      </c>
    </row>
    <row r="18">
      <c r="A18" s="11"/>
      <c r="B18" s="9" t="s">
        <v>181</v>
      </c>
      <c r="C18" s="9" t="s">
        <v>120</v>
      </c>
      <c r="D18" s="11"/>
      <c r="E18" s="11"/>
      <c r="F18" s="11"/>
      <c r="G18" s="24"/>
      <c r="H18" s="11"/>
      <c r="I18" s="16" t="str">
        <f t="shared" si="1"/>
        <v>INCOMPLETE</v>
      </c>
    </row>
    <row r="19">
      <c r="A19" s="11"/>
      <c r="B19" s="12" t="s">
        <v>187</v>
      </c>
      <c r="C19" s="12" t="s">
        <v>120</v>
      </c>
      <c r="D19" s="11"/>
      <c r="E19" s="11"/>
      <c r="F19" s="11"/>
      <c r="G19" s="24"/>
      <c r="H19" s="11"/>
      <c r="I19" s="20" t="str">
        <f t="shared" si="1"/>
        <v>INCOMPLETE</v>
      </c>
    </row>
    <row r="20">
      <c r="A20" s="11"/>
      <c r="B20" s="9" t="s">
        <v>198</v>
      </c>
      <c r="C20" s="9" t="s">
        <v>120</v>
      </c>
      <c r="D20" s="11"/>
      <c r="E20" s="11"/>
      <c r="F20" s="11"/>
      <c r="G20" s="24"/>
      <c r="H20" s="11"/>
      <c r="I20" s="16" t="str">
        <f t="shared" si="1"/>
        <v>INCOMPLETE</v>
      </c>
    </row>
    <row r="21" ht="15.75" customHeight="1">
      <c r="A21" s="11"/>
      <c r="B21" s="12" t="s">
        <v>211</v>
      </c>
      <c r="C21" s="12" t="s">
        <v>120</v>
      </c>
      <c r="D21" s="11"/>
      <c r="E21" s="11"/>
      <c r="F21" s="11"/>
      <c r="G21" s="24"/>
      <c r="H21" s="11"/>
      <c r="I21" s="20" t="str">
        <f t="shared" si="1"/>
        <v>INCOMPLETE</v>
      </c>
    </row>
    <row r="22" ht="15.75" customHeight="1">
      <c r="A22" s="11"/>
      <c r="B22" s="9" t="s">
        <v>225</v>
      </c>
      <c r="C22" s="9" t="s">
        <v>120</v>
      </c>
      <c r="D22" s="11"/>
      <c r="E22" s="11"/>
      <c r="F22" s="11"/>
      <c r="G22" s="24"/>
      <c r="H22" s="11"/>
      <c r="I22" s="16" t="str">
        <f t="shared" si="1"/>
        <v>INCOMPLETE</v>
      </c>
    </row>
    <row r="23" ht="15.75" customHeight="1">
      <c r="A23" s="11"/>
      <c r="B23" s="12" t="s">
        <v>241</v>
      </c>
      <c r="C23" s="12" t="s">
        <v>120</v>
      </c>
      <c r="D23" s="11"/>
      <c r="E23" s="11"/>
      <c r="F23" s="11"/>
      <c r="G23" s="24"/>
      <c r="H23" s="11"/>
      <c r="I23" s="20" t="str">
        <f t="shared" si="1"/>
        <v>INCOMPLETE</v>
      </c>
    </row>
    <row r="24" ht="15.75" customHeight="1">
      <c r="A24" s="11"/>
      <c r="B24" s="9" t="s">
        <v>254</v>
      </c>
      <c r="C24" s="9" t="s">
        <v>120</v>
      </c>
      <c r="D24" s="11"/>
      <c r="E24" s="11"/>
      <c r="F24" s="11"/>
      <c r="G24" s="24"/>
      <c r="H24" s="11"/>
      <c r="I24" s="16" t="str">
        <f t="shared" si="1"/>
        <v>INCOMPLETE</v>
      </c>
    </row>
    <row r="25" ht="15.75" customHeight="1">
      <c r="A25" s="11"/>
      <c r="B25" s="12" t="s">
        <v>265</v>
      </c>
      <c r="C25" s="12" t="s">
        <v>120</v>
      </c>
      <c r="D25" s="11"/>
      <c r="E25" s="11"/>
      <c r="F25" s="11"/>
      <c r="G25" s="24"/>
      <c r="H25" s="11"/>
      <c r="I25" s="20" t="str">
        <f t="shared" si="1"/>
        <v>INCOMPLETE</v>
      </c>
    </row>
    <row r="26" ht="15.75" customHeight="1">
      <c r="A26" s="11"/>
      <c r="B26" s="9" t="s">
        <v>282</v>
      </c>
      <c r="C26" s="9" t="s">
        <v>120</v>
      </c>
      <c r="D26" s="11"/>
      <c r="E26" s="11"/>
      <c r="F26" s="11"/>
      <c r="G26" s="24"/>
      <c r="H26" s="11"/>
      <c r="I26" s="16" t="str">
        <f t="shared" si="1"/>
        <v>INCOMPLETE</v>
      </c>
    </row>
    <row r="27" ht="15.75" customHeight="1">
      <c r="A27" s="11"/>
      <c r="B27" s="12" t="s">
        <v>296</v>
      </c>
      <c r="C27" s="12" t="s">
        <v>120</v>
      </c>
      <c r="D27" s="11"/>
      <c r="E27" s="11"/>
      <c r="F27" s="11"/>
      <c r="G27" s="24"/>
      <c r="H27" s="11"/>
      <c r="I27" s="20" t="str">
        <f t="shared" si="1"/>
        <v>INCOMPLETE</v>
      </c>
    </row>
    <row r="28" ht="15.75" customHeight="1">
      <c r="A28" s="11"/>
      <c r="B28" s="9" t="s">
        <v>312</v>
      </c>
      <c r="C28" s="9" t="s">
        <v>310</v>
      </c>
      <c r="D28" s="11"/>
      <c r="E28" s="11"/>
      <c r="F28" s="11"/>
      <c r="G28" s="24"/>
      <c r="H28" s="11"/>
      <c r="I28" s="16" t="str">
        <f t="shared" si="1"/>
        <v>INCOMPLETE</v>
      </c>
    </row>
    <row r="29" ht="15.75" customHeight="1">
      <c r="A29" s="11"/>
      <c r="B29" s="12" t="s">
        <v>327</v>
      </c>
      <c r="C29" s="12" t="s">
        <v>325</v>
      </c>
      <c r="D29" s="11"/>
      <c r="E29" s="11"/>
      <c r="F29" s="11"/>
      <c r="G29" s="24"/>
      <c r="H29" s="11"/>
      <c r="I29" s="20" t="str">
        <f t="shared" si="1"/>
        <v>INCOMPLETE</v>
      </c>
    </row>
    <row r="30" ht="15.75" customHeight="1">
      <c r="A30" s="11"/>
      <c r="B30" s="9" t="s">
        <v>333</v>
      </c>
      <c r="C30" s="9" t="s">
        <v>325</v>
      </c>
      <c r="D30" s="11"/>
      <c r="E30" s="11"/>
      <c r="F30" s="11"/>
      <c r="G30" s="24"/>
      <c r="H30" s="11"/>
      <c r="I30" s="16" t="str">
        <f t="shared" si="1"/>
        <v>INCOMPLETE</v>
      </c>
    </row>
    <row r="31" ht="15.75" customHeight="1">
      <c r="A31" s="11"/>
      <c r="B31" s="12" t="s">
        <v>338</v>
      </c>
      <c r="C31" s="12" t="s">
        <v>325</v>
      </c>
      <c r="D31" s="11"/>
      <c r="E31" s="11"/>
      <c r="F31" s="11"/>
      <c r="G31" s="24"/>
      <c r="H31" s="11"/>
      <c r="I31" s="20" t="str">
        <f t="shared" si="1"/>
        <v>INCOMPLETE</v>
      </c>
    </row>
    <row r="32" ht="15.75" customHeight="1">
      <c r="A32" s="11"/>
      <c r="B32" s="9" t="s">
        <v>344</v>
      </c>
      <c r="C32" s="9" t="s">
        <v>325</v>
      </c>
      <c r="D32" s="11"/>
      <c r="E32" s="11"/>
      <c r="F32" s="11"/>
      <c r="G32" s="24"/>
      <c r="H32" s="11"/>
      <c r="I32" s="16" t="str">
        <f t="shared" si="1"/>
        <v>INCOMPLETE</v>
      </c>
    </row>
    <row r="33" ht="15.75" customHeight="1">
      <c r="A33" s="11"/>
      <c r="B33" s="12" t="s">
        <v>347</v>
      </c>
      <c r="C33" s="12" t="s">
        <v>325</v>
      </c>
      <c r="D33" s="11"/>
      <c r="E33" s="11"/>
      <c r="F33" s="11"/>
      <c r="G33" s="24"/>
      <c r="H33" s="11"/>
      <c r="I33" s="20" t="str">
        <f t="shared" si="1"/>
        <v>INCOMPLETE</v>
      </c>
    </row>
    <row r="34" ht="15.75" customHeight="1">
      <c r="A34" s="11"/>
      <c r="B34" s="9" t="s">
        <v>357</v>
      </c>
      <c r="C34" s="9" t="s">
        <v>325</v>
      </c>
      <c r="D34" s="11"/>
      <c r="E34" s="11"/>
      <c r="F34" s="11"/>
      <c r="G34" s="24"/>
      <c r="H34" s="11"/>
      <c r="I34" s="16" t="str">
        <f t="shared" si="1"/>
        <v>INCOMPLETE</v>
      </c>
    </row>
    <row r="35" ht="15.75" customHeight="1">
      <c r="A35" s="11"/>
      <c r="B35" s="12" t="s">
        <v>363</v>
      </c>
      <c r="C35" s="12" t="s">
        <v>325</v>
      </c>
      <c r="D35" s="11"/>
      <c r="E35" s="11"/>
      <c r="F35" s="11"/>
      <c r="G35" s="24"/>
      <c r="H35" s="11"/>
      <c r="I35" s="20" t="str">
        <f t="shared" si="1"/>
        <v>INCOMPLETE</v>
      </c>
    </row>
    <row r="36" ht="15.75" customHeight="1">
      <c r="A36" s="11"/>
      <c r="B36" s="9" t="s">
        <v>372</v>
      </c>
      <c r="C36" s="9" t="s">
        <v>325</v>
      </c>
      <c r="D36" s="11"/>
      <c r="E36" s="11"/>
      <c r="F36" s="11"/>
      <c r="G36" s="24"/>
      <c r="H36" s="11"/>
      <c r="I36" s="16" t="str">
        <f t="shared" si="1"/>
        <v>INCOMPLETE</v>
      </c>
    </row>
    <row r="37" ht="15.75" customHeight="1">
      <c r="A37" s="11"/>
      <c r="B37" s="12" t="s">
        <v>375</v>
      </c>
      <c r="C37" s="12" t="s">
        <v>325</v>
      </c>
      <c r="D37" s="11"/>
      <c r="E37" s="11"/>
      <c r="F37" s="11"/>
      <c r="G37" s="24"/>
      <c r="H37" s="11"/>
      <c r="I37" s="20" t="str">
        <f t="shared" si="1"/>
        <v>INCOMPLETE</v>
      </c>
    </row>
    <row r="38" ht="15.75" customHeight="1">
      <c r="A38" s="11"/>
      <c r="B38" s="9" t="s">
        <v>380</v>
      </c>
      <c r="C38" s="9" t="s">
        <v>378</v>
      </c>
      <c r="D38" s="11"/>
      <c r="E38" s="11"/>
      <c r="F38" s="11"/>
      <c r="G38" s="24"/>
      <c r="H38" s="11"/>
      <c r="I38" s="16" t="str">
        <f t="shared" si="1"/>
        <v>INCOMPLETE</v>
      </c>
    </row>
    <row r="39" ht="15.75" customHeight="1">
      <c r="A39" s="11"/>
      <c r="B39" s="12" t="s">
        <v>388</v>
      </c>
      <c r="C39" s="12" t="s">
        <v>378</v>
      </c>
      <c r="D39" s="11"/>
      <c r="E39" s="11"/>
      <c r="F39" s="11"/>
      <c r="G39" s="24"/>
      <c r="H39" s="11"/>
      <c r="I39" s="20" t="str">
        <f t="shared" si="1"/>
        <v>INCOMPLETE</v>
      </c>
    </row>
    <row r="40" ht="15.75" customHeight="1">
      <c r="A40" s="11"/>
      <c r="B40" s="9" t="s">
        <v>393</v>
      </c>
      <c r="C40" s="9" t="s">
        <v>378</v>
      </c>
      <c r="D40" s="11"/>
      <c r="E40" s="11"/>
      <c r="F40" s="11"/>
      <c r="G40" s="24"/>
      <c r="H40" s="11"/>
      <c r="I40" s="16" t="str">
        <f t="shared" si="1"/>
        <v>INCOMPLETE</v>
      </c>
    </row>
    <row r="41" ht="15.75" customHeight="1">
      <c r="A41" s="11"/>
      <c r="B41" s="12" t="s">
        <v>398</v>
      </c>
      <c r="C41" s="12" t="s">
        <v>378</v>
      </c>
      <c r="D41" s="11"/>
      <c r="E41" s="11"/>
      <c r="F41" s="11"/>
      <c r="G41" s="24"/>
      <c r="H41" s="11"/>
      <c r="I41" s="20" t="str">
        <f t="shared" si="1"/>
        <v>INCOMPLETE</v>
      </c>
    </row>
    <row r="42" ht="15.75" customHeight="1">
      <c r="A42" s="11"/>
      <c r="B42" s="9" t="s">
        <v>406</v>
      </c>
      <c r="C42" s="9" t="s">
        <v>326</v>
      </c>
      <c r="D42" s="11"/>
      <c r="E42" s="11"/>
      <c r="F42" s="11"/>
      <c r="G42" s="24"/>
      <c r="H42" s="11"/>
      <c r="I42" s="16" t="str">
        <f t="shared" si="1"/>
        <v>INCOMPLETE</v>
      </c>
    </row>
    <row r="43" ht="15.75" customHeight="1">
      <c r="A43" s="11"/>
      <c r="B43" s="12" t="s">
        <v>411</v>
      </c>
      <c r="C43" s="12" t="s">
        <v>326</v>
      </c>
      <c r="D43" s="11"/>
      <c r="E43" s="11"/>
      <c r="F43" s="11"/>
      <c r="G43" s="24"/>
      <c r="H43" s="11"/>
      <c r="I43" s="20" t="str">
        <f t="shared" si="1"/>
        <v>INCOMPLETE</v>
      </c>
    </row>
    <row r="44" ht="15.75" customHeight="1">
      <c r="A44" s="11"/>
      <c r="B44" s="9" t="s">
        <v>415</v>
      </c>
      <c r="C44" s="9" t="s">
        <v>326</v>
      </c>
      <c r="D44" s="11"/>
      <c r="E44" s="11"/>
      <c r="F44" s="11"/>
      <c r="G44" s="24"/>
      <c r="H44" s="11"/>
      <c r="I44" s="16" t="str">
        <f t="shared" si="1"/>
        <v>INCOMPLETE</v>
      </c>
    </row>
    <row r="45" ht="15.75" customHeight="1">
      <c r="A45" s="11"/>
      <c r="B45" s="12" t="s">
        <v>421</v>
      </c>
      <c r="C45" s="12" t="s">
        <v>326</v>
      </c>
      <c r="D45" s="11"/>
      <c r="E45" s="11"/>
      <c r="F45" s="11"/>
      <c r="G45" s="24"/>
      <c r="H45" s="11"/>
      <c r="I45" s="20" t="str">
        <f t="shared" si="1"/>
        <v>INCOMPLETE</v>
      </c>
    </row>
    <row r="46" ht="15.75" customHeight="1">
      <c r="A46" s="11"/>
      <c r="B46" s="9" t="s">
        <v>423</v>
      </c>
      <c r="C46" s="9" t="s">
        <v>326</v>
      </c>
      <c r="D46" s="11"/>
      <c r="E46" s="11"/>
      <c r="F46" s="11"/>
      <c r="G46" s="24"/>
      <c r="H46" s="11"/>
      <c r="I46" s="16" t="str">
        <f t="shared" si="1"/>
        <v>INCOMPLETE</v>
      </c>
    </row>
    <row r="47" ht="15.75" customHeight="1">
      <c r="A47" s="11"/>
      <c r="B47" s="12" t="s">
        <v>432</v>
      </c>
      <c r="C47" s="12" t="s">
        <v>326</v>
      </c>
      <c r="D47" s="11"/>
      <c r="E47" s="11"/>
      <c r="F47" s="11"/>
      <c r="G47" s="24"/>
      <c r="H47" s="11"/>
      <c r="I47" s="20" t="str">
        <f t="shared" si="1"/>
        <v>INCOMPLETE</v>
      </c>
    </row>
    <row r="48" ht="15.75" customHeight="1">
      <c r="A48" s="11"/>
      <c r="B48" s="9" t="s">
        <v>437</v>
      </c>
      <c r="C48" s="9" t="s">
        <v>326</v>
      </c>
      <c r="D48" s="11"/>
      <c r="E48" s="11"/>
      <c r="F48" s="11"/>
      <c r="G48" s="24"/>
      <c r="H48" s="11"/>
      <c r="I48" s="16" t="str">
        <f t="shared" si="1"/>
        <v>INCOMPLETE</v>
      </c>
    </row>
    <row r="49" ht="15.75" customHeight="1">
      <c r="A49" s="11"/>
      <c r="B49" s="12" t="s">
        <v>441</v>
      </c>
      <c r="C49" s="12" t="s">
        <v>23</v>
      </c>
      <c r="D49" s="11"/>
      <c r="E49" s="11"/>
      <c r="F49" s="11"/>
      <c r="G49" s="24"/>
      <c r="H49" s="11"/>
      <c r="I49" s="20" t="str">
        <f t="shared" si="1"/>
        <v>INCOMPLETE</v>
      </c>
    </row>
    <row r="50" ht="15.75" customHeight="1">
      <c r="A50" s="11"/>
      <c r="B50" s="9" t="s">
        <v>448</v>
      </c>
      <c r="C50" s="9" t="s">
        <v>23</v>
      </c>
      <c r="D50" s="11"/>
      <c r="E50" s="11"/>
      <c r="F50" s="11"/>
      <c r="G50" s="24"/>
      <c r="H50" s="11"/>
      <c r="I50" s="16" t="str">
        <f t="shared" si="1"/>
        <v>INCOMPLETE</v>
      </c>
    </row>
    <row r="51" ht="15.75" customHeight="1">
      <c r="A51" s="11"/>
      <c r="B51" s="12" t="s">
        <v>299</v>
      </c>
      <c r="C51" s="12" t="s">
        <v>120</v>
      </c>
      <c r="D51" s="11"/>
      <c r="E51" s="11"/>
      <c r="F51" s="11"/>
      <c r="G51" s="24"/>
      <c r="H51" s="11"/>
      <c r="I51" s="20" t="str">
        <f t="shared" si="1"/>
        <v>INCOMPLETE</v>
      </c>
    </row>
    <row r="52" ht="15.75" customHeight="1">
      <c r="A52" s="11"/>
      <c r="B52" s="9" t="s">
        <v>457</v>
      </c>
      <c r="C52" s="9" t="s">
        <v>120</v>
      </c>
      <c r="D52" s="11"/>
      <c r="E52" s="11"/>
      <c r="F52" s="11"/>
      <c r="G52" s="24"/>
      <c r="H52" s="11"/>
      <c r="I52" s="16" t="str">
        <f t="shared" si="1"/>
        <v>INCOMPLETE</v>
      </c>
    </row>
    <row r="53" ht="15.75" customHeight="1">
      <c r="A53" s="11"/>
      <c r="B53" s="12" t="s">
        <v>468</v>
      </c>
      <c r="C53" s="12" t="s">
        <v>326</v>
      </c>
      <c r="D53" s="11"/>
      <c r="E53" s="11"/>
      <c r="F53" s="11"/>
      <c r="G53" s="24"/>
      <c r="H53" s="11"/>
      <c r="I53" s="20" t="str">
        <f t="shared" si="1"/>
        <v>INCOMPLETE</v>
      </c>
    </row>
    <row r="54" ht="15.75" customHeight="1">
      <c r="A54" s="11"/>
      <c r="B54" s="9" t="s">
        <v>472</v>
      </c>
      <c r="C54" s="9" t="s">
        <v>326</v>
      </c>
      <c r="D54" s="11"/>
      <c r="E54" s="11"/>
      <c r="F54" s="11"/>
      <c r="G54" s="24"/>
      <c r="H54" s="11"/>
      <c r="I54" s="16" t="str">
        <f t="shared" si="1"/>
        <v>INCOMPLETE</v>
      </c>
    </row>
    <row r="55" ht="15.75" customHeight="1">
      <c r="A55" s="11"/>
      <c r="B55" s="12" t="s">
        <v>479</v>
      </c>
      <c r="C55" s="12" t="s">
        <v>378</v>
      </c>
      <c r="D55" s="11"/>
      <c r="E55" s="11"/>
      <c r="F55" s="11"/>
      <c r="G55" s="24"/>
      <c r="H55" s="11"/>
      <c r="I55" s="20" t="str">
        <f t="shared" si="1"/>
        <v>INCOMPLETE</v>
      </c>
    </row>
    <row r="56" ht="15.75" customHeight="1"/>
    <row r="57" ht="15.75" customHeight="1"/>
    <row r="58" ht="15.75" customHeight="1">
      <c r="A58" s="18" t="s">
        <v>799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55"/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0"/>
    <col customWidth="1" min="2" max="2" width="26.0"/>
    <col customWidth="1" min="3" max="26" width="8.71"/>
  </cols>
  <sheetData>
    <row r="1">
      <c r="A1" s="1" t="s">
        <v>763</v>
      </c>
    </row>
    <row r="2">
      <c r="A2" s="3" t="s">
        <v>764</v>
      </c>
    </row>
    <row r="4">
      <c r="A4" s="14" t="s">
        <v>683</v>
      </c>
      <c r="B4" s="14" t="s">
        <v>686</v>
      </c>
    </row>
    <row r="5">
      <c r="A5" s="21" t="s">
        <v>765</v>
      </c>
      <c r="B5" s="22">
        <f>COUNTA(L3_GL_Mapping!$B$5:$B$400)</f>
        <v>51</v>
      </c>
    </row>
    <row r="6">
      <c r="A6" s="21" t="s">
        <v>766</v>
      </c>
      <c r="B6" s="22">
        <f>COUNTIF(L3_GL_Mapping!$I$5:$I$400,"OK")</f>
        <v>1</v>
      </c>
    </row>
    <row r="7">
      <c r="A7" s="21" t="s">
        <v>767</v>
      </c>
      <c r="B7" s="22">
        <f>B5-B6</f>
        <v>50</v>
      </c>
    </row>
    <row r="8">
      <c r="A8" s="21" t="s">
        <v>768</v>
      </c>
      <c r="B8" s="25">
        <f>IF(B5=0,0,B6/B5)</f>
        <v>0.01960784314</v>
      </c>
    </row>
    <row r="9">
      <c r="A9" s="23" t="s">
        <v>769</v>
      </c>
      <c r="B9" s="22" t="str">
        <f>IF(B7=0,"PASS","FAIL — BLOCK PRODUCTION")</f>
        <v>FAIL — BLOCK PRODUCTION</v>
      </c>
    </row>
    <row r="12">
      <c r="A12" s="8" t="s">
        <v>770</v>
      </c>
    </row>
    <row r="13">
      <c r="A13" s="26" t="s">
        <v>771</v>
      </c>
    </row>
    <row r="14">
      <c r="A14" s="26" t="s">
        <v>772</v>
      </c>
    </row>
    <row r="15">
      <c r="A15" s="26" t="s">
        <v>773</v>
      </c>
    </row>
    <row r="16">
      <c r="A16" s="26"/>
    </row>
    <row r="17">
      <c r="A17" s="26" t="s">
        <v>774</v>
      </c>
    </row>
    <row r="18">
      <c r="A18" s="26" t="s">
        <v>775</v>
      </c>
    </row>
    <row r="19">
      <c r="A19" s="26" t="s">
        <v>776</v>
      </c>
    </row>
    <row r="20">
      <c r="A20" s="26" t="s">
        <v>777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26.0"/>
    <col customWidth="1" min="4" max="5" width="20.0"/>
    <col customWidth="1" min="6" max="7" width="24.0"/>
    <col customWidth="1" min="8" max="8" width="60.0"/>
    <col customWidth="1" min="9" max="9" width="10.0"/>
    <col customWidth="1" min="10" max="10" width="52.0"/>
    <col customWidth="1" min="11" max="26" width="8.71"/>
  </cols>
  <sheetData>
    <row r="1">
      <c r="A1" s="1" t="s">
        <v>778</v>
      </c>
    </row>
    <row r="2">
      <c r="A2" s="3" t="s">
        <v>779</v>
      </c>
    </row>
    <row r="4" ht="30.0" customHeight="1">
      <c r="A4" s="6" t="s">
        <v>98</v>
      </c>
      <c r="B4" s="6" t="s">
        <v>781</v>
      </c>
      <c r="C4" s="6" t="s">
        <v>782</v>
      </c>
      <c r="D4" s="6" t="s">
        <v>783</v>
      </c>
      <c r="E4" s="6" t="s">
        <v>784</v>
      </c>
      <c r="F4" s="6" t="s">
        <v>785</v>
      </c>
      <c r="G4" s="6" t="s">
        <v>786</v>
      </c>
      <c r="H4" s="6" t="s">
        <v>787</v>
      </c>
      <c r="I4" s="6" t="s">
        <v>20</v>
      </c>
      <c r="J4" s="6" t="s">
        <v>788</v>
      </c>
    </row>
    <row r="5">
      <c r="A5" s="9" t="s">
        <v>123</v>
      </c>
      <c r="B5" s="9" t="s">
        <v>789</v>
      </c>
      <c r="C5" s="9" t="s">
        <v>789</v>
      </c>
      <c r="D5" s="9" t="s">
        <v>790</v>
      </c>
      <c r="E5" s="9" t="s">
        <v>307</v>
      </c>
      <c r="F5" s="9" t="s">
        <v>307</v>
      </c>
      <c r="G5" s="9" t="s">
        <v>396</v>
      </c>
      <c r="H5" s="10" t="s">
        <v>791</v>
      </c>
      <c r="I5" s="9" t="s">
        <v>142</v>
      </c>
      <c r="J5" s="10" t="s">
        <v>792</v>
      </c>
    </row>
    <row r="6">
      <c r="A6" s="9" t="s">
        <v>123</v>
      </c>
      <c r="B6" s="9" t="s">
        <v>793</v>
      </c>
      <c r="C6" s="9" t="s">
        <v>789</v>
      </c>
      <c r="D6" s="9" t="s">
        <v>794</v>
      </c>
      <c r="E6" s="9" t="s">
        <v>795</v>
      </c>
      <c r="F6" s="9" t="s">
        <v>307</v>
      </c>
      <c r="G6" s="9" t="s">
        <v>402</v>
      </c>
      <c r="H6" s="10" t="s">
        <v>797</v>
      </c>
      <c r="I6" s="9" t="s">
        <v>405</v>
      </c>
      <c r="J6" s="10" t="s">
        <v>792</v>
      </c>
    </row>
    <row r="7">
      <c r="A7" s="9" t="s">
        <v>123</v>
      </c>
      <c r="B7" s="9" t="s">
        <v>793</v>
      </c>
      <c r="C7" s="9" t="s">
        <v>789</v>
      </c>
      <c r="D7" s="9" t="s">
        <v>794</v>
      </c>
      <c r="E7" s="9" t="s">
        <v>800</v>
      </c>
      <c r="F7" s="9" t="s">
        <v>307</v>
      </c>
      <c r="G7" s="9" t="s">
        <v>409</v>
      </c>
      <c r="H7" s="10" t="s">
        <v>802</v>
      </c>
      <c r="I7" s="9" t="s">
        <v>405</v>
      </c>
      <c r="J7" s="10" t="s">
        <v>792</v>
      </c>
    </row>
    <row r="8">
      <c r="A8" s="9" t="s">
        <v>123</v>
      </c>
      <c r="B8" s="9" t="s">
        <v>805</v>
      </c>
      <c r="C8" s="9" t="s">
        <v>807</v>
      </c>
      <c r="D8" s="9" t="s">
        <v>809</v>
      </c>
      <c r="E8" s="9" t="s">
        <v>307</v>
      </c>
      <c r="F8" s="9" t="s">
        <v>307</v>
      </c>
      <c r="G8" s="9" t="s">
        <v>417</v>
      </c>
      <c r="H8" s="10" t="s">
        <v>810</v>
      </c>
      <c r="I8" s="9" t="s">
        <v>420</v>
      </c>
      <c r="J8" s="10" t="s">
        <v>792</v>
      </c>
    </row>
    <row r="9">
      <c r="A9" s="9" t="s">
        <v>123</v>
      </c>
      <c r="B9" s="9" t="s">
        <v>805</v>
      </c>
      <c r="C9" s="9" t="s">
        <v>814</v>
      </c>
      <c r="D9" s="9" t="s">
        <v>809</v>
      </c>
      <c r="E9" s="9" t="s">
        <v>307</v>
      </c>
      <c r="F9" s="9" t="s">
        <v>307</v>
      </c>
      <c r="G9" s="9" t="s">
        <v>417</v>
      </c>
      <c r="H9" s="10" t="s">
        <v>816</v>
      </c>
      <c r="I9" s="9" t="s">
        <v>420</v>
      </c>
      <c r="J9" s="10" t="s">
        <v>792</v>
      </c>
    </row>
    <row r="10">
      <c r="A10" s="9" t="s">
        <v>123</v>
      </c>
      <c r="B10" s="9" t="s">
        <v>818</v>
      </c>
      <c r="C10" s="9" t="s">
        <v>818</v>
      </c>
      <c r="D10" s="9" t="s">
        <v>794</v>
      </c>
      <c r="E10" s="9" t="s">
        <v>822</v>
      </c>
      <c r="F10" s="9" t="s">
        <v>307</v>
      </c>
      <c r="G10" s="9" t="s">
        <v>823</v>
      </c>
      <c r="H10" s="10" t="s">
        <v>825</v>
      </c>
      <c r="I10" s="9" t="s">
        <v>405</v>
      </c>
      <c r="J10" s="10" t="s">
        <v>792</v>
      </c>
    </row>
    <row r="11">
      <c r="A11" s="12" t="s">
        <v>533</v>
      </c>
      <c r="B11" s="12" t="s">
        <v>789</v>
      </c>
      <c r="C11" s="12" t="s">
        <v>789</v>
      </c>
      <c r="D11" s="12" t="s">
        <v>307</v>
      </c>
      <c r="E11" s="12" t="s">
        <v>307</v>
      </c>
      <c r="F11" s="12" t="s">
        <v>830</v>
      </c>
      <c r="G11" s="12" t="s">
        <v>672</v>
      </c>
      <c r="H11" s="13" t="s">
        <v>831</v>
      </c>
      <c r="I11" s="12" t="s">
        <v>675</v>
      </c>
      <c r="J11" s="13" t="s">
        <v>792</v>
      </c>
    </row>
    <row r="12">
      <c r="A12" s="12" t="s">
        <v>533</v>
      </c>
      <c r="B12" s="12" t="s">
        <v>793</v>
      </c>
      <c r="C12" s="12" t="s">
        <v>836</v>
      </c>
      <c r="D12" s="12" t="s">
        <v>307</v>
      </c>
      <c r="E12" s="12" t="s">
        <v>307</v>
      </c>
      <c r="F12" s="12" t="s">
        <v>837</v>
      </c>
      <c r="G12" s="12" t="s">
        <v>677</v>
      </c>
      <c r="H12" s="13" t="s">
        <v>840</v>
      </c>
      <c r="I12" s="12" t="s">
        <v>680</v>
      </c>
      <c r="J12" s="13" t="s">
        <v>792</v>
      </c>
    </row>
    <row r="13">
      <c r="A13" s="12" t="s">
        <v>533</v>
      </c>
      <c r="B13" s="12" t="s">
        <v>793</v>
      </c>
      <c r="C13" s="12" t="s">
        <v>845</v>
      </c>
      <c r="D13" s="12" t="s">
        <v>307</v>
      </c>
      <c r="E13" s="12" t="s">
        <v>307</v>
      </c>
      <c r="F13" s="12" t="s">
        <v>848</v>
      </c>
      <c r="G13" s="12" t="s">
        <v>693</v>
      </c>
      <c r="H13" s="13" t="s">
        <v>849</v>
      </c>
      <c r="I13" s="12" t="s">
        <v>680</v>
      </c>
      <c r="J13" s="13" t="s">
        <v>792</v>
      </c>
    </row>
    <row r="14">
      <c r="A14" s="12" t="s">
        <v>533</v>
      </c>
      <c r="B14" s="12" t="s">
        <v>805</v>
      </c>
      <c r="C14" s="12" t="s">
        <v>845</v>
      </c>
      <c r="D14" s="12" t="s">
        <v>307</v>
      </c>
      <c r="E14" s="12" t="s">
        <v>307</v>
      </c>
      <c r="F14" s="12" t="s">
        <v>848</v>
      </c>
      <c r="G14" s="12" t="s">
        <v>693</v>
      </c>
      <c r="H14" s="13" t="s">
        <v>850</v>
      </c>
      <c r="I14" s="12" t="s">
        <v>696</v>
      </c>
      <c r="J14" s="13" t="s">
        <v>792</v>
      </c>
    </row>
    <row r="15">
      <c r="A15" s="12" t="s">
        <v>533</v>
      </c>
      <c r="B15" s="12" t="s">
        <v>805</v>
      </c>
      <c r="C15" s="12" t="s">
        <v>845</v>
      </c>
      <c r="D15" s="12" t="s">
        <v>307</v>
      </c>
      <c r="E15" s="12" t="s">
        <v>307</v>
      </c>
      <c r="F15" s="12" t="s">
        <v>851</v>
      </c>
      <c r="G15" s="12" t="s">
        <v>852</v>
      </c>
      <c r="H15" s="13" t="s">
        <v>853</v>
      </c>
      <c r="I15" s="12" t="s">
        <v>696</v>
      </c>
      <c r="J15" s="13" t="s">
        <v>792</v>
      </c>
    </row>
    <row r="16">
      <c r="A16" s="12" t="s">
        <v>533</v>
      </c>
      <c r="B16" s="12" t="s">
        <v>818</v>
      </c>
      <c r="C16" s="12" t="s">
        <v>818</v>
      </c>
      <c r="D16" s="12" t="s">
        <v>307</v>
      </c>
      <c r="E16" s="12" t="s">
        <v>307</v>
      </c>
      <c r="F16" s="12" t="s">
        <v>830</v>
      </c>
      <c r="G16" s="12" t="s">
        <v>684</v>
      </c>
      <c r="H16" s="13" t="s">
        <v>854</v>
      </c>
      <c r="I16" s="12" t="s">
        <v>688</v>
      </c>
      <c r="J16" s="13" t="s">
        <v>792</v>
      </c>
    </row>
    <row r="17">
      <c r="A17" s="12" t="s">
        <v>533</v>
      </c>
      <c r="B17" s="12" t="s">
        <v>818</v>
      </c>
      <c r="C17" s="12" t="s">
        <v>818</v>
      </c>
      <c r="D17" s="12" t="s">
        <v>307</v>
      </c>
      <c r="E17" s="12" t="s">
        <v>307</v>
      </c>
      <c r="F17" s="12" t="s">
        <v>830</v>
      </c>
      <c r="G17" s="12" t="s">
        <v>855</v>
      </c>
      <c r="H17" s="13" t="s">
        <v>856</v>
      </c>
      <c r="I17" s="12" t="s">
        <v>217</v>
      </c>
      <c r="J17" s="13" t="s">
        <v>792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17"/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0.0"/>
    <col customWidth="1" min="2" max="2" width="30.0"/>
    <col customWidth="1" min="3" max="3" width="18.0"/>
    <col customWidth="1" min="4" max="4" width="10.0"/>
    <col customWidth="1" min="5" max="5" width="26.0"/>
    <col customWidth="1" min="6" max="6" width="66.0"/>
    <col customWidth="1" min="7" max="7" width="10.0"/>
    <col customWidth="1" min="8" max="26" width="8.71"/>
  </cols>
  <sheetData>
    <row r="1">
      <c r="A1" s="1" t="s">
        <v>796</v>
      </c>
    </row>
    <row r="2">
      <c r="A2" s="3" t="s">
        <v>798</v>
      </c>
    </row>
    <row r="4" ht="30.0" customHeight="1">
      <c r="A4" s="6" t="s">
        <v>801</v>
      </c>
      <c r="B4" s="6" t="s">
        <v>803</v>
      </c>
      <c r="C4" s="6" t="s">
        <v>804</v>
      </c>
      <c r="D4" s="6" t="s">
        <v>806</v>
      </c>
      <c r="E4" s="6" t="s">
        <v>808</v>
      </c>
      <c r="F4" s="6" t="s">
        <v>13</v>
      </c>
      <c r="G4" s="6" t="s">
        <v>20</v>
      </c>
    </row>
    <row r="5">
      <c r="A5" s="12" t="s">
        <v>811</v>
      </c>
      <c r="B5" s="12" t="s">
        <v>812</v>
      </c>
      <c r="C5" s="12" t="s">
        <v>813</v>
      </c>
      <c r="D5" s="12" t="s">
        <v>249</v>
      </c>
      <c r="E5" s="12" t="s">
        <v>815</v>
      </c>
      <c r="F5" s="13"/>
      <c r="G5" s="12" t="s">
        <v>223</v>
      </c>
    </row>
    <row r="6">
      <c r="A6" s="9" t="s">
        <v>817</v>
      </c>
      <c r="B6" s="9" t="s">
        <v>819</v>
      </c>
      <c r="C6" s="9" t="s">
        <v>820</v>
      </c>
      <c r="D6" s="9" t="s">
        <v>249</v>
      </c>
      <c r="E6" s="9" t="s">
        <v>821</v>
      </c>
      <c r="F6" s="10" t="s">
        <v>824</v>
      </c>
      <c r="G6" s="9" t="s">
        <v>567</v>
      </c>
    </row>
    <row r="7">
      <c r="A7" s="12" t="s">
        <v>826</v>
      </c>
      <c r="B7" s="12" t="s">
        <v>819</v>
      </c>
      <c r="C7" s="12" t="s">
        <v>820</v>
      </c>
      <c r="D7" s="12" t="s">
        <v>249</v>
      </c>
      <c r="E7" s="12" t="s">
        <v>827</v>
      </c>
      <c r="F7" s="13" t="s">
        <v>828</v>
      </c>
      <c r="G7" s="12" t="s">
        <v>680</v>
      </c>
    </row>
    <row r="8">
      <c r="A8" s="9" t="s">
        <v>829</v>
      </c>
      <c r="B8" s="9" t="s">
        <v>819</v>
      </c>
      <c r="C8" s="9" t="s">
        <v>820</v>
      </c>
      <c r="D8" s="9" t="s">
        <v>249</v>
      </c>
      <c r="E8" s="9" t="s">
        <v>827</v>
      </c>
      <c r="F8" s="10"/>
      <c r="G8" s="9" t="s">
        <v>713</v>
      </c>
    </row>
    <row r="9">
      <c r="A9" s="12" t="s">
        <v>832</v>
      </c>
      <c r="B9" s="12" t="s">
        <v>833</v>
      </c>
      <c r="C9" s="12" t="s">
        <v>813</v>
      </c>
      <c r="D9" s="12" t="s">
        <v>119</v>
      </c>
      <c r="E9" s="12" t="s">
        <v>834</v>
      </c>
      <c r="F9" s="13" t="s">
        <v>835</v>
      </c>
      <c r="G9" s="12" t="s">
        <v>688</v>
      </c>
    </row>
    <row r="10">
      <c r="A10" s="9" t="s">
        <v>667</v>
      </c>
      <c r="B10" s="9" t="s">
        <v>833</v>
      </c>
      <c r="C10" s="9" t="s">
        <v>813</v>
      </c>
      <c r="D10" s="9" t="s">
        <v>119</v>
      </c>
      <c r="E10" s="9" t="s">
        <v>834</v>
      </c>
      <c r="F10" s="10"/>
      <c r="G10" s="9" t="s">
        <v>626</v>
      </c>
    </row>
    <row r="11">
      <c r="A11" s="12" t="s">
        <v>377</v>
      </c>
      <c r="B11" s="12" t="s">
        <v>838</v>
      </c>
      <c r="C11" s="12" t="s">
        <v>839</v>
      </c>
      <c r="D11" s="12" t="s">
        <v>119</v>
      </c>
      <c r="E11" s="12" t="s">
        <v>841</v>
      </c>
      <c r="F11" s="13" t="s">
        <v>842</v>
      </c>
      <c r="G11" s="12" t="s">
        <v>171</v>
      </c>
    </row>
    <row r="12">
      <c r="A12" s="9" t="s">
        <v>843</v>
      </c>
      <c r="B12" s="9" t="s">
        <v>844</v>
      </c>
      <c r="C12" s="9" t="s">
        <v>307</v>
      </c>
      <c r="D12" s="9" t="s">
        <v>307</v>
      </c>
      <c r="E12" s="9" t="s">
        <v>846</v>
      </c>
      <c r="F12" s="10" t="s">
        <v>847</v>
      </c>
      <c r="G12" s="9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12"/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34.0"/>
    <col customWidth="1" min="3" max="3" width="20.0"/>
    <col customWidth="1" min="4" max="4" width="58.0"/>
    <col customWidth="1" min="5" max="5" width="86.0"/>
    <col customWidth="1" min="6" max="6" width="10.0"/>
    <col customWidth="1" min="7" max="26" width="8.71"/>
  </cols>
  <sheetData>
    <row r="1">
      <c r="A1" s="1" t="s">
        <v>858</v>
      </c>
    </row>
    <row r="2">
      <c r="A2" s="3" t="s">
        <v>859</v>
      </c>
    </row>
    <row r="4" ht="30.0" customHeight="1">
      <c r="A4" s="6" t="s">
        <v>860</v>
      </c>
      <c r="B4" s="6" t="s">
        <v>861</v>
      </c>
      <c r="C4" s="6" t="s">
        <v>862</v>
      </c>
      <c r="D4" s="6" t="s">
        <v>863</v>
      </c>
      <c r="E4" s="6" t="s">
        <v>864</v>
      </c>
      <c r="F4" s="6" t="s">
        <v>20</v>
      </c>
    </row>
    <row r="5">
      <c r="A5" s="12" t="s">
        <v>865</v>
      </c>
      <c r="B5" s="12" t="s">
        <v>128</v>
      </c>
      <c r="C5" s="12" t="s">
        <v>866</v>
      </c>
      <c r="D5" s="13" t="s">
        <v>867</v>
      </c>
      <c r="E5" s="13" t="s">
        <v>868</v>
      </c>
      <c r="F5" s="12" t="s">
        <v>234</v>
      </c>
    </row>
    <row r="6">
      <c r="A6" s="9" t="s">
        <v>869</v>
      </c>
      <c r="B6" s="9" t="s">
        <v>870</v>
      </c>
      <c r="C6" s="9" t="s">
        <v>866</v>
      </c>
      <c r="D6" s="10" t="s">
        <v>871</v>
      </c>
      <c r="E6" s="10" t="s">
        <v>872</v>
      </c>
      <c r="F6" s="9" t="s">
        <v>234</v>
      </c>
    </row>
    <row r="7">
      <c r="A7" s="12" t="s">
        <v>873</v>
      </c>
      <c r="B7" s="12" t="s">
        <v>874</v>
      </c>
      <c r="C7" s="12" t="s">
        <v>866</v>
      </c>
      <c r="D7" s="13" t="s">
        <v>876</v>
      </c>
      <c r="E7" s="13" t="s">
        <v>872</v>
      </c>
      <c r="F7" s="12" t="s">
        <v>234</v>
      </c>
    </row>
    <row r="8">
      <c r="A8" s="9" t="s">
        <v>878</v>
      </c>
      <c r="B8" s="9" t="s">
        <v>879</v>
      </c>
      <c r="C8" s="9" t="s">
        <v>866</v>
      </c>
      <c r="D8" s="10" t="s">
        <v>880</v>
      </c>
      <c r="E8" s="10" t="s">
        <v>872</v>
      </c>
      <c r="F8" s="9" t="s">
        <v>234</v>
      </c>
    </row>
    <row r="9">
      <c r="A9" s="12" t="s">
        <v>881</v>
      </c>
      <c r="B9" s="12" t="s">
        <v>883</v>
      </c>
      <c r="C9" s="12" t="s">
        <v>866</v>
      </c>
      <c r="D9" s="13" t="s">
        <v>885</v>
      </c>
      <c r="E9" s="13" t="s">
        <v>887</v>
      </c>
      <c r="F9" s="12" t="s">
        <v>234</v>
      </c>
    </row>
    <row r="10">
      <c r="A10" s="9" t="s">
        <v>889</v>
      </c>
      <c r="B10" s="9" t="s">
        <v>874</v>
      </c>
      <c r="C10" s="17" t="s">
        <v>891</v>
      </c>
      <c r="D10" s="10" t="s">
        <v>893</v>
      </c>
      <c r="E10" s="10" t="s">
        <v>895</v>
      </c>
      <c r="F10" s="9" t="s">
        <v>234</v>
      </c>
    </row>
    <row r="11">
      <c r="A11" s="12" t="s">
        <v>898</v>
      </c>
      <c r="B11" s="12" t="s">
        <v>874</v>
      </c>
      <c r="C11" s="19" t="s">
        <v>891</v>
      </c>
      <c r="D11" s="13" t="s">
        <v>903</v>
      </c>
      <c r="E11" s="13" t="s">
        <v>905</v>
      </c>
      <c r="F11" s="12" t="s">
        <v>234</v>
      </c>
    </row>
    <row r="12">
      <c r="A12" s="9" t="s">
        <v>908</v>
      </c>
      <c r="B12" s="9" t="s">
        <v>910</v>
      </c>
      <c r="C12" s="17" t="s">
        <v>891</v>
      </c>
      <c r="D12" s="10" t="s">
        <v>913</v>
      </c>
      <c r="E12" s="10" t="s">
        <v>914</v>
      </c>
      <c r="F12" s="9" t="s">
        <v>234</v>
      </c>
    </row>
    <row r="13">
      <c r="A13" s="12" t="s">
        <v>915</v>
      </c>
      <c r="B13" s="12" t="s">
        <v>307</v>
      </c>
      <c r="C13" s="12" t="s">
        <v>307</v>
      </c>
      <c r="D13" s="13" t="s">
        <v>916</v>
      </c>
      <c r="E13" s="13" t="s">
        <v>917</v>
      </c>
      <c r="F13" s="12" t="s">
        <v>420</v>
      </c>
    </row>
    <row r="14">
      <c r="A14" s="9" t="s">
        <v>855</v>
      </c>
      <c r="B14" s="9" t="s">
        <v>307</v>
      </c>
      <c r="C14" s="9" t="s">
        <v>307</v>
      </c>
      <c r="D14" s="10" t="s">
        <v>918</v>
      </c>
      <c r="E14" s="10" t="s">
        <v>919</v>
      </c>
      <c r="F14" s="9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14"/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96.0"/>
    <col customWidth="1" min="3" max="3" width="30.0"/>
    <col customWidth="1" min="4" max="4" width="90.0"/>
    <col customWidth="1" min="5" max="26" width="8.71"/>
  </cols>
  <sheetData>
    <row r="1">
      <c r="A1" s="1" t="s">
        <v>875</v>
      </c>
    </row>
    <row r="2">
      <c r="A2" s="3" t="s">
        <v>877</v>
      </c>
    </row>
    <row r="4" ht="30.0" customHeight="1">
      <c r="A4" s="6" t="s">
        <v>882</v>
      </c>
      <c r="B4" s="6" t="s">
        <v>884</v>
      </c>
      <c r="C4" s="6" t="s">
        <v>886</v>
      </c>
      <c r="D4" s="6" t="s">
        <v>888</v>
      </c>
    </row>
    <row r="5">
      <c r="A5" s="12" t="s">
        <v>890</v>
      </c>
      <c r="B5" s="13" t="s">
        <v>892</v>
      </c>
      <c r="C5" s="12" t="s">
        <v>894</v>
      </c>
      <c r="D5" s="13" t="s">
        <v>896</v>
      </c>
    </row>
    <row r="6">
      <c r="A6" s="9" t="s">
        <v>897</v>
      </c>
      <c r="B6" s="10" t="s">
        <v>899</v>
      </c>
      <c r="C6" s="9" t="s">
        <v>900</v>
      </c>
      <c r="D6" s="10" t="s">
        <v>901</v>
      </c>
    </row>
    <row r="7">
      <c r="A7" s="12" t="s">
        <v>902</v>
      </c>
      <c r="B7" s="13" t="s">
        <v>904</v>
      </c>
      <c r="C7" s="12" t="s">
        <v>906</v>
      </c>
      <c r="D7" s="13" t="s">
        <v>907</v>
      </c>
    </row>
    <row r="8">
      <c r="A8" s="9" t="s">
        <v>909</v>
      </c>
      <c r="B8" s="10" t="s">
        <v>911</v>
      </c>
      <c r="C8" s="9" t="s">
        <v>912</v>
      </c>
      <c r="D8" s="10" t="s">
        <v>920</v>
      </c>
    </row>
    <row r="9">
      <c r="A9" s="12" t="s">
        <v>921</v>
      </c>
      <c r="B9" s="13" t="s">
        <v>922</v>
      </c>
      <c r="C9" s="12" t="s">
        <v>894</v>
      </c>
      <c r="D9" s="13" t="s">
        <v>923</v>
      </c>
    </row>
    <row r="10">
      <c r="A10" s="9" t="s">
        <v>924</v>
      </c>
      <c r="B10" s="10" t="s">
        <v>925</v>
      </c>
      <c r="C10" s="9" t="s">
        <v>926</v>
      </c>
      <c r="D10" s="10" t="s">
        <v>927</v>
      </c>
    </row>
    <row r="11">
      <c r="A11" s="12" t="s">
        <v>928</v>
      </c>
      <c r="B11" s="13" t="s">
        <v>929</v>
      </c>
      <c r="C11" s="12" t="s">
        <v>930</v>
      </c>
      <c r="D11" s="13" t="s">
        <v>931</v>
      </c>
    </row>
    <row r="12">
      <c r="A12" s="9" t="s">
        <v>932</v>
      </c>
      <c r="B12" s="10" t="s">
        <v>933</v>
      </c>
      <c r="C12" s="9" t="s">
        <v>934</v>
      </c>
      <c r="D12" s="10" t="s">
        <v>935</v>
      </c>
    </row>
    <row r="13">
      <c r="A13" s="12" t="s">
        <v>936</v>
      </c>
      <c r="B13" s="13" t="s">
        <v>937</v>
      </c>
      <c r="C13" s="12" t="s">
        <v>930</v>
      </c>
      <c r="D13" s="13" t="s">
        <v>938</v>
      </c>
    </row>
    <row r="14">
      <c r="A14" s="9" t="s">
        <v>939</v>
      </c>
      <c r="B14" s="10" t="s">
        <v>940</v>
      </c>
      <c r="C14" s="9" t="s">
        <v>894</v>
      </c>
      <c r="D14" s="10" t="s">
        <v>941</v>
      </c>
    </row>
    <row r="15">
      <c r="A15" s="12" t="s">
        <v>942</v>
      </c>
      <c r="B15" s="13" t="s">
        <v>943</v>
      </c>
      <c r="C15" s="12" t="s">
        <v>944</v>
      </c>
      <c r="D15" s="13" t="s">
        <v>945</v>
      </c>
    </row>
    <row r="16">
      <c r="A16" s="9" t="s">
        <v>946</v>
      </c>
      <c r="B16" s="10" t="s">
        <v>947</v>
      </c>
      <c r="C16" s="9" t="s">
        <v>948</v>
      </c>
      <c r="D16" s="10" t="s">
        <v>949</v>
      </c>
    </row>
    <row r="17">
      <c r="A17" s="12" t="s">
        <v>950</v>
      </c>
      <c r="B17" s="13" t="s">
        <v>951</v>
      </c>
      <c r="C17" s="12" t="s">
        <v>930</v>
      </c>
      <c r="D17" s="13" t="s">
        <v>952</v>
      </c>
    </row>
    <row r="18">
      <c r="A18" s="9" t="s">
        <v>953</v>
      </c>
      <c r="B18" s="10" t="s">
        <v>954</v>
      </c>
      <c r="C18" s="9" t="s">
        <v>955</v>
      </c>
      <c r="D18" s="10" t="s">
        <v>957</v>
      </c>
    </row>
    <row r="19">
      <c r="A19" s="12" t="s">
        <v>958</v>
      </c>
      <c r="B19" s="13" t="s">
        <v>959</v>
      </c>
      <c r="C19" s="12" t="s">
        <v>960</v>
      </c>
      <c r="D19" s="13" t="s">
        <v>962</v>
      </c>
    </row>
    <row r="20">
      <c r="A20" s="9" t="s">
        <v>963</v>
      </c>
      <c r="B20" s="10" t="s">
        <v>965</v>
      </c>
      <c r="C20" s="9" t="s">
        <v>894</v>
      </c>
      <c r="D20" s="10" t="s">
        <v>966</v>
      </c>
    </row>
    <row r="21" ht="15.75" customHeight="1">
      <c r="A21" s="12" t="s">
        <v>967</v>
      </c>
      <c r="B21" s="13" t="s">
        <v>968</v>
      </c>
      <c r="C21" s="12" t="s">
        <v>894</v>
      </c>
      <c r="D21" s="13" t="s">
        <v>970</v>
      </c>
    </row>
    <row r="22" ht="15.75" customHeight="1">
      <c r="A22" s="9" t="s">
        <v>972</v>
      </c>
      <c r="B22" s="10" t="s">
        <v>974</v>
      </c>
      <c r="C22" s="9" t="s">
        <v>894</v>
      </c>
      <c r="D22" s="10" t="s">
        <v>976</v>
      </c>
    </row>
    <row r="23" ht="15.75" customHeight="1">
      <c r="A23" s="12" t="s">
        <v>118</v>
      </c>
      <c r="B23" s="13" t="s">
        <v>977</v>
      </c>
      <c r="C23" s="12" t="s">
        <v>978</v>
      </c>
      <c r="D23" s="13" t="s">
        <v>980</v>
      </c>
    </row>
    <row r="24" ht="15.75" customHeight="1">
      <c r="A24" s="9" t="s">
        <v>981</v>
      </c>
      <c r="B24" s="10" t="s">
        <v>983</v>
      </c>
      <c r="C24" s="9" t="s">
        <v>984</v>
      </c>
      <c r="D24" s="10" t="s">
        <v>985</v>
      </c>
    </row>
    <row r="25" ht="15.75" customHeight="1">
      <c r="A25" s="12" t="s">
        <v>986</v>
      </c>
      <c r="B25" s="13" t="s">
        <v>988</v>
      </c>
      <c r="C25" s="12" t="s">
        <v>990</v>
      </c>
      <c r="D25" s="13" t="s">
        <v>991</v>
      </c>
    </row>
    <row r="26" ht="15.75" customHeight="1">
      <c r="A26" s="9" t="s">
        <v>992</v>
      </c>
      <c r="B26" s="10" t="s">
        <v>993</v>
      </c>
      <c r="C26" s="9" t="s">
        <v>894</v>
      </c>
      <c r="D26" s="10" t="s">
        <v>995</v>
      </c>
    </row>
    <row r="27" ht="15.75" customHeight="1">
      <c r="A27" s="12" t="s">
        <v>996</v>
      </c>
      <c r="B27" s="13" t="s">
        <v>997</v>
      </c>
      <c r="C27" s="12" t="s">
        <v>894</v>
      </c>
      <c r="D27" s="13" t="s">
        <v>999</v>
      </c>
    </row>
    <row r="28" ht="15.75" customHeight="1">
      <c r="A28" s="9" t="s">
        <v>1002</v>
      </c>
      <c r="B28" s="10" t="s">
        <v>1003</v>
      </c>
      <c r="C28" s="9" t="s">
        <v>1004</v>
      </c>
      <c r="D28" s="10" t="s">
        <v>1006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28"/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54.0"/>
    <col customWidth="1" min="3" max="3" width="88.0"/>
    <col customWidth="1" min="4" max="4" width="26.0"/>
    <col customWidth="1" min="5" max="5" width="8.0"/>
    <col customWidth="1" min="6" max="26" width="8.71"/>
  </cols>
  <sheetData>
    <row r="1">
      <c r="A1" s="1" t="s">
        <v>956</v>
      </c>
    </row>
    <row r="2">
      <c r="A2" s="3" t="s">
        <v>961</v>
      </c>
    </row>
    <row r="4" ht="30.0" customHeight="1">
      <c r="A4" s="6" t="s">
        <v>882</v>
      </c>
      <c r="B4" s="6" t="s">
        <v>969</v>
      </c>
      <c r="C4" s="6" t="s">
        <v>971</v>
      </c>
      <c r="D4" s="6" t="s">
        <v>973</v>
      </c>
      <c r="E4" s="6" t="s">
        <v>975</v>
      </c>
    </row>
    <row r="5">
      <c r="A5" s="12" t="s">
        <v>979</v>
      </c>
      <c r="B5" s="13" t="s">
        <v>982</v>
      </c>
      <c r="C5" s="13" t="s">
        <v>987</v>
      </c>
      <c r="D5" s="12" t="s">
        <v>989</v>
      </c>
      <c r="E5" s="12" t="s">
        <v>66</v>
      </c>
    </row>
    <row r="6">
      <c r="A6" s="9" t="s">
        <v>994</v>
      </c>
      <c r="B6" s="10" t="s">
        <v>998</v>
      </c>
      <c r="C6" s="10" t="s">
        <v>1000</v>
      </c>
      <c r="D6" s="9" t="s">
        <v>1001</v>
      </c>
      <c r="E6" s="9" t="s">
        <v>66</v>
      </c>
    </row>
    <row r="7">
      <c r="A7" s="12" t="s">
        <v>1005</v>
      </c>
      <c r="B7" s="13" t="s">
        <v>1007</v>
      </c>
      <c r="C7" s="13" t="s">
        <v>1008</v>
      </c>
      <c r="D7" s="12" t="s">
        <v>1009</v>
      </c>
      <c r="E7" s="12" t="s">
        <v>66</v>
      </c>
    </row>
    <row r="8">
      <c r="A8" s="9" t="s">
        <v>1010</v>
      </c>
      <c r="B8" s="10" t="s">
        <v>1011</v>
      </c>
      <c r="C8" s="10" t="s">
        <v>1012</v>
      </c>
      <c r="D8" s="9" t="s">
        <v>1009</v>
      </c>
      <c r="E8" s="9" t="s">
        <v>66</v>
      </c>
    </row>
    <row r="9">
      <c r="A9" s="12" t="s">
        <v>1013</v>
      </c>
      <c r="B9" s="13" t="s">
        <v>1014</v>
      </c>
      <c r="C9" s="13" t="s">
        <v>1015</v>
      </c>
      <c r="D9" s="12" t="s">
        <v>1016</v>
      </c>
      <c r="E9" s="12" t="s">
        <v>66</v>
      </c>
    </row>
    <row r="10">
      <c r="A10" s="9" t="s">
        <v>1017</v>
      </c>
      <c r="B10" s="10" t="s">
        <v>1018</v>
      </c>
      <c r="C10" s="10" t="s">
        <v>1019</v>
      </c>
      <c r="D10" s="9" t="s">
        <v>1020</v>
      </c>
      <c r="E10" s="9" t="s">
        <v>62</v>
      </c>
    </row>
    <row r="11">
      <c r="A11" s="12" t="s">
        <v>1021</v>
      </c>
      <c r="B11" s="13" t="s">
        <v>1022</v>
      </c>
      <c r="C11" s="13" t="s">
        <v>1023</v>
      </c>
      <c r="D11" s="12" t="s">
        <v>939</v>
      </c>
      <c r="E11" s="12" t="s">
        <v>66</v>
      </c>
    </row>
    <row r="12">
      <c r="A12" s="9" t="s">
        <v>1024</v>
      </c>
      <c r="B12" s="10" t="s">
        <v>1025</v>
      </c>
      <c r="C12" s="10" t="s">
        <v>1026</v>
      </c>
      <c r="D12" s="9" t="s">
        <v>167</v>
      </c>
      <c r="E12" s="9" t="s">
        <v>66</v>
      </c>
    </row>
    <row r="13">
      <c r="A13" s="12" t="s">
        <v>1027</v>
      </c>
      <c r="B13" s="13" t="s">
        <v>1028</v>
      </c>
      <c r="C13" s="13" t="s">
        <v>1029</v>
      </c>
      <c r="D13" s="12" t="s">
        <v>167</v>
      </c>
      <c r="E13" s="12" t="s">
        <v>66</v>
      </c>
    </row>
    <row r="14">
      <c r="A14" s="9" t="s">
        <v>1030</v>
      </c>
      <c r="B14" s="10" t="s">
        <v>1031</v>
      </c>
      <c r="C14" s="10" t="s">
        <v>1032</v>
      </c>
      <c r="D14" s="9" t="s">
        <v>950</v>
      </c>
      <c r="E14" s="9" t="s">
        <v>73</v>
      </c>
    </row>
    <row r="15">
      <c r="A15" s="12" t="s">
        <v>1033</v>
      </c>
      <c r="B15" s="13" t="s">
        <v>1034</v>
      </c>
      <c r="C15" s="13" t="s">
        <v>1035</v>
      </c>
      <c r="D15" s="12" t="s">
        <v>1036</v>
      </c>
      <c r="E15" s="12" t="s">
        <v>73</v>
      </c>
    </row>
    <row r="16">
      <c r="A16" s="9" t="s">
        <v>1037</v>
      </c>
      <c r="B16" s="10" t="s">
        <v>1038</v>
      </c>
      <c r="C16" s="10" t="s">
        <v>1039</v>
      </c>
      <c r="D16" s="9" t="s">
        <v>260</v>
      </c>
      <c r="E16" s="9" t="s">
        <v>73</v>
      </c>
    </row>
    <row r="17">
      <c r="A17" s="12" t="s">
        <v>1040</v>
      </c>
      <c r="B17" s="13" t="s">
        <v>1041</v>
      </c>
      <c r="C17" s="13" t="s">
        <v>1042</v>
      </c>
      <c r="D17" s="12" t="s">
        <v>958</v>
      </c>
      <c r="E17" s="12" t="s">
        <v>73</v>
      </c>
    </row>
    <row r="18">
      <c r="A18" s="9" t="s">
        <v>1043</v>
      </c>
      <c r="B18" s="10" t="s">
        <v>1044</v>
      </c>
      <c r="C18" s="10" t="s">
        <v>1045</v>
      </c>
      <c r="D18" s="9" t="s">
        <v>156</v>
      </c>
      <c r="E18" s="9" t="s">
        <v>73</v>
      </c>
    </row>
    <row r="19">
      <c r="A19" s="12" t="s">
        <v>1046</v>
      </c>
      <c r="B19" s="13" t="s">
        <v>1047</v>
      </c>
      <c r="C19" s="13" t="s">
        <v>1048</v>
      </c>
      <c r="D19" s="12" t="s">
        <v>981</v>
      </c>
      <c r="E19" s="12" t="s">
        <v>73</v>
      </c>
    </row>
    <row r="20">
      <c r="A20" s="9" t="s">
        <v>1049</v>
      </c>
      <c r="B20" s="10" t="s">
        <v>1050</v>
      </c>
      <c r="C20" s="10" t="s">
        <v>1051</v>
      </c>
      <c r="D20" s="9" t="s">
        <v>431</v>
      </c>
      <c r="E20" s="9" t="s">
        <v>66</v>
      </c>
    </row>
    <row r="21" ht="15.75" customHeight="1">
      <c r="A21" s="12" t="s">
        <v>1052</v>
      </c>
      <c r="B21" s="13" t="s">
        <v>1053</v>
      </c>
      <c r="C21" s="13" t="s">
        <v>1054</v>
      </c>
      <c r="D21" s="12" t="s">
        <v>431</v>
      </c>
      <c r="E21" s="12" t="s">
        <v>66</v>
      </c>
    </row>
    <row r="22" ht="15.75" customHeight="1">
      <c r="A22" s="9" t="s">
        <v>1055</v>
      </c>
      <c r="B22" s="10" t="s">
        <v>1056</v>
      </c>
      <c r="C22" s="10" t="s">
        <v>1057</v>
      </c>
      <c r="D22" s="9" t="s">
        <v>963</v>
      </c>
      <c r="E22" s="9" t="s">
        <v>1058</v>
      </c>
    </row>
    <row r="23" ht="15.75" customHeight="1">
      <c r="A23" s="12" t="s">
        <v>1059</v>
      </c>
      <c r="B23" s="13" t="s">
        <v>1060</v>
      </c>
      <c r="C23" s="13" t="s">
        <v>1061</v>
      </c>
      <c r="D23" s="12" t="s">
        <v>369</v>
      </c>
      <c r="E23" s="12" t="s">
        <v>1058</v>
      </c>
    </row>
    <row r="24" ht="15.75" customHeight="1">
      <c r="A24" s="9" t="s">
        <v>1062</v>
      </c>
      <c r="B24" s="10" t="s">
        <v>1063</v>
      </c>
      <c r="C24" s="10" t="s">
        <v>1064</v>
      </c>
      <c r="D24" s="9" t="s">
        <v>369</v>
      </c>
      <c r="E24" s="9" t="s">
        <v>1058</v>
      </c>
    </row>
    <row r="25" ht="15.75" customHeight="1">
      <c r="A25" s="12" t="s">
        <v>1065</v>
      </c>
      <c r="B25" s="13" t="s">
        <v>1066</v>
      </c>
      <c r="C25" s="13" t="s">
        <v>1067</v>
      </c>
      <c r="D25" s="12" t="s">
        <v>946</v>
      </c>
      <c r="E25" s="12" t="s">
        <v>169</v>
      </c>
    </row>
    <row r="26" ht="15.75" customHeight="1">
      <c r="A26" s="9" t="s">
        <v>1068</v>
      </c>
      <c r="B26" s="10" t="s">
        <v>1069</v>
      </c>
      <c r="C26" s="10" t="s">
        <v>1070</v>
      </c>
      <c r="D26" s="9" t="s">
        <v>445</v>
      </c>
      <c r="E26" s="9" t="s">
        <v>66</v>
      </c>
    </row>
    <row r="27" ht="15.75" customHeight="1">
      <c r="A27" s="12" t="s">
        <v>1071</v>
      </c>
      <c r="B27" s="13" t="s">
        <v>1072</v>
      </c>
      <c r="C27" s="13" t="s">
        <v>1073</v>
      </c>
      <c r="D27" s="12" t="s">
        <v>967</v>
      </c>
      <c r="E27" s="12" t="s">
        <v>62</v>
      </c>
    </row>
    <row r="28" ht="15.75" customHeight="1">
      <c r="A28" s="9" t="s">
        <v>1074</v>
      </c>
      <c r="B28" s="10" t="s">
        <v>1075</v>
      </c>
      <c r="C28" s="10" t="s">
        <v>1076</v>
      </c>
      <c r="D28" s="9" t="s">
        <v>972</v>
      </c>
      <c r="E28" s="9" t="s">
        <v>62</v>
      </c>
    </row>
    <row r="29" ht="15.75" customHeight="1">
      <c r="A29" s="12" t="s">
        <v>1077</v>
      </c>
      <c r="B29" s="13" t="s">
        <v>1078</v>
      </c>
      <c r="C29" s="13" t="s">
        <v>1079</v>
      </c>
      <c r="D29" s="12" t="s">
        <v>909</v>
      </c>
      <c r="E29" s="12" t="s">
        <v>62</v>
      </c>
    </row>
    <row r="30" ht="15.75" customHeight="1">
      <c r="A30" s="9" t="s">
        <v>1080</v>
      </c>
      <c r="B30" s="10" t="s">
        <v>1081</v>
      </c>
      <c r="C30" s="10" t="s">
        <v>1082</v>
      </c>
      <c r="D30" s="9" t="s">
        <v>1083</v>
      </c>
      <c r="E30" s="9" t="s">
        <v>62</v>
      </c>
    </row>
    <row r="31" ht="15.75" customHeight="1">
      <c r="A31" s="12" t="s">
        <v>1084</v>
      </c>
      <c r="B31" s="13" t="s">
        <v>1085</v>
      </c>
      <c r="C31" s="13" t="s">
        <v>1086</v>
      </c>
      <c r="D31" s="12" t="s">
        <v>1087</v>
      </c>
      <c r="E31" s="12" t="s">
        <v>62</v>
      </c>
    </row>
    <row r="32" ht="15.75" customHeight="1">
      <c r="A32" s="9" t="s">
        <v>1088</v>
      </c>
      <c r="B32" s="10" t="s">
        <v>1089</v>
      </c>
      <c r="C32" s="10" t="s">
        <v>1090</v>
      </c>
      <c r="D32" s="9" t="s">
        <v>311</v>
      </c>
      <c r="E32" s="9" t="s">
        <v>1058</v>
      </c>
    </row>
    <row r="33" ht="15.75" customHeight="1">
      <c r="A33" s="12" t="s">
        <v>1091</v>
      </c>
      <c r="B33" s="13" t="s">
        <v>1092</v>
      </c>
      <c r="C33" s="13" t="s">
        <v>1093</v>
      </c>
      <c r="D33" s="12" t="s">
        <v>1094</v>
      </c>
      <c r="E33" s="12" t="s">
        <v>62</v>
      </c>
    </row>
    <row r="34" ht="15.75" customHeight="1">
      <c r="A34" s="9" t="s">
        <v>1095</v>
      </c>
      <c r="B34" s="10" t="s">
        <v>1096</v>
      </c>
      <c r="C34" s="10" t="s">
        <v>1097</v>
      </c>
      <c r="D34" s="9" t="s">
        <v>890</v>
      </c>
      <c r="E34" s="9" t="s">
        <v>62</v>
      </c>
    </row>
    <row r="35" ht="15.75" customHeight="1">
      <c r="A35" s="12" t="s">
        <v>1098</v>
      </c>
      <c r="B35" s="13" t="s">
        <v>1099</v>
      </c>
      <c r="C35" s="13" t="s">
        <v>1100</v>
      </c>
      <c r="D35" s="12" t="s">
        <v>967</v>
      </c>
      <c r="E35" s="12" t="s">
        <v>62</v>
      </c>
    </row>
    <row r="36" ht="15.75" customHeight="1">
      <c r="A36" s="9" t="s">
        <v>1101</v>
      </c>
      <c r="B36" s="10" t="s">
        <v>1102</v>
      </c>
      <c r="C36" s="10" t="s">
        <v>1103</v>
      </c>
      <c r="D36" s="9" t="s">
        <v>1104</v>
      </c>
      <c r="E36" s="9" t="s">
        <v>73</v>
      </c>
    </row>
    <row r="37" ht="15.75" customHeight="1">
      <c r="A37" s="12" t="s">
        <v>1105</v>
      </c>
      <c r="B37" s="13" t="s">
        <v>1106</v>
      </c>
      <c r="C37" s="13" t="s">
        <v>1107</v>
      </c>
      <c r="D37" s="12" t="s">
        <v>1108</v>
      </c>
      <c r="E37" s="12" t="s">
        <v>66</v>
      </c>
    </row>
    <row r="38" ht="15.75" customHeight="1">
      <c r="A38" s="9" t="s">
        <v>1109</v>
      </c>
      <c r="B38" s="10" t="s">
        <v>1110</v>
      </c>
      <c r="C38" s="10" t="s">
        <v>1111</v>
      </c>
      <c r="D38" s="9" t="s">
        <v>986</v>
      </c>
      <c r="E38" s="9" t="s">
        <v>1058</v>
      </c>
    </row>
    <row r="39" ht="15.75" customHeight="1">
      <c r="A39" s="12" t="s">
        <v>1112</v>
      </c>
      <c r="B39" s="13" t="s">
        <v>1113</v>
      </c>
      <c r="C39" s="13" t="s">
        <v>1114</v>
      </c>
      <c r="D39" s="12" t="s">
        <v>1115</v>
      </c>
      <c r="E39" s="12" t="s">
        <v>1058</v>
      </c>
    </row>
    <row r="40" ht="15.75" customHeight="1">
      <c r="A40" s="9" t="s">
        <v>1116</v>
      </c>
      <c r="B40" s="10" t="s">
        <v>1117</v>
      </c>
      <c r="C40" s="10" t="s">
        <v>1118</v>
      </c>
      <c r="D40" s="9" t="s">
        <v>1119</v>
      </c>
      <c r="E40" s="9" t="s">
        <v>62</v>
      </c>
    </row>
    <row r="41" ht="15.75" customHeight="1">
      <c r="A41" s="12" t="s">
        <v>1120</v>
      </c>
      <c r="B41" s="13" t="s">
        <v>1121</v>
      </c>
      <c r="C41" s="13" t="s">
        <v>1122</v>
      </c>
      <c r="D41" s="12" t="s">
        <v>1123</v>
      </c>
      <c r="E41" s="12" t="s">
        <v>62</v>
      </c>
    </row>
    <row r="42" ht="15.75" customHeight="1">
      <c r="A42" s="9" t="s">
        <v>1124</v>
      </c>
      <c r="B42" s="10" t="s">
        <v>1125</v>
      </c>
      <c r="C42" s="10" t="s">
        <v>1126</v>
      </c>
      <c r="D42" s="9" t="s">
        <v>1127</v>
      </c>
      <c r="E42" s="9" t="s">
        <v>62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42"/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6.0"/>
    <col customWidth="1" min="2" max="2" width="14.0"/>
    <col customWidth="1" min="3" max="3" width="80.0"/>
    <col customWidth="1" min="4" max="4" width="10.0"/>
    <col customWidth="1" min="5" max="26" width="8.71"/>
  </cols>
  <sheetData>
    <row r="1">
      <c r="A1" s="1" t="s">
        <v>1128</v>
      </c>
    </row>
    <row r="2">
      <c r="A2" s="3" t="s">
        <v>1129</v>
      </c>
    </row>
    <row r="4" ht="30.0" customHeight="1">
      <c r="A4" s="6" t="s">
        <v>1130</v>
      </c>
      <c r="B4" s="6" t="s">
        <v>1131</v>
      </c>
      <c r="C4" s="6" t="s">
        <v>1132</v>
      </c>
      <c r="D4" s="6" t="s">
        <v>20</v>
      </c>
    </row>
    <row r="5">
      <c r="A5" s="13" t="s">
        <v>1133</v>
      </c>
      <c r="B5" s="12" t="s">
        <v>1134</v>
      </c>
      <c r="C5" s="13" t="s">
        <v>1135</v>
      </c>
      <c r="D5" s="12" t="s">
        <v>1136</v>
      </c>
    </row>
    <row r="6">
      <c r="A6" s="10" t="s">
        <v>1137</v>
      </c>
      <c r="B6" s="9" t="s">
        <v>1134</v>
      </c>
      <c r="C6" s="10" t="s">
        <v>1138</v>
      </c>
      <c r="D6" s="9" t="s">
        <v>420</v>
      </c>
    </row>
    <row r="7">
      <c r="A7" s="13" t="s">
        <v>1139</v>
      </c>
      <c r="B7" s="12" t="s">
        <v>1134</v>
      </c>
      <c r="C7" s="13" t="s">
        <v>1140</v>
      </c>
      <c r="D7" s="12" t="s">
        <v>194</v>
      </c>
    </row>
    <row r="8">
      <c r="A8" s="10" t="s">
        <v>1141</v>
      </c>
      <c r="B8" s="9" t="s">
        <v>1134</v>
      </c>
      <c r="C8" s="10" t="s">
        <v>1142</v>
      </c>
      <c r="D8" s="9" t="s">
        <v>163</v>
      </c>
    </row>
    <row r="9">
      <c r="A9" s="13" t="s">
        <v>1143</v>
      </c>
      <c r="B9" s="12" t="s">
        <v>1134</v>
      </c>
      <c r="C9" s="13" t="s">
        <v>1144</v>
      </c>
      <c r="D9" s="12" t="s">
        <v>171</v>
      </c>
    </row>
    <row r="10">
      <c r="A10" s="10" t="s">
        <v>1145</v>
      </c>
      <c r="B10" s="9" t="s">
        <v>1146</v>
      </c>
      <c r="C10" s="10" t="s">
        <v>1147</v>
      </c>
      <c r="D10" s="9" t="s">
        <v>245</v>
      </c>
    </row>
    <row r="11">
      <c r="A11" s="13" t="s">
        <v>1148</v>
      </c>
      <c r="B11" s="12" t="s">
        <v>1146</v>
      </c>
      <c r="C11" s="13" t="s">
        <v>1149</v>
      </c>
      <c r="D11" s="12" t="s">
        <v>1150</v>
      </c>
    </row>
    <row r="12">
      <c r="A12" s="10" t="s">
        <v>1151</v>
      </c>
      <c r="B12" s="9" t="s">
        <v>1146</v>
      </c>
      <c r="C12" s="10" t="s">
        <v>1152</v>
      </c>
      <c r="D12" s="9" t="s">
        <v>595</v>
      </c>
    </row>
    <row r="13">
      <c r="A13" s="13" t="s">
        <v>1153</v>
      </c>
      <c r="B13" s="12" t="s">
        <v>1154</v>
      </c>
      <c r="C13" s="13" t="s">
        <v>1155</v>
      </c>
      <c r="D13" s="12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13"/>
  <printOptions/>
  <pageMargins bottom="1.0" footer="0.0" header="0.0" left="0.75" right="0.75" top="1.0"/>
  <pageSetup paperSize="9" orientation="portrait"/>
  <drawing r:id="rId1"/>
</worksheet>
</file>