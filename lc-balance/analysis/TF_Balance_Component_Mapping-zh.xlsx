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L0_Config_Register" sheetId="2" state="visible" r:id="rId2"/>
    <sheet xmlns:r="http://schemas.openxmlformats.org/officeDocument/2006/relationships" name="Balance_Taxonomy" sheetId="3" state="visible" r:id="rId3"/>
    <sheet xmlns:r="http://schemas.openxmlformats.org/officeDocument/2006/relationships" name="L1_Event_Catalogue" sheetId="4" state="visible" r:id="rId4"/>
    <sheet xmlns:r="http://schemas.openxmlformats.org/officeDocument/2006/relationships" name="L2_Balance_Movement" sheetId="5" state="visible" r:id="rId5"/>
    <sheet xmlns:r="http://schemas.openxmlformats.org/officeDocument/2006/relationships" name="Amount_Basis" sheetId="6" state="visible" r:id="rId6"/>
    <sheet xmlns:r="http://schemas.openxmlformats.org/officeDocument/2006/relationships" name="L1_L2_Coverage" sheetId="7" state="visible" r:id="rId7"/>
    <sheet xmlns:r="http://schemas.openxmlformats.org/officeDocument/2006/relationships" name="L3_GL_Mapping" sheetId="8" state="visible" r:id="rId8"/>
    <sheet xmlns:r="http://schemas.openxmlformats.org/officeDocument/2006/relationships" name="GL_Coverage" sheetId="9" state="visible" r:id="rId9"/>
    <sheet xmlns:r="http://schemas.openxmlformats.org/officeDocument/2006/relationships" name="Tenor_Derivation" sheetId="10" state="visible" r:id="rId10"/>
    <sheet xmlns:r="http://schemas.openxmlformats.org/officeDocument/2006/relationships" name="L4_Risk_Obligor" sheetId="11" state="visible" r:id="rId11"/>
    <sheet xmlns:r="http://schemas.openxmlformats.org/officeDocument/2006/relationships" name="L5_Regulatory_CCF" sheetId="12" state="visible" r:id="rId12"/>
    <sheet xmlns:r="http://schemas.openxmlformats.org/officeDocument/2006/relationships" name="Invariants" sheetId="13" state="visible" r:id="rId13"/>
    <sheet xmlns:r="http://schemas.openxmlformats.org/officeDocument/2006/relationships" name="Test_Scenarios" sheetId="14" state="visible" r:id="rId14"/>
    <sheet xmlns:r="http://schemas.openxmlformats.org/officeDocument/2006/relationships" name="Controls_Reports" sheetId="15" state="visible" r:id="rId15"/>
  </sheets>
  <definedNames>
    <definedName name="_xlnm._FilterDatabase" localSheetId="1" hidden="1">'L0_Config_Register'!$A$4:$G$41</definedName>
    <definedName name="_xlnm._FilterDatabase" localSheetId="2" hidden="1">'Balance_Taxonomy'!$A$4:$G$55</definedName>
    <definedName name="_xlnm._FilterDatabase" localSheetId="3" hidden="1">'L1_Event_Catalogue'!$A$4:$I$61</definedName>
    <definedName name="_xlnm._FilterDatabase" localSheetId="4" hidden="1">'L2_Balance_Movement'!$A$4:$O$222</definedName>
    <definedName name="_xlnm._FilterDatabase" localSheetId="5" hidden="1">'Amount_Basis'!$A$4:$E$36</definedName>
    <definedName name="_xlnm._FilterDatabase" localSheetId="7" hidden="1">'L3_GL_Mapping'!$A$4:$I$55</definedName>
    <definedName name="_xlnm._FilterDatabase" localSheetId="9" hidden="1">'Tenor_Derivation'!$A$4:$J$17</definedName>
    <definedName name="_xlnm._FilterDatabase" localSheetId="10" hidden="1">'L4_Risk_Obligor'!$A$4:$G$12</definedName>
    <definedName name="_xlnm._FilterDatabase" localSheetId="11" hidden="1">'L5_Regulatory_CCF'!$A$4:$F$14</definedName>
    <definedName name="_xlnm._FilterDatabase" localSheetId="12" hidden="1">'Invariants'!$A$4:$D$28</definedName>
    <definedName name="_xlnm._FilterDatabase" localSheetId="13" hidden="1">'Test_Scenarios'!$A$4:$E$42</definedName>
    <definedName name="_xlnm._FilterDatabase" localSheetId="14" hidden="1">'Controls_Reports'!$A$4:$D$13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color theme="1"/>
      <sz val="11"/>
      <scheme val="minor"/>
    </font>
    <font>
      <name val="Microsoft Yahei"/>
      <b val="1"/>
      <color rgb="FF1F3864"/>
      <sz val="14"/>
    </font>
    <font>
      <name val="Microsoft Yahei"/>
      <b val="1"/>
      <color rgb="FF1F3864"/>
      <sz val="16"/>
    </font>
    <font>
      <name val="Noto Sans"/>
      <b val="1"/>
      <color rgb="FF1F3864"/>
      <sz val="14"/>
    </font>
    <font>
      <name val="Calibri"/>
      <color theme="1"/>
      <sz val="11"/>
    </font>
    <font>
      <name val="Microsoft Yahei"/>
      <i val="1"/>
      <color rgb="FF595959"/>
      <sz val="10"/>
    </font>
    <font>
      <name val="Microsoft Yahei"/>
      <b val="1"/>
      <color rgb="FFC00000"/>
      <sz val="11"/>
    </font>
    <font>
      <name val="Arial"/>
      <color theme="1"/>
      <sz val="10"/>
    </font>
    <font>
      <name val="Noto Sans"/>
      <i val="1"/>
      <color rgb="FF595959"/>
      <sz val="10"/>
    </font>
    <font>
      <name val="Noto Sans"/>
      <b val="1"/>
      <color rgb="FFFFFFFF"/>
      <sz val="10"/>
    </font>
    <font>
      <name val="Noto Sans"/>
      <b val="1"/>
      <color theme="1"/>
      <sz val="10"/>
    </font>
    <font>
      <name val="Microsoft Yahei"/>
      <b val="1"/>
      <color rgb="FFFFFFFF"/>
      <sz val="10"/>
    </font>
    <font>
      <name val="Noto Sans"/>
      <color theme="1"/>
      <sz val="10"/>
    </font>
    <font>
      <name val="Microsoft Yahei"/>
      <color theme="1"/>
      <sz val="10"/>
    </font>
    <font>
      <name val="Arial"/>
      <color rgb="FF0000FF"/>
      <sz val="10"/>
    </font>
    <font>
      <name val="Microsoft Yahei"/>
      <color rgb="FF008000"/>
      <sz val="10"/>
    </font>
    <font>
      <name val="Microsoft Yahei"/>
      <b val="1"/>
      <color rgb="FFC00000"/>
      <sz val="10"/>
    </font>
    <font>
      <name val="Microsoft Yahei"/>
      <i val="1"/>
      <color theme="1"/>
      <sz val="9"/>
    </font>
    <font>
      <name val="Microsoft Yahei"/>
      <color rgb="FF0000FF"/>
      <sz val="10"/>
    </font>
    <font>
      <name val="Microsoft Yahei"/>
      <color theme="1"/>
      <sz val="9"/>
    </font>
    <font>
      <name val="Courier New"/>
      <color theme="1"/>
      <sz val="9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numFmtId="0" fontId="0" fillId="0" borderId="0"/>
  </cellStyleXfs>
  <cellXfs count="4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bottom"/>
    </xf>
    <xf numFmtId="0" fontId="9" fillId="2" borderId="1" applyAlignment="1" pivotButton="0" quotePrefix="0" xfId="0">
      <alignment vertical="center" wrapText="1"/>
    </xf>
    <xf numFmtId="0" fontId="10" fillId="0" borderId="0" applyAlignment="1" pivotButton="0" quotePrefix="0" xfId="0">
      <alignment vertical="bottom"/>
    </xf>
    <xf numFmtId="0" fontId="11" fillId="2" borderId="1" applyAlignment="1" pivotButton="0" quotePrefix="0" xfId="0">
      <alignment vertical="center" wrapText="1"/>
    </xf>
    <xf numFmtId="0" fontId="12" fillId="0" borderId="0" applyAlignment="1" pivotButton="0" quotePrefix="0" xfId="0">
      <alignment vertical="top" wrapText="1"/>
    </xf>
    <xf numFmtId="0" fontId="13" fillId="3" borderId="1" applyAlignment="1" pivotButton="0" quotePrefix="0" xfId="0">
      <alignment vertical="top"/>
    </xf>
    <xf numFmtId="0" fontId="13" fillId="3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/>
    </xf>
    <xf numFmtId="0" fontId="13" fillId="0" borderId="0" applyAlignment="1" pivotButton="0" quotePrefix="0" xfId="0">
      <alignment vertical="bottom"/>
    </xf>
    <xf numFmtId="0" fontId="13" fillId="0" borderId="0" applyAlignment="1" pivotButton="0" quotePrefix="0" xfId="0">
      <alignment vertical="top" wrapText="1"/>
    </xf>
    <xf numFmtId="0" fontId="13" fillId="0" borderId="1" applyAlignment="1" pivotButton="0" quotePrefix="0" xfId="0">
      <alignment vertical="top"/>
    </xf>
    <xf numFmtId="0" fontId="7" fillId="3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9" fillId="2" borderId="2" applyAlignment="1" pivotButton="0" quotePrefix="0" xfId="0">
      <alignment vertical="bottom"/>
    </xf>
    <xf numFmtId="0" fontId="7" fillId="0" borderId="1" applyAlignment="1" pivotButton="0" quotePrefix="0" xfId="0">
      <alignment vertical="top" wrapText="1"/>
    </xf>
    <xf numFmtId="0" fontId="15" fillId="0" borderId="0" applyAlignment="1" pivotButton="0" quotePrefix="0" xfId="0">
      <alignment vertical="bottom"/>
    </xf>
    <xf numFmtId="0" fontId="15" fillId="3" borderId="1" applyAlignment="1" pivotButton="0" quotePrefix="0" xfId="0">
      <alignment vertical="top"/>
    </xf>
    <xf numFmtId="0" fontId="16" fillId="3" borderId="1" applyAlignment="1" pivotButton="0" quotePrefix="0" xfId="0">
      <alignment vertical="top"/>
    </xf>
    <xf numFmtId="0" fontId="17" fillId="0" borderId="0" applyAlignment="1" pivotButton="0" quotePrefix="0" xfId="0">
      <alignment vertical="bottom"/>
    </xf>
    <xf numFmtId="0" fontId="16" fillId="0" borderId="1" applyAlignment="1" pivotButton="0" quotePrefix="0" xfId="0">
      <alignment vertical="top"/>
    </xf>
    <xf numFmtId="0" fontId="15" fillId="0" borderId="1" applyAlignment="1" pivotButton="0" quotePrefix="0" xfId="0">
      <alignment vertical="top"/>
    </xf>
    <xf numFmtId="0" fontId="12" fillId="0" borderId="1" applyAlignment="1" pivotButton="0" quotePrefix="0" xfId="0">
      <alignment vertical="bottom"/>
    </xf>
    <xf numFmtId="0" fontId="15" fillId="0" borderId="1" applyAlignment="1" pivotButton="0" quotePrefix="0" xfId="0">
      <alignment vertical="bottom"/>
    </xf>
    <xf numFmtId="0" fontId="13" fillId="0" borderId="1" applyAlignment="1" pivotButton="0" quotePrefix="0" xfId="0">
      <alignment vertical="bottom"/>
    </xf>
    <xf numFmtId="0" fontId="10" fillId="0" borderId="1" applyAlignment="1" pivotButton="0" quotePrefix="0" xfId="0">
      <alignment vertical="bottom"/>
    </xf>
    <xf numFmtId="0" fontId="18" fillId="4" borderId="1" applyAlignment="1" pivotButton="0" quotePrefix="0" xfId="0">
      <alignment vertical="top"/>
    </xf>
    <xf numFmtId="0" fontId="18" fillId="4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164" fontId="15" fillId="0" borderId="1" applyAlignment="1" pivotButton="0" quotePrefix="0" xfId="0">
      <alignment vertical="bottom"/>
    </xf>
    <xf numFmtId="0" fontId="19" fillId="0" borderId="0" applyAlignment="1" pivotButton="0" quotePrefix="0" xfId="0">
      <alignment vertical="bottom"/>
    </xf>
    <xf numFmtId="0" fontId="20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40" min="1" max="1"/>
    <col width="110" customWidth="1" style="40" min="2" max="2"/>
    <col width="10" customWidth="1" style="40" min="3" max="3"/>
    <col width="8.710000000000001" customWidth="1" style="40" min="4" max="26"/>
  </cols>
  <sheetData>
    <row r="1" ht="19.5" customHeight="1" s="40">
      <c r="A1" s="2" t="inlineStr">
        <is>
          <t>TF 余额组件 —— 映射工作簿</t>
        </is>
      </c>
      <c r="B1" s="4" t="n"/>
      <c r="C1" s="4" t="n"/>
    </row>
    <row r="2" ht="15" customHeight="1" s="40">
      <c r="A2" s="6" t="inlineStr">
        <is>
          <t>Baseline 1.0 · 可执行的参考数据与投产关卡</t>
        </is>
      </c>
      <c r="B2" s="4" t="n"/>
      <c r="C2" s="4" t="n"/>
    </row>
    <row r="3" ht="15" customHeight="1" s="40">
      <c r="A3" s="7" t="n"/>
      <c r="B3" s="8" t="n"/>
      <c r="C3" s="4" t="n"/>
    </row>
    <row r="4" ht="15" customHeight="1" s="40">
      <c r="A4" s="11" t="inlineStr">
        <is>
          <t>三份交付物</t>
        </is>
      </c>
      <c r="B4" s="8" t="n"/>
      <c r="C4" s="4" t="n"/>
    </row>
    <row r="5" ht="15" customHeight="1" s="40">
      <c r="A5" s="11" t="inlineStr">
        <is>
          <t>构建规范</t>
        </is>
      </c>
      <c r="B5" s="13" t="inlineStr">
        <is>
          <t>《TF 余额组件 —— 实施规范》。「要构建什么」的契约。</t>
        </is>
      </c>
      <c r="C5" s="4" t="n"/>
    </row>
    <row r="6" ht="15" customHeight="1" s="40">
      <c r="A6" s="11" t="inlineStr">
        <is>
          <t>映射工作簿</t>
        </is>
      </c>
      <c r="B6" s="13" t="inlineStr">
        <is>
          <t>《TF 余额组件 —— 映射工作簿》。即本文件：可执行的参考数据与关卡。</t>
        </is>
      </c>
      <c r="C6" s="4" t="n"/>
    </row>
    <row r="7" ht="15" customHeight="1" s="40">
      <c r="A7" s="11" t="inlineStr">
        <is>
          <t>业务原理</t>
        </is>
      </c>
      <c r="B7" s="13" t="inlineStr">
        <is>
          <t>《贸易融资 —— 或有负债与表内业务生命周期》。「为什么」：业务原理、条款引用、分录示例。</t>
        </is>
      </c>
      <c r="C7" s="4" t="n"/>
    </row>
    <row r="8" ht="15" customHeight="1" s="40">
      <c r="A8" s="7" t="n"/>
      <c r="B8" s="8" t="n"/>
      <c r="C8" s="4" t="n"/>
    </row>
    <row r="9" ht="15" customHeight="1" s="40">
      <c r="A9" s="11" t="inlineStr">
        <is>
          <t>如何使用本工作簿</t>
        </is>
      </c>
      <c r="B9" s="8" t="n"/>
      <c r="C9" s="4" t="n"/>
    </row>
    <row r="10" ht="15" customHeight="1" s="40">
      <c r="A10" s="7" t="n"/>
      <c r="B10" s="13" t="inlineStr">
        <is>
          <t>规范文档承载叙述与规则；本工作簿承载由 BA 维护、由开发加载的参考数据。</t>
        </is>
      </c>
      <c r="C10" s="4" t="n"/>
    </row>
    <row r="11" ht="15" customHeight="1" s="40">
      <c r="A11" s="7" t="n"/>
      <c r="B11" s="13" t="inlineStr">
        <is>
          <t>黄底蓝字单元格由银行填写。绿色单元格为公式，请勿覆盖。</t>
        </is>
      </c>
      <c r="C11" s="4" t="n"/>
    </row>
    <row r="12" ht="15" customHeight="1" s="40">
      <c r="A12" s="7" t="n"/>
      <c r="B12" s="13" t="inlineStr">
        <is>
          <t>构建前需银行填写两张表：L0_Config_Register（E 列）与 L3_GL_Mapping。</t>
        </is>
      </c>
      <c r="C12" s="4" t="n"/>
    </row>
    <row r="13" ht="15" customHeight="1" s="40">
      <c r="A13" s="7" t="n"/>
      <c r="B13" s="13" t="inlineStr">
        <is>
          <t>两张表是关卡：L1_L2_Coverage（G2，阻断构建）与 GL_Coverage（G1，阻断投产）。</t>
        </is>
      </c>
      <c r="C13" s="4" t="n"/>
    </row>
    <row r="14" ht="15" customHeight="1" s="40">
      <c r="A14" s="7" t="n"/>
      <c r="B14" s="8" t="n"/>
      <c r="C14" s="4" t="n"/>
    </row>
    <row r="15" ht="15" customHeight="1" s="40">
      <c r="A15" s="11" t="inlineStr">
        <is>
          <t>三条不得被配置绕过的规则</t>
        </is>
      </c>
      <c r="B15" s="8" t="n"/>
      <c r="C15" s="4" t="n"/>
    </row>
    <row r="16" ht="23.25" customHeight="1" s="40">
      <c r="A16" s="17" t="inlineStr">
        <is>
          <t>1</t>
        </is>
      </c>
      <c r="B16" s="18" t="inlineStr">
        <is>
          <t>SG discharge is instrument-based, not amount-based — L1_Event_Catalogue (SG_REDEEMABLE is STATUS_ONLY; SG_RELEASE is full), tests T3, T4. Matched Amount at document arrival ≠ SG Redemption Amount — the sole exception is a document-matched compound submission (A3S), where the redeemed amount ties to identifiable arrived documents, not an arbitrary typed figure; a standalone redemption screen (e.g. A9) is still full-only.</t>
        </is>
      </c>
      <c r="C16" s="4" t="n"/>
    </row>
    <row r="17" ht="23.25" customHeight="1" s="40">
      <c r="A17" s="17" t="inlineStr">
        <is>
          <t>2</t>
        </is>
      </c>
      <c r="B17" s="18" t="inlineStr">
        <is>
          <t>Acceptances and DPUs are on-balance sheet on both import and export; the memo pair is a shadow — Balance_Taxonomy (MEMO_ONLY in red), I6, I18, tests T6, T15, T27.</t>
        </is>
      </c>
      <c r="C17" s="4" t="n"/>
    </row>
    <row r="18" ht="15" customHeight="1" s="40">
      <c r="A18" s="17" t="inlineStr">
        <is>
          <t>3</t>
        </is>
      </c>
      <c r="B18" s="18" t="inlineStr">
        <is>
          <t>Accounting is never driven from tenorType alone — Tenor_Derivation with provenance, tests T9, T14.</t>
        </is>
      </c>
      <c r="C18" s="4" t="n"/>
    </row>
    <row r="19" ht="15" customHeight="1" s="40">
      <c r="A19" s="7" t="inlineStr">
        <is>
          <t>Scope</t>
        </is>
      </c>
      <c r="B19" s="8" t="inlineStr">
        <is>
          <t>Balance Component tracks the contingent liability itself and its on-balance-sheet transformation (Acceptance Liability, incurred DPU) once a legal event — honour, acceptance, refusal — crystallises it; same exposure, same ledger, gross. It excludes financing and settlement-layer transactions on the same LC — early discounting/EBL, actual cash disbursement, SWIFT messaging — which belong to Loan Component and Payment Component respectively, and must never be summed with Balance Component's own exposure figures.</t>
        </is>
      </c>
      <c r="C19" s="4" t="n"/>
    </row>
    <row r="20" ht="15" customHeight="1" s="40">
      <c r="A20" s="11" t="inlineStr">
        <is>
          <t>工作表索引</t>
        </is>
      </c>
      <c r="B20" s="8" t="n"/>
      <c r="C20" s="4" t="n"/>
    </row>
    <row r="21" ht="15" customHeight="1" s="40">
      <c r="A21" s="22" t="inlineStr">
        <is>
          <t>工作表</t>
        </is>
      </c>
      <c r="B21" s="22" t="inlineStr">
        <is>
          <t>内容</t>
        </is>
      </c>
      <c r="C21" s="22" t="inlineStr">
        <is>
          <t>行数</t>
        </is>
      </c>
    </row>
    <row r="22" ht="15" customHeight="1" s="40">
      <c r="A22" s="17" t="inlineStr">
        <is>
          <t>L0_Config_Register</t>
        </is>
      </c>
      <c r="B22" s="18" t="inlineStr">
        <is>
          <t>Bank-configurable parameters. Presentation only — never event topology.</t>
        </is>
      </c>
      <c r="C22" s="24">
        <f>COUNTA(L0_Config_Register!B5:B600)</f>
        <v/>
      </c>
    </row>
    <row r="23" ht="15" customHeight="1" s="40">
      <c r="A23" s="17" t="inlineStr">
        <is>
          <t>Balance_Taxonomy</t>
        </is>
      </c>
      <c r="B23" s="18" t="inlineStr">
        <is>
          <t>Six balance classes, every balance type, and natural_side (drives derived posting_side).</t>
        </is>
      </c>
      <c r="C23" s="24">
        <f>COUNTA(Balance_Taxonomy!B5:B600)</f>
        <v/>
      </c>
    </row>
    <row r="24" ht="15" customHeight="1" s="40">
      <c r="A24" s="17" t="inlineStr">
        <is>
          <t>L1_Event_Catalogue</t>
        </is>
      </c>
      <c r="B24" s="18" t="inlineStr">
        <is>
          <t>Every event with movement_type, plus a live I17 resolution check.</t>
        </is>
      </c>
      <c r="C24" s="24">
        <f>COUNTA(L1_Event_Catalogue!B5:B600)</f>
        <v/>
      </c>
    </row>
    <row r="25" ht="15" customHeight="1" s="40">
      <c r="A25" s="17" t="inlineStr">
        <is>
          <t>L2_Balance_Movement</t>
        </is>
      </c>
      <c r="B25" s="18" t="inlineStr">
        <is>
          <t>LONG FORM. One row per event x posting_step x balance_type, with derived posting_side.</t>
        </is>
      </c>
      <c r="C25" s="24">
        <f>COUNTA(L2_Balance_Movement!B5:B600)</f>
        <v/>
      </c>
    </row>
    <row r="26" ht="15" customHeight="1" s="40">
      <c r="A26" s="17" t="inlineStr">
        <is>
          <t>L1_L2_Coverage</t>
        </is>
      </c>
      <c r="B26" s="18" t="inlineStr">
        <is>
          <t>Gate G2 — blocks the build if any event has no L2 definition.</t>
        </is>
      </c>
      <c r="C26" s="24">
        <f>COUNTA(L1_L2_Coverage!B5:B600)</f>
        <v/>
      </c>
    </row>
    <row r="27" ht="15" customHeight="1" s="40">
      <c r="A27" s="17" t="inlineStr">
        <is>
          <t>L3_GL_Mapping</t>
        </is>
      </c>
      <c r="B27" s="18" t="inlineStr">
        <is>
          <t>balance_type to GL account template. Row 5 is a worked example; replace it.</t>
        </is>
      </c>
      <c r="C27" s="24">
        <f>COUNTA(L3_GL_Mapping!B5:B600)</f>
        <v/>
      </c>
    </row>
    <row r="28" ht="15" customHeight="1" s="40">
      <c r="A28" s="17" t="inlineStr">
        <is>
          <t>GL_Coverage</t>
        </is>
      </c>
      <c r="B28" s="18" t="inlineStr">
        <is>
          <t>Gate G1 — blocks production until mapping coverage is 100%.</t>
        </is>
      </c>
      <c r="C28" s="24">
        <f>COUNTA(GL_Coverage!B5:B600)</f>
        <v/>
      </c>
    </row>
    <row r="29" ht="15" customHeight="1" s="40">
      <c r="A29" s="17" t="inlineStr">
        <is>
          <t>Tenor_Derivation</t>
        </is>
      </c>
      <c r="B29" s="18" t="inlineStr">
        <is>
          <t>tenorType as business classification, with derivation provenance fields.</t>
        </is>
      </c>
      <c r="C29" s="24">
        <f>COUNTA(Tenor_Derivation!B5:B600)</f>
        <v/>
      </c>
    </row>
    <row r="30" ht="15" customHeight="1" s="40">
      <c r="A30" s="17" t="inlineStr">
        <is>
          <t>L4_Risk_Obligor</t>
        </is>
      </c>
      <c r="B30" s="18" t="inlineStr">
        <is>
          <t>Obligor, type, recourse and limit per product/event.</t>
        </is>
      </c>
      <c r="C30" s="24">
        <f>COUNTA(L4_Risk_Obligor!B5:B600)</f>
        <v/>
      </c>
    </row>
    <row r="31" ht="15" customHeight="1" s="40">
      <c r="A31" s="17" t="inlineStr">
        <is>
          <t>L5_Regulatory_CCF</t>
        </is>
      </c>
      <c r="B31" s="18" t="inlineStr">
        <is>
          <t>CCF by class, with ccf_source separating CRE20 rules from internal-policy positions.</t>
        </is>
      </c>
      <c r="C31" s="24">
        <f>COUNTA(L5_Regulatory_CCF!B5:B600)</f>
        <v/>
      </c>
    </row>
    <row r="32" ht="15" customHeight="1" s="40">
      <c r="A32" s="17" t="inlineStr">
        <is>
          <t>Invariants</t>
        </is>
      </c>
      <c r="B32" s="18" t="inlineStr">
        <is>
          <t>I1A-I1C and I2-I22, sorted numerically; where each is enforced and what breaks without it.</t>
        </is>
      </c>
      <c r="C32" s="24">
        <f>COUNTA(Invariants!B5:B600)</f>
        <v/>
      </c>
    </row>
    <row r="33" ht="15" customHeight="1" s="40">
      <c r="A33" s="17" t="inlineStr">
        <is>
          <t>Amount_Basis</t>
        </is>
      </c>
      <c r="B33" s="18" t="inlineStr">
        <is>
          <t>Machine contract for amount resolution. Every L2 row carries a code from here.</t>
        </is>
      </c>
      <c r="C33" s="24">
        <f>COUNTA(Amount_Basis!B5:B600)</f>
        <v/>
      </c>
    </row>
    <row r="34" ht="15" customHeight="1" s="40">
      <c r="A34" s="17" t="inlineStr">
        <is>
          <t>Test_Scenarios</t>
        </is>
      </c>
      <c r="B34" s="18" t="inlineStr">
        <is>
          <t>38 tests: T1-T22 business, T23-T33 technical, T34-T38 presentation, rounding, direction and idempotency retention.</t>
        </is>
      </c>
      <c r="C34" s="24">
        <f>COUNTA(Test_Scenarios!B5:B600)</f>
        <v/>
      </c>
    </row>
    <row r="35" ht="15" customHeight="1" s="40">
      <c r="A35" s="17" t="inlineStr">
        <is>
          <t>Controls_Reports</t>
        </is>
      </c>
      <c r="B35" s="18" t="inlineStr">
        <is>
          <t>Control report set and frequency.</t>
        </is>
      </c>
      <c r="C35" s="24">
        <f>COUNTA(Controls_Reports!B5:B600)</f>
        <v/>
      </c>
    </row>
    <row r="36" ht="15.75" customHeight="1" s="40">
      <c r="A36" s="4" t="n"/>
      <c r="B36" s="4" t="n"/>
      <c r="C36" s="4" t="n"/>
    </row>
    <row r="37" ht="15" customHeight="1" s="40">
      <c r="A37" s="27" t="inlineStr">
        <is>
          <t>Row counts are formulas, so they update as rows are added.</t>
        </is>
      </c>
      <c r="B37" s="4" t="n"/>
      <c r="C37" s="4" t="n"/>
    </row>
    <row r="38" ht="15.75" customHeight="1" s="40">
      <c r="A38" s="4" t="n"/>
      <c r="B38" s="4" t="n"/>
      <c r="C38" s="4" t="n"/>
    </row>
    <row r="39" ht="15.75" customHeight="1" s="40">
      <c r="A39" s="4" t="n"/>
      <c r="B39" s="4" t="n"/>
      <c r="C39" s="4" t="n"/>
    </row>
    <row r="40" ht="15.75" customHeight="1" s="40">
      <c r="A40" s="4" t="n"/>
      <c r="B40" s="4" t="n"/>
      <c r="C40" s="4" t="n"/>
    </row>
    <row r="41" ht="15.75" customHeight="1" s="40">
      <c r="A41" s="4" t="n"/>
      <c r="B41" s="4" t="n"/>
      <c r="C41" s="4" t="n"/>
    </row>
    <row r="42" ht="15.75" customHeight="1" s="40">
      <c r="A42" s="4" t="n"/>
      <c r="B42" s="4" t="n"/>
      <c r="C42" s="4" t="n"/>
    </row>
    <row r="43" ht="15.75" customHeight="1" s="40">
      <c r="A43" s="4" t="n"/>
      <c r="B43" s="4" t="n"/>
      <c r="C43" s="4" t="n"/>
    </row>
    <row r="44" ht="15.75" customHeight="1" s="40">
      <c r="A44" s="4" t="n"/>
      <c r="B44" s="4" t="n"/>
      <c r="C44" s="4" t="n"/>
    </row>
    <row r="45" ht="15.75" customHeight="1" s="40">
      <c r="A45" s="4" t="n"/>
      <c r="B45" s="4" t="n"/>
      <c r="C45" s="4" t="n"/>
    </row>
    <row r="46" ht="15.75" customHeight="1" s="40">
      <c r="A46" s="4" t="n"/>
      <c r="B46" s="4" t="n"/>
      <c r="C46" s="4" t="n"/>
    </row>
    <row r="47" ht="15.75" customHeight="1" s="40">
      <c r="A47" s="4" t="n"/>
      <c r="B47" s="4" t="n"/>
      <c r="C47" s="4" t="n"/>
    </row>
    <row r="48" ht="15.75" customHeight="1" s="40">
      <c r="A48" s="4" t="n"/>
      <c r="B48" s="4" t="n"/>
      <c r="C48" s="4" t="n"/>
    </row>
    <row r="49" ht="15.75" customHeight="1" s="40">
      <c r="A49" s="4" t="n"/>
      <c r="B49" s="4" t="n"/>
      <c r="C49" s="4" t="n"/>
    </row>
    <row r="50" ht="15.75" customHeight="1" s="40">
      <c r="A50" s="4" t="n"/>
      <c r="B50" s="4" t="n"/>
      <c r="C50" s="4" t="n"/>
    </row>
    <row r="51" ht="15.75" customHeight="1" s="40">
      <c r="A51" s="4" t="n"/>
      <c r="B51" s="4" t="n"/>
      <c r="C51" s="4" t="n"/>
    </row>
    <row r="52" ht="15.75" customHeight="1" s="40">
      <c r="A52" s="4" t="n"/>
      <c r="B52" s="4" t="n"/>
      <c r="C52" s="4" t="n"/>
    </row>
    <row r="53" ht="15.75" customHeight="1" s="40">
      <c r="A53" s="4" t="n"/>
      <c r="B53" s="4" t="n"/>
      <c r="C53" s="4" t="n"/>
    </row>
    <row r="54" ht="15.75" customHeight="1" s="40">
      <c r="A54" s="4" t="n"/>
      <c r="B54" s="4" t="n"/>
      <c r="C54" s="4" t="n"/>
    </row>
    <row r="55" ht="15.75" customHeight="1" s="40">
      <c r="A55" s="4" t="n"/>
      <c r="B55" s="4" t="n"/>
      <c r="C55" s="4" t="n"/>
    </row>
    <row r="56" ht="15.75" customHeight="1" s="40">
      <c r="A56" s="4" t="n"/>
      <c r="B56" s="4" t="n"/>
      <c r="C56" s="4" t="n"/>
    </row>
    <row r="57" ht="15.75" customHeight="1" s="40">
      <c r="A57" s="4" t="n"/>
      <c r="B57" s="4" t="n"/>
      <c r="C57" s="4" t="n"/>
    </row>
    <row r="58" ht="15.75" customHeight="1" s="40">
      <c r="A58" s="4" t="n"/>
      <c r="B58" s="4" t="n"/>
      <c r="C58" s="4" t="n"/>
    </row>
    <row r="59" ht="15.75" customHeight="1" s="40">
      <c r="A59" s="4" t="n"/>
      <c r="B59" s="4" t="n"/>
      <c r="C59" s="4" t="n"/>
    </row>
    <row r="60" ht="15.75" customHeight="1" s="40">
      <c r="A60" s="4" t="n"/>
      <c r="B60" s="4" t="n"/>
      <c r="C60" s="4" t="n"/>
    </row>
    <row r="61" ht="15.75" customHeight="1" s="40">
      <c r="A61" s="4" t="n"/>
      <c r="B61" s="4" t="n"/>
      <c r="C61" s="4" t="n"/>
    </row>
    <row r="62" ht="15.75" customHeight="1" s="40">
      <c r="A62" s="4" t="n"/>
      <c r="B62" s="4" t="n"/>
      <c r="C62" s="4" t="n"/>
    </row>
    <row r="63" ht="15.75" customHeight="1" s="40">
      <c r="A63" s="4" t="n"/>
      <c r="B63" s="4" t="n"/>
      <c r="C63" s="4" t="n"/>
    </row>
    <row r="64" ht="15.75" customHeight="1" s="40">
      <c r="A64" s="4" t="n"/>
      <c r="B64" s="4" t="n"/>
      <c r="C64" s="4" t="n"/>
    </row>
    <row r="65" ht="15.75" customHeight="1" s="40">
      <c r="A65" s="4" t="n"/>
      <c r="B65" s="4" t="n"/>
      <c r="C65" s="4" t="n"/>
    </row>
    <row r="66" ht="15.75" customHeight="1" s="40">
      <c r="A66" s="4" t="n"/>
      <c r="B66" s="4" t="n"/>
      <c r="C66" s="4" t="n"/>
    </row>
    <row r="67" ht="15.75" customHeight="1" s="40">
      <c r="A67" s="4" t="n"/>
      <c r="B67" s="4" t="n"/>
      <c r="C67" s="4" t="n"/>
    </row>
    <row r="68" ht="15.75" customHeight="1" s="40">
      <c r="A68" s="4" t="n"/>
      <c r="B68" s="4" t="n"/>
      <c r="C68" s="4" t="n"/>
    </row>
    <row r="69" ht="15.75" customHeight="1" s="40">
      <c r="A69" s="4" t="n"/>
      <c r="B69" s="4" t="n"/>
      <c r="C69" s="4" t="n"/>
    </row>
    <row r="70" ht="15.75" customHeight="1" s="40">
      <c r="A70" s="4" t="n"/>
      <c r="B70" s="4" t="n"/>
      <c r="C70" s="4" t="n"/>
    </row>
    <row r="71" ht="15.75" customHeight="1" s="40">
      <c r="A71" s="4" t="n"/>
      <c r="B71" s="4" t="n"/>
      <c r="C71" s="4" t="n"/>
    </row>
    <row r="72" ht="15.75" customHeight="1" s="40">
      <c r="A72" s="4" t="n"/>
      <c r="B72" s="4" t="n"/>
      <c r="C72" s="4" t="n"/>
    </row>
    <row r="73" ht="15.75" customHeight="1" s="40">
      <c r="A73" s="4" t="n"/>
      <c r="B73" s="4" t="n"/>
      <c r="C73" s="4" t="n"/>
    </row>
    <row r="74" ht="15.75" customHeight="1" s="40">
      <c r="A74" s="4" t="n"/>
      <c r="B74" s="4" t="n"/>
      <c r="C74" s="4" t="n"/>
    </row>
    <row r="75" ht="15.75" customHeight="1" s="40">
      <c r="A75" s="4" t="n"/>
      <c r="B75" s="4" t="n"/>
      <c r="C75" s="4" t="n"/>
    </row>
    <row r="76" ht="15.75" customHeight="1" s="40">
      <c r="A76" s="4" t="n"/>
      <c r="B76" s="4" t="n"/>
      <c r="C76" s="4" t="n"/>
    </row>
    <row r="77" ht="15.75" customHeight="1" s="40">
      <c r="A77" s="4" t="n"/>
      <c r="B77" s="4" t="n"/>
      <c r="C77" s="4" t="n"/>
    </row>
    <row r="78" ht="15.75" customHeight="1" s="40">
      <c r="A78" s="4" t="n"/>
      <c r="B78" s="4" t="n"/>
      <c r="C78" s="4" t="n"/>
    </row>
    <row r="79" ht="15.75" customHeight="1" s="40">
      <c r="A79" s="4" t="n"/>
      <c r="B79" s="4" t="n"/>
      <c r="C79" s="4" t="n"/>
    </row>
    <row r="80" ht="15.75" customHeight="1" s="40">
      <c r="A80" s="4" t="n"/>
      <c r="B80" s="4" t="n"/>
      <c r="C80" s="4" t="n"/>
    </row>
    <row r="81" ht="15.75" customHeight="1" s="40">
      <c r="A81" s="4" t="n"/>
      <c r="B81" s="4" t="n"/>
      <c r="C81" s="4" t="n"/>
    </row>
    <row r="82" ht="15.75" customHeight="1" s="40">
      <c r="A82" s="4" t="n"/>
      <c r="B82" s="4" t="n"/>
      <c r="C82" s="4" t="n"/>
    </row>
    <row r="83" ht="15.75" customHeight="1" s="40">
      <c r="A83" s="4" t="n"/>
      <c r="B83" s="4" t="n"/>
      <c r="C83" s="4" t="n"/>
    </row>
    <row r="84" ht="15.75" customHeight="1" s="40">
      <c r="A84" s="4" t="n"/>
      <c r="B84" s="4" t="n"/>
      <c r="C84" s="4" t="n"/>
    </row>
    <row r="85" ht="15.75" customHeight="1" s="40">
      <c r="A85" s="4" t="n"/>
      <c r="B85" s="4" t="n"/>
      <c r="C85" s="4" t="n"/>
    </row>
    <row r="86" ht="15.75" customHeight="1" s="40">
      <c r="A86" s="4" t="n"/>
      <c r="B86" s="4" t="n"/>
      <c r="C86" s="4" t="n"/>
    </row>
    <row r="87" ht="15.75" customHeight="1" s="40">
      <c r="A87" s="4" t="n"/>
      <c r="B87" s="4" t="n"/>
      <c r="C87" s="4" t="n"/>
    </row>
    <row r="88" ht="15.75" customHeight="1" s="40">
      <c r="A88" s="4" t="n"/>
      <c r="B88" s="4" t="n"/>
      <c r="C88" s="4" t="n"/>
    </row>
    <row r="89" ht="15.75" customHeight="1" s="40">
      <c r="A89" s="4" t="n"/>
      <c r="B89" s="4" t="n"/>
      <c r="C89" s="4" t="n"/>
    </row>
    <row r="90" ht="15.75" customHeight="1" s="40">
      <c r="A90" s="4" t="n"/>
      <c r="B90" s="4" t="n"/>
      <c r="C90" s="4" t="n"/>
    </row>
    <row r="91" ht="15.75" customHeight="1" s="40">
      <c r="A91" s="4" t="n"/>
      <c r="B91" s="4" t="n"/>
      <c r="C91" s="4" t="n"/>
    </row>
    <row r="92" ht="15.75" customHeight="1" s="40">
      <c r="A92" s="4" t="n"/>
      <c r="B92" s="4" t="n"/>
      <c r="C92" s="4" t="n"/>
    </row>
    <row r="93" ht="15.75" customHeight="1" s="40">
      <c r="A93" s="4" t="n"/>
      <c r="B93" s="4" t="n"/>
      <c r="C93" s="4" t="n"/>
    </row>
    <row r="94" ht="15.75" customHeight="1" s="40">
      <c r="A94" s="4" t="n"/>
      <c r="B94" s="4" t="n"/>
      <c r="C94" s="4" t="n"/>
    </row>
    <row r="95" ht="15.75" customHeight="1" s="40">
      <c r="A95" s="4" t="n"/>
      <c r="B95" s="4" t="n"/>
      <c r="C95" s="4" t="n"/>
    </row>
    <row r="96" ht="15.75" customHeight="1" s="40">
      <c r="A96" s="4" t="n"/>
      <c r="B96" s="4" t="n"/>
      <c r="C96" s="4" t="n"/>
    </row>
    <row r="97" ht="15.75" customHeight="1" s="40">
      <c r="A97" s="4" t="n"/>
      <c r="B97" s="4" t="n"/>
      <c r="C97" s="4" t="n"/>
    </row>
    <row r="98" ht="15.75" customHeight="1" s="40">
      <c r="A98" s="4" t="n"/>
      <c r="B98" s="4" t="n"/>
      <c r="C98" s="4" t="n"/>
    </row>
    <row r="99" ht="15.75" customHeight="1" s="40">
      <c r="A99" s="4" t="n"/>
      <c r="B99" s="4" t="n"/>
      <c r="C99" s="4" t="n"/>
    </row>
    <row r="100" ht="15.75" customHeight="1" s="40">
      <c r="A100" s="4" t="n"/>
      <c r="B100" s="4" t="n"/>
      <c r="C100" s="4" t="n"/>
    </row>
    <row r="101" ht="15.75" customHeight="1" s="40">
      <c r="A101" s="4" t="n"/>
      <c r="B101" s="4" t="n"/>
      <c r="C101" s="4" t="n"/>
    </row>
    <row r="102" ht="15.75" customHeight="1" s="40">
      <c r="A102" s="4" t="n"/>
      <c r="B102" s="4" t="n"/>
      <c r="C102" s="4" t="n"/>
    </row>
    <row r="103" ht="15.75" customHeight="1" s="40">
      <c r="A103" s="4" t="n"/>
      <c r="B103" s="4" t="n"/>
      <c r="C103" s="4" t="n"/>
    </row>
    <row r="104" ht="15.75" customHeight="1" s="40">
      <c r="A104" s="4" t="n"/>
      <c r="B104" s="4" t="n"/>
      <c r="C104" s="4" t="n"/>
    </row>
    <row r="105" ht="15.75" customHeight="1" s="40">
      <c r="A105" s="4" t="n"/>
      <c r="B105" s="4" t="n"/>
      <c r="C105" s="4" t="n"/>
    </row>
    <row r="106" ht="15.75" customHeight="1" s="40">
      <c r="A106" s="4" t="n"/>
      <c r="B106" s="4" t="n"/>
      <c r="C106" s="4" t="n"/>
    </row>
    <row r="107" ht="15.75" customHeight="1" s="40">
      <c r="A107" s="4" t="n"/>
      <c r="B107" s="4" t="n"/>
      <c r="C107" s="4" t="n"/>
    </row>
    <row r="108" ht="15.75" customHeight="1" s="40">
      <c r="A108" s="4" t="n"/>
      <c r="B108" s="4" t="n"/>
      <c r="C108" s="4" t="n"/>
    </row>
    <row r="109" ht="15.75" customHeight="1" s="40">
      <c r="A109" s="4" t="n"/>
      <c r="B109" s="4" t="n"/>
      <c r="C109" s="4" t="n"/>
    </row>
    <row r="110" ht="15.75" customHeight="1" s="40">
      <c r="A110" s="4" t="n"/>
      <c r="B110" s="4" t="n"/>
      <c r="C110" s="4" t="n"/>
    </row>
    <row r="111" ht="15.75" customHeight="1" s="40">
      <c r="A111" s="4" t="n"/>
      <c r="B111" s="4" t="n"/>
      <c r="C111" s="4" t="n"/>
    </row>
    <row r="112" ht="15.75" customHeight="1" s="40">
      <c r="A112" s="4" t="n"/>
      <c r="B112" s="4" t="n"/>
      <c r="C112" s="4" t="n"/>
    </row>
    <row r="113" ht="15.75" customHeight="1" s="40">
      <c r="A113" s="4" t="n"/>
      <c r="B113" s="4" t="n"/>
      <c r="C113" s="4" t="n"/>
    </row>
    <row r="114" ht="15.75" customHeight="1" s="40">
      <c r="A114" s="4" t="n"/>
      <c r="B114" s="4" t="n"/>
      <c r="C114" s="4" t="n"/>
    </row>
    <row r="115" ht="15.75" customHeight="1" s="40">
      <c r="A115" s="4" t="n"/>
      <c r="B115" s="4" t="n"/>
      <c r="C115" s="4" t="n"/>
    </row>
    <row r="116" ht="15.75" customHeight="1" s="40">
      <c r="A116" s="4" t="n"/>
      <c r="B116" s="4" t="n"/>
      <c r="C116" s="4" t="n"/>
    </row>
    <row r="117" ht="15.75" customHeight="1" s="40">
      <c r="A117" s="4" t="n"/>
      <c r="B117" s="4" t="n"/>
      <c r="C117" s="4" t="n"/>
    </row>
    <row r="118" ht="15.75" customHeight="1" s="40">
      <c r="A118" s="4" t="n"/>
      <c r="B118" s="4" t="n"/>
      <c r="C118" s="4" t="n"/>
    </row>
    <row r="119" ht="15.75" customHeight="1" s="40">
      <c r="A119" s="4" t="n"/>
      <c r="B119" s="4" t="n"/>
      <c r="C119" s="4" t="n"/>
    </row>
    <row r="120" ht="15.75" customHeight="1" s="40">
      <c r="A120" s="4" t="n"/>
      <c r="B120" s="4" t="n"/>
      <c r="C120" s="4" t="n"/>
    </row>
    <row r="121" ht="15.75" customHeight="1" s="40">
      <c r="A121" s="4" t="n"/>
      <c r="B121" s="4" t="n"/>
      <c r="C121" s="4" t="n"/>
    </row>
    <row r="122" ht="15.75" customHeight="1" s="40">
      <c r="A122" s="4" t="n"/>
      <c r="B122" s="4" t="n"/>
      <c r="C122" s="4" t="n"/>
    </row>
    <row r="123" ht="15.75" customHeight="1" s="40">
      <c r="A123" s="4" t="n"/>
      <c r="B123" s="4" t="n"/>
      <c r="C123" s="4" t="n"/>
    </row>
    <row r="124" ht="15.75" customHeight="1" s="40">
      <c r="A124" s="4" t="n"/>
      <c r="B124" s="4" t="n"/>
      <c r="C124" s="4" t="n"/>
    </row>
    <row r="125" ht="15.75" customHeight="1" s="40">
      <c r="A125" s="4" t="n"/>
      <c r="B125" s="4" t="n"/>
      <c r="C125" s="4" t="n"/>
    </row>
    <row r="126" ht="15.75" customHeight="1" s="40">
      <c r="A126" s="4" t="n"/>
      <c r="B126" s="4" t="n"/>
      <c r="C126" s="4" t="n"/>
    </row>
    <row r="127" ht="15.75" customHeight="1" s="40">
      <c r="A127" s="4" t="n"/>
      <c r="B127" s="4" t="n"/>
      <c r="C127" s="4" t="n"/>
    </row>
    <row r="128" ht="15.75" customHeight="1" s="40">
      <c r="A128" s="4" t="n"/>
      <c r="B128" s="4" t="n"/>
      <c r="C128" s="4" t="n"/>
    </row>
    <row r="129" ht="15.75" customHeight="1" s="40">
      <c r="A129" s="4" t="n"/>
      <c r="B129" s="4" t="n"/>
      <c r="C129" s="4" t="n"/>
    </row>
    <row r="130" ht="15.75" customHeight="1" s="40">
      <c r="A130" s="4" t="n"/>
      <c r="B130" s="4" t="n"/>
      <c r="C130" s="4" t="n"/>
    </row>
    <row r="131" ht="15.75" customHeight="1" s="40">
      <c r="A131" s="4" t="n"/>
      <c r="B131" s="4" t="n"/>
      <c r="C131" s="4" t="n"/>
    </row>
    <row r="132" ht="15.75" customHeight="1" s="40">
      <c r="A132" s="4" t="n"/>
      <c r="B132" s="4" t="n"/>
      <c r="C132" s="4" t="n"/>
    </row>
    <row r="133" ht="15.75" customHeight="1" s="40">
      <c r="A133" s="4" t="n"/>
      <c r="B133" s="4" t="n"/>
      <c r="C133" s="4" t="n"/>
    </row>
    <row r="134" ht="15.75" customHeight="1" s="40">
      <c r="A134" s="4" t="n"/>
      <c r="B134" s="4" t="n"/>
      <c r="C134" s="4" t="n"/>
    </row>
    <row r="135" ht="15.75" customHeight="1" s="40">
      <c r="A135" s="4" t="n"/>
      <c r="B135" s="4" t="n"/>
      <c r="C135" s="4" t="n"/>
    </row>
    <row r="136" ht="15.75" customHeight="1" s="40">
      <c r="A136" s="4" t="n"/>
      <c r="B136" s="4" t="n"/>
      <c r="C136" s="4" t="n"/>
    </row>
    <row r="137" ht="15.75" customHeight="1" s="40">
      <c r="A137" s="4" t="n"/>
      <c r="B137" s="4" t="n"/>
      <c r="C137" s="4" t="n"/>
    </row>
    <row r="138" ht="15.75" customHeight="1" s="40">
      <c r="A138" s="4" t="n"/>
      <c r="B138" s="4" t="n"/>
      <c r="C138" s="4" t="n"/>
    </row>
    <row r="139" ht="15.75" customHeight="1" s="40">
      <c r="A139" s="4" t="n"/>
      <c r="B139" s="4" t="n"/>
      <c r="C139" s="4" t="n"/>
    </row>
    <row r="140" ht="15.75" customHeight="1" s="40">
      <c r="A140" s="4" t="n"/>
      <c r="B140" s="4" t="n"/>
      <c r="C140" s="4" t="n"/>
    </row>
    <row r="141" ht="15.75" customHeight="1" s="40">
      <c r="A141" s="4" t="n"/>
      <c r="B141" s="4" t="n"/>
      <c r="C141" s="4" t="n"/>
    </row>
    <row r="142" ht="15.75" customHeight="1" s="40">
      <c r="A142" s="4" t="n"/>
      <c r="B142" s="4" t="n"/>
      <c r="C142" s="4" t="n"/>
    </row>
    <row r="143" ht="15.75" customHeight="1" s="40">
      <c r="A143" s="4" t="n"/>
      <c r="B143" s="4" t="n"/>
      <c r="C143" s="4" t="n"/>
    </row>
    <row r="144" ht="15.75" customHeight="1" s="40">
      <c r="A144" s="4" t="n"/>
      <c r="B144" s="4" t="n"/>
      <c r="C144" s="4" t="n"/>
    </row>
    <row r="145" ht="15.75" customHeight="1" s="40">
      <c r="A145" s="4" t="n"/>
      <c r="B145" s="4" t="n"/>
      <c r="C145" s="4" t="n"/>
    </row>
    <row r="146" ht="15.75" customHeight="1" s="40">
      <c r="A146" s="4" t="n"/>
      <c r="B146" s="4" t="n"/>
      <c r="C146" s="4" t="n"/>
    </row>
    <row r="147" ht="15.75" customHeight="1" s="40">
      <c r="A147" s="4" t="n"/>
      <c r="B147" s="4" t="n"/>
      <c r="C147" s="4" t="n"/>
    </row>
    <row r="148" ht="15.75" customHeight="1" s="40">
      <c r="A148" s="4" t="n"/>
      <c r="B148" s="4" t="n"/>
      <c r="C148" s="4" t="n"/>
    </row>
    <row r="149" ht="15.75" customHeight="1" s="40">
      <c r="A149" s="4" t="n"/>
      <c r="B149" s="4" t="n"/>
      <c r="C149" s="4" t="n"/>
    </row>
    <row r="150" ht="15.75" customHeight="1" s="40">
      <c r="A150" s="4" t="n"/>
      <c r="B150" s="4" t="n"/>
      <c r="C150" s="4" t="n"/>
    </row>
    <row r="151" ht="15.75" customHeight="1" s="40">
      <c r="A151" s="4" t="n"/>
      <c r="B151" s="4" t="n"/>
      <c r="C151" s="4" t="n"/>
    </row>
    <row r="152" ht="15.75" customHeight="1" s="40">
      <c r="A152" s="4" t="n"/>
      <c r="B152" s="4" t="n"/>
      <c r="C152" s="4" t="n"/>
    </row>
    <row r="153" ht="15.75" customHeight="1" s="40">
      <c r="A153" s="4" t="n"/>
      <c r="B153" s="4" t="n"/>
      <c r="C153" s="4" t="n"/>
    </row>
    <row r="154" ht="15.75" customHeight="1" s="40">
      <c r="A154" s="4" t="n"/>
      <c r="B154" s="4" t="n"/>
      <c r="C154" s="4" t="n"/>
    </row>
    <row r="155" ht="15.75" customHeight="1" s="40">
      <c r="A155" s="4" t="n"/>
      <c r="B155" s="4" t="n"/>
      <c r="C155" s="4" t="n"/>
    </row>
    <row r="156" ht="15.75" customHeight="1" s="40">
      <c r="A156" s="4" t="n"/>
      <c r="B156" s="4" t="n"/>
      <c r="C156" s="4" t="n"/>
    </row>
    <row r="157" ht="15.75" customHeight="1" s="40">
      <c r="A157" s="4" t="n"/>
      <c r="B157" s="4" t="n"/>
      <c r="C157" s="4" t="n"/>
    </row>
    <row r="158" ht="15.75" customHeight="1" s="40">
      <c r="A158" s="4" t="n"/>
      <c r="B158" s="4" t="n"/>
      <c r="C158" s="4" t="n"/>
    </row>
    <row r="159" ht="15.75" customHeight="1" s="40">
      <c r="A159" s="4" t="n"/>
      <c r="B159" s="4" t="n"/>
      <c r="C159" s="4" t="n"/>
    </row>
    <row r="160" ht="15.75" customHeight="1" s="40">
      <c r="A160" s="4" t="n"/>
      <c r="B160" s="4" t="n"/>
      <c r="C160" s="4" t="n"/>
    </row>
    <row r="161" ht="15.75" customHeight="1" s="40">
      <c r="A161" s="4" t="n"/>
      <c r="B161" s="4" t="n"/>
      <c r="C161" s="4" t="n"/>
    </row>
    <row r="162" ht="15.75" customHeight="1" s="40">
      <c r="A162" s="4" t="n"/>
      <c r="B162" s="4" t="n"/>
      <c r="C162" s="4" t="n"/>
    </row>
    <row r="163" ht="15.75" customHeight="1" s="40">
      <c r="A163" s="4" t="n"/>
      <c r="B163" s="4" t="n"/>
      <c r="C163" s="4" t="n"/>
    </row>
    <row r="164" ht="15.75" customHeight="1" s="40">
      <c r="A164" s="4" t="n"/>
      <c r="B164" s="4" t="n"/>
      <c r="C164" s="4" t="n"/>
    </row>
    <row r="165" ht="15.75" customHeight="1" s="40">
      <c r="A165" s="4" t="n"/>
      <c r="B165" s="4" t="n"/>
      <c r="C165" s="4" t="n"/>
    </row>
    <row r="166" ht="15.75" customHeight="1" s="40">
      <c r="A166" s="4" t="n"/>
      <c r="B166" s="4" t="n"/>
      <c r="C166" s="4" t="n"/>
    </row>
    <row r="167" ht="15.75" customHeight="1" s="40">
      <c r="A167" s="4" t="n"/>
      <c r="B167" s="4" t="n"/>
      <c r="C167" s="4" t="n"/>
    </row>
    <row r="168" ht="15.75" customHeight="1" s="40">
      <c r="A168" s="4" t="n"/>
      <c r="B168" s="4" t="n"/>
      <c r="C168" s="4" t="n"/>
    </row>
    <row r="169" ht="15.75" customHeight="1" s="40">
      <c r="A169" s="4" t="n"/>
      <c r="B169" s="4" t="n"/>
      <c r="C169" s="4" t="n"/>
    </row>
    <row r="170" ht="15.75" customHeight="1" s="40">
      <c r="A170" s="4" t="n"/>
      <c r="B170" s="4" t="n"/>
      <c r="C170" s="4" t="n"/>
    </row>
    <row r="171" ht="15.75" customHeight="1" s="40">
      <c r="A171" s="4" t="n"/>
      <c r="B171" s="4" t="n"/>
      <c r="C171" s="4" t="n"/>
    </row>
    <row r="172" ht="15.75" customHeight="1" s="40">
      <c r="A172" s="4" t="n"/>
      <c r="B172" s="4" t="n"/>
      <c r="C172" s="4" t="n"/>
    </row>
    <row r="173" ht="15.75" customHeight="1" s="40">
      <c r="A173" s="4" t="n"/>
      <c r="B173" s="4" t="n"/>
      <c r="C173" s="4" t="n"/>
    </row>
    <row r="174" ht="15.75" customHeight="1" s="40">
      <c r="A174" s="4" t="n"/>
      <c r="B174" s="4" t="n"/>
      <c r="C174" s="4" t="n"/>
    </row>
    <row r="175" ht="15.75" customHeight="1" s="40">
      <c r="A175" s="4" t="n"/>
      <c r="B175" s="4" t="n"/>
      <c r="C175" s="4" t="n"/>
    </row>
    <row r="176" ht="15.75" customHeight="1" s="40">
      <c r="A176" s="4" t="n"/>
      <c r="B176" s="4" t="n"/>
      <c r="C176" s="4" t="n"/>
    </row>
    <row r="177" ht="15.75" customHeight="1" s="40">
      <c r="A177" s="4" t="n"/>
      <c r="B177" s="4" t="n"/>
      <c r="C177" s="4" t="n"/>
    </row>
    <row r="178" ht="15.75" customHeight="1" s="40">
      <c r="A178" s="4" t="n"/>
      <c r="B178" s="4" t="n"/>
      <c r="C178" s="4" t="n"/>
    </row>
    <row r="179" ht="15.75" customHeight="1" s="40">
      <c r="A179" s="4" t="n"/>
      <c r="B179" s="4" t="n"/>
      <c r="C179" s="4" t="n"/>
    </row>
    <row r="180" ht="15.75" customHeight="1" s="40">
      <c r="A180" s="4" t="n"/>
      <c r="B180" s="4" t="n"/>
      <c r="C180" s="4" t="n"/>
    </row>
    <row r="181" ht="15.75" customHeight="1" s="40">
      <c r="A181" s="4" t="n"/>
      <c r="B181" s="4" t="n"/>
      <c r="C181" s="4" t="n"/>
    </row>
    <row r="182" ht="15.75" customHeight="1" s="40">
      <c r="A182" s="4" t="n"/>
      <c r="B182" s="4" t="n"/>
      <c r="C182" s="4" t="n"/>
    </row>
    <row r="183" ht="15.75" customHeight="1" s="40">
      <c r="A183" s="4" t="n"/>
      <c r="B183" s="4" t="n"/>
      <c r="C183" s="4" t="n"/>
    </row>
    <row r="184" ht="15.75" customHeight="1" s="40">
      <c r="A184" s="4" t="n"/>
      <c r="B184" s="4" t="n"/>
      <c r="C184" s="4" t="n"/>
    </row>
    <row r="185" ht="15.75" customHeight="1" s="40">
      <c r="A185" s="4" t="n"/>
      <c r="B185" s="4" t="n"/>
      <c r="C185" s="4" t="n"/>
    </row>
    <row r="186" ht="15.75" customHeight="1" s="40">
      <c r="A186" s="4" t="n"/>
      <c r="B186" s="4" t="n"/>
      <c r="C186" s="4" t="n"/>
    </row>
    <row r="187" ht="15.75" customHeight="1" s="40">
      <c r="A187" s="4" t="n"/>
      <c r="B187" s="4" t="n"/>
      <c r="C187" s="4" t="n"/>
    </row>
    <row r="188" ht="15.75" customHeight="1" s="40">
      <c r="A188" s="4" t="n"/>
      <c r="B188" s="4" t="n"/>
      <c r="C188" s="4" t="n"/>
    </row>
    <row r="189" ht="15.75" customHeight="1" s="40">
      <c r="A189" s="4" t="n"/>
      <c r="B189" s="4" t="n"/>
      <c r="C189" s="4" t="n"/>
    </row>
    <row r="190" ht="15.75" customHeight="1" s="40">
      <c r="A190" s="4" t="n"/>
      <c r="B190" s="4" t="n"/>
      <c r="C190" s="4" t="n"/>
    </row>
    <row r="191" ht="15.75" customHeight="1" s="40">
      <c r="A191" s="4" t="n"/>
      <c r="B191" s="4" t="n"/>
      <c r="C191" s="4" t="n"/>
    </row>
    <row r="192" ht="15.75" customHeight="1" s="40">
      <c r="A192" s="4" t="n"/>
      <c r="B192" s="4" t="n"/>
      <c r="C192" s="4" t="n"/>
    </row>
    <row r="193" ht="15.75" customHeight="1" s="40">
      <c r="A193" s="4" t="n"/>
      <c r="B193" s="4" t="n"/>
      <c r="C193" s="4" t="n"/>
    </row>
    <row r="194" ht="15.75" customHeight="1" s="40">
      <c r="A194" s="4" t="n"/>
      <c r="B194" s="4" t="n"/>
      <c r="C194" s="4" t="n"/>
    </row>
    <row r="195" ht="15.75" customHeight="1" s="40">
      <c r="A195" s="4" t="n"/>
      <c r="B195" s="4" t="n"/>
      <c r="C195" s="4" t="n"/>
    </row>
    <row r="196" ht="15.75" customHeight="1" s="40">
      <c r="A196" s="4" t="n"/>
      <c r="B196" s="4" t="n"/>
      <c r="C196" s="4" t="n"/>
    </row>
    <row r="197" ht="15.75" customHeight="1" s="40">
      <c r="A197" s="4" t="n"/>
      <c r="B197" s="4" t="n"/>
      <c r="C197" s="4" t="n"/>
    </row>
    <row r="198" ht="15.75" customHeight="1" s="40">
      <c r="A198" s="4" t="n"/>
      <c r="B198" s="4" t="n"/>
      <c r="C198" s="4" t="n"/>
    </row>
    <row r="199" ht="15.75" customHeight="1" s="40">
      <c r="A199" s="4" t="n"/>
      <c r="B199" s="4" t="n"/>
      <c r="C199" s="4" t="n"/>
    </row>
    <row r="200" ht="15.75" customHeight="1" s="40">
      <c r="A200" s="4" t="n"/>
      <c r="B200" s="4" t="n"/>
      <c r="C200" s="4" t="n"/>
    </row>
    <row r="201" ht="15.75" customHeight="1" s="40">
      <c r="A201" s="4" t="n"/>
      <c r="B201" s="4" t="n"/>
      <c r="C201" s="4" t="n"/>
    </row>
    <row r="202" ht="15.75" customHeight="1" s="40">
      <c r="A202" s="4" t="n"/>
      <c r="B202" s="4" t="n"/>
      <c r="C202" s="4" t="n"/>
    </row>
    <row r="203" ht="15.75" customHeight="1" s="40">
      <c r="A203" s="4" t="n"/>
      <c r="B203" s="4" t="n"/>
      <c r="C203" s="4" t="n"/>
    </row>
    <row r="204" ht="15.75" customHeight="1" s="40">
      <c r="A204" s="4" t="n"/>
      <c r="B204" s="4" t="n"/>
      <c r="C204" s="4" t="n"/>
    </row>
    <row r="205" ht="15.75" customHeight="1" s="40">
      <c r="A205" s="4" t="n"/>
      <c r="B205" s="4" t="n"/>
      <c r="C205" s="4" t="n"/>
    </row>
    <row r="206" ht="15.75" customHeight="1" s="40">
      <c r="A206" s="4" t="n"/>
      <c r="B206" s="4" t="n"/>
      <c r="C206" s="4" t="n"/>
    </row>
    <row r="207" ht="15.75" customHeight="1" s="40">
      <c r="A207" s="4" t="n"/>
      <c r="B207" s="4" t="n"/>
      <c r="C207" s="4" t="n"/>
    </row>
    <row r="208" ht="15.75" customHeight="1" s="40">
      <c r="A208" s="4" t="n"/>
      <c r="B208" s="4" t="n"/>
      <c r="C208" s="4" t="n"/>
    </row>
    <row r="209" ht="15.75" customHeight="1" s="40">
      <c r="A209" s="4" t="n"/>
      <c r="B209" s="4" t="n"/>
      <c r="C209" s="4" t="n"/>
    </row>
    <row r="210" ht="15.75" customHeight="1" s="40">
      <c r="A210" s="4" t="n"/>
      <c r="B210" s="4" t="n"/>
      <c r="C210" s="4" t="n"/>
    </row>
    <row r="211" ht="15.75" customHeight="1" s="40">
      <c r="A211" s="4" t="n"/>
      <c r="B211" s="4" t="n"/>
      <c r="C211" s="4" t="n"/>
    </row>
    <row r="212" ht="15.75" customHeight="1" s="40">
      <c r="A212" s="4" t="n"/>
      <c r="B212" s="4" t="n"/>
      <c r="C212" s="4" t="n"/>
    </row>
    <row r="213" ht="15.75" customHeight="1" s="40">
      <c r="A213" s="4" t="n"/>
      <c r="B213" s="4" t="n"/>
      <c r="C213" s="4" t="n"/>
    </row>
    <row r="214" ht="15.75" customHeight="1" s="40">
      <c r="A214" s="4" t="n"/>
      <c r="B214" s="4" t="n"/>
      <c r="C214" s="4" t="n"/>
    </row>
    <row r="215" ht="15.75" customHeight="1" s="40">
      <c r="A215" s="4" t="n"/>
      <c r="B215" s="4" t="n"/>
      <c r="C215" s="4" t="n"/>
    </row>
    <row r="216" ht="15.75" customHeight="1" s="40">
      <c r="A216" s="4" t="n"/>
      <c r="B216" s="4" t="n"/>
      <c r="C216" s="4" t="n"/>
    </row>
    <row r="217" ht="15.75" customHeight="1" s="40">
      <c r="A217" s="4" t="n"/>
      <c r="B217" s="4" t="n"/>
      <c r="C217" s="4" t="n"/>
    </row>
    <row r="218" ht="15.75" customHeight="1" s="40">
      <c r="A218" s="4" t="n"/>
      <c r="B218" s="4" t="n"/>
      <c r="C218" s="4" t="n"/>
    </row>
    <row r="219" ht="15.75" customHeight="1" s="40">
      <c r="A219" s="4" t="n"/>
      <c r="B219" s="4" t="n"/>
      <c r="C219" s="4" t="n"/>
    </row>
    <row r="220" ht="15.75" customHeight="1" s="40">
      <c r="A220" s="4" t="n"/>
      <c r="B220" s="4" t="n"/>
      <c r="C220" s="4" t="n"/>
    </row>
    <row r="221" ht="15.75" customHeight="1" s="40">
      <c r="A221" s="4" t="n"/>
      <c r="B221" s="4" t="n"/>
      <c r="C221" s="4" t="n"/>
    </row>
    <row r="222" ht="15.75" customHeight="1" s="40">
      <c r="A222" s="4" t="n"/>
      <c r="B222" s="4" t="n"/>
      <c r="C222" s="4" t="n"/>
    </row>
    <row r="223" ht="15.75" customHeight="1" s="40">
      <c r="A223" s="4" t="n"/>
      <c r="B223" s="4" t="n"/>
      <c r="C223" s="4" t="n"/>
    </row>
    <row r="224" ht="15.75" customHeight="1" s="40">
      <c r="A224" s="4" t="n"/>
      <c r="B224" s="4" t="n"/>
      <c r="C224" s="4" t="n"/>
    </row>
    <row r="225" ht="15.75" customHeight="1" s="40">
      <c r="A225" s="4" t="n"/>
      <c r="B225" s="4" t="n"/>
      <c r="C225" s="4" t="n"/>
    </row>
    <row r="226" ht="15.75" customHeight="1" s="40">
      <c r="A226" s="4" t="n"/>
      <c r="B226" s="4" t="n"/>
      <c r="C226" s="4" t="n"/>
    </row>
    <row r="227" ht="15.75" customHeight="1" s="40">
      <c r="A227" s="4" t="n"/>
      <c r="B227" s="4" t="n"/>
      <c r="C227" s="4" t="n"/>
    </row>
    <row r="228" ht="15.75" customHeight="1" s="40">
      <c r="A228" s="4" t="n"/>
      <c r="B228" s="4" t="n"/>
      <c r="C228" s="4" t="n"/>
    </row>
    <row r="229" ht="15.75" customHeight="1" s="40">
      <c r="A229" s="4" t="n"/>
      <c r="B229" s="4" t="n"/>
      <c r="C229" s="4" t="n"/>
    </row>
    <row r="230" ht="15.75" customHeight="1" s="40">
      <c r="A230" s="4" t="n"/>
      <c r="B230" s="4" t="n"/>
      <c r="C230" s="4" t="n"/>
    </row>
    <row r="231" ht="15.75" customHeight="1" s="40">
      <c r="A231" s="4" t="n"/>
      <c r="B231" s="4" t="n"/>
      <c r="C231" s="4" t="n"/>
    </row>
    <row r="232" ht="15.75" customHeight="1" s="40">
      <c r="A232" s="4" t="n"/>
      <c r="B232" s="4" t="n"/>
      <c r="C232" s="4" t="n"/>
    </row>
    <row r="233" ht="15.75" customHeight="1" s="40">
      <c r="A233" s="4" t="n"/>
      <c r="B233" s="4" t="n"/>
      <c r="C233" s="4" t="n"/>
    </row>
    <row r="234" ht="15.75" customHeight="1" s="40">
      <c r="A234" s="4" t="n"/>
      <c r="B234" s="4" t="n"/>
      <c r="C234" s="4" t="n"/>
    </row>
    <row r="235" ht="15.75" customHeight="1" s="40">
      <c r="A235" s="4" t="n"/>
      <c r="B235" s="4" t="n"/>
      <c r="C235" s="4" t="n"/>
    </row>
    <row r="236" ht="15.75" customHeight="1" s="40">
      <c r="A236" s="4" t="n"/>
      <c r="B236" s="4" t="n"/>
      <c r="C236" s="4" t="n"/>
    </row>
    <row r="237" ht="15.75" customHeight="1" s="40">
      <c r="A237" s="4" t="n"/>
      <c r="B237" s="4" t="n"/>
      <c r="C237" s="4" t="n"/>
    </row>
    <row r="238" ht="15.75" customHeight="1" s="40">
      <c r="A238" s="4" t="n"/>
      <c r="B238" s="4" t="n"/>
      <c r="C238" s="4" t="n"/>
    </row>
    <row r="239" ht="15.75" customHeight="1" s="40">
      <c r="A239" s="4" t="n"/>
      <c r="B239" s="4" t="n"/>
      <c r="C239" s="4" t="n"/>
    </row>
    <row r="240" ht="15.75" customHeight="1" s="40">
      <c r="A240" s="4" t="n"/>
      <c r="B240" s="4" t="n"/>
      <c r="C240" s="4" t="n"/>
    </row>
    <row r="241" ht="15.75" customHeight="1" s="40">
      <c r="A241" s="4" t="n"/>
      <c r="B241" s="4" t="n"/>
      <c r="C241" s="4" t="n"/>
    </row>
    <row r="242" ht="15.75" customHeight="1" s="40">
      <c r="A242" s="4" t="n"/>
      <c r="B242" s="4" t="n"/>
      <c r="C242" s="4" t="n"/>
    </row>
    <row r="243" ht="15.75" customHeight="1" s="40">
      <c r="A243" s="4" t="n"/>
      <c r="B243" s="4" t="n"/>
      <c r="C243" s="4" t="n"/>
    </row>
    <row r="244" ht="15.75" customHeight="1" s="40">
      <c r="A244" s="4" t="n"/>
      <c r="B244" s="4" t="n"/>
      <c r="C244" s="4" t="n"/>
    </row>
    <row r="245" ht="15.75" customHeight="1" s="40">
      <c r="A245" s="4" t="n"/>
      <c r="B245" s="4" t="n"/>
      <c r="C245" s="4" t="n"/>
    </row>
    <row r="246" ht="15.75" customHeight="1" s="40">
      <c r="A246" s="4" t="n"/>
      <c r="B246" s="4" t="n"/>
      <c r="C246" s="4" t="n"/>
    </row>
    <row r="247" ht="15.75" customHeight="1" s="40">
      <c r="A247" s="4" t="n"/>
      <c r="B247" s="4" t="n"/>
      <c r="C247" s="4" t="n"/>
    </row>
    <row r="248" ht="15.75" customHeight="1" s="40">
      <c r="A248" s="4" t="n"/>
      <c r="B248" s="4" t="n"/>
      <c r="C248" s="4" t="n"/>
    </row>
    <row r="249" ht="15.75" customHeight="1" s="40">
      <c r="A249" s="4" t="n"/>
      <c r="B249" s="4" t="n"/>
      <c r="C249" s="4" t="n"/>
    </row>
    <row r="250" ht="15.75" customHeight="1" s="40">
      <c r="A250" s="4" t="n"/>
      <c r="B250" s="4" t="n"/>
      <c r="C250" s="4" t="n"/>
    </row>
    <row r="251" ht="15.75" customHeight="1" s="40">
      <c r="A251" s="4" t="n"/>
      <c r="B251" s="4" t="n"/>
      <c r="C251" s="4" t="n"/>
    </row>
    <row r="252" ht="15.75" customHeight="1" s="40">
      <c r="A252" s="4" t="n"/>
      <c r="B252" s="4" t="n"/>
      <c r="C252" s="4" t="n"/>
    </row>
    <row r="253" ht="15.75" customHeight="1" s="40">
      <c r="A253" s="4" t="n"/>
      <c r="B253" s="4" t="n"/>
      <c r="C253" s="4" t="n"/>
    </row>
    <row r="254" ht="15.75" customHeight="1" s="40">
      <c r="A254" s="4" t="n"/>
      <c r="B254" s="4" t="n"/>
      <c r="C254" s="4" t="n"/>
    </row>
    <row r="255" ht="15.75" customHeight="1" s="40">
      <c r="A255" s="4" t="n"/>
      <c r="B255" s="4" t="n"/>
      <c r="C255" s="4" t="n"/>
    </row>
    <row r="256" ht="15.75" customHeight="1" s="40">
      <c r="A256" s="4" t="n"/>
      <c r="B256" s="4" t="n"/>
      <c r="C256" s="4" t="n"/>
    </row>
    <row r="257" ht="15.75" customHeight="1" s="40">
      <c r="A257" s="4" t="n"/>
      <c r="B257" s="4" t="n"/>
      <c r="C257" s="4" t="n"/>
    </row>
    <row r="258" ht="15.75" customHeight="1" s="40">
      <c r="A258" s="4" t="n"/>
      <c r="B258" s="4" t="n"/>
      <c r="C258" s="4" t="n"/>
    </row>
    <row r="259" ht="15.75" customHeight="1" s="40">
      <c r="A259" s="4" t="n"/>
      <c r="B259" s="4" t="n"/>
      <c r="C259" s="4" t="n"/>
    </row>
    <row r="260" ht="15.75" customHeight="1" s="40">
      <c r="A260" s="4" t="n"/>
      <c r="B260" s="4" t="n"/>
      <c r="C260" s="4" t="n"/>
    </row>
    <row r="261" ht="15.75" customHeight="1" s="40">
      <c r="A261" s="4" t="n"/>
      <c r="B261" s="4" t="n"/>
      <c r="C261" s="4" t="n"/>
    </row>
    <row r="262" ht="15.75" customHeight="1" s="40">
      <c r="A262" s="4" t="n"/>
      <c r="B262" s="4" t="n"/>
      <c r="C262" s="4" t="n"/>
    </row>
    <row r="263" ht="15.75" customHeight="1" s="40">
      <c r="A263" s="4" t="n"/>
      <c r="B263" s="4" t="n"/>
      <c r="C263" s="4" t="n"/>
    </row>
    <row r="264" ht="15.75" customHeight="1" s="40">
      <c r="A264" s="4" t="n"/>
      <c r="B264" s="4" t="n"/>
      <c r="C264" s="4" t="n"/>
    </row>
    <row r="265" ht="15.75" customHeight="1" s="40">
      <c r="A265" s="4" t="n"/>
      <c r="B265" s="4" t="n"/>
      <c r="C265" s="4" t="n"/>
    </row>
    <row r="266" ht="15.75" customHeight="1" s="40">
      <c r="A266" s="4" t="n"/>
      <c r="B266" s="4" t="n"/>
      <c r="C266" s="4" t="n"/>
    </row>
    <row r="267" ht="15.75" customHeight="1" s="40">
      <c r="A267" s="4" t="n"/>
      <c r="B267" s="4" t="n"/>
      <c r="C267" s="4" t="n"/>
    </row>
    <row r="268" ht="15.75" customHeight="1" s="40">
      <c r="A268" s="4" t="n"/>
      <c r="B268" s="4" t="n"/>
      <c r="C268" s="4" t="n"/>
    </row>
    <row r="269" ht="15.75" customHeight="1" s="40">
      <c r="A269" s="4" t="n"/>
      <c r="B269" s="4" t="n"/>
      <c r="C269" s="4" t="n"/>
    </row>
    <row r="270" ht="15.75" customHeight="1" s="40">
      <c r="A270" s="4" t="n"/>
      <c r="B270" s="4" t="n"/>
      <c r="C270" s="4" t="n"/>
    </row>
    <row r="271" ht="15.75" customHeight="1" s="40">
      <c r="A271" s="4" t="n"/>
      <c r="B271" s="4" t="n"/>
      <c r="C271" s="4" t="n"/>
    </row>
    <row r="272" ht="15.75" customHeight="1" s="40">
      <c r="A272" s="4" t="n"/>
      <c r="B272" s="4" t="n"/>
      <c r="C272" s="4" t="n"/>
    </row>
    <row r="273" ht="15.75" customHeight="1" s="40">
      <c r="A273" s="4" t="n"/>
      <c r="B273" s="4" t="n"/>
      <c r="C273" s="4" t="n"/>
    </row>
    <row r="274" ht="15.75" customHeight="1" s="40">
      <c r="A274" s="4" t="n"/>
      <c r="B274" s="4" t="n"/>
      <c r="C274" s="4" t="n"/>
    </row>
    <row r="275" ht="15.75" customHeight="1" s="40">
      <c r="A275" s="4" t="n"/>
      <c r="B275" s="4" t="n"/>
      <c r="C275" s="4" t="n"/>
    </row>
    <row r="276" ht="15.75" customHeight="1" s="40">
      <c r="A276" s="4" t="n"/>
      <c r="B276" s="4" t="n"/>
      <c r="C276" s="4" t="n"/>
    </row>
    <row r="277" ht="15.75" customHeight="1" s="40">
      <c r="A277" s="4" t="n"/>
      <c r="B277" s="4" t="n"/>
      <c r="C277" s="4" t="n"/>
    </row>
    <row r="278" ht="15.75" customHeight="1" s="40">
      <c r="A278" s="4" t="n"/>
      <c r="B278" s="4" t="n"/>
      <c r="C278" s="4" t="n"/>
    </row>
    <row r="279" ht="15.75" customHeight="1" s="40">
      <c r="A279" s="4" t="n"/>
      <c r="B279" s="4" t="n"/>
      <c r="C279" s="4" t="n"/>
    </row>
    <row r="280" ht="15.75" customHeight="1" s="40">
      <c r="A280" s="4" t="n"/>
      <c r="B280" s="4" t="n"/>
      <c r="C280" s="4" t="n"/>
    </row>
    <row r="281" ht="15.75" customHeight="1" s="40">
      <c r="A281" s="4" t="n"/>
      <c r="B281" s="4" t="n"/>
      <c r="C281" s="4" t="n"/>
    </row>
    <row r="282" ht="15.75" customHeight="1" s="40">
      <c r="A282" s="4" t="n"/>
      <c r="B282" s="4" t="n"/>
      <c r="C282" s="4" t="n"/>
    </row>
    <row r="283" ht="15.75" customHeight="1" s="40">
      <c r="A283" s="4" t="n"/>
      <c r="B283" s="4" t="n"/>
      <c r="C283" s="4" t="n"/>
    </row>
    <row r="284" ht="15.75" customHeight="1" s="40">
      <c r="A284" s="4" t="n"/>
      <c r="B284" s="4" t="n"/>
      <c r="C284" s="4" t="n"/>
    </row>
    <row r="285" ht="15.75" customHeight="1" s="40">
      <c r="A285" s="4" t="n"/>
      <c r="B285" s="4" t="n"/>
      <c r="C285" s="4" t="n"/>
    </row>
    <row r="286" ht="15.75" customHeight="1" s="40">
      <c r="A286" s="4" t="n"/>
      <c r="B286" s="4" t="n"/>
      <c r="C286" s="4" t="n"/>
    </row>
    <row r="287" ht="15.75" customHeight="1" s="40">
      <c r="A287" s="4" t="n"/>
      <c r="B287" s="4" t="n"/>
      <c r="C287" s="4" t="n"/>
    </row>
    <row r="288" ht="15.75" customHeight="1" s="40">
      <c r="A288" s="4" t="n"/>
      <c r="B288" s="4" t="n"/>
      <c r="C288" s="4" t="n"/>
    </row>
    <row r="289" ht="15.75" customHeight="1" s="40">
      <c r="A289" s="4" t="n"/>
      <c r="B289" s="4" t="n"/>
      <c r="C289" s="4" t="n"/>
    </row>
    <row r="290" ht="15.75" customHeight="1" s="40">
      <c r="A290" s="4" t="n"/>
      <c r="B290" s="4" t="n"/>
      <c r="C290" s="4" t="n"/>
    </row>
    <row r="291" ht="15.75" customHeight="1" s="40">
      <c r="A291" s="4" t="n"/>
      <c r="B291" s="4" t="n"/>
      <c r="C291" s="4" t="n"/>
    </row>
    <row r="292" ht="15.75" customHeight="1" s="40">
      <c r="A292" s="4" t="n"/>
      <c r="B292" s="4" t="n"/>
      <c r="C292" s="4" t="n"/>
    </row>
    <row r="293" ht="15.75" customHeight="1" s="40">
      <c r="A293" s="4" t="n"/>
      <c r="B293" s="4" t="n"/>
      <c r="C293" s="4" t="n"/>
    </row>
    <row r="294" ht="15.75" customHeight="1" s="40">
      <c r="A294" s="4" t="n"/>
      <c r="B294" s="4" t="n"/>
      <c r="C294" s="4" t="n"/>
    </row>
    <row r="295" ht="15.75" customHeight="1" s="40">
      <c r="A295" s="4" t="n"/>
      <c r="B295" s="4" t="n"/>
      <c r="C295" s="4" t="n"/>
    </row>
    <row r="296" ht="15.75" customHeight="1" s="40">
      <c r="A296" s="4" t="n"/>
      <c r="B296" s="4" t="n"/>
      <c r="C296" s="4" t="n"/>
    </row>
    <row r="297" ht="15.75" customHeight="1" s="40">
      <c r="A297" s="4" t="n"/>
      <c r="B297" s="4" t="n"/>
      <c r="C297" s="4" t="n"/>
    </row>
    <row r="298" ht="15.75" customHeight="1" s="40">
      <c r="A298" s="4" t="n"/>
      <c r="B298" s="4" t="n"/>
      <c r="C298" s="4" t="n"/>
    </row>
    <row r="299" ht="15.75" customHeight="1" s="40">
      <c r="A299" s="4" t="n"/>
      <c r="B299" s="4" t="n"/>
      <c r="C299" s="4" t="n"/>
    </row>
    <row r="300" ht="15.75" customHeight="1" s="40">
      <c r="A300" s="4" t="n"/>
      <c r="B300" s="4" t="n"/>
      <c r="C300" s="4" t="n"/>
    </row>
    <row r="301" ht="15.75" customHeight="1" s="40">
      <c r="A301" s="4" t="n"/>
      <c r="B301" s="4" t="n"/>
      <c r="C301" s="4" t="n"/>
    </row>
    <row r="302" ht="15.75" customHeight="1" s="40">
      <c r="A302" s="4" t="n"/>
      <c r="B302" s="4" t="n"/>
      <c r="C302" s="4" t="n"/>
    </row>
    <row r="303" ht="15.75" customHeight="1" s="40">
      <c r="A303" s="4" t="n"/>
      <c r="B303" s="4" t="n"/>
      <c r="C303" s="4" t="n"/>
    </row>
    <row r="304" ht="15.75" customHeight="1" s="40">
      <c r="A304" s="4" t="n"/>
      <c r="B304" s="4" t="n"/>
      <c r="C304" s="4" t="n"/>
    </row>
    <row r="305" ht="15.75" customHeight="1" s="40">
      <c r="A305" s="4" t="n"/>
      <c r="B305" s="4" t="n"/>
      <c r="C305" s="4" t="n"/>
    </row>
    <row r="306" ht="15.75" customHeight="1" s="40">
      <c r="A306" s="4" t="n"/>
      <c r="B306" s="4" t="n"/>
      <c r="C306" s="4" t="n"/>
    </row>
    <row r="307" ht="15.75" customHeight="1" s="40">
      <c r="A307" s="4" t="n"/>
      <c r="B307" s="4" t="n"/>
      <c r="C307" s="4" t="n"/>
    </row>
    <row r="308" ht="15.75" customHeight="1" s="40">
      <c r="A308" s="4" t="n"/>
      <c r="B308" s="4" t="n"/>
      <c r="C308" s="4" t="n"/>
    </row>
    <row r="309" ht="15.75" customHeight="1" s="40">
      <c r="A309" s="4" t="n"/>
      <c r="B309" s="4" t="n"/>
      <c r="C309" s="4" t="n"/>
    </row>
    <row r="310" ht="15.75" customHeight="1" s="40">
      <c r="A310" s="4" t="n"/>
      <c r="B310" s="4" t="n"/>
      <c r="C310" s="4" t="n"/>
    </row>
    <row r="311" ht="15.75" customHeight="1" s="40">
      <c r="A311" s="4" t="n"/>
      <c r="B311" s="4" t="n"/>
      <c r="C311" s="4" t="n"/>
    </row>
    <row r="312" ht="15.75" customHeight="1" s="40">
      <c r="A312" s="4" t="n"/>
      <c r="B312" s="4" t="n"/>
      <c r="C312" s="4" t="n"/>
    </row>
    <row r="313" ht="15.75" customHeight="1" s="40">
      <c r="A313" s="4" t="n"/>
      <c r="B313" s="4" t="n"/>
      <c r="C313" s="4" t="n"/>
    </row>
    <row r="314" ht="15.75" customHeight="1" s="40">
      <c r="A314" s="4" t="n"/>
      <c r="B314" s="4" t="n"/>
      <c r="C314" s="4" t="n"/>
    </row>
    <row r="315" ht="15.75" customHeight="1" s="40">
      <c r="A315" s="4" t="n"/>
      <c r="B315" s="4" t="n"/>
      <c r="C315" s="4" t="n"/>
    </row>
    <row r="316" ht="15.75" customHeight="1" s="40">
      <c r="A316" s="4" t="n"/>
      <c r="B316" s="4" t="n"/>
      <c r="C316" s="4" t="n"/>
    </row>
    <row r="317" ht="15.75" customHeight="1" s="40">
      <c r="A317" s="4" t="n"/>
      <c r="B317" s="4" t="n"/>
      <c r="C317" s="4" t="n"/>
    </row>
    <row r="318" ht="15.75" customHeight="1" s="40">
      <c r="A318" s="4" t="n"/>
      <c r="B318" s="4" t="n"/>
      <c r="C318" s="4" t="n"/>
    </row>
    <row r="319" ht="15.75" customHeight="1" s="40">
      <c r="A319" s="4" t="n"/>
      <c r="B319" s="4" t="n"/>
      <c r="C319" s="4" t="n"/>
    </row>
    <row r="320" ht="15.75" customHeight="1" s="40">
      <c r="A320" s="4" t="n"/>
      <c r="B320" s="4" t="n"/>
      <c r="C320" s="4" t="n"/>
    </row>
    <row r="321" ht="15.75" customHeight="1" s="40">
      <c r="A321" s="4" t="n"/>
      <c r="B321" s="4" t="n"/>
      <c r="C321" s="4" t="n"/>
    </row>
    <row r="322" ht="15.75" customHeight="1" s="40">
      <c r="A322" s="4" t="n"/>
      <c r="B322" s="4" t="n"/>
      <c r="C322" s="4" t="n"/>
    </row>
    <row r="323" ht="15.75" customHeight="1" s="40">
      <c r="A323" s="4" t="n"/>
      <c r="B323" s="4" t="n"/>
      <c r="C323" s="4" t="n"/>
    </row>
    <row r="324" ht="15.75" customHeight="1" s="40">
      <c r="A324" s="4" t="n"/>
      <c r="B324" s="4" t="n"/>
      <c r="C324" s="4" t="n"/>
    </row>
    <row r="325" ht="15.75" customHeight="1" s="40">
      <c r="A325" s="4" t="n"/>
      <c r="B325" s="4" t="n"/>
      <c r="C325" s="4" t="n"/>
    </row>
    <row r="326" ht="15.75" customHeight="1" s="40">
      <c r="A326" s="4" t="n"/>
      <c r="B326" s="4" t="n"/>
      <c r="C326" s="4" t="n"/>
    </row>
    <row r="327" ht="15.75" customHeight="1" s="40">
      <c r="A327" s="4" t="n"/>
      <c r="B327" s="4" t="n"/>
      <c r="C327" s="4" t="n"/>
    </row>
    <row r="328" ht="15.75" customHeight="1" s="40">
      <c r="A328" s="4" t="n"/>
      <c r="B328" s="4" t="n"/>
      <c r="C328" s="4" t="n"/>
    </row>
    <row r="329" ht="15.75" customHeight="1" s="40">
      <c r="A329" s="4" t="n"/>
      <c r="B329" s="4" t="n"/>
      <c r="C329" s="4" t="n"/>
    </row>
    <row r="330" ht="15.75" customHeight="1" s="40">
      <c r="A330" s="4" t="n"/>
      <c r="B330" s="4" t="n"/>
      <c r="C330" s="4" t="n"/>
    </row>
    <row r="331" ht="15.75" customHeight="1" s="40">
      <c r="A331" s="4" t="n"/>
      <c r="B331" s="4" t="n"/>
      <c r="C331" s="4" t="n"/>
    </row>
    <row r="332" ht="15.75" customHeight="1" s="40">
      <c r="A332" s="4" t="n"/>
      <c r="B332" s="4" t="n"/>
      <c r="C332" s="4" t="n"/>
    </row>
    <row r="333" ht="15.75" customHeight="1" s="40">
      <c r="A333" s="4" t="n"/>
      <c r="B333" s="4" t="n"/>
      <c r="C333" s="4" t="n"/>
    </row>
    <row r="334" ht="15.75" customHeight="1" s="40">
      <c r="A334" s="4" t="n"/>
      <c r="B334" s="4" t="n"/>
      <c r="C334" s="4" t="n"/>
    </row>
    <row r="335" ht="15.75" customHeight="1" s="40">
      <c r="A335" s="4" t="n"/>
      <c r="B335" s="4" t="n"/>
      <c r="C335" s="4" t="n"/>
    </row>
    <row r="336" ht="15.75" customHeight="1" s="40">
      <c r="A336" s="4" t="n"/>
      <c r="B336" s="4" t="n"/>
      <c r="C336" s="4" t="n"/>
    </row>
    <row r="337" ht="15.75" customHeight="1" s="40">
      <c r="A337" s="4" t="n"/>
      <c r="B337" s="4" t="n"/>
      <c r="C337" s="4" t="n"/>
    </row>
    <row r="338" ht="15.75" customHeight="1" s="40">
      <c r="A338" s="4" t="n"/>
      <c r="B338" s="4" t="n"/>
      <c r="C338" s="4" t="n"/>
    </row>
    <row r="339" ht="15.75" customHeight="1" s="40">
      <c r="A339" s="4" t="n"/>
      <c r="B339" s="4" t="n"/>
      <c r="C339" s="4" t="n"/>
    </row>
    <row r="340" ht="15.75" customHeight="1" s="40">
      <c r="A340" s="4" t="n"/>
      <c r="B340" s="4" t="n"/>
      <c r="C340" s="4" t="n"/>
    </row>
    <row r="341" ht="15.75" customHeight="1" s="40">
      <c r="A341" s="4" t="n"/>
      <c r="B341" s="4" t="n"/>
      <c r="C341" s="4" t="n"/>
    </row>
    <row r="342" ht="15.75" customHeight="1" s="40">
      <c r="A342" s="4" t="n"/>
      <c r="B342" s="4" t="n"/>
      <c r="C342" s="4" t="n"/>
    </row>
    <row r="343" ht="15.75" customHeight="1" s="40">
      <c r="A343" s="4" t="n"/>
      <c r="B343" s="4" t="n"/>
      <c r="C343" s="4" t="n"/>
    </row>
    <row r="344" ht="15.75" customHeight="1" s="40">
      <c r="A344" s="4" t="n"/>
      <c r="B344" s="4" t="n"/>
      <c r="C344" s="4" t="n"/>
    </row>
    <row r="345" ht="15.75" customHeight="1" s="40">
      <c r="A345" s="4" t="n"/>
      <c r="B345" s="4" t="n"/>
      <c r="C345" s="4" t="n"/>
    </row>
    <row r="346" ht="15.75" customHeight="1" s="40">
      <c r="A346" s="4" t="n"/>
      <c r="B346" s="4" t="n"/>
      <c r="C346" s="4" t="n"/>
    </row>
    <row r="347" ht="15.75" customHeight="1" s="40">
      <c r="A347" s="4" t="n"/>
      <c r="B347" s="4" t="n"/>
      <c r="C347" s="4" t="n"/>
    </row>
    <row r="348" ht="15.75" customHeight="1" s="40">
      <c r="A348" s="4" t="n"/>
      <c r="B348" s="4" t="n"/>
      <c r="C348" s="4" t="n"/>
    </row>
    <row r="349" ht="15.75" customHeight="1" s="40">
      <c r="A349" s="4" t="n"/>
      <c r="B349" s="4" t="n"/>
      <c r="C349" s="4" t="n"/>
    </row>
    <row r="350" ht="15.75" customHeight="1" s="40">
      <c r="A350" s="4" t="n"/>
      <c r="B350" s="4" t="n"/>
      <c r="C350" s="4" t="n"/>
    </row>
    <row r="351" ht="15.75" customHeight="1" s="40">
      <c r="A351" s="4" t="n"/>
      <c r="B351" s="4" t="n"/>
      <c r="C351" s="4" t="n"/>
    </row>
    <row r="352" ht="15.75" customHeight="1" s="40">
      <c r="A352" s="4" t="n"/>
      <c r="B352" s="4" t="n"/>
      <c r="C352" s="4" t="n"/>
    </row>
    <row r="353" ht="15.75" customHeight="1" s="40">
      <c r="A353" s="4" t="n"/>
      <c r="B353" s="4" t="n"/>
      <c r="C353" s="4" t="n"/>
    </row>
    <row r="354" ht="15.75" customHeight="1" s="40">
      <c r="A354" s="4" t="n"/>
      <c r="B354" s="4" t="n"/>
      <c r="C354" s="4" t="n"/>
    </row>
    <row r="355" ht="15.75" customHeight="1" s="40">
      <c r="A355" s="4" t="n"/>
      <c r="B355" s="4" t="n"/>
      <c r="C355" s="4" t="n"/>
    </row>
    <row r="356" ht="15.75" customHeight="1" s="40">
      <c r="A356" s="4" t="n"/>
      <c r="B356" s="4" t="n"/>
      <c r="C356" s="4" t="n"/>
    </row>
    <row r="357" ht="15.75" customHeight="1" s="40">
      <c r="A357" s="4" t="n"/>
      <c r="B357" s="4" t="n"/>
      <c r="C357" s="4" t="n"/>
    </row>
    <row r="358" ht="15.75" customHeight="1" s="40">
      <c r="A358" s="4" t="n"/>
      <c r="B358" s="4" t="n"/>
      <c r="C358" s="4" t="n"/>
    </row>
    <row r="359" ht="15.75" customHeight="1" s="40">
      <c r="A359" s="4" t="n"/>
      <c r="B359" s="4" t="n"/>
      <c r="C359" s="4" t="n"/>
    </row>
    <row r="360" ht="15.75" customHeight="1" s="40">
      <c r="A360" s="4" t="n"/>
      <c r="B360" s="4" t="n"/>
      <c r="C360" s="4" t="n"/>
    </row>
    <row r="361" ht="15.75" customHeight="1" s="40">
      <c r="A361" s="4" t="n"/>
      <c r="B361" s="4" t="n"/>
      <c r="C361" s="4" t="n"/>
    </row>
    <row r="362" ht="15.75" customHeight="1" s="40">
      <c r="A362" s="4" t="n"/>
      <c r="B362" s="4" t="n"/>
      <c r="C362" s="4" t="n"/>
    </row>
    <row r="363" ht="15.75" customHeight="1" s="40">
      <c r="A363" s="4" t="n"/>
      <c r="B363" s="4" t="n"/>
      <c r="C363" s="4" t="n"/>
    </row>
    <row r="364" ht="15.75" customHeight="1" s="40">
      <c r="A364" s="4" t="n"/>
      <c r="B364" s="4" t="n"/>
      <c r="C364" s="4" t="n"/>
    </row>
    <row r="365" ht="15.75" customHeight="1" s="40">
      <c r="A365" s="4" t="n"/>
      <c r="B365" s="4" t="n"/>
      <c r="C365" s="4" t="n"/>
    </row>
    <row r="366" ht="15.75" customHeight="1" s="40">
      <c r="A366" s="4" t="n"/>
      <c r="B366" s="4" t="n"/>
      <c r="C366" s="4" t="n"/>
    </row>
    <row r="367" ht="15.75" customHeight="1" s="40">
      <c r="A367" s="4" t="n"/>
      <c r="B367" s="4" t="n"/>
      <c r="C367" s="4" t="n"/>
    </row>
    <row r="368" ht="15.75" customHeight="1" s="40">
      <c r="A368" s="4" t="n"/>
      <c r="B368" s="4" t="n"/>
      <c r="C368" s="4" t="n"/>
    </row>
    <row r="369" ht="15.75" customHeight="1" s="40">
      <c r="A369" s="4" t="n"/>
      <c r="B369" s="4" t="n"/>
      <c r="C369" s="4" t="n"/>
    </row>
    <row r="370" ht="15.75" customHeight="1" s="40">
      <c r="A370" s="4" t="n"/>
      <c r="B370" s="4" t="n"/>
      <c r="C370" s="4" t="n"/>
    </row>
    <row r="371" ht="15.75" customHeight="1" s="40">
      <c r="A371" s="4" t="n"/>
      <c r="B371" s="4" t="n"/>
      <c r="C371" s="4" t="n"/>
    </row>
    <row r="372" ht="15.75" customHeight="1" s="40">
      <c r="A372" s="4" t="n"/>
      <c r="B372" s="4" t="n"/>
      <c r="C372" s="4" t="n"/>
    </row>
    <row r="373" ht="15.75" customHeight="1" s="40">
      <c r="A373" s="4" t="n"/>
      <c r="B373" s="4" t="n"/>
      <c r="C373" s="4" t="n"/>
    </row>
    <row r="374" ht="15.75" customHeight="1" s="40">
      <c r="A374" s="4" t="n"/>
      <c r="B374" s="4" t="n"/>
      <c r="C374" s="4" t="n"/>
    </row>
    <row r="375" ht="15.75" customHeight="1" s="40">
      <c r="A375" s="4" t="n"/>
      <c r="B375" s="4" t="n"/>
      <c r="C375" s="4" t="n"/>
    </row>
    <row r="376" ht="15.75" customHeight="1" s="40">
      <c r="A376" s="4" t="n"/>
      <c r="B376" s="4" t="n"/>
      <c r="C376" s="4" t="n"/>
    </row>
    <row r="377" ht="15.75" customHeight="1" s="40">
      <c r="A377" s="4" t="n"/>
      <c r="B377" s="4" t="n"/>
      <c r="C377" s="4" t="n"/>
    </row>
    <row r="378" ht="15.75" customHeight="1" s="40">
      <c r="A378" s="4" t="n"/>
      <c r="B378" s="4" t="n"/>
      <c r="C378" s="4" t="n"/>
    </row>
    <row r="379" ht="15.75" customHeight="1" s="40">
      <c r="A379" s="4" t="n"/>
      <c r="B379" s="4" t="n"/>
      <c r="C379" s="4" t="n"/>
    </row>
    <row r="380" ht="15.75" customHeight="1" s="40">
      <c r="A380" s="4" t="n"/>
      <c r="B380" s="4" t="n"/>
      <c r="C380" s="4" t="n"/>
    </row>
    <row r="381" ht="15.75" customHeight="1" s="40">
      <c r="A381" s="4" t="n"/>
      <c r="B381" s="4" t="n"/>
      <c r="C381" s="4" t="n"/>
    </row>
    <row r="382" ht="15.75" customHeight="1" s="40">
      <c r="A382" s="4" t="n"/>
      <c r="B382" s="4" t="n"/>
      <c r="C382" s="4" t="n"/>
    </row>
    <row r="383" ht="15.75" customHeight="1" s="40">
      <c r="A383" s="4" t="n"/>
      <c r="B383" s="4" t="n"/>
      <c r="C383" s="4" t="n"/>
    </row>
    <row r="384" ht="15.75" customHeight="1" s="40">
      <c r="A384" s="4" t="n"/>
      <c r="B384" s="4" t="n"/>
      <c r="C384" s="4" t="n"/>
    </row>
    <row r="385" ht="15.75" customHeight="1" s="40">
      <c r="A385" s="4" t="n"/>
      <c r="B385" s="4" t="n"/>
      <c r="C385" s="4" t="n"/>
    </row>
    <row r="386" ht="15.75" customHeight="1" s="40">
      <c r="A386" s="4" t="n"/>
      <c r="B386" s="4" t="n"/>
      <c r="C386" s="4" t="n"/>
    </row>
    <row r="387" ht="15.75" customHeight="1" s="40">
      <c r="A387" s="4" t="n"/>
      <c r="B387" s="4" t="n"/>
      <c r="C387" s="4" t="n"/>
    </row>
    <row r="388" ht="15.75" customHeight="1" s="40">
      <c r="A388" s="4" t="n"/>
      <c r="B388" s="4" t="n"/>
      <c r="C388" s="4" t="n"/>
    </row>
    <row r="389" ht="15.75" customHeight="1" s="40">
      <c r="A389" s="4" t="n"/>
      <c r="B389" s="4" t="n"/>
      <c r="C389" s="4" t="n"/>
    </row>
    <row r="390" ht="15.75" customHeight="1" s="40">
      <c r="A390" s="4" t="n"/>
      <c r="B390" s="4" t="n"/>
      <c r="C390" s="4" t="n"/>
    </row>
    <row r="391" ht="15.75" customHeight="1" s="40">
      <c r="A391" s="4" t="n"/>
      <c r="B391" s="4" t="n"/>
      <c r="C391" s="4" t="n"/>
    </row>
    <row r="392" ht="15.75" customHeight="1" s="40">
      <c r="A392" s="4" t="n"/>
      <c r="B392" s="4" t="n"/>
      <c r="C392" s="4" t="n"/>
    </row>
    <row r="393" ht="15.75" customHeight="1" s="40">
      <c r="A393" s="4" t="n"/>
      <c r="B393" s="4" t="n"/>
      <c r="C393" s="4" t="n"/>
    </row>
    <row r="394" ht="15.75" customHeight="1" s="40">
      <c r="A394" s="4" t="n"/>
      <c r="B394" s="4" t="n"/>
      <c r="C394" s="4" t="n"/>
    </row>
    <row r="395" ht="15.75" customHeight="1" s="40">
      <c r="A395" s="4" t="n"/>
      <c r="B395" s="4" t="n"/>
      <c r="C395" s="4" t="n"/>
    </row>
    <row r="396" ht="15.75" customHeight="1" s="40">
      <c r="A396" s="4" t="n"/>
      <c r="B396" s="4" t="n"/>
      <c r="C396" s="4" t="n"/>
    </row>
    <row r="397" ht="15.75" customHeight="1" s="40">
      <c r="A397" s="4" t="n"/>
      <c r="B397" s="4" t="n"/>
      <c r="C397" s="4" t="n"/>
    </row>
    <row r="398" ht="15.75" customHeight="1" s="40">
      <c r="A398" s="4" t="n"/>
      <c r="B398" s="4" t="n"/>
      <c r="C398" s="4" t="n"/>
    </row>
    <row r="399" ht="15.75" customHeight="1" s="40">
      <c r="A399" s="4" t="n"/>
      <c r="B399" s="4" t="n"/>
      <c r="C399" s="4" t="n"/>
    </row>
    <row r="400" ht="15.75" customHeight="1" s="40">
      <c r="A400" s="4" t="n"/>
      <c r="B400" s="4" t="n"/>
      <c r="C400" s="4" t="n"/>
    </row>
    <row r="401" ht="15.75" customHeight="1" s="40">
      <c r="A401" s="4" t="n"/>
      <c r="B401" s="4" t="n"/>
      <c r="C401" s="4" t="n"/>
    </row>
    <row r="402" ht="15.75" customHeight="1" s="40">
      <c r="A402" s="4" t="n"/>
      <c r="B402" s="4" t="n"/>
      <c r="C402" s="4" t="n"/>
    </row>
    <row r="403" ht="15.75" customHeight="1" s="40">
      <c r="A403" s="4" t="n"/>
      <c r="B403" s="4" t="n"/>
      <c r="C403" s="4" t="n"/>
    </row>
    <row r="404" ht="15.75" customHeight="1" s="40">
      <c r="A404" s="4" t="n"/>
      <c r="B404" s="4" t="n"/>
      <c r="C404" s="4" t="n"/>
    </row>
    <row r="405" ht="15.75" customHeight="1" s="40">
      <c r="A405" s="4" t="n"/>
      <c r="B405" s="4" t="n"/>
      <c r="C405" s="4" t="n"/>
    </row>
    <row r="406" ht="15.75" customHeight="1" s="40">
      <c r="A406" s="4" t="n"/>
      <c r="B406" s="4" t="n"/>
      <c r="C406" s="4" t="n"/>
    </row>
    <row r="407" ht="15.75" customHeight="1" s="40">
      <c r="A407" s="4" t="n"/>
      <c r="B407" s="4" t="n"/>
      <c r="C407" s="4" t="n"/>
    </row>
    <row r="408" ht="15.75" customHeight="1" s="40">
      <c r="A408" s="4" t="n"/>
      <c r="B408" s="4" t="n"/>
      <c r="C408" s="4" t="n"/>
    </row>
    <row r="409" ht="15.75" customHeight="1" s="40">
      <c r="A409" s="4" t="n"/>
      <c r="B409" s="4" t="n"/>
      <c r="C409" s="4" t="n"/>
    </row>
    <row r="410" ht="15.75" customHeight="1" s="40">
      <c r="A410" s="4" t="n"/>
      <c r="B410" s="4" t="n"/>
      <c r="C410" s="4" t="n"/>
    </row>
    <row r="411" ht="15.75" customHeight="1" s="40">
      <c r="A411" s="4" t="n"/>
      <c r="B411" s="4" t="n"/>
      <c r="C411" s="4" t="n"/>
    </row>
    <row r="412" ht="15.75" customHeight="1" s="40">
      <c r="A412" s="4" t="n"/>
      <c r="B412" s="4" t="n"/>
      <c r="C412" s="4" t="n"/>
    </row>
    <row r="413" ht="15.75" customHeight="1" s="40">
      <c r="A413" s="4" t="n"/>
      <c r="B413" s="4" t="n"/>
      <c r="C413" s="4" t="n"/>
    </row>
    <row r="414" ht="15.75" customHeight="1" s="40">
      <c r="A414" s="4" t="n"/>
      <c r="B414" s="4" t="n"/>
      <c r="C414" s="4" t="n"/>
    </row>
    <row r="415" ht="15.75" customHeight="1" s="40">
      <c r="A415" s="4" t="n"/>
      <c r="B415" s="4" t="n"/>
      <c r="C415" s="4" t="n"/>
    </row>
    <row r="416" ht="15.75" customHeight="1" s="40">
      <c r="A416" s="4" t="n"/>
      <c r="B416" s="4" t="n"/>
      <c r="C416" s="4" t="n"/>
    </row>
    <row r="417" ht="15.75" customHeight="1" s="40">
      <c r="A417" s="4" t="n"/>
      <c r="B417" s="4" t="n"/>
      <c r="C417" s="4" t="n"/>
    </row>
    <row r="418" ht="15.75" customHeight="1" s="40">
      <c r="A418" s="4" t="n"/>
      <c r="B418" s="4" t="n"/>
      <c r="C418" s="4" t="n"/>
    </row>
    <row r="419" ht="15.75" customHeight="1" s="40">
      <c r="A419" s="4" t="n"/>
      <c r="B419" s="4" t="n"/>
      <c r="C419" s="4" t="n"/>
    </row>
    <row r="420" ht="15.75" customHeight="1" s="40">
      <c r="A420" s="4" t="n"/>
      <c r="B420" s="4" t="n"/>
      <c r="C420" s="4" t="n"/>
    </row>
    <row r="421" ht="15.75" customHeight="1" s="40">
      <c r="A421" s="4" t="n"/>
      <c r="B421" s="4" t="n"/>
      <c r="C421" s="4" t="n"/>
    </row>
    <row r="422" ht="15.75" customHeight="1" s="40">
      <c r="A422" s="4" t="n"/>
      <c r="B422" s="4" t="n"/>
      <c r="C422" s="4" t="n"/>
    </row>
    <row r="423" ht="15.75" customHeight="1" s="40">
      <c r="A423" s="4" t="n"/>
      <c r="B423" s="4" t="n"/>
      <c r="C423" s="4" t="n"/>
    </row>
    <row r="424" ht="15.75" customHeight="1" s="40">
      <c r="A424" s="4" t="n"/>
      <c r="B424" s="4" t="n"/>
      <c r="C424" s="4" t="n"/>
    </row>
    <row r="425" ht="15.75" customHeight="1" s="40">
      <c r="A425" s="4" t="n"/>
      <c r="B425" s="4" t="n"/>
      <c r="C425" s="4" t="n"/>
    </row>
    <row r="426" ht="15.75" customHeight="1" s="40">
      <c r="A426" s="4" t="n"/>
      <c r="B426" s="4" t="n"/>
      <c r="C426" s="4" t="n"/>
    </row>
    <row r="427" ht="15.75" customHeight="1" s="40">
      <c r="A427" s="4" t="n"/>
      <c r="B427" s="4" t="n"/>
      <c r="C427" s="4" t="n"/>
    </row>
    <row r="428" ht="15.75" customHeight="1" s="40">
      <c r="A428" s="4" t="n"/>
      <c r="B428" s="4" t="n"/>
      <c r="C428" s="4" t="n"/>
    </row>
    <row r="429" ht="15.75" customHeight="1" s="40">
      <c r="A429" s="4" t="n"/>
      <c r="B429" s="4" t="n"/>
      <c r="C429" s="4" t="n"/>
    </row>
    <row r="430" ht="15.75" customHeight="1" s="40">
      <c r="A430" s="4" t="n"/>
      <c r="B430" s="4" t="n"/>
      <c r="C430" s="4" t="n"/>
    </row>
    <row r="431" ht="15.75" customHeight="1" s="40">
      <c r="A431" s="4" t="n"/>
      <c r="B431" s="4" t="n"/>
      <c r="C431" s="4" t="n"/>
    </row>
    <row r="432" ht="15.75" customHeight="1" s="40">
      <c r="A432" s="4" t="n"/>
      <c r="B432" s="4" t="n"/>
      <c r="C432" s="4" t="n"/>
    </row>
    <row r="433" ht="15.75" customHeight="1" s="40">
      <c r="A433" s="4" t="n"/>
      <c r="B433" s="4" t="n"/>
      <c r="C433" s="4" t="n"/>
    </row>
    <row r="434" ht="15.75" customHeight="1" s="40">
      <c r="A434" s="4" t="n"/>
      <c r="B434" s="4" t="n"/>
      <c r="C434" s="4" t="n"/>
    </row>
    <row r="435" ht="15.75" customHeight="1" s="40">
      <c r="A435" s="4" t="n"/>
      <c r="B435" s="4" t="n"/>
      <c r="C435" s="4" t="n"/>
    </row>
    <row r="436" ht="15.75" customHeight="1" s="40">
      <c r="A436" s="4" t="n"/>
      <c r="B436" s="4" t="n"/>
      <c r="C436" s="4" t="n"/>
    </row>
    <row r="437" ht="15.75" customHeight="1" s="40">
      <c r="A437" s="4" t="n"/>
      <c r="B437" s="4" t="n"/>
      <c r="C437" s="4" t="n"/>
    </row>
    <row r="438" ht="15.75" customHeight="1" s="40">
      <c r="A438" s="4" t="n"/>
      <c r="B438" s="4" t="n"/>
      <c r="C438" s="4" t="n"/>
    </row>
    <row r="439" ht="15.75" customHeight="1" s="40">
      <c r="A439" s="4" t="n"/>
      <c r="B439" s="4" t="n"/>
      <c r="C439" s="4" t="n"/>
    </row>
    <row r="440" ht="15.75" customHeight="1" s="40">
      <c r="A440" s="4" t="n"/>
      <c r="B440" s="4" t="n"/>
      <c r="C440" s="4" t="n"/>
    </row>
    <row r="441" ht="15.75" customHeight="1" s="40">
      <c r="A441" s="4" t="n"/>
      <c r="B441" s="4" t="n"/>
      <c r="C441" s="4" t="n"/>
    </row>
    <row r="442" ht="15.75" customHeight="1" s="40">
      <c r="A442" s="4" t="n"/>
      <c r="B442" s="4" t="n"/>
      <c r="C442" s="4" t="n"/>
    </row>
    <row r="443" ht="15.75" customHeight="1" s="40">
      <c r="A443" s="4" t="n"/>
      <c r="B443" s="4" t="n"/>
      <c r="C443" s="4" t="n"/>
    </row>
    <row r="444" ht="15.75" customHeight="1" s="40">
      <c r="A444" s="4" t="n"/>
      <c r="B444" s="4" t="n"/>
      <c r="C444" s="4" t="n"/>
    </row>
    <row r="445" ht="15.75" customHeight="1" s="40">
      <c r="A445" s="4" t="n"/>
      <c r="B445" s="4" t="n"/>
      <c r="C445" s="4" t="n"/>
    </row>
    <row r="446" ht="15.75" customHeight="1" s="40">
      <c r="A446" s="4" t="n"/>
      <c r="B446" s="4" t="n"/>
      <c r="C446" s="4" t="n"/>
    </row>
    <row r="447" ht="15.75" customHeight="1" s="40">
      <c r="A447" s="4" t="n"/>
      <c r="B447" s="4" t="n"/>
      <c r="C447" s="4" t="n"/>
    </row>
    <row r="448" ht="15.75" customHeight="1" s="40">
      <c r="A448" s="4" t="n"/>
      <c r="B448" s="4" t="n"/>
      <c r="C448" s="4" t="n"/>
    </row>
    <row r="449" ht="15.75" customHeight="1" s="40">
      <c r="A449" s="4" t="n"/>
      <c r="B449" s="4" t="n"/>
      <c r="C449" s="4" t="n"/>
    </row>
    <row r="450" ht="15.75" customHeight="1" s="40">
      <c r="A450" s="4" t="n"/>
      <c r="B450" s="4" t="n"/>
      <c r="C450" s="4" t="n"/>
    </row>
    <row r="451" ht="15.75" customHeight="1" s="40">
      <c r="A451" s="4" t="n"/>
      <c r="B451" s="4" t="n"/>
      <c r="C451" s="4" t="n"/>
    </row>
    <row r="452" ht="15.75" customHeight="1" s="40">
      <c r="A452" s="4" t="n"/>
      <c r="B452" s="4" t="n"/>
      <c r="C452" s="4" t="n"/>
    </row>
    <row r="453" ht="15.75" customHeight="1" s="40">
      <c r="A453" s="4" t="n"/>
      <c r="B453" s="4" t="n"/>
      <c r="C453" s="4" t="n"/>
    </row>
    <row r="454" ht="15.75" customHeight="1" s="40">
      <c r="A454" s="4" t="n"/>
      <c r="B454" s="4" t="n"/>
      <c r="C454" s="4" t="n"/>
    </row>
    <row r="455" ht="15.75" customHeight="1" s="40">
      <c r="A455" s="4" t="n"/>
      <c r="B455" s="4" t="n"/>
      <c r="C455" s="4" t="n"/>
    </row>
    <row r="456" ht="15.75" customHeight="1" s="40">
      <c r="A456" s="4" t="n"/>
      <c r="B456" s="4" t="n"/>
      <c r="C456" s="4" t="n"/>
    </row>
    <row r="457" ht="15.75" customHeight="1" s="40">
      <c r="A457" s="4" t="n"/>
      <c r="B457" s="4" t="n"/>
      <c r="C457" s="4" t="n"/>
    </row>
    <row r="458" ht="15.75" customHeight="1" s="40">
      <c r="A458" s="4" t="n"/>
      <c r="B458" s="4" t="n"/>
      <c r="C458" s="4" t="n"/>
    </row>
    <row r="459" ht="15.75" customHeight="1" s="40">
      <c r="A459" s="4" t="n"/>
      <c r="B459" s="4" t="n"/>
      <c r="C459" s="4" t="n"/>
    </row>
    <row r="460" ht="15.75" customHeight="1" s="40">
      <c r="A460" s="4" t="n"/>
      <c r="B460" s="4" t="n"/>
      <c r="C460" s="4" t="n"/>
    </row>
    <row r="461" ht="15.75" customHeight="1" s="40">
      <c r="A461" s="4" t="n"/>
      <c r="B461" s="4" t="n"/>
      <c r="C461" s="4" t="n"/>
    </row>
    <row r="462" ht="15.75" customHeight="1" s="40">
      <c r="A462" s="4" t="n"/>
      <c r="B462" s="4" t="n"/>
      <c r="C462" s="4" t="n"/>
    </row>
    <row r="463" ht="15.75" customHeight="1" s="40">
      <c r="A463" s="4" t="n"/>
      <c r="B463" s="4" t="n"/>
      <c r="C463" s="4" t="n"/>
    </row>
    <row r="464" ht="15.75" customHeight="1" s="40">
      <c r="A464" s="4" t="n"/>
      <c r="B464" s="4" t="n"/>
      <c r="C464" s="4" t="n"/>
    </row>
    <row r="465" ht="15.75" customHeight="1" s="40">
      <c r="A465" s="4" t="n"/>
      <c r="B465" s="4" t="n"/>
      <c r="C465" s="4" t="n"/>
    </row>
    <row r="466" ht="15.75" customHeight="1" s="40">
      <c r="A466" s="4" t="n"/>
      <c r="B466" s="4" t="n"/>
      <c r="C466" s="4" t="n"/>
    </row>
    <row r="467" ht="15.75" customHeight="1" s="40">
      <c r="A467" s="4" t="n"/>
      <c r="B467" s="4" t="n"/>
      <c r="C467" s="4" t="n"/>
    </row>
    <row r="468" ht="15.75" customHeight="1" s="40">
      <c r="A468" s="4" t="n"/>
      <c r="B468" s="4" t="n"/>
      <c r="C468" s="4" t="n"/>
    </row>
    <row r="469" ht="15.75" customHeight="1" s="40">
      <c r="A469" s="4" t="n"/>
      <c r="B469" s="4" t="n"/>
      <c r="C469" s="4" t="n"/>
    </row>
    <row r="470" ht="15.75" customHeight="1" s="40">
      <c r="A470" s="4" t="n"/>
      <c r="B470" s="4" t="n"/>
      <c r="C470" s="4" t="n"/>
    </row>
    <row r="471" ht="15.75" customHeight="1" s="40">
      <c r="A471" s="4" t="n"/>
      <c r="B471" s="4" t="n"/>
      <c r="C471" s="4" t="n"/>
    </row>
    <row r="472" ht="15.75" customHeight="1" s="40">
      <c r="A472" s="4" t="n"/>
      <c r="B472" s="4" t="n"/>
      <c r="C472" s="4" t="n"/>
    </row>
    <row r="473" ht="15.75" customHeight="1" s="40">
      <c r="A473" s="4" t="n"/>
      <c r="B473" s="4" t="n"/>
      <c r="C473" s="4" t="n"/>
    </row>
    <row r="474" ht="15.75" customHeight="1" s="40">
      <c r="A474" s="4" t="n"/>
      <c r="B474" s="4" t="n"/>
      <c r="C474" s="4" t="n"/>
    </row>
    <row r="475" ht="15.75" customHeight="1" s="40">
      <c r="A475" s="4" t="n"/>
      <c r="B475" s="4" t="n"/>
      <c r="C475" s="4" t="n"/>
    </row>
    <row r="476" ht="15.75" customHeight="1" s="40">
      <c r="A476" s="4" t="n"/>
      <c r="B476" s="4" t="n"/>
      <c r="C476" s="4" t="n"/>
    </row>
    <row r="477" ht="15.75" customHeight="1" s="40">
      <c r="A477" s="4" t="n"/>
      <c r="B477" s="4" t="n"/>
      <c r="C477" s="4" t="n"/>
    </row>
    <row r="478" ht="15.75" customHeight="1" s="40">
      <c r="A478" s="4" t="n"/>
      <c r="B478" s="4" t="n"/>
      <c r="C478" s="4" t="n"/>
    </row>
    <row r="479" ht="15.75" customHeight="1" s="40">
      <c r="A479" s="4" t="n"/>
      <c r="B479" s="4" t="n"/>
      <c r="C479" s="4" t="n"/>
    </row>
    <row r="480" ht="15.75" customHeight="1" s="40">
      <c r="A480" s="4" t="n"/>
      <c r="B480" s="4" t="n"/>
      <c r="C480" s="4" t="n"/>
    </row>
    <row r="481" ht="15.75" customHeight="1" s="40">
      <c r="A481" s="4" t="n"/>
      <c r="B481" s="4" t="n"/>
      <c r="C481" s="4" t="n"/>
    </row>
    <row r="482" ht="15.75" customHeight="1" s="40">
      <c r="A482" s="4" t="n"/>
      <c r="B482" s="4" t="n"/>
      <c r="C482" s="4" t="n"/>
    </row>
    <row r="483" ht="15.75" customHeight="1" s="40">
      <c r="A483" s="4" t="n"/>
      <c r="B483" s="4" t="n"/>
      <c r="C483" s="4" t="n"/>
    </row>
    <row r="484" ht="15.75" customHeight="1" s="40">
      <c r="A484" s="4" t="n"/>
      <c r="B484" s="4" t="n"/>
      <c r="C484" s="4" t="n"/>
    </row>
    <row r="485" ht="15.75" customHeight="1" s="40">
      <c r="A485" s="4" t="n"/>
      <c r="B485" s="4" t="n"/>
      <c r="C485" s="4" t="n"/>
    </row>
    <row r="486" ht="15.75" customHeight="1" s="40">
      <c r="A486" s="4" t="n"/>
      <c r="B486" s="4" t="n"/>
      <c r="C486" s="4" t="n"/>
    </row>
    <row r="487" ht="15.75" customHeight="1" s="40">
      <c r="A487" s="4" t="n"/>
      <c r="B487" s="4" t="n"/>
      <c r="C487" s="4" t="n"/>
    </row>
    <row r="488" ht="15.75" customHeight="1" s="40">
      <c r="A488" s="4" t="n"/>
      <c r="B488" s="4" t="n"/>
      <c r="C488" s="4" t="n"/>
    </row>
    <row r="489" ht="15.75" customHeight="1" s="40">
      <c r="A489" s="4" t="n"/>
      <c r="B489" s="4" t="n"/>
      <c r="C489" s="4" t="n"/>
    </row>
    <row r="490" ht="15.75" customHeight="1" s="40">
      <c r="A490" s="4" t="n"/>
      <c r="B490" s="4" t="n"/>
      <c r="C490" s="4" t="n"/>
    </row>
    <row r="491" ht="15.75" customHeight="1" s="40">
      <c r="A491" s="4" t="n"/>
      <c r="B491" s="4" t="n"/>
      <c r="C491" s="4" t="n"/>
    </row>
    <row r="492" ht="15.75" customHeight="1" s="40">
      <c r="A492" s="4" t="n"/>
      <c r="B492" s="4" t="n"/>
      <c r="C492" s="4" t="n"/>
    </row>
    <row r="493" ht="15.75" customHeight="1" s="40">
      <c r="A493" s="4" t="n"/>
      <c r="B493" s="4" t="n"/>
      <c r="C493" s="4" t="n"/>
    </row>
    <row r="494" ht="15.75" customHeight="1" s="40">
      <c r="A494" s="4" t="n"/>
      <c r="B494" s="4" t="n"/>
      <c r="C494" s="4" t="n"/>
    </row>
    <row r="495" ht="15.75" customHeight="1" s="40">
      <c r="A495" s="4" t="n"/>
      <c r="B495" s="4" t="n"/>
      <c r="C495" s="4" t="n"/>
    </row>
    <row r="496" ht="15.75" customHeight="1" s="40">
      <c r="A496" s="4" t="n"/>
      <c r="B496" s="4" t="n"/>
      <c r="C496" s="4" t="n"/>
    </row>
    <row r="497" ht="15.75" customHeight="1" s="40">
      <c r="A497" s="4" t="n"/>
      <c r="B497" s="4" t="n"/>
      <c r="C497" s="4" t="n"/>
    </row>
    <row r="498" ht="15.75" customHeight="1" s="40">
      <c r="A498" s="4" t="n"/>
      <c r="B498" s="4" t="n"/>
      <c r="C498" s="4" t="n"/>
    </row>
    <row r="499" ht="15.75" customHeight="1" s="40">
      <c r="A499" s="4" t="n"/>
      <c r="B499" s="4" t="n"/>
      <c r="C499" s="4" t="n"/>
    </row>
    <row r="500" ht="15.75" customHeight="1" s="40">
      <c r="A500" s="4" t="n"/>
      <c r="B500" s="4" t="n"/>
      <c r="C500" s="4" t="n"/>
    </row>
    <row r="501" ht="15.75" customHeight="1" s="40">
      <c r="A501" s="4" t="n"/>
      <c r="B501" s="4" t="n"/>
      <c r="C501" s="4" t="n"/>
    </row>
    <row r="502" ht="15.75" customHeight="1" s="40">
      <c r="A502" s="4" t="n"/>
      <c r="B502" s="4" t="n"/>
      <c r="C502" s="4" t="n"/>
    </row>
    <row r="503" ht="15.75" customHeight="1" s="40">
      <c r="A503" s="4" t="n"/>
      <c r="B503" s="4" t="n"/>
      <c r="C503" s="4" t="n"/>
    </row>
    <row r="504" ht="15.75" customHeight="1" s="40">
      <c r="A504" s="4" t="n"/>
      <c r="B504" s="4" t="n"/>
      <c r="C504" s="4" t="n"/>
    </row>
    <row r="505" ht="15.75" customHeight="1" s="40">
      <c r="A505" s="4" t="n"/>
      <c r="B505" s="4" t="n"/>
      <c r="C505" s="4" t="n"/>
    </row>
    <row r="506" ht="15.75" customHeight="1" s="40">
      <c r="A506" s="4" t="n"/>
      <c r="B506" s="4" t="n"/>
      <c r="C506" s="4" t="n"/>
    </row>
    <row r="507" ht="15.75" customHeight="1" s="40">
      <c r="A507" s="4" t="n"/>
      <c r="B507" s="4" t="n"/>
      <c r="C507" s="4" t="n"/>
    </row>
    <row r="508" ht="15.75" customHeight="1" s="40">
      <c r="A508" s="4" t="n"/>
      <c r="B508" s="4" t="n"/>
      <c r="C508" s="4" t="n"/>
    </row>
    <row r="509" ht="15.75" customHeight="1" s="40">
      <c r="A509" s="4" t="n"/>
      <c r="B509" s="4" t="n"/>
      <c r="C509" s="4" t="n"/>
    </row>
    <row r="510" ht="15.75" customHeight="1" s="40">
      <c r="A510" s="4" t="n"/>
      <c r="B510" s="4" t="n"/>
      <c r="C510" s="4" t="n"/>
    </row>
    <row r="511" ht="15.75" customHeight="1" s="40">
      <c r="A511" s="4" t="n"/>
      <c r="B511" s="4" t="n"/>
      <c r="C511" s="4" t="n"/>
    </row>
    <row r="512" ht="15.75" customHeight="1" s="40">
      <c r="A512" s="4" t="n"/>
      <c r="B512" s="4" t="n"/>
      <c r="C512" s="4" t="n"/>
    </row>
    <row r="513" ht="15.75" customHeight="1" s="40">
      <c r="A513" s="4" t="n"/>
      <c r="B513" s="4" t="n"/>
      <c r="C513" s="4" t="n"/>
    </row>
    <row r="514" ht="15.75" customHeight="1" s="40">
      <c r="A514" s="4" t="n"/>
      <c r="B514" s="4" t="n"/>
      <c r="C514" s="4" t="n"/>
    </row>
    <row r="515" ht="15.75" customHeight="1" s="40">
      <c r="A515" s="4" t="n"/>
      <c r="B515" s="4" t="n"/>
      <c r="C515" s="4" t="n"/>
    </row>
    <row r="516" ht="15.75" customHeight="1" s="40">
      <c r="A516" s="4" t="n"/>
      <c r="B516" s="4" t="n"/>
      <c r="C516" s="4" t="n"/>
    </row>
    <row r="517" ht="15.75" customHeight="1" s="40">
      <c r="A517" s="4" t="n"/>
      <c r="B517" s="4" t="n"/>
      <c r="C517" s="4" t="n"/>
    </row>
    <row r="518" ht="15.75" customHeight="1" s="40">
      <c r="A518" s="4" t="n"/>
      <c r="B518" s="4" t="n"/>
      <c r="C518" s="4" t="n"/>
    </row>
    <row r="519" ht="15.75" customHeight="1" s="40">
      <c r="A519" s="4" t="n"/>
      <c r="B519" s="4" t="n"/>
      <c r="C519" s="4" t="n"/>
    </row>
    <row r="520" ht="15.75" customHeight="1" s="40">
      <c r="A520" s="4" t="n"/>
      <c r="B520" s="4" t="n"/>
      <c r="C520" s="4" t="n"/>
    </row>
    <row r="521" ht="15.75" customHeight="1" s="40">
      <c r="A521" s="4" t="n"/>
      <c r="B521" s="4" t="n"/>
      <c r="C521" s="4" t="n"/>
    </row>
    <row r="522" ht="15.75" customHeight="1" s="40">
      <c r="A522" s="4" t="n"/>
      <c r="B522" s="4" t="n"/>
      <c r="C522" s="4" t="n"/>
    </row>
    <row r="523" ht="15.75" customHeight="1" s="40">
      <c r="A523" s="4" t="n"/>
      <c r="B523" s="4" t="n"/>
      <c r="C523" s="4" t="n"/>
    </row>
    <row r="524" ht="15.75" customHeight="1" s="40">
      <c r="A524" s="4" t="n"/>
      <c r="B524" s="4" t="n"/>
      <c r="C524" s="4" t="n"/>
    </row>
    <row r="525" ht="15.75" customHeight="1" s="40">
      <c r="A525" s="4" t="n"/>
      <c r="B525" s="4" t="n"/>
      <c r="C525" s="4" t="n"/>
    </row>
    <row r="526" ht="15.75" customHeight="1" s="40">
      <c r="A526" s="4" t="n"/>
      <c r="B526" s="4" t="n"/>
      <c r="C526" s="4" t="n"/>
    </row>
    <row r="527" ht="15.75" customHeight="1" s="40">
      <c r="A527" s="4" t="n"/>
      <c r="B527" s="4" t="n"/>
      <c r="C527" s="4" t="n"/>
    </row>
    <row r="528" ht="15.75" customHeight="1" s="40">
      <c r="A528" s="4" t="n"/>
      <c r="B528" s="4" t="n"/>
      <c r="C528" s="4" t="n"/>
    </row>
    <row r="529" ht="15.75" customHeight="1" s="40">
      <c r="A529" s="4" t="n"/>
      <c r="B529" s="4" t="n"/>
      <c r="C529" s="4" t="n"/>
    </row>
    <row r="530" ht="15.75" customHeight="1" s="40">
      <c r="A530" s="4" t="n"/>
      <c r="B530" s="4" t="n"/>
      <c r="C530" s="4" t="n"/>
    </row>
    <row r="531" ht="15.75" customHeight="1" s="40">
      <c r="A531" s="4" t="n"/>
      <c r="B531" s="4" t="n"/>
      <c r="C531" s="4" t="n"/>
    </row>
    <row r="532" ht="15.75" customHeight="1" s="40">
      <c r="A532" s="4" t="n"/>
      <c r="B532" s="4" t="n"/>
      <c r="C532" s="4" t="n"/>
    </row>
    <row r="533" ht="15.75" customHeight="1" s="40">
      <c r="A533" s="4" t="n"/>
      <c r="B533" s="4" t="n"/>
      <c r="C533" s="4" t="n"/>
    </row>
    <row r="534" ht="15.75" customHeight="1" s="40">
      <c r="A534" s="4" t="n"/>
      <c r="B534" s="4" t="n"/>
      <c r="C534" s="4" t="n"/>
    </row>
    <row r="535" ht="15.75" customHeight="1" s="40">
      <c r="A535" s="4" t="n"/>
      <c r="B535" s="4" t="n"/>
      <c r="C535" s="4" t="n"/>
    </row>
    <row r="536" ht="15.75" customHeight="1" s="40">
      <c r="A536" s="4" t="n"/>
      <c r="B536" s="4" t="n"/>
      <c r="C536" s="4" t="n"/>
    </row>
    <row r="537" ht="15.75" customHeight="1" s="40">
      <c r="A537" s="4" t="n"/>
      <c r="B537" s="4" t="n"/>
      <c r="C537" s="4" t="n"/>
    </row>
    <row r="538" ht="15.75" customHeight="1" s="40">
      <c r="A538" s="4" t="n"/>
      <c r="B538" s="4" t="n"/>
      <c r="C538" s="4" t="n"/>
    </row>
    <row r="539" ht="15.75" customHeight="1" s="40">
      <c r="A539" s="4" t="n"/>
      <c r="B539" s="4" t="n"/>
      <c r="C539" s="4" t="n"/>
    </row>
    <row r="540" ht="15.75" customHeight="1" s="40">
      <c r="A540" s="4" t="n"/>
      <c r="B540" s="4" t="n"/>
      <c r="C540" s="4" t="n"/>
    </row>
    <row r="541" ht="15.75" customHeight="1" s="40">
      <c r="A541" s="4" t="n"/>
      <c r="B541" s="4" t="n"/>
      <c r="C541" s="4" t="n"/>
    </row>
    <row r="542" ht="15.75" customHeight="1" s="40">
      <c r="A542" s="4" t="n"/>
      <c r="B542" s="4" t="n"/>
      <c r="C542" s="4" t="n"/>
    </row>
    <row r="543" ht="15.75" customHeight="1" s="40">
      <c r="A543" s="4" t="n"/>
      <c r="B543" s="4" t="n"/>
      <c r="C543" s="4" t="n"/>
    </row>
    <row r="544" ht="15.75" customHeight="1" s="40">
      <c r="A544" s="4" t="n"/>
      <c r="B544" s="4" t="n"/>
      <c r="C544" s="4" t="n"/>
    </row>
    <row r="545" ht="15.75" customHeight="1" s="40">
      <c r="A545" s="4" t="n"/>
      <c r="B545" s="4" t="n"/>
      <c r="C545" s="4" t="n"/>
    </row>
    <row r="546" ht="15.75" customHeight="1" s="40">
      <c r="A546" s="4" t="n"/>
      <c r="B546" s="4" t="n"/>
      <c r="C546" s="4" t="n"/>
    </row>
    <row r="547" ht="15.75" customHeight="1" s="40">
      <c r="A547" s="4" t="n"/>
      <c r="B547" s="4" t="n"/>
      <c r="C547" s="4" t="n"/>
    </row>
    <row r="548" ht="15.75" customHeight="1" s="40">
      <c r="A548" s="4" t="n"/>
      <c r="B548" s="4" t="n"/>
      <c r="C548" s="4" t="n"/>
    </row>
    <row r="549" ht="15.75" customHeight="1" s="40">
      <c r="A549" s="4" t="n"/>
      <c r="B549" s="4" t="n"/>
      <c r="C549" s="4" t="n"/>
    </row>
    <row r="550" ht="15.75" customHeight="1" s="40">
      <c r="A550" s="4" t="n"/>
      <c r="B550" s="4" t="n"/>
      <c r="C550" s="4" t="n"/>
    </row>
    <row r="551" ht="15.75" customHeight="1" s="40">
      <c r="A551" s="4" t="n"/>
      <c r="B551" s="4" t="n"/>
      <c r="C551" s="4" t="n"/>
    </row>
    <row r="552" ht="15.75" customHeight="1" s="40">
      <c r="A552" s="4" t="n"/>
      <c r="B552" s="4" t="n"/>
      <c r="C552" s="4" t="n"/>
    </row>
    <row r="553" ht="15.75" customHeight="1" s="40">
      <c r="A553" s="4" t="n"/>
      <c r="B553" s="4" t="n"/>
      <c r="C553" s="4" t="n"/>
    </row>
    <row r="554" ht="15.75" customHeight="1" s="40">
      <c r="A554" s="4" t="n"/>
      <c r="B554" s="4" t="n"/>
      <c r="C554" s="4" t="n"/>
    </row>
    <row r="555" ht="15.75" customHeight="1" s="40">
      <c r="A555" s="4" t="n"/>
      <c r="B555" s="4" t="n"/>
      <c r="C555" s="4" t="n"/>
    </row>
    <row r="556" ht="15.75" customHeight="1" s="40">
      <c r="A556" s="4" t="n"/>
      <c r="B556" s="4" t="n"/>
      <c r="C556" s="4" t="n"/>
    </row>
    <row r="557" ht="15.75" customHeight="1" s="40">
      <c r="A557" s="4" t="n"/>
      <c r="B557" s="4" t="n"/>
      <c r="C557" s="4" t="n"/>
    </row>
    <row r="558" ht="15.75" customHeight="1" s="40">
      <c r="A558" s="4" t="n"/>
      <c r="B558" s="4" t="n"/>
      <c r="C558" s="4" t="n"/>
    </row>
    <row r="559" ht="15.75" customHeight="1" s="40">
      <c r="A559" s="4" t="n"/>
      <c r="B559" s="4" t="n"/>
      <c r="C559" s="4" t="n"/>
    </row>
    <row r="560" ht="15.75" customHeight="1" s="40">
      <c r="A560" s="4" t="n"/>
      <c r="B560" s="4" t="n"/>
      <c r="C560" s="4" t="n"/>
    </row>
    <row r="561" ht="15.75" customHeight="1" s="40">
      <c r="A561" s="4" t="n"/>
      <c r="B561" s="4" t="n"/>
      <c r="C561" s="4" t="n"/>
    </row>
    <row r="562" ht="15.75" customHeight="1" s="40">
      <c r="A562" s="4" t="n"/>
      <c r="B562" s="4" t="n"/>
      <c r="C562" s="4" t="n"/>
    </row>
    <row r="563" ht="15.75" customHeight="1" s="40">
      <c r="A563" s="4" t="n"/>
      <c r="B563" s="4" t="n"/>
      <c r="C563" s="4" t="n"/>
    </row>
    <row r="564" ht="15.75" customHeight="1" s="40">
      <c r="A564" s="4" t="n"/>
      <c r="B564" s="4" t="n"/>
      <c r="C564" s="4" t="n"/>
    </row>
    <row r="565" ht="15.75" customHeight="1" s="40">
      <c r="A565" s="4" t="n"/>
      <c r="B565" s="4" t="n"/>
      <c r="C565" s="4" t="n"/>
    </row>
    <row r="566" ht="15.75" customHeight="1" s="40">
      <c r="A566" s="4" t="n"/>
      <c r="B566" s="4" t="n"/>
      <c r="C566" s="4" t="n"/>
    </row>
    <row r="567" ht="15.75" customHeight="1" s="40">
      <c r="A567" s="4" t="n"/>
      <c r="B567" s="4" t="n"/>
      <c r="C567" s="4" t="n"/>
    </row>
    <row r="568" ht="15.75" customHeight="1" s="40">
      <c r="A568" s="4" t="n"/>
      <c r="B568" s="4" t="n"/>
      <c r="C568" s="4" t="n"/>
    </row>
    <row r="569" ht="15.75" customHeight="1" s="40">
      <c r="A569" s="4" t="n"/>
      <c r="B569" s="4" t="n"/>
      <c r="C569" s="4" t="n"/>
    </row>
    <row r="570" ht="15.75" customHeight="1" s="40">
      <c r="A570" s="4" t="n"/>
      <c r="B570" s="4" t="n"/>
      <c r="C570" s="4" t="n"/>
    </row>
    <row r="571" ht="15.75" customHeight="1" s="40">
      <c r="A571" s="4" t="n"/>
      <c r="B571" s="4" t="n"/>
      <c r="C571" s="4" t="n"/>
    </row>
    <row r="572" ht="15.75" customHeight="1" s="40">
      <c r="A572" s="4" t="n"/>
      <c r="B572" s="4" t="n"/>
      <c r="C572" s="4" t="n"/>
    </row>
    <row r="573" ht="15.75" customHeight="1" s="40">
      <c r="A573" s="4" t="n"/>
      <c r="B573" s="4" t="n"/>
      <c r="C573" s="4" t="n"/>
    </row>
    <row r="574" ht="15.75" customHeight="1" s="40">
      <c r="A574" s="4" t="n"/>
      <c r="B574" s="4" t="n"/>
      <c r="C574" s="4" t="n"/>
    </row>
    <row r="575" ht="15.75" customHeight="1" s="40">
      <c r="A575" s="4" t="n"/>
      <c r="B575" s="4" t="n"/>
      <c r="C575" s="4" t="n"/>
    </row>
    <row r="576" ht="15.75" customHeight="1" s="40">
      <c r="A576" s="4" t="n"/>
      <c r="B576" s="4" t="n"/>
      <c r="C576" s="4" t="n"/>
    </row>
    <row r="577" ht="15.75" customHeight="1" s="40">
      <c r="A577" s="4" t="n"/>
      <c r="B577" s="4" t="n"/>
      <c r="C577" s="4" t="n"/>
    </row>
    <row r="578" ht="15.75" customHeight="1" s="40">
      <c r="A578" s="4" t="n"/>
      <c r="B578" s="4" t="n"/>
      <c r="C578" s="4" t="n"/>
    </row>
    <row r="579" ht="15.75" customHeight="1" s="40">
      <c r="A579" s="4" t="n"/>
      <c r="B579" s="4" t="n"/>
      <c r="C579" s="4" t="n"/>
    </row>
    <row r="580" ht="15.75" customHeight="1" s="40">
      <c r="A580" s="4" t="n"/>
      <c r="B580" s="4" t="n"/>
      <c r="C580" s="4" t="n"/>
    </row>
    <row r="581" ht="15.75" customHeight="1" s="40">
      <c r="A581" s="4" t="n"/>
      <c r="B581" s="4" t="n"/>
      <c r="C581" s="4" t="n"/>
    </row>
    <row r="582" ht="15.75" customHeight="1" s="40">
      <c r="A582" s="4" t="n"/>
      <c r="B582" s="4" t="n"/>
      <c r="C582" s="4" t="n"/>
    </row>
    <row r="583" ht="15.75" customHeight="1" s="40">
      <c r="A583" s="4" t="n"/>
      <c r="B583" s="4" t="n"/>
      <c r="C583" s="4" t="n"/>
    </row>
    <row r="584" ht="15.75" customHeight="1" s="40">
      <c r="A584" s="4" t="n"/>
      <c r="B584" s="4" t="n"/>
      <c r="C584" s="4" t="n"/>
    </row>
    <row r="585" ht="15.75" customHeight="1" s="40">
      <c r="A585" s="4" t="n"/>
      <c r="B585" s="4" t="n"/>
      <c r="C585" s="4" t="n"/>
    </row>
    <row r="586" ht="15.75" customHeight="1" s="40">
      <c r="A586" s="4" t="n"/>
      <c r="B586" s="4" t="n"/>
      <c r="C586" s="4" t="n"/>
    </row>
    <row r="587" ht="15.75" customHeight="1" s="40">
      <c r="A587" s="4" t="n"/>
      <c r="B587" s="4" t="n"/>
      <c r="C587" s="4" t="n"/>
    </row>
    <row r="588" ht="15.75" customHeight="1" s="40">
      <c r="A588" s="4" t="n"/>
      <c r="B588" s="4" t="n"/>
      <c r="C588" s="4" t="n"/>
    </row>
    <row r="589" ht="15.75" customHeight="1" s="40">
      <c r="A589" s="4" t="n"/>
      <c r="B589" s="4" t="n"/>
      <c r="C589" s="4" t="n"/>
    </row>
    <row r="590" ht="15.75" customHeight="1" s="40">
      <c r="A590" s="4" t="n"/>
      <c r="B590" s="4" t="n"/>
      <c r="C590" s="4" t="n"/>
    </row>
    <row r="591" ht="15.75" customHeight="1" s="40">
      <c r="A591" s="4" t="n"/>
      <c r="B591" s="4" t="n"/>
      <c r="C591" s="4" t="n"/>
    </row>
    <row r="592" ht="15.75" customHeight="1" s="40">
      <c r="A592" s="4" t="n"/>
      <c r="B592" s="4" t="n"/>
      <c r="C592" s="4" t="n"/>
    </row>
    <row r="593" ht="15.75" customHeight="1" s="40">
      <c r="A593" s="4" t="n"/>
      <c r="B593" s="4" t="n"/>
      <c r="C593" s="4" t="n"/>
    </row>
    <row r="594" ht="15.75" customHeight="1" s="40">
      <c r="A594" s="4" t="n"/>
      <c r="B594" s="4" t="n"/>
      <c r="C594" s="4" t="n"/>
    </row>
    <row r="595" ht="15.75" customHeight="1" s="40">
      <c r="A595" s="4" t="n"/>
      <c r="B595" s="4" t="n"/>
      <c r="C595" s="4" t="n"/>
    </row>
    <row r="596" ht="15.75" customHeight="1" s="40">
      <c r="A596" s="4" t="n"/>
      <c r="B596" s="4" t="n"/>
      <c r="C596" s="4" t="n"/>
    </row>
    <row r="597" ht="15.75" customHeight="1" s="40">
      <c r="A597" s="4" t="n"/>
      <c r="B597" s="4" t="n"/>
      <c r="C597" s="4" t="n"/>
    </row>
    <row r="598" ht="15.75" customHeight="1" s="40">
      <c r="A598" s="4" t="n"/>
      <c r="B598" s="4" t="n"/>
      <c r="C598" s="4" t="n"/>
    </row>
    <row r="599" ht="15.75" customHeight="1" s="40">
      <c r="A599" s="4" t="n"/>
      <c r="B599" s="4" t="n"/>
      <c r="C599" s="4" t="n"/>
    </row>
    <row r="600" ht="15.75" customHeight="1" s="40">
      <c r="A600" s="4" t="n"/>
      <c r="B600" s="4" t="n"/>
      <c r="C600" s="4" t="n"/>
    </row>
    <row r="601" ht="15.75" customHeight="1" s="40">
      <c r="A601" s="4" t="n"/>
      <c r="B601" s="4" t="n"/>
      <c r="C601" s="4" t="n"/>
    </row>
    <row r="602" ht="15.75" customHeight="1" s="40">
      <c r="A602" s="4" t="n"/>
      <c r="B602" s="4" t="n"/>
      <c r="C602" s="4" t="n"/>
    </row>
    <row r="603" ht="15.75" customHeight="1" s="40">
      <c r="A603" s="4" t="n"/>
      <c r="B603" s="4" t="n"/>
      <c r="C603" s="4" t="n"/>
    </row>
    <row r="604" ht="15.75" customHeight="1" s="40">
      <c r="A604" s="4" t="n"/>
      <c r="B604" s="4" t="n"/>
      <c r="C604" s="4" t="n"/>
    </row>
    <row r="605" ht="15.75" customHeight="1" s="40">
      <c r="A605" s="4" t="n"/>
      <c r="B605" s="4" t="n"/>
      <c r="C605" s="4" t="n"/>
    </row>
    <row r="606" ht="15.75" customHeight="1" s="40">
      <c r="A606" s="4" t="n"/>
      <c r="B606" s="4" t="n"/>
      <c r="C606" s="4" t="n"/>
    </row>
    <row r="607" ht="15.75" customHeight="1" s="40">
      <c r="A607" s="4" t="n"/>
      <c r="B607" s="4" t="n"/>
      <c r="C607" s="4" t="n"/>
    </row>
    <row r="608" ht="15.75" customHeight="1" s="40">
      <c r="A608" s="4" t="n"/>
      <c r="B608" s="4" t="n"/>
      <c r="C608" s="4" t="n"/>
    </row>
    <row r="609" ht="15.75" customHeight="1" s="40">
      <c r="A609" s="4" t="n"/>
      <c r="B609" s="4" t="n"/>
      <c r="C609" s="4" t="n"/>
    </row>
    <row r="610" ht="15.75" customHeight="1" s="40">
      <c r="A610" s="4" t="n"/>
      <c r="B610" s="4" t="n"/>
      <c r="C610" s="4" t="n"/>
    </row>
    <row r="611" ht="15.75" customHeight="1" s="40">
      <c r="A611" s="4" t="n"/>
      <c r="B611" s="4" t="n"/>
      <c r="C611" s="4" t="n"/>
    </row>
    <row r="612" ht="15.75" customHeight="1" s="40">
      <c r="A612" s="4" t="n"/>
      <c r="B612" s="4" t="n"/>
      <c r="C612" s="4" t="n"/>
    </row>
    <row r="613" ht="15.75" customHeight="1" s="40">
      <c r="A613" s="4" t="n"/>
      <c r="B613" s="4" t="n"/>
      <c r="C613" s="4" t="n"/>
    </row>
    <row r="614" ht="15.75" customHeight="1" s="40">
      <c r="A614" s="4" t="n"/>
      <c r="B614" s="4" t="n"/>
      <c r="C614" s="4" t="n"/>
    </row>
    <row r="615" ht="15.75" customHeight="1" s="40">
      <c r="A615" s="4" t="n"/>
      <c r="B615" s="4" t="n"/>
      <c r="C615" s="4" t="n"/>
    </row>
    <row r="616" ht="15.75" customHeight="1" s="40">
      <c r="A616" s="4" t="n"/>
      <c r="B616" s="4" t="n"/>
      <c r="C616" s="4" t="n"/>
    </row>
    <row r="617" ht="15.75" customHeight="1" s="40">
      <c r="A617" s="4" t="n"/>
      <c r="B617" s="4" t="n"/>
      <c r="C617" s="4" t="n"/>
    </row>
    <row r="618" ht="15.75" customHeight="1" s="40">
      <c r="A618" s="4" t="n"/>
      <c r="B618" s="4" t="n"/>
      <c r="C618" s="4" t="n"/>
    </row>
    <row r="619" ht="15.75" customHeight="1" s="40">
      <c r="A619" s="4" t="n"/>
      <c r="B619" s="4" t="n"/>
      <c r="C619" s="4" t="n"/>
    </row>
    <row r="620" ht="15.75" customHeight="1" s="40">
      <c r="A620" s="4" t="n"/>
      <c r="B620" s="4" t="n"/>
      <c r="C620" s="4" t="n"/>
    </row>
    <row r="621" ht="15.75" customHeight="1" s="40">
      <c r="A621" s="4" t="n"/>
      <c r="B621" s="4" t="n"/>
      <c r="C621" s="4" t="n"/>
    </row>
    <row r="622" ht="15.75" customHeight="1" s="40">
      <c r="A622" s="4" t="n"/>
      <c r="B622" s="4" t="n"/>
      <c r="C622" s="4" t="n"/>
    </row>
    <row r="623" ht="15.75" customHeight="1" s="40">
      <c r="A623" s="4" t="n"/>
      <c r="B623" s="4" t="n"/>
      <c r="C623" s="4" t="n"/>
    </row>
    <row r="624" ht="15.75" customHeight="1" s="40">
      <c r="A624" s="4" t="n"/>
      <c r="B624" s="4" t="n"/>
      <c r="C624" s="4" t="n"/>
    </row>
    <row r="625" ht="15.75" customHeight="1" s="40">
      <c r="A625" s="4" t="n"/>
      <c r="B625" s="4" t="n"/>
      <c r="C625" s="4" t="n"/>
    </row>
    <row r="626" ht="15.75" customHeight="1" s="40">
      <c r="A626" s="4" t="n"/>
      <c r="B626" s="4" t="n"/>
      <c r="C626" s="4" t="n"/>
    </row>
    <row r="627" ht="15.75" customHeight="1" s="40">
      <c r="A627" s="4" t="n"/>
      <c r="B627" s="4" t="n"/>
      <c r="C627" s="4" t="n"/>
    </row>
    <row r="628" ht="15.75" customHeight="1" s="40">
      <c r="A628" s="4" t="n"/>
      <c r="B628" s="4" t="n"/>
      <c r="C628" s="4" t="n"/>
    </row>
    <row r="629" ht="15.75" customHeight="1" s="40">
      <c r="A629" s="4" t="n"/>
      <c r="B629" s="4" t="n"/>
      <c r="C629" s="4" t="n"/>
    </row>
    <row r="630" ht="15.75" customHeight="1" s="40">
      <c r="A630" s="4" t="n"/>
      <c r="B630" s="4" t="n"/>
      <c r="C630" s="4" t="n"/>
    </row>
    <row r="631" ht="15.75" customHeight="1" s="40">
      <c r="A631" s="4" t="n"/>
      <c r="B631" s="4" t="n"/>
      <c r="C631" s="4" t="n"/>
    </row>
    <row r="632" ht="15.75" customHeight="1" s="40">
      <c r="A632" s="4" t="n"/>
      <c r="B632" s="4" t="n"/>
      <c r="C632" s="4" t="n"/>
    </row>
    <row r="633" ht="15.75" customHeight="1" s="40">
      <c r="A633" s="4" t="n"/>
      <c r="B633" s="4" t="n"/>
      <c r="C633" s="4" t="n"/>
    </row>
    <row r="634" ht="15.75" customHeight="1" s="40">
      <c r="A634" s="4" t="n"/>
      <c r="B634" s="4" t="n"/>
      <c r="C634" s="4" t="n"/>
    </row>
    <row r="635" ht="15.75" customHeight="1" s="40">
      <c r="A635" s="4" t="n"/>
      <c r="B635" s="4" t="n"/>
      <c r="C635" s="4" t="n"/>
    </row>
    <row r="636" ht="15.75" customHeight="1" s="40">
      <c r="A636" s="4" t="n"/>
      <c r="B636" s="4" t="n"/>
      <c r="C636" s="4" t="n"/>
    </row>
    <row r="637" ht="15.75" customHeight="1" s="40">
      <c r="A637" s="4" t="n"/>
      <c r="B637" s="4" t="n"/>
      <c r="C637" s="4" t="n"/>
    </row>
    <row r="638" ht="15.75" customHeight="1" s="40">
      <c r="A638" s="4" t="n"/>
      <c r="B638" s="4" t="n"/>
      <c r="C638" s="4" t="n"/>
    </row>
    <row r="639" ht="15.75" customHeight="1" s="40">
      <c r="A639" s="4" t="n"/>
      <c r="B639" s="4" t="n"/>
      <c r="C639" s="4" t="n"/>
    </row>
    <row r="640" ht="15.75" customHeight="1" s="40">
      <c r="A640" s="4" t="n"/>
      <c r="B640" s="4" t="n"/>
      <c r="C640" s="4" t="n"/>
    </row>
    <row r="641" ht="15.75" customHeight="1" s="40">
      <c r="A641" s="4" t="n"/>
      <c r="B641" s="4" t="n"/>
      <c r="C641" s="4" t="n"/>
    </row>
    <row r="642" ht="15.75" customHeight="1" s="40">
      <c r="A642" s="4" t="n"/>
      <c r="B642" s="4" t="n"/>
      <c r="C642" s="4" t="n"/>
    </row>
    <row r="643" ht="15.75" customHeight="1" s="40">
      <c r="A643" s="4" t="n"/>
      <c r="B643" s="4" t="n"/>
      <c r="C643" s="4" t="n"/>
    </row>
    <row r="644" ht="15.75" customHeight="1" s="40">
      <c r="A644" s="4" t="n"/>
      <c r="B644" s="4" t="n"/>
      <c r="C644" s="4" t="n"/>
    </row>
    <row r="645" ht="15.75" customHeight="1" s="40">
      <c r="A645" s="4" t="n"/>
      <c r="B645" s="4" t="n"/>
      <c r="C645" s="4" t="n"/>
    </row>
    <row r="646" ht="15.75" customHeight="1" s="40">
      <c r="A646" s="4" t="n"/>
      <c r="B646" s="4" t="n"/>
      <c r="C646" s="4" t="n"/>
    </row>
    <row r="647" ht="15.75" customHeight="1" s="40">
      <c r="A647" s="4" t="n"/>
      <c r="B647" s="4" t="n"/>
      <c r="C647" s="4" t="n"/>
    </row>
    <row r="648" ht="15.75" customHeight="1" s="40">
      <c r="A648" s="4" t="n"/>
      <c r="B648" s="4" t="n"/>
      <c r="C648" s="4" t="n"/>
    </row>
    <row r="649" ht="15.75" customHeight="1" s="40">
      <c r="A649" s="4" t="n"/>
      <c r="B649" s="4" t="n"/>
      <c r="C649" s="4" t="n"/>
    </row>
    <row r="650" ht="15.75" customHeight="1" s="40">
      <c r="A650" s="4" t="n"/>
      <c r="B650" s="4" t="n"/>
      <c r="C650" s="4" t="n"/>
    </row>
    <row r="651" ht="15.75" customHeight="1" s="40">
      <c r="A651" s="4" t="n"/>
      <c r="B651" s="4" t="n"/>
      <c r="C651" s="4" t="n"/>
    </row>
    <row r="652" ht="15.75" customHeight="1" s="40">
      <c r="A652" s="4" t="n"/>
      <c r="B652" s="4" t="n"/>
      <c r="C652" s="4" t="n"/>
    </row>
    <row r="653" ht="15.75" customHeight="1" s="40">
      <c r="A653" s="4" t="n"/>
      <c r="B653" s="4" t="n"/>
      <c r="C653" s="4" t="n"/>
    </row>
    <row r="654" ht="15.75" customHeight="1" s="40">
      <c r="A654" s="4" t="n"/>
      <c r="B654" s="4" t="n"/>
      <c r="C654" s="4" t="n"/>
    </row>
    <row r="655" ht="15.75" customHeight="1" s="40">
      <c r="A655" s="4" t="n"/>
      <c r="B655" s="4" t="n"/>
      <c r="C655" s="4" t="n"/>
    </row>
    <row r="656" ht="15.75" customHeight="1" s="40">
      <c r="A656" s="4" t="n"/>
      <c r="B656" s="4" t="n"/>
      <c r="C656" s="4" t="n"/>
    </row>
    <row r="657" ht="15.75" customHeight="1" s="40">
      <c r="A657" s="4" t="n"/>
      <c r="B657" s="4" t="n"/>
      <c r="C657" s="4" t="n"/>
    </row>
    <row r="658" ht="15.75" customHeight="1" s="40">
      <c r="A658" s="4" t="n"/>
      <c r="B658" s="4" t="n"/>
      <c r="C658" s="4" t="n"/>
    </row>
    <row r="659" ht="15.75" customHeight="1" s="40">
      <c r="A659" s="4" t="n"/>
      <c r="B659" s="4" t="n"/>
      <c r="C659" s="4" t="n"/>
    </row>
    <row r="660" ht="15.75" customHeight="1" s="40">
      <c r="A660" s="4" t="n"/>
      <c r="B660" s="4" t="n"/>
      <c r="C660" s="4" t="n"/>
    </row>
    <row r="661" ht="15.75" customHeight="1" s="40">
      <c r="A661" s="4" t="n"/>
      <c r="B661" s="4" t="n"/>
      <c r="C661" s="4" t="n"/>
    </row>
    <row r="662" ht="15.75" customHeight="1" s="40">
      <c r="A662" s="4" t="n"/>
      <c r="B662" s="4" t="n"/>
      <c r="C662" s="4" t="n"/>
    </row>
    <row r="663" ht="15.75" customHeight="1" s="40">
      <c r="A663" s="4" t="n"/>
      <c r="B663" s="4" t="n"/>
      <c r="C663" s="4" t="n"/>
    </row>
    <row r="664" ht="15.75" customHeight="1" s="40">
      <c r="A664" s="4" t="n"/>
      <c r="B664" s="4" t="n"/>
      <c r="C664" s="4" t="n"/>
    </row>
    <row r="665" ht="15.75" customHeight="1" s="40">
      <c r="A665" s="4" t="n"/>
      <c r="B665" s="4" t="n"/>
      <c r="C665" s="4" t="n"/>
    </row>
    <row r="666" ht="15.75" customHeight="1" s="40">
      <c r="A666" s="4" t="n"/>
      <c r="B666" s="4" t="n"/>
      <c r="C666" s="4" t="n"/>
    </row>
    <row r="667" ht="15.75" customHeight="1" s="40">
      <c r="A667" s="4" t="n"/>
      <c r="B667" s="4" t="n"/>
      <c r="C667" s="4" t="n"/>
    </row>
    <row r="668" ht="15.75" customHeight="1" s="40">
      <c r="A668" s="4" t="n"/>
      <c r="B668" s="4" t="n"/>
      <c r="C668" s="4" t="n"/>
    </row>
    <row r="669" ht="15.75" customHeight="1" s="40">
      <c r="A669" s="4" t="n"/>
      <c r="B669" s="4" t="n"/>
      <c r="C669" s="4" t="n"/>
    </row>
    <row r="670" ht="15.75" customHeight="1" s="40">
      <c r="A670" s="4" t="n"/>
      <c r="B670" s="4" t="n"/>
      <c r="C670" s="4" t="n"/>
    </row>
    <row r="671" ht="15.75" customHeight="1" s="40">
      <c r="A671" s="4" t="n"/>
      <c r="B671" s="4" t="n"/>
      <c r="C671" s="4" t="n"/>
    </row>
    <row r="672" ht="15.75" customHeight="1" s="40">
      <c r="A672" s="4" t="n"/>
      <c r="B672" s="4" t="n"/>
      <c r="C672" s="4" t="n"/>
    </row>
    <row r="673" ht="15.75" customHeight="1" s="40">
      <c r="A673" s="4" t="n"/>
      <c r="B673" s="4" t="n"/>
      <c r="C673" s="4" t="n"/>
    </row>
    <row r="674" ht="15.75" customHeight="1" s="40">
      <c r="A674" s="4" t="n"/>
      <c r="B674" s="4" t="n"/>
      <c r="C674" s="4" t="n"/>
    </row>
    <row r="675" ht="15.75" customHeight="1" s="40">
      <c r="A675" s="4" t="n"/>
      <c r="B675" s="4" t="n"/>
      <c r="C675" s="4" t="n"/>
    </row>
    <row r="676" ht="15.75" customHeight="1" s="40">
      <c r="A676" s="4" t="n"/>
      <c r="B676" s="4" t="n"/>
      <c r="C676" s="4" t="n"/>
    </row>
    <row r="677" ht="15.75" customHeight="1" s="40">
      <c r="A677" s="4" t="n"/>
      <c r="B677" s="4" t="n"/>
      <c r="C677" s="4" t="n"/>
    </row>
    <row r="678" ht="15.75" customHeight="1" s="40">
      <c r="A678" s="4" t="n"/>
      <c r="B678" s="4" t="n"/>
      <c r="C678" s="4" t="n"/>
    </row>
    <row r="679" ht="15.75" customHeight="1" s="40">
      <c r="A679" s="4" t="n"/>
      <c r="B679" s="4" t="n"/>
      <c r="C679" s="4" t="n"/>
    </row>
    <row r="680" ht="15.75" customHeight="1" s="40">
      <c r="A680" s="4" t="n"/>
      <c r="B680" s="4" t="n"/>
      <c r="C680" s="4" t="n"/>
    </row>
    <row r="681" ht="15.75" customHeight="1" s="40">
      <c r="A681" s="4" t="n"/>
      <c r="B681" s="4" t="n"/>
      <c r="C681" s="4" t="n"/>
    </row>
    <row r="682" ht="15.75" customHeight="1" s="40">
      <c r="A682" s="4" t="n"/>
      <c r="B682" s="4" t="n"/>
      <c r="C682" s="4" t="n"/>
    </row>
    <row r="683" ht="15.75" customHeight="1" s="40">
      <c r="A683" s="4" t="n"/>
      <c r="B683" s="4" t="n"/>
      <c r="C683" s="4" t="n"/>
    </row>
    <row r="684" ht="15.75" customHeight="1" s="40">
      <c r="A684" s="4" t="n"/>
      <c r="B684" s="4" t="n"/>
      <c r="C684" s="4" t="n"/>
    </row>
    <row r="685" ht="15.75" customHeight="1" s="40">
      <c r="A685" s="4" t="n"/>
      <c r="B685" s="4" t="n"/>
      <c r="C685" s="4" t="n"/>
    </row>
    <row r="686" ht="15.75" customHeight="1" s="40">
      <c r="A686" s="4" t="n"/>
      <c r="B686" s="4" t="n"/>
      <c r="C686" s="4" t="n"/>
    </row>
    <row r="687" ht="15.75" customHeight="1" s="40">
      <c r="A687" s="4" t="n"/>
      <c r="B687" s="4" t="n"/>
      <c r="C687" s="4" t="n"/>
    </row>
    <row r="688" ht="15.75" customHeight="1" s="40">
      <c r="A688" s="4" t="n"/>
      <c r="B688" s="4" t="n"/>
      <c r="C688" s="4" t="n"/>
    </row>
    <row r="689" ht="15.75" customHeight="1" s="40">
      <c r="A689" s="4" t="n"/>
      <c r="B689" s="4" t="n"/>
      <c r="C689" s="4" t="n"/>
    </row>
    <row r="690" ht="15.75" customHeight="1" s="40">
      <c r="A690" s="4" t="n"/>
      <c r="B690" s="4" t="n"/>
      <c r="C690" s="4" t="n"/>
    </row>
    <row r="691" ht="15.75" customHeight="1" s="40">
      <c r="A691" s="4" t="n"/>
      <c r="B691" s="4" t="n"/>
      <c r="C691" s="4" t="n"/>
    </row>
    <row r="692" ht="15.75" customHeight="1" s="40">
      <c r="A692" s="4" t="n"/>
      <c r="B692" s="4" t="n"/>
      <c r="C692" s="4" t="n"/>
    </row>
    <row r="693" ht="15.75" customHeight="1" s="40">
      <c r="A693" s="4" t="n"/>
      <c r="B693" s="4" t="n"/>
      <c r="C693" s="4" t="n"/>
    </row>
    <row r="694" ht="15.75" customHeight="1" s="40">
      <c r="A694" s="4" t="n"/>
      <c r="B694" s="4" t="n"/>
      <c r="C694" s="4" t="n"/>
    </row>
    <row r="695" ht="15.75" customHeight="1" s="40">
      <c r="A695" s="4" t="n"/>
      <c r="B695" s="4" t="n"/>
      <c r="C695" s="4" t="n"/>
    </row>
    <row r="696" ht="15.75" customHeight="1" s="40">
      <c r="A696" s="4" t="n"/>
      <c r="B696" s="4" t="n"/>
      <c r="C696" s="4" t="n"/>
    </row>
    <row r="697" ht="15.75" customHeight="1" s="40">
      <c r="A697" s="4" t="n"/>
      <c r="B697" s="4" t="n"/>
      <c r="C697" s="4" t="n"/>
    </row>
    <row r="698" ht="15.75" customHeight="1" s="40">
      <c r="A698" s="4" t="n"/>
      <c r="B698" s="4" t="n"/>
      <c r="C698" s="4" t="n"/>
    </row>
    <row r="699" ht="15.75" customHeight="1" s="40">
      <c r="A699" s="4" t="n"/>
      <c r="B699" s="4" t="n"/>
      <c r="C699" s="4" t="n"/>
    </row>
    <row r="700" ht="15.75" customHeight="1" s="40">
      <c r="A700" s="4" t="n"/>
      <c r="B700" s="4" t="n"/>
      <c r="C700" s="4" t="n"/>
    </row>
    <row r="701" ht="15.75" customHeight="1" s="40">
      <c r="A701" s="4" t="n"/>
      <c r="B701" s="4" t="n"/>
      <c r="C701" s="4" t="n"/>
    </row>
    <row r="702" ht="15.75" customHeight="1" s="40">
      <c r="A702" s="4" t="n"/>
      <c r="B702" s="4" t="n"/>
      <c r="C702" s="4" t="n"/>
    </row>
    <row r="703" ht="15.75" customHeight="1" s="40">
      <c r="A703" s="4" t="n"/>
      <c r="B703" s="4" t="n"/>
      <c r="C703" s="4" t="n"/>
    </row>
    <row r="704" ht="15.75" customHeight="1" s="40">
      <c r="A704" s="4" t="n"/>
      <c r="B704" s="4" t="n"/>
      <c r="C704" s="4" t="n"/>
    </row>
    <row r="705" ht="15.75" customHeight="1" s="40">
      <c r="A705" s="4" t="n"/>
      <c r="B705" s="4" t="n"/>
      <c r="C705" s="4" t="n"/>
    </row>
    <row r="706" ht="15.75" customHeight="1" s="40">
      <c r="A706" s="4" t="n"/>
      <c r="B706" s="4" t="n"/>
      <c r="C706" s="4" t="n"/>
    </row>
    <row r="707" ht="15.75" customHeight="1" s="40">
      <c r="A707" s="4" t="n"/>
      <c r="B707" s="4" t="n"/>
      <c r="C707" s="4" t="n"/>
    </row>
    <row r="708" ht="15.75" customHeight="1" s="40">
      <c r="A708" s="4" t="n"/>
      <c r="B708" s="4" t="n"/>
      <c r="C708" s="4" t="n"/>
    </row>
    <row r="709" ht="15.75" customHeight="1" s="40">
      <c r="A709" s="4" t="n"/>
      <c r="B709" s="4" t="n"/>
      <c r="C709" s="4" t="n"/>
    </row>
    <row r="710" ht="15.75" customHeight="1" s="40">
      <c r="A710" s="4" t="n"/>
      <c r="B710" s="4" t="n"/>
      <c r="C710" s="4" t="n"/>
    </row>
    <row r="711" ht="15.75" customHeight="1" s="40">
      <c r="A711" s="4" t="n"/>
      <c r="B711" s="4" t="n"/>
      <c r="C711" s="4" t="n"/>
    </row>
    <row r="712" ht="15.75" customHeight="1" s="40">
      <c r="A712" s="4" t="n"/>
      <c r="B712" s="4" t="n"/>
      <c r="C712" s="4" t="n"/>
    </row>
    <row r="713" ht="15.75" customHeight="1" s="40">
      <c r="A713" s="4" t="n"/>
      <c r="B713" s="4" t="n"/>
      <c r="C713" s="4" t="n"/>
    </row>
    <row r="714" ht="15.75" customHeight="1" s="40">
      <c r="A714" s="4" t="n"/>
      <c r="B714" s="4" t="n"/>
      <c r="C714" s="4" t="n"/>
    </row>
    <row r="715" ht="15.75" customHeight="1" s="40">
      <c r="A715" s="4" t="n"/>
      <c r="B715" s="4" t="n"/>
      <c r="C715" s="4" t="n"/>
    </row>
    <row r="716" ht="15.75" customHeight="1" s="40">
      <c r="A716" s="4" t="n"/>
      <c r="B716" s="4" t="n"/>
      <c r="C716" s="4" t="n"/>
    </row>
    <row r="717" ht="15.75" customHeight="1" s="40">
      <c r="A717" s="4" t="n"/>
      <c r="B717" s="4" t="n"/>
      <c r="C717" s="4" t="n"/>
    </row>
    <row r="718" ht="15.75" customHeight="1" s="40">
      <c r="A718" s="4" t="n"/>
      <c r="B718" s="4" t="n"/>
      <c r="C718" s="4" t="n"/>
    </row>
    <row r="719" ht="15.75" customHeight="1" s="40">
      <c r="A719" s="4" t="n"/>
      <c r="B719" s="4" t="n"/>
      <c r="C719" s="4" t="n"/>
    </row>
    <row r="720" ht="15.75" customHeight="1" s="40">
      <c r="A720" s="4" t="n"/>
      <c r="B720" s="4" t="n"/>
      <c r="C720" s="4" t="n"/>
    </row>
    <row r="721" ht="15.75" customHeight="1" s="40">
      <c r="A721" s="4" t="n"/>
      <c r="B721" s="4" t="n"/>
      <c r="C721" s="4" t="n"/>
    </row>
    <row r="722" ht="15.75" customHeight="1" s="40">
      <c r="A722" s="4" t="n"/>
      <c r="B722" s="4" t="n"/>
      <c r="C722" s="4" t="n"/>
    </row>
    <row r="723" ht="15.75" customHeight="1" s="40">
      <c r="A723" s="4" t="n"/>
      <c r="B723" s="4" t="n"/>
      <c r="C723" s="4" t="n"/>
    </row>
    <row r="724" ht="15.75" customHeight="1" s="40">
      <c r="A724" s="4" t="n"/>
      <c r="B724" s="4" t="n"/>
      <c r="C724" s="4" t="n"/>
    </row>
    <row r="725" ht="15.75" customHeight="1" s="40">
      <c r="A725" s="4" t="n"/>
      <c r="B725" s="4" t="n"/>
      <c r="C725" s="4" t="n"/>
    </row>
    <row r="726" ht="15.75" customHeight="1" s="40">
      <c r="A726" s="4" t="n"/>
      <c r="B726" s="4" t="n"/>
      <c r="C726" s="4" t="n"/>
    </row>
    <row r="727" ht="15.75" customHeight="1" s="40">
      <c r="A727" s="4" t="n"/>
      <c r="B727" s="4" t="n"/>
      <c r="C727" s="4" t="n"/>
    </row>
    <row r="728" ht="15.75" customHeight="1" s="40">
      <c r="A728" s="4" t="n"/>
      <c r="B728" s="4" t="n"/>
      <c r="C728" s="4" t="n"/>
    </row>
    <row r="729" ht="15.75" customHeight="1" s="40">
      <c r="A729" s="4" t="n"/>
      <c r="B729" s="4" t="n"/>
      <c r="C729" s="4" t="n"/>
    </row>
    <row r="730" ht="15.75" customHeight="1" s="40">
      <c r="A730" s="4" t="n"/>
      <c r="B730" s="4" t="n"/>
      <c r="C730" s="4" t="n"/>
    </row>
    <row r="731" ht="15.75" customHeight="1" s="40">
      <c r="A731" s="4" t="n"/>
      <c r="B731" s="4" t="n"/>
      <c r="C731" s="4" t="n"/>
    </row>
    <row r="732" ht="15.75" customHeight="1" s="40">
      <c r="A732" s="4" t="n"/>
      <c r="B732" s="4" t="n"/>
      <c r="C732" s="4" t="n"/>
    </row>
    <row r="733" ht="15.75" customHeight="1" s="40">
      <c r="A733" s="4" t="n"/>
      <c r="B733" s="4" t="n"/>
      <c r="C733" s="4" t="n"/>
    </row>
    <row r="734" ht="15.75" customHeight="1" s="40">
      <c r="A734" s="4" t="n"/>
      <c r="B734" s="4" t="n"/>
      <c r="C734" s="4" t="n"/>
    </row>
    <row r="735" ht="15.75" customHeight="1" s="40">
      <c r="A735" s="4" t="n"/>
      <c r="B735" s="4" t="n"/>
      <c r="C735" s="4" t="n"/>
    </row>
    <row r="736" ht="15.75" customHeight="1" s="40">
      <c r="A736" s="4" t="n"/>
      <c r="B736" s="4" t="n"/>
      <c r="C736" s="4" t="n"/>
    </row>
    <row r="737" ht="15.75" customHeight="1" s="40">
      <c r="A737" s="4" t="n"/>
      <c r="B737" s="4" t="n"/>
      <c r="C737" s="4" t="n"/>
    </row>
    <row r="738" ht="15.75" customHeight="1" s="40">
      <c r="A738" s="4" t="n"/>
      <c r="B738" s="4" t="n"/>
      <c r="C738" s="4" t="n"/>
    </row>
    <row r="739" ht="15.75" customHeight="1" s="40">
      <c r="A739" s="4" t="n"/>
      <c r="B739" s="4" t="n"/>
      <c r="C739" s="4" t="n"/>
    </row>
    <row r="740" ht="15.75" customHeight="1" s="40">
      <c r="A740" s="4" t="n"/>
      <c r="B740" s="4" t="n"/>
      <c r="C740" s="4" t="n"/>
    </row>
    <row r="741" ht="15.75" customHeight="1" s="40">
      <c r="A741" s="4" t="n"/>
      <c r="B741" s="4" t="n"/>
      <c r="C741" s="4" t="n"/>
    </row>
    <row r="742" ht="15.75" customHeight="1" s="40">
      <c r="A742" s="4" t="n"/>
      <c r="B742" s="4" t="n"/>
      <c r="C742" s="4" t="n"/>
    </row>
    <row r="743" ht="15.75" customHeight="1" s="40">
      <c r="A743" s="4" t="n"/>
      <c r="B743" s="4" t="n"/>
      <c r="C743" s="4" t="n"/>
    </row>
    <row r="744" ht="15.75" customHeight="1" s="40">
      <c r="A744" s="4" t="n"/>
      <c r="B744" s="4" t="n"/>
      <c r="C744" s="4" t="n"/>
    </row>
    <row r="745" ht="15.75" customHeight="1" s="40">
      <c r="A745" s="4" t="n"/>
      <c r="B745" s="4" t="n"/>
      <c r="C745" s="4" t="n"/>
    </row>
    <row r="746" ht="15.75" customHeight="1" s="40">
      <c r="A746" s="4" t="n"/>
      <c r="B746" s="4" t="n"/>
      <c r="C746" s="4" t="n"/>
    </row>
    <row r="747" ht="15.75" customHeight="1" s="40">
      <c r="A747" s="4" t="n"/>
      <c r="B747" s="4" t="n"/>
      <c r="C747" s="4" t="n"/>
    </row>
    <row r="748" ht="15.75" customHeight="1" s="40">
      <c r="A748" s="4" t="n"/>
      <c r="B748" s="4" t="n"/>
      <c r="C748" s="4" t="n"/>
    </row>
    <row r="749" ht="15.75" customHeight="1" s="40">
      <c r="A749" s="4" t="n"/>
      <c r="B749" s="4" t="n"/>
      <c r="C749" s="4" t="n"/>
    </row>
    <row r="750" ht="15.75" customHeight="1" s="40">
      <c r="A750" s="4" t="n"/>
      <c r="B750" s="4" t="n"/>
      <c r="C750" s="4" t="n"/>
    </row>
    <row r="751" ht="15.75" customHeight="1" s="40">
      <c r="A751" s="4" t="n"/>
      <c r="B751" s="4" t="n"/>
      <c r="C751" s="4" t="n"/>
    </row>
    <row r="752" ht="15.75" customHeight="1" s="40">
      <c r="A752" s="4" t="n"/>
      <c r="B752" s="4" t="n"/>
      <c r="C752" s="4" t="n"/>
    </row>
    <row r="753" ht="15.75" customHeight="1" s="40">
      <c r="A753" s="4" t="n"/>
      <c r="B753" s="4" t="n"/>
      <c r="C753" s="4" t="n"/>
    </row>
    <row r="754" ht="15.75" customHeight="1" s="40">
      <c r="A754" s="4" t="n"/>
      <c r="B754" s="4" t="n"/>
      <c r="C754" s="4" t="n"/>
    </row>
    <row r="755" ht="15.75" customHeight="1" s="40">
      <c r="A755" s="4" t="n"/>
      <c r="B755" s="4" t="n"/>
      <c r="C755" s="4" t="n"/>
    </row>
    <row r="756" ht="15.75" customHeight="1" s="40">
      <c r="A756" s="4" t="n"/>
      <c r="B756" s="4" t="n"/>
      <c r="C756" s="4" t="n"/>
    </row>
    <row r="757" ht="15.75" customHeight="1" s="40">
      <c r="A757" s="4" t="n"/>
      <c r="B757" s="4" t="n"/>
      <c r="C757" s="4" t="n"/>
    </row>
    <row r="758" ht="15.75" customHeight="1" s="40">
      <c r="A758" s="4" t="n"/>
      <c r="B758" s="4" t="n"/>
      <c r="C758" s="4" t="n"/>
    </row>
    <row r="759" ht="15.75" customHeight="1" s="40">
      <c r="A759" s="4" t="n"/>
      <c r="B759" s="4" t="n"/>
      <c r="C759" s="4" t="n"/>
    </row>
    <row r="760" ht="15.75" customHeight="1" s="40">
      <c r="A760" s="4" t="n"/>
      <c r="B760" s="4" t="n"/>
      <c r="C760" s="4" t="n"/>
    </row>
    <row r="761" ht="15.75" customHeight="1" s="40">
      <c r="A761" s="4" t="n"/>
      <c r="B761" s="4" t="n"/>
      <c r="C761" s="4" t="n"/>
    </row>
    <row r="762" ht="15.75" customHeight="1" s="40">
      <c r="A762" s="4" t="n"/>
      <c r="B762" s="4" t="n"/>
      <c r="C762" s="4" t="n"/>
    </row>
    <row r="763" ht="15.75" customHeight="1" s="40">
      <c r="A763" s="4" t="n"/>
      <c r="B763" s="4" t="n"/>
      <c r="C763" s="4" t="n"/>
    </row>
    <row r="764" ht="15.75" customHeight="1" s="40">
      <c r="A764" s="4" t="n"/>
      <c r="B764" s="4" t="n"/>
      <c r="C764" s="4" t="n"/>
    </row>
    <row r="765" ht="15.75" customHeight="1" s="40">
      <c r="A765" s="4" t="n"/>
      <c r="B765" s="4" t="n"/>
      <c r="C765" s="4" t="n"/>
    </row>
    <row r="766" ht="15.75" customHeight="1" s="40">
      <c r="A766" s="4" t="n"/>
      <c r="B766" s="4" t="n"/>
      <c r="C766" s="4" t="n"/>
    </row>
    <row r="767" ht="15.75" customHeight="1" s="40">
      <c r="A767" s="4" t="n"/>
      <c r="B767" s="4" t="n"/>
      <c r="C767" s="4" t="n"/>
    </row>
    <row r="768" ht="15.75" customHeight="1" s="40">
      <c r="A768" s="4" t="n"/>
      <c r="B768" s="4" t="n"/>
      <c r="C768" s="4" t="n"/>
    </row>
    <row r="769" ht="15.75" customHeight="1" s="40">
      <c r="A769" s="4" t="n"/>
      <c r="B769" s="4" t="n"/>
      <c r="C769" s="4" t="n"/>
    </row>
    <row r="770" ht="15.75" customHeight="1" s="40">
      <c r="A770" s="4" t="n"/>
      <c r="B770" s="4" t="n"/>
      <c r="C770" s="4" t="n"/>
    </row>
    <row r="771" ht="15.75" customHeight="1" s="40">
      <c r="A771" s="4" t="n"/>
      <c r="B771" s="4" t="n"/>
      <c r="C771" s="4" t="n"/>
    </row>
    <row r="772" ht="15.75" customHeight="1" s="40">
      <c r="A772" s="4" t="n"/>
      <c r="B772" s="4" t="n"/>
      <c r="C772" s="4" t="n"/>
    </row>
    <row r="773" ht="15.75" customHeight="1" s="40">
      <c r="A773" s="4" t="n"/>
      <c r="B773" s="4" t="n"/>
      <c r="C773" s="4" t="n"/>
    </row>
    <row r="774" ht="15.75" customHeight="1" s="40">
      <c r="A774" s="4" t="n"/>
      <c r="B774" s="4" t="n"/>
      <c r="C774" s="4" t="n"/>
    </row>
    <row r="775" ht="15.75" customHeight="1" s="40">
      <c r="A775" s="4" t="n"/>
      <c r="B775" s="4" t="n"/>
      <c r="C775" s="4" t="n"/>
    </row>
    <row r="776" ht="15.75" customHeight="1" s="40">
      <c r="A776" s="4" t="n"/>
      <c r="B776" s="4" t="n"/>
      <c r="C776" s="4" t="n"/>
    </row>
    <row r="777" ht="15.75" customHeight="1" s="40">
      <c r="A777" s="4" t="n"/>
      <c r="B777" s="4" t="n"/>
      <c r="C777" s="4" t="n"/>
    </row>
    <row r="778" ht="15.75" customHeight="1" s="40">
      <c r="A778" s="4" t="n"/>
      <c r="B778" s="4" t="n"/>
      <c r="C778" s="4" t="n"/>
    </row>
    <row r="779" ht="15.75" customHeight="1" s="40">
      <c r="A779" s="4" t="n"/>
      <c r="B779" s="4" t="n"/>
      <c r="C779" s="4" t="n"/>
    </row>
    <row r="780" ht="15.75" customHeight="1" s="40">
      <c r="A780" s="4" t="n"/>
      <c r="B780" s="4" t="n"/>
      <c r="C780" s="4" t="n"/>
    </row>
    <row r="781" ht="15.75" customHeight="1" s="40">
      <c r="A781" s="4" t="n"/>
      <c r="B781" s="4" t="n"/>
      <c r="C781" s="4" t="n"/>
    </row>
    <row r="782" ht="15.75" customHeight="1" s="40">
      <c r="A782" s="4" t="n"/>
      <c r="B782" s="4" t="n"/>
      <c r="C782" s="4" t="n"/>
    </row>
    <row r="783" ht="15.75" customHeight="1" s="40">
      <c r="A783" s="4" t="n"/>
      <c r="B783" s="4" t="n"/>
      <c r="C783" s="4" t="n"/>
    </row>
    <row r="784" ht="15.75" customHeight="1" s="40">
      <c r="A784" s="4" t="n"/>
      <c r="B784" s="4" t="n"/>
      <c r="C784" s="4" t="n"/>
    </row>
    <row r="785" ht="15.75" customHeight="1" s="40">
      <c r="A785" s="4" t="n"/>
      <c r="B785" s="4" t="n"/>
      <c r="C785" s="4" t="n"/>
    </row>
    <row r="786" ht="15.75" customHeight="1" s="40">
      <c r="A786" s="4" t="n"/>
      <c r="B786" s="4" t="n"/>
      <c r="C786" s="4" t="n"/>
    </row>
    <row r="787" ht="15.75" customHeight="1" s="40">
      <c r="A787" s="4" t="n"/>
      <c r="B787" s="4" t="n"/>
      <c r="C787" s="4" t="n"/>
    </row>
    <row r="788" ht="15.75" customHeight="1" s="40">
      <c r="A788" s="4" t="n"/>
      <c r="B788" s="4" t="n"/>
      <c r="C788" s="4" t="n"/>
    </row>
    <row r="789" ht="15.75" customHeight="1" s="40">
      <c r="A789" s="4" t="n"/>
      <c r="B789" s="4" t="n"/>
      <c r="C789" s="4" t="n"/>
    </row>
    <row r="790" ht="15.75" customHeight="1" s="40">
      <c r="A790" s="4" t="n"/>
      <c r="B790" s="4" t="n"/>
      <c r="C790" s="4" t="n"/>
    </row>
    <row r="791" ht="15.75" customHeight="1" s="40">
      <c r="A791" s="4" t="n"/>
      <c r="B791" s="4" t="n"/>
      <c r="C791" s="4" t="n"/>
    </row>
    <row r="792" ht="15.75" customHeight="1" s="40">
      <c r="A792" s="4" t="n"/>
      <c r="B792" s="4" t="n"/>
      <c r="C792" s="4" t="n"/>
    </row>
    <row r="793" ht="15.75" customHeight="1" s="40">
      <c r="A793" s="4" t="n"/>
      <c r="B793" s="4" t="n"/>
      <c r="C793" s="4" t="n"/>
    </row>
    <row r="794" ht="15.75" customHeight="1" s="40">
      <c r="A794" s="4" t="n"/>
      <c r="B794" s="4" t="n"/>
      <c r="C794" s="4" t="n"/>
    </row>
    <row r="795" ht="15.75" customHeight="1" s="40">
      <c r="A795" s="4" t="n"/>
      <c r="B795" s="4" t="n"/>
      <c r="C795" s="4" t="n"/>
    </row>
    <row r="796" ht="15.75" customHeight="1" s="40">
      <c r="A796" s="4" t="n"/>
      <c r="B796" s="4" t="n"/>
      <c r="C796" s="4" t="n"/>
    </row>
    <row r="797" ht="15.75" customHeight="1" s="40">
      <c r="A797" s="4" t="n"/>
      <c r="B797" s="4" t="n"/>
      <c r="C797" s="4" t="n"/>
    </row>
    <row r="798" ht="15.75" customHeight="1" s="40">
      <c r="A798" s="4" t="n"/>
      <c r="B798" s="4" t="n"/>
      <c r="C798" s="4" t="n"/>
    </row>
    <row r="799" ht="15.75" customHeight="1" s="40">
      <c r="A799" s="4" t="n"/>
      <c r="B799" s="4" t="n"/>
      <c r="C799" s="4" t="n"/>
    </row>
    <row r="800" ht="15.75" customHeight="1" s="40">
      <c r="A800" s="4" t="n"/>
      <c r="B800" s="4" t="n"/>
      <c r="C800" s="4" t="n"/>
    </row>
    <row r="801" ht="15.75" customHeight="1" s="40">
      <c r="A801" s="4" t="n"/>
      <c r="B801" s="4" t="n"/>
      <c r="C801" s="4" t="n"/>
    </row>
    <row r="802" ht="15.75" customHeight="1" s="40">
      <c r="A802" s="4" t="n"/>
      <c r="B802" s="4" t="n"/>
      <c r="C802" s="4" t="n"/>
    </row>
    <row r="803" ht="15.75" customHeight="1" s="40">
      <c r="A803" s="4" t="n"/>
      <c r="B803" s="4" t="n"/>
      <c r="C803" s="4" t="n"/>
    </row>
    <row r="804" ht="15.75" customHeight="1" s="40">
      <c r="A804" s="4" t="n"/>
      <c r="B804" s="4" t="n"/>
      <c r="C804" s="4" t="n"/>
    </row>
    <row r="805" ht="15.75" customHeight="1" s="40">
      <c r="A805" s="4" t="n"/>
      <c r="B805" s="4" t="n"/>
      <c r="C805" s="4" t="n"/>
    </row>
    <row r="806" ht="15.75" customHeight="1" s="40">
      <c r="A806" s="4" t="n"/>
      <c r="B806" s="4" t="n"/>
      <c r="C806" s="4" t="n"/>
    </row>
    <row r="807" ht="15.75" customHeight="1" s="40">
      <c r="A807" s="4" t="n"/>
      <c r="B807" s="4" t="n"/>
      <c r="C807" s="4" t="n"/>
    </row>
    <row r="808" ht="15.75" customHeight="1" s="40">
      <c r="A808" s="4" t="n"/>
      <c r="B808" s="4" t="n"/>
      <c r="C808" s="4" t="n"/>
    </row>
    <row r="809" ht="15.75" customHeight="1" s="40">
      <c r="A809" s="4" t="n"/>
      <c r="B809" s="4" t="n"/>
      <c r="C809" s="4" t="n"/>
    </row>
    <row r="810" ht="15.75" customHeight="1" s="40">
      <c r="A810" s="4" t="n"/>
      <c r="B810" s="4" t="n"/>
      <c r="C810" s="4" t="n"/>
    </row>
    <row r="811" ht="15.75" customHeight="1" s="40">
      <c r="A811" s="4" t="n"/>
      <c r="B811" s="4" t="n"/>
      <c r="C811" s="4" t="n"/>
    </row>
    <row r="812" ht="15.75" customHeight="1" s="40">
      <c r="A812" s="4" t="n"/>
      <c r="B812" s="4" t="n"/>
      <c r="C812" s="4" t="n"/>
    </row>
    <row r="813" ht="15.75" customHeight="1" s="40">
      <c r="A813" s="4" t="n"/>
      <c r="B813" s="4" t="n"/>
      <c r="C813" s="4" t="n"/>
    </row>
    <row r="814" ht="15.75" customHeight="1" s="40">
      <c r="A814" s="4" t="n"/>
      <c r="B814" s="4" t="n"/>
      <c r="C814" s="4" t="n"/>
    </row>
    <row r="815" ht="15.75" customHeight="1" s="40">
      <c r="A815" s="4" t="n"/>
      <c r="B815" s="4" t="n"/>
      <c r="C815" s="4" t="n"/>
    </row>
    <row r="816" ht="15.75" customHeight="1" s="40">
      <c r="A816" s="4" t="n"/>
      <c r="B816" s="4" t="n"/>
      <c r="C816" s="4" t="n"/>
    </row>
    <row r="817" ht="15.75" customHeight="1" s="40">
      <c r="A817" s="4" t="n"/>
      <c r="B817" s="4" t="n"/>
      <c r="C817" s="4" t="n"/>
    </row>
    <row r="818" ht="15.75" customHeight="1" s="40">
      <c r="A818" s="4" t="n"/>
      <c r="B818" s="4" t="n"/>
      <c r="C818" s="4" t="n"/>
    </row>
    <row r="819" ht="15.75" customHeight="1" s="40">
      <c r="A819" s="4" t="n"/>
      <c r="B819" s="4" t="n"/>
      <c r="C819" s="4" t="n"/>
    </row>
    <row r="820" ht="15.75" customHeight="1" s="40">
      <c r="A820" s="4" t="n"/>
      <c r="B820" s="4" t="n"/>
      <c r="C820" s="4" t="n"/>
    </row>
    <row r="821" ht="15.75" customHeight="1" s="40">
      <c r="A821" s="4" t="n"/>
      <c r="B821" s="4" t="n"/>
      <c r="C821" s="4" t="n"/>
    </row>
    <row r="822" ht="15.75" customHeight="1" s="40">
      <c r="A822" s="4" t="n"/>
      <c r="B822" s="4" t="n"/>
      <c r="C822" s="4" t="n"/>
    </row>
    <row r="823" ht="15.75" customHeight="1" s="40">
      <c r="A823" s="4" t="n"/>
      <c r="B823" s="4" t="n"/>
      <c r="C823" s="4" t="n"/>
    </row>
    <row r="824" ht="15.75" customHeight="1" s="40">
      <c r="A824" s="4" t="n"/>
      <c r="B824" s="4" t="n"/>
      <c r="C824" s="4" t="n"/>
    </row>
    <row r="825" ht="15.75" customHeight="1" s="40">
      <c r="A825" s="4" t="n"/>
      <c r="B825" s="4" t="n"/>
      <c r="C825" s="4" t="n"/>
    </row>
    <row r="826" ht="15.75" customHeight="1" s="40">
      <c r="A826" s="4" t="n"/>
      <c r="B826" s="4" t="n"/>
      <c r="C826" s="4" t="n"/>
    </row>
    <row r="827" ht="15.75" customHeight="1" s="40">
      <c r="A827" s="4" t="n"/>
      <c r="B827" s="4" t="n"/>
      <c r="C827" s="4" t="n"/>
    </row>
    <row r="828" ht="15.75" customHeight="1" s="40">
      <c r="A828" s="4" t="n"/>
      <c r="B828" s="4" t="n"/>
      <c r="C828" s="4" t="n"/>
    </row>
    <row r="829" ht="15.75" customHeight="1" s="40">
      <c r="A829" s="4" t="n"/>
      <c r="B829" s="4" t="n"/>
      <c r="C829" s="4" t="n"/>
    </row>
    <row r="830" ht="15.75" customHeight="1" s="40">
      <c r="A830" s="4" t="n"/>
      <c r="B830" s="4" t="n"/>
      <c r="C830" s="4" t="n"/>
    </row>
    <row r="831" ht="15.75" customHeight="1" s="40">
      <c r="A831" s="4" t="n"/>
      <c r="B831" s="4" t="n"/>
      <c r="C831" s="4" t="n"/>
    </row>
    <row r="832" ht="15.75" customHeight="1" s="40">
      <c r="A832" s="4" t="n"/>
      <c r="B832" s="4" t="n"/>
      <c r="C832" s="4" t="n"/>
    </row>
    <row r="833" ht="15.75" customHeight="1" s="40">
      <c r="A833" s="4" t="n"/>
      <c r="B833" s="4" t="n"/>
      <c r="C833" s="4" t="n"/>
    </row>
    <row r="834" ht="15.75" customHeight="1" s="40">
      <c r="A834" s="4" t="n"/>
      <c r="B834" s="4" t="n"/>
      <c r="C834" s="4" t="n"/>
    </row>
    <row r="835" ht="15.75" customHeight="1" s="40">
      <c r="A835" s="4" t="n"/>
      <c r="B835" s="4" t="n"/>
      <c r="C835" s="4" t="n"/>
    </row>
    <row r="836" ht="15.75" customHeight="1" s="40">
      <c r="A836" s="4" t="n"/>
      <c r="B836" s="4" t="n"/>
      <c r="C836" s="4" t="n"/>
    </row>
    <row r="837" ht="15.75" customHeight="1" s="40">
      <c r="A837" s="4" t="n"/>
      <c r="B837" s="4" t="n"/>
      <c r="C837" s="4" t="n"/>
    </row>
    <row r="838" ht="15.75" customHeight="1" s="40">
      <c r="A838" s="4" t="n"/>
      <c r="B838" s="4" t="n"/>
      <c r="C838" s="4" t="n"/>
    </row>
    <row r="839" ht="15.75" customHeight="1" s="40">
      <c r="A839" s="4" t="n"/>
      <c r="B839" s="4" t="n"/>
      <c r="C839" s="4" t="n"/>
    </row>
    <row r="840" ht="15.75" customHeight="1" s="40">
      <c r="A840" s="4" t="n"/>
      <c r="B840" s="4" t="n"/>
      <c r="C840" s="4" t="n"/>
    </row>
    <row r="841" ht="15.75" customHeight="1" s="40">
      <c r="A841" s="4" t="n"/>
      <c r="B841" s="4" t="n"/>
      <c r="C841" s="4" t="n"/>
    </row>
    <row r="842" ht="15.75" customHeight="1" s="40">
      <c r="A842" s="4" t="n"/>
      <c r="B842" s="4" t="n"/>
      <c r="C842" s="4" t="n"/>
    </row>
    <row r="843" ht="15.75" customHeight="1" s="40">
      <c r="A843" s="4" t="n"/>
      <c r="B843" s="4" t="n"/>
      <c r="C843" s="4" t="n"/>
    </row>
    <row r="844" ht="15.75" customHeight="1" s="40">
      <c r="A844" s="4" t="n"/>
      <c r="B844" s="4" t="n"/>
      <c r="C844" s="4" t="n"/>
    </row>
    <row r="845" ht="15.75" customHeight="1" s="40">
      <c r="A845" s="4" t="n"/>
      <c r="B845" s="4" t="n"/>
      <c r="C845" s="4" t="n"/>
    </row>
    <row r="846" ht="15.75" customHeight="1" s="40">
      <c r="A846" s="4" t="n"/>
      <c r="B846" s="4" t="n"/>
      <c r="C846" s="4" t="n"/>
    </row>
    <row r="847" ht="15.75" customHeight="1" s="40">
      <c r="A847" s="4" t="n"/>
      <c r="B847" s="4" t="n"/>
      <c r="C847" s="4" t="n"/>
    </row>
    <row r="848" ht="15.75" customHeight="1" s="40">
      <c r="A848" s="4" t="n"/>
      <c r="B848" s="4" t="n"/>
      <c r="C848" s="4" t="n"/>
    </row>
    <row r="849" ht="15.75" customHeight="1" s="40">
      <c r="A849" s="4" t="n"/>
      <c r="B849" s="4" t="n"/>
      <c r="C849" s="4" t="n"/>
    </row>
    <row r="850" ht="15.75" customHeight="1" s="40">
      <c r="A850" s="4" t="n"/>
      <c r="B850" s="4" t="n"/>
      <c r="C850" s="4" t="n"/>
    </row>
    <row r="851" ht="15.75" customHeight="1" s="40">
      <c r="A851" s="4" t="n"/>
      <c r="B851" s="4" t="n"/>
      <c r="C851" s="4" t="n"/>
    </row>
    <row r="852" ht="15.75" customHeight="1" s="40">
      <c r="A852" s="4" t="n"/>
      <c r="B852" s="4" t="n"/>
      <c r="C852" s="4" t="n"/>
    </row>
    <row r="853" ht="15.75" customHeight="1" s="40">
      <c r="A853" s="4" t="n"/>
      <c r="B853" s="4" t="n"/>
      <c r="C853" s="4" t="n"/>
    </row>
    <row r="854" ht="15.75" customHeight="1" s="40">
      <c r="A854" s="4" t="n"/>
      <c r="B854" s="4" t="n"/>
      <c r="C854" s="4" t="n"/>
    </row>
    <row r="855" ht="15.75" customHeight="1" s="40">
      <c r="A855" s="4" t="n"/>
      <c r="B855" s="4" t="n"/>
      <c r="C855" s="4" t="n"/>
    </row>
    <row r="856" ht="15.75" customHeight="1" s="40">
      <c r="A856" s="4" t="n"/>
      <c r="B856" s="4" t="n"/>
      <c r="C856" s="4" t="n"/>
    </row>
    <row r="857" ht="15.75" customHeight="1" s="40">
      <c r="A857" s="4" t="n"/>
      <c r="B857" s="4" t="n"/>
      <c r="C857" s="4" t="n"/>
    </row>
    <row r="858" ht="15.75" customHeight="1" s="40">
      <c r="A858" s="4" t="n"/>
      <c r="B858" s="4" t="n"/>
      <c r="C858" s="4" t="n"/>
    </row>
    <row r="859" ht="15.75" customHeight="1" s="40">
      <c r="A859" s="4" t="n"/>
      <c r="B859" s="4" t="n"/>
      <c r="C859" s="4" t="n"/>
    </row>
    <row r="860" ht="15.75" customHeight="1" s="40">
      <c r="A860" s="4" t="n"/>
      <c r="B860" s="4" t="n"/>
      <c r="C860" s="4" t="n"/>
    </row>
    <row r="861" ht="15.75" customHeight="1" s="40">
      <c r="A861" s="4" t="n"/>
      <c r="B861" s="4" t="n"/>
      <c r="C861" s="4" t="n"/>
    </row>
    <row r="862" ht="15.75" customHeight="1" s="40">
      <c r="A862" s="4" t="n"/>
      <c r="B862" s="4" t="n"/>
      <c r="C862" s="4" t="n"/>
    </row>
    <row r="863" ht="15.75" customHeight="1" s="40">
      <c r="A863" s="4" t="n"/>
      <c r="B863" s="4" t="n"/>
      <c r="C863" s="4" t="n"/>
    </row>
    <row r="864" ht="15.75" customHeight="1" s="40">
      <c r="A864" s="4" t="n"/>
      <c r="B864" s="4" t="n"/>
      <c r="C864" s="4" t="n"/>
    </row>
    <row r="865" ht="15.75" customHeight="1" s="40">
      <c r="A865" s="4" t="n"/>
      <c r="B865" s="4" t="n"/>
      <c r="C865" s="4" t="n"/>
    </row>
    <row r="866" ht="15.75" customHeight="1" s="40">
      <c r="A866" s="4" t="n"/>
      <c r="B866" s="4" t="n"/>
      <c r="C866" s="4" t="n"/>
    </row>
    <row r="867" ht="15.75" customHeight="1" s="40">
      <c r="A867" s="4" t="n"/>
      <c r="B867" s="4" t="n"/>
      <c r="C867" s="4" t="n"/>
    </row>
    <row r="868" ht="15.75" customHeight="1" s="40">
      <c r="A868" s="4" t="n"/>
      <c r="B868" s="4" t="n"/>
      <c r="C868" s="4" t="n"/>
    </row>
    <row r="869" ht="15.75" customHeight="1" s="40">
      <c r="A869" s="4" t="n"/>
      <c r="B869" s="4" t="n"/>
      <c r="C869" s="4" t="n"/>
    </row>
    <row r="870" ht="15.75" customHeight="1" s="40">
      <c r="A870" s="4" t="n"/>
      <c r="B870" s="4" t="n"/>
      <c r="C870" s="4" t="n"/>
    </row>
    <row r="871" ht="15.75" customHeight="1" s="40">
      <c r="A871" s="4" t="n"/>
      <c r="B871" s="4" t="n"/>
      <c r="C871" s="4" t="n"/>
    </row>
    <row r="872" ht="15.75" customHeight="1" s="40">
      <c r="A872" s="4" t="n"/>
      <c r="B872" s="4" t="n"/>
      <c r="C872" s="4" t="n"/>
    </row>
    <row r="873" ht="15.75" customHeight="1" s="40">
      <c r="A873" s="4" t="n"/>
      <c r="B873" s="4" t="n"/>
      <c r="C873" s="4" t="n"/>
    </row>
    <row r="874" ht="15.75" customHeight="1" s="40">
      <c r="A874" s="4" t="n"/>
      <c r="B874" s="4" t="n"/>
      <c r="C874" s="4" t="n"/>
    </row>
    <row r="875" ht="15.75" customHeight="1" s="40">
      <c r="A875" s="4" t="n"/>
      <c r="B875" s="4" t="n"/>
      <c r="C875" s="4" t="n"/>
    </row>
    <row r="876" ht="15.75" customHeight="1" s="40">
      <c r="A876" s="4" t="n"/>
      <c r="B876" s="4" t="n"/>
      <c r="C876" s="4" t="n"/>
    </row>
    <row r="877" ht="15.75" customHeight="1" s="40">
      <c r="A877" s="4" t="n"/>
      <c r="B877" s="4" t="n"/>
      <c r="C877" s="4" t="n"/>
    </row>
    <row r="878" ht="15.75" customHeight="1" s="40">
      <c r="A878" s="4" t="n"/>
      <c r="B878" s="4" t="n"/>
      <c r="C878" s="4" t="n"/>
    </row>
    <row r="879" ht="15.75" customHeight="1" s="40">
      <c r="A879" s="4" t="n"/>
      <c r="B879" s="4" t="n"/>
      <c r="C879" s="4" t="n"/>
    </row>
    <row r="880" ht="15.75" customHeight="1" s="40">
      <c r="A880" s="4" t="n"/>
      <c r="B880" s="4" t="n"/>
      <c r="C880" s="4" t="n"/>
    </row>
    <row r="881" ht="15.75" customHeight="1" s="40">
      <c r="A881" s="4" t="n"/>
      <c r="B881" s="4" t="n"/>
      <c r="C881" s="4" t="n"/>
    </row>
    <row r="882" ht="15.75" customHeight="1" s="40">
      <c r="A882" s="4" t="n"/>
      <c r="B882" s="4" t="n"/>
      <c r="C882" s="4" t="n"/>
    </row>
    <row r="883" ht="15.75" customHeight="1" s="40">
      <c r="A883" s="4" t="n"/>
      <c r="B883" s="4" t="n"/>
      <c r="C883" s="4" t="n"/>
    </row>
    <row r="884" ht="15.75" customHeight="1" s="40">
      <c r="A884" s="4" t="n"/>
      <c r="B884" s="4" t="n"/>
      <c r="C884" s="4" t="n"/>
    </row>
    <row r="885" ht="15.75" customHeight="1" s="40">
      <c r="A885" s="4" t="n"/>
      <c r="B885" s="4" t="n"/>
      <c r="C885" s="4" t="n"/>
    </row>
    <row r="886" ht="15.75" customHeight="1" s="40">
      <c r="A886" s="4" t="n"/>
      <c r="B886" s="4" t="n"/>
      <c r="C886" s="4" t="n"/>
    </row>
    <row r="887" ht="15.75" customHeight="1" s="40">
      <c r="A887" s="4" t="n"/>
      <c r="B887" s="4" t="n"/>
      <c r="C887" s="4" t="n"/>
    </row>
    <row r="888" ht="15.75" customHeight="1" s="40">
      <c r="A888" s="4" t="n"/>
      <c r="B888" s="4" t="n"/>
      <c r="C888" s="4" t="n"/>
    </row>
    <row r="889" ht="15.75" customHeight="1" s="40">
      <c r="A889" s="4" t="n"/>
      <c r="B889" s="4" t="n"/>
      <c r="C889" s="4" t="n"/>
    </row>
    <row r="890" ht="15.75" customHeight="1" s="40">
      <c r="A890" s="4" t="n"/>
      <c r="B890" s="4" t="n"/>
      <c r="C890" s="4" t="n"/>
    </row>
    <row r="891" ht="15.75" customHeight="1" s="40">
      <c r="A891" s="4" t="n"/>
      <c r="B891" s="4" t="n"/>
      <c r="C891" s="4" t="n"/>
    </row>
    <row r="892" ht="15.75" customHeight="1" s="40">
      <c r="A892" s="4" t="n"/>
      <c r="B892" s="4" t="n"/>
      <c r="C892" s="4" t="n"/>
    </row>
    <row r="893" ht="15.75" customHeight="1" s="40">
      <c r="A893" s="4" t="n"/>
      <c r="B893" s="4" t="n"/>
      <c r="C893" s="4" t="n"/>
    </row>
    <row r="894" ht="15.75" customHeight="1" s="40">
      <c r="A894" s="4" t="n"/>
      <c r="B894" s="4" t="n"/>
      <c r="C894" s="4" t="n"/>
    </row>
    <row r="895" ht="15.75" customHeight="1" s="40">
      <c r="A895" s="4" t="n"/>
      <c r="B895" s="4" t="n"/>
      <c r="C895" s="4" t="n"/>
    </row>
    <row r="896" ht="15.75" customHeight="1" s="40">
      <c r="A896" s="4" t="n"/>
      <c r="B896" s="4" t="n"/>
      <c r="C896" s="4" t="n"/>
    </row>
    <row r="897" ht="15.75" customHeight="1" s="40">
      <c r="A897" s="4" t="n"/>
      <c r="B897" s="4" t="n"/>
      <c r="C897" s="4" t="n"/>
    </row>
    <row r="898" ht="15.75" customHeight="1" s="40">
      <c r="A898" s="4" t="n"/>
      <c r="B898" s="4" t="n"/>
      <c r="C898" s="4" t="n"/>
    </row>
    <row r="899" ht="15.75" customHeight="1" s="40">
      <c r="A899" s="4" t="n"/>
      <c r="B899" s="4" t="n"/>
      <c r="C899" s="4" t="n"/>
    </row>
    <row r="900" ht="15.75" customHeight="1" s="40">
      <c r="A900" s="4" t="n"/>
      <c r="B900" s="4" t="n"/>
      <c r="C900" s="4" t="n"/>
    </row>
    <row r="901" ht="15.75" customHeight="1" s="40">
      <c r="A901" s="4" t="n"/>
      <c r="B901" s="4" t="n"/>
      <c r="C901" s="4" t="n"/>
    </row>
    <row r="902" ht="15.75" customHeight="1" s="40">
      <c r="A902" s="4" t="n"/>
      <c r="B902" s="4" t="n"/>
      <c r="C902" s="4" t="n"/>
    </row>
    <row r="903" ht="15.75" customHeight="1" s="40">
      <c r="A903" s="4" t="n"/>
      <c r="B903" s="4" t="n"/>
      <c r="C903" s="4" t="n"/>
    </row>
    <row r="904" ht="15.75" customHeight="1" s="40">
      <c r="A904" s="4" t="n"/>
      <c r="B904" s="4" t="n"/>
      <c r="C904" s="4" t="n"/>
    </row>
    <row r="905" ht="15.75" customHeight="1" s="40">
      <c r="A905" s="4" t="n"/>
      <c r="B905" s="4" t="n"/>
      <c r="C905" s="4" t="n"/>
    </row>
    <row r="906" ht="15.75" customHeight="1" s="40">
      <c r="A906" s="4" t="n"/>
      <c r="B906" s="4" t="n"/>
      <c r="C906" s="4" t="n"/>
    </row>
    <row r="907" ht="15.75" customHeight="1" s="40">
      <c r="A907" s="4" t="n"/>
      <c r="B907" s="4" t="n"/>
      <c r="C907" s="4" t="n"/>
    </row>
    <row r="908" ht="15.75" customHeight="1" s="40">
      <c r="A908" s="4" t="n"/>
      <c r="B908" s="4" t="n"/>
      <c r="C908" s="4" t="n"/>
    </row>
    <row r="909" ht="15.75" customHeight="1" s="40">
      <c r="A909" s="4" t="n"/>
      <c r="B909" s="4" t="n"/>
      <c r="C909" s="4" t="n"/>
    </row>
    <row r="910" ht="15.75" customHeight="1" s="40">
      <c r="A910" s="4" t="n"/>
      <c r="B910" s="4" t="n"/>
      <c r="C910" s="4" t="n"/>
    </row>
    <row r="911" ht="15.75" customHeight="1" s="40">
      <c r="A911" s="4" t="n"/>
      <c r="B911" s="4" t="n"/>
      <c r="C911" s="4" t="n"/>
    </row>
    <row r="912" ht="15.75" customHeight="1" s="40">
      <c r="A912" s="4" t="n"/>
      <c r="B912" s="4" t="n"/>
      <c r="C912" s="4" t="n"/>
    </row>
    <row r="913" ht="15.75" customHeight="1" s="40">
      <c r="A913" s="4" t="n"/>
      <c r="B913" s="4" t="n"/>
      <c r="C913" s="4" t="n"/>
    </row>
    <row r="914" ht="15.75" customHeight="1" s="40">
      <c r="A914" s="4" t="n"/>
      <c r="B914" s="4" t="n"/>
      <c r="C914" s="4" t="n"/>
    </row>
    <row r="915" ht="15.75" customHeight="1" s="40">
      <c r="A915" s="4" t="n"/>
      <c r="B915" s="4" t="n"/>
      <c r="C915" s="4" t="n"/>
    </row>
    <row r="916" ht="15.75" customHeight="1" s="40">
      <c r="A916" s="4" t="n"/>
      <c r="B916" s="4" t="n"/>
      <c r="C916" s="4" t="n"/>
    </row>
    <row r="917" ht="15.75" customHeight="1" s="40">
      <c r="A917" s="4" t="n"/>
      <c r="B917" s="4" t="n"/>
      <c r="C917" s="4" t="n"/>
    </row>
    <row r="918" ht="15.75" customHeight="1" s="40">
      <c r="A918" s="4" t="n"/>
      <c r="B918" s="4" t="n"/>
      <c r="C918" s="4" t="n"/>
    </row>
    <row r="919" ht="15.75" customHeight="1" s="40">
      <c r="A919" s="4" t="n"/>
      <c r="B919" s="4" t="n"/>
      <c r="C919" s="4" t="n"/>
    </row>
    <row r="920" ht="15.75" customHeight="1" s="40">
      <c r="A920" s="4" t="n"/>
      <c r="B920" s="4" t="n"/>
      <c r="C920" s="4" t="n"/>
    </row>
    <row r="921" ht="15.75" customHeight="1" s="40">
      <c r="A921" s="4" t="n"/>
      <c r="B921" s="4" t="n"/>
      <c r="C921" s="4" t="n"/>
    </row>
    <row r="922" ht="15.75" customHeight="1" s="40">
      <c r="A922" s="4" t="n"/>
      <c r="B922" s="4" t="n"/>
      <c r="C922" s="4" t="n"/>
    </row>
    <row r="923" ht="15.75" customHeight="1" s="40">
      <c r="A923" s="4" t="n"/>
      <c r="B923" s="4" t="n"/>
      <c r="C923" s="4" t="n"/>
    </row>
    <row r="924" ht="15.75" customHeight="1" s="40">
      <c r="A924" s="4" t="n"/>
      <c r="B924" s="4" t="n"/>
      <c r="C924" s="4" t="n"/>
    </row>
    <row r="925" ht="15.75" customHeight="1" s="40">
      <c r="A925" s="4" t="n"/>
      <c r="B925" s="4" t="n"/>
      <c r="C925" s="4" t="n"/>
    </row>
    <row r="926" ht="15.75" customHeight="1" s="40">
      <c r="A926" s="4" t="n"/>
      <c r="B926" s="4" t="n"/>
      <c r="C926" s="4" t="n"/>
    </row>
    <row r="927" ht="15.75" customHeight="1" s="40">
      <c r="A927" s="4" t="n"/>
      <c r="B927" s="4" t="n"/>
      <c r="C927" s="4" t="n"/>
    </row>
    <row r="928" ht="15.75" customHeight="1" s="40">
      <c r="A928" s="4" t="n"/>
      <c r="B928" s="4" t="n"/>
      <c r="C928" s="4" t="n"/>
    </row>
    <row r="929" ht="15.75" customHeight="1" s="40">
      <c r="A929" s="4" t="n"/>
      <c r="B929" s="4" t="n"/>
      <c r="C929" s="4" t="n"/>
    </row>
    <row r="930" ht="15.75" customHeight="1" s="40">
      <c r="A930" s="4" t="n"/>
      <c r="B930" s="4" t="n"/>
      <c r="C930" s="4" t="n"/>
    </row>
    <row r="931" ht="15.75" customHeight="1" s="40">
      <c r="A931" s="4" t="n"/>
      <c r="B931" s="4" t="n"/>
      <c r="C931" s="4" t="n"/>
    </row>
    <row r="932" ht="15.75" customHeight="1" s="40">
      <c r="A932" s="4" t="n"/>
      <c r="B932" s="4" t="n"/>
      <c r="C932" s="4" t="n"/>
    </row>
    <row r="933" ht="15.75" customHeight="1" s="40">
      <c r="A933" s="4" t="n"/>
      <c r="B933" s="4" t="n"/>
      <c r="C933" s="4" t="n"/>
    </row>
    <row r="934" ht="15.75" customHeight="1" s="40">
      <c r="A934" s="4" t="n"/>
      <c r="B934" s="4" t="n"/>
      <c r="C934" s="4" t="n"/>
    </row>
    <row r="935" ht="15.75" customHeight="1" s="40">
      <c r="A935" s="4" t="n"/>
      <c r="B935" s="4" t="n"/>
      <c r="C935" s="4" t="n"/>
    </row>
    <row r="936" ht="15.75" customHeight="1" s="40">
      <c r="A936" s="4" t="n"/>
      <c r="B936" s="4" t="n"/>
      <c r="C936" s="4" t="n"/>
    </row>
    <row r="937" ht="15.75" customHeight="1" s="40">
      <c r="A937" s="4" t="n"/>
      <c r="B937" s="4" t="n"/>
      <c r="C937" s="4" t="n"/>
    </row>
    <row r="938" ht="15.75" customHeight="1" s="40">
      <c r="A938" s="4" t="n"/>
      <c r="B938" s="4" t="n"/>
      <c r="C938" s="4" t="n"/>
    </row>
    <row r="939" ht="15.75" customHeight="1" s="40">
      <c r="A939" s="4" t="n"/>
      <c r="B939" s="4" t="n"/>
      <c r="C939" s="4" t="n"/>
    </row>
    <row r="940" ht="15.75" customHeight="1" s="40">
      <c r="A940" s="4" t="n"/>
      <c r="B940" s="4" t="n"/>
      <c r="C940" s="4" t="n"/>
    </row>
    <row r="941" ht="15.75" customHeight="1" s="40">
      <c r="A941" s="4" t="n"/>
      <c r="B941" s="4" t="n"/>
      <c r="C941" s="4" t="n"/>
    </row>
    <row r="942" ht="15.75" customHeight="1" s="40">
      <c r="A942" s="4" t="n"/>
      <c r="B942" s="4" t="n"/>
      <c r="C942" s="4" t="n"/>
    </row>
    <row r="943" ht="15.75" customHeight="1" s="40">
      <c r="A943" s="4" t="n"/>
      <c r="B943" s="4" t="n"/>
      <c r="C943" s="4" t="n"/>
    </row>
    <row r="944" ht="15.75" customHeight="1" s="40">
      <c r="A944" s="4" t="n"/>
      <c r="B944" s="4" t="n"/>
      <c r="C944" s="4" t="n"/>
    </row>
    <row r="945" ht="15.75" customHeight="1" s="40">
      <c r="A945" s="4" t="n"/>
      <c r="B945" s="4" t="n"/>
      <c r="C945" s="4" t="n"/>
    </row>
    <row r="946" ht="15.75" customHeight="1" s="40">
      <c r="A946" s="4" t="n"/>
      <c r="B946" s="4" t="n"/>
      <c r="C946" s="4" t="n"/>
    </row>
    <row r="947" ht="15.75" customHeight="1" s="40">
      <c r="A947" s="4" t="n"/>
      <c r="B947" s="4" t="n"/>
      <c r="C947" s="4" t="n"/>
    </row>
    <row r="948" ht="15.75" customHeight="1" s="40">
      <c r="A948" s="4" t="n"/>
      <c r="B948" s="4" t="n"/>
      <c r="C948" s="4" t="n"/>
    </row>
    <row r="949" ht="15.75" customHeight="1" s="40">
      <c r="A949" s="4" t="n"/>
      <c r="B949" s="4" t="n"/>
      <c r="C949" s="4" t="n"/>
    </row>
    <row r="950" ht="15.75" customHeight="1" s="40">
      <c r="A950" s="4" t="n"/>
      <c r="B950" s="4" t="n"/>
      <c r="C950" s="4" t="n"/>
    </row>
    <row r="951" ht="15.75" customHeight="1" s="40">
      <c r="A951" s="4" t="n"/>
      <c r="B951" s="4" t="n"/>
      <c r="C951" s="4" t="n"/>
    </row>
    <row r="952" ht="15.75" customHeight="1" s="40">
      <c r="A952" s="4" t="n"/>
      <c r="B952" s="4" t="n"/>
      <c r="C952" s="4" t="n"/>
    </row>
    <row r="953" ht="15.75" customHeight="1" s="40">
      <c r="A953" s="4" t="n"/>
      <c r="B953" s="4" t="n"/>
      <c r="C953" s="4" t="n"/>
    </row>
    <row r="954" ht="15.75" customHeight="1" s="40">
      <c r="A954" s="4" t="n"/>
      <c r="B954" s="4" t="n"/>
      <c r="C954" s="4" t="n"/>
    </row>
    <row r="955" ht="15.75" customHeight="1" s="40">
      <c r="A955" s="4" t="n"/>
      <c r="B955" s="4" t="n"/>
      <c r="C955" s="4" t="n"/>
    </row>
    <row r="956" ht="15.75" customHeight="1" s="40">
      <c r="A956" s="4" t="n"/>
      <c r="B956" s="4" t="n"/>
      <c r="C956" s="4" t="n"/>
    </row>
    <row r="957" ht="15.75" customHeight="1" s="40">
      <c r="A957" s="4" t="n"/>
      <c r="B957" s="4" t="n"/>
      <c r="C957" s="4" t="n"/>
    </row>
    <row r="958" ht="15.75" customHeight="1" s="40">
      <c r="A958" s="4" t="n"/>
      <c r="B958" s="4" t="n"/>
      <c r="C958" s="4" t="n"/>
    </row>
    <row r="959" ht="15.75" customHeight="1" s="40">
      <c r="A959" s="4" t="n"/>
      <c r="B959" s="4" t="n"/>
      <c r="C959" s="4" t="n"/>
    </row>
    <row r="960" ht="15.75" customHeight="1" s="40">
      <c r="A960" s="4" t="n"/>
      <c r="B960" s="4" t="n"/>
      <c r="C960" s="4" t="n"/>
    </row>
    <row r="961" ht="15.75" customHeight="1" s="40">
      <c r="A961" s="4" t="n"/>
      <c r="B961" s="4" t="n"/>
      <c r="C961" s="4" t="n"/>
    </row>
    <row r="962" ht="15.75" customHeight="1" s="40">
      <c r="A962" s="4" t="n"/>
      <c r="B962" s="4" t="n"/>
      <c r="C962" s="4" t="n"/>
    </row>
    <row r="963" ht="15.75" customHeight="1" s="40">
      <c r="A963" s="4" t="n"/>
      <c r="B963" s="4" t="n"/>
      <c r="C963" s="4" t="n"/>
    </row>
    <row r="964" ht="15.75" customHeight="1" s="40">
      <c r="A964" s="4" t="n"/>
      <c r="B964" s="4" t="n"/>
      <c r="C964" s="4" t="n"/>
    </row>
    <row r="965" ht="15.75" customHeight="1" s="40">
      <c r="A965" s="4" t="n"/>
      <c r="B965" s="4" t="n"/>
      <c r="C965" s="4" t="n"/>
    </row>
    <row r="966" ht="15.75" customHeight="1" s="40">
      <c r="A966" s="4" t="n"/>
      <c r="B966" s="4" t="n"/>
      <c r="C966" s="4" t="n"/>
    </row>
    <row r="967" ht="15.75" customHeight="1" s="40">
      <c r="A967" s="4" t="n"/>
      <c r="B967" s="4" t="n"/>
      <c r="C967" s="4" t="n"/>
    </row>
    <row r="968" ht="15.75" customHeight="1" s="40">
      <c r="A968" s="4" t="n"/>
      <c r="B968" s="4" t="n"/>
      <c r="C968" s="4" t="n"/>
    </row>
    <row r="969" ht="15.75" customHeight="1" s="40">
      <c r="A969" s="4" t="n"/>
      <c r="B969" s="4" t="n"/>
      <c r="C969" s="4" t="n"/>
    </row>
    <row r="970" ht="15.75" customHeight="1" s="40">
      <c r="A970" s="4" t="n"/>
      <c r="B970" s="4" t="n"/>
      <c r="C970" s="4" t="n"/>
    </row>
    <row r="971" ht="15.75" customHeight="1" s="40">
      <c r="A971" s="4" t="n"/>
      <c r="B971" s="4" t="n"/>
      <c r="C971" s="4" t="n"/>
    </row>
    <row r="972" ht="15.75" customHeight="1" s="40">
      <c r="A972" s="4" t="n"/>
      <c r="B972" s="4" t="n"/>
      <c r="C972" s="4" t="n"/>
    </row>
    <row r="973" ht="15.75" customHeight="1" s="40">
      <c r="A973" s="4" t="n"/>
      <c r="B973" s="4" t="n"/>
      <c r="C973" s="4" t="n"/>
    </row>
    <row r="974" ht="15.75" customHeight="1" s="40">
      <c r="A974" s="4" t="n"/>
      <c r="B974" s="4" t="n"/>
      <c r="C974" s="4" t="n"/>
    </row>
    <row r="975" ht="15.75" customHeight="1" s="40">
      <c r="A975" s="4" t="n"/>
      <c r="B975" s="4" t="n"/>
      <c r="C975" s="4" t="n"/>
    </row>
    <row r="976" ht="15.75" customHeight="1" s="40">
      <c r="A976" s="4" t="n"/>
      <c r="B976" s="4" t="n"/>
      <c r="C976" s="4" t="n"/>
    </row>
    <row r="977" ht="15.75" customHeight="1" s="40">
      <c r="A977" s="4" t="n"/>
      <c r="B977" s="4" t="n"/>
      <c r="C977" s="4" t="n"/>
    </row>
    <row r="978" ht="15.75" customHeight="1" s="40">
      <c r="A978" s="4" t="n"/>
      <c r="B978" s="4" t="n"/>
      <c r="C978" s="4" t="n"/>
    </row>
    <row r="979" ht="15.75" customHeight="1" s="40">
      <c r="A979" s="4" t="n"/>
      <c r="B979" s="4" t="n"/>
      <c r="C979" s="4" t="n"/>
    </row>
    <row r="980" ht="15.75" customHeight="1" s="40">
      <c r="A980" s="4" t="n"/>
      <c r="B980" s="4" t="n"/>
      <c r="C980" s="4" t="n"/>
    </row>
    <row r="981" ht="15.75" customHeight="1" s="40">
      <c r="A981" s="4" t="n"/>
      <c r="B981" s="4" t="n"/>
      <c r="C981" s="4" t="n"/>
    </row>
    <row r="982" ht="15.75" customHeight="1" s="40">
      <c r="A982" s="4" t="n"/>
      <c r="B982" s="4" t="n"/>
      <c r="C982" s="4" t="n"/>
    </row>
    <row r="983" ht="15.75" customHeight="1" s="40">
      <c r="A983" s="4" t="n"/>
      <c r="B983" s="4" t="n"/>
      <c r="C983" s="4" t="n"/>
    </row>
    <row r="984" ht="15.75" customHeight="1" s="40">
      <c r="A984" s="4" t="n"/>
      <c r="B984" s="4" t="n"/>
      <c r="C984" s="4" t="n"/>
    </row>
    <row r="985" ht="15.75" customHeight="1" s="40">
      <c r="A985" s="4" t="n"/>
      <c r="B985" s="4" t="n"/>
      <c r="C985" s="4" t="n"/>
    </row>
    <row r="986" ht="15.75" customHeight="1" s="40">
      <c r="A986" s="4" t="n"/>
      <c r="B986" s="4" t="n"/>
      <c r="C986" s="4" t="n"/>
    </row>
    <row r="987" ht="15.75" customHeight="1" s="40">
      <c r="A987" s="4" t="n"/>
      <c r="B987" s="4" t="n"/>
      <c r="C987" s="4" t="n"/>
    </row>
    <row r="988" ht="15.75" customHeight="1" s="40">
      <c r="A988" s="4" t="n"/>
      <c r="B988" s="4" t="n"/>
      <c r="C988" s="4" t="n"/>
    </row>
    <row r="989" ht="15.75" customHeight="1" s="40">
      <c r="A989" s="4" t="n"/>
      <c r="B989" s="4" t="n"/>
      <c r="C989" s="4" t="n"/>
    </row>
    <row r="990" ht="15.75" customHeight="1" s="40">
      <c r="A990" s="4" t="n"/>
      <c r="B990" s="4" t="n"/>
      <c r="C990" s="4" t="n"/>
    </row>
    <row r="991" ht="15.75" customHeight="1" s="40">
      <c r="A991" s="4" t="n"/>
      <c r="B991" s="4" t="n"/>
      <c r="C991" s="4" t="n"/>
    </row>
    <row r="992" ht="15.75" customHeight="1" s="40">
      <c r="A992" s="4" t="n"/>
      <c r="B992" s="4" t="n"/>
      <c r="C992" s="4" t="n"/>
    </row>
    <row r="993" ht="15.75" customHeight="1" s="40">
      <c r="A993" s="4" t="n"/>
      <c r="B993" s="4" t="n"/>
      <c r="C993" s="4" t="n"/>
    </row>
    <row r="994" ht="15.75" customHeight="1" s="40">
      <c r="A994" s="4" t="n"/>
      <c r="B994" s="4" t="n"/>
      <c r="C994" s="4" t="n"/>
    </row>
    <row r="995" ht="15.75" customHeight="1" s="40">
      <c r="A995" s="4" t="n"/>
      <c r="B995" s="4" t="n"/>
      <c r="C995" s="4" t="n"/>
    </row>
    <row r="996" ht="15.75" customHeight="1" s="40">
      <c r="A996" s="4" t="n"/>
      <c r="B996" s="4" t="n"/>
      <c r="C996" s="4" t="n"/>
    </row>
    <row r="997" ht="15.75" customHeight="1" s="40">
      <c r="A997" s="4" t="n"/>
      <c r="B997" s="4" t="n"/>
      <c r="C997" s="4" t="n"/>
    </row>
    <row r="998" ht="15.75" customHeight="1" s="40">
      <c r="A998" s="4" t="n"/>
      <c r="B998" s="4" t="n"/>
      <c r="C998" s="4" t="n"/>
    </row>
    <row r="999" ht="15.75" customHeight="1" s="40">
      <c r="A999" s="4" t="n"/>
      <c r="B999" s="4" t="n"/>
      <c r="C999" s="4" t="n"/>
    </row>
    <row r="1000" ht="15.75" customHeight="1" s="40">
      <c r="A1000" s="4" t="n"/>
      <c r="B1000" s="4" t="n"/>
      <c r="C1000" s="4" t="n"/>
    </row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0" customWidth="1" style="40" min="1" max="1"/>
    <col width="38" customWidth="1" style="40" min="2" max="2"/>
    <col width="22" customWidth="1" style="40" min="3" max="3"/>
    <col width="34" customWidth="1" style="40" min="4" max="4"/>
    <col width="24" customWidth="1" style="40" min="5" max="5"/>
    <col width="62" customWidth="1" style="40" min="6" max="6"/>
    <col width="12" customWidth="1" style="40" min="7" max="7"/>
    <col width="8.710000000000001" customWidth="1" style="40" min="8" max="26"/>
  </cols>
  <sheetData>
    <row r="1" ht="17.25" customHeight="1" s="40">
      <c r="A1" s="1" t="inlineStr">
        <is>
          <t>Layer 0 —— 银行配置登记表</t>
        </is>
      </c>
      <c r="B1" s="4" t="n"/>
      <c r="C1" s="4" t="n"/>
      <c r="D1" s="4" t="n"/>
      <c r="E1" s="4" t="n"/>
      <c r="F1" s="4" t="n"/>
      <c r="G1" s="4" t="n"/>
    </row>
    <row r="2" ht="15" customHeight="1" s="40">
      <c r="A2" s="9" t="inlineStr">
        <is>
          <t>引擎姿态为 STRICT（严格）。规则 C3：任何参数都不得断言会计框架结论，只能选择适用哪一条规则（见 I18、I19）。E 列（黄色）由银行填写。</t>
        </is>
      </c>
      <c r="B2" s="4" t="n"/>
      <c r="C2" s="4" t="n"/>
      <c r="D2" s="4" t="n"/>
      <c r="E2" s="4" t="n"/>
      <c r="F2" s="4" t="n"/>
      <c r="G2" s="4" t="n"/>
    </row>
    <row r="3">
      <c r="A3" s="4" t="n"/>
      <c r="B3" s="4" t="n"/>
      <c r="C3" s="4" t="n"/>
      <c r="D3" s="4" t="n"/>
      <c r="E3" s="4" t="n"/>
      <c r="F3" s="4" t="n"/>
      <c r="G3" s="4" t="n"/>
    </row>
    <row r="4" ht="30" customHeight="1" s="40">
      <c r="A4" s="10" t="inlineStr">
        <is>
          <t>分组</t>
        </is>
      </c>
      <c r="B4" s="10" t="inlineStr">
        <is>
          <t>参数</t>
        </is>
      </c>
      <c r="C4" s="10" t="inlineStr">
        <is>
          <t>类型</t>
        </is>
      </c>
      <c r="D4" s="10" t="inlineStr">
        <is>
          <t>建议值 / 默认值</t>
        </is>
      </c>
      <c r="E4" s="10" t="inlineStr">
        <is>
          <t>法人机构取值（填写）</t>
        </is>
      </c>
      <c r="F4" s="10" t="inlineStr">
        <is>
          <t>说明</t>
        </is>
      </c>
      <c r="G4" s="12" t="inlineStr">
        <is>
          <t>v2 / 规范出处</t>
        </is>
      </c>
    </row>
    <row r="5" ht="15" customHeight="1" s="40">
      <c r="A5" s="14" t="inlineStr">
        <is>
          <t>GL mapping</t>
        </is>
      </c>
      <c r="B5" s="14" t="inlineStr">
        <is>
          <t>balance_type -&gt; gl_account</t>
        </is>
      </c>
      <c r="C5" s="14" t="inlineStr">
        <is>
          <t>mapping table</t>
        </is>
      </c>
      <c r="D5" s="15" t="inlineStr">
        <is>
          <t>see L3_GL_Mapping sheet</t>
        </is>
      </c>
      <c r="E5" s="16" t="n"/>
      <c r="F5" s="15" t="inlineStr">
        <is>
          <t>Resolution key: entity, balance_type, currency, product.</t>
        </is>
      </c>
      <c r="G5" s="14" t="inlineStr">
        <is>
          <t>§2.2</t>
        </is>
      </c>
    </row>
    <row r="6" ht="23.25" customHeight="1" s="40">
      <c r="A6" s="14" t="inlineStr">
        <is>
          <t>GL mapping</t>
        </is>
      </c>
      <c r="B6" s="14" t="inlineStr">
        <is>
          <t>memo_pair_direction</t>
        </is>
      </c>
      <c r="C6" s="14" t="inlineStr">
        <is>
          <t>enum</t>
        </is>
      </c>
      <c r="D6" s="15" t="inlineStr">
        <is>
          <t>DR_CONTRA</t>
        </is>
      </c>
      <c r="E6" s="16" t="n"/>
      <c r="F6" s="15" t="inlineStr">
        <is>
          <t>Entity-level. This is WHY posting_side is derived in L2 rather than stored literally.</t>
        </is>
      </c>
      <c r="G6" s="14" t="inlineStr">
        <is>
          <t>§2.1</t>
        </is>
      </c>
    </row>
    <row r="7" ht="23.25" customHeight="1" s="40">
      <c r="A7" s="19" t="inlineStr">
        <is>
          <t>Accounting policy</t>
        </is>
      </c>
      <c r="B7" s="19" t="inlineStr">
        <is>
          <t>reporting_framework</t>
        </is>
      </c>
      <c r="C7" s="19" t="inlineStr">
        <is>
          <t>enum</t>
        </is>
      </c>
      <c r="D7" s="21" t="inlineStr">
        <is>
          <t>IFRS</t>
        </is>
      </c>
      <c r="E7" s="16" t="n"/>
      <c r="F7" s="21" t="inlineStr">
        <is>
          <t>IFRS | LOCAL_GAAP | US_GAAP. Presentation only — never the event topology (E9/I18).</t>
        </is>
      </c>
      <c r="G7" s="19" t="inlineStr">
        <is>
          <t>spec §2.3</t>
        </is>
      </c>
    </row>
    <row r="8" ht="34.5" customHeight="1" s="40">
      <c r="A8" s="19" t="inlineStr">
        <is>
          <t>Accounting policy</t>
        </is>
      </c>
      <c r="B8" s="19" t="inlineStr">
        <is>
          <t>presentation_treatment</t>
        </is>
      </c>
      <c r="C8" s="19" t="inlineStr">
        <is>
          <t>enum</t>
        </is>
      </c>
      <c r="D8" s="21" t="inlineStr">
        <is>
          <t>ON_BS_GROSS</t>
        </is>
      </c>
      <c r="E8" s="16" t="n"/>
      <c r="F8" s="21" t="inlineStr">
        <is>
          <t>ON_BS_GROSS | NET_IF_ELIGIBLE | DISCLOSURE_ONLY. Selects the RULE, not the outcome: NET_IF_ELIGIBLE still nets only where the IAS 32.42 tests pass (I19).</t>
        </is>
      </c>
      <c r="G8" s="19" t="inlineStr">
        <is>
          <t>spec §2.3, §2.4</t>
        </is>
      </c>
    </row>
    <row r="9" ht="15" customHeight="1" s="40">
      <c r="A9" s="19" t="inlineStr">
        <is>
          <t>Accounting policy</t>
        </is>
      </c>
      <c r="B9" s="19" t="inlineStr">
        <is>
          <t>commission_recognition</t>
        </is>
      </c>
      <c r="C9" s="19" t="inlineStr">
        <is>
          <t>enum</t>
        </is>
      </c>
      <c r="D9" s="21" t="inlineStr">
        <is>
          <t>OVER_TIME</t>
        </is>
      </c>
      <c r="E9" s="16" t="n"/>
      <c r="F9" s="23" t="n"/>
      <c r="G9" s="19" t="inlineStr">
        <is>
          <t>§9.2</t>
        </is>
      </c>
    </row>
    <row r="10" ht="15" customHeight="1" s="40">
      <c r="A10" s="19" t="inlineStr">
        <is>
          <t>Accounting policy</t>
        </is>
      </c>
      <c r="B10" s="19" t="inlineStr">
        <is>
          <t>commission_materiality_threshold</t>
        </is>
      </c>
      <c r="C10" s="19" t="inlineStr">
        <is>
          <t>amount</t>
        </is>
      </c>
      <c r="D10" s="21" t="inlineStr">
        <is>
          <t>250</t>
        </is>
      </c>
      <c r="E10" s="16" t="n"/>
      <c r="F10" s="21" t="inlineStr">
        <is>
          <t>Documented policy threshold, not a system accident.</t>
        </is>
      </c>
      <c r="G10" s="19" t="inlineStr">
        <is>
          <t>§9.2</t>
        </is>
      </c>
    </row>
    <row r="11" ht="15" customHeight="1" s="40">
      <c r="A11" s="19" t="inlineStr">
        <is>
          <t>Accounting policy</t>
        </is>
      </c>
      <c r="B11" s="19" t="inlineStr">
        <is>
          <t>ifrs_scope default by product</t>
        </is>
      </c>
      <c r="C11" s="19" t="inlineStr">
        <is>
          <t>enum</t>
        </is>
      </c>
      <c r="D11" s="21" t="inlineStr">
        <is>
          <t>IFRS9_FGC for standbys/guarantees</t>
        </is>
      </c>
      <c r="E11" s="16" t="n"/>
      <c r="F11" s="21" t="inlineStr">
        <is>
          <t>Drives the higher_of measurement rule.</t>
        </is>
      </c>
      <c r="G11" s="19" t="inlineStr">
        <is>
          <t>§9.3</t>
        </is>
      </c>
    </row>
    <row r="12" ht="15" customHeight="1" s="40">
      <c r="A12" s="19" t="inlineStr">
        <is>
          <t>Accounting policy</t>
        </is>
      </c>
      <c r="B12" s="19" t="inlineStr">
        <is>
          <t>commitment_fee_drawdown_probable</t>
        </is>
      </c>
      <c r="C12" s="19" t="inlineStr">
        <is>
          <t>bool by product</t>
        </is>
      </c>
      <c r="D12" s="21" t="inlineStr">
        <is>
          <t>TRUE</t>
        </is>
      </c>
      <c r="E12" s="16" t="n"/>
      <c r="F12" s="21" t="inlineStr">
        <is>
          <t>Probable -&gt; defer into EIR; not probable -&gt; time-proportion fee income.</t>
        </is>
      </c>
      <c r="G12" s="19" t="inlineStr">
        <is>
          <t>§9.2</t>
        </is>
      </c>
    </row>
    <row r="13" ht="15" customHeight="1" s="40">
      <c r="A13" s="14" t="inlineStr">
        <is>
          <t>Amounts / rates</t>
        </is>
      </c>
      <c r="B13" s="14" t="inlineStr">
        <is>
          <t>margin_pct</t>
        </is>
      </c>
      <c r="C13" s="14" t="inlineStr">
        <is>
          <t>% by customer/product</t>
        </is>
      </c>
      <c r="D13" s="15" t="inlineStr">
        <is>
          <t>20%</t>
        </is>
      </c>
      <c r="E13" s="16" t="n"/>
      <c r="F13" s="20" t="n"/>
      <c r="G13" s="14" t="inlineStr">
        <is>
          <t>§3.1</t>
        </is>
      </c>
    </row>
    <row r="14" ht="23.25" customHeight="1" s="40">
      <c r="A14" s="14" t="inlineStr">
        <is>
          <t>Amounts / rates</t>
        </is>
      </c>
      <c r="B14" s="14" t="inlineStr">
        <is>
          <t>margin_application</t>
        </is>
      </c>
      <c r="C14" s="14" t="inlineStr">
        <is>
          <t>enum</t>
        </is>
      </c>
      <c r="D14" s="15" t="inlineStr">
        <is>
          <t>PRO_RATA</t>
        </is>
      </c>
      <c r="E14" s="16" t="n"/>
      <c r="F14" s="15" t="inlineStr">
        <is>
          <t>FULL_ON_FIRST leaves the residual credit unmargined and makes the expiry release fail. Test T1.</t>
        </is>
      </c>
      <c r="G14" s="14" t="inlineStr">
        <is>
          <t>§3.5</t>
        </is>
      </c>
    </row>
    <row r="15" ht="15" customHeight="1" s="40">
      <c r="A15" s="14" t="inlineStr">
        <is>
          <t>Amounts / rates</t>
        </is>
      </c>
      <c r="B15" s="14" t="inlineStr">
        <is>
          <t>sg_uplift_pct</t>
        </is>
      </c>
      <c r="C15" s="14" t="inlineStr">
        <is>
          <t>%</t>
        </is>
      </c>
      <c r="D15" s="15" t="inlineStr">
        <is>
          <t>110%</t>
        </is>
      </c>
      <c r="E15" s="16" t="n"/>
      <c r="F15" s="20" t="n"/>
      <c r="G15" s="14" t="inlineStr">
        <is>
          <t>§4.2</t>
        </is>
      </c>
    </row>
    <row r="16" ht="23.25" customHeight="1" s="40">
      <c r="A16" s="14" t="inlineStr">
        <is>
          <t>Amounts / rates</t>
        </is>
      </c>
      <c r="B16" s="14" t="inlineStr">
        <is>
          <t>sg_unlimited_policy_notional_pct</t>
        </is>
      </c>
      <c r="C16" s="14" t="inlineStr">
        <is>
          <t>%</t>
        </is>
      </c>
      <c r="D16" s="15" t="inlineStr">
        <is>
          <t>120%</t>
        </is>
      </c>
      <c r="E16" s="16" t="n"/>
      <c r="F16" s="15" t="inlineStr">
        <is>
          <t>Set liability_cap = UNLIMITED as a risk attribute where the carrier form is unlimited.</t>
        </is>
      </c>
      <c r="G16" s="14" t="inlineStr">
        <is>
          <t>§4.2</t>
        </is>
      </c>
    </row>
    <row r="17" ht="23.25" customHeight="1" s="40">
      <c r="A17" s="19" t="inlineStr">
        <is>
          <t>Timing</t>
        </is>
      </c>
      <c r="B17" s="19" t="inlineStr">
        <is>
          <t>mail_float_grace_days</t>
        </is>
      </c>
      <c r="C17" s="19" t="inlineStr">
        <is>
          <t>days by place of expiry</t>
        </is>
      </c>
      <c r="D17" s="21" t="inlineStr">
        <is>
          <t>15</t>
        </is>
      </c>
      <c r="E17" s="16" t="n"/>
      <c r="F17" s="21" t="inlineStr">
        <is>
          <t>Expiry trigger = expiry_date + this. NEVER + 21 days (Art. 14(c) runs from shipment).</t>
        </is>
      </c>
      <c r="G17" s="19" t="inlineStr">
        <is>
          <t>§3.9</t>
        </is>
      </c>
    </row>
    <row r="18" ht="15" customHeight="1" s="40">
      <c r="A18" s="19" t="inlineStr">
        <is>
          <t>Timing</t>
        </is>
      </c>
      <c r="B18" s="19" t="inlineStr">
        <is>
          <t>examination_days_ucp</t>
        </is>
      </c>
      <c r="C18" s="19" t="inlineStr">
        <is>
          <t>banking days</t>
        </is>
      </c>
      <c r="D18" s="21" t="inlineStr">
        <is>
          <t>5</t>
        </is>
      </c>
      <c r="E18" s="16" t="n"/>
      <c r="F18" s="21" t="inlineStr">
        <is>
          <t>UCP 600 Art. 16(d).</t>
        </is>
      </c>
      <c r="G18" s="19" t="inlineStr">
        <is>
          <t>§3.4</t>
        </is>
      </c>
    </row>
    <row r="19" ht="15" customHeight="1" s="40">
      <c r="A19" s="19" t="inlineStr">
        <is>
          <t>Timing</t>
        </is>
      </c>
      <c r="B19" s="19" t="inlineStr">
        <is>
          <t>examination_days_urdg</t>
        </is>
      </c>
      <c r="C19" s="19" t="inlineStr">
        <is>
          <t>business days</t>
        </is>
      </c>
      <c r="D19" s="21" t="inlineStr">
        <is>
          <t>5</t>
        </is>
      </c>
      <c r="E19" s="16" t="n"/>
      <c r="F19" s="21" t="inlineStr">
        <is>
          <t>URDG 758 Art. 20. Different calendar basis from UCP.</t>
        </is>
      </c>
      <c r="G19" s="19" t="inlineStr">
        <is>
          <t>§11</t>
        </is>
      </c>
    </row>
    <row r="20" ht="15" customHeight="1" s="40">
      <c r="A20" s="19" t="inlineStr">
        <is>
          <t>Timing</t>
        </is>
      </c>
      <c r="B20" s="19" t="inlineStr">
        <is>
          <t>examination_days_isp</t>
        </is>
      </c>
      <c r="C20" s="19" t="inlineStr">
        <is>
          <t>business days</t>
        </is>
      </c>
      <c r="D20" s="21" t="inlineStr">
        <is>
          <t>3</t>
        </is>
      </c>
      <c r="E20" s="16" t="n"/>
      <c r="F20" s="21" t="inlineStr">
        <is>
          <t>ISP98 Rule 5.01; beyond 7 unreasonable.</t>
        </is>
      </c>
      <c r="G20" s="19" t="inlineStr">
        <is>
          <t>§11</t>
        </is>
      </c>
    </row>
    <row r="21" ht="15" customHeight="1" s="40">
      <c r="A21" s="19" t="inlineStr">
        <is>
          <t>Timing</t>
        </is>
      </c>
      <c r="B21" s="19" t="inlineStr">
        <is>
          <t>sg_redeemable_ageing_threshold_days</t>
        </is>
      </c>
      <c r="C21" s="19" t="inlineStr">
        <is>
          <t>days</t>
        </is>
      </c>
      <c r="D21" s="21" t="inlineStr">
        <is>
          <t>30</t>
        </is>
      </c>
      <c r="E21" s="16" t="n"/>
      <c r="F21" s="21" t="inlineStr">
        <is>
          <t>Drives the highest-value SG control report.</t>
        </is>
      </c>
      <c r="G21" s="19" t="inlineStr">
        <is>
          <t>§4.4</t>
        </is>
      </c>
    </row>
    <row r="22" ht="15" customHeight="1" s="40">
      <c r="A22" s="19" t="inlineStr">
        <is>
          <t>Timing</t>
        </is>
      </c>
      <c r="B22" s="19" t="inlineStr">
        <is>
          <t>awb_carrier_claim_period_days</t>
        </is>
      </c>
      <c r="C22" s="19" t="inlineStr">
        <is>
          <t>days</t>
        </is>
      </c>
      <c r="D22" s="21" t="inlineStr">
        <is>
          <t>180</t>
        </is>
      </c>
      <c r="E22" s="16" t="n"/>
      <c r="F22" s="21" t="inlineStr">
        <is>
          <t>Air release has no original to return; own discharge trigger.</t>
        </is>
      </c>
      <c r="G22" s="19" t="inlineStr">
        <is>
          <t>§11</t>
        </is>
      </c>
    </row>
    <row r="23" ht="15" customHeight="1" s="40">
      <c r="A23" s="14" t="inlineStr">
        <is>
          <t>Risk</t>
        </is>
      </c>
      <c r="B23" s="14" t="inlineStr">
        <is>
          <t>ecl_ead_factor</t>
        </is>
      </c>
      <c r="C23" s="14" t="inlineStr">
        <is>
          <t>% by product/rating</t>
        </is>
      </c>
      <c r="D23" s="15" t="inlineStr">
        <is>
          <t>100% for issued DCs</t>
        </is>
      </c>
      <c r="E23" s="16" t="n"/>
      <c r="F23" s="15" t="inlineStr">
        <is>
          <t>IFRS 9 expected drawdown. NEVER the Basel CCF (I9).</t>
        </is>
      </c>
      <c r="G23" s="14" t="inlineStr">
        <is>
          <t>§9.3</t>
        </is>
      </c>
    </row>
    <row r="24" ht="15" customHeight="1" s="40">
      <c r="A24" s="14" t="inlineStr">
        <is>
          <t>Risk</t>
        </is>
      </c>
      <c r="B24" s="14" t="inlineStr">
        <is>
          <t>pd_lgd_stage_model</t>
        </is>
      </c>
      <c r="C24" s="14" t="inlineStr">
        <is>
          <t>model reference</t>
        </is>
      </c>
      <c r="D24" s="20" t="n"/>
      <c r="E24" s="16" t="n"/>
      <c r="F24" s="20" t="n"/>
      <c r="G24" s="14" t="inlineStr">
        <is>
          <t>§9.3</t>
        </is>
      </c>
    </row>
    <row r="25" ht="15" customHeight="1" s="40">
      <c r="A25" s="14" t="inlineStr">
        <is>
          <t>Risk</t>
        </is>
      </c>
      <c r="B25" s="14" t="inlineStr">
        <is>
          <t>lgd_uplift_silent_unnominated</t>
        </is>
      </c>
      <c r="C25" s="14" t="inlineStr">
        <is>
          <t>percentage points</t>
        </is>
      </c>
      <c r="D25" s="15" t="inlineStr">
        <is>
          <t>+15pp</t>
        </is>
      </c>
      <c r="E25" s="16" t="n"/>
      <c r="F25" s="15" t="inlineStr">
        <is>
          <t>Keys on is_nominated_bank = FALSE, not on confirmation_type = SILENT.</t>
        </is>
      </c>
      <c r="G25" s="14" t="inlineStr">
        <is>
          <t>§6</t>
        </is>
      </c>
    </row>
    <row r="26" ht="15" customHeight="1" s="40">
      <c r="A26" s="14" t="inlineStr">
        <is>
          <t>Risk</t>
        </is>
      </c>
      <c r="B26" s="14" t="inlineStr">
        <is>
          <t>limit_type by obligor_type x product</t>
        </is>
      </c>
      <c r="C26" s="14" t="inlineStr">
        <is>
          <t>mapping</t>
        </is>
      </c>
      <c r="D26" s="15" t="inlineStr">
        <is>
          <t>see L4_Risk_Obligor</t>
        </is>
      </c>
      <c r="E26" s="16" t="n"/>
      <c r="F26" s="20" t="n"/>
      <c r="G26" s="14" t="inlineStr">
        <is>
          <t>§10.1</t>
        </is>
      </c>
    </row>
    <row r="27" ht="15" customHeight="1" s="40">
      <c r="A27" s="19" t="inlineStr">
        <is>
          <t>Regulatory</t>
        </is>
      </c>
      <c r="B27" s="19" t="inlineStr">
        <is>
          <t>ccf_class -&gt; ccf_pct</t>
        </is>
      </c>
      <c r="C27" s="19" t="inlineStr">
        <is>
          <t>mapping</t>
        </is>
      </c>
      <c r="D27" s="21" t="inlineStr">
        <is>
          <t>see L5_Regulatory_CCF</t>
        </is>
      </c>
      <c r="E27" s="16" t="n"/>
      <c r="F27" s="23" t="n"/>
      <c r="G27" s="19" t="inlineStr">
        <is>
          <t>§10.3</t>
        </is>
      </c>
    </row>
    <row r="28" ht="15" customHeight="1" s="40">
      <c r="A28" s="19" t="inlineStr">
        <is>
          <t>Regulatory</t>
        </is>
      </c>
      <c r="B28" s="19" t="inlineStr">
        <is>
          <t>ccf_source per class</t>
        </is>
      </c>
      <c r="C28" s="19" t="inlineStr">
        <is>
          <t>enum</t>
        </is>
      </c>
      <c r="D28" s="21" t="inlineStr">
        <is>
          <t>REGULATORY | INTERNAL_POLICY</t>
        </is>
      </c>
      <c r="E28" s="16" t="n"/>
      <c r="F28" s="21" t="inlineStr">
        <is>
          <t>Regulatory returns read only REGULATORY (I10).</t>
        </is>
      </c>
      <c r="G28" s="19" t="inlineStr">
        <is>
          <t>§10.3</t>
        </is>
      </c>
    </row>
    <row r="29" ht="15" customHeight="1" s="40">
      <c r="A29" s="19" t="inlineStr">
        <is>
          <t>Regulatory</t>
        </is>
      </c>
      <c r="B29" s="19" t="inlineStr">
        <is>
          <t>sg_reweights_linked_lc</t>
        </is>
      </c>
      <c r="C29" s="19" t="inlineStr">
        <is>
          <t>bool</t>
        </is>
      </c>
      <c r="D29" s="21" t="inlineStr">
        <is>
          <t>TRUE</t>
        </is>
      </c>
      <c r="E29" s="16" t="n"/>
      <c r="F29" s="21" t="inlineStr">
        <is>
          <t>Internal policy position. CRE20 does not address it.</t>
        </is>
      </c>
      <c r="G29" s="19" t="inlineStr">
        <is>
          <t>§10.2</t>
        </is>
      </c>
    </row>
    <row r="30" ht="15" customHeight="1" s="40">
      <c r="A30" s="19" t="inlineStr">
        <is>
          <t>Regulatory</t>
        </is>
      </c>
      <c r="B30" s="19" t="inlineStr">
        <is>
          <t>regulatory_netting_permitted</t>
        </is>
      </c>
      <c r="C30" s="19" t="inlineStr">
        <is>
          <t>bool</t>
        </is>
      </c>
      <c r="D30" s="21" t="inlineStr">
        <is>
          <t>FALSE</t>
        </is>
      </c>
      <c r="E30" s="16" t="n"/>
      <c r="F30" s="21" t="inlineStr">
        <is>
          <t>Set TRUE only with written supervisory agreement.</t>
        </is>
      </c>
      <c r="G30" s="19" t="inlineStr">
        <is>
          <t>§10.2</t>
        </is>
      </c>
    </row>
    <row r="31" ht="15" customHeight="1" s="40">
      <c r="A31" s="19" t="inlineStr">
        <is>
          <t>Regulatory</t>
        </is>
      </c>
      <c r="B31" s="19" t="inlineStr">
        <is>
          <t>local_return_line_mapping</t>
        </is>
      </c>
      <c r="C31" s="19" t="inlineStr">
        <is>
          <t>mapping</t>
        </is>
      </c>
      <c r="D31" s="23" t="n"/>
      <c r="E31" s="16" t="n"/>
      <c r="F31" s="23" t="n"/>
      <c r="G31" s="19" t="inlineStr">
        <is>
          <t>§10.3</t>
        </is>
      </c>
    </row>
    <row r="32" ht="15" customHeight="1" s="40">
      <c r="A32" s="14" t="inlineStr">
        <is>
          <t>Controls</t>
        </is>
      </c>
      <c r="B32" s="14" t="inlineStr">
        <is>
          <t>maker_checker_threshold by event</t>
        </is>
      </c>
      <c r="C32" s="14" t="inlineStr">
        <is>
          <t>amount</t>
        </is>
      </c>
      <c r="D32" s="20" t="n"/>
      <c r="E32" s="16" t="n"/>
      <c r="F32" s="20" t="n"/>
      <c r="G32" s="14" t="inlineStr">
        <is>
          <t>§9.6</t>
        </is>
      </c>
    </row>
    <row r="33" ht="23.25" customHeight="1" s="40">
      <c r="A33" s="14" t="inlineStr">
        <is>
          <t>Controls</t>
        </is>
      </c>
      <c r="B33" s="14" t="inlineStr">
        <is>
          <t>consent_gating_enabled by event</t>
        </is>
      </c>
      <c r="C33" s="14" t="inlineStr">
        <is>
          <t>bool</t>
        </is>
      </c>
      <c r="D33" s="15" t="inlineStr">
        <is>
          <t>TRUE for LC_AMD_DEC, SG_AMD_DEC</t>
        </is>
      </c>
      <c r="E33" s="16" t="n"/>
      <c r="F33" s="15" t="inlineStr">
        <is>
          <t>Beneficiary consent for LC; CARRIER consent for SG.</t>
        </is>
      </c>
      <c r="G33" s="14" t="inlineStr">
        <is>
          <t>§3.2, §4.3</t>
        </is>
      </c>
    </row>
    <row r="34" ht="23.25" customHeight="1" s="40">
      <c r="A34" s="19" t="inlineStr">
        <is>
          <t>Accounting policy</t>
        </is>
      </c>
      <c r="B34" s="19" t="inlineStr">
        <is>
          <t>netting_setoff_right_enforceable</t>
        </is>
      </c>
      <c r="C34" s="19" t="inlineStr">
        <is>
          <t>bool per counterparty/jurisdiction</t>
        </is>
      </c>
      <c r="D34" s="21" t="inlineStr">
        <is>
          <t>FALSE</t>
        </is>
      </c>
      <c r="E34" s="16" t="n"/>
      <c r="F34" s="21" t="inlineStr">
        <is>
          <t>IAS 32.42(a). Must survive DEFAULT, INSOLVENCY and BANKRUPTCY of all parties. Legal opinion reference required — not an operator field.</t>
        </is>
      </c>
      <c r="G34" s="19" t="inlineStr">
        <is>
          <t>spec §2.4.1</t>
        </is>
      </c>
    </row>
    <row r="35" ht="15" customHeight="1" s="40">
      <c r="A35" s="19" t="inlineStr">
        <is>
          <t>Accounting policy</t>
        </is>
      </c>
      <c r="B35" s="19" t="inlineStr">
        <is>
          <t>netting_settlement_intent</t>
        </is>
      </c>
      <c r="C35" s="19" t="inlineStr">
        <is>
          <t>enum</t>
        </is>
      </c>
      <c r="D35" s="21" t="inlineStr">
        <is>
          <t>NEITHER</t>
        </is>
      </c>
      <c r="E35" s="16" t="n"/>
      <c r="F35" s="21" t="inlineStr">
        <is>
          <t>NET | SIMULTANEOUS | NEITHER. IAS 32.42(b).</t>
        </is>
      </c>
      <c r="G35" s="19" t="inlineStr">
        <is>
          <t>spec §2.4.1</t>
        </is>
      </c>
    </row>
    <row r="36" ht="23.25" customHeight="1" s="40">
      <c r="A36" s="19" t="inlineStr">
        <is>
          <t>Accounting policy</t>
        </is>
      </c>
      <c r="B36" s="19" t="inlineStr">
        <is>
          <t>netting_policy_approved_by / _at</t>
        </is>
      </c>
      <c r="C36" s="19" t="inlineStr">
        <is>
          <t>text / date</t>
        </is>
      </c>
      <c r="D36" s="23" t="n"/>
      <c r="E36" s="16" t="n"/>
      <c r="F36" s="21" t="inlineStr">
        <is>
          <t>Evidenced accounting policy sign-off. Re-assessed EACH reporting date, not a permanent attribute.</t>
        </is>
      </c>
      <c r="G36" s="19" t="inlineStr">
        <is>
          <t>spec §2.4.1</t>
        </is>
      </c>
    </row>
    <row r="37" ht="15" customHeight="1" s="40">
      <c r="A37" s="14" t="inlineStr">
        <is>
          <t>Amounts / rates</t>
        </is>
      </c>
      <c r="B37" s="14" t="inlineStr">
        <is>
          <t>currency_precision</t>
        </is>
      </c>
      <c r="C37" s="14" t="inlineStr">
        <is>
          <t>int by currency</t>
        </is>
      </c>
      <c r="D37" s="15" t="inlineStr">
        <is>
          <t>JPY 0 / USD 2 / KWD 3</t>
        </is>
      </c>
      <c r="E37" s="16" t="n"/>
      <c r="F37" s="15" t="inlineStr">
        <is>
          <t>I20. Applied BEFORE I1A is evaluated. Ledger core, not FX layer.</t>
        </is>
      </c>
      <c r="G37" s="14" t="inlineStr">
        <is>
          <t>spec §11</t>
        </is>
      </c>
    </row>
    <row r="38" ht="15" customHeight="1" s="40">
      <c r="A38" s="14" t="inlineStr">
        <is>
          <t>Amounts / rates</t>
        </is>
      </c>
      <c r="B38" s="14" t="inlineStr">
        <is>
          <t>rounding_residual_account</t>
        </is>
      </c>
      <c r="C38" s="14" t="inlineStr">
        <is>
          <t>balance_type by entity</t>
        </is>
      </c>
      <c r="D38" s="15" t="inlineStr">
        <is>
          <t>ROUNDING_RESIDUAL</t>
        </is>
      </c>
      <c r="E38" s="16" t="n"/>
      <c r="F38" s="15" t="inlineStr">
        <is>
          <t>I21. The residual must have a named home in the SAME journal.</t>
        </is>
      </c>
      <c r="G38" s="14" t="inlineStr">
        <is>
          <t>spec §11</t>
        </is>
      </c>
    </row>
    <row r="39" ht="23.25" customHeight="1" s="40">
      <c r="A39" s="19" t="inlineStr">
        <is>
          <t>Controls</t>
        </is>
      </c>
      <c r="B39" s="19" t="inlineStr">
        <is>
          <t>idempotency_hot_lookup_days</t>
        </is>
      </c>
      <c r="C39" s="19" t="inlineStr">
        <is>
          <t>days</t>
        </is>
      </c>
      <c r="D39" s="21" t="inlineStr">
        <is>
          <t>90</t>
        </is>
      </c>
      <c r="E39" s="16" t="n"/>
      <c r="F39" s="21" t="inlineStr">
        <is>
          <t>FAST-PATH CACHE HORIZON ONLY. Does NOT expire I15 uniqueness. A miss falls through to the permanent registry, never to 'not seen before'.</t>
        </is>
      </c>
      <c r="G39" s="19" t="inlineStr">
        <is>
          <t>spec §5.4</t>
        </is>
      </c>
    </row>
    <row r="40" ht="34.5" customHeight="1" s="40">
      <c r="A40" s="19" t="inlineStr">
        <is>
          <t>Controls</t>
        </is>
      </c>
      <c r="B40" s="19" t="inlineStr">
        <is>
          <t>event_identity_retention</t>
        </is>
      </c>
      <c r="C40" s="19" t="inlineStr">
        <is>
          <t>policy</t>
        </is>
      </c>
      <c r="D40" s="21" t="inlineStr">
        <is>
          <t>TRANSACTION_LIFE + REGULATORY</t>
        </is>
      </c>
      <c r="E40" s="16" t="n"/>
      <c r="F40" s="21" t="inlineStr">
        <is>
          <t>Permanent uniqueness registry for I15. Must never be shorter than the longest enabled undertaking tenor — 90 days is shorter than a 180-day buyer's usance. Gate G14. Test T38.</t>
        </is>
      </c>
      <c r="G40" s="19" t="inlineStr">
        <is>
          <t>spec §5.4</t>
        </is>
      </c>
    </row>
    <row r="41" ht="15" customHeight="1" s="40">
      <c r="A41" s="19" t="inlineStr">
        <is>
          <t>Controls</t>
        </is>
      </c>
      <c r="B41" s="19" t="inlineStr">
        <is>
          <t>backdating_open_period_policy</t>
        </is>
      </c>
      <c r="C41" s="19" t="inlineStr">
        <is>
          <t>enum</t>
        </is>
      </c>
      <c r="D41" s="21" t="inlineStr">
        <is>
          <t>EFFECTIVE_DATE</t>
        </is>
      </c>
      <c r="E41" s="16" t="n"/>
      <c r="F41" s="21" t="inlineStr">
        <is>
          <t>Governs the §5.4 backdating decision table. Prior-year always raises a PPA.</t>
        </is>
      </c>
      <c r="G41" s="19" t="inlineStr">
        <is>
          <t>spec §5.4</t>
        </is>
      </c>
    </row>
    <row r="42" ht="15.75" customHeight="1" s="40">
      <c r="A42" s="4" t="n"/>
      <c r="B42" s="4" t="n"/>
      <c r="C42" s="4" t="n"/>
      <c r="D42" s="4" t="n"/>
      <c r="E42" s="4" t="n"/>
      <c r="F42" s="4" t="n"/>
      <c r="G42" s="4" t="n"/>
    </row>
    <row r="43" ht="15.75" customHeight="1" s="40">
      <c r="A43" s="4" t="n"/>
      <c r="B43" s="4" t="n"/>
      <c r="C43" s="4" t="n"/>
      <c r="D43" s="4" t="n"/>
      <c r="E43" s="4" t="n"/>
      <c r="F43" s="4" t="n"/>
      <c r="G43" s="4" t="n"/>
    </row>
    <row r="44" ht="15.75" customHeight="1" s="40">
      <c r="A44" s="4" t="n"/>
      <c r="B44" s="4" t="n"/>
      <c r="C44" s="4" t="n"/>
      <c r="D44" s="4" t="n"/>
      <c r="E44" s="4" t="n"/>
      <c r="F44" s="4" t="n"/>
      <c r="G44" s="4" t="n"/>
    </row>
    <row r="45" ht="15.75" customHeight="1" s="40">
      <c r="A45" s="4" t="n"/>
      <c r="B45" s="4" t="n"/>
      <c r="C45" s="4" t="n"/>
      <c r="D45" s="4" t="n"/>
      <c r="E45" s="4" t="n"/>
      <c r="F45" s="4" t="n"/>
      <c r="G45" s="4" t="n"/>
    </row>
    <row r="46" ht="15.75" customHeight="1" s="40">
      <c r="A46" s="4" t="n"/>
      <c r="B46" s="4" t="n"/>
      <c r="C46" s="4" t="n"/>
      <c r="D46" s="4" t="n"/>
      <c r="E46" s="4" t="n"/>
      <c r="F46" s="4" t="n"/>
      <c r="G46" s="4" t="n"/>
    </row>
    <row r="47" ht="15.75" customHeight="1" s="40">
      <c r="A47" s="4" t="n"/>
      <c r="B47" s="4" t="n"/>
      <c r="C47" s="4" t="n"/>
      <c r="D47" s="4" t="n"/>
      <c r="E47" s="4" t="n"/>
      <c r="F47" s="4" t="n"/>
      <c r="G47" s="4" t="n"/>
    </row>
    <row r="48" ht="15.75" customHeight="1" s="40">
      <c r="A48" s="4" t="n"/>
      <c r="B48" s="4" t="n"/>
      <c r="C48" s="4" t="n"/>
      <c r="D48" s="4" t="n"/>
      <c r="E48" s="4" t="n"/>
      <c r="F48" s="4" t="n"/>
      <c r="G48" s="4" t="n"/>
    </row>
    <row r="49" ht="15.75" customHeight="1" s="40">
      <c r="A49" s="4" t="n"/>
      <c r="B49" s="4" t="n"/>
      <c r="C49" s="4" t="n"/>
      <c r="D49" s="4" t="n"/>
      <c r="E49" s="4" t="n"/>
      <c r="F49" s="4" t="n"/>
      <c r="G49" s="4" t="n"/>
    </row>
    <row r="50" ht="15.75" customHeight="1" s="40">
      <c r="A50" s="4" t="n"/>
      <c r="B50" s="4" t="n"/>
      <c r="C50" s="4" t="n"/>
      <c r="D50" s="4" t="n"/>
      <c r="E50" s="4" t="n"/>
      <c r="F50" s="4" t="n"/>
      <c r="G50" s="4" t="n"/>
    </row>
    <row r="51" ht="15.75" customHeight="1" s="40">
      <c r="A51" s="4" t="n"/>
      <c r="B51" s="4" t="n"/>
      <c r="C51" s="4" t="n"/>
      <c r="D51" s="4" t="n"/>
      <c r="E51" s="4" t="n"/>
      <c r="F51" s="4" t="n"/>
      <c r="G51" s="4" t="n"/>
    </row>
    <row r="52" ht="15.75" customHeight="1" s="40">
      <c r="A52" s="4" t="n"/>
      <c r="B52" s="4" t="n"/>
      <c r="C52" s="4" t="n"/>
      <c r="D52" s="4" t="n"/>
      <c r="E52" s="4" t="n"/>
      <c r="F52" s="4" t="n"/>
      <c r="G52" s="4" t="n"/>
    </row>
    <row r="53" ht="15.75" customHeight="1" s="40">
      <c r="A53" s="4" t="n"/>
      <c r="B53" s="4" t="n"/>
      <c r="C53" s="4" t="n"/>
      <c r="D53" s="4" t="n"/>
      <c r="E53" s="4" t="n"/>
      <c r="F53" s="4" t="n"/>
      <c r="G53" s="4" t="n"/>
    </row>
    <row r="54" ht="15.75" customHeight="1" s="40">
      <c r="A54" s="4" t="n"/>
      <c r="B54" s="4" t="n"/>
      <c r="C54" s="4" t="n"/>
      <c r="D54" s="4" t="n"/>
      <c r="E54" s="4" t="n"/>
      <c r="F54" s="4" t="n"/>
      <c r="G54" s="4" t="n"/>
    </row>
    <row r="55" ht="15.75" customHeight="1" s="40">
      <c r="A55" s="4" t="n"/>
      <c r="B55" s="4" t="n"/>
      <c r="C55" s="4" t="n"/>
      <c r="D55" s="4" t="n"/>
      <c r="E55" s="4" t="n"/>
      <c r="F55" s="4" t="n"/>
      <c r="G55" s="4" t="n"/>
    </row>
    <row r="56" ht="15.75" customHeight="1" s="40">
      <c r="A56" s="4" t="n"/>
      <c r="B56" s="4" t="n"/>
      <c r="C56" s="4" t="n"/>
      <c r="D56" s="4" t="n"/>
      <c r="E56" s="4" t="n"/>
      <c r="F56" s="4" t="n"/>
      <c r="G56" s="4" t="n"/>
    </row>
    <row r="57" ht="15.75" customHeight="1" s="40">
      <c r="A57" s="4" t="n"/>
      <c r="B57" s="4" t="n"/>
      <c r="C57" s="4" t="n"/>
      <c r="D57" s="4" t="n"/>
      <c r="E57" s="4" t="n"/>
      <c r="F57" s="4" t="n"/>
      <c r="G57" s="4" t="n"/>
    </row>
    <row r="58" ht="15.75" customHeight="1" s="40">
      <c r="A58" s="4" t="n"/>
      <c r="B58" s="4" t="n"/>
      <c r="C58" s="4" t="n"/>
      <c r="D58" s="4" t="n"/>
      <c r="E58" s="4" t="n"/>
      <c r="F58" s="4" t="n"/>
      <c r="G58" s="4" t="n"/>
    </row>
    <row r="59" ht="15.75" customHeight="1" s="40">
      <c r="A59" s="4" t="n"/>
      <c r="B59" s="4" t="n"/>
      <c r="C59" s="4" t="n"/>
      <c r="D59" s="4" t="n"/>
      <c r="E59" s="4" t="n"/>
      <c r="F59" s="4" t="n"/>
      <c r="G59" s="4" t="n"/>
    </row>
    <row r="60" ht="15.75" customHeight="1" s="40">
      <c r="A60" s="4" t="n"/>
      <c r="B60" s="4" t="n"/>
      <c r="C60" s="4" t="n"/>
      <c r="D60" s="4" t="n"/>
      <c r="E60" s="4" t="n"/>
      <c r="F60" s="4" t="n"/>
      <c r="G60" s="4" t="n"/>
    </row>
    <row r="61" ht="15.75" customHeight="1" s="40">
      <c r="A61" s="4" t="n"/>
      <c r="B61" s="4" t="n"/>
      <c r="C61" s="4" t="n"/>
      <c r="D61" s="4" t="n"/>
      <c r="E61" s="4" t="n"/>
      <c r="F61" s="4" t="n"/>
      <c r="G61" s="4" t="n"/>
    </row>
    <row r="62" ht="15.75" customHeight="1" s="40">
      <c r="A62" s="4" t="n"/>
      <c r="B62" s="4" t="n"/>
      <c r="C62" s="4" t="n"/>
      <c r="D62" s="4" t="n"/>
      <c r="E62" s="4" t="n"/>
      <c r="F62" s="4" t="n"/>
      <c r="G62" s="4" t="n"/>
    </row>
    <row r="63" ht="15.75" customHeight="1" s="40">
      <c r="A63" s="4" t="n"/>
      <c r="B63" s="4" t="n"/>
      <c r="C63" s="4" t="n"/>
      <c r="D63" s="4" t="n"/>
      <c r="E63" s="4" t="n"/>
      <c r="F63" s="4" t="n"/>
      <c r="G63" s="4" t="n"/>
    </row>
    <row r="64" ht="15.75" customHeight="1" s="40">
      <c r="A64" s="4" t="n"/>
      <c r="B64" s="4" t="n"/>
      <c r="C64" s="4" t="n"/>
      <c r="D64" s="4" t="n"/>
      <c r="E64" s="4" t="n"/>
      <c r="F64" s="4" t="n"/>
      <c r="G64" s="4" t="n"/>
    </row>
    <row r="65" ht="15.75" customHeight="1" s="40">
      <c r="A65" s="4" t="n"/>
      <c r="B65" s="4" t="n"/>
      <c r="C65" s="4" t="n"/>
      <c r="D65" s="4" t="n"/>
      <c r="E65" s="4" t="n"/>
      <c r="F65" s="4" t="n"/>
      <c r="G65" s="4" t="n"/>
    </row>
    <row r="66" ht="15.75" customHeight="1" s="40">
      <c r="A66" s="4" t="n"/>
      <c r="B66" s="4" t="n"/>
      <c r="C66" s="4" t="n"/>
      <c r="D66" s="4" t="n"/>
      <c r="E66" s="4" t="n"/>
      <c r="F66" s="4" t="n"/>
      <c r="G66" s="4" t="n"/>
    </row>
    <row r="67" ht="15.75" customHeight="1" s="40">
      <c r="A67" s="4" t="n"/>
      <c r="B67" s="4" t="n"/>
      <c r="C67" s="4" t="n"/>
      <c r="D67" s="4" t="n"/>
      <c r="E67" s="4" t="n"/>
      <c r="F67" s="4" t="n"/>
      <c r="G67" s="4" t="n"/>
    </row>
    <row r="68" ht="15.75" customHeight="1" s="40">
      <c r="A68" s="4" t="n"/>
      <c r="B68" s="4" t="n"/>
      <c r="C68" s="4" t="n"/>
      <c r="D68" s="4" t="n"/>
      <c r="E68" s="4" t="n"/>
      <c r="F68" s="4" t="n"/>
      <c r="G68" s="4" t="n"/>
    </row>
    <row r="69" ht="15.75" customHeight="1" s="40">
      <c r="A69" s="4" t="n"/>
      <c r="B69" s="4" t="n"/>
      <c r="C69" s="4" t="n"/>
      <c r="D69" s="4" t="n"/>
      <c r="E69" s="4" t="n"/>
      <c r="F69" s="4" t="n"/>
      <c r="G69" s="4" t="n"/>
    </row>
    <row r="70" ht="15.75" customHeight="1" s="40">
      <c r="A70" s="4" t="n"/>
      <c r="B70" s="4" t="n"/>
      <c r="C70" s="4" t="n"/>
      <c r="D70" s="4" t="n"/>
      <c r="E70" s="4" t="n"/>
      <c r="F70" s="4" t="n"/>
      <c r="G70" s="4" t="n"/>
    </row>
    <row r="71" ht="15.75" customHeight="1" s="40">
      <c r="A71" s="4" t="n"/>
      <c r="B71" s="4" t="n"/>
      <c r="C71" s="4" t="n"/>
      <c r="D71" s="4" t="n"/>
      <c r="E71" s="4" t="n"/>
      <c r="F71" s="4" t="n"/>
      <c r="G71" s="4" t="n"/>
    </row>
    <row r="72" ht="15.75" customHeight="1" s="40">
      <c r="A72" s="4" t="n"/>
      <c r="B72" s="4" t="n"/>
      <c r="C72" s="4" t="n"/>
      <c r="D72" s="4" t="n"/>
      <c r="E72" s="4" t="n"/>
      <c r="F72" s="4" t="n"/>
      <c r="G72" s="4" t="n"/>
    </row>
    <row r="73" ht="15.75" customHeight="1" s="40">
      <c r="A73" s="4" t="n"/>
      <c r="B73" s="4" t="n"/>
      <c r="C73" s="4" t="n"/>
      <c r="D73" s="4" t="n"/>
      <c r="E73" s="4" t="n"/>
      <c r="F73" s="4" t="n"/>
      <c r="G73" s="4" t="n"/>
    </row>
    <row r="74" ht="15.75" customHeight="1" s="40">
      <c r="A74" s="4" t="n"/>
      <c r="B74" s="4" t="n"/>
      <c r="C74" s="4" t="n"/>
      <c r="D74" s="4" t="n"/>
      <c r="E74" s="4" t="n"/>
      <c r="F74" s="4" t="n"/>
      <c r="G74" s="4" t="n"/>
    </row>
    <row r="75" ht="15.75" customHeight="1" s="40">
      <c r="A75" s="4" t="n"/>
      <c r="B75" s="4" t="n"/>
      <c r="C75" s="4" t="n"/>
      <c r="D75" s="4" t="n"/>
      <c r="E75" s="4" t="n"/>
      <c r="F75" s="4" t="n"/>
      <c r="G75" s="4" t="n"/>
    </row>
    <row r="76" ht="15.75" customHeight="1" s="40">
      <c r="A76" s="4" t="n"/>
      <c r="B76" s="4" t="n"/>
      <c r="C76" s="4" t="n"/>
      <c r="D76" s="4" t="n"/>
      <c r="E76" s="4" t="n"/>
      <c r="F76" s="4" t="n"/>
      <c r="G76" s="4" t="n"/>
    </row>
    <row r="77" ht="15.75" customHeight="1" s="40">
      <c r="A77" s="4" t="n"/>
      <c r="B77" s="4" t="n"/>
      <c r="C77" s="4" t="n"/>
      <c r="D77" s="4" t="n"/>
      <c r="E77" s="4" t="n"/>
      <c r="F77" s="4" t="n"/>
      <c r="G77" s="4" t="n"/>
    </row>
    <row r="78" ht="15.75" customHeight="1" s="40">
      <c r="A78" s="4" t="n"/>
      <c r="B78" s="4" t="n"/>
      <c r="C78" s="4" t="n"/>
      <c r="D78" s="4" t="n"/>
      <c r="E78" s="4" t="n"/>
      <c r="F78" s="4" t="n"/>
      <c r="G78" s="4" t="n"/>
    </row>
    <row r="79" ht="15.75" customHeight="1" s="40">
      <c r="A79" s="4" t="n"/>
      <c r="B79" s="4" t="n"/>
      <c r="C79" s="4" t="n"/>
      <c r="D79" s="4" t="n"/>
      <c r="E79" s="4" t="n"/>
      <c r="F79" s="4" t="n"/>
      <c r="G79" s="4" t="n"/>
    </row>
    <row r="80" ht="15.75" customHeight="1" s="40">
      <c r="A80" s="4" t="n"/>
      <c r="B80" s="4" t="n"/>
      <c r="C80" s="4" t="n"/>
      <c r="D80" s="4" t="n"/>
      <c r="E80" s="4" t="n"/>
      <c r="F80" s="4" t="n"/>
      <c r="G80" s="4" t="n"/>
    </row>
    <row r="81" ht="15.75" customHeight="1" s="40">
      <c r="A81" s="4" t="n"/>
      <c r="B81" s="4" t="n"/>
      <c r="C81" s="4" t="n"/>
      <c r="D81" s="4" t="n"/>
      <c r="E81" s="4" t="n"/>
      <c r="F81" s="4" t="n"/>
      <c r="G81" s="4" t="n"/>
    </row>
    <row r="82" ht="15.75" customHeight="1" s="40">
      <c r="A82" s="4" t="n"/>
      <c r="B82" s="4" t="n"/>
      <c r="C82" s="4" t="n"/>
      <c r="D82" s="4" t="n"/>
      <c r="E82" s="4" t="n"/>
      <c r="F82" s="4" t="n"/>
      <c r="G82" s="4" t="n"/>
    </row>
    <row r="83" ht="15.75" customHeight="1" s="40">
      <c r="A83" s="4" t="n"/>
      <c r="B83" s="4" t="n"/>
      <c r="C83" s="4" t="n"/>
      <c r="D83" s="4" t="n"/>
      <c r="E83" s="4" t="n"/>
      <c r="F83" s="4" t="n"/>
      <c r="G83" s="4" t="n"/>
    </row>
    <row r="84" ht="15.75" customHeight="1" s="40">
      <c r="A84" s="4" t="n"/>
      <c r="B84" s="4" t="n"/>
      <c r="C84" s="4" t="n"/>
      <c r="D84" s="4" t="n"/>
      <c r="E84" s="4" t="n"/>
      <c r="F84" s="4" t="n"/>
      <c r="G84" s="4" t="n"/>
    </row>
    <row r="85" ht="15.75" customHeight="1" s="40">
      <c r="A85" s="4" t="n"/>
      <c r="B85" s="4" t="n"/>
      <c r="C85" s="4" t="n"/>
      <c r="D85" s="4" t="n"/>
      <c r="E85" s="4" t="n"/>
      <c r="F85" s="4" t="n"/>
      <c r="G85" s="4" t="n"/>
    </row>
    <row r="86" ht="15.75" customHeight="1" s="40">
      <c r="A86" s="4" t="n"/>
      <c r="B86" s="4" t="n"/>
      <c r="C86" s="4" t="n"/>
      <c r="D86" s="4" t="n"/>
      <c r="E86" s="4" t="n"/>
      <c r="F86" s="4" t="n"/>
      <c r="G86" s="4" t="n"/>
    </row>
    <row r="87" ht="15.75" customHeight="1" s="40">
      <c r="A87" s="4" t="n"/>
      <c r="B87" s="4" t="n"/>
      <c r="C87" s="4" t="n"/>
      <c r="D87" s="4" t="n"/>
      <c r="E87" s="4" t="n"/>
      <c r="F87" s="4" t="n"/>
      <c r="G87" s="4" t="n"/>
    </row>
    <row r="88" ht="15.75" customHeight="1" s="40">
      <c r="A88" s="4" t="n"/>
      <c r="B88" s="4" t="n"/>
      <c r="C88" s="4" t="n"/>
      <c r="D88" s="4" t="n"/>
      <c r="E88" s="4" t="n"/>
      <c r="F88" s="4" t="n"/>
      <c r="G88" s="4" t="n"/>
    </row>
    <row r="89" ht="15.75" customHeight="1" s="40">
      <c r="A89" s="4" t="n"/>
      <c r="B89" s="4" t="n"/>
      <c r="C89" s="4" t="n"/>
      <c r="D89" s="4" t="n"/>
      <c r="E89" s="4" t="n"/>
      <c r="F89" s="4" t="n"/>
      <c r="G89" s="4" t="n"/>
    </row>
    <row r="90" ht="15.75" customHeight="1" s="40">
      <c r="A90" s="4" t="n"/>
      <c r="B90" s="4" t="n"/>
      <c r="C90" s="4" t="n"/>
      <c r="D90" s="4" t="n"/>
      <c r="E90" s="4" t="n"/>
      <c r="F90" s="4" t="n"/>
      <c r="G90" s="4" t="n"/>
    </row>
    <row r="91" ht="15.75" customHeight="1" s="40">
      <c r="A91" s="4" t="n"/>
      <c r="B91" s="4" t="n"/>
      <c r="C91" s="4" t="n"/>
      <c r="D91" s="4" t="n"/>
      <c r="E91" s="4" t="n"/>
      <c r="F91" s="4" t="n"/>
      <c r="G91" s="4" t="n"/>
    </row>
    <row r="92" ht="15.75" customHeight="1" s="40">
      <c r="A92" s="4" t="n"/>
      <c r="B92" s="4" t="n"/>
      <c r="C92" s="4" t="n"/>
      <c r="D92" s="4" t="n"/>
      <c r="E92" s="4" t="n"/>
      <c r="F92" s="4" t="n"/>
      <c r="G92" s="4" t="n"/>
    </row>
    <row r="93" ht="15.75" customHeight="1" s="40">
      <c r="A93" s="4" t="n"/>
      <c r="B93" s="4" t="n"/>
      <c r="C93" s="4" t="n"/>
      <c r="D93" s="4" t="n"/>
      <c r="E93" s="4" t="n"/>
      <c r="F93" s="4" t="n"/>
      <c r="G93" s="4" t="n"/>
    </row>
    <row r="94" ht="15.75" customHeight="1" s="40">
      <c r="A94" s="4" t="n"/>
      <c r="B94" s="4" t="n"/>
      <c r="C94" s="4" t="n"/>
      <c r="D94" s="4" t="n"/>
      <c r="E94" s="4" t="n"/>
      <c r="F94" s="4" t="n"/>
      <c r="G94" s="4" t="n"/>
    </row>
    <row r="95" ht="15.75" customHeight="1" s="40">
      <c r="A95" s="4" t="n"/>
      <c r="B95" s="4" t="n"/>
      <c r="C95" s="4" t="n"/>
      <c r="D95" s="4" t="n"/>
      <c r="E95" s="4" t="n"/>
      <c r="F95" s="4" t="n"/>
      <c r="G95" s="4" t="n"/>
    </row>
    <row r="96" ht="15.75" customHeight="1" s="40">
      <c r="A96" s="4" t="n"/>
      <c r="B96" s="4" t="n"/>
      <c r="C96" s="4" t="n"/>
      <c r="D96" s="4" t="n"/>
      <c r="E96" s="4" t="n"/>
      <c r="F96" s="4" t="n"/>
      <c r="G96" s="4" t="n"/>
    </row>
    <row r="97" ht="15.75" customHeight="1" s="40">
      <c r="A97" s="4" t="n"/>
      <c r="B97" s="4" t="n"/>
      <c r="C97" s="4" t="n"/>
      <c r="D97" s="4" t="n"/>
      <c r="E97" s="4" t="n"/>
      <c r="F97" s="4" t="n"/>
      <c r="G97" s="4" t="n"/>
    </row>
    <row r="98" ht="15.75" customHeight="1" s="40">
      <c r="A98" s="4" t="n"/>
      <c r="B98" s="4" t="n"/>
      <c r="C98" s="4" t="n"/>
      <c r="D98" s="4" t="n"/>
      <c r="E98" s="4" t="n"/>
      <c r="F98" s="4" t="n"/>
      <c r="G98" s="4" t="n"/>
    </row>
    <row r="99" ht="15.75" customHeight="1" s="40">
      <c r="A99" s="4" t="n"/>
      <c r="B99" s="4" t="n"/>
      <c r="C99" s="4" t="n"/>
      <c r="D99" s="4" t="n"/>
      <c r="E99" s="4" t="n"/>
      <c r="F99" s="4" t="n"/>
      <c r="G99" s="4" t="n"/>
    </row>
    <row r="100" ht="15.75" customHeight="1" s="40">
      <c r="A100" s="4" t="n"/>
      <c r="B100" s="4" t="n"/>
      <c r="C100" s="4" t="n"/>
      <c r="D100" s="4" t="n"/>
      <c r="E100" s="4" t="n"/>
      <c r="F100" s="4" t="n"/>
      <c r="G100" s="4" t="n"/>
    </row>
    <row r="101" ht="15.75" customHeight="1" s="40">
      <c r="A101" s="4" t="n"/>
      <c r="B101" s="4" t="n"/>
      <c r="C101" s="4" t="n"/>
      <c r="D101" s="4" t="n"/>
      <c r="E101" s="4" t="n"/>
      <c r="F101" s="4" t="n"/>
      <c r="G101" s="4" t="n"/>
    </row>
    <row r="102" ht="15.75" customHeight="1" s="40">
      <c r="A102" s="4" t="n"/>
      <c r="B102" s="4" t="n"/>
      <c r="C102" s="4" t="n"/>
      <c r="D102" s="4" t="n"/>
      <c r="E102" s="4" t="n"/>
      <c r="F102" s="4" t="n"/>
      <c r="G102" s="4" t="n"/>
    </row>
    <row r="103" ht="15.75" customHeight="1" s="40">
      <c r="A103" s="4" t="n"/>
      <c r="B103" s="4" t="n"/>
      <c r="C103" s="4" t="n"/>
      <c r="D103" s="4" t="n"/>
      <c r="E103" s="4" t="n"/>
      <c r="F103" s="4" t="n"/>
      <c r="G103" s="4" t="n"/>
    </row>
    <row r="104" ht="15.75" customHeight="1" s="40">
      <c r="A104" s="4" t="n"/>
      <c r="B104" s="4" t="n"/>
      <c r="C104" s="4" t="n"/>
      <c r="D104" s="4" t="n"/>
      <c r="E104" s="4" t="n"/>
      <c r="F104" s="4" t="n"/>
      <c r="G104" s="4" t="n"/>
    </row>
    <row r="105" ht="15.75" customHeight="1" s="40">
      <c r="A105" s="4" t="n"/>
      <c r="B105" s="4" t="n"/>
      <c r="C105" s="4" t="n"/>
      <c r="D105" s="4" t="n"/>
      <c r="E105" s="4" t="n"/>
      <c r="F105" s="4" t="n"/>
      <c r="G105" s="4" t="n"/>
    </row>
    <row r="106" ht="15.75" customHeight="1" s="40">
      <c r="A106" s="4" t="n"/>
      <c r="B106" s="4" t="n"/>
      <c r="C106" s="4" t="n"/>
      <c r="D106" s="4" t="n"/>
      <c r="E106" s="4" t="n"/>
      <c r="F106" s="4" t="n"/>
      <c r="G106" s="4" t="n"/>
    </row>
    <row r="107" ht="15.75" customHeight="1" s="40">
      <c r="A107" s="4" t="n"/>
      <c r="B107" s="4" t="n"/>
      <c r="C107" s="4" t="n"/>
      <c r="D107" s="4" t="n"/>
      <c r="E107" s="4" t="n"/>
      <c r="F107" s="4" t="n"/>
      <c r="G107" s="4" t="n"/>
    </row>
    <row r="108" ht="15.75" customHeight="1" s="40">
      <c r="A108" s="4" t="n"/>
      <c r="B108" s="4" t="n"/>
      <c r="C108" s="4" t="n"/>
      <c r="D108" s="4" t="n"/>
      <c r="E108" s="4" t="n"/>
      <c r="F108" s="4" t="n"/>
      <c r="G108" s="4" t="n"/>
    </row>
    <row r="109" ht="15.75" customHeight="1" s="40">
      <c r="A109" s="4" t="n"/>
      <c r="B109" s="4" t="n"/>
      <c r="C109" s="4" t="n"/>
      <c r="D109" s="4" t="n"/>
      <c r="E109" s="4" t="n"/>
      <c r="F109" s="4" t="n"/>
      <c r="G109" s="4" t="n"/>
    </row>
    <row r="110" ht="15.75" customHeight="1" s="40">
      <c r="A110" s="4" t="n"/>
      <c r="B110" s="4" t="n"/>
      <c r="C110" s="4" t="n"/>
      <c r="D110" s="4" t="n"/>
      <c r="E110" s="4" t="n"/>
      <c r="F110" s="4" t="n"/>
      <c r="G110" s="4" t="n"/>
    </row>
    <row r="111" ht="15.75" customHeight="1" s="40">
      <c r="A111" s="4" t="n"/>
      <c r="B111" s="4" t="n"/>
      <c r="C111" s="4" t="n"/>
      <c r="D111" s="4" t="n"/>
      <c r="E111" s="4" t="n"/>
      <c r="F111" s="4" t="n"/>
      <c r="G111" s="4" t="n"/>
    </row>
    <row r="112" ht="15.75" customHeight="1" s="40">
      <c r="A112" s="4" t="n"/>
      <c r="B112" s="4" t="n"/>
      <c r="C112" s="4" t="n"/>
      <c r="D112" s="4" t="n"/>
      <c r="E112" s="4" t="n"/>
      <c r="F112" s="4" t="n"/>
      <c r="G112" s="4" t="n"/>
    </row>
    <row r="113" ht="15.75" customHeight="1" s="40">
      <c r="A113" s="4" t="n"/>
      <c r="B113" s="4" t="n"/>
      <c r="C113" s="4" t="n"/>
      <c r="D113" s="4" t="n"/>
      <c r="E113" s="4" t="n"/>
      <c r="F113" s="4" t="n"/>
      <c r="G113" s="4" t="n"/>
    </row>
    <row r="114" ht="15.75" customHeight="1" s="40">
      <c r="A114" s="4" t="n"/>
      <c r="B114" s="4" t="n"/>
      <c r="C114" s="4" t="n"/>
      <c r="D114" s="4" t="n"/>
      <c r="E114" s="4" t="n"/>
      <c r="F114" s="4" t="n"/>
      <c r="G114" s="4" t="n"/>
    </row>
    <row r="115" ht="15.75" customHeight="1" s="40">
      <c r="A115" s="4" t="n"/>
      <c r="B115" s="4" t="n"/>
      <c r="C115" s="4" t="n"/>
      <c r="D115" s="4" t="n"/>
      <c r="E115" s="4" t="n"/>
      <c r="F115" s="4" t="n"/>
      <c r="G115" s="4" t="n"/>
    </row>
    <row r="116" ht="15.75" customHeight="1" s="40">
      <c r="A116" s="4" t="n"/>
      <c r="B116" s="4" t="n"/>
      <c r="C116" s="4" t="n"/>
      <c r="D116" s="4" t="n"/>
      <c r="E116" s="4" t="n"/>
      <c r="F116" s="4" t="n"/>
      <c r="G116" s="4" t="n"/>
    </row>
    <row r="117" ht="15.75" customHeight="1" s="40">
      <c r="A117" s="4" t="n"/>
      <c r="B117" s="4" t="n"/>
      <c r="C117" s="4" t="n"/>
      <c r="D117" s="4" t="n"/>
      <c r="E117" s="4" t="n"/>
      <c r="F117" s="4" t="n"/>
      <c r="G117" s="4" t="n"/>
    </row>
    <row r="118" ht="15.75" customHeight="1" s="40">
      <c r="A118" s="4" t="n"/>
      <c r="B118" s="4" t="n"/>
      <c r="C118" s="4" t="n"/>
      <c r="D118" s="4" t="n"/>
      <c r="E118" s="4" t="n"/>
      <c r="F118" s="4" t="n"/>
      <c r="G118" s="4" t="n"/>
    </row>
    <row r="119" ht="15.75" customHeight="1" s="40">
      <c r="A119" s="4" t="n"/>
      <c r="B119" s="4" t="n"/>
      <c r="C119" s="4" t="n"/>
      <c r="D119" s="4" t="n"/>
      <c r="E119" s="4" t="n"/>
      <c r="F119" s="4" t="n"/>
      <c r="G119" s="4" t="n"/>
    </row>
    <row r="120" ht="15.75" customHeight="1" s="40">
      <c r="A120" s="4" t="n"/>
      <c r="B120" s="4" t="n"/>
      <c r="C120" s="4" t="n"/>
      <c r="D120" s="4" t="n"/>
      <c r="E120" s="4" t="n"/>
      <c r="F120" s="4" t="n"/>
      <c r="G120" s="4" t="n"/>
    </row>
    <row r="121" ht="15.75" customHeight="1" s="40">
      <c r="A121" s="4" t="n"/>
      <c r="B121" s="4" t="n"/>
      <c r="C121" s="4" t="n"/>
      <c r="D121" s="4" t="n"/>
      <c r="E121" s="4" t="n"/>
      <c r="F121" s="4" t="n"/>
      <c r="G121" s="4" t="n"/>
    </row>
    <row r="122" ht="15.75" customHeight="1" s="40">
      <c r="A122" s="4" t="n"/>
      <c r="B122" s="4" t="n"/>
      <c r="C122" s="4" t="n"/>
      <c r="D122" s="4" t="n"/>
      <c r="E122" s="4" t="n"/>
      <c r="F122" s="4" t="n"/>
      <c r="G122" s="4" t="n"/>
    </row>
    <row r="123" ht="15.75" customHeight="1" s="40">
      <c r="A123" s="4" t="n"/>
      <c r="B123" s="4" t="n"/>
      <c r="C123" s="4" t="n"/>
      <c r="D123" s="4" t="n"/>
      <c r="E123" s="4" t="n"/>
      <c r="F123" s="4" t="n"/>
      <c r="G123" s="4" t="n"/>
    </row>
    <row r="124" ht="15.75" customHeight="1" s="40">
      <c r="A124" s="4" t="n"/>
      <c r="B124" s="4" t="n"/>
      <c r="C124" s="4" t="n"/>
      <c r="D124" s="4" t="n"/>
      <c r="E124" s="4" t="n"/>
      <c r="F124" s="4" t="n"/>
      <c r="G124" s="4" t="n"/>
    </row>
    <row r="125" ht="15.75" customHeight="1" s="40">
      <c r="A125" s="4" t="n"/>
      <c r="B125" s="4" t="n"/>
      <c r="C125" s="4" t="n"/>
      <c r="D125" s="4" t="n"/>
      <c r="E125" s="4" t="n"/>
      <c r="F125" s="4" t="n"/>
      <c r="G125" s="4" t="n"/>
    </row>
    <row r="126" ht="15.75" customHeight="1" s="40">
      <c r="A126" s="4" t="n"/>
      <c r="B126" s="4" t="n"/>
      <c r="C126" s="4" t="n"/>
      <c r="D126" s="4" t="n"/>
      <c r="E126" s="4" t="n"/>
      <c r="F126" s="4" t="n"/>
      <c r="G126" s="4" t="n"/>
    </row>
    <row r="127" ht="15.75" customHeight="1" s="40">
      <c r="A127" s="4" t="n"/>
      <c r="B127" s="4" t="n"/>
      <c r="C127" s="4" t="n"/>
      <c r="D127" s="4" t="n"/>
      <c r="E127" s="4" t="n"/>
      <c r="F127" s="4" t="n"/>
      <c r="G127" s="4" t="n"/>
    </row>
    <row r="128" ht="15.75" customHeight="1" s="40">
      <c r="A128" s="4" t="n"/>
      <c r="B128" s="4" t="n"/>
      <c r="C128" s="4" t="n"/>
      <c r="D128" s="4" t="n"/>
      <c r="E128" s="4" t="n"/>
      <c r="F128" s="4" t="n"/>
      <c r="G128" s="4" t="n"/>
    </row>
    <row r="129" ht="15.75" customHeight="1" s="40">
      <c r="A129" s="4" t="n"/>
      <c r="B129" s="4" t="n"/>
      <c r="C129" s="4" t="n"/>
      <c r="D129" s="4" t="n"/>
      <c r="E129" s="4" t="n"/>
      <c r="F129" s="4" t="n"/>
      <c r="G129" s="4" t="n"/>
    </row>
    <row r="130" ht="15.75" customHeight="1" s="40">
      <c r="A130" s="4" t="n"/>
      <c r="B130" s="4" t="n"/>
      <c r="C130" s="4" t="n"/>
      <c r="D130" s="4" t="n"/>
      <c r="E130" s="4" t="n"/>
      <c r="F130" s="4" t="n"/>
      <c r="G130" s="4" t="n"/>
    </row>
    <row r="131" ht="15.75" customHeight="1" s="40">
      <c r="A131" s="4" t="n"/>
      <c r="B131" s="4" t="n"/>
      <c r="C131" s="4" t="n"/>
      <c r="D131" s="4" t="n"/>
      <c r="E131" s="4" t="n"/>
      <c r="F131" s="4" t="n"/>
      <c r="G131" s="4" t="n"/>
    </row>
    <row r="132" ht="15.75" customHeight="1" s="40">
      <c r="A132" s="4" t="n"/>
      <c r="B132" s="4" t="n"/>
      <c r="C132" s="4" t="n"/>
      <c r="D132" s="4" t="n"/>
      <c r="E132" s="4" t="n"/>
      <c r="F132" s="4" t="n"/>
      <c r="G132" s="4" t="n"/>
    </row>
    <row r="133" ht="15.75" customHeight="1" s="40">
      <c r="A133" s="4" t="n"/>
      <c r="B133" s="4" t="n"/>
      <c r="C133" s="4" t="n"/>
      <c r="D133" s="4" t="n"/>
      <c r="E133" s="4" t="n"/>
      <c r="F133" s="4" t="n"/>
      <c r="G133" s="4" t="n"/>
    </row>
    <row r="134" ht="15.75" customHeight="1" s="40">
      <c r="A134" s="4" t="n"/>
      <c r="B134" s="4" t="n"/>
      <c r="C134" s="4" t="n"/>
      <c r="D134" s="4" t="n"/>
      <c r="E134" s="4" t="n"/>
      <c r="F134" s="4" t="n"/>
      <c r="G134" s="4" t="n"/>
    </row>
    <row r="135" ht="15.75" customHeight="1" s="40">
      <c r="A135" s="4" t="n"/>
      <c r="B135" s="4" t="n"/>
      <c r="C135" s="4" t="n"/>
      <c r="D135" s="4" t="n"/>
      <c r="E135" s="4" t="n"/>
      <c r="F135" s="4" t="n"/>
      <c r="G135" s="4" t="n"/>
    </row>
    <row r="136" ht="15.75" customHeight="1" s="40">
      <c r="A136" s="4" t="n"/>
      <c r="B136" s="4" t="n"/>
      <c r="C136" s="4" t="n"/>
      <c r="D136" s="4" t="n"/>
      <c r="E136" s="4" t="n"/>
      <c r="F136" s="4" t="n"/>
      <c r="G136" s="4" t="n"/>
    </row>
    <row r="137" ht="15.75" customHeight="1" s="40">
      <c r="A137" s="4" t="n"/>
      <c r="B137" s="4" t="n"/>
      <c r="C137" s="4" t="n"/>
      <c r="D137" s="4" t="n"/>
      <c r="E137" s="4" t="n"/>
      <c r="F137" s="4" t="n"/>
      <c r="G137" s="4" t="n"/>
    </row>
    <row r="138" ht="15.75" customHeight="1" s="40">
      <c r="A138" s="4" t="n"/>
      <c r="B138" s="4" t="n"/>
      <c r="C138" s="4" t="n"/>
      <c r="D138" s="4" t="n"/>
      <c r="E138" s="4" t="n"/>
      <c r="F138" s="4" t="n"/>
      <c r="G138" s="4" t="n"/>
    </row>
    <row r="139" ht="15.75" customHeight="1" s="40">
      <c r="A139" s="4" t="n"/>
      <c r="B139" s="4" t="n"/>
      <c r="C139" s="4" t="n"/>
      <c r="D139" s="4" t="n"/>
      <c r="E139" s="4" t="n"/>
      <c r="F139" s="4" t="n"/>
      <c r="G139" s="4" t="n"/>
    </row>
    <row r="140" ht="15.75" customHeight="1" s="40">
      <c r="A140" s="4" t="n"/>
      <c r="B140" s="4" t="n"/>
      <c r="C140" s="4" t="n"/>
      <c r="D140" s="4" t="n"/>
      <c r="E140" s="4" t="n"/>
      <c r="F140" s="4" t="n"/>
      <c r="G140" s="4" t="n"/>
    </row>
    <row r="141" ht="15.75" customHeight="1" s="40">
      <c r="A141" s="4" t="n"/>
      <c r="B141" s="4" t="n"/>
      <c r="C141" s="4" t="n"/>
      <c r="D141" s="4" t="n"/>
      <c r="E141" s="4" t="n"/>
      <c r="F141" s="4" t="n"/>
      <c r="G141" s="4" t="n"/>
    </row>
    <row r="142" ht="15.75" customHeight="1" s="40">
      <c r="A142" s="4" t="n"/>
      <c r="B142" s="4" t="n"/>
      <c r="C142" s="4" t="n"/>
      <c r="D142" s="4" t="n"/>
      <c r="E142" s="4" t="n"/>
      <c r="F142" s="4" t="n"/>
      <c r="G142" s="4" t="n"/>
    </row>
    <row r="143" ht="15.75" customHeight="1" s="40">
      <c r="A143" s="4" t="n"/>
      <c r="B143" s="4" t="n"/>
      <c r="C143" s="4" t="n"/>
      <c r="D143" s="4" t="n"/>
      <c r="E143" s="4" t="n"/>
      <c r="F143" s="4" t="n"/>
      <c r="G143" s="4" t="n"/>
    </row>
    <row r="144" ht="15.75" customHeight="1" s="40">
      <c r="A144" s="4" t="n"/>
      <c r="B144" s="4" t="n"/>
      <c r="C144" s="4" t="n"/>
      <c r="D144" s="4" t="n"/>
      <c r="E144" s="4" t="n"/>
      <c r="F144" s="4" t="n"/>
      <c r="G144" s="4" t="n"/>
    </row>
    <row r="145" ht="15.75" customHeight="1" s="40">
      <c r="A145" s="4" t="n"/>
      <c r="B145" s="4" t="n"/>
      <c r="C145" s="4" t="n"/>
      <c r="D145" s="4" t="n"/>
      <c r="E145" s="4" t="n"/>
      <c r="F145" s="4" t="n"/>
      <c r="G145" s="4" t="n"/>
    </row>
    <row r="146" ht="15.75" customHeight="1" s="40">
      <c r="A146" s="4" t="n"/>
      <c r="B146" s="4" t="n"/>
      <c r="C146" s="4" t="n"/>
      <c r="D146" s="4" t="n"/>
      <c r="E146" s="4" t="n"/>
      <c r="F146" s="4" t="n"/>
      <c r="G146" s="4" t="n"/>
    </row>
    <row r="147" ht="15.75" customHeight="1" s="40">
      <c r="A147" s="4" t="n"/>
      <c r="B147" s="4" t="n"/>
      <c r="C147" s="4" t="n"/>
      <c r="D147" s="4" t="n"/>
      <c r="E147" s="4" t="n"/>
      <c r="F147" s="4" t="n"/>
      <c r="G147" s="4" t="n"/>
    </row>
    <row r="148" ht="15.75" customHeight="1" s="40">
      <c r="A148" s="4" t="n"/>
      <c r="B148" s="4" t="n"/>
      <c r="C148" s="4" t="n"/>
      <c r="D148" s="4" t="n"/>
      <c r="E148" s="4" t="n"/>
      <c r="F148" s="4" t="n"/>
      <c r="G148" s="4" t="n"/>
    </row>
    <row r="149" ht="15.75" customHeight="1" s="40">
      <c r="A149" s="4" t="n"/>
      <c r="B149" s="4" t="n"/>
      <c r="C149" s="4" t="n"/>
      <c r="D149" s="4" t="n"/>
      <c r="E149" s="4" t="n"/>
      <c r="F149" s="4" t="n"/>
      <c r="G149" s="4" t="n"/>
    </row>
    <row r="150" ht="15.75" customHeight="1" s="40">
      <c r="A150" s="4" t="n"/>
      <c r="B150" s="4" t="n"/>
      <c r="C150" s="4" t="n"/>
      <c r="D150" s="4" t="n"/>
      <c r="E150" s="4" t="n"/>
      <c r="F150" s="4" t="n"/>
      <c r="G150" s="4" t="n"/>
    </row>
    <row r="151" ht="15.75" customHeight="1" s="40">
      <c r="A151" s="4" t="n"/>
      <c r="B151" s="4" t="n"/>
      <c r="C151" s="4" t="n"/>
      <c r="D151" s="4" t="n"/>
      <c r="E151" s="4" t="n"/>
      <c r="F151" s="4" t="n"/>
      <c r="G151" s="4" t="n"/>
    </row>
    <row r="152" ht="15.75" customHeight="1" s="40">
      <c r="A152" s="4" t="n"/>
      <c r="B152" s="4" t="n"/>
      <c r="C152" s="4" t="n"/>
      <c r="D152" s="4" t="n"/>
      <c r="E152" s="4" t="n"/>
      <c r="F152" s="4" t="n"/>
      <c r="G152" s="4" t="n"/>
    </row>
    <row r="153" ht="15.75" customHeight="1" s="40">
      <c r="A153" s="4" t="n"/>
      <c r="B153" s="4" t="n"/>
      <c r="C153" s="4" t="n"/>
      <c r="D153" s="4" t="n"/>
      <c r="E153" s="4" t="n"/>
      <c r="F153" s="4" t="n"/>
      <c r="G153" s="4" t="n"/>
    </row>
    <row r="154" ht="15.75" customHeight="1" s="40">
      <c r="A154" s="4" t="n"/>
      <c r="B154" s="4" t="n"/>
      <c r="C154" s="4" t="n"/>
      <c r="D154" s="4" t="n"/>
      <c r="E154" s="4" t="n"/>
      <c r="F154" s="4" t="n"/>
      <c r="G154" s="4" t="n"/>
    </row>
    <row r="155" ht="15.75" customHeight="1" s="40">
      <c r="A155" s="4" t="n"/>
      <c r="B155" s="4" t="n"/>
      <c r="C155" s="4" t="n"/>
      <c r="D155" s="4" t="n"/>
      <c r="E155" s="4" t="n"/>
      <c r="F155" s="4" t="n"/>
      <c r="G155" s="4" t="n"/>
    </row>
    <row r="156" ht="15.75" customHeight="1" s="40">
      <c r="A156" s="4" t="n"/>
      <c r="B156" s="4" t="n"/>
      <c r="C156" s="4" t="n"/>
      <c r="D156" s="4" t="n"/>
      <c r="E156" s="4" t="n"/>
      <c r="F156" s="4" t="n"/>
      <c r="G156" s="4" t="n"/>
    </row>
    <row r="157" ht="15.75" customHeight="1" s="40">
      <c r="A157" s="4" t="n"/>
      <c r="B157" s="4" t="n"/>
      <c r="C157" s="4" t="n"/>
      <c r="D157" s="4" t="n"/>
      <c r="E157" s="4" t="n"/>
      <c r="F157" s="4" t="n"/>
      <c r="G157" s="4" t="n"/>
    </row>
    <row r="158" ht="15.75" customHeight="1" s="40">
      <c r="A158" s="4" t="n"/>
      <c r="B158" s="4" t="n"/>
      <c r="C158" s="4" t="n"/>
      <c r="D158" s="4" t="n"/>
      <c r="E158" s="4" t="n"/>
      <c r="F158" s="4" t="n"/>
      <c r="G158" s="4" t="n"/>
    </row>
    <row r="159" ht="15.75" customHeight="1" s="40">
      <c r="A159" s="4" t="n"/>
      <c r="B159" s="4" t="n"/>
      <c r="C159" s="4" t="n"/>
      <c r="D159" s="4" t="n"/>
      <c r="E159" s="4" t="n"/>
      <c r="F159" s="4" t="n"/>
      <c r="G159" s="4" t="n"/>
    </row>
    <row r="160" ht="15.75" customHeight="1" s="40">
      <c r="A160" s="4" t="n"/>
      <c r="B160" s="4" t="n"/>
      <c r="C160" s="4" t="n"/>
      <c r="D160" s="4" t="n"/>
      <c r="E160" s="4" t="n"/>
      <c r="F160" s="4" t="n"/>
      <c r="G160" s="4" t="n"/>
    </row>
    <row r="161" ht="15.75" customHeight="1" s="40">
      <c r="A161" s="4" t="n"/>
      <c r="B161" s="4" t="n"/>
      <c r="C161" s="4" t="n"/>
      <c r="D161" s="4" t="n"/>
      <c r="E161" s="4" t="n"/>
      <c r="F161" s="4" t="n"/>
      <c r="G161" s="4" t="n"/>
    </row>
    <row r="162" ht="15.75" customHeight="1" s="40">
      <c r="A162" s="4" t="n"/>
      <c r="B162" s="4" t="n"/>
      <c r="C162" s="4" t="n"/>
      <c r="D162" s="4" t="n"/>
      <c r="E162" s="4" t="n"/>
      <c r="F162" s="4" t="n"/>
      <c r="G162" s="4" t="n"/>
    </row>
    <row r="163" ht="15.75" customHeight="1" s="40">
      <c r="A163" s="4" t="n"/>
      <c r="B163" s="4" t="n"/>
      <c r="C163" s="4" t="n"/>
      <c r="D163" s="4" t="n"/>
      <c r="E163" s="4" t="n"/>
      <c r="F163" s="4" t="n"/>
      <c r="G163" s="4" t="n"/>
    </row>
    <row r="164" ht="15.75" customHeight="1" s="40">
      <c r="A164" s="4" t="n"/>
      <c r="B164" s="4" t="n"/>
      <c r="C164" s="4" t="n"/>
      <c r="D164" s="4" t="n"/>
      <c r="E164" s="4" t="n"/>
      <c r="F164" s="4" t="n"/>
      <c r="G164" s="4" t="n"/>
    </row>
    <row r="165" ht="15.75" customHeight="1" s="40">
      <c r="A165" s="4" t="n"/>
      <c r="B165" s="4" t="n"/>
      <c r="C165" s="4" t="n"/>
      <c r="D165" s="4" t="n"/>
      <c r="E165" s="4" t="n"/>
      <c r="F165" s="4" t="n"/>
      <c r="G165" s="4" t="n"/>
    </row>
    <row r="166" ht="15.75" customHeight="1" s="40">
      <c r="A166" s="4" t="n"/>
      <c r="B166" s="4" t="n"/>
      <c r="C166" s="4" t="n"/>
      <c r="D166" s="4" t="n"/>
      <c r="E166" s="4" t="n"/>
      <c r="F166" s="4" t="n"/>
      <c r="G166" s="4" t="n"/>
    </row>
    <row r="167" ht="15.75" customHeight="1" s="40">
      <c r="A167" s="4" t="n"/>
      <c r="B167" s="4" t="n"/>
      <c r="C167" s="4" t="n"/>
      <c r="D167" s="4" t="n"/>
      <c r="E167" s="4" t="n"/>
      <c r="F167" s="4" t="n"/>
      <c r="G167" s="4" t="n"/>
    </row>
    <row r="168" ht="15.75" customHeight="1" s="40">
      <c r="A168" s="4" t="n"/>
      <c r="B168" s="4" t="n"/>
      <c r="C168" s="4" t="n"/>
      <c r="D168" s="4" t="n"/>
      <c r="E168" s="4" t="n"/>
      <c r="F168" s="4" t="n"/>
      <c r="G168" s="4" t="n"/>
    </row>
    <row r="169" ht="15.75" customHeight="1" s="40">
      <c r="A169" s="4" t="n"/>
      <c r="B169" s="4" t="n"/>
      <c r="C169" s="4" t="n"/>
      <c r="D169" s="4" t="n"/>
      <c r="E169" s="4" t="n"/>
      <c r="F169" s="4" t="n"/>
      <c r="G169" s="4" t="n"/>
    </row>
    <row r="170" ht="15.75" customHeight="1" s="40">
      <c r="A170" s="4" t="n"/>
      <c r="B170" s="4" t="n"/>
      <c r="C170" s="4" t="n"/>
      <c r="D170" s="4" t="n"/>
      <c r="E170" s="4" t="n"/>
      <c r="F170" s="4" t="n"/>
      <c r="G170" s="4" t="n"/>
    </row>
    <row r="171" ht="15.75" customHeight="1" s="40">
      <c r="A171" s="4" t="n"/>
      <c r="B171" s="4" t="n"/>
      <c r="C171" s="4" t="n"/>
      <c r="D171" s="4" t="n"/>
      <c r="E171" s="4" t="n"/>
      <c r="F171" s="4" t="n"/>
      <c r="G171" s="4" t="n"/>
    </row>
    <row r="172" ht="15.75" customHeight="1" s="40">
      <c r="A172" s="4" t="n"/>
      <c r="B172" s="4" t="n"/>
      <c r="C172" s="4" t="n"/>
      <c r="D172" s="4" t="n"/>
      <c r="E172" s="4" t="n"/>
      <c r="F172" s="4" t="n"/>
      <c r="G172" s="4" t="n"/>
    </row>
    <row r="173" ht="15.75" customHeight="1" s="40">
      <c r="A173" s="4" t="n"/>
      <c r="B173" s="4" t="n"/>
      <c r="C173" s="4" t="n"/>
      <c r="D173" s="4" t="n"/>
      <c r="E173" s="4" t="n"/>
      <c r="F173" s="4" t="n"/>
      <c r="G173" s="4" t="n"/>
    </row>
    <row r="174" ht="15.75" customHeight="1" s="40">
      <c r="A174" s="4" t="n"/>
      <c r="B174" s="4" t="n"/>
      <c r="C174" s="4" t="n"/>
      <c r="D174" s="4" t="n"/>
      <c r="E174" s="4" t="n"/>
      <c r="F174" s="4" t="n"/>
      <c r="G174" s="4" t="n"/>
    </row>
    <row r="175" ht="15.75" customHeight="1" s="40">
      <c r="A175" s="4" t="n"/>
      <c r="B175" s="4" t="n"/>
      <c r="C175" s="4" t="n"/>
      <c r="D175" s="4" t="n"/>
      <c r="E175" s="4" t="n"/>
      <c r="F175" s="4" t="n"/>
      <c r="G175" s="4" t="n"/>
    </row>
    <row r="176" ht="15.75" customHeight="1" s="40">
      <c r="A176" s="4" t="n"/>
      <c r="B176" s="4" t="n"/>
      <c r="C176" s="4" t="n"/>
      <c r="D176" s="4" t="n"/>
      <c r="E176" s="4" t="n"/>
      <c r="F176" s="4" t="n"/>
      <c r="G176" s="4" t="n"/>
    </row>
    <row r="177" ht="15.75" customHeight="1" s="40">
      <c r="A177" s="4" t="n"/>
      <c r="B177" s="4" t="n"/>
      <c r="C177" s="4" t="n"/>
      <c r="D177" s="4" t="n"/>
      <c r="E177" s="4" t="n"/>
      <c r="F177" s="4" t="n"/>
      <c r="G177" s="4" t="n"/>
    </row>
    <row r="178" ht="15.75" customHeight="1" s="40">
      <c r="A178" s="4" t="n"/>
      <c r="B178" s="4" t="n"/>
      <c r="C178" s="4" t="n"/>
      <c r="D178" s="4" t="n"/>
      <c r="E178" s="4" t="n"/>
      <c r="F178" s="4" t="n"/>
      <c r="G178" s="4" t="n"/>
    </row>
    <row r="179" ht="15.75" customHeight="1" s="40">
      <c r="A179" s="4" t="n"/>
      <c r="B179" s="4" t="n"/>
      <c r="C179" s="4" t="n"/>
      <c r="D179" s="4" t="n"/>
      <c r="E179" s="4" t="n"/>
      <c r="F179" s="4" t="n"/>
      <c r="G179" s="4" t="n"/>
    </row>
    <row r="180" ht="15.75" customHeight="1" s="40">
      <c r="A180" s="4" t="n"/>
      <c r="B180" s="4" t="n"/>
      <c r="C180" s="4" t="n"/>
      <c r="D180" s="4" t="n"/>
      <c r="E180" s="4" t="n"/>
      <c r="F180" s="4" t="n"/>
      <c r="G180" s="4" t="n"/>
    </row>
    <row r="181" ht="15.75" customHeight="1" s="40">
      <c r="A181" s="4" t="n"/>
      <c r="B181" s="4" t="n"/>
      <c r="C181" s="4" t="n"/>
      <c r="D181" s="4" t="n"/>
      <c r="E181" s="4" t="n"/>
      <c r="F181" s="4" t="n"/>
      <c r="G181" s="4" t="n"/>
    </row>
    <row r="182" ht="15.75" customHeight="1" s="40">
      <c r="A182" s="4" t="n"/>
      <c r="B182" s="4" t="n"/>
      <c r="C182" s="4" t="n"/>
      <c r="D182" s="4" t="n"/>
      <c r="E182" s="4" t="n"/>
      <c r="F182" s="4" t="n"/>
      <c r="G182" s="4" t="n"/>
    </row>
    <row r="183" ht="15.75" customHeight="1" s="40">
      <c r="A183" s="4" t="n"/>
      <c r="B183" s="4" t="n"/>
      <c r="C183" s="4" t="n"/>
      <c r="D183" s="4" t="n"/>
      <c r="E183" s="4" t="n"/>
      <c r="F183" s="4" t="n"/>
      <c r="G183" s="4" t="n"/>
    </row>
    <row r="184" ht="15.75" customHeight="1" s="40">
      <c r="A184" s="4" t="n"/>
      <c r="B184" s="4" t="n"/>
      <c r="C184" s="4" t="n"/>
      <c r="D184" s="4" t="n"/>
      <c r="E184" s="4" t="n"/>
      <c r="F184" s="4" t="n"/>
      <c r="G184" s="4" t="n"/>
    </row>
    <row r="185" ht="15.75" customHeight="1" s="40">
      <c r="A185" s="4" t="n"/>
      <c r="B185" s="4" t="n"/>
      <c r="C185" s="4" t="n"/>
      <c r="D185" s="4" t="n"/>
      <c r="E185" s="4" t="n"/>
      <c r="F185" s="4" t="n"/>
      <c r="G185" s="4" t="n"/>
    </row>
    <row r="186" ht="15.75" customHeight="1" s="40">
      <c r="A186" s="4" t="n"/>
      <c r="B186" s="4" t="n"/>
      <c r="C186" s="4" t="n"/>
      <c r="D186" s="4" t="n"/>
      <c r="E186" s="4" t="n"/>
      <c r="F186" s="4" t="n"/>
      <c r="G186" s="4" t="n"/>
    </row>
    <row r="187" ht="15.75" customHeight="1" s="40">
      <c r="A187" s="4" t="n"/>
      <c r="B187" s="4" t="n"/>
      <c r="C187" s="4" t="n"/>
      <c r="D187" s="4" t="n"/>
      <c r="E187" s="4" t="n"/>
      <c r="F187" s="4" t="n"/>
      <c r="G187" s="4" t="n"/>
    </row>
    <row r="188" ht="15.75" customHeight="1" s="40">
      <c r="A188" s="4" t="n"/>
      <c r="B188" s="4" t="n"/>
      <c r="C188" s="4" t="n"/>
      <c r="D188" s="4" t="n"/>
      <c r="E188" s="4" t="n"/>
      <c r="F188" s="4" t="n"/>
      <c r="G188" s="4" t="n"/>
    </row>
    <row r="189" ht="15.75" customHeight="1" s="40">
      <c r="A189" s="4" t="n"/>
      <c r="B189" s="4" t="n"/>
      <c r="C189" s="4" t="n"/>
      <c r="D189" s="4" t="n"/>
      <c r="E189" s="4" t="n"/>
      <c r="F189" s="4" t="n"/>
      <c r="G189" s="4" t="n"/>
    </row>
    <row r="190" ht="15.75" customHeight="1" s="40">
      <c r="A190" s="4" t="n"/>
      <c r="B190" s="4" t="n"/>
      <c r="C190" s="4" t="n"/>
      <c r="D190" s="4" t="n"/>
      <c r="E190" s="4" t="n"/>
      <c r="F190" s="4" t="n"/>
      <c r="G190" s="4" t="n"/>
    </row>
    <row r="191" ht="15.75" customHeight="1" s="40">
      <c r="A191" s="4" t="n"/>
      <c r="B191" s="4" t="n"/>
      <c r="C191" s="4" t="n"/>
      <c r="D191" s="4" t="n"/>
      <c r="E191" s="4" t="n"/>
      <c r="F191" s="4" t="n"/>
      <c r="G191" s="4" t="n"/>
    </row>
    <row r="192" ht="15.75" customHeight="1" s="40">
      <c r="A192" s="4" t="n"/>
      <c r="B192" s="4" t="n"/>
      <c r="C192" s="4" t="n"/>
      <c r="D192" s="4" t="n"/>
      <c r="E192" s="4" t="n"/>
      <c r="F192" s="4" t="n"/>
      <c r="G192" s="4" t="n"/>
    </row>
    <row r="193" ht="15.75" customHeight="1" s="40">
      <c r="A193" s="4" t="n"/>
      <c r="B193" s="4" t="n"/>
      <c r="C193" s="4" t="n"/>
      <c r="D193" s="4" t="n"/>
      <c r="E193" s="4" t="n"/>
      <c r="F193" s="4" t="n"/>
      <c r="G193" s="4" t="n"/>
    </row>
    <row r="194" ht="15.75" customHeight="1" s="40">
      <c r="A194" s="4" t="n"/>
      <c r="B194" s="4" t="n"/>
      <c r="C194" s="4" t="n"/>
      <c r="D194" s="4" t="n"/>
      <c r="E194" s="4" t="n"/>
      <c r="F194" s="4" t="n"/>
      <c r="G194" s="4" t="n"/>
    </row>
    <row r="195" ht="15.75" customHeight="1" s="40">
      <c r="A195" s="4" t="n"/>
      <c r="B195" s="4" t="n"/>
      <c r="C195" s="4" t="n"/>
      <c r="D195" s="4" t="n"/>
      <c r="E195" s="4" t="n"/>
      <c r="F195" s="4" t="n"/>
      <c r="G195" s="4" t="n"/>
    </row>
    <row r="196" ht="15.75" customHeight="1" s="40">
      <c r="A196" s="4" t="n"/>
      <c r="B196" s="4" t="n"/>
      <c r="C196" s="4" t="n"/>
      <c r="D196" s="4" t="n"/>
      <c r="E196" s="4" t="n"/>
      <c r="F196" s="4" t="n"/>
      <c r="G196" s="4" t="n"/>
    </row>
    <row r="197" ht="15.75" customHeight="1" s="40">
      <c r="A197" s="4" t="n"/>
      <c r="B197" s="4" t="n"/>
      <c r="C197" s="4" t="n"/>
      <c r="D197" s="4" t="n"/>
      <c r="E197" s="4" t="n"/>
      <c r="F197" s="4" t="n"/>
      <c r="G197" s="4" t="n"/>
    </row>
    <row r="198" ht="15.75" customHeight="1" s="40">
      <c r="A198" s="4" t="n"/>
      <c r="B198" s="4" t="n"/>
      <c r="C198" s="4" t="n"/>
      <c r="D198" s="4" t="n"/>
      <c r="E198" s="4" t="n"/>
      <c r="F198" s="4" t="n"/>
      <c r="G198" s="4" t="n"/>
    </row>
    <row r="199" ht="15.75" customHeight="1" s="40">
      <c r="A199" s="4" t="n"/>
      <c r="B199" s="4" t="n"/>
      <c r="C199" s="4" t="n"/>
      <c r="D199" s="4" t="n"/>
      <c r="E199" s="4" t="n"/>
      <c r="F199" s="4" t="n"/>
      <c r="G199" s="4" t="n"/>
    </row>
    <row r="200" ht="15.75" customHeight="1" s="40">
      <c r="A200" s="4" t="n"/>
      <c r="B200" s="4" t="n"/>
      <c r="C200" s="4" t="n"/>
      <c r="D200" s="4" t="n"/>
      <c r="E200" s="4" t="n"/>
      <c r="F200" s="4" t="n"/>
      <c r="G200" s="4" t="n"/>
    </row>
    <row r="201" ht="15.75" customHeight="1" s="40">
      <c r="A201" s="4" t="n"/>
      <c r="B201" s="4" t="n"/>
      <c r="C201" s="4" t="n"/>
      <c r="D201" s="4" t="n"/>
      <c r="E201" s="4" t="n"/>
      <c r="F201" s="4" t="n"/>
      <c r="G201" s="4" t="n"/>
    </row>
    <row r="202" ht="15.75" customHeight="1" s="40">
      <c r="A202" s="4" t="n"/>
      <c r="B202" s="4" t="n"/>
      <c r="C202" s="4" t="n"/>
      <c r="D202" s="4" t="n"/>
      <c r="E202" s="4" t="n"/>
      <c r="F202" s="4" t="n"/>
      <c r="G202" s="4" t="n"/>
    </row>
    <row r="203" ht="15.75" customHeight="1" s="40">
      <c r="A203" s="4" t="n"/>
      <c r="B203" s="4" t="n"/>
      <c r="C203" s="4" t="n"/>
      <c r="D203" s="4" t="n"/>
      <c r="E203" s="4" t="n"/>
      <c r="F203" s="4" t="n"/>
      <c r="G203" s="4" t="n"/>
    </row>
    <row r="204" ht="15.75" customHeight="1" s="40">
      <c r="A204" s="4" t="n"/>
      <c r="B204" s="4" t="n"/>
      <c r="C204" s="4" t="n"/>
      <c r="D204" s="4" t="n"/>
      <c r="E204" s="4" t="n"/>
      <c r="F204" s="4" t="n"/>
      <c r="G204" s="4" t="n"/>
    </row>
    <row r="205" ht="15.75" customHeight="1" s="40">
      <c r="A205" s="4" t="n"/>
      <c r="B205" s="4" t="n"/>
      <c r="C205" s="4" t="n"/>
      <c r="D205" s="4" t="n"/>
      <c r="E205" s="4" t="n"/>
      <c r="F205" s="4" t="n"/>
      <c r="G205" s="4" t="n"/>
    </row>
    <row r="206" ht="15.75" customHeight="1" s="40">
      <c r="A206" s="4" t="n"/>
      <c r="B206" s="4" t="n"/>
      <c r="C206" s="4" t="n"/>
      <c r="D206" s="4" t="n"/>
      <c r="E206" s="4" t="n"/>
      <c r="F206" s="4" t="n"/>
      <c r="G206" s="4" t="n"/>
    </row>
    <row r="207" ht="15.75" customHeight="1" s="40">
      <c r="A207" s="4" t="n"/>
      <c r="B207" s="4" t="n"/>
      <c r="C207" s="4" t="n"/>
      <c r="D207" s="4" t="n"/>
      <c r="E207" s="4" t="n"/>
      <c r="F207" s="4" t="n"/>
      <c r="G207" s="4" t="n"/>
    </row>
    <row r="208" ht="15.75" customHeight="1" s="40">
      <c r="A208" s="4" t="n"/>
      <c r="B208" s="4" t="n"/>
      <c r="C208" s="4" t="n"/>
      <c r="D208" s="4" t="n"/>
      <c r="E208" s="4" t="n"/>
      <c r="F208" s="4" t="n"/>
      <c r="G208" s="4" t="n"/>
    </row>
    <row r="209" ht="15.75" customHeight="1" s="40">
      <c r="A209" s="4" t="n"/>
      <c r="B209" s="4" t="n"/>
      <c r="C209" s="4" t="n"/>
      <c r="D209" s="4" t="n"/>
      <c r="E209" s="4" t="n"/>
      <c r="F209" s="4" t="n"/>
      <c r="G209" s="4" t="n"/>
    </row>
    <row r="210" ht="15.75" customHeight="1" s="40">
      <c r="A210" s="4" t="n"/>
      <c r="B210" s="4" t="n"/>
      <c r="C210" s="4" t="n"/>
      <c r="D210" s="4" t="n"/>
      <c r="E210" s="4" t="n"/>
      <c r="F210" s="4" t="n"/>
      <c r="G210" s="4" t="n"/>
    </row>
    <row r="211" ht="15.75" customHeight="1" s="40">
      <c r="A211" s="4" t="n"/>
      <c r="B211" s="4" t="n"/>
      <c r="C211" s="4" t="n"/>
      <c r="D211" s="4" t="n"/>
      <c r="E211" s="4" t="n"/>
      <c r="F211" s="4" t="n"/>
      <c r="G211" s="4" t="n"/>
    </row>
    <row r="212" ht="15.75" customHeight="1" s="40">
      <c r="A212" s="4" t="n"/>
      <c r="B212" s="4" t="n"/>
      <c r="C212" s="4" t="n"/>
      <c r="D212" s="4" t="n"/>
      <c r="E212" s="4" t="n"/>
      <c r="F212" s="4" t="n"/>
      <c r="G212" s="4" t="n"/>
    </row>
    <row r="213" ht="15.75" customHeight="1" s="40">
      <c r="A213" s="4" t="n"/>
      <c r="B213" s="4" t="n"/>
      <c r="C213" s="4" t="n"/>
      <c r="D213" s="4" t="n"/>
      <c r="E213" s="4" t="n"/>
      <c r="F213" s="4" t="n"/>
      <c r="G213" s="4" t="n"/>
    </row>
    <row r="214" ht="15.75" customHeight="1" s="40">
      <c r="A214" s="4" t="n"/>
      <c r="B214" s="4" t="n"/>
      <c r="C214" s="4" t="n"/>
      <c r="D214" s="4" t="n"/>
      <c r="E214" s="4" t="n"/>
      <c r="F214" s="4" t="n"/>
      <c r="G214" s="4" t="n"/>
    </row>
    <row r="215" ht="15.75" customHeight="1" s="40">
      <c r="A215" s="4" t="n"/>
      <c r="B215" s="4" t="n"/>
      <c r="C215" s="4" t="n"/>
      <c r="D215" s="4" t="n"/>
      <c r="E215" s="4" t="n"/>
      <c r="F215" s="4" t="n"/>
      <c r="G215" s="4" t="n"/>
    </row>
    <row r="216" ht="15.75" customHeight="1" s="40">
      <c r="A216" s="4" t="n"/>
      <c r="B216" s="4" t="n"/>
      <c r="C216" s="4" t="n"/>
      <c r="D216" s="4" t="n"/>
      <c r="E216" s="4" t="n"/>
      <c r="F216" s="4" t="n"/>
      <c r="G216" s="4" t="n"/>
    </row>
    <row r="217" ht="15.75" customHeight="1" s="40">
      <c r="A217" s="4" t="n"/>
      <c r="B217" s="4" t="n"/>
      <c r="C217" s="4" t="n"/>
      <c r="D217" s="4" t="n"/>
      <c r="E217" s="4" t="n"/>
      <c r="F217" s="4" t="n"/>
      <c r="G217" s="4" t="n"/>
    </row>
    <row r="218" ht="15.75" customHeight="1" s="40">
      <c r="A218" s="4" t="n"/>
      <c r="B218" s="4" t="n"/>
      <c r="C218" s="4" t="n"/>
      <c r="D218" s="4" t="n"/>
      <c r="E218" s="4" t="n"/>
      <c r="F218" s="4" t="n"/>
      <c r="G218" s="4" t="n"/>
    </row>
    <row r="219" ht="15.75" customHeight="1" s="40">
      <c r="A219" s="4" t="n"/>
      <c r="B219" s="4" t="n"/>
      <c r="C219" s="4" t="n"/>
      <c r="D219" s="4" t="n"/>
      <c r="E219" s="4" t="n"/>
      <c r="F219" s="4" t="n"/>
      <c r="G219" s="4" t="n"/>
    </row>
    <row r="220" ht="15.75" customHeight="1" s="40">
      <c r="A220" s="4" t="n"/>
      <c r="B220" s="4" t="n"/>
      <c r="C220" s="4" t="n"/>
      <c r="D220" s="4" t="n"/>
      <c r="E220" s="4" t="n"/>
      <c r="F220" s="4" t="n"/>
      <c r="G220" s="4" t="n"/>
    </row>
    <row r="221" ht="15.75" customHeight="1" s="40">
      <c r="A221" s="4" t="n"/>
      <c r="B221" s="4" t="n"/>
      <c r="C221" s="4" t="n"/>
      <c r="D221" s="4" t="n"/>
      <c r="E221" s="4" t="n"/>
      <c r="F221" s="4" t="n"/>
      <c r="G221" s="4" t="n"/>
    </row>
    <row r="222" ht="15.75" customHeight="1" s="40">
      <c r="A222" s="4" t="n"/>
      <c r="B222" s="4" t="n"/>
      <c r="C222" s="4" t="n"/>
      <c r="D222" s="4" t="n"/>
      <c r="E222" s="4" t="n"/>
      <c r="F222" s="4" t="n"/>
      <c r="G222" s="4" t="n"/>
    </row>
    <row r="223" ht="15.75" customHeight="1" s="40">
      <c r="A223" s="4" t="n"/>
      <c r="B223" s="4" t="n"/>
      <c r="C223" s="4" t="n"/>
      <c r="D223" s="4" t="n"/>
      <c r="E223" s="4" t="n"/>
      <c r="F223" s="4" t="n"/>
      <c r="G223" s="4" t="n"/>
    </row>
    <row r="224" ht="15.75" customHeight="1" s="40">
      <c r="A224" s="4" t="n"/>
      <c r="B224" s="4" t="n"/>
      <c r="C224" s="4" t="n"/>
      <c r="D224" s="4" t="n"/>
      <c r="E224" s="4" t="n"/>
      <c r="F224" s="4" t="n"/>
      <c r="G224" s="4" t="n"/>
    </row>
    <row r="225" ht="15.75" customHeight="1" s="40">
      <c r="A225" s="4" t="n"/>
      <c r="B225" s="4" t="n"/>
      <c r="C225" s="4" t="n"/>
      <c r="D225" s="4" t="n"/>
      <c r="E225" s="4" t="n"/>
      <c r="F225" s="4" t="n"/>
      <c r="G225" s="4" t="n"/>
    </row>
    <row r="226" ht="15.75" customHeight="1" s="40">
      <c r="A226" s="4" t="n"/>
      <c r="B226" s="4" t="n"/>
      <c r="C226" s="4" t="n"/>
      <c r="D226" s="4" t="n"/>
      <c r="E226" s="4" t="n"/>
      <c r="F226" s="4" t="n"/>
      <c r="G226" s="4" t="n"/>
    </row>
    <row r="227" ht="15.75" customHeight="1" s="40">
      <c r="A227" s="4" t="n"/>
      <c r="B227" s="4" t="n"/>
      <c r="C227" s="4" t="n"/>
      <c r="D227" s="4" t="n"/>
      <c r="E227" s="4" t="n"/>
      <c r="F227" s="4" t="n"/>
      <c r="G227" s="4" t="n"/>
    </row>
    <row r="228" ht="15.75" customHeight="1" s="40">
      <c r="A228" s="4" t="n"/>
      <c r="B228" s="4" t="n"/>
      <c r="C228" s="4" t="n"/>
      <c r="D228" s="4" t="n"/>
      <c r="E228" s="4" t="n"/>
      <c r="F228" s="4" t="n"/>
      <c r="G228" s="4" t="n"/>
    </row>
    <row r="229" ht="15.75" customHeight="1" s="40">
      <c r="A229" s="4" t="n"/>
      <c r="B229" s="4" t="n"/>
      <c r="C229" s="4" t="n"/>
      <c r="D229" s="4" t="n"/>
      <c r="E229" s="4" t="n"/>
      <c r="F229" s="4" t="n"/>
      <c r="G229" s="4" t="n"/>
    </row>
    <row r="230" ht="15.75" customHeight="1" s="40">
      <c r="A230" s="4" t="n"/>
      <c r="B230" s="4" t="n"/>
      <c r="C230" s="4" t="n"/>
      <c r="D230" s="4" t="n"/>
      <c r="E230" s="4" t="n"/>
      <c r="F230" s="4" t="n"/>
      <c r="G230" s="4" t="n"/>
    </row>
    <row r="231" ht="15.75" customHeight="1" s="40">
      <c r="A231" s="4" t="n"/>
      <c r="B231" s="4" t="n"/>
      <c r="C231" s="4" t="n"/>
      <c r="D231" s="4" t="n"/>
      <c r="E231" s="4" t="n"/>
      <c r="F231" s="4" t="n"/>
      <c r="G231" s="4" t="n"/>
    </row>
    <row r="232" ht="15.75" customHeight="1" s="40">
      <c r="A232" s="4" t="n"/>
      <c r="B232" s="4" t="n"/>
      <c r="C232" s="4" t="n"/>
      <c r="D232" s="4" t="n"/>
      <c r="E232" s="4" t="n"/>
      <c r="F232" s="4" t="n"/>
      <c r="G232" s="4" t="n"/>
    </row>
    <row r="233" ht="15.75" customHeight="1" s="40">
      <c r="A233" s="4" t="n"/>
      <c r="B233" s="4" t="n"/>
      <c r="C233" s="4" t="n"/>
      <c r="D233" s="4" t="n"/>
      <c r="E233" s="4" t="n"/>
      <c r="F233" s="4" t="n"/>
      <c r="G233" s="4" t="n"/>
    </row>
    <row r="234" ht="15.75" customHeight="1" s="40">
      <c r="A234" s="4" t="n"/>
      <c r="B234" s="4" t="n"/>
      <c r="C234" s="4" t="n"/>
      <c r="D234" s="4" t="n"/>
      <c r="E234" s="4" t="n"/>
      <c r="F234" s="4" t="n"/>
      <c r="G234" s="4" t="n"/>
    </row>
    <row r="235" ht="15.75" customHeight="1" s="40">
      <c r="A235" s="4" t="n"/>
      <c r="B235" s="4" t="n"/>
      <c r="C235" s="4" t="n"/>
      <c r="D235" s="4" t="n"/>
      <c r="E235" s="4" t="n"/>
      <c r="F235" s="4" t="n"/>
      <c r="G235" s="4" t="n"/>
    </row>
    <row r="236" ht="15.75" customHeight="1" s="40">
      <c r="A236" s="4" t="n"/>
      <c r="B236" s="4" t="n"/>
      <c r="C236" s="4" t="n"/>
      <c r="D236" s="4" t="n"/>
      <c r="E236" s="4" t="n"/>
      <c r="F236" s="4" t="n"/>
      <c r="G236" s="4" t="n"/>
    </row>
    <row r="237" ht="15.75" customHeight="1" s="40">
      <c r="A237" s="4" t="n"/>
      <c r="B237" s="4" t="n"/>
      <c r="C237" s="4" t="n"/>
      <c r="D237" s="4" t="n"/>
      <c r="E237" s="4" t="n"/>
      <c r="F237" s="4" t="n"/>
      <c r="G237" s="4" t="n"/>
    </row>
    <row r="238" ht="15.75" customHeight="1" s="40">
      <c r="A238" s="4" t="n"/>
      <c r="B238" s="4" t="n"/>
      <c r="C238" s="4" t="n"/>
      <c r="D238" s="4" t="n"/>
      <c r="E238" s="4" t="n"/>
      <c r="F238" s="4" t="n"/>
      <c r="G238" s="4" t="n"/>
    </row>
    <row r="239" ht="15.75" customHeight="1" s="40">
      <c r="A239" s="4" t="n"/>
      <c r="B239" s="4" t="n"/>
      <c r="C239" s="4" t="n"/>
      <c r="D239" s="4" t="n"/>
      <c r="E239" s="4" t="n"/>
      <c r="F239" s="4" t="n"/>
      <c r="G239" s="4" t="n"/>
    </row>
    <row r="240" ht="15.75" customHeight="1" s="40">
      <c r="A240" s="4" t="n"/>
      <c r="B240" s="4" t="n"/>
      <c r="C240" s="4" t="n"/>
      <c r="D240" s="4" t="n"/>
      <c r="E240" s="4" t="n"/>
      <c r="F240" s="4" t="n"/>
      <c r="G240" s="4" t="n"/>
    </row>
    <row r="241" ht="15.75" customHeight="1" s="40">
      <c r="A241" s="4" t="n"/>
      <c r="B241" s="4" t="n"/>
      <c r="C241" s="4" t="n"/>
      <c r="D241" s="4" t="n"/>
      <c r="E241" s="4" t="n"/>
      <c r="F241" s="4" t="n"/>
      <c r="G241" s="4" t="n"/>
    </row>
    <row r="242" ht="15.75" customHeight="1" s="40">
      <c r="A242" s="4" t="n"/>
      <c r="B242" s="4" t="n"/>
      <c r="C242" s="4" t="n"/>
      <c r="D242" s="4" t="n"/>
      <c r="E242" s="4" t="n"/>
      <c r="F242" s="4" t="n"/>
      <c r="G242" s="4" t="n"/>
    </row>
    <row r="243" ht="15.75" customHeight="1" s="40">
      <c r="A243" s="4" t="n"/>
      <c r="B243" s="4" t="n"/>
      <c r="C243" s="4" t="n"/>
      <c r="D243" s="4" t="n"/>
      <c r="E243" s="4" t="n"/>
      <c r="F243" s="4" t="n"/>
      <c r="G243" s="4" t="n"/>
    </row>
    <row r="244" ht="15.75" customHeight="1" s="40">
      <c r="A244" s="4" t="n"/>
      <c r="B244" s="4" t="n"/>
      <c r="C244" s="4" t="n"/>
      <c r="D244" s="4" t="n"/>
      <c r="E244" s="4" t="n"/>
      <c r="F244" s="4" t="n"/>
      <c r="G244" s="4" t="n"/>
    </row>
    <row r="245" ht="15.75" customHeight="1" s="40">
      <c r="A245" s="4" t="n"/>
      <c r="B245" s="4" t="n"/>
      <c r="C245" s="4" t="n"/>
      <c r="D245" s="4" t="n"/>
      <c r="E245" s="4" t="n"/>
      <c r="F245" s="4" t="n"/>
      <c r="G245" s="4" t="n"/>
    </row>
    <row r="246" ht="15.75" customHeight="1" s="40">
      <c r="A246" s="4" t="n"/>
      <c r="B246" s="4" t="n"/>
      <c r="C246" s="4" t="n"/>
      <c r="D246" s="4" t="n"/>
      <c r="E246" s="4" t="n"/>
      <c r="F246" s="4" t="n"/>
      <c r="G246" s="4" t="n"/>
    </row>
    <row r="247" ht="15.75" customHeight="1" s="40">
      <c r="A247" s="4" t="n"/>
      <c r="B247" s="4" t="n"/>
      <c r="C247" s="4" t="n"/>
      <c r="D247" s="4" t="n"/>
      <c r="E247" s="4" t="n"/>
      <c r="F247" s="4" t="n"/>
      <c r="G247" s="4" t="n"/>
    </row>
    <row r="248" ht="15.75" customHeight="1" s="40">
      <c r="A248" s="4" t="n"/>
      <c r="B248" s="4" t="n"/>
      <c r="C248" s="4" t="n"/>
      <c r="D248" s="4" t="n"/>
      <c r="E248" s="4" t="n"/>
      <c r="F248" s="4" t="n"/>
      <c r="G248" s="4" t="n"/>
    </row>
    <row r="249" ht="15.75" customHeight="1" s="40">
      <c r="A249" s="4" t="n"/>
      <c r="B249" s="4" t="n"/>
      <c r="C249" s="4" t="n"/>
      <c r="D249" s="4" t="n"/>
      <c r="E249" s="4" t="n"/>
      <c r="F249" s="4" t="n"/>
      <c r="G249" s="4" t="n"/>
    </row>
    <row r="250" ht="15.75" customHeight="1" s="40">
      <c r="A250" s="4" t="n"/>
      <c r="B250" s="4" t="n"/>
      <c r="C250" s="4" t="n"/>
      <c r="D250" s="4" t="n"/>
      <c r="E250" s="4" t="n"/>
      <c r="F250" s="4" t="n"/>
      <c r="G250" s="4" t="n"/>
    </row>
    <row r="251" ht="15.75" customHeight="1" s="40">
      <c r="A251" s="4" t="n"/>
      <c r="B251" s="4" t="n"/>
      <c r="C251" s="4" t="n"/>
      <c r="D251" s="4" t="n"/>
      <c r="E251" s="4" t="n"/>
      <c r="F251" s="4" t="n"/>
      <c r="G251" s="4" t="n"/>
    </row>
    <row r="252" ht="15.75" customHeight="1" s="40">
      <c r="A252" s="4" t="n"/>
      <c r="B252" s="4" t="n"/>
      <c r="C252" s="4" t="n"/>
      <c r="D252" s="4" t="n"/>
      <c r="E252" s="4" t="n"/>
      <c r="F252" s="4" t="n"/>
      <c r="G252" s="4" t="n"/>
    </row>
    <row r="253" ht="15.75" customHeight="1" s="40">
      <c r="A253" s="4" t="n"/>
      <c r="B253" s="4" t="n"/>
      <c r="C253" s="4" t="n"/>
      <c r="D253" s="4" t="n"/>
      <c r="E253" s="4" t="n"/>
      <c r="F253" s="4" t="n"/>
      <c r="G253" s="4" t="n"/>
    </row>
    <row r="254" ht="15.75" customHeight="1" s="40">
      <c r="A254" s="4" t="n"/>
      <c r="B254" s="4" t="n"/>
      <c r="C254" s="4" t="n"/>
      <c r="D254" s="4" t="n"/>
      <c r="E254" s="4" t="n"/>
      <c r="F254" s="4" t="n"/>
      <c r="G254" s="4" t="n"/>
    </row>
    <row r="255" ht="15.75" customHeight="1" s="40">
      <c r="A255" s="4" t="n"/>
      <c r="B255" s="4" t="n"/>
      <c r="C255" s="4" t="n"/>
      <c r="D255" s="4" t="n"/>
      <c r="E255" s="4" t="n"/>
      <c r="F255" s="4" t="n"/>
      <c r="G255" s="4" t="n"/>
    </row>
    <row r="256" ht="15.75" customHeight="1" s="40">
      <c r="A256" s="4" t="n"/>
      <c r="B256" s="4" t="n"/>
      <c r="C256" s="4" t="n"/>
      <c r="D256" s="4" t="n"/>
      <c r="E256" s="4" t="n"/>
      <c r="F256" s="4" t="n"/>
      <c r="G256" s="4" t="n"/>
    </row>
    <row r="257" ht="15.75" customHeight="1" s="40">
      <c r="A257" s="4" t="n"/>
      <c r="B257" s="4" t="n"/>
      <c r="C257" s="4" t="n"/>
      <c r="D257" s="4" t="n"/>
      <c r="E257" s="4" t="n"/>
      <c r="F257" s="4" t="n"/>
      <c r="G257" s="4" t="n"/>
    </row>
    <row r="258" ht="15.75" customHeight="1" s="40">
      <c r="A258" s="4" t="n"/>
      <c r="B258" s="4" t="n"/>
      <c r="C258" s="4" t="n"/>
      <c r="D258" s="4" t="n"/>
      <c r="E258" s="4" t="n"/>
      <c r="F258" s="4" t="n"/>
      <c r="G258" s="4" t="n"/>
    </row>
    <row r="259" ht="15.75" customHeight="1" s="40">
      <c r="A259" s="4" t="n"/>
      <c r="B259" s="4" t="n"/>
      <c r="C259" s="4" t="n"/>
      <c r="D259" s="4" t="n"/>
      <c r="E259" s="4" t="n"/>
      <c r="F259" s="4" t="n"/>
      <c r="G259" s="4" t="n"/>
    </row>
    <row r="260" ht="15.75" customHeight="1" s="40">
      <c r="A260" s="4" t="n"/>
      <c r="B260" s="4" t="n"/>
      <c r="C260" s="4" t="n"/>
      <c r="D260" s="4" t="n"/>
      <c r="E260" s="4" t="n"/>
      <c r="F260" s="4" t="n"/>
      <c r="G260" s="4" t="n"/>
    </row>
    <row r="261" ht="15.75" customHeight="1" s="40">
      <c r="A261" s="4" t="n"/>
      <c r="B261" s="4" t="n"/>
      <c r="C261" s="4" t="n"/>
      <c r="D261" s="4" t="n"/>
      <c r="E261" s="4" t="n"/>
      <c r="F261" s="4" t="n"/>
      <c r="G261" s="4" t="n"/>
    </row>
    <row r="262" ht="15.75" customHeight="1" s="40">
      <c r="A262" s="4" t="n"/>
      <c r="B262" s="4" t="n"/>
      <c r="C262" s="4" t="n"/>
      <c r="D262" s="4" t="n"/>
      <c r="E262" s="4" t="n"/>
      <c r="F262" s="4" t="n"/>
      <c r="G262" s="4" t="n"/>
    </row>
    <row r="263" ht="15.75" customHeight="1" s="40">
      <c r="A263" s="4" t="n"/>
      <c r="B263" s="4" t="n"/>
      <c r="C263" s="4" t="n"/>
      <c r="D263" s="4" t="n"/>
      <c r="E263" s="4" t="n"/>
      <c r="F263" s="4" t="n"/>
      <c r="G263" s="4" t="n"/>
    </row>
    <row r="264" ht="15.75" customHeight="1" s="40">
      <c r="A264" s="4" t="n"/>
      <c r="B264" s="4" t="n"/>
      <c r="C264" s="4" t="n"/>
      <c r="D264" s="4" t="n"/>
      <c r="E264" s="4" t="n"/>
      <c r="F264" s="4" t="n"/>
      <c r="G264" s="4" t="n"/>
    </row>
    <row r="265" ht="15.75" customHeight="1" s="40">
      <c r="A265" s="4" t="n"/>
      <c r="B265" s="4" t="n"/>
      <c r="C265" s="4" t="n"/>
      <c r="D265" s="4" t="n"/>
      <c r="E265" s="4" t="n"/>
      <c r="F265" s="4" t="n"/>
      <c r="G265" s="4" t="n"/>
    </row>
    <row r="266" ht="15.75" customHeight="1" s="40">
      <c r="A266" s="4" t="n"/>
      <c r="B266" s="4" t="n"/>
      <c r="C266" s="4" t="n"/>
      <c r="D266" s="4" t="n"/>
      <c r="E266" s="4" t="n"/>
      <c r="F266" s="4" t="n"/>
      <c r="G266" s="4" t="n"/>
    </row>
    <row r="267" ht="15.75" customHeight="1" s="40">
      <c r="A267" s="4" t="n"/>
      <c r="B267" s="4" t="n"/>
      <c r="C267" s="4" t="n"/>
      <c r="D267" s="4" t="n"/>
      <c r="E267" s="4" t="n"/>
      <c r="F267" s="4" t="n"/>
      <c r="G267" s="4" t="n"/>
    </row>
    <row r="268" ht="15.75" customHeight="1" s="40">
      <c r="A268" s="4" t="n"/>
      <c r="B268" s="4" t="n"/>
      <c r="C268" s="4" t="n"/>
      <c r="D268" s="4" t="n"/>
      <c r="E268" s="4" t="n"/>
      <c r="F268" s="4" t="n"/>
      <c r="G268" s="4" t="n"/>
    </row>
    <row r="269" ht="15.75" customHeight="1" s="40">
      <c r="A269" s="4" t="n"/>
      <c r="B269" s="4" t="n"/>
      <c r="C269" s="4" t="n"/>
      <c r="D269" s="4" t="n"/>
      <c r="E269" s="4" t="n"/>
      <c r="F269" s="4" t="n"/>
      <c r="G269" s="4" t="n"/>
    </row>
    <row r="270" ht="15.75" customHeight="1" s="40">
      <c r="A270" s="4" t="n"/>
      <c r="B270" s="4" t="n"/>
      <c r="C270" s="4" t="n"/>
      <c r="D270" s="4" t="n"/>
      <c r="E270" s="4" t="n"/>
      <c r="F270" s="4" t="n"/>
      <c r="G270" s="4" t="n"/>
    </row>
    <row r="271" ht="15.75" customHeight="1" s="40">
      <c r="A271" s="4" t="n"/>
      <c r="B271" s="4" t="n"/>
      <c r="C271" s="4" t="n"/>
      <c r="D271" s="4" t="n"/>
      <c r="E271" s="4" t="n"/>
      <c r="F271" s="4" t="n"/>
      <c r="G271" s="4" t="n"/>
    </row>
    <row r="272" ht="15.75" customHeight="1" s="40">
      <c r="A272" s="4" t="n"/>
      <c r="B272" s="4" t="n"/>
      <c r="C272" s="4" t="n"/>
      <c r="D272" s="4" t="n"/>
      <c r="E272" s="4" t="n"/>
      <c r="F272" s="4" t="n"/>
      <c r="G272" s="4" t="n"/>
    </row>
    <row r="273" ht="15.75" customHeight="1" s="40">
      <c r="A273" s="4" t="n"/>
      <c r="B273" s="4" t="n"/>
      <c r="C273" s="4" t="n"/>
      <c r="D273" s="4" t="n"/>
      <c r="E273" s="4" t="n"/>
      <c r="F273" s="4" t="n"/>
      <c r="G273" s="4" t="n"/>
    </row>
    <row r="274" ht="15.75" customHeight="1" s="40">
      <c r="A274" s="4" t="n"/>
      <c r="B274" s="4" t="n"/>
      <c r="C274" s="4" t="n"/>
      <c r="D274" s="4" t="n"/>
      <c r="E274" s="4" t="n"/>
      <c r="F274" s="4" t="n"/>
      <c r="G274" s="4" t="n"/>
    </row>
    <row r="275" ht="15.75" customHeight="1" s="40">
      <c r="A275" s="4" t="n"/>
      <c r="B275" s="4" t="n"/>
      <c r="C275" s="4" t="n"/>
      <c r="D275" s="4" t="n"/>
      <c r="E275" s="4" t="n"/>
      <c r="F275" s="4" t="n"/>
      <c r="G275" s="4" t="n"/>
    </row>
    <row r="276" ht="15.75" customHeight="1" s="40">
      <c r="A276" s="4" t="n"/>
      <c r="B276" s="4" t="n"/>
      <c r="C276" s="4" t="n"/>
      <c r="D276" s="4" t="n"/>
      <c r="E276" s="4" t="n"/>
      <c r="F276" s="4" t="n"/>
      <c r="G276" s="4" t="n"/>
    </row>
    <row r="277" ht="15.75" customHeight="1" s="40">
      <c r="A277" s="4" t="n"/>
      <c r="B277" s="4" t="n"/>
      <c r="C277" s="4" t="n"/>
      <c r="D277" s="4" t="n"/>
      <c r="E277" s="4" t="n"/>
      <c r="F277" s="4" t="n"/>
      <c r="G277" s="4" t="n"/>
    </row>
    <row r="278" ht="15.75" customHeight="1" s="40">
      <c r="A278" s="4" t="n"/>
      <c r="B278" s="4" t="n"/>
      <c r="C278" s="4" t="n"/>
      <c r="D278" s="4" t="n"/>
      <c r="E278" s="4" t="n"/>
      <c r="F278" s="4" t="n"/>
      <c r="G278" s="4" t="n"/>
    </row>
    <row r="279" ht="15.75" customHeight="1" s="40">
      <c r="A279" s="4" t="n"/>
      <c r="B279" s="4" t="n"/>
      <c r="C279" s="4" t="n"/>
      <c r="D279" s="4" t="n"/>
      <c r="E279" s="4" t="n"/>
      <c r="F279" s="4" t="n"/>
      <c r="G279" s="4" t="n"/>
    </row>
    <row r="280" ht="15.75" customHeight="1" s="40">
      <c r="A280" s="4" t="n"/>
      <c r="B280" s="4" t="n"/>
      <c r="C280" s="4" t="n"/>
      <c r="D280" s="4" t="n"/>
      <c r="E280" s="4" t="n"/>
      <c r="F280" s="4" t="n"/>
      <c r="G280" s="4" t="n"/>
    </row>
    <row r="281" ht="15.75" customHeight="1" s="40">
      <c r="A281" s="4" t="n"/>
      <c r="B281" s="4" t="n"/>
      <c r="C281" s="4" t="n"/>
      <c r="D281" s="4" t="n"/>
      <c r="E281" s="4" t="n"/>
      <c r="F281" s="4" t="n"/>
      <c r="G281" s="4" t="n"/>
    </row>
    <row r="282" ht="15.75" customHeight="1" s="40">
      <c r="A282" s="4" t="n"/>
      <c r="B282" s="4" t="n"/>
      <c r="C282" s="4" t="n"/>
      <c r="D282" s="4" t="n"/>
      <c r="E282" s="4" t="n"/>
      <c r="F282" s="4" t="n"/>
      <c r="G282" s="4" t="n"/>
    </row>
    <row r="283" ht="15.75" customHeight="1" s="40">
      <c r="A283" s="4" t="n"/>
      <c r="B283" s="4" t="n"/>
      <c r="C283" s="4" t="n"/>
      <c r="D283" s="4" t="n"/>
      <c r="E283" s="4" t="n"/>
      <c r="F283" s="4" t="n"/>
      <c r="G283" s="4" t="n"/>
    </row>
    <row r="284" ht="15.75" customHeight="1" s="40">
      <c r="A284" s="4" t="n"/>
      <c r="B284" s="4" t="n"/>
      <c r="C284" s="4" t="n"/>
      <c r="D284" s="4" t="n"/>
      <c r="E284" s="4" t="n"/>
      <c r="F284" s="4" t="n"/>
      <c r="G284" s="4" t="n"/>
    </row>
    <row r="285" ht="15.75" customHeight="1" s="40">
      <c r="A285" s="4" t="n"/>
      <c r="B285" s="4" t="n"/>
      <c r="C285" s="4" t="n"/>
      <c r="D285" s="4" t="n"/>
      <c r="E285" s="4" t="n"/>
      <c r="F285" s="4" t="n"/>
      <c r="G285" s="4" t="n"/>
    </row>
    <row r="286" ht="15.75" customHeight="1" s="40">
      <c r="A286" s="4" t="n"/>
      <c r="B286" s="4" t="n"/>
      <c r="C286" s="4" t="n"/>
      <c r="D286" s="4" t="n"/>
      <c r="E286" s="4" t="n"/>
      <c r="F286" s="4" t="n"/>
      <c r="G286" s="4" t="n"/>
    </row>
    <row r="287" ht="15.75" customHeight="1" s="40">
      <c r="A287" s="4" t="n"/>
      <c r="B287" s="4" t="n"/>
      <c r="C287" s="4" t="n"/>
      <c r="D287" s="4" t="n"/>
      <c r="E287" s="4" t="n"/>
      <c r="F287" s="4" t="n"/>
      <c r="G287" s="4" t="n"/>
    </row>
    <row r="288" ht="15.75" customHeight="1" s="40">
      <c r="A288" s="4" t="n"/>
      <c r="B288" s="4" t="n"/>
      <c r="C288" s="4" t="n"/>
      <c r="D288" s="4" t="n"/>
      <c r="E288" s="4" t="n"/>
      <c r="F288" s="4" t="n"/>
      <c r="G288" s="4" t="n"/>
    </row>
    <row r="289" ht="15.75" customHeight="1" s="40">
      <c r="A289" s="4" t="n"/>
      <c r="B289" s="4" t="n"/>
      <c r="C289" s="4" t="n"/>
      <c r="D289" s="4" t="n"/>
      <c r="E289" s="4" t="n"/>
      <c r="F289" s="4" t="n"/>
      <c r="G289" s="4" t="n"/>
    </row>
    <row r="290" ht="15.75" customHeight="1" s="40">
      <c r="A290" s="4" t="n"/>
      <c r="B290" s="4" t="n"/>
      <c r="C290" s="4" t="n"/>
      <c r="D290" s="4" t="n"/>
      <c r="E290" s="4" t="n"/>
      <c r="F290" s="4" t="n"/>
      <c r="G290" s="4" t="n"/>
    </row>
    <row r="291" ht="15.75" customHeight="1" s="40">
      <c r="A291" s="4" t="n"/>
      <c r="B291" s="4" t="n"/>
      <c r="C291" s="4" t="n"/>
      <c r="D291" s="4" t="n"/>
      <c r="E291" s="4" t="n"/>
      <c r="F291" s="4" t="n"/>
      <c r="G291" s="4" t="n"/>
    </row>
    <row r="292" ht="15.75" customHeight="1" s="40">
      <c r="A292" s="4" t="n"/>
      <c r="B292" s="4" t="n"/>
      <c r="C292" s="4" t="n"/>
      <c r="D292" s="4" t="n"/>
      <c r="E292" s="4" t="n"/>
      <c r="F292" s="4" t="n"/>
      <c r="G292" s="4" t="n"/>
    </row>
    <row r="293" ht="15.75" customHeight="1" s="40">
      <c r="A293" s="4" t="n"/>
      <c r="B293" s="4" t="n"/>
      <c r="C293" s="4" t="n"/>
      <c r="D293" s="4" t="n"/>
      <c r="E293" s="4" t="n"/>
      <c r="F293" s="4" t="n"/>
      <c r="G293" s="4" t="n"/>
    </row>
    <row r="294" ht="15.75" customHeight="1" s="40">
      <c r="A294" s="4" t="n"/>
      <c r="B294" s="4" t="n"/>
      <c r="C294" s="4" t="n"/>
      <c r="D294" s="4" t="n"/>
      <c r="E294" s="4" t="n"/>
      <c r="F294" s="4" t="n"/>
      <c r="G294" s="4" t="n"/>
    </row>
    <row r="295" ht="15.75" customHeight="1" s="40">
      <c r="A295" s="4" t="n"/>
      <c r="B295" s="4" t="n"/>
      <c r="C295" s="4" t="n"/>
      <c r="D295" s="4" t="n"/>
      <c r="E295" s="4" t="n"/>
      <c r="F295" s="4" t="n"/>
      <c r="G295" s="4" t="n"/>
    </row>
    <row r="296" ht="15.75" customHeight="1" s="40">
      <c r="A296" s="4" t="n"/>
      <c r="B296" s="4" t="n"/>
      <c r="C296" s="4" t="n"/>
      <c r="D296" s="4" t="n"/>
      <c r="E296" s="4" t="n"/>
      <c r="F296" s="4" t="n"/>
      <c r="G296" s="4" t="n"/>
    </row>
    <row r="297" ht="15.75" customHeight="1" s="40">
      <c r="A297" s="4" t="n"/>
      <c r="B297" s="4" t="n"/>
      <c r="C297" s="4" t="n"/>
      <c r="D297" s="4" t="n"/>
      <c r="E297" s="4" t="n"/>
      <c r="F297" s="4" t="n"/>
      <c r="G297" s="4" t="n"/>
    </row>
    <row r="298" ht="15.75" customHeight="1" s="40">
      <c r="A298" s="4" t="n"/>
      <c r="B298" s="4" t="n"/>
      <c r="C298" s="4" t="n"/>
      <c r="D298" s="4" t="n"/>
      <c r="E298" s="4" t="n"/>
      <c r="F298" s="4" t="n"/>
      <c r="G298" s="4" t="n"/>
    </row>
    <row r="299" ht="15.75" customHeight="1" s="40">
      <c r="A299" s="4" t="n"/>
      <c r="B299" s="4" t="n"/>
      <c r="C299" s="4" t="n"/>
      <c r="D299" s="4" t="n"/>
      <c r="E299" s="4" t="n"/>
      <c r="F299" s="4" t="n"/>
      <c r="G299" s="4" t="n"/>
    </row>
    <row r="300" ht="15.75" customHeight="1" s="40">
      <c r="A300" s="4" t="n"/>
      <c r="B300" s="4" t="n"/>
      <c r="C300" s="4" t="n"/>
      <c r="D300" s="4" t="n"/>
      <c r="E300" s="4" t="n"/>
      <c r="F300" s="4" t="n"/>
      <c r="G300" s="4" t="n"/>
    </row>
    <row r="301" ht="15.75" customHeight="1" s="40">
      <c r="A301" s="4" t="n"/>
      <c r="B301" s="4" t="n"/>
      <c r="C301" s="4" t="n"/>
      <c r="D301" s="4" t="n"/>
      <c r="E301" s="4" t="n"/>
      <c r="F301" s="4" t="n"/>
      <c r="G301" s="4" t="n"/>
    </row>
    <row r="302" ht="15.75" customHeight="1" s="40">
      <c r="A302" s="4" t="n"/>
      <c r="B302" s="4" t="n"/>
      <c r="C302" s="4" t="n"/>
      <c r="D302" s="4" t="n"/>
      <c r="E302" s="4" t="n"/>
      <c r="F302" s="4" t="n"/>
      <c r="G302" s="4" t="n"/>
    </row>
    <row r="303" ht="15.75" customHeight="1" s="40">
      <c r="A303" s="4" t="n"/>
      <c r="B303" s="4" t="n"/>
      <c r="C303" s="4" t="n"/>
      <c r="D303" s="4" t="n"/>
      <c r="E303" s="4" t="n"/>
      <c r="F303" s="4" t="n"/>
      <c r="G303" s="4" t="n"/>
    </row>
    <row r="304" ht="15.75" customHeight="1" s="40">
      <c r="A304" s="4" t="n"/>
      <c r="B304" s="4" t="n"/>
      <c r="C304" s="4" t="n"/>
      <c r="D304" s="4" t="n"/>
      <c r="E304" s="4" t="n"/>
      <c r="F304" s="4" t="n"/>
      <c r="G304" s="4" t="n"/>
    </row>
    <row r="305" ht="15.75" customHeight="1" s="40">
      <c r="A305" s="4" t="n"/>
      <c r="B305" s="4" t="n"/>
      <c r="C305" s="4" t="n"/>
      <c r="D305" s="4" t="n"/>
      <c r="E305" s="4" t="n"/>
      <c r="F305" s="4" t="n"/>
      <c r="G305" s="4" t="n"/>
    </row>
    <row r="306" ht="15.75" customHeight="1" s="40">
      <c r="A306" s="4" t="n"/>
      <c r="B306" s="4" t="n"/>
      <c r="C306" s="4" t="n"/>
      <c r="D306" s="4" t="n"/>
      <c r="E306" s="4" t="n"/>
      <c r="F306" s="4" t="n"/>
      <c r="G306" s="4" t="n"/>
    </row>
    <row r="307" ht="15.75" customHeight="1" s="40">
      <c r="A307" s="4" t="n"/>
      <c r="B307" s="4" t="n"/>
      <c r="C307" s="4" t="n"/>
      <c r="D307" s="4" t="n"/>
      <c r="E307" s="4" t="n"/>
      <c r="F307" s="4" t="n"/>
      <c r="G307" s="4" t="n"/>
    </row>
    <row r="308" ht="15.75" customHeight="1" s="40">
      <c r="A308" s="4" t="n"/>
      <c r="B308" s="4" t="n"/>
      <c r="C308" s="4" t="n"/>
      <c r="D308" s="4" t="n"/>
      <c r="E308" s="4" t="n"/>
      <c r="F308" s="4" t="n"/>
      <c r="G308" s="4" t="n"/>
    </row>
    <row r="309" ht="15.75" customHeight="1" s="40">
      <c r="A309" s="4" t="n"/>
      <c r="B309" s="4" t="n"/>
      <c r="C309" s="4" t="n"/>
      <c r="D309" s="4" t="n"/>
      <c r="E309" s="4" t="n"/>
      <c r="F309" s="4" t="n"/>
      <c r="G309" s="4" t="n"/>
    </row>
    <row r="310" ht="15.75" customHeight="1" s="40">
      <c r="A310" s="4" t="n"/>
      <c r="B310" s="4" t="n"/>
      <c r="C310" s="4" t="n"/>
      <c r="D310" s="4" t="n"/>
      <c r="E310" s="4" t="n"/>
      <c r="F310" s="4" t="n"/>
      <c r="G310" s="4" t="n"/>
    </row>
    <row r="311" ht="15.75" customHeight="1" s="40">
      <c r="A311" s="4" t="n"/>
      <c r="B311" s="4" t="n"/>
      <c r="C311" s="4" t="n"/>
      <c r="D311" s="4" t="n"/>
      <c r="E311" s="4" t="n"/>
      <c r="F311" s="4" t="n"/>
      <c r="G311" s="4" t="n"/>
    </row>
    <row r="312" ht="15.75" customHeight="1" s="40">
      <c r="A312" s="4" t="n"/>
      <c r="B312" s="4" t="n"/>
      <c r="C312" s="4" t="n"/>
      <c r="D312" s="4" t="n"/>
      <c r="E312" s="4" t="n"/>
      <c r="F312" s="4" t="n"/>
      <c r="G312" s="4" t="n"/>
    </row>
    <row r="313" ht="15.75" customHeight="1" s="40">
      <c r="A313" s="4" t="n"/>
      <c r="B313" s="4" t="n"/>
      <c r="C313" s="4" t="n"/>
      <c r="D313" s="4" t="n"/>
      <c r="E313" s="4" t="n"/>
      <c r="F313" s="4" t="n"/>
      <c r="G313" s="4" t="n"/>
    </row>
    <row r="314" ht="15.75" customHeight="1" s="40">
      <c r="A314" s="4" t="n"/>
      <c r="B314" s="4" t="n"/>
      <c r="C314" s="4" t="n"/>
      <c r="D314" s="4" t="n"/>
      <c r="E314" s="4" t="n"/>
      <c r="F314" s="4" t="n"/>
      <c r="G314" s="4" t="n"/>
    </row>
    <row r="315" ht="15.75" customHeight="1" s="40">
      <c r="A315" s="4" t="n"/>
      <c r="B315" s="4" t="n"/>
      <c r="C315" s="4" t="n"/>
      <c r="D315" s="4" t="n"/>
      <c r="E315" s="4" t="n"/>
      <c r="F315" s="4" t="n"/>
      <c r="G315" s="4" t="n"/>
    </row>
    <row r="316" ht="15.75" customHeight="1" s="40">
      <c r="A316" s="4" t="n"/>
      <c r="B316" s="4" t="n"/>
      <c r="C316" s="4" t="n"/>
      <c r="D316" s="4" t="n"/>
      <c r="E316" s="4" t="n"/>
      <c r="F316" s="4" t="n"/>
      <c r="G316" s="4" t="n"/>
    </row>
    <row r="317" ht="15.75" customHeight="1" s="40">
      <c r="A317" s="4" t="n"/>
      <c r="B317" s="4" t="n"/>
      <c r="C317" s="4" t="n"/>
      <c r="D317" s="4" t="n"/>
      <c r="E317" s="4" t="n"/>
      <c r="F317" s="4" t="n"/>
      <c r="G317" s="4" t="n"/>
    </row>
    <row r="318" ht="15.75" customHeight="1" s="40">
      <c r="A318" s="4" t="n"/>
      <c r="B318" s="4" t="n"/>
      <c r="C318" s="4" t="n"/>
      <c r="D318" s="4" t="n"/>
      <c r="E318" s="4" t="n"/>
      <c r="F318" s="4" t="n"/>
      <c r="G318" s="4" t="n"/>
    </row>
    <row r="319" ht="15.75" customHeight="1" s="40">
      <c r="A319" s="4" t="n"/>
      <c r="B319" s="4" t="n"/>
      <c r="C319" s="4" t="n"/>
      <c r="D319" s="4" t="n"/>
      <c r="E319" s="4" t="n"/>
      <c r="F319" s="4" t="n"/>
      <c r="G319" s="4" t="n"/>
    </row>
    <row r="320" ht="15.75" customHeight="1" s="40">
      <c r="A320" s="4" t="n"/>
      <c r="B320" s="4" t="n"/>
      <c r="C320" s="4" t="n"/>
      <c r="D320" s="4" t="n"/>
      <c r="E320" s="4" t="n"/>
      <c r="F320" s="4" t="n"/>
      <c r="G320" s="4" t="n"/>
    </row>
    <row r="321" ht="15.75" customHeight="1" s="40">
      <c r="A321" s="4" t="n"/>
      <c r="B321" s="4" t="n"/>
      <c r="C321" s="4" t="n"/>
      <c r="D321" s="4" t="n"/>
      <c r="E321" s="4" t="n"/>
      <c r="F321" s="4" t="n"/>
      <c r="G321" s="4" t="n"/>
    </row>
    <row r="322" ht="15.75" customHeight="1" s="40">
      <c r="A322" s="4" t="n"/>
      <c r="B322" s="4" t="n"/>
      <c r="C322" s="4" t="n"/>
      <c r="D322" s="4" t="n"/>
      <c r="E322" s="4" t="n"/>
      <c r="F322" s="4" t="n"/>
      <c r="G322" s="4" t="n"/>
    </row>
    <row r="323" ht="15.75" customHeight="1" s="40">
      <c r="A323" s="4" t="n"/>
      <c r="B323" s="4" t="n"/>
      <c r="C323" s="4" t="n"/>
      <c r="D323" s="4" t="n"/>
      <c r="E323" s="4" t="n"/>
      <c r="F323" s="4" t="n"/>
      <c r="G323" s="4" t="n"/>
    </row>
    <row r="324" ht="15.75" customHeight="1" s="40">
      <c r="A324" s="4" t="n"/>
      <c r="B324" s="4" t="n"/>
      <c r="C324" s="4" t="n"/>
      <c r="D324" s="4" t="n"/>
      <c r="E324" s="4" t="n"/>
      <c r="F324" s="4" t="n"/>
      <c r="G324" s="4" t="n"/>
    </row>
    <row r="325" ht="15.75" customHeight="1" s="40">
      <c r="A325" s="4" t="n"/>
      <c r="B325" s="4" t="n"/>
      <c r="C325" s="4" t="n"/>
      <c r="D325" s="4" t="n"/>
      <c r="E325" s="4" t="n"/>
      <c r="F325" s="4" t="n"/>
      <c r="G325" s="4" t="n"/>
    </row>
    <row r="326" ht="15.75" customHeight="1" s="40">
      <c r="A326" s="4" t="n"/>
      <c r="B326" s="4" t="n"/>
      <c r="C326" s="4" t="n"/>
      <c r="D326" s="4" t="n"/>
      <c r="E326" s="4" t="n"/>
      <c r="F326" s="4" t="n"/>
      <c r="G326" s="4" t="n"/>
    </row>
    <row r="327" ht="15.75" customHeight="1" s="40">
      <c r="A327" s="4" t="n"/>
      <c r="B327" s="4" t="n"/>
      <c r="C327" s="4" t="n"/>
      <c r="D327" s="4" t="n"/>
      <c r="E327" s="4" t="n"/>
      <c r="F327" s="4" t="n"/>
      <c r="G327" s="4" t="n"/>
    </row>
    <row r="328" ht="15.75" customHeight="1" s="40">
      <c r="A328" s="4" t="n"/>
      <c r="B328" s="4" t="n"/>
      <c r="C328" s="4" t="n"/>
      <c r="D328" s="4" t="n"/>
      <c r="E328" s="4" t="n"/>
      <c r="F328" s="4" t="n"/>
      <c r="G328" s="4" t="n"/>
    </row>
    <row r="329" ht="15.75" customHeight="1" s="40">
      <c r="A329" s="4" t="n"/>
      <c r="B329" s="4" t="n"/>
      <c r="C329" s="4" t="n"/>
      <c r="D329" s="4" t="n"/>
      <c r="E329" s="4" t="n"/>
      <c r="F329" s="4" t="n"/>
      <c r="G329" s="4" t="n"/>
    </row>
    <row r="330" ht="15.75" customHeight="1" s="40">
      <c r="A330" s="4" t="n"/>
      <c r="B330" s="4" t="n"/>
      <c r="C330" s="4" t="n"/>
      <c r="D330" s="4" t="n"/>
      <c r="E330" s="4" t="n"/>
      <c r="F330" s="4" t="n"/>
      <c r="G330" s="4" t="n"/>
    </row>
    <row r="331" ht="15.75" customHeight="1" s="40">
      <c r="A331" s="4" t="n"/>
      <c r="B331" s="4" t="n"/>
      <c r="C331" s="4" t="n"/>
      <c r="D331" s="4" t="n"/>
      <c r="E331" s="4" t="n"/>
      <c r="F331" s="4" t="n"/>
      <c r="G331" s="4" t="n"/>
    </row>
    <row r="332" ht="15.75" customHeight="1" s="40">
      <c r="A332" s="4" t="n"/>
      <c r="B332" s="4" t="n"/>
      <c r="C332" s="4" t="n"/>
      <c r="D332" s="4" t="n"/>
      <c r="E332" s="4" t="n"/>
      <c r="F332" s="4" t="n"/>
      <c r="G332" s="4" t="n"/>
    </row>
    <row r="333" ht="15.75" customHeight="1" s="40">
      <c r="A333" s="4" t="n"/>
      <c r="B333" s="4" t="n"/>
      <c r="C333" s="4" t="n"/>
      <c r="D333" s="4" t="n"/>
      <c r="E333" s="4" t="n"/>
      <c r="F333" s="4" t="n"/>
      <c r="G333" s="4" t="n"/>
    </row>
    <row r="334" ht="15.75" customHeight="1" s="40">
      <c r="A334" s="4" t="n"/>
      <c r="B334" s="4" t="n"/>
      <c r="C334" s="4" t="n"/>
      <c r="D334" s="4" t="n"/>
      <c r="E334" s="4" t="n"/>
      <c r="F334" s="4" t="n"/>
      <c r="G334" s="4" t="n"/>
    </row>
    <row r="335" ht="15.75" customHeight="1" s="40">
      <c r="A335" s="4" t="n"/>
      <c r="B335" s="4" t="n"/>
      <c r="C335" s="4" t="n"/>
      <c r="D335" s="4" t="n"/>
      <c r="E335" s="4" t="n"/>
      <c r="F335" s="4" t="n"/>
      <c r="G335" s="4" t="n"/>
    </row>
    <row r="336" ht="15.75" customHeight="1" s="40">
      <c r="A336" s="4" t="n"/>
      <c r="B336" s="4" t="n"/>
      <c r="C336" s="4" t="n"/>
      <c r="D336" s="4" t="n"/>
      <c r="E336" s="4" t="n"/>
      <c r="F336" s="4" t="n"/>
      <c r="G336" s="4" t="n"/>
    </row>
    <row r="337" ht="15.75" customHeight="1" s="40">
      <c r="A337" s="4" t="n"/>
      <c r="B337" s="4" t="n"/>
      <c r="C337" s="4" t="n"/>
      <c r="D337" s="4" t="n"/>
      <c r="E337" s="4" t="n"/>
      <c r="F337" s="4" t="n"/>
      <c r="G337" s="4" t="n"/>
    </row>
    <row r="338" ht="15.75" customHeight="1" s="40">
      <c r="A338" s="4" t="n"/>
      <c r="B338" s="4" t="n"/>
      <c r="C338" s="4" t="n"/>
      <c r="D338" s="4" t="n"/>
      <c r="E338" s="4" t="n"/>
      <c r="F338" s="4" t="n"/>
      <c r="G338" s="4" t="n"/>
    </row>
    <row r="339" ht="15.75" customHeight="1" s="40">
      <c r="A339" s="4" t="n"/>
      <c r="B339" s="4" t="n"/>
      <c r="C339" s="4" t="n"/>
      <c r="D339" s="4" t="n"/>
      <c r="E339" s="4" t="n"/>
      <c r="F339" s="4" t="n"/>
      <c r="G339" s="4" t="n"/>
    </row>
    <row r="340" ht="15.75" customHeight="1" s="40">
      <c r="A340" s="4" t="n"/>
      <c r="B340" s="4" t="n"/>
      <c r="C340" s="4" t="n"/>
      <c r="D340" s="4" t="n"/>
      <c r="E340" s="4" t="n"/>
      <c r="F340" s="4" t="n"/>
      <c r="G340" s="4" t="n"/>
    </row>
    <row r="341" ht="15.75" customHeight="1" s="40">
      <c r="A341" s="4" t="n"/>
      <c r="B341" s="4" t="n"/>
      <c r="C341" s="4" t="n"/>
      <c r="D341" s="4" t="n"/>
      <c r="E341" s="4" t="n"/>
      <c r="F341" s="4" t="n"/>
      <c r="G341" s="4" t="n"/>
    </row>
    <row r="342" ht="15.75" customHeight="1" s="40">
      <c r="A342" s="4" t="n"/>
      <c r="B342" s="4" t="n"/>
      <c r="C342" s="4" t="n"/>
      <c r="D342" s="4" t="n"/>
      <c r="E342" s="4" t="n"/>
      <c r="F342" s="4" t="n"/>
      <c r="G342" s="4" t="n"/>
    </row>
    <row r="343" ht="15.75" customHeight="1" s="40">
      <c r="A343" s="4" t="n"/>
      <c r="B343" s="4" t="n"/>
      <c r="C343" s="4" t="n"/>
      <c r="D343" s="4" t="n"/>
      <c r="E343" s="4" t="n"/>
      <c r="F343" s="4" t="n"/>
      <c r="G343" s="4" t="n"/>
    </row>
    <row r="344" ht="15.75" customHeight="1" s="40">
      <c r="A344" s="4" t="n"/>
      <c r="B344" s="4" t="n"/>
      <c r="C344" s="4" t="n"/>
      <c r="D344" s="4" t="n"/>
      <c r="E344" s="4" t="n"/>
      <c r="F344" s="4" t="n"/>
      <c r="G344" s="4" t="n"/>
    </row>
    <row r="345" ht="15.75" customHeight="1" s="40">
      <c r="A345" s="4" t="n"/>
      <c r="B345" s="4" t="n"/>
      <c r="C345" s="4" t="n"/>
      <c r="D345" s="4" t="n"/>
      <c r="E345" s="4" t="n"/>
      <c r="F345" s="4" t="n"/>
      <c r="G345" s="4" t="n"/>
    </row>
    <row r="346" ht="15.75" customHeight="1" s="40">
      <c r="A346" s="4" t="n"/>
      <c r="B346" s="4" t="n"/>
      <c r="C346" s="4" t="n"/>
      <c r="D346" s="4" t="n"/>
      <c r="E346" s="4" t="n"/>
      <c r="F346" s="4" t="n"/>
      <c r="G346" s="4" t="n"/>
    </row>
    <row r="347" ht="15.75" customHeight="1" s="40">
      <c r="A347" s="4" t="n"/>
      <c r="B347" s="4" t="n"/>
      <c r="C347" s="4" t="n"/>
      <c r="D347" s="4" t="n"/>
      <c r="E347" s="4" t="n"/>
      <c r="F347" s="4" t="n"/>
      <c r="G347" s="4" t="n"/>
    </row>
    <row r="348" ht="15.75" customHeight="1" s="40">
      <c r="A348" s="4" t="n"/>
      <c r="B348" s="4" t="n"/>
      <c r="C348" s="4" t="n"/>
      <c r="D348" s="4" t="n"/>
      <c r="E348" s="4" t="n"/>
      <c r="F348" s="4" t="n"/>
      <c r="G348" s="4" t="n"/>
    </row>
    <row r="349" ht="15.75" customHeight="1" s="40">
      <c r="A349" s="4" t="n"/>
      <c r="B349" s="4" t="n"/>
      <c r="C349" s="4" t="n"/>
      <c r="D349" s="4" t="n"/>
      <c r="E349" s="4" t="n"/>
      <c r="F349" s="4" t="n"/>
      <c r="G349" s="4" t="n"/>
    </row>
    <row r="350" ht="15.75" customHeight="1" s="40">
      <c r="A350" s="4" t="n"/>
      <c r="B350" s="4" t="n"/>
      <c r="C350" s="4" t="n"/>
      <c r="D350" s="4" t="n"/>
      <c r="E350" s="4" t="n"/>
      <c r="F350" s="4" t="n"/>
      <c r="G350" s="4" t="n"/>
    </row>
    <row r="351" ht="15.75" customHeight="1" s="40">
      <c r="A351" s="4" t="n"/>
      <c r="B351" s="4" t="n"/>
      <c r="C351" s="4" t="n"/>
      <c r="D351" s="4" t="n"/>
      <c r="E351" s="4" t="n"/>
      <c r="F351" s="4" t="n"/>
      <c r="G351" s="4" t="n"/>
    </row>
    <row r="352" ht="15.75" customHeight="1" s="40">
      <c r="A352" s="4" t="n"/>
      <c r="B352" s="4" t="n"/>
      <c r="C352" s="4" t="n"/>
      <c r="D352" s="4" t="n"/>
      <c r="E352" s="4" t="n"/>
      <c r="F352" s="4" t="n"/>
      <c r="G352" s="4" t="n"/>
    </row>
    <row r="353" ht="15.75" customHeight="1" s="40">
      <c r="A353" s="4" t="n"/>
      <c r="B353" s="4" t="n"/>
      <c r="C353" s="4" t="n"/>
      <c r="D353" s="4" t="n"/>
      <c r="E353" s="4" t="n"/>
      <c r="F353" s="4" t="n"/>
      <c r="G353" s="4" t="n"/>
    </row>
    <row r="354" ht="15.75" customHeight="1" s="40">
      <c r="A354" s="4" t="n"/>
      <c r="B354" s="4" t="n"/>
      <c r="C354" s="4" t="n"/>
      <c r="D354" s="4" t="n"/>
      <c r="E354" s="4" t="n"/>
      <c r="F354" s="4" t="n"/>
      <c r="G354" s="4" t="n"/>
    </row>
    <row r="355" ht="15.75" customHeight="1" s="40">
      <c r="A355" s="4" t="n"/>
      <c r="B355" s="4" t="n"/>
      <c r="C355" s="4" t="n"/>
      <c r="D355" s="4" t="n"/>
      <c r="E355" s="4" t="n"/>
      <c r="F355" s="4" t="n"/>
      <c r="G355" s="4" t="n"/>
    </row>
    <row r="356" ht="15.75" customHeight="1" s="40">
      <c r="A356" s="4" t="n"/>
      <c r="B356" s="4" t="n"/>
      <c r="C356" s="4" t="n"/>
      <c r="D356" s="4" t="n"/>
      <c r="E356" s="4" t="n"/>
      <c r="F356" s="4" t="n"/>
      <c r="G356" s="4" t="n"/>
    </row>
    <row r="357" ht="15.75" customHeight="1" s="40">
      <c r="A357" s="4" t="n"/>
      <c r="B357" s="4" t="n"/>
      <c r="C357" s="4" t="n"/>
      <c r="D357" s="4" t="n"/>
      <c r="E357" s="4" t="n"/>
      <c r="F357" s="4" t="n"/>
      <c r="G357" s="4" t="n"/>
    </row>
    <row r="358" ht="15.75" customHeight="1" s="40">
      <c r="A358" s="4" t="n"/>
      <c r="B358" s="4" t="n"/>
      <c r="C358" s="4" t="n"/>
      <c r="D358" s="4" t="n"/>
      <c r="E358" s="4" t="n"/>
      <c r="F358" s="4" t="n"/>
      <c r="G358" s="4" t="n"/>
    </row>
    <row r="359" ht="15.75" customHeight="1" s="40">
      <c r="A359" s="4" t="n"/>
      <c r="B359" s="4" t="n"/>
      <c r="C359" s="4" t="n"/>
      <c r="D359" s="4" t="n"/>
      <c r="E359" s="4" t="n"/>
      <c r="F359" s="4" t="n"/>
      <c r="G359" s="4" t="n"/>
    </row>
    <row r="360" ht="15.75" customHeight="1" s="40">
      <c r="A360" s="4" t="n"/>
      <c r="B360" s="4" t="n"/>
      <c r="C360" s="4" t="n"/>
      <c r="D360" s="4" t="n"/>
      <c r="E360" s="4" t="n"/>
      <c r="F360" s="4" t="n"/>
      <c r="G360" s="4" t="n"/>
    </row>
    <row r="361" ht="15.75" customHeight="1" s="40">
      <c r="A361" s="4" t="n"/>
      <c r="B361" s="4" t="n"/>
      <c r="C361" s="4" t="n"/>
      <c r="D361" s="4" t="n"/>
      <c r="E361" s="4" t="n"/>
      <c r="F361" s="4" t="n"/>
      <c r="G361" s="4" t="n"/>
    </row>
    <row r="362" ht="15.75" customHeight="1" s="40">
      <c r="A362" s="4" t="n"/>
      <c r="B362" s="4" t="n"/>
      <c r="C362" s="4" t="n"/>
      <c r="D362" s="4" t="n"/>
      <c r="E362" s="4" t="n"/>
      <c r="F362" s="4" t="n"/>
      <c r="G362" s="4" t="n"/>
    </row>
    <row r="363" ht="15.75" customHeight="1" s="40">
      <c r="A363" s="4" t="n"/>
      <c r="B363" s="4" t="n"/>
      <c r="C363" s="4" t="n"/>
      <c r="D363" s="4" t="n"/>
      <c r="E363" s="4" t="n"/>
      <c r="F363" s="4" t="n"/>
      <c r="G363" s="4" t="n"/>
    </row>
    <row r="364" ht="15.75" customHeight="1" s="40">
      <c r="A364" s="4" t="n"/>
      <c r="B364" s="4" t="n"/>
      <c r="C364" s="4" t="n"/>
      <c r="D364" s="4" t="n"/>
      <c r="E364" s="4" t="n"/>
      <c r="F364" s="4" t="n"/>
      <c r="G364" s="4" t="n"/>
    </row>
    <row r="365" ht="15.75" customHeight="1" s="40">
      <c r="A365" s="4" t="n"/>
      <c r="B365" s="4" t="n"/>
      <c r="C365" s="4" t="n"/>
      <c r="D365" s="4" t="n"/>
      <c r="E365" s="4" t="n"/>
      <c r="F365" s="4" t="n"/>
      <c r="G365" s="4" t="n"/>
    </row>
    <row r="366" ht="15.75" customHeight="1" s="40">
      <c r="A366" s="4" t="n"/>
      <c r="B366" s="4" t="n"/>
      <c r="C366" s="4" t="n"/>
      <c r="D366" s="4" t="n"/>
      <c r="E366" s="4" t="n"/>
      <c r="F366" s="4" t="n"/>
      <c r="G366" s="4" t="n"/>
    </row>
    <row r="367" ht="15.75" customHeight="1" s="40">
      <c r="A367" s="4" t="n"/>
      <c r="B367" s="4" t="n"/>
      <c r="C367" s="4" t="n"/>
      <c r="D367" s="4" t="n"/>
      <c r="E367" s="4" t="n"/>
      <c r="F367" s="4" t="n"/>
      <c r="G367" s="4" t="n"/>
    </row>
    <row r="368" ht="15.75" customHeight="1" s="40">
      <c r="A368" s="4" t="n"/>
      <c r="B368" s="4" t="n"/>
      <c r="C368" s="4" t="n"/>
      <c r="D368" s="4" t="n"/>
      <c r="E368" s="4" t="n"/>
      <c r="F368" s="4" t="n"/>
      <c r="G368" s="4" t="n"/>
    </row>
    <row r="369" ht="15.75" customHeight="1" s="40">
      <c r="A369" s="4" t="n"/>
      <c r="B369" s="4" t="n"/>
      <c r="C369" s="4" t="n"/>
      <c r="D369" s="4" t="n"/>
      <c r="E369" s="4" t="n"/>
      <c r="F369" s="4" t="n"/>
      <c r="G369" s="4" t="n"/>
    </row>
    <row r="370" ht="15.75" customHeight="1" s="40">
      <c r="A370" s="4" t="n"/>
      <c r="B370" s="4" t="n"/>
      <c r="C370" s="4" t="n"/>
      <c r="D370" s="4" t="n"/>
      <c r="E370" s="4" t="n"/>
      <c r="F370" s="4" t="n"/>
      <c r="G370" s="4" t="n"/>
    </row>
    <row r="371" ht="15.75" customHeight="1" s="40">
      <c r="A371" s="4" t="n"/>
      <c r="B371" s="4" t="n"/>
      <c r="C371" s="4" t="n"/>
      <c r="D371" s="4" t="n"/>
      <c r="E371" s="4" t="n"/>
      <c r="F371" s="4" t="n"/>
      <c r="G371" s="4" t="n"/>
    </row>
    <row r="372" ht="15.75" customHeight="1" s="40">
      <c r="A372" s="4" t="n"/>
      <c r="B372" s="4" t="n"/>
      <c r="C372" s="4" t="n"/>
      <c r="D372" s="4" t="n"/>
      <c r="E372" s="4" t="n"/>
      <c r="F372" s="4" t="n"/>
      <c r="G372" s="4" t="n"/>
    </row>
    <row r="373" ht="15.75" customHeight="1" s="40">
      <c r="A373" s="4" t="n"/>
      <c r="B373" s="4" t="n"/>
      <c r="C373" s="4" t="n"/>
      <c r="D373" s="4" t="n"/>
      <c r="E373" s="4" t="n"/>
      <c r="F373" s="4" t="n"/>
      <c r="G373" s="4" t="n"/>
    </row>
    <row r="374" ht="15.75" customHeight="1" s="40">
      <c r="A374" s="4" t="n"/>
      <c r="B374" s="4" t="n"/>
      <c r="C374" s="4" t="n"/>
      <c r="D374" s="4" t="n"/>
      <c r="E374" s="4" t="n"/>
      <c r="F374" s="4" t="n"/>
      <c r="G374" s="4" t="n"/>
    </row>
    <row r="375" ht="15.75" customHeight="1" s="40">
      <c r="A375" s="4" t="n"/>
      <c r="B375" s="4" t="n"/>
      <c r="C375" s="4" t="n"/>
      <c r="D375" s="4" t="n"/>
      <c r="E375" s="4" t="n"/>
      <c r="F375" s="4" t="n"/>
      <c r="G375" s="4" t="n"/>
    </row>
    <row r="376" ht="15.75" customHeight="1" s="40">
      <c r="A376" s="4" t="n"/>
      <c r="B376" s="4" t="n"/>
      <c r="C376" s="4" t="n"/>
      <c r="D376" s="4" t="n"/>
      <c r="E376" s="4" t="n"/>
      <c r="F376" s="4" t="n"/>
      <c r="G376" s="4" t="n"/>
    </row>
    <row r="377" ht="15.75" customHeight="1" s="40">
      <c r="A377" s="4" t="n"/>
      <c r="B377" s="4" t="n"/>
      <c r="C377" s="4" t="n"/>
      <c r="D377" s="4" t="n"/>
      <c r="E377" s="4" t="n"/>
      <c r="F377" s="4" t="n"/>
      <c r="G377" s="4" t="n"/>
    </row>
    <row r="378" ht="15.75" customHeight="1" s="40">
      <c r="A378" s="4" t="n"/>
      <c r="B378" s="4" t="n"/>
      <c r="C378" s="4" t="n"/>
      <c r="D378" s="4" t="n"/>
      <c r="E378" s="4" t="n"/>
      <c r="F378" s="4" t="n"/>
      <c r="G378" s="4" t="n"/>
    </row>
    <row r="379" ht="15.75" customHeight="1" s="40">
      <c r="A379" s="4" t="n"/>
      <c r="B379" s="4" t="n"/>
      <c r="C379" s="4" t="n"/>
      <c r="D379" s="4" t="n"/>
      <c r="E379" s="4" t="n"/>
      <c r="F379" s="4" t="n"/>
      <c r="G379" s="4" t="n"/>
    </row>
    <row r="380" ht="15.75" customHeight="1" s="40">
      <c r="A380" s="4" t="n"/>
      <c r="B380" s="4" t="n"/>
      <c r="C380" s="4" t="n"/>
      <c r="D380" s="4" t="n"/>
      <c r="E380" s="4" t="n"/>
      <c r="F380" s="4" t="n"/>
      <c r="G380" s="4" t="n"/>
    </row>
    <row r="381" ht="15.75" customHeight="1" s="40">
      <c r="A381" s="4" t="n"/>
      <c r="B381" s="4" t="n"/>
      <c r="C381" s="4" t="n"/>
      <c r="D381" s="4" t="n"/>
      <c r="E381" s="4" t="n"/>
      <c r="F381" s="4" t="n"/>
      <c r="G381" s="4" t="n"/>
    </row>
    <row r="382" ht="15.75" customHeight="1" s="40">
      <c r="A382" s="4" t="n"/>
      <c r="B382" s="4" t="n"/>
      <c r="C382" s="4" t="n"/>
      <c r="D382" s="4" t="n"/>
      <c r="E382" s="4" t="n"/>
      <c r="F382" s="4" t="n"/>
      <c r="G382" s="4" t="n"/>
    </row>
    <row r="383" ht="15.75" customHeight="1" s="40">
      <c r="A383" s="4" t="n"/>
      <c r="B383" s="4" t="n"/>
      <c r="C383" s="4" t="n"/>
      <c r="D383" s="4" t="n"/>
      <c r="E383" s="4" t="n"/>
      <c r="F383" s="4" t="n"/>
      <c r="G383" s="4" t="n"/>
    </row>
    <row r="384" ht="15.75" customHeight="1" s="40">
      <c r="A384" s="4" t="n"/>
      <c r="B384" s="4" t="n"/>
      <c r="C384" s="4" t="n"/>
      <c r="D384" s="4" t="n"/>
      <c r="E384" s="4" t="n"/>
      <c r="F384" s="4" t="n"/>
      <c r="G384" s="4" t="n"/>
    </row>
    <row r="385" ht="15.75" customHeight="1" s="40">
      <c r="A385" s="4" t="n"/>
      <c r="B385" s="4" t="n"/>
      <c r="C385" s="4" t="n"/>
      <c r="D385" s="4" t="n"/>
      <c r="E385" s="4" t="n"/>
      <c r="F385" s="4" t="n"/>
      <c r="G385" s="4" t="n"/>
    </row>
    <row r="386" ht="15.75" customHeight="1" s="40">
      <c r="A386" s="4" t="n"/>
      <c r="B386" s="4" t="n"/>
      <c r="C386" s="4" t="n"/>
      <c r="D386" s="4" t="n"/>
      <c r="E386" s="4" t="n"/>
      <c r="F386" s="4" t="n"/>
      <c r="G386" s="4" t="n"/>
    </row>
    <row r="387" ht="15.75" customHeight="1" s="40">
      <c r="A387" s="4" t="n"/>
      <c r="B387" s="4" t="n"/>
      <c r="C387" s="4" t="n"/>
      <c r="D387" s="4" t="n"/>
      <c r="E387" s="4" t="n"/>
      <c r="F387" s="4" t="n"/>
      <c r="G387" s="4" t="n"/>
    </row>
    <row r="388" ht="15.75" customHeight="1" s="40">
      <c r="A388" s="4" t="n"/>
      <c r="B388" s="4" t="n"/>
      <c r="C388" s="4" t="n"/>
      <c r="D388" s="4" t="n"/>
      <c r="E388" s="4" t="n"/>
      <c r="F388" s="4" t="n"/>
      <c r="G388" s="4" t="n"/>
    </row>
    <row r="389" ht="15.75" customHeight="1" s="40">
      <c r="A389" s="4" t="n"/>
      <c r="B389" s="4" t="n"/>
      <c r="C389" s="4" t="n"/>
      <c r="D389" s="4" t="n"/>
      <c r="E389" s="4" t="n"/>
      <c r="F389" s="4" t="n"/>
      <c r="G389" s="4" t="n"/>
    </row>
    <row r="390" ht="15.75" customHeight="1" s="40">
      <c r="A390" s="4" t="n"/>
      <c r="B390" s="4" t="n"/>
      <c r="C390" s="4" t="n"/>
      <c r="D390" s="4" t="n"/>
      <c r="E390" s="4" t="n"/>
      <c r="F390" s="4" t="n"/>
      <c r="G390" s="4" t="n"/>
    </row>
    <row r="391" ht="15.75" customHeight="1" s="40">
      <c r="A391" s="4" t="n"/>
      <c r="B391" s="4" t="n"/>
      <c r="C391" s="4" t="n"/>
      <c r="D391" s="4" t="n"/>
      <c r="E391" s="4" t="n"/>
      <c r="F391" s="4" t="n"/>
      <c r="G391" s="4" t="n"/>
    </row>
    <row r="392" ht="15.75" customHeight="1" s="40">
      <c r="A392" s="4" t="n"/>
      <c r="B392" s="4" t="n"/>
      <c r="C392" s="4" t="n"/>
      <c r="D392" s="4" t="n"/>
      <c r="E392" s="4" t="n"/>
      <c r="F392" s="4" t="n"/>
      <c r="G392" s="4" t="n"/>
    </row>
    <row r="393" ht="15.75" customHeight="1" s="40">
      <c r="A393" s="4" t="n"/>
      <c r="B393" s="4" t="n"/>
      <c r="C393" s="4" t="n"/>
      <c r="D393" s="4" t="n"/>
      <c r="E393" s="4" t="n"/>
      <c r="F393" s="4" t="n"/>
      <c r="G393" s="4" t="n"/>
    </row>
    <row r="394" ht="15.75" customHeight="1" s="40">
      <c r="A394" s="4" t="n"/>
      <c r="B394" s="4" t="n"/>
      <c r="C394" s="4" t="n"/>
      <c r="D394" s="4" t="n"/>
      <c r="E394" s="4" t="n"/>
      <c r="F394" s="4" t="n"/>
      <c r="G394" s="4" t="n"/>
    </row>
    <row r="395" ht="15.75" customHeight="1" s="40">
      <c r="A395" s="4" t="n"/>
      <c r="B395" s="4" t="n"/>
      <c r="C395" s="4" t="n"/>
      <c r="D395" s="4" t="n"/>
      <c r="E395" s="4" t="n"/>
      <c r="F395" s="4" t="n"/>
      <c r="G395" s="4" t="n"/>
    </row>
    <row r="396" ht="15.75" customHeight="1" s="40">
      <c r="A396" s="4" t="n"/>
      <c r="B396" s="4" t="n"/>
      <c r="C396" s="4" t="n"/>
      <c r="D396" s="4" t="n"/>
      <c r="E396" s="4" t="n"/>
      <c r="F396" s="4" t="n"/>
      <c r="G396" s="4" t="n"/>
    </row>
    <row r="397" ht="15.75" customHeight="1" s="40">
      <c r="A397" s="4" t="n"/>
      <c r="B397" s="4" t="n"/>
      <c r="C397" s="4" t="n"/>
      <c r="D397" s="4" t="n"/>
      <c r="E397" s="4" t="n"/>
      <c r="F397" s="4" t="n"/>
      <c r="G397" s="4" t="n"/>
    </row>
    <row r="398" ht="15.75" customHeight="1" s="40">
      <c r="A398" s="4" t="n"/>
      <c r="B398" s="4" t="n"/>
      <c r="C398" s="4" t="n"/>
      <c r="D398" s="4" t="n"/>
      <c r="E398" s="4" t="n"/>
      <c r="F398" s="4" t="n"/>
      <c r="G398" s="4" t="n"/>
    </row>
    <row r="399" ht="15.75" customHeight="1" s="40">
      <c r="A399" s="4" t="n"/>
      <c r="B399" s="4" t="n"/>
      <c r="C399" s="4" t="n"/>
      <c r="D399" s="4" t="n"/>
      <c r="E399" s="4" t="n"/>
      <c r="F399" s="4" t="n"/>
      <c r="G399" s="4" t="n"/>
    </row>
    <row r="400" ht="15.75" customHeight="1" s="40">
      <c r="A400" s="4" t="n"/>
      <c r="B400" s="4" t="n"/>
      <c r="C400" s="4" t="n"/>
      <c r="D400" s="4" t="n"/>
      <c r="E400" s="4" t="n"/>
      <c r="F400" s="4" t="n"/>
      <c r="G400" s="4" t="n"/>
    </row>
    <row r="401" ht="15.75" customHeight="1" s="40">
      <c r="A401" s="4" t="n"/>
      <c r="B401" s="4" t="n"/>
      <c r="C401" s="4" t="n"/>
      <c r="D401" s="4" t="n"/>
      <c r="E401" s="4" t="n"/>
      <c r="F401" s="4" t="n"/>
      <c r="G401" s="4" t="n"/>
    </row>
    <row r="402" ht="15.75" customHeight="1" s="40">
      <c r="A402" s="4" t="n"/>
      <c r="B402" s="4" t="n"/>
      <c r="C402" s="4" t="n"/>
      <c r="D402" s="4" t="n"/>
      <c r="E402" s="4" t="n"/>
      <c r="F402" s="4" t="n"/>
      <c r="G402" s="4" t="n"/>
    </row>
    <row r="403" ht="15.75" customHeight="1" s="40">
      <c r="A403" s="4" t="n"/>
      <c r="B403" s="4" t="n"/>
      <c r="C403" s="4" t="n"/>
      <c r="D403" s="4" t="n"/>
      <c r="E403" s="4" t="n"/>
      <c r="F403" s="4" t="n"/>
      <c r="G403" s="4" t="n"/>
    </row>
    <row r="404" ht="15.75" customHeight="1" s="40">
      <c r="A404" s="4" t="n"/>
      <c r="B404" s="4" t="n"/>
      <c r="C404" s="4" t="n"/>
      <c r="D404" s="4" t="n"/>
      <c r="E404" s="4" t="n"/>
      <c r="F404" s="4" t="n"/>
      <c r="G404" s="4" t="n"/>
    </row>
    <row r="405" ht="15.75" customHeight="1" s="40">
      <c r="A405" s="4" t="n"/>
      <c r="B405" s="4" t="n"/>
      <c r="C405" s="4" t="n"/>
      <c r="D405" s="4" t="n"/>
      <c r="E405" s="4" t="n"/>
      <c r="F405" s="4" t="n"/>
      <c r="G405" s="4" t="n"/>
    </row>
    <row r="406" ht="15.75" customHeight="1" s="40">
      <c r="A406" s="4" t="n"/>
      <c r="B406" s="4" t="n"/>
      <c r="C406" s="4" t="n"/>
      <c r="D406" s="4" t="n"/>
      <c r="E406" s="4" t="n"/>
      <c r="F406" s="4" t="n"/>
      <c r="G406" s="4" t="n"/>
    </row>
    <row r="407" ht="15.75" customHeight="1" s="40">
      <c r="A407" s="4" t="n"/>
      <c r="B407" s="4" t="n"/>
      <c r="C407" s="4" t="n"/>
      <c r="D407" s="4" t="n"/>
      <c r="E407" s="4" t="n"/>
      <c r="F407" s="4" t="n"/>
      <c r="G407" s="4" t="n"/>
    </row>
    <row r="408" ht="15.75" customHeight="1" s="40">
      <c r="A408" s="4" t="n"/>
      <c r="B408" s="4" t="n"/>
      <c r="C408" s="4" t="n"/>
      <c r="D408" s="4" t="n"/>
      <c r="E408" s="4" t="n"/>
      <c r="F408" s="4" t="n"/>
      <c r="G408" s="4" t="n"/>
    </row>
    <row r="409" ht="15.75" customHeight="1" s="40">
      <c r="A409" s="4" t="n"/>
      <c r="B409" s="4" t="n"/>
      <c r="C409" s="4" t="n"/>
      <c r="D409" s="4" t="n"/>
      <c r="E409" s="4" t="n"/>
      <c r="F409" s="4" t="n"/>
      <c r="G409" s="4" t="n"/>
    </row>
    <row r="410" ht="15.75" customHeight="1" s="40">
      <c r="A410" s="4" t="n"/>
      <c r="B410" s="4" t="n"/>
      <c r="C410" s="4" t="n"/>
      <c r="D410" s="4" t="n"/>
      <c r="E410" s="4" t="n"/>
      <c r="F410" s="4" t="n"/>
      <c r="G410" s="4" t="n"/>
    </row>
    <row r="411" ht="15.75" customHeight="1" s="40">
      <c r="A411" s="4" t="n"/>
      <c r="B411" s="4" t="n"/>
      <c r="C411" s="4" t="n"/>
      <c r="D411" s="4" t="n"/>
      <c r="E411" s="4" t="n"/>
      <c r="F411" s="4" t="n"/>
      <c r="G411" s="4" t="n"/>
    </row>
    <row r="412" ht="15.75" customHeight="1" s="40">
      <c r="A412" s="4" t="n"/>
      <c r="B412" s="4" t="n"/>
      <c r="C412" s="4" t="n"/>
      <c r="D412" s="4" t="n"/>
      <c r="E412" s="4" t="n"/>
      <c r="F412" s="4" t="n"/>
      <c r="G412" s="4" t="n"/>
    </row>
    <row r="413" ht="15.75" customHeight="1" s="40">
      <c r="A413" s="4" t="n"/>
      <c r="B413" s="4" t="n"/>
      <c r="C413" s="4" t="n"/>
      <c r="D413" s="4" t="n"/>
      <c r="E413" s="4" t="n"/>
      <c r="F413" s="4" t="n"/>
      <c r="G413" s="4" t="n"/>
    </row>
    <row r="414" ht="15.75" customHeight="1" s="40">
      <c r="A414" s="4" t="n"/>
      <c r="B414" s="4" t="n"/>
      <c r="C414" s="4" t="n"/>
      <c r="D414" s="4" t="n"/>
      <c r="E414" s="4" t="n"/>
      <c r="F414" s="4" t="n"/>
      <c r="G414" s="4" t="n"/>
    </row>
    <row r="415" ht="15.75" customHeight="1" s="40">
      <c r="A415" s="4" t="n"/>
      <c r="B415" s="4" t="n"/>
      <c r="C415" s="4" t="n"/>
      <c r="D415" s="4" t="n"/>
      <c r="E415" s="4" t="n"/>
      <c r="F415" s="4" t="n"/>
      <c r="G415" s="4" t="n"/>
    </row>
    <row r="416" ht="15.75" customHeight="1" s="40">
      <c r="A416" s="4" t="n"/>
      <c r="B416" s="4" t="n"/>
      <c r="C416" s="4" t="n"/>
      <c r="D416" s="4" t="n"/>
      <c r="E416" s="4" t="n"/>
      <c r="F416" s="4" t="n"/>
      <c r="G416" s="4" t="n"/>
    </row>
    <row r="417" ht="15.75" customHeight="1" s="40">
      <c r="A417" s="4" t="n"/>
      <c r="B417" s="4" t="n"/>
      <c r="C417" s="4" t="n"/>
      <c r="D417" s="4" t="n"/>
      <c r="E417" s="4" t="n"/>
      <c r="F417" s="4" t="n"/>
      <c r="G417" s="4" t="n"/>
    </row>
    <row r="418" ht="15.75" customHeight="1" s="40">
      <c r="A418" s="4" t="n"/>
      <c r="B418" s="4" t="n"/>
      <c r="C418" s="4" t="n"/>
      <c r="D418" s="4" t="n"/>
      <c r="E418" s="4" t="n"/>
      <c r="F418" s="4" t="n"/>
      <c r="G418" s="4" t="n"/>
    </row>
    <row r="419" ht="15.75" customHeight="1" s="40">
      <c r="A419" s="4" t="n"/>
      <c r="B419" s="4" t="n"/>
      <c r="C419" s="4" t="n"/>
      <c r="D419" s="4" t="n"/>
      <c r="E419" s="4" t="n"/>
      <c r="F419" s="4" t="n"/>
      <c r="G419" s="4" t="n"/>
    </row>
    <row r="420" ht="15.75" customHeight="1" s="40">
      <c r="A420" s="4" t="n"/>
      <c r="B420" s="4" t="n"/>
      <c r="C420" s="4" t="n"/>
      <c r="D420" s="4" t="n"/>
      <c r="E420" s="4" t="n"/>
      <c r="F420" s="4" t="n"/>
      <c r="G420" s="4" t="n"/>
    </row>
    <row r="421" ht="15.75" customHeight="1" s="40">
      <c r="A421" s="4" t="n"/>
      <c r="B421" s="4" t="n"/>
      <c r="C421" s="4" t="n"/>
      <c r="D421" s="4" t="n"/>
      <c r="E421" s="4" t="n"/>
      <c r="F421" s="4" t="n"/>
      <c r="G421" s="4" t="n"/>
    </row>
    <row r="422" ht="15.75" customHeight="1" s="40">
      <c r="A422" s="4" t="n"/>
      <c r="B422" s="4" t="n"/>
      <c r="C422" s="4" t="n"/>
      <c r="D422" s="4" t="n"/>
      <c r="E422" s="4" t="n"/>
      <c r="F422" s="4" t="n"/>
      <c r="G422" s="4" t="n"/>
    </row>
    <row r="423" ht="15.75" customHeight="1" s="40">
      <c r="A423" s="4" t="n"/>
      <c r="B423" s="4" t="n"/>
      <c r="C423" s="4" t="n"/>
      <c r="D423" s="4" t="n"/>
      <c r="E423" s="4" t="n"/>
      <c r="F423" s="4" t="n"/>
      <c r="G423" s="4" t="n"/>
    </row>
    <row r="424" ht="15.75" customHeight="1" s="40">
      <c r="A424" s="4" t="n"/>
      <c r="B424" s="4" t="n"/>
      <c r="C424" s="4" t="n"/>
      <c r="D424" s="4" t="n"/>
      <c r="E424" s="4" t="n"/>
      <c r="F424" s="4" t="n"/>
      <c r="G424" s="4" t="n"/>
    </row>
    <row r="425" ht="15.75" customHeight="1" s="40">
      <c r="A425" s="4" t="n"/>
      <c r="B425" s="4" t="n"/>
      <c r="C425" s="4" t="n"/>
      <c r="D425" s="4" t="n"/>
      <c r="E425" s="4" t="n"/>
      <c r="F425" s="4" t="n"/>
      <c r="G425" s="4" t="n"/>
    </row>
    <row r="426" ht="15.75" customHeight="1" s="40">
      <c r="A426" s="4" t="n"/>
      <c r="B426" s="4" t="n"/>
      <c r="C426" s="4" t="n"/>
      <c r="D426" s="4" t="n"/>
      <c r="E426" s="4" t="n"/>
      <c r="F426" s="4" t="n"/>
      <c r="G426" s="4" t="n"/>
    </row>
    <row r="427" ht="15.75" customHeight="1" s="40">
      <c r="A427" s="4" t="n"/>
      <c r="B427" s="4" t="n"/>
      <c r="C427" s="4" t="n"/>
      <c r="D427" s="4" t="n"/>
      <c r="E427" s="4" t="n"/>
      <c r="F427" s="4" t="n"/>
      <c r="G427" s="4" t="n"/>
    </row>
    <row r="428" ht="15.75" customHeight="1" s="40">
      <c r="A428" s="4" t="n"/>
      <c r="B428" s="4" t="n"/>
      <c r="C428" s="4" t="n"/>
      <c r="D428" s="4" t="n"/>
      <c r="E428" s="4" t="n"/>
      <c r="F428" s="4" t="n"/>
      <c r="G428" s="4" t="n"/>
    </row>
    <row r="429" ht="15.75" customHeight="1" s="40">
      <c r="A429" s="4" t="n"/>
      <c r="B429" s="4" t="n"/>
      <c r="C429" s="4" t="n"/>
      <c r="D429" s="4" t="n"/>
      <c r="E429" s="4" t="n"/>
      <c r="F429" s="4" t="n"/>
      <c r="G429" s="4" t="n"/>
    </row>
    <row r="430" ht="15.75" customHeight="1" s="40">
      <c r="A430" s="4" t="n"/>
      <c r="B430" s="4" t="n"/>
      <c r="C430" s="4" t="n"/>
      <c r="D430" s="4" t="n"/>
      <c r="E430" s="4" t="n"/>
      <c r="F430" s="4" t="n"/>
      <c r="G430" s="4" t="n"/>
    </row>
    <row r="431" ht="15.75" customHeight="1" s="40">
      <c r="A431" s="4" t="n"/>
      <c r="B431" s="4" t="n"/>
      <c r="C431" s="4" t="n"/>
      <c r="D431" s="4" t="n"/>
      <c r="E431" s="4" t="n"/>
      <c r="F431" s="4" t="n"/>
      <c r="G431" s="4" t="n"/>
    </row>
    <row r="432" ht="15.75" customHeight="1" s="40">
      <c r="A432" s="4" t="n"/>
      <c r="B432" s="4" t="n"/>
      <c r="C432" s="4" t="n"/>
      <c r="D432" s="4" t="n"/>
      <c r="E432" s="4" t="n"/>
      <c r="F432" s="4" t="n"/>
      <c r="G432" s="4" t="n"/>
    </row>
    <row r="433" ht="15.75" customHeight="1" s="40">
      <c r="A433" s="4" t="n"/>
      <c r="B433" s="4" t="n"/>
      <c r="C433" s="4" t="n"/>
      <c r="D433" s="4" t="n"/>
      <c r="E433" s="4" t="n"/>
      <c r="F433" s="4" t="n"/>
      <c r="G433" s="4" t="n"/>
    </row>
    <row r="434" ht="15.75" customHeight="1" s="40">
      <c r="A434" s="4" t="n"/>
      <c r="B434" s="4" t="n"/>
      <c r="C434" s="4" t="n"/>
      <c r="D434" s="4" t="n"/>
      <c r="E434" s="4" t="n"/>
      <c r="F434" s="4" t="n"/>
      <c r="G434" s="4" t="n"/>
    </row>
    <row r="435" ht="15.75" customHeight="1" s="40">
      <c r="A435" s="4" t="n"/>
      <c r="B435" s="4" t="n"/>
      <c r="C435" s="4" t="n"/>
      <c r="D435" s="4" t="n"/>
      <c r="E435" s="4" t="n"/>
      <c r="F435" s="4" t="n"/>
      <c r="G435" s="4" t="n"/>
    </row>
    <row r="436" ht="15.75" customHeight="1" s="40">
      <c r="A436" s="4" t="n"/>
      <c r="B436" s="4" t="n"/>
      <c r="C436" s="4" t="n"/>
      <c r="D436" s="4" t="n"/>
      <c r="E436" s="4" t="n"/>
      <c r="F436" s="4" t="n"/>
      <c r="G436" s="4" t="n"/>
    </row>
    <row r="437" ht="15.75" customHeight="1" s="40">
      <c r="A437" s="4" t="n"/>
      <c r="B437" s="4" t="n"/>
      <c r="C437" s="4" t="n"/>
      <c r="D437" s="4" t="n"/>
      <c r="E437" s="4" t="n"/>
      <c r="F437" s="4" t="n"/>
      <c r="G437" s="4" t="n"/>
    </row>
    <row r="438" ht="15.75" customHeight="1" s="40">
      <c r="A438" s="4" t="n"/>
      <c r="B438" s="4" t="n"/>
      <c r="C438" s="4" t="n"/>
      <c r="D438" s="4" t="n"/>
      <c r="E438" s="4" t="n"/>
      <c r="F438" s="4" t="n"/>
      <c r="G438" s="4" t="n"/>
    </row>
    <row r="439" ht="15.75" customHeight="1" s="40">
      <c r="A439" s="4" t="n"/>
      <c r="B439" s="4" t="n"/>
      <c r="C439" s="4" t="n"/>
      <c r="D439" s="4" t="n"/>
      <c r="E439" s="4" t="n"/>
      <c r="F439" s="4" t="n"/>
      <c r="G439" s="4" t="n"/>
    </row>
    <row r="440" ht="15.75" customHeight="1" s="40">
      <c r="A440" s="4" t="n"/>
      <c r="B440" s="4" t="n"/>
      <c r="C440" s="4" t="n"/>
      <c r="D440" s="4" t="n"/>
      <c r="E440" s="4" t="n"/>
      <c r="F440" s="4" t="n"/>
      <c r="G440" s="4" t="n"/>
    </row>
    <row r="441" ht="15.75" customHeight="1" s="40">
      <c r="A441" s="4" t="n"/>
      <c r="B441" s="4" t="n"/>
      <c r="C441" s="4" t="n"/>
      <c r="D441" s="4" t="n"/>
      <c r="E441" s="4" t="n"/>
      <c r="F441" s="4" t="n"/>
      <c r="G441" s="4" t="n"/>
    </row>
    <row r="442" ht="15.75" customHeight="1" s="40">
      <c r="A442" s="4" t="n"/>
      <c r="B442" s="4" t="n"/>
      <c r="C442" s="4" t="n"/>
      <c r="D442" s="4" t="n"/>
      <c r="E442" s="4" t="n"/>
      <c r="F442" s="4" t="n"/>
      <c r="G442" s="4" t="n"/>
    </row>
    <row r="443" ht="15.75" customHeight="1" s="40">
      <c r="A443" s="4" t="n"/>
      <c r="B443" s="4" t="n"/>
      <c r="C443" s="4" t="n"/>
      <c r="D443" s="4" t="n"/>
      <c r="E443" s="4" t="n"/>
      <c r="F443" s="4" t="n"/>
      <c r="G443" s="4" t="n"/>
    </row>
    <row r="444" ht="15.75" customHeight="1" s="40">
      <c r="A444" s="4" t="n"/>
      <c r="B444" s="4" t="n"/>
      <c r="C444" s="4" t="n"/>
      <c r="D444" s="4" t="n"/>
      <c r="E444" s="4" t="n"/>
      <c r="F444" s="4" t="n"/>
      <c r="G444" s="4" t="n"/>
    </row>
    <row r="445" ht="15.75" customHeight="1" s="40">
      <c r="A445" s="4" t="n"/>
      <c r="B445" s="4" t="n"/>
      <c r="C445" s="4" t="n"/>
      <c r="D445" s="4" t="n"/>
      <c r="E445" s="4" t="n"/>
      <c r="F445" s="4" t="n"/>
      <c r="G445" s="4" t="n"/>
    </row>
    <row r="446" ht="15.75" customHeight="1" s="40">
      <c r="A446" s="4" t="n"/>
      <c r="B446" s="4" t="n"/>
      <c r="C446" s="4" t="n"/>
      <c r="D446" s="4" t="n"/>
      <c r="E446" s="4" t="n"/>
      <c r="F446" s="4" t="n"/>
      <c r="G446" s="4" t="n"/>
    </row>
    <row r="447" ht="15.75" customHeight="1" s="40">
      <c r="A447" s="4" t="n"/>
      <c r="B447" s="4" t="n"/>
      <c r="C447" s="4" t="n"/>
      <c r="D447" s="4" t="n"/>
      <c r="E447" s="4" t="n"/>
      <c r="F447" s="4" t="n"/>
      <c r="G447" s="4" t="n"/>
    </row>
    <row r="448" ht="15.75" customHeight="1" s="40">
      <c r="A448" s="4" t="n"/>
      <c r="B448" s="4" t="n"/>
      <c r="C448" s="4" t="n"/>
      <c r="D448" s="4" t="n"/>
      <c r="E448" s="4" t="n"/>
      <c r="F448" s="4" t="n"/>
      <c r="G448" s="4" t="n"/>
    </row>
    <row r="449" ht="15.75" customHeight="1" s="40">
      <c r="A449" s="4" t="n"/>
      <c r="B449" s="4" t="n"/>
      <c r="C449" s="4" t="n"/>
      <c r="D449" s="4" t="n"/>
      <c r="E449" s="4" t="n"/>
      <c r="F449" s="4" t="n"/>
      <c r="G449" s="4" t="n"/>
    </row>
    <row r="450" ht="15.75" customHeight="1" s="40">
      <c r="A450" s="4" t="n"/>
      <c r="B450" s="4" t="n"/>
      <c r="C450" s="4" t="n"/>
      <c r="D450" s="4" t="n"/>
      <c r="E450" s="4" t="n"/>
      <c r="F450" s="4" t="n"/>
      <c r="G450" s="4" t="n"/>
    </row>
    <row r="451" ht="15.75" customHeight="1" s="40">
      <c r="A451" s="4" t="n"/>
      <c r="B451" s="4" t="n"/>
      <c r="C451" s="4" t="n"/>
      <c r="D451" s="4" t="n"/>
      <c r="E451" s="4" t="n"/>
      <c r="F451" s="4" t="n"/>
      <c r="G451" s="4" t="n"/>
    </row>
    <row r="452" ht="15.75" customHeight="1" s="40">
      <c r="A452" s="4" t="n"/>
      <c r="B452" s="4" t="n"/>
      <c r="C452" s="4" t="n"/>
      <c r="D452" s="4" t="n"/>
      <c r="E452" s="4" t="n"/>
      <c r="F452" s="4" t="n"/>
      <c r="G452" s="4" t="n"/>
    </row>
    <row r="453" ht="15.75" customHeight="1" s="40">
      <c r="A453" s="4" t="n"/>
      <c r="B453" s="4" t="n"/>
      <c r="C453" s="4" t="n"/>
      <c r="D453" s="4" t="n"/>
      <c r="E453" s="4" t="n"/>
      <c r="F453" s="4" t="n"/>
      <c r="G453" s="4" t="n"/>
    </row>
    <row r="454" ht="15.75" customHeight="1" s="40">
      <c r="A454" s="4" t="n"/>
      <c r="B454" s="4" t="n"/>
      <c r="C454" s="4" t="n"/>
      <c r="D454" s="4" t="n"/>
      <c r="E454" s="4" t="n"/>
      <c r="F454" s="4" t="n"/>
      <c r="G454" s="4" t="n"/>
    </row>
    <row r="455" ht="15.75" customHeight="1" s="40">
      <c r="A455" s="4" t="n"/>
      <c r="B455" s="4" t="n"/>
      <c r="C455" s="4" t="n"/>
      <c r="D455" s="4" t="n"/>
      <c r="E455" s="4" t="n"/>
      <c r="F455" s="4" t="n"/>
      <c r="G455" s="4" t="n"/>
    </row>
    <row r="456" ht="15.75" customHeight="1" s="40">
      <c r="A456" s="4" t="n"/>
      <c r="B456" s="4" t="n"/>
      <c r="C456" s="4" t="n"/>
      <c r="D456" s="4" t="n"/>
      <c r="E456" s="4" t="n"/>
      <c r="F456" s="4" t="n"/>
      <c r="G456" s="4" t="n"/>
    </row>
    <row r="457" ht="15.75" customHeight="1" s="40">
      <c r="A457" s="4" t="n"/>
      <c r="B457" s="4" t="n"/>
      <c r="C457" s="4" t="n"/>
      <c r="D457" s="4" t="n"/>
      <c r="E457" s="4" t="n"/>
      <c r="F457" s="4" t="n"/>
      <c r="G457" s="4" t="n"/>
    </row>
    <row r="458" ht="15.75" customHeight="1" s="40">
      <c r="A458" s="4" t="n"/>
      <c r="B458" s="4" t="n"/>
      <c r="C458" s="4" t="n"/>
      <c r="D458" s="4" t="n"/>
      <c r="E458" s="4" t="n"/>
      <c r="F458" s="4" t="n"/>
      <c r="G458" s="4" t="n"/>
    </row>
    <row r="459" ht="15.75" customHeight="1" s="40">
      <c r="A459" s="4" t="n"/>
      <c r="B459" s="4" t="n"/>
      <c r="C459" s="4" t="n"/>
      <c r="D459" s="4" t="n"/>
      <c r="E459" s="4" t="n"/>
      <c r="F459" s="4" t="n"/>
      <c r="G459" s="4" t="n"/>
    </row>
    <row r="460" ht="15.75" customHeight="1" s="40">
      <c r="A460" s="4" t="n"/>
      <c r="B460" s="4" t="n"/>
      <c r="C460" s="4" t="n"/>
      <c r="D460" s="4" t="n"/>
      <c r="E460" s="4" t="n"/>
      <c r="F460" s="4" t="n"/>
      <c r="G460" s="4" t="n"/>
    </row>
    <row r="461" ht="15.75" customHeight="1" s="40">
      <c r="A461" s="4" t="n"/>
      <c r="B461" s="4" t="n"/>
      <c r="C461" s="4" t="n"/>
      <c r="D461" s="4" t="n"/>
      <c r="E461" s="4" t="n"/>
      <c r="F461" s="4" t="n"/>
      <c r="G461" s="4" t="n"/>
    </row>
    <row r="462" ht="15.75" customHeight="1" s="40">
      <c r="A462" s="4" t="n"/>
      <c r="B462" s="4" t="n"/>
      <c r="C462" s="4" t="n"/>
      <c r="D462" s="4" t="n"/>
      <c r="E462" s="4" t="n"/>
      <c r="F462" s="4" t="n"/>
      <c r="G462" s="4" t="n"/>
    </row>
    <row r="463" ht="15.75" customHeight="1" s="40">
      <c r="A463" s="4" t="n"/>
      <c r="B463" s="4" t="n"/>
      <c r="C463" s="4" t="n"/>
      <c r="D463" s="4" t="n"/>
      <c r="E463" s="4" t="n"/>
      <c r="F463" s="4" t="n"/>
      <c r="G463" s="4" t="n"/>
    </row>
    <row r="464" ht="15.75" customHeight="1" s="40">
      <c r="A464" s="4" t="n"/>
      <c r="B464" s="4" t="n"/>
      <c r="C464" s="4" t="n"/>
      <c r="D464" s="4" t="n"/>
      <c r="E464" s="4" t="n"/>
      <c r="F464" s="4" t="n"/>
      <c r="G464" s="4" t="n"/>
    </row>
    <row r="465" ht="15.75" customHeight="1" s="40">
      <c r="A465" s="4" t="n"/>
      <c r="B465" s="4" t="n"/>
      <c r="C465" s="4" t="n"/>
      <c r="D465" s="4" t="n"/>
      <c r="E465" s="4" t="n"/>
      <c r="F465" s="4" t="n"/>
      <c r="G465" s="4" t="n"/>
    </row>
    <row r="466" ht="15.75" customHeight="1" s="40">
      <c r="A466" s="4" t="n"/>
      <c r="B466" s="4" t="n"/>
      <c r="C466" s="4" t="n"/>
      <c r="D466" s="4" t="n"/>
      <c r="E466" s="4" t="n"/>
      <c r="F466" s="4" t="n"/>
      <c r="G466" s="4" t="n"/>
    </row>
    <row r="467" ht="15.75" customHeight="1" s="40">
      <c r="A467" s="4" t="n"/>
      <c r="B467" s="4" t="n"/>
      <c r="C467" s="4" t="n"/>
      <c r="D467" s="4" t="n"/>
      <c r="E467" s="4" t="n"/>
      <c r="F467" s="4" t="n"/>
      <c r="G467" s="4" t="n"/>
    </row>
    <row r="468" ht="15.75" customHeight="1" s="40">
      <c r="A468" s="4" t="n"/>
      <c r="B468" s="4" t="n"/>
      <c r="C468" s="4" t="n"/>
      <c r="D468" s="4" t="n"/>
      <c r="E468" s="4" t="n"/>
      <c r="F468" s="4" t="n"/>
      <c r="G468" s="4" t="n"/>
    </row>
    <row r="469" ht="15.75" customHeight="1" s="40">
      <c r="A469" s="4" t="n"/>
      <c r="B469" s="4" t="n"/>
      <c r="C469" s="4" t="n"/>
      <c r="D469" s="4" t="n"/>
      <c r="E469" s="4" t="n"/>
      <c r="F469" s="4" t="n"/>
      <c r="G469" s="4" t="n"/>
    </row>
    <row r="470" ht="15.75" customHeight="1" s="40">
      <c r="A470" s="4" t="n"/>
      <c r="B470" s="4" t="n"/>
      <c r="C470" s="4" t="n"/>
      <c r="D470" s="4" t="n"/>
      <c r="E470" s="4" t="n"/>
      <c r="F470" s="4" t="n"/>
      <c r="G470" s="4" t="n"/>
    </row>
    <row r="471" ht="15.75" customHeight="1" s="40">
      <c r="A471" s="4" t="n"/>
      <c r="B471" s="4" t="n"/>
      <c r="C471" s="4" t="n"/>
      <c r="D471" s="4" t="n"/>
      <c r="E471" s="4" t="n"/>
      <c r="F471" s="4" t="n"/>
      <c r="G471" s="4" t="n"/>
    </row>
    <row r="472" ht="15.75" customHeight="1" s="40">
      <c r="A472" s="4" t="n"/>
      <c r="B472" s="4" t="n"/>
      <c r="C472" s="4" t="n"/>
      <c r="D472" s="4" t="n"/>
      <c r="E472" s="4" t="n"/>
      <c r="F472" s="4" t="n"/>
      <c r="G472" s="4" t="n"/>
    </row>
    <row r="473" ht="15.75" customHeight="1" s="40">
      <c r="A473" s="4" t="n"/>
      <c r="B473" s="4" t="n"/>
      <c r="C473" s="4" t="n"/>
      <c r="D473" s="4" t="n"/>
      <c r="E473" s="4" t="n"/>
      <c r="F473" s="4" t="n"/>
      <c r="G473" s="4" t="n"/>
    </row>
    <row r="474" ht="15.75" customHeight="1" s="40">
      <c r="A474" s="4" t="n"/>
      <c r="B474" s="4" t="n"/>
      <c r="C474" s="4" t="n"/>
      <c r="D474" s="4" t="n"/>
      <c r="E474" s="4" t="n"/>
      <c r="F474" s="4" t="n"/>
      <c r="G474" s="4" t="n"/>
    </row>
    <row r="475" ht="15.75" customHeight="1" s="40">
      <c r="A475" s="4" t="n"/>
      <c r="B475" s="4" t="n"/>
      <c r="C475" s="4" t="n"/>
      <c r="D475" s="4" t="n"/>
      <c r="E475" s="4" t="n"/>
      <c r="F475" s="4" t="n"/>
      <c r="G475" s="4" t="n"/>
    </row>
    <row r="476" ht="15.75" customHeight="1" s="40">
      <c r="A476" s="4" t="n"/>
      <c r="B476" s="4" t="n"/>
      <c r="C476" s="4" t="n"/>
      <c r="D476" s="4" t="n"/>
      <c r="E476" s="4" t="n"/>
      <c r="F476" s="4" t="n"/>
      <c r="G476" s="4" t="n"/>
    </row>
    <row r="477" ht="15.75" customHeight="1" s="40">
      <c r="A477" s="4" t="n"/>
      <c r="B477" s="4" t="n"/>
      <c r="C477" s="4" t="n"/>
      <c r="D477" s="4" t="n"/>
      <c r="E477" s="4" t="n"/>
      <c r="F477" s="4" t="n"/>
      <c r="G477" s="4" t="n"/>
    </row>
    <row r="478" ht="15.75" customHeight="1" s="40">
      <c r="A478" s="4" t="n"/>
      <c r="B478" s="4" t="n"/>
      <c r="C478" s="4" t="n"/>
      <c r="D478" s="4" t="n"/>
      <c r="E478" s="4" t="n"/>
      <c r="F478" s="4" t="n"/>
      <c r="G478" s="4" t="n"/>
    </row>
    <row r="479" ht="15.75" customHeight="1" s="40">
      <c r="A479" s="4" t="n"/>
      <c r="B479" s="4" t="n"/>
      <c r="C479" s="4" t="n"/>
      <c r="D479" s="4" t="n"/>
      <c r="E479" s="4" t="n"/>
      <c r="F479" s="4" t="n"/>
      <c r="G479" s="4" t="n"/>
    </row>
    <row r="480" ht="15.75" customHeight="1" s="40">
      <c r="A480" s="4" t="n"/>
      <c r="B480" s="4" t="n"/>
      <c r="C480" s="4" t="n"/>
      <c r="D480" s="4" t="n"/>
      <c r="E480" s="4" t="n"/>
      <c r="F480" s="4" t="n"/>
      <c r="G480" s="4" t="n"/>
    </row>
    <row r="481" ht="15.75" customHeight="1" s="40">
      <c r="A481" s="4" t="n"/>
      <c r="B481" s="4" t="n"/>
      <c r="C481" s="4" t="n"/>
      <c r="D481" s="4" t="n"/>
      <c r="E481" s="4" t="n"/>
      <c r="F481" s="4" t="n"/>
      <c r="G481" s="4" t="n"/>
    </row>
    <row r="482" ht="15.75" customHeight="1" s="40">
      <c r="A482" s="4" t="n"/>
      <c r="B482" s="4" t="n"/>
      <c r="C482" s="4" t="n"/>
      <c r="D482" s="4" t="n"/>
      <c r="E482" s="4" t="n"/>
      <c r="F482" s="4" t="n"/>
      <c r="G482" s="4" t="n"/>
    </row>
    <row r="483" ht="15.75" customHeight="1" s="40">
      <c r="A483" s="4" t="n"/>
      <c r="B483" s="4" t="n"/>
      <c r="C483" s="4" t="n"/>
      <c r="D483" s="4" t="n"/>
      <c r="E483" s="4" t="n"/>
      <c r="F483" s="4" t="n"/>
      <c r="G483" s="4" t="n"/>
    </row>
    <row r="484" ht="15.75" customHeight="1" s="40">
      <c r="A484" s="4" t="n"/>
      <c r="B484" s="4" t="n"/>
      <c r="C484" s="4" t="n"/>
      <c r="D484" s="4" t="n"/>
      <c r="E484" s="4" t="n"/>
      <c r="F484" s="4" t="n"/>
      <c r="G484" s="4" t="n"/>
    </row>
    <row r="485" ht="15.75" customHeight="1" s="40">
      <c r="A485" s="4" t="n"/>
      <c r="B485" s="4" t="n"/>
      <c r="C485" s="4" t="n"/>
      <c r="D485" s="4" t="n"/>
      <c r="E485" s="4" t="n"/>
      <c r="F485" s="4" t="n"/>
      <c r="G485" s="4" t="n"/>
    </row>
    <row r="486" ht="15.75" customHeight="1" s="40">
      <c r="A486" s="4" t="n"/>
      <c r="B486" s="4" t="n"/>
      <c r="C486" s="4" t="n"/>
      <c r="D486" s="4" t="n"/>
      <c r="E486" s="4" t="n"/>
      <c r="F486" s="4" t="n"/>
      <c r="G486" s="4" t="n"/>
    </row>
    <row r="487" ht="15.75" customHeight="1" s="40">
      <c r="A487" s="4" t="n"/>
      <c r="B487" s="4" t="n"/>
      <c r="C487" s="4" t="n"/>
      <c r="D487" s="4" t="n"/>
      <c r="E487" s="4" t="n"/>
      <c r="F487" s="4" t="n"/>
      <c r="G487" s="4" t="n"/>
    </row>
    <row r="488" ht="15.75" customHeight="1" s="40">
      <c r="A488" s="4" t="n"/>
      <c r="B488" s="4" t="n"/>
      <c r="C488" s="4" t="n"/>
      <c r="D488" s="4" t="n"/>
      <c r="E488" s="4" t="n"/>
      <c r="F488" s="4" t="n"/>
      <c r="G488" s="4" t="n"/>
    </row>
    <row r="489" ht="15.75" customHeight="1" s="40">
      <c r="A489" s="4" t="n"/>
      <c r="B489" s="4" t="n"/>
      <c r="C489" s="4" t="n"/>
      <c r="D489" s="4" t="n"/>
      <c r="E489" s="4" t="n"/>
      <c r="F489" s="4" t="n"/>
      <c r="G489" s="4" t="n"/>
    </row>
    <row r="490" ht="15.75" customHeight="1" s="40">
      <c r="A490" s="4" t="n"/>
      <c r="B490" s="4" t="n"/>
      <c r="C490" s="4" t="n"/>
      <c r="D490" s="4" t="n"/>
      <c r="E490" s="4" t="n"/>
      <c r="F490" s="4" t="n"/>
      <c r="G490" s="4" t="n"/>
    </row>
    <row r="491" ht="15.75" customHeight="1" s="40">
      <c r="A491" s="4" t="n"/>
      <c r="B491" s="4" t="n"/>
      <c r="C491" s="4" t="n"/>
      <c r="D491" s="4" t="n"/>
      <c r="E491" s="4" t="n"/>
      <c r="F491" s="4" t="n"/>
      <c r="G491" s="4" t="n"/>
    </row>
    <row r="492" ht="15.75" customHeight="1" s="40">
      <c r="A492" s="4" t="n"/>
      <c r="B492" s="4" t="n"/>
      <c r="C492" s="4" t="n"/>
      <c r="D492" s="4" t="n"/>
      <c r="E492" s="4" t="n"/>
      <c r="F492" s="4" t="n"/>
      <c r="G492" s="4" t="n"/>
    </row>
    <row r="493" ht="15.75" customHeight="1" s="40">
      <c r="A493" s="4" t="n"/>
      <c r="B493" s="4" t="n"/>
      <c r="C493" s="4" t="n"/>
      <c r="D493" s="4" t="n"/>
      <c r="E493" s="4" t="n"/>
      <c r="F493" s="4" t="n"/>
      <c r="G493" s="4" t="n"/>
    </row>
    <row r="494" ht="15.75" customHeight="1" s="40">
      <c r="A494" s="4" t="n"/>
      <c r="B494" s="4" t="n"/>
      <c r="C494" s="4" t="n"/>
      <c r="D494" s="4" t="n"/>
      <c r="E494" s="4" t="n"/>
      <c r="F494" s="4" t="n"/>
      <c r="G494" s="4" t="n"/>
    </row>
    <row r="495" ht="15.75" customHeight="1" s="40">
      <c r="A495" s="4" t="n"/>
      <c r="B495" s="4" t="n"/>
      <c r="C495" s="4" t="n"/>
      <c r="D495" s="4" t="n"/>
      <c r="E495" s="4" t="n"/>
      <c r="F495" s="4" t="n"/>
      <c r="G495" s="4" t="n"/>
    </row>
    <row r="496" ht="15.75" customHeight="1" s="40">
      <c r="A496" s="4" t="n"/>
      <c r="B496" s="4" t="n"/>
      <c r="C496" s="4" t="n"/>
      <c r="D496" s="4" t="n"/>
      <c r="E496" s="4" t="n"/>
      <c r="F496" s="4" t="n"/>
      <c r="G496" s="4" t="n"/>
    </row>
    <row r="497" ht="15.75" customHeight="1" s="40">
      <c r="A497" s="4" t="n"/>
      <c r="B497" s="4" t="n"/>
      <c r="C497" s="4" t="n"/>
      <c r="D497" s="4" t="n"/>
      <c r="E497" s="4" t="n"/>
      <c r="F497" s="4" t="n"/>
      <c r="G497" s="4" t="n"/>
    </row>
    <row r="498" ht="15.75" customHeight="1" s="40">
      <c r="A498" s="4" t="n"/>
      <c r="B498" s="4" t="n"/>
      <c r="C498" s="4" t="n"/>
      <c r="D498" s="4" t="n"/>
      <c r="E498" s="4" t="n"/>
      <c r="F498" s="4" t="n"/>
      <c r="G498" s="4" t="n"/>
    </row>
    <row r="499" ht="15.75" customHeight="1" s="40">
      <c r="A499" s="4" t="n"/>
      <c r="B499" s="4" t="n"/>
      <c r="C499" s="4" t="n"/>
      <c r="D499" s="4" t="n"/>
      <c r="E499" s="4" t="n"/>
      <c r="F499" s="4" t="n"/>
      <c r="G499" s="4" t="n"/>
    </row>
    <row r="500" ht="15.75" customHeight="1" s="40">
      <c r="A500" s="4" t="n"/>
      <c r="B500" s="4" t="n"/>
      <c r="C500" s="4" t="n"/>
      <c r="D500" s="4" t="n"/>
      <c r="E500" s="4" t="n"/>
      <c r="F500" s="4" t="n"/>
      <c r="G500" s="4" t="n"/>
    </row>
    <row r="501" ht="15.75" customHeight="1" s="40">
      <c r="A501" s="4" t="n"/>
      <c r="B501" s="4" t="n"/>
      <c r="C501" s="4" t="n"/>
      <c r="D501" s="4" t="n"/>
      <c r="E501" s="4" t="n"/>
      <c r="F501" s="4" t="n"/>
      <c r="G501" s="4" t="n"/>
    </row>
    <row r="502" ht="15.75" customHeight="1" s="40">
      <c r="A502" s="4" t="n"/>
      <c r="B502" s="4" t="n"/>
      <c r="C502" s="4" t="n"/>
      <c r="D502" s="4" t="n"/>
      <c r="E502" s="4" t="n"/>
      <c r="F502" s="4" t="n"/>
      <c r="G502" s="4" t="n"/>
    </row>
    <row r="503" ht="15.75" customHeight="1" s="40">
      <c r="A503" s="4" t="n"/>
      <c r="B503" s="4" t="n"/>
      <c r="C503" s="4" t="n"/>
      <c r="D503" s="4" t="n"/>
      <c r="E503" s="4" t="n"/>
      <c r="F503" s="4" t="n"/>
      <c r="G503" s="4" t="n"/>
    </row>
    <row r="504" ht="15.75" customHeight="1" s="40">
      <c r="A504" s="4" t="n"/>
      <c r="B504" s="4" t="n"/>
      <c r="C504" s="4" t="n"/>
      <c r="D504" s="4" t="n"/>
      <c r="E504" s="4" t="n"/>
      <c r="F504" s="4" t="n"/>
      <c r="G504" s="4" t="n"/>
    </row>
    <row r="505" ht="15.75" customHeight="1" s="40">
      <c r="A505" s="4" t="n"/>
      <c r="B505" s="4" t="n"/>
      <c r="C505" s="4" t="n"/>
      <c r="D505" s="4" t="n"/>
      <c r="E505" s="4" t="n"/>
      <c r="F505" s="4" t="n"/>
      <c r="G505" s="4" t="n"/>
    </row>
    <row r="506" ht="15.75" customHeight="1" s="40">
      <c r="A506" s="4" t="n"/>
      <c r="B506" s="4" t="n"/>
      <c r="C506" s="4" t="n"/>
      <c r="D506" s="4" t="n"/>
      <c r="E506" s="4" t="n"/>
      <c r="F506" s="4" t="n"/>
      <c r="G506" s="4" t="n"/>
    </row>
    <row r="507" ht="15.75" customHeight="1" s="40">
      <c r="A507" s="4" t="n"/>
      <c r="B507" s="4" t="n"/>
      <c r="C507" s="4" t="n"/>
      <c r="D507" s="4" t="n"/>
      <c r="E507" s="4" t="n"/>
      <c r="F507" s="4" t="n"/>
      <c r="G507" s="4" t="n"/>
    </row>
    <row r="508" ht="15.75" customHeight="1" s="40">
      <c r="A508" s="4" t="n"/>
      <c r="B508" s="4" t="n"/>
      <c r="C508" s="4" t="n"/>
      <c r="D508" s="4" t="n"/>
      <c r="E508" s="4" t="n"/>
      <c r="F508" s="4" t="n"/>
      <c r="G508" s="4" t="n"/>
    </row>
    <row r="509" ht="15.75" customHeight="1" s="40">
      <c r="A509" s="4" t="n"/>
      <c r="B509" s="4" t="n"/>
      <c r="C509" s="4" t="n"/>
      <c r="D509" s="4" t="n"/>
      <c r="E509" s="4" t="n"/>
      <c r="F509" s="4" t="n"/>
      <c r="G509" s="4" t="n"/>
    </row>
    <row r="510" ht="15.75" customHeight="1" s="40">
      <c r="A510" s="4" t="n"/>
      <c r="B510" s="4" t="n"/>
      <c r="C510" s="4" t="n"/>
      <c r="D510" s="4" t="n"/>
      <c r="E510" s="4" t="n"/>
      <c r="F510" s="4" t="n"/>
      <c r="G510" s="4" t="n"/>
    </row>
    <row r="511" ht="15.75" customHeight="1" s="40">
      <c r="A511" s="4" t="n"/>
      <c r="B511" s="4" t="n"/>
      <c r="C511" s="4" t="n"/>
      <c r="D511" s="4" t="n"/>
      <c r="E511" s="4" t="n"/>
      <c r="F511" s="4" t="n"/>
      <c r="G511" s="4" t="n"/>
    </row>
    <row r="512" ht="15.75" customHeight="1" s="40">
      <c r="A512" s="4" t="n"/>
      <c r="B512" s="4" t="n"/>
      <c r="C512" s="4" t="n"/>
      <c r="D512" s="4" t="n"/>
      <c r="E512" s="4" t="n"/>
      <c r="F512" s="4" t="n"/>
      <c r="G512" s="4" t="n"/>
    </row>
    <row r="513" ht="15.75" customHeight="1" s="40">
      <c r="A513" s="4" t="n"/>
      <c r="B513" s="4" t="n"/>
      <c r="C513" s="4" t="n"/>
      <c r="D513" s="4" t="n"/>
      <c r="E513" s="4" t="n"/>
      <c r="F513" s="4" t="n"/>
      <c r="G513" s="4" t="n"/>
    </row>
    <row r="514" ht="15.75" customHeight="1" s="40">
      <c r="A514" s="4" t="n"/>
      <c r="B514" s="4" t="n"/>
      <c r="C514" s="4" t="n"/>
      <c r="D514" s="4" t="n"/>
      <c r="E514" s="4" t="n"/>
      <c r="F514" s="4" t="n"/>
      <c r="G514" s="4" t="n"/>
    </row>
    <row r="515" ht="15.75" customHeight="1" s="40">
      <c r="A515" s="4" t="n"/>
      <c r="B515" s="4" t="n"/>
      <c r="C515" s="4" t="n"/>
      <c r="D515" s="4" t="n"/>
      <c r="E515" s="4" t="n"/>
      <c r="F515" s="4" t="n"/>
      <c r="G515" s="4" t="n"/>
    </row>
    <row r="516" ht="15.75" customHeight="1" s="40">
      <c r="A516" s="4" t="n"/>
      <c r="B516" s="4" t="n"/>
      <c r="C516" s="4" t="n"/>
      <c r="D516" s="4" t="n"/>
      <c r="E516" s="4" t="n"/>
      <c r="F516" s="4" t="n"/>
      <c r="G516" s="4" t="n"/>
    </row>
    <row r="517" ht="15.75" customHeight="1" s="40">
      <c r="A517" s="4" t="n"/>
      <c r="B517" s="4" t="n"/>
      <c r="C517" s="4" t="n"/>
      <c r="D517" s="4" t="n"/>
      <c r="E517" s="4" t="n"/>
      <c r="F517" s="4" t="n"/>
      <c r="G517" s="4" t="n"/>
    </row>
    <row r="518" ht="15.75" customHeight="1" s="40">
      <c r="A518" s="4" t="n"/>
      <c r="B518" s="4" t="n"/>
      <c r="C518" s="4" t="n"/>
      <c r="D518" s="4" t="n"/>
      <c r="E518" s="4" t="n"/>
      <c r="F518" s="4" t="n"/>
      <c r="G518" s="4" t="n"/>
    </row>
    <row r="519" ht="15.75" customHeight="1" s="40">
      <c r="A519" s="4" t="n"/>
      <c r="B519" s="4" t="n"/>
      <c r="C519" s="4" t="n"/>
      <c r="D519" s="4" t="n"/>
      <c r="E519" s="4" t="n"/>
      <c r="F519" s="4" t="n"/>
      <c r="G519" s="4" t="n"/>
    </row>
    <row r="520" ht="15.75" customHeight="1" s="40">
      <c r="A520" s="4" t="n"/>
      <c r="B520" s="4" t="n"/>
      <c r="C520" s="4" t="n"/>
      <c r="D520" s="4" t="n"/>
      <c r="E520" s="4" t="n"/>
      <c r="F520" s="4" t="n"/>
      <c r="G520" s="4" t="n"/>
    </row>
    <row r="521" ht="15.75" customHeight="1" s="40">
      <c r="A521" s="4" t="n"/>
      <c r="B521" s="4" t="n"/>
      <c r="C521" s="4" t="n"/>
      <c r="D521" s="4" t="n"/>
      <c r="E521" s="4" t="n"/>
      <c r="F521" s="4" t="n"/>
      <c r="G521" s="4" t="n"/>
    </row>
    <row r="522" ht="15.75" customHeight="1" s="40">
      <c r="A522" s="4" t="n"/>
      <c r="B522" s="4" t="n"/>
      <c r="C522" s="4" t="n"/>
      <c r="D522" s="4" t="n"/>
      <c r="E522" s="4" t="n"/>
      <c r="F522" s="4" t="n"/>
      <c r="G522" s="4" t="n"/>
    </row>
    <row r="523" ht="15.75" customHeight="1" s="40">
      <c r="A523" s="4" t="n"/>
      <c r="B523" s="4" t="n"/>
      <c r="C523" s="4" t="n"/>
      <c r="D523" s="4" t="n"/>
      <c r="E523" s="4" t="n"/>
      <c r="F523" s="4" t="n"/>
      <c r="G523" s="4" t="n"/>
    </row>
    <row r="524" ht="15.75" customHeight="1" s="40">
      <c r="A524" s="4" t="n"/>
      <c r="B524" s="4" t="n"/>
      <c r="C524" s="4" t="n"/>
      <c r="D524" s="4" t="n"/>
      <c r="E524" s="4" t="n"/>
      <c r="F524" s="4" t="n"/>
      <c r="G524" s="4" t="n"/>
    </row>
    <row r="525" ht="15.75" customHeight="1" s="40">
      <c r="A525" s="4" t="n"/>
      <c r="B525" s="4" t="n"/>
      <c r="C525" s="4" t="n"/>
      <c r="D525" s="4" t="n"/>
      <c r="E525" s="4" t="n"/>
      <c r="F525" s="4" t="n"/>
      <c r="G525" s="4" t="n"/>
    </row>
    <row r="526" ht="15.75" customHeight="1" s="40">
      <c r="A526" s="4" t="n"/>
      <c r="B526" s="4" t="n"/>
      <c r="C526" s="4" t="n"/>
      <c r="D526" s="4" t="n"/>
      <c r="E526" s="4" t="n"/>
      <c r="F526" s="4" t="n"/>
      <c r="G526" s="4" t="n"/>
    </row>
    <row r="527" ht="15.75" customHeight="1" s="40">
      <c r="A527" s="4" t="n"/>
      <c r="B527" s="4" t="n"/>
      <c r="C527" s="4" t="n"/>
      <c r="D527" s="4" t="n"/>
      <c r="E527" s="4" t="n"/>
      <c r="F527" s="4" t="n"/>
      <c r="G527" s="4" t="n"/>
    </row>
    <row r="528" ht="15.75" customHeight="1" s="40">
      <c r="A528" s="4" t="n"/>
      <c r="B528" s="4" t="n"/>
      <c r="C528" s="4" t="n"/>
      <c r="D528" s="4" t="n"/>
      <c r="E528" s="4" t="n"/>
      <c r="F528" s="4" t="n"/>
      <c r="G528" s="4" t="n"/>
    </row>
    <row r="529" ht="15.75" customHeight="1" s="40">
      <c r="A529" s="4" t="n"/>
      <c r="B529" s="4" t="n"/>
      <c r="C529" s="4" t="n"/>
      <c r="D529" s="4" t="n"/>
      <c r="E529" s="4" t="n"/>
      <c r="F529" s="4" t="n"/>
      <c r="G529" s="4" t="n"/>
    </row>
    <row r="530" ht="15.75" customHeight="1" s="40">
      <c r="A530" s="4" t="n"/>
      <c r="B530" s="4" t="n"/>
      <c r="C530" s="4" t="n"/>
      <c r="D530" s="4" t="n"/>
      <c r="E530" s="4" t="n"/>
      <c r="F530" s="4" t="n"/>
      <c r="G530" s="4" t="n"/>
    </row>
    <row r="531" ht="15.75" customHeight="1" s="40">
      <c r="A531" s="4" t="n"/>
      <c r="B531" s="4" t="n"/>
      <c r="C531" s="4" t="n"/>
      <c r="D531" s="4" t="n"/>
      <c r="E531" s="4" t="n"/>
      <c r="F531" s="4" t="n"/>
      <c r="G531" s="4" t="n"/>
    </row>
    <row r="532" ht="15.75" customHeight="1" s="40">
      <c r="A532" s="4" t="n"/>
      <c r="B532" s="4" t="n"/>
      <c r="C532" s="4" t="n"/>
      <c r="D532" s="4" t="n"/>
      <c r="E532" s="4" t="n"/>
      <c r="F532" s="4" t="n"/>
      <c r="G532" s="4" t="n"/>
    </row>
    <row r="533" ht="15.75" customHeight="1" s="40">
      <c r="A533" s="4" t="n"/>
      <c r="B533" s="4" t="n"/>
      <c r="C533" s="4" t="n"/>
      <c r="D533" s="4" t="n"/>
      <c r="E533" s="4" t="n"/>
      <c r="F533" s="4" t="n"/>
      <c r="G533" s="4" t="n"/>
    </row>
    <row r="534" ht="15.75" customHeight="1" s="40">
      <c r="A534" s="4" t="n"/>
      <c r="B534" s="4" t="n"/>
      <c r="C534" s="4" t="n"/>
      <c r="D534" s="4" t="n"/>
      <c r="E534" s="4" t="n"/>
      <c r="F534" s="4" t="n"/>
      <c r="G534" s="4" t="n"/>
    </row>
    <row r="535" ht="15.75" customHeight="1" s="40">
      <c r="A535" s="4" t="n"/>
      <c r="B535" s="4" t="n"/>
      <c r="C535" s="4" t="n"/>
      <c r="D535" s="4" t="n"/>
      <c r="E535" s="4" t="n"/>
      <c r="F535" s="4" t="n"/>
      <c r="G535" s="4" t="n"/>
    </row>
    <row r="536" ht="15.75" customHeight="1" s="40">
      <c r="A536" s="4" t="n"/>
      <c r="B536" s="4" t="n"/>
      <c r="C536" s="4" t="n"/>
      <c r="D536" s="4" t="n"/>
      <c r="E536" s="4" t="n"/>
      <c r="F536" s="4" t="n"/>
      <c r="G536" s="4" t="n"/>
    </row>
    <row r="537" ht="15.75" customHeight="1" s="40">
      <c r="A537" s="4" t="n"/>
      <c r="B537" s="4" t="n"/>
      <c r="C537" s="4" t="n"/>
      <c r="D537" s="4" t="n"/>
      <c r="E537" s="4" t="n"/>
      <c r="F537" s="4" t="n"/>
      <c r="G537" s="4" t="n"/>
    </row>
    <row r="538" ht="15.75" customHeight="1" s="40">
      <c r="A538" s="4" t="n"/>
      <c r="B538" s="4" t="n"/>
      <c r="C538" s="4" t="n"/>
      <c r="D538" s="4" t="n"/>
      <c r="E538" s="4" t="n"/>
      <c r="F538" s="4" t="n"/>
      <c r="G538" s="4" t="n"/>
    </row>
    <row r="539" ht="15.75" customHeight="1" s="40">
      <c r="A539" s="4" t="n"/>
      <c r="B539" s="4" t="n"/>
      <c r="C539" s="4" t="n"/>
      <c r="D539" s="4" t="n"/>
      <c r="E539" s="4" t="n"/>
      <c r="F539" s="4" t="n"/>
      <c r="G539" s="4" t="n"/>
    </row>
    <row r="540" ht="15.75" customHeight="1" s="40">
      <c r="A540" s="4" t="n"/>
      <c r="B540" s="4" t="n"/>
      <c r="C540" s="4" t="n"/>
      <c r="D540" s="4" t="n"/>
      <c r="E540" s="4" t="n"/>
      <c r="F540" s="4" t="n"/>
      <c r="G540" s="4" t="n"/>
    </row>
    <row r="541" ht="15.75" customHeight="1" s="40">
      <c r="A541" s="4" t="n"/>
      <c r="B541" s="4" t="n"/>
      <c r="C541" s="4" t="n"/>
      <c r="D541" s="4" t="n"/>
      <c r="E541" s="4" t="n"/>
      <c r="F541" s="4" t="n"/>
      <c r="G541" s="4" t="n"/>
    </row>
    <row r="542" ht="15.75" customHeight="1" s="40">
      <c r="A542" s="4" t="n"/>
      <c r="B542" s="4" t="n"/>
      <c r="C542" s="4" t="n"/>
      <c r="D542" s="4" t="n"/>
      <c r="E542" s="4" t="n"/>
      <c r="F542" s="4" t="n"/>
      <c r="G542" s="4" t="n"/>
    </row>
    <row r="543" ht="15.75" customHeight="1" s="40">
      <c r="A543" s="4" t="n"/>
      <c r="B543" s="4" t="n"/>
      <c r="C543" s="4" t="n"/>
      <c r="D543" s="4" t="n"/>
      <c r="E543" s="4" t="n"/>
      <c r="F543" s="4" t="n"/>
      <c r="G543" s="4" t="n"/>
    </row>
    <row r="544" ht="15.75" customHeight="1" s="40">
      <c r="A544" s="4" t="n"/>
      <c r="B544" s="4" t="n"/>
      <c r="C544" s="4" t="n"/>
      <c r="D544" s="4" t="n"/>
      <c r="E544" s="4" t="n"/>
      <c r="F544" s="4" t="n"/>
      <c r="G544" s="4" t="n"/>
    </row>
    <row r="545" ht="15.75" customHeight="1" s="40">
      <c r="A545" s="4" t="n"/>
      <c r="B545" s="4" t="n"/>
      <c r="C545" s="4" t="n"/>
      <c r="D545" s="4" t="n"/>
      <c r="E545" s="4" t="n"/>
      <c r="F545" s="4" t="n"/>
      <c r="G545" s="4" t="n"/>
    </row>
    <row r="546" ht="15.75" customHeight="1" s="40">
      <c r="A546" s="4" t="n"/>
      <c r="B546" s="4" t="n"/>
      <c r="C546" s="4" t="n"/>
      <c r="D546" s="4" t="n"/>
      <c r="E546" s="4" t="n"/>
      <c r="F546" s="4" t="n"/>
      <c r="G546" s="4" t="n"/>
    </row>
    <row r="547" ht="15.75" customHeight="1" s="40">
      <c r="A547" s="4" t="n"/>
      <c r="B547" s="4" t="n"/>
      <c r="C547" s="4" t="n"/>
      <c r="D547" s="4" t="n"/>
      <c r="E547" s="4" t="n"/>
      <c r="F547" s="4" t="n"/>
      <c r="G547" s="4" t="n"/>
    </row>
    <row r="548" ht="15.75" customHeight="1" s="40">
      <c r="A548" s="4" t="n"/>
      <c r="B548" s="4" t="n"/>
      <c r="C548" s="4" t="n"/>
      <c r="D548" s="4" t="n"/>
      <c r="E548" s="4" t="n"/>
      <c r="F548" s="4" t="n"/>
      <c r="G548" s="4" t="n"/>
    </row>
    <row r="549" ht="15.75" customHeight="1" s="40">
      <c r="A549" s="4" t="n"/>
      <c r="B549" s="4" t="n"/>
      <c r="C549" s="4" t="n"/>
      <c r="D549" s="4" t="n"/>
      <c r="E549" s="4" t="n"/>
      <c r="F549" s="4" t="n"/>
      <c r="G549" s="4" t="n"/>
    </row>
    <row r="550" ht="15.75" customHeight="1" s="40">
      <c r="A550" s="4" t="n"/>
      <c r="B550" s="4" t="n"/>
      <c r="C550" s="4" t="n"/>
      <c r="D550" s="4" t="n"/>
      <c r="E550" s="4" t="n"/>
      <c r="F550" s="4" t="n"/>
      <c r="G550" s="4" t="n"/>
    </row>
    <row r="551" ht="15.75" customHeight="1" s="40">
      <c r="A551" s="4" t="n"/>
      <c r="B551" s="4" t="n"/>
      <c r="C551" s="4" t="n"/>
      <c r="D551" s="4" t="n"/>
      <c r="E551" s="4" t="n"/>
      <c r="F551" s="4" t="n"/>
      <c r="G551" s="4" t="n"/>
    </row>
    <row r="552" ht="15.75" customHeight="1" s="40">
      <c r="A552" s="4" t="n"/>
      <c r="B552" s="4" t="n"/>
      <c r="C552" s="4" t="n"/>
      <c r="D552" s="4" t="n"/>
      <c r="E552" s="4" t="n"/>
      <c r="F552" s="4" t="n"/>
      <c r="G552" s="4" t="n"/>
    </row>
    <row r="553" ht="15.75" customHeight="1" s="40">
      <c r="A553" s="4" t="n"/>
      <c r="B553" s="4" t="n"/>
      <c r="C553" s="4" t="n"/>
      <c r="D553" s="4" t="n"/>
      <c r="E553" s="4" t="n"/>
      <c r="F553" s="4" t="n"/>
      <c r="G553" s="4" t="n"/>
    </row>
    <row r="554" ht="15.75" customHeight="1" s="40">
      <c r="A554" s="4" t="n"/>
      <c r="B554" s="4" t="n"/>
      <c r="C554" s="4" t="n"/>
      <c r="D554" s="4" t="n"/>
      <c r="E554" s="4" t="n"/>
      <c r="F554" s="4" t="n"/>
      <c r="G554" s="4" t="n"/>
    </row>
    <row r="555" ht="15.75" customHeight="1" s="40">
      <c r="A555" s="4" t="n"/>
      <c r="B555" s="4" t="n"/>
      <c r="C555" s="4" t="n"/>
      <c r="D555" s="4" t="n"/>
      <c r="E555" s="4" t="n"/>
      <c r="F555" s="4" t="n"/>
      <c r="G555" s="4" t="n"/>
    </row>
    <row r="556" ht="15.75" customHeight="1" s="40">
      <c r="A556" s="4" t="n"/>
      <c r="B556" s="4" t="n"/>
      <c r="C556" s="4" t="n"/>
      <c r="D556" s="4" t="n"/>
      <c r="E556" s="4" t="n"/>
      <c r="F556" s="4" t="n"/>
      <c r="G556" s="4" t="n"/>
    </row>
    <row r="557" ht="15.75" customHeight="1" s="40">
      <c r="A557" s="4" t="n"/>
      <c r="B557" s="4" t="n"/>
      <c r="C557" s="4" t="n"/>
      <c r="D557" s="4" t="n"/>
      <c r="E557" s="4" t="n"/>
      <c r="F557" s="4" t="n"/>
      <c r="G557" s="4" t="n"/>
    </row>
    <row r="558" ht="15.75" customHeight="1" s="40">
      <c r="A558" s="4" t="n"/>
      <c r="B558" s="4" t="n"/>
      <c r="C558" s="4" t="n"/>
      <c r="D558" s="4" t="n"/>
      <c r="E558" s="4" t="n"/>
      <c r="F558" s="4" t="n"/>
      <c r="G558" s="4" t="n"/>
    </row>
    <row r="559" ht="15.75" customHeight="1" s="40">
      <c r="A559" s="4" t="n"/>
      <c r="B559" s="4" t="n"/>
      <c r="C559" s="4" t="n"/>
      <c r="D559" s="4" t="n"/>
      <c r="E559" s="4" t="n"/>
      <c r="F559" s="4" t="n"/>
      <c r="G559" s="4" t="n"/>
    </row>
    <row r="560" ht="15.75" customHeight="1" s="40">
      <c r="A560" s="4" t="n"/>
      <c r="B560" s="4" t="n"/>
      <c r="C560" s="4" t="n"/>
      <c r="D560" s="4" t="n"/>
      <c r="E560" s="4" t="n"/>
      <c r="F560" s="4" t="n"/>
      <c r="G560" s="4" t="n"/>
    </row>
    <row r="561" ht="15.75" customHeight="1" s="40">
      <c r="A561" s="4" t="n"/>
      <c r="B561" s="4" t="n"/>
      <c r="C561" s="4" t="n"/>
      <c r="D561" s="4" t="n"/>
      <c r="E561" s="4" t="n"/>
      <c r="F561" s="4" t="n"/>
      <c r="G561" s="4" t="n"/>
    </row>
    <row r="562" ht="15.75" customHeight="1" s="40">
      <c r="A562" s="4" t="n"/>
      <c r="B562" s="4" t="n"/>
      <c r="C562" s="4" t="n"/>
      <c r="D562" s="4" t="n"/>
      <c r="E562" s="4" t="n"/>
      <c r="F562" s="4" t="n"/>
      <c r="G562" s="4" t="n"/>
    </row>
    <row r="563" ht="15.75" customHeight="1" s="40">
      <c r="A563" s="4" t="n"/>
      <c r="B563" s="4" t="n"/>
      <c r="C563" s="4" t="n"/>
      <c r="D563" s="4" t="n"/>
      <c r="E563" s="4" t="n"/>
      <c r="F563" s="4" t="n"/>
      <c r="G563" s="4" t="n"/>
    </row>
    <row r="564" ht="15.75" customHeight="1" s="40">
      <c r="A564" s="4" t="n"/>
      <c r="B564" s="4" t="n"/>
      <c r="C564" s="4" t="n"/>
      <c r="D564" s="4" t="n"/>
      <c r="E564" s="4" t="n"/>
      <c r="F564" s="4" t="n"/>
      <c r="G564" s="4" t="n"/>
    </row>
    <row r="565" ht="15.75" customHeight="1" s="40">
      <c r="A565" s="4" t="n"/>
      <c r="B565" s="4" t="n"/>
      <c r="C565" s="4" t="n"/>
      <c r="D565" s="4" t="n"/>
      <c r="E565" s="4" t="n"/>
      <c r="F565" s="4" t="n"/>
      <c r="G565" s="4" t="n"/>
    </row>
    <row r="566" ht="15.75" customHeight="1" s="40">
      <c r="A566" s="4" t="n"/>
      <c r="B566" s="4" t="n"/>
      <c r="C566" s="4" t="n"/>
      <c r="D566" s="4" t="n"/>
      <c r="E566" s="4" t="n"/>
      <c r="F566" s="4" t="n"/>
      <c r="G566" s="4" t="n"/>
    </row>
    <row r="567" ht="15.75" customHeight="1" s="40">
      <c r="A567" s="4" t="n"/>
      <c r="B567" s="4" t="n"/>
      <c r="C567" s="4" t="n"/>
      <c r="D567" s="4" t="n"/>
      <c r="E567" s="4" t="n"/>
      <c r="F567" s="4" t="n"/>
      <c r="G567" s="4" t="n"/>
    </row>
    <row r="568" ht="15.75" customHeight="1" s="40">
      <c r="A568" s="4" t="n"/>
      <c r="B568" s="4" t="n"/>
      <c r="C568" s="4" t="n"/>
      <c r="D568" s="4" t="n"/>
      <c r="E568" s="4" t="n"/>
      <c r="F568" s="4" t="n"/>
      <c r="G568" s="4" t="n"/>
    </row>
    <row r="569" ht="15.75" customHeight="1" s="40">
      <c r="A569" s="4" t="n"/>
      <c r="B569" s="4" t="n"/>
      <c r="C569" s="4" t="n"/>
      <c r="D569" s="4" t="n"/>
      <c r="E569" s="4" t="n"/>
      <c r="F569" s="4" t="n"/>
      <c r="G569" s="4" t="n"/>
    </row>
    <row r="570" ht="15.75" customHeight="1" s="40">
      <c r="A570" s="4" t="n"/>
      <c r="B570" s="4" t="n"/>
      <c r="C570" s="4" t="n"/>
      <c r="D570" s="4" t="n"/>
      <c r="E570" s="4" t="n"/>
      <c r="F570" s="4" t="n"/>
      <c r="G570" s="4" t="n"/>
    </row>
    <row r="571" ht="15.75" customHeight="1" s="40">
      <c r="A571" s="4" t="n"/>
      <c r="B571" s="4" t="n"/>
      <c r="C571" s="4" t="n"/>
      <c r="D571" s="4" t="n"/>
      <c r="E571" s="4" t="n"/>
      <c r="F571" s="4" t="n"/>
      <c r="G571" s="4" t="n"/>
    </row>
    <row r="572" ht="15.75" customHeight="1" s="40">
      <c r="A572" s="4" t="n"/>
      <c r="B572" s="4" t="n"/>
      <c r="C572" s="4" t="n"/>
      <c r="D572" s="4" t="n"/>
      <c r="E572" s="4" t="n"/>
      <c r="F572" s="4" t="n"/>
      <c r="G572" s="4" t="n"/>
    </row>
    <row r="573" ht="15.75" customHeight="1" s="40">
      <c r="A573" s="4" t="n"/>
      <c r="B573" s="4" t="n"/>
      <c r="C573" s="4" t="n"/>
      <c r="D573" s="4" t="n"/>
      <c r="E573" s="4" t="n"/>
      <c r="F573" s="4" t="n"/>
      <c r="G573" s="4" t="n"/>
    </row>
    <row r="574" ht="15.75" customHeight="1" s="40">
      <c r="A574" s="4" t="n"/>
      <c r="B574" s="4" t="n"/>
      <c r="C574" s="4" t="n"/>
      <c r="D574" s="4" t="n"/>
      <c r="E574" s="4" t="n"/>
      <c r="F574" s="4" t="n"/>
      <c r="G574" s="4" t="n"/>
    </row>
    <row r="575" ht="15.75" customHeight="1" s="40">
      <c r="A575" s="4" t="n"/>
      <c r="B575" s="4" t="n"/>
      <c r="C575" s="4" t="n"/>
      <c r="D575" s="4" t="n"/>
      <c r="E575" s="4" t="n"/>
      <c r="F575" s="4" t="n"/>
      <c r="G575" s="4" t="n"/>
    </row>
    <row r="576" ht="15.75" customHeight="1" s="40">
      <c r="A576" s="4" t="n"/>
      <c r="B576" s="4" t="n"/>
      <c r="C576" s="4" t="n"/>
      <c r="D576" s="4" t="n"/>
      <c r="E576" s="4" t="n"/>
      <c r="F576" s="4" t="n"/>
      <c r="G576" s="4" t="n"/>
    </row>
    <row r="577" ht="15.75" customHeight="1" s="40">
      <c r="A577" s="4" t="n"/>
      <c r="B577" s="4" t="n"/>
      <c r="C577" s="4" t="n"/>
      <c r="D577" s="4" t="n"/>
      <c r="E577" s="4" t="n"/>
      <c r="F577" s="4" t="n"/>
      <c r="G577" s="4" t="n"/>
    </row>
    <row r="578" ht="15.75" customHeight="1" s="40">
      <c r="A578" s="4" t="n"/>
      <c r="B578" s="4" t="n"/>
      <c r="C578" s="4" t="n"/>
      <c r="D578" s="4" t="n"/>
      <c r="E578" s="4" t="n"/>
      <c r="F578" s="4" t="n"/>
      <c r="G578" s="4" t="n"/>
    </row>
    <row r="579" ht="15.75" customHeight="1" s="40">
      <c r="A579" s="4" t="n"/>
      <c r="B579" s="4" t="n"/>
      <c r="C579" s="4" t="n"/>
      <c r="D579" s="4" t="n"/>
      <c r="E579" s="4" t="n"/>
      <c r="F579" s="4" t="n"/>
      <c r="G579" s="4" t="n"/>
    </row>
    <row r="580" ht="15.75" customHeight="1" s="40">
      <c r="A580" s="4" t="n"/>
      <c r="B580" s="4" t="n"/>
      <c r="C580" s="4" t="n"/>
      <c r="D580" s="4" t="n"/>
      <c r="E580" s="4" t="n"/>
      <c r="F580" s="4" t="n"/>
      <c r="G580" s="4" t="n"/>
    </row>
    <row r="581" ht="15.75" customHeight="1" s="40">
      <c r="A581" s="4" t="n"/>
      <c r="B581" s="4" t="n"/>
      <c r="C581" s="4" t="n"/>
      <c r="D581" s="4" t="n"/>
      <c r="E581" s="4" t="n"/>
      <c r="F581" s="4" t="n"/>
      <c r="G581" s="4" t="n"/>
    </row>
    <row r="582" ht="15.75" customHeight="1" s="40">
      <c r="A582" s="4" t="n"/>
      <c r="B582" s="4" t="n"/>
      <c r="C582" s="4" t="n"/>
      <c r="D582" s="4" t="n"/>
      <c r="E582" s="4" t="n"/>
      <c r="F582" s="4" t="n"/>
      <c r="G582" s="4" t="n"/>
    </row>
    <row r="583" ht="15.75" customHeight="1" s="40">
      <c r="A583" s="4" t="n"/>
      <c r="B583" s="4" t="n"/>
      <c r="C583" s="4" t="n"/>
      <c r="D583" s="4" t="n"/>
      <c r="E583" s="4" t="n"/>
      <c r="F583" s="4" t="n"/>
      <c r="G583" s="4" t="n"/>
    </row>
    <row r="584" ht="15.75" customHeight="1" s="40">
      <c r="A584" s="4" t="n"/>
      <c r="B584" s="4" t="n"/>
      <c r="C584" s="4" t="n"/>
      <c r="D584" s="4" t="n"/>
      <c r="E584" s="4" t="n"/>
      <c r="F584" s="4" t="n"/>
      <c r="G584" s="4" t="n"/>
    </row>
    <row r="585" ht="15.75" customHeight="1" s="40">
      <c r="A585" s="4" t="n"/>
      <c r="B585" s="4" t="n"/>
      <c r="C585" s="4" t="n"/>
      <c r="D585" s="4" t="n"/>
      <c r="E585" s="4" t="n"/>
      <c r="F585" s="4" t="n"/>
      <c r="G585" s="4" t="n"/>
    </row>
    <row r="586" ht="15.75" customHeight="1" s="40">
      <c r="A586" s="4" t="n"/>
      <c r="B586" s="4" t="n"/>
      <c r="C586" s="4" t="n"/>
      <c r="D586" s="4" t="n"/>
      <c r="E586" s="4" t="n"/>
      <c r="F586" s="4" t="n"/>
      <c r="G586" s="4" t="n"/>
    </row>
    <row r="587" ht="15.75" customHeight="1" s="40">
      <c r="A587" s="4" t="n"/>
      <c r="B587" s="4" t="n"/>
      <c r="C587" s="4" t="n"/>
      <c r="D587" s="4" t="n"/>
      <c r="E587" s="4" t="n"/>
      <c r="F587" s="4" t="n"/>
      <c r="G587" s="4" t="n"/>
    </row>
    <row r="588" ht="15.75" customHeight="1" s="40">
      <c r="A588" s="4" t="n"/>
      <c r="B588" s="4" t="n"/>
      <c r="C588" s="4" t="n"/>
      <c r="D588" s="4" t="n"/>
      <c r="E588" s="4" t="n"/>
      <c r="F588" s="4" t="n"/>
      <c r="G588" s="4" t="n"/>
    </row>
    <row r="589" ht="15.75" customHeight="1" s="40">
      <c r="A589" s="4" t="n"/>
      <c r="B589" s="4" t="n"/>
      <c r="C589" s="4" t="n"/>
      <c r="D589" s="4" t="n"/>
      <c r="E589" s="4" t="n"/>
      <c r="F589" s="4" t="n"/>
      <c r="G589" s="4" t="n"/>
    </row>
    <row r="590" ht="15.75" customHeight="1" s="40">
      <c r="A590" s="4" t="n"/>
      <c r="B590" s="4" t="n"/>
      <c r="C590" s="4" t="n"/>
      <c r="D590" s="4" t="n"/>
      <c r="E590" s="4" t="n"/>
      <c r="F590" s="4" t="n"/>
      <c r="G590" s="4" t="n"/>
    </row>
    <row r="591" ht="15.75" customHeight="1" s="40">
      <c r="A591" s="4" t="n"/>
      <c r="B591" s="4" t="n"/>
      <c r="C591" s="4" t="n"/>
      <c r="D591" s="4" t="n"/>
      <c r="E591" s="4" t="n"/>
      <c r="F591" s="4" t="n"/>
      <c r="G591" s="4" t="n"/>
    </row>
    <row r="592" ht="15.75" customHeight="1" s="40">
      <c r="A592" s="4" t="n"/>
      <c r="B592" s="4" t="n"/>
      <c r="C592" s="4" t="n"/>
      <c r="D592" s="4" t="n"/>
      <c r="E592" s="4" t="n"/>
      <c r="F592" s="4" t="n"/>
      <c r="G592" s="4" t="n"/>
    </row>
    <row r="593" ht="15.75" customHeight="1" s="40">
      <c r="A593" s="4" t="n"/>
      <c r="B593" s="4" t="n"/>
      <c r="C593" s="4" t="n"/>
      <c r="D593" s="4" t="n"/>
      <c r="E593" s="4" t="n"/>
      <c r="F593" s="4" t="n"/>
      <c r="G593" s="4" t="n"/>
    </row>
    <row r="594" ht="15.75" customHeight="1" s="40">
      <c r="A594" s="4" t="n"/>
      <c r="B594" s="4" t="n"/>
      <c r="C594" s="4" t="n"/>
      <c r="D594" s="4" t="n"/>
      <c r="E594" s="4" t="n"/>
      <c r="F594" s="4" t="n"/>
      <c r="G594" s="4" t="n"/>
    </row>
    <row r="595" ht="15.75" customHeight="1" s="40">
      <c r="A595" s="4" t="n"/>
      <c r="B595" s="4" t="n"/>
      <c r="C595" s="4" t="n"/>
      <c r="D595" s="4" t="n"/>
      <c r="E595" s="4" t="n"/>
      <c r="F595" s="4" t="n"/>
      <c r="G595" s="4" t="n"/>
    </row>
    <row r="596" ht="15.75" customHeight="1" s="40">
      <c r="A596" s="4" t="n"/>
      <c r="B596" s="4" t="n"/>
      <c r="C596" s="4" t="n"/>
      <c r="D596" s="4" t="n"/>
      <c r="E596" s="4" t="n"/>
      <c r="F596" s="4" t="n"/>
      <c r="G596" s="4" t="n"/>
    </row>
    <row r="597" ht="15.75" customHeight="1" s="40">
      <c r="A597" s="4" t="n"/>
      <c r="B597" s="4" t="n"/>
      <c r="C597" s="4" t="n"/>
      <c r="D597" s="4" t="n"/>
      <c r="E597" s="4" t="n"/>
      <c r="F597" s="4" t="n"/>
      <c r="G597" s="4" t="n"/>
    </row>
    <row r="598" ht="15.75" customHeight="1" s="40">
      <c r="A598" s="4" t="n"/>
      <c r="B598" s="4" t="n"/>
      <c r="C598" s="4" t="n"/>
      <c r="D598" s="4" t="n"/>
      <c r="E598" s="4" t="n"/>
      <c r="F598" s="4" t="n"/>
      <c r="G598" s="4" t="n"/>
    </row>
    <row r="599" ht="15.75" customHeight="1" s="40">
      <c r="A599" s="4" t="n"/>
      <c r="B599" s="4" t="n"/>
      <c r="C599" s="4" t="n"/>
      <c r="D599" s="4" t="n"/>
      <c r="E599" s="4" t="n"/>
      <c r="F599" s="4" t="n"/>
      <c r="G599" s="4" t="n"/>
    </row>
    <row r="600" ht="15.75" customHeight="1" s="40">
      <c r="A600" s="4" t="n"/>
      <c r="B600" s="4" t="n"/>
      <c r="C600" s="4" t="n"/>
      <c r="D600" s="4" t="n"/>
      <c r="E600" s="4" t="n"/>
      <c r="F600" s="4" t="n"/>
      <c r="G600" s="4" t="n"/>
    </row>
    <row r="601" ht="15.75" customHeight="1" s="40">
      <c r="A601" s="4" t="n"/>
      <c r="B601" s="4" t="n"/>
      <c r="C601" s="4" t="n"/>
      <c r="D601" s="4" t="n"/>
      <c r="E601" s="4" t="n"/>
      <c r="F601" s="4" t="n"/>
      <c r="G601" s="4" t="n"/>
    </row>
    <row r="602" ht="15.75" customHeight="1" s="40">
      <c r="A602" s="4" t="n"/>
      <c r="B602" s="4" t="n"/>
      <c r="C602" s="4" t="n"/>
      <c r="D602" s="4" t="n"/>
      <c r="E602" s="4" t="n"/>
      <c r="F602" s="4" t="n"/>
      <c r="G602" s="4" t="n"/>
    </row>
    <row r="603" ht="15.75" customHeight="1" s="40">
      <c r="A603" s="4" t="n"/>
      <c r="B603" s="4" t="n"/>
      <c r="C603" s="4" t="n"/>
      <c r="D603" s="4" t="n"/>
      <c r="E603" s="4" t="n"/>
      <c r="F603" s="4" t="n"/>
      <c r="G603" s="4" t="n"/>
    </row>
    <row r="604" ht="15.75" customHeight="1" s="40">
      <c r="A604" s="4" t="n"/>
      <c r="B604" s="4" t="n"/>
      <c r="C604" s="4" t="n"/>
      <c r="D604" s="4" t="n"/>
      <c r="E604" s="4" t="n"/>
      <c r="F604" s="4" t="n"/>
      <c r="G604" s="4" t="n"/>
    </row>
    <row r="605" ht="15.75" customHeight="1" s="40">
      <c r="A605" s="4" t="n"/>
      <c r="B605" s="4" t="n"/>
      <c r="C605" s="4" t="n"/>
      <c r="D605" s="4" t="n"/>
      <c r="E605" s="4" t="n"/>
      <c r="F605" s="4" t="n"/>
      <c r="G605" s="4" t="n"/>
    </row>
    <row r="606" ht="15.75" customHeight="1" s="40">
      <c r="A606" s="4" t="n"/>
      <c r="B606" s="4" t="n"/>
      <c r="C606" s="4" t="n"/>
      <c r="D606" s="4" t="n"/>
      <c r="E606" s="4" t="n"/>
      <c r="F606" s="4" t="n"/>
      <c r="G606" s="4" t="n"/>
    </row>
    <row r="607" ht="15.75" customHeight="1" s="40">
      <c r="A607" s="4" t="n"/>
      <c r="B607" s="4" t="n"/>
      <c r="C607" s="4" t="n"/>
      <c r="D607" s="4" t="n"/>
      <c r="E607" s="4" t="n"/>
      <c r="F607" s="4" t="n"/>
      <c r="G607" s="4" t="n"/>
    </row>
    <row r="608" ht="15.75" customHeight="1" s="40">
      <c r="A608" s="4" t="n"/>
      <c r="B608" s="4" t="n"/>
      <c r="C608" s="4" t="n"/>
      <c r="D608" s="4" t="n"/>
      <c r="E608" s="4" t="n"/>
      <c r="F608" s="4" t="n"/>
      <c r="G608" s="4" t="n"/>
    </row>
    <row r="609" ht="15.75" customHeight="1" s="40">
      <c r="A609" s="4" t="n"/>
      <c r="B609" s="4" t="n"/>
      <c r="C609" s="4" t="n"/>
      <c r="D609" s="4" t="n"/>
      <c r="E609" s="4" t="n"/>
      <c r="F609" s="4" t="n"/>
      <c r="G609" s="4" t="n"/>
    </row>
    <row r="610" ht="15.75" customHeight="1" s="40">
      <c r="A610" s="4" t="n"/>
      <c r="B610" s="4" t="n"/>
      <c r="C610" s="4" t="n"/>
      <c r="D610" s="4" t="n"/>
      <c r="E610" s="4" t="n"/>
      <c r="F610" s="4" t="n"/>
      <c r="G610" s="4" t="n"/>
    </row>
    <row r="611" ht="15.75" customHeight="1" s="40">
      <c r="A611" s="4" t="n"/>
      <c r="B611" s="4" t="n"/>
      <c r="C611" s="4" t="n"/>
      <c r="D611" s="4" t="n"/>
      <c r="E611" s="4" t="n"/>
      <c r="F611" s="4" t="n"/>
      <c r="G611" s="4" t="n"/>
    </row>
    <row r="612" ht="15.75" customHeight="1" s="40">
      <c r="A612" s="4" t="n"/>
      <c r="B612" s="4" t="n"/>
      <c r="C612" s="4" t="n"/>
      <c r="D612" s="4" t="n"/>
      <c r="E612" s="4" t="n"/>
      <c r="F612" s="4" t="n"/>
      <c r="G612" s="4" t="n"/>
    </row>
    <row r="613" ht="15.75" customHeight="1" s="40">
      <c r="A613" s="4" t="n"/>
      <c r="B613" s="4" t="n"/>
      <c r="C613" s="4" t="n"/>
      <c r="D613" s="4" t="n"/>
      <c r="E613" s="4" t="n"/>
      <c r="F613" s="4" t="n"/>
      <c r="G613" s="4" t="n"/>
    </row>
    <row r="614" ht="15.75" customHeight="1" s="40">
      <c r="A614" s="4" t="n"/>
      <c r="B614" s="4" t="n"/>
      <c r="C614" s="4" t="n"/>
      <c r="D614" s="4" t="n"/>
      <c r="E614" s="4" t="n"/>
      <c r="F614" s="4" t="n"/>
      <c r="G614" s="4" t="n"/>
    </row>
    <row r="615" ht="15.75" customHeight="1" s="40">
      <c r="A615" s="4" t="n"/>
      <c r="B615" s="4" t="n"/>
      <c r="C615" s="4" t="n"/>
      <c r="D615" s="4" t="n"/>
      <c r="E615" s="4" t="n"/>
      <c r="F615" s="4" t="n"/>
      <c r="G615" s="4" t="n"/>
    </row>
    <row r="616" ht="15.75" customHeight="1" s="40">
      <c r="A616" s="4" t="n"/>
      <c r="B616" s="4" t="n"/>
      <c r="C616" s="4" t="n"/>
      <c r="D616" s="4" t="n"/>
      <c r="E616" s="4" t="n"/>
      <c r="F616" s="4" t="n"/>
      <c r="G616" s="4" t="n"/>
    </row>
    <row r="617" ht="15.75" customHeight="1" s="40">
      <c r="A617" s="4" t="n"/>
      <c r="B617" s="4" t="n"/>
      <c r="C617" s="4" t="n"/>
      <c r="D617" s="4" t="n"/>
      <c r="E617" s="4" t="n"/>
      <c r="F617" s="4" t="n"/>
      <c r="G617" s="4" t="n"/>
    </row>
    <row r="618" ht="15.75" customHeight="1" s="40">
      <c r="A618" s="4" t="n"/>
      <c r="B618" s="4" t="n"/>
      <c r="C618" s="4" t="n"/>
      <c r="D618" s="4" t="n"/>
      <c r="E618" s="4" t="n"/>
      <c r="F618" s="4" t="n"/>
      <c r="G618" s="4" t="n"/>
    </row>
    <row r="619" ht="15.75" customHeight="1" s="40">
      <c r="A619" s="4" t="n"/>
      <c r="B619" s="4" t="n"/>
      <c r="C619" s="4" t="n"/>
      <c r="D619" s="4" t="n"/>
      <c r="E619" s="4" t="n"/>
      <c r="F619" s="4" t="n"/>
      <c r="G619" s="4" t="n"/>
    </row>
    <row r="620" ht="15.75" customHeight="1" s="40">
      <c r="A620" s="4" t="n"/>
      <c r="B620" s="4" t="n"/>
      <c r="C620" s="4" t="n"/>
      <c r="D620" s="4" t="n"/>
      <c r="E620" s="4" t="n"/>
      <c r="F620" s="4" t="n"/>
      <c r="G620" s="4" t="n"/>
    </row>
    <row r="621" ht="15.75" customHeight="1" s="40">
      <c r="A621" s="4" t="n"/>
      <c r="B621" s="4" t="n"/>
      <c r="C621" s="4" t="n"/>
      <c r="D621" s="4" t="n"/>
      <c r="E621" s="4" t="n"/>
      <c r="F621" s="4" t="n"/>
      <c r="G621" s="4" t="n"/>
    </row>
    <row r="622" ht="15.75" customHeight="1" s="40">
      <c r="A622" s="4" t="n"/>
      <c r="B622" s="4" t="n"/>
      <c r="C622" s="4" t="n"/>
      <c r="D622" s="4" t="n"/>
      <c r="E622" s="4" t="n"/>
      <c r="F622" s="4" t="n"/>
      <c r="G622" s="4" t="n"/>
    </row>
    <row r="623" ht="15.75" customHeight="1" s="40">
      <c r="A623" s="4" t="n"/>
      <c r="B623" s="4" t="n"/>
      <c r="C623" s="4" t="n"/>
      <c r="D623" s="4" t="n"/>
      <c r="E623" s="4" t="n"/>
      <c r="F623" s="4" t="n"/>
      <c r="G623" s="4" t="n"/>
    </row>
    <row r="624" ht="15.75" customHeight="1" s="40">
      <c r="A624" s="4" t="n"/>
      <c r="B624" s="4" t="n"/>
      <c r="C624" s="4" t="n"/>
      <c r="D624" s="4" t="n"/>
      <c r="E624" s="4" t="n"/>
      <c r="F624" s="4" t="n"/>
      <c r="G624" s="4" t="n"/>
    </row>
    <row r="625" ht="15.75" customHeight="1" s="40">
      <c r="A625" s="4" t="n"/>
      <c r="B625" s="4" t="n"/>
      <c r="C625" s="4" t="n"/>
      <c r="D625" s="4" t="n"/>
      <c r="E625" s="4" t="n"/>
      <c r="F625" s="4" t="n"/>
      <c r="G625" s="4" t="n"/>
    </row>
    <row r="626" ht="15.75" customHeight="1" s="40">
      <c r="A626" s="4" t="n"/>
      <c r="B626" s="4" t="n"/>
      <c r="C626" s="4" t="n"/>
      <c r="D626" s="4" t="n"/>
      <c r="E626" s="4" t="n"/>
      <c r="F626" s="4" t="n"/>
      <c r="G626" s="4" t="n"/>
    </row>
    <row r="627" ht="15.75" customHeight="1" s="40">
      <c r="A627" s="4" t="n"/>
      <c r="B627" s="4" t="n"/>
      <c r="C627" s="4" t="n"/>
      <c r="D627" s="4" t="n"/>
      <c r="E627" s="4" t="n"/>
      <c r="F627" s="4" t="n"/>
      <c r="G627" s="4" t="n"/>
    </row>
    <row r="628" ht="15.75" customHeight="1" s="40">
      <c r="A628" s="4" t="n"/>
      <c r="B628" s="4" t="n"/>
      <c r="C628" s="4" t="n"/>
      <c r="D628" s="4" t="n"/>
      <c r="E628" s="4" t="n"/>
      <c r="F628" s="4" t="n"/>
      <c r="G628" s="4" t="n"/>
    </row>
    <row r="629" ht="15.75" customHeight="1" s="40">
      <c r="A629" s="4" t="n"/>
      <c r="B629" s="4" t="n"/>
      <c r="C629" s="4" t="n"/>
      <c r="D629" s="4" t="n"/>
      <c r="E629" s="4" t="n"/>
      <c r="F629" s="4" t="n"/>
      <c r="G629" s="4" t="n"/>
    </row>
    <row r="630" ht="15.75" customHeight="1" s="40">
      <c r="A630" s="4" t="n"/>
      <c r="B630" s="4" t="n"/>
      <c r="C630" s="4" t="n"/>
      <c r="D630" s="4" t="n"/>
      <c r="E630" s="4" t="n"/>
      <c r="F630" s="4" t="n"/>
      <c r="G630" s="4" t="n"/>
    </row>
    <row r="631" ht="15.75" customHeight="1" s="40">
      <c r="A631" s="4" t="n"/>
      <c r="B631" s="4" t="n"/>
      <c r="C631" s="4" t="n"/>
      <c r="D631" s="4" t="n"/>
      <c r="E631" s="4" t="n"/>
      <c r="F631" s="4" t="n"/>
      <c r="G631" s="4" t="n"/>
    </row>
    <row r="632" ht="15.75" customHeight="1" s="40">
      <c r="A632" s="4" t="n"/>
      <c r="B632" s="4" t="n"/>
      <c r="C632" s="4" t="n"/>
      <c r="D632" s="4" t="n"/>
      <c r="E632" s="4" t="n"/>
      <c r="F632" s="4" t="n"/>
      <c r="G632" s="4" t="n"/>
    </row>
    <row r="633" ht="15.75" customHeight="1" s="40">
      <c r="A633" s="4" t="n"/>
      <c r="B633" s="4" t="n"/>
      <c r="C633" s="4" t="n"/>
      <c r="D633" s="4" t="n"/>
      <c r="E633" s="4" t="n"/>
      <c r="F633" s="4" t="n"/>
      <c r="G633" s="4" t="n"/>
    </row>
    <row r="634" ht="15.75" customHeight="1" s="40">
      <c r="A634" s="4" t="n"/>
      <c r="B634" s="4" t="n"/>
      <c r="C634" s="4" t="n"/>
      <c r="D634" s="4" t="n"/>
      <c r="E634" s="4" t="n"/>
      <c r="F634" s="4" t="n"/>
      <c r="G634" s="4" t="n"/>
    </row>
    <row r="635" ht="15.75" customHeight="1" s="40">
      <c r="A635" s="4" t="n"/>
      <c r="B635" s="4" t="n"/>
      <c r="C635" s="4" t="n"/>
      <c r="D635" s="4" t="n"/>
      <c r="E635" s="4" t="n"/>
      <c r="F635" s="4" t="n"/>
      <c r="G635" s="4" t="n"/>
    </row>
    <row r="636" ht="15.75" customHeight="1" s="40">
      <c r="A636" s="4" t="n"/>
      <c r="B636" s="4" t="n"/>
      <c r="C636" s="4" t="n"/>
      <c r="D636" s="4" t="n"/>
      <c r="E636" s="4" t="n"/>
      <c r="F636" s="4" t="n"/>
      <c r="G636" s="4" t="n"/>
    </row>
    <row r="637" ht="15.75" customHeight="1" s="40">
      <c r="A637" s="4" t="n"/>
      <c r="B637" s="4" t="n"/>
      <c r="C637" s="4" t="n"/>
      <c r="D637" s="4" t="n"/>
      <c r="E637" s="4" t="n"/>
      <c r="F637" s="4" t="n"/>
      <c r="G637" s="4" t="n"/>
    </row>
    <row r="638" ht="15.75" customHeight="1" s="40">
      <c r="A638" s="4" t="n"/>
      <c r="B638" s="4" t="n"/>
      <c r="C638" s="4" t="n"/>
      <c r="D638" s="4" t="n"/>
      <c r="E638" s="4" t="n"/>
      <c r="F638" s="4" t="n"/>
      <c r="G638" s="4" t="n"/>
    </row>
    <row r="639" ht="15.75" customHeight="1" s="40">
      <c r="A639" s="4" t="n"/>
      <c r="B639" s="4" t="n"/>
      <c r="C639" s="4" t="n"/>
      <c r="D639" s="4" t="n"/>
      <c r="E639" s="4" t="n"/>
      <c r="F639" s="4" t="n"/>
      <c r="G639" s="4" t="n"/>
    </row>
    <row r="640" ht="15.75" customHeight="1" s="40">
      <c r="A640" s="4" t="n"/>
      <c r="B640" s="4" t="n"/>
      <c r="C640" s="4" t="n"/>
      <c r="D640" s="4" t="n"/>
      <c r="E640" s="4" t="n"/>
      <c r="F640" s="4" t="n"/>
      <c r="G640" s="4" t="n"/>
    </row>
    <row r="641" ht="15.75" customHeight="1" s="40">
      <c r="A641" s="4" t="n"/>
      <c r="B641" s="4" t="n"/>
      <c r="C641" s="4" t="n"/>
      <c r="D641" s="4" t="n"/>
      <c r="E641" s="4" t="n"/>
      <c r="F641" s="4" t="n"/>
      <c r="G641" s="4" t="n"/>
    </row>
    <row r="642" ht="15.75" customHeight="1" s="40">
      <c r="A642" s="4" t="n"/>
      <c r="B642" s="4" t="n"/>
      <c r="C642" s="4" t="n"/>
      <c r="D642" s="4" t="n"/>
      <c r="E642" s="4" t="n"/>
      <c r="F642" s="4" t="n"/>
      <c r="G642" s="4" t="n"/>
    </row>
    <row r="643" ht="15.75" customHeight="1" s="40">
      <c r="A643" s="4" t="n"/>
      <c r="B643" s="4" t="n"/>
      <c r="C643" s="4" t="n"/>
      <c r="D643" s="4" t="n"/>
      <c r="E643" s="4" t="n"/>
      <c r="F643" s="4" t="n"/>
      <c r="G643" s="4" t="n"/>
    </row>
    <row r="644" ht="15.75" customHeight="1" s="40">
      <c r="A644" s="4" t="n"/>
      <c r="B644" s="4" t="n"/>
      <c r="C644" s="4" t="n"/>
      <c r="D644" s="4" t="n"/>
      <c r="E644" s="4" t="n"/>
      <c r="F644" s="4" t="n"/>
      <c r="G644" s="4" t="n"/>
    </row>
    <row r="645" ht="15.75" customHeight="1" s="40">
      <c r="A645" s="4" t="n"/>
      <c r="B645" s="4" t="n"/>
      <c r="C645" s="4" t="n"/>
      <c r="D645" s="4" t="n"/>
      <c r="E645" s="4" t="n"/>
      <c r="F645" s="4" t="n"/>
      <c r="G645" s="4" t="n"/>
    </row>
    <row r="646" ht="15.75" customHeight="1" s="40">
      <c r="A646" s="4" t="n"/>
      <c r="B646" s="4" t="n"/>
      <c r="C646" s="4" t="n"/>
      <c r="D646" s="4" t="n"/>
      <c r="E646" s="4" t="n"/>
      <c r="F646" s="4" t="n"/>
      <c r="G646" s="4" t="n"/>
    </row>
    <row r="647" ht="15.75" customHeight="1" s="40">
      <c r="A647" s="4" t="n"/>
      <c r="B647" s="4" t="n"/>
      <c r="C647" s="4" t="n"/>
      <c r="D647" s="4" t="n"/>
      <c r="E647" s="4" t="n"/>
      <c r="F647" s="4" t="n"/>
      <c r="G647" s="4" t="n"/>
    </row>
    <row r="648" ht="15.75" customHeight="1" s="40">
      <c r="A648" s="4" t="n"/>
      <c r="B648" s="4" t="n"/>
      <c r="C648" s="4" t="n"/>
      <c r="D648" s="4" t="n"/>
      <c r="E648" s="4" t="n"/>
      <c r="F648" s="4" t="n"/>
      <c r="G648" s="4" t="n"/>
    </row>
    <row r="649" ht="15.75" customHeight="1" s="40">
      <c r="A649" s="4" t="n"/>
      <c r="B649" s="4" t="n"/>
      <c r="C649" s="4" t="n"/>
      <c r="D649" s="4" t="n"/>
      <c r="E649" s="4" t="n"/>
      <c r="F649" s="4" t="n"/>
      <c r="G649" s="4" t="n"/>
    </row>
    <row r="650" ht="15.75" customHeight="1" s="40">
      <c r="A650" s="4" t="n"/>
      <c r="B650" s="4" t="n"/>
      <c r="C650" s="4" t="n"/>
      <c r="D650" s="4" t="n"/>
      <c r="E650" s="4" t="n"/>
      <c r="F650" s="4" t="n"/>
      <c r="G650" s="4" t="n"/>
    </row>
    <row r="651" ht="15.75" customHeight="1" s="40">
      <c r="A651" s="4" t="n"/>
      <c r="B651" s="4" t="n"/>
      <c r="C651" s="4" t="n"/>
      <c r="D651" s="4" t="n"/>
      <c r="E651" s="4" t="n"/>
      <c r="F651" s="4" t="n"/>
      <c r="G651" s="4" t="n"/>
    </row>
    <row r="652" ht="15.75" customHeight="1" s="40">
      <c r="A652" s="4" t="n"/>
      <c r="B652" s="4" t="n"/>
      <c r="C652" s="4" t="n"/>
      <c r="D652" s="4" t="n"/>
      <c r="E652" s="4" t="n"/>
      <c r="F652" s="4" t="n"/>
      <c r="G652" s="4" t="n"/>
    </row>
    <row r="653" ht="15.75" customHeight="1" s="40">
      <c r="A653" s="4" t="n"/>
      <c r="B653" s="4" t="n"/>
      <c r="C653" s="4" t="n"/>
      <c r="D653" s="4" t="n"/>
      <c r="E653" s="4" t="n"/>
      <c r="F653" s="4" t="n"/>
      <c r="G653" s="4" t="n"/>
    </row>
    <row r="654" ht="15.75" customHeight="1" s="40">
      <c r="A654" s="4" t="n"/>
      <c r="B654" s="4" t="n"/>
      <c r="C654" s="4" t="n"/>
      <c r="D654" s="4" t="n"/>
      <c r="E654" s="4" t="n"/>
      <c r="F654" s="4" t="n"/>
      <c r="G654" s="4" t="n"/>
    </row>
    <row r="655" ht="15.75" customHeight="1" s="40">
      <c r="A655" s="4" t="n"/>
      <c r="B655" s="4" t="n"/>
      <c r="C655" s="4" t="n"/>
      <c r="D655" s="4" t="n"/>
      <c r="E655" s="4" t="n"/>
      <c r="F655" s="4" t="n"/>
      <c r="G655" s="4" t="n"/>
    </row>
    <row r="656" ht="15.75" customHeight="1" s="40">
      <c r="A656" s="4" t="n"/>
      <c r="B656" s="4" t="n"/>
      <c r="C656" s="4" t="n"/>
      <c r="D656" s="4" t="n"/>
      <c r="E656" s="4" t="n"/>
      <c r="F656" s="4" t="n"/>
      <c r="G656" s="4" t="n"/>
    </row>
    <row r="657" ht="15.75" customHeight="1" s="40">
      <c r="A657" s="4" t="n"/>
      <c r="B657" s="4" t="n"/>
      <c r="C657" s="4" t="n"/>
      <c r="D657" s="4" t="n"/>
      <c r="E657" s="4" t="n"/>
      <c r="F657" s="4" t="n"/>
      <c r="G657" s="4" t="n"/>
    </row>
    <row r="658" ht="15.75" customHeight="1" s="40">
      <c r="A658" s="4" t="n"/>
      <c r="B658" s="4" t="n"/>
      <c r="C658" s="4" t="n"/>
      <c r="D658" s="4" t="n"/>
      <c r="E658" s="4" t="n"/>
      <c r="F658" s="4" t="n"/>
      <c r="G658" s="4" t="n"/>
    </row>
    <row r="659" ht="15.75" customHeight="1" s="40">
      <c r="A659" s="4" t="n"/>
      <c r="B659" s="4" t="n"/>
      <c r="C659" s="4" t="n"/>
      <c r="D659" s="4" t="n"/>
      <c r="E659" s="4" t="n"/>
      <c r="F659" s="4" t="n"/>
      <c r="G659" s="4" t="n"/>
    </row>
    <row r="660" ht="15.75" customHeight="1" s="40">
      <c r="A660" s="4" t="n"/>
      <c r="B660" s="4" t="n"/>
      <c r="C660" s="4" t="n"/>
      <c r="D660" s="4" t="n"/>
      <c r="E660" s="4" t="n"/>
      <c r="F660" s="4" t="n"/>
      <c r="G660" s="4" t="n"/>
    </row>
    <row r="661" ht="15.75" customHeight="1" s="40">
      <c r="A661" s="4" t="n"/>
      <c r="B661" s="4" t="n"/>
      <c r="C661" s="4" t="n"/>
      <c r="D661" s="4" t="n"/>
      <c r="E661" s="4" t="n"/>
      <c r="F661" s="4" t="n"/>
      <c r="G661" s="4" t="n"/>
    </row>
    <row r="662" ht="15.75" customHeight="1" s="40">
      <c r="A662" s="4" t="n"/>
      <c r="B662" s="4" t="n"/>
      <c r="C662" s="4" t="n"/>
      <c r="D662" s="4" t="n"/>
      <c r="E662" s="4" t="n"/>
      <c r="F662" s="4" t="n"/>
      <c r="G662" s="4" t="n"/>
    </row>
    <row r="663" ht="15.75" customHeight="1" s="40">
      <c r="A663" s="4" t="n"/>
      <c r="B663" s="4" t="n"/>
      <c r="C663" s="4" t="n"/>
      <c r="D663" s="4" t="n"/>
      <c r="E663" s="4" t="n"/>
      <c r="F663" s="4" t="n"/>
      <c r="G663" s="4" t="n"/>
    </row>
    <row r="664" ht="15.75" customHeight="1" s="40">
      <c r="A664" s="4" t="n"/>
      <c r="B664" s="4" t="n"/>
      <c r="C664" s="4" t="n"/>
      <c r="D664" s="4" t="n"/>
      <c r="E664" s="4" t="n"/>
      <c r="F664" s="4" t="n"/>
      <c r="G664" s="4" t="n"/>
    </row>
    <row r="665" ht="15.75" customHeight="1" s="40">
      <c r="A665" s="4" t="n"/>
      <c r="B665" s="4" t="n"/>
      <c r="C665" s="4" t="n"/>
      <c r="D665" s="4" t="n"/>
      <c r="E665" s="4" t="n"/>
      <c r="F665" s="4" t="n"/>
      <c r="G665" s="4" t="n"/>
    </row>
    <row r="666" ht="15.75" customHeight="1" s="40">
      <c r="A666" s="4" t="n"/>
      <c r="B666" s="4" t="n"/>
      <c r="C666" s="4" t="n"/>
      <c r="D666" s="4" t="n"/>
      <c r="E666" s="4" t="n"/>
      <c r="F666" s="4" t="n"/>
      <c r="G666" s="4" t="n"/>
    </row>
    <row r="667" ht="15.75" customHeight="1" s="40">
      <c r="A667" s="4" t="n"/>
      <c r="B667" s="4" t="n"/>
      <c r="C667" s="4" t="n"/>
      <c r="D667" s="4" t="n"/>
      <c r="E667" s="4" t="n"/>
      <c r="F667" s="4" t="n"/>
      <c r="G667" s="4" t="n"/>
    </row>
    <row r="668" ht="15.75" customHeight="1" s="40">
      <c r="A668" s="4" t="n"/>
      <c r="B668" s="4" t="n"/>
      <c r="C668" s="4" t="n"/>
      <c r="D668" s="4" t="n"/>
      <c r="E668" s="4" t="n"/>
      <c r="F668" s="4" t="n"/>
      <c r="G668" s="4" t="n"/>
    </row>
    <row r="669" ht="15.75" customHeight="1" s="40">
      <c r="A669" s="4" t="n"/>
      <c r="B669" s="4" t="n"/>
      <c r="C669" s="4" t="n"/>
      <c r="D669" s="4" t="n"/>
      <c r="E669" s="4" t="n"/>
      <c r="F669" s="4" t="n"/>
      <c r="G669" s="4" t="n"/>
    </row>
    <row r="670" ht="15.75" customHeight="1" s="40">
      <c r="A670" s="4" t="n"/>
      <c r="B670" s="4" t="n"/>
      <c r="C670" s="4" t="n"/>
      <c r="D670" s="4" t="n"/>
      <c r="E670" s="4" t="n"/>
      <c r="F670" s="4" t="n"/>
      <c r="G670" s="4" t="n"/>
    </row>
    <row r="671" ht="15.75" customHeight="1" s="40">
      <c r="A671" s="4" t="n"/>
      <c r="B671" s="4" t="n"/>
      <c r="C671" s="4" t="n"/>
      <c r="D671" s="4" t="n"/>
      <c r="E671" s="4" t="n"/>
      <c r="F671" s="4" t="n"/>
      <c r="G671" s="4" t="n"/>
    </row>
    <row r="672" ht="15.75" customHeight="1" s="40">
      <c r="A672" s="4" t="n"/>
      <c r="B672" s="4" t="n"/>
      <c r="C672" s="4" t="n"/>
      <c r="D672" s="4" t="n"/>
      <c r="E672" s="4" t="n"/>
      <c r="F672" s="4" t="n"/>
      <c r="G672" s="4" t="n"/>
    </row>
    <row r="673" ht="15.75" customHeight="1" s="40">
      <c r="A673" s="4" t="n"/>
      <c r="B673" s="4" t="n"/>
      <c r="C673" s="4" t="n"/>
      <c r="D673" s="4" t="n"/>
      <c r="E673" s="4" t="n"/>
      <c r="F673" s="4" t="n"/>
      <c r="G673" s="4" t="n"/>
    </row>
    <row r="674" ht="15.75" customHeight="1" s="40">
      <c r="A674" s="4" t="n"/>
      <c r="B674" s="4" t="n"/>
      <c r="C674" s="4" t="n"/>
      <c r="D674" s="4" t="n"/>
      <c r="E674" s="4" t="n"/>
      <c r="F674" s="4" t="n"/>
      <c r="G674" s="4" t="n"/>
    </row>
    <row r="675" ht="15.75" customHeight="1" s="40">
      <c r="A675" s="4" t="n"/>
      <c r="B675" s="4" t="n"/>
      <c r="C675" s="4" t="n"/>
      <c r="D675" s="4" t="n"/>
      <c r="E675" s="4" t="n"/>
      <c r="F675" s="4" t="n"/>
      <c r="G675" s="4" t="n"/>
    </row>
    <row r="676" ht="15.75" customHeight="1" s="40">
      <c r="A676" s="4" t="n"/>
      <c r="B676" s="4" t="n"/>
      <c r="C676" s="4" t="n"/>
      <c r="D676" s="4" t="n"/>
      <c r="E676" s="4" t="n"/>
      <c r="F676" s="4" t="n"/>
      <c r="G676" s="4" t="n"/>
    </row>
    <row r="677" ht="15.75" customHeight="1" s="40">
      <c r="A677" s="4" t="n"/>
      <c r="B677" s="4" t="n"/>
      <c r="C677" s="4" t="n"/>
      <c r="D677" s="4" t="n"/>
      <c r="E677" s="4" t="n"/>
      <c r="F677" s="4" t="n"/>
      <c r="G677" s="4" t="n"/>
    </row>
    <row r="678" ht="15.75" customHeight="1" s="40">
      <c r="A678" s="4" t="n"/>
      <c r="B678" s="4" t="n"/>
      <c r="C678" s="4" t="n"/>
      <c r="D678" s="4" t="n"/>
      <c r="E678" s="4" t="n"/>
      <c r="F678" s="4" t="n"/>
      <c r="G678" s="4" t="n"/>
    </row>
    <row r="679" ht="15.75" customHeight="1" s="40">
      <c r="A679" s="4" t="n"/>
      <c r="B679" s="4" t="n"/>
      <c r="C679" s="4" t="n"/>
      <c r="D679" s="4" t="n"/>
      <c r="E679" s="4" t="n"/>
      <c r="F679" s="4" t="n"/>
      <c r="G679" s="4" t="n"/>
    </row>
    <row r="680" ht="15.75" customHeight="1" s="40">
      <c r="A680" s="4" t="n"/>
      <c r="B680" s="4" t="n"/>
      <c r="C680" s="4" t="n"/>
      <c r="D680" s="4" t="n"/>
      <c r="E680" s="4" t="n"/>
      <c r="F680" s="4" t="n"/>
      <c r="G680" s="4" t="n"/>
    </row>
    <row r="681" ht="15.75" customHeight="1" s="40">
      <c r="A681" s="4" t="n"/>
      <c r="B681" s="4" t="n"/>
      <c r="C681" s="4" t="n"/>
      <c r="D681" s="4" t="n"/>
      <c r="E681" s="4" t="n"/>
      <c r="F681" s="4" t="n"/>
      <c r="G681" s="4" t="n"/>
    </row>
    <row r="682" ht="15.75" customHeight="1" s="40">
      <c r="A682" s="4" t="n"/>
      <c r="B682" s="4" t="n"/>
      <c r="C682" s="4" t="n"/>
      <c r="D682" s="4" t="n"/>
      <c r="E682" s="4" t="n"/>
      <c r="F682" s="4" t="n"/>
      <c r="G682" s="4" t="n"/>
    </row>
    <row r="683" ht="15.75" customHeight="1" s="40">
      <c r="A683" s="4" t="n"/>
      <c r="B683" s="4" t="n"/>
      <c r="C683" s="4" t="n"/>
      <c r="D683" s="4" t="n"/>
      <c r="E683" s="4" t="n"/>
      <c r="F683" s="4" t="n"/>
      <c r="G683" s="4" t="n"/>
    </row>
    <row r="684" ht="15.75" customHeight="1" s="40">
      <c r="A684" s="4" t="n"/>
      <c r="B684" s="4" t="n"/>
      <c r="C684" s="4" t="n"/>
      <c r="D684" s="4" t="n"/>
      <c r="E684" s="4" t="n"/>
      <c r="F684" s="4" t="n"/>
      <c r="G684" s="4" t="n"/>
    </row>
    <row r="685" ht="15.75" customHeight="1" s="40">
      <c r="A685" s="4" t="n"/>
      <c r="B685" s="4" t="n"/>
      <c r="C685" s="4" t="n"/>
      <c r="D685" s="4" t="n"/>
      <c r="E685" s="4" t="n"/>
      <c r="F685" s="4" t="n"/>
      <c r="G685" s="4" t="n"/>
    </row>
    <row r="686" ht="15.75" customHeight="1" s="40">
      <c r="A686" s="4" t="n"/>
      <c r="B686" s="4" t="n"/>
      <c r="C686" s="4" t="n"/>
      <c r="D686" s="4" t="n"/>
      <c r="E686" s="4" t="n"/>
      <c r="F686" s="4" t="n"/>
      <c r="G686" s="4" t="n"/>
    </row>
    <row r="687" ht="15.75" customHeight="1" s="40">
      <c r="A687" s="4" t="n"/>
      <c r="B687" s="4" t="n"/>
      <c r="C687" s="4" t="n"/>
      <c r="D687" s="4" t="n"/>
      <c r="E687" s="4" t="n"/>
      <c r="F687" s="4" t="n"/>
      <c r="G687" s="4" t="n"/>
    </row>
    <row r="688" ht="15.75" customHeight="1" s="40">
      <c r="A688" s="4" t="n"/>
      <c r="B688" s="4" t="n"/>
      <c r="C688" s="4" t="n"/>
      <c r="D688" s="4" t="n"/>
      <c r="E688" s="4" t="n"/>
      <c r="F688" s="4" t="n"/>
      <c r="G688" s="4" t="n"/>
    </row>
    <row r="689" ht="15.75" customHeight="1" s="40">
      <c r="A689" s="4" t="n"/>
      <c r="B689" s="4" t="n"/>
      <c r="C689" s="4" t="n"/>
      <c r="D689" s="4" t="n"/>
      <c r="E689" s="4" t="n"/>
      <c r="F689" s="4" t="n"/>
      <c r="G689" s="4" t="n"/>
    </row>
    <row r="690" ht="15.75" customHeight="1" s="40">
      <c r="A690" s="4" t="n"/>
      <c r="B690" s="4" t="n"/>
      <c r="C690" s="4" t="n"/>
      <c r="D690" s="4" t="n"/>
      <c r="E690" s="4" t="n"/>
      <c r="F690" s="4" t="n"/>
      <c r="G690" s="4" t="n"/>
    </row>
    <row r="691" ht="15.75" customHeight="1" s="40">
      <c r="A691" s="4" t="n"/>
      <c r="B691" s="4" t="n"/>
      <c r="C691" s="4" t="n"/>
      <c r="D691" s="4" t="n"/>
      <c r="E691" s="4" t="n"/>
      <c r="F691" s="4" t="n"/>
      <c r="G691" s="4" t="n"/>
    </row>
    <row r="692" ht="15.75" customHeight="1" s="40">
      <c r="A692" s="4" t="n"/>
      <c r="B692" s="4" t="n"/>
      <c r="C692" s="4" t="n"/>
      <c r="D692" s="4" t="n"/>
      <c r="E692" s="4" t="n"/>
      <c r="F692" s="4" t="n"/>
      <c r="G692" s="4" t="n"/>
    </row>
    <row r="693" ht="15.75" customHeight="1" s="40">
      <c r="A693" s="4" t="n"/>
      <c r="B693" s="4" t="n"/>
      <c r="C693" s="4" t="n"/>
      <c r="D693" s="4" t="n"/>
      <c r="E693" s="4" t="n"/>
      <c r="F693" s="4" t="n"/>
      <c r="G693" s="4" t="n"/>
    </row>
    <row r="694" ht="15.75" customHeight="1" s="40">
      <c r="A694" s="4" t="n"/>
      <c r="B694" s="4" t="n"/>
      <c r="C694" s="4" t="n"/>
      <c r="D694" s="4" t="n"/>
      <c r="E694" s="4" t="n"/>
      <c r="F694" s="4" t="n"/>
      <c r="G694" s="4" t="n"/>
    </row>
    <row r="695" ht="15.75" customHeight="1" s="40">
      <c r="A695" s="4" t="n"/>
      <c r="B695" s="4" t="n"/>
      <c r="C695" s="4" t="n"/>
      <c r="D695" s="4" t="n"/>
      <c r="E695" s="4" t="n"/>
      <c r="F695" s="4" t="n"/>
      <c r="G695" s="4" t="n"/>
    </row>
    <row r="696" ht="15.75" customHeight="1" s="40">
      <c r="A696" s="4" t="n"/>
      <c r="B696" s="4" t="n"/>
      <c r="C696" s="4" t="n"/>
      <c r="D696" s="4" t="n"/>
      <c r="E696" s="4" t="n"/>
      <c r="F696" s="4" t="n"/>
      <c r="G696" s="4" t="n"/>
    </row>
    <row r="697" ht="15.75" customHeight="1" s="40">
      <c r="A697" s="4" t="n"/>
      <c r="B697" s="4" t="n"/>
      <c r="C697" s="4" t="n"/>
      <c r="D697" s="4" t="n"/>
      <c r="E697" s="4" t="n"/>
      <c r="F697" s="4" t="n"/>
      <c r="G697" s="4" t="n"/>
    </row>
    <row r="698" ht="15.75" customHeight="1" s="40">
      <c r="A698" s="4" t="n"/>
      <c r="B698" s="4" t="n"/>
      <c r="C698" s="4" t="n"/>
      <c r="D698" s="4" t="n"/>
      <c r="E698" s="4" t="n"/>
      <c r="F698" s="4" t="n"/>
      <c r="G698" s="4" t="n"/>
    </row>
    <row r="699" ht="15.75" customHeight="1" s="40">
      <c r="A699" s="4" t="n"/>
      <c r="B699" s="4" t="n"/>
      <c r="C699" s="4" t="n"/>
      <c r="D699" s="4" t="n"/>
      <c r="E699" s="4" t="n"/>
      <c r="F699" s="4" t="n"/>
      <c r="G699" s="4" t="n"/>
    </row>
    <row r="700" ht="15.75" customHeight="1" s="40">
      <c r="A700" s="4" t="n"/>
      <c r="B700" s="4" t="n"/>
      <c r="C700" s="4" t="n"/>
      <c r="D700" s="4" t="n"/>
      <c r="E700" s="4" t="n"/>
      <c r="F700" s="4" t="n"/>
      <c r="G700" s="4" t="n"/>
    </row>
    <row r="701" ht="15.75" customHeight="1" s="40">
      <c r="A701" s="4" t="n"/>
      <c r="B701" s="4" t="n"/>
      <c r="C701" s="4" t="n"/>
      <c r="D701" s="4" t="n"/>
      <c r="E701" s="4" t="n"/>
      <c r="F701" s="4" t="n"/>
      <c r="G701" s="4" t="n"/>
    </row>
    <row r="702" ht="15.75" customHeight="1" s="40">
      <c r="A702" s="4" t="n"/>
      <c r="B702" s="4" t="n"/>
      <c r="C702" s="4" t="n"/>
      <c r="D702" s="4" t="n"/>
      <c r="E702" s="4" t="n"/>
      <c r="F702" s="4" t="n"/>
      <c r="G702" s="4" t="n"/>
    </row>
    <row r="703" ht="15.75" customHeight="1" s="40">
      <c r="A703" s="4" t="n"/>
      <c r="B703" s="4" t="n"/>
      <c r="C703" s="4" t="n"/>
      <c r="D703" s="4" t="n"/>
      <c r="E703" s="4" t="n"/>
      <c r="F703" s="4" t="n"/>
      <c r="G703" s="4" t="n"/>
    </row>
    <row r="704" ht="15.75" customHeight="1" s="40">
      <c r="A704" s="4" t="n"/>
      <c r="B704" s="4" t="n"/>
      <c r="C704" s="4" t="n"/>
      <c r="D704" s="4" t="n"/>
      <c r="E704" s="4" t="n"/>
      <c r="F704" s="4" t="n"/>
      <c r="G704" s="4" t="n"/>
    </row>
    <row r="705" ht="15.75" customHeight="1" s="40">
      <c r="A705" s="4" t="n"/>
      <c r="B705" s="4" t="n"/>
      <c r="C705" s="4" t="n"/>
      <c r="D705" s="4" t="n"/>
      <c r="E705" s="4" t="n"/>
      <c r="F705" s="4" t="n"/>
      <c r="G705" s="4" t="n"/>
    </row>
    <row r="706" ht="15.75" customHeight="1" s="40">
      <c r="A706" s="4" t="n"/>
      <c r="B706" s="4" t="n"/>
      <c r="C706" s="4" t="n"/>
      <c r="D706" s="4" t="n"/>
      <c r="E706" s="4" t="n"/>
      <c r="F706" s="4" t="n"/>
      <c r="G706" s="4" t="n"/>
    </row>
    <row r="707" ht="15.75" customHeight="1" s="40">
      <c r="A707" s="4" t="n"/>
      <c r="B707" s="4" t="n"/>
      <c r="C707" s="4" t="n"/>
      <c r="D707" s="4" t="n"/>
      <c r="E707" s="4" t="n"/>
      <c r="F707" s="4" t="n"/>
      <c r="G707" s="4" t="n"/>
    </row>
    <row r="708" ht="15.75" customHeight="1" s="40">
      <c r="A708" s="4" t="n"/>
      <c r="B708" s="4" t="n"/>
      <c r="C708" s="4" t="n"/>
      <c r="D708" s="4" t="n"/>
      <c r="E708" s="4" t="n"/>
      <c r="F708" s="4" t="n"/>
      <c r="G708" s="4" t="n"/>
    </row>
    <row r="709" ht="15.75" customHeight="1" s="40">
      <c r="A709" s="4" t="n"/>
      <c r="B709" s="4" t="n"/>
      <c r="C709" s="4" t="n"/>
      <c r="D709" s="4" t="n"/>
      <c r="E709" s="4" t="n"/>
      <c r="F709" s="4" t="n"/>
      <c r="G709" s="4" t="n"/>
    </row>
    <row r="710" ht="15.75" customHeight="1" s="40">
      <c r="A710" s="4" t="n"/>
      <c r="B710" s="4" t="n"/>
      <c r="C710" s="4" t="n"/>
      <c r="D710" s="4" t="n"/>
      <c r="E710" s="4" t="n"/>
      <c r="F710" s="4" t="n"/>
      <c r="G710" s="4" t="n"/>
    </row>
    <row r="711" ht="15.75" customHeight="1" s="40">
      <c r="A711" s="4" t="n"/>
      <c r="B711" s="4" t="n"/>
      <c r="C711" s="4" t="n"/>
      <c r="D711" s="4" t="n"/>
      <c r="E711" s="4" t="n"/>
      <c r="F711" s="4" t="n"/>
      <c r="G711" s="4" t="n"/>
    </row>
    <row r="712" ht="15.75" customHeight="1" s="40">
      <c r="A712" s="4" t="n"/>
      <c r="B712" s="4" t="n"/>
      <c r="C712" s="4" t="n"/>
      <c r="D712" s="4" t="n"/>
      <c r="E712" s="4" t="n"/>
      <c r="F712" s="4" t="n"/>
      <c r="G712" s="4" t="n"/>
    </row>
    <row r="713" ht="15.75" customHeight="1" s="40">
      <c r="A713" s="4" t="n"/>
      <c r="B713" s="4" t="n"/>
      <c r="C713" s="4" t="n"/>
      <c r="D713" s="4" t="n"/>
      <c r="E713" s="4" t="n"/>
      <c r="F713" s="4" t="n"/>
      <c r="G713" s="4" t="n"/>
    </row>
    <row r="714" ht="15.75" customHeight="1" s="40">
      <c r="A714" s="4" t="n"/>
      <c r="B714" s="4" t="n"/>
      <c r="C714" s="4" t="n"/>
      <c r="D714" s="4" t="n"/>
      <c r="E714" s="4" t="n"/>
      <c r="F714" s="4" t="n"/>
      <c r="G714" s="4" t="n"/>
    </row>
    <row r="715" ht="15.75" customHeight="1" s="40">
      <c r="A715" s="4" t="n"/>
      <c r="B715" s="4" t="n"/>
      <c r="C715" s="4" t="n"/>
      <c r="D715" s="4" t="n"/>
      <c r="E715" s="4" t="n"/>
      <c r="F715" s="4" t="n"/>
      <c r="G715" s="4" t="n"/>
    </row>
    <row r="716" ht="15.75" customHeight="1" s="40">
      <c r="A716" s="4" t="n"/>
      <c r="B716" s="4" t="n"/>
      <c r="C716" s="4" t="n"/>
      <c r="D716" s="4" t="n"/>
      <c r="E716" s="4" t="n"/>
      <c r="F716" s="4" t="n"/>
      <c r="G716" s="4" t="n"/>
    </row>
    <row r="717" ht="15.75" customHeight="1" s="40">
      <c r="A717" s="4" t="n"/>
      <c r="B717" s="4" t="n"/>
      <c r="C717" s="4" t="n"/>
      <c r="D717" s="4" t="n"/>
      <c r="E717" s="4" t="n"/>
      <c r="F717" s="4" t="n"/>
      <c r="G717" s="4" t="n"/>
    </row>
    <row r="718" ht="15.75" customHeight="1" s="40">
      <c r="A718" s="4" t="n"/>
      <c r="B718" s="4" t="n"/>
      <c r="C718" s="4" t="n"/>
      <c r="D718" s="4" t="n"/>
      <c r="E718" s="4" t="n"/>
      <c r="F718" s="4" t="n"/>
      <c r="G718" s="4" t="n"/>
    </row>
    <row r="719" ht="15.75" customHeight="1" s="40">
      <c r="A719" s="4" t="n"/>
      <c r="B719" s="4" t="n"/>
      <c r="C719" s="4" t="n"/>
      <c r="D719" s="4" t="n"/>
      <c r="E719" s="4" t="n"/>
      <c r="F719" s="4" t="n"/>
      <c r="G719" s="4" t="n"/>
    </row>
    <row r="720" ht="15.75" customHeight="1" s="40">
      <c r="A720" s="4" t="n"/>
      <c r="B720" s="4" t="n"/>
      <c r="C720" s="4" t="n"/>
      <c r="D720" s="4" t="n"/>
      <c r="E720" s="4" t="n"/>
      <c r="F720" s="4" t="n"/>
      <c r="G720" s="4" t="n"/>
    </row>
    <row r="721" ht="15.75" customHeight="1" s="40">
      <c r="A721" s="4" t="n"/>
      <c r="B721" s="4" t="n"/>
      <c r="C721" s="4" t="n"/>
      <c r="D721" s="4" t="n"/>
      <c r="E721" s="4" t="n"/>
      <c r="F721" s="4" t="n"/>
      <c r="G721" s="4" t="n"/>
    </row>
    <row r="722" ht="15.75" customHeight="1" s="40">
      <c r="A722" s="4" t="n"/>
      <c r="B722" s="4" t="n"/>
      <c r="C722" s="4" t="n"/>
      <c r="D722" s="4" t="n"/>
      <c r="E722" s="4" t="n"/>
      <c r="F722" s="4" t="n"/>
      <c r="G722" s="4" t="n"/>
    </row>
    <row r="723" ht="15.75" customHeight="1" s="40">
      <c r="A723" s="4" t="n"/>
      <c r="B723" s="4" t="n"/>
      <c r="C723" s="4" t="n"/>
      <c r="D723" s="4" t="n"/>
      <c r="E723" s="4" t="n"/>
      <c r="F723" s="4" t="n"/>
      <c r="G723" s="4" t="n"/>
    </row>
    <row r="724" ht="15.75" customHeight="1" s="40">
      <c r="A724" s="4" t="n"/>
      <c r="B724" s="4" t="n"/>
      <c r="C724" s="4" t="n"/>
      <c r="D724" s="4" t="n"/>
      <c r="E724" s="4" t="n"/>
      <c r="F724" s="4" t="n"/>
      <c r="G724" s="4" t="n"/>
    </row>
    <row r="725" ht="15.75" customHeight="1" s="40">
      <c r="A725" s="4" t="n"/>
      <c r="B725" s="4" t="n"/>
      <c r="C725" s="4" t="n"/>
      <c r="D725" s="4" t="n"/>
      <c r="E725" s="4" t="n"/>
      <c r="F725" s="4" t="n"/>
      <c r="G725" s="4" t="n"/>
    </row>
    <row r="726" ht="15.75" customHeight="1" s="40">
      <c r="A726" s="4" t="n"/>
      <c r="B726" s="4" t="n"/>
      <c r="C726" s="4" t="n"/>
      <c r="D726" s="4" t="n"/>
      <c r="E726" s="4" t="n"/>
      <c r="F726" s="4" t="n"/>
      <c r="G726" s="4" t="n"/>
    </row>
    <row r="727" ht="15.75" customHeight="1" s="40">
      <c r="A727" s="4" t="n"/>
      <c r="B727" s="4" t="n"/>
      <c r="C727" s="4" t="n"/>
      <c r="D727" s="4" t="n"/>
      <c r="E727" s="4" t="n"/>
      <c r="F727" s="4" t="n"/>
      <c r="G727" s="4" t="n"/>
    </row>
    <row r="728" ht="15.75" customHeight="1" s="40">
      <c r="A728" s="4" t="n"/>
      <c r="B728" s="4" t="n"/>
      <c r="C728" s="4" t="n"/>
      <c r="D728" s="4" t="n"/>
      <c r="E728" s="4" t="n"/>
      <c r="F728" s="4" t="n"/>
      <c r="G728" s="4" t="n"/>
    </row>
    <row r="729" ht="15.75" customHeight="1" s="40">
      <c r="A729" s="4" t="n"/>
      <c r="B729" s="4" t="n"/>
      <c r="C729" s="4" t="n"/>
      <c r="D729" s="4" t="n"/>
      <c r="E729" s="4" t="n"/>
      <c r="F729" s="4" t="n"/>
      <c r="G729" s="4" t="n"/>
    </row>
    <row r="730" ht="15.75" customHeight="1" s="40">
      <c r="A730" s="4" t="n"/>
      <c r="B730" s="4" t="n"/>
      <c r="C730" s="4" t="n"/>
      <c r="D730" s="4" t="n"/>
      <c r="E730" s="4" t="n"/>
      <c r="F730" s="4" t="n"/>
      <c r="G730" s="4" t="n"/>
    </row>
    <row r="731" ht="15.75" customHeight="1" s="40">
      <c r="A731" s="4" t="n"/>
      <c r="B731" s="4" t="n"/>
      <c r="C731" s="4" t="n"/>
      <c r="D731" s="4" t="n"/>
      <c r="E731" s="4" t="n"/>
      <c r="F731" s="4" t="n"/>
      <c r="G731" s="4" t="n"/>
    </row>
    <row r="732" ht="15.75" customHeight="1" s="40">
      <c r="A732" s="4" t="n"/>
      <c r="B732" s="4" t="n"/>
      <c r="C732" s="4" t="n"/>
      <c r="D732" s="4" t="n"/>
      <c r="E732" s="4" t="n"/>
      <c r="F732" s="4" t="n"/>
      <c r="G732" s="4" t="n"/>
    </row>
    <row r="733" ht="15.75" customHeight="1" s="40">
      <c r="A733" s="4" t="n"/>
      <c r="B733" s="4" t="n"/>
      <c r="C733" s="4" t="n"/>
      <c r="D733" s="4" t="n"/>
      <c r="E733" s="4" t="n"/>
      <c r="F733" s="4" t="n"/>
      <c r="G733" s="4" t="n"/>
    </row>
    <row r="734" ht="15.75" customHeight="1" s="40">
      <c r="A734" s="4" t="n"/>
      <c r="B734" s="4" t="n"/>
      <c r="C734" s="4" t="n"/>
      <c r="D734" s="4" t="n"/>
      <c r="E734" s="4" t="n"/>
      <c r="F734" s="4" t="n"/>
      <c r="G734" s="4" t="n"/>
    </row>
    <row r="735" ht="15.75" customHeight="1" s="40">
      <c r="A735" s="4" t="n"/>
      <c r="B735" s="4" t="n"/>
      <c r="C735" s="4" t="n"/>
      <c r="D735" s="4" t="n"/>
      <c r="E735" s="4" t="n"/>
      <c r="F735" s="4" t="n"/>
      <c r="G735" s="4" t="n"/>
    </row>
    <row r="736" ht="15.75" customHeight="1" s="40">
      <c r="A736" s="4" t="n"/>
      <c r="B736" s="4" t="n"/>
      <c r="C736" s="4" t="n"/>
      <c r="D736" s="4" t="n"/>
      <c r="E736" s="4" t="n"/>
      <c r="F736" s="4" t="n"/>
      <c r="G736" s="4" t="n"/>
    </row>
    <row r="737" ht="15.75" customHeight="1" s="40">
      <c r="A737" s="4" t="n"/>
      <c r="B737" s="4" t="n"/>
      <c r="C737" s="4" t="n"/>
      <c r="D737" s="4" t="n"/>
      <c r="E737" s="4" t="n"/>
      <c r="F737" s="4" t="n"/>
      <c r="G737" s="4" t="n"/>
    </row>
    <row r="738" ht="15.75" customHeight="1" s="40">
      <c r="A738" s="4" t="n"/>
      <c r="B738" s="4" t="n"/>
      <c r="C738" s="4" t="n"/>
      <c r="D738" s="4" t="n"/>
      <c r="E738" s="4" t="n"/>
      <c r="F738" s="4" t="n"/>
      <c r="G738" s="4" t="n"/>
    </row>
    <row r="739" ht="15.75" customHeight="1" s="40">
      <c r="A739" s="4" t="n"/>
      <c r="B739" s="4" t="n"/>
      <c r="C739" s="4" t="n"/>
      <c r="D739" s="4" t="n"/>
      <c r="E739" s="4" t="n"/>
      <c r="F739" s="4" t="n"/>
      <c r="G739" s="4" t="n"/>
    </row>
    <row r="740" ht="15.75" customHeight="1" s="40">
      <c r="A740" s="4" t="n"/>
      <c r="B740" s="4" t="n"/>
      <c r="C740" s="4" t="n"/>
      <c r="D740" s="4" t="n"/>
      <c r="E740" s="4" t="n"/>
      <c r="F740" s="4" t="n"/>
      <c r="G740" s="4" t="n"/>
    </row>
    <row r="741" ht="15.75" customHeight="1" s="40">
      <c r="A741" s="4" t="n"/>
      <c r="B741" s="4" t="n"/>
      <c r="C741" s="4" t="n"/>
      <c r="D741" s="4" t="n"/>
      <c r="E741" s="4" t="n"/>
      <c r="F741" s="4" t="n"/>
      <c r="G741" s="4" t="n"/>
    </row>
    <row r="742" ht="15.75" customHeight="1" s="40">
      <c r="A742" s="4" t="n"/>
      <c r="B742" s="4" t="n"/>
      <c r="C742" s="4" t="n"/>
      <c r="D742" s="4" t="n"/>
      <c r="E742" s="4" t="n"/>
      <c r="F742" s="4" t="n"/>
      <c r="G742" s="4" t="n"/>
    </row>
    <row r="743" ht="15.75" customHeight="1" s="40">
      <c r="A743" s="4" t="n"/>
      <c r="B743" s="4" t="n"/>
      <c r="C743" s="4" t="n"/>
      <c r="D743" s="4" t="n"/>
      <c r="E743" s="4" t="n"/>
      <c r="F743" s="4" t="n"/>
      <c r="G743" s="4" t="n"/>
    </row>
    <row r="744" ht="15.75" customHeight="1" s="40">
      <c r="A744" s="4" t="n"/>
      <c r="B744" s="4" t="n"/>
      <c r="C744" s="4" t="n"/>
      <c r="D744" s="4" t="n"/>
      <c r="E744" s="4" t="n"/>
      <c r="F744" s="4" t="n"/>
      <c r="G744" s="4" t="n"/>
    </row>
    <row r="745" ht="15.75" customHeight="1" s="40">
      <c r="A745" s="4" t="n"/>
      <c r="B745" s="4" t="n"/>
      <c r="C745" s="4" t="n"/>
      <c r="D745" s="4" t="n"/>
      <c r="E745" s="4" t="n"/>
      <c r="F745" s="4" t="n"/>
      <c r="G745" s="4" t="n"/>
    </row>
    <row r="746" ht="15.75" customHeight="1" s="40">
      <c r="A746" s="4" t="n"/>
      <c r="B746" s="4" t="n"/>
      <c r="C746" s="4" t="n"/>
      <c r="D746" s="4" t="n"/>
      <c r="E746" s="4" t="n"/>
      <c r="F746" s="4" t="n"/>
      <c r="G746" s="4" t="n"/>
    </row>
    <row r="747" ht="15.75" customHeight="1" s="40">
      <c r="A747" s="4" t="n"/>
      <c r="B747" s="4" t="n"/>
      <c r="C747" s="4" t="n"/>
      <c r="D747" s="4" t="n"/>
      <c r="E747" s="4" t="n"/>
      <c r="F747" s="4" t="n"/>
      <c r="G747" s="4" t="n"/>
    </row>
    <row r="748" ht="15.75" customHeight="1" s="40">
      <c r="A748" s="4" t="n"/>
      <c r="B748" s="4" t="n"/>
      <c r="C748" s="4" t="n"/>
      <c r="D748" s="4" t="n"/>
      <c r="E748" s="4" t="n"/>
      <c r="F748" s="4" t="n"/>
      <c r="G748" s="4" t="n"/>
    </row>
    <row r="749" ht="15.75" customHeight="1" s="40">
      <c r="A749" s="4" t="n"/>
      <c r="B749" s="4" t="n"/>
      <c r="C749" s="4" t="n"/>
      <c r="D749" s="4" t="n"/>
      <c r="E749" s="4" t="n"/>
      <c r="F749" s="4" t="n"/>
      <c r="G749" s="4" t="n"/>
    </row>
    <row r="750" ht="15.75" customHeight="1" s="40">
      <c r="A750" s="4" t="n"/>
      <c r="B750" s="4" t="n"/>
      <c r="C750" s="4" t="n"/>
      <c r="D750" s="4" t="n"/>
      <c r="E750" s="4" t="n"/>
      <c r="F750" s="4" t="n"/>
      <c r="G750" s="4" t="n"/>
    </row>
    <row r="751" ht="15.75" customHeight="1" s="40">
      <c r="A751" s="4" t="n"/>
      <c r="B751" s="4" t="n"/>
      <c r="C751" s="4" t="n"/>
      <c r="D751" s="4" t="n"/>
      <c r="E751" s="4" t="n"/>
      <c r="F751" s="4" t="n"/>
      <c r="G751" s="4" t="n"/>
    </row>
    <row r="752" ht="15.75" customHeight="1" s="40">
      <c r="A752" s="4" t="n"/>
      <c r="B752" s="4" t="n"/>
      <c r="C752" s="4" t="n"/>
      <c r="D752" s="4" t="n"/>
      <c r="E752" s="4" t="n"/>
      <c r="F752" s="4" t="n"/>
      <c r="G752" s="4" t="n"/>
    </row>
    <row r="753" ht="15.75" customHeight="1" s="40">
      <c r="A753" s="4" t="n"/>
      <c r="B753" s="4" t="n"/>
      <c r="C753" s="4" t="n"/>
      <c r="D753" s="4" t="n"/>
      <c r="E753" s="4" t="n"/>
      <c r="F753" s="4" t="n"/>
      <c r="G753" s="4" t="n"/>
    </row>
    <row r="754" ht="15.75" customHeight="1" s="40">
      <c r="A754" s="4" t="n"/>
      <c r="B754" s="4" t="n"/>
      <c r="C754" s="4" t="n"/>
      <c r="D754" s="4" t="n"/>
      <c r="E754" s="4" t="n"/>
      <c r="F754" s="4" t="n"/>
      <c r="G754" s="4" t="n"/>
    </row>
    <row r="755" ht="15.75" customHeight="1" s="40">
      <c r="A755" s="4" t="n"/>
      <c r="B755" s="4" t="n"/>
      <c r="C755" s="4" t="n"/>
      <c r="D755" s="4" t="n"/>
      <c r="E755" s="4" t="n"/>
      <c r="F755" s="4" t="n"/>
      <c r="G755" s="4" t="n"/>
    </row>
    <row r="756" ht="15.75" customHeight="1" s="40">
      <c r="A756" s="4" t="n"/>
      <c r="B756" s="4" t="n"/>
      <c r="C756" s="4" t="n"/>
      <c r="D756" s="4" t="n"/>
      <c r="E756" s="4" t="n"/>
      <c r="F756" s="4" t="n"/>
      <c r="G756" s="4" t="n"/>
    </row>
    <row r="757" ht="15.75" customHeight="1" s="40">
      <c r="A757" s="4" t="n"/>
      <c r="B757" s="4" t="n"/>
      <c r="C757" s="4" t="n"/>
      <c r="D757" s="4" t="n"/>
      <c r="E757" s="4" t="n"/>
      <c r="F757" s="4" t="n"/>
      <c r="G757" s="4" t="n"/>
    </row>
    <row r="758" ht="15.75" customHeight="1" s="40">
      <c r="A758" s="4" t="n"/>
      <c r="B758" s="4" t="n"/>
      <c r="C758" s="4" t="n"/>
      <c r="D758" s="4" t="n"/>
      <c r="E758" s="4" t="n"/>
      <c r="F758" s="4" t="n"/>
      <c r="G758" s="4" t="n"/>
    </row>
    <row r="759" ht="15.75" customHeight="1" s="40">
      <c r="A759" s="4" t="n"/>
      <c r="B759" s="4" t="n"/>
      <c r="C759" s="4" t="n"/>
      <c r="D759" s="4" t="n"/>
      <c r="E759" s="4" t="n"/>
      <c r="F759" s="4" t="n"/>
      <c r="G759" s="4" t="n"/>
    </row>
    <row r="760" ht="15.75" customHeight="1" s="40">
      <c r="A760" s="4" t="n"/>
      <c r="B760" s="4" t="n"/>
      <c r="C760" s="4" t="n"/>
      <c r="D760" s="4" t="n"/>
      <c r="E760" s="4" t="n"/>
      <c r="F760" s="4" t="n"/>
      <c r="G760" s="4" t="n"/>
    </row>
    <row r="761" ht="15.75" customHeight="1" s="40">
      <c r="A761" s="4" t="n"/>
      <c r="B761" s="4" t="n"/>
      <c r="C761" s="4" t="n"/>
      <c r="D761" s="4" t="n"/>
      <c r="E761" s="4" t="n"/>
      <c r="F761" s="4" t="n"/>
      <c r="G761" s="4" t="n"/>
    </row>
    <row r="762" ht="15.75" customHeight="1" s="40">
      <c r="A762" s="4" t="n"/>
      <c r="B762" s="4" t="n"/>
      <c r="C762" s="4" t="n"/>
      <c r="D762" s="4" t="n"/>
      <c r="E762" s="4" t="n"/>
      <c r="F762" s="4" t="n"/>
      <c r="G762" s="4" t="n"/>
    </row>
    <row r="763" ht="15.75" customHeight="1" s="40">
      <c r="A763" s="4" t="n"/>
      <c r="B763" s="4" t="n"/>
      <c r="C763" s="4" t="n"/>
      <c r="D763" s="4" t="n"/>
      <c r="E763" s="4" t="n"/>
      <c r="F763" s="4" t="n"/>
      <c r="G763" s="4" t="n"/>
    </row>
    <row r="764" ht="15.75" customHeight="1" s="40">
      <c r="A764" s="4" t="n"/>
      <c r="B764" s="4" t="n"/>
      <c r="C764" s="4" t="n"/>
      <c r="D764" s="4" t="n"/>
      <c r="E764" s="4" t="n"/>
      <c r="F764" s="4" t="n"/>
      <c r="G764" s="4" t="n"/>
    </row>
    <row r="765" ht="15.75" customHeight="1" s="40">
      <c r="A765" s="4" t="n"/>
      <c r="B765" s="4" t="n"/>
      <c r="C765" s="4" t="n"/>
      <c r="D765" s="4" t="n"/>
      <c r="E765" s="4" t="n"/>
      <c r="F765" s="4" t="n"/>
      <c r="G765" s="4" t="n"/>
    </row>
    <row r="766" ht="15.75" customHeight="1" s="40">
      <c r="A766" s="4" t="n"/>
      <c r="B766" s="4" t="n"/>
      <c r="C766" s="4" t="n"/>
      <c r="D766" s="4" t="n"/>
      <c r="E766" s="4" t="n"/>
      <c r="F766" s="4" t="n"/>
      <c r="G766" s="4" t="n"/>
    </row>
    <row r="767" ht="15.75" customHeight="1" s="40">
      <c r="A767" s="4" t="n"/>
      <c r="B767" s="4" t="n"/>
      <c r="C767" s="4" t="n"/>
      <c r="D767" s="4" t="n"/>
      <c r="E767" s="4" t="n"/>
      <c r="F767" s="4" t="n"/>
      <c r="G767" s="4" t="n"/>
    </row>
    <row r="768" ht="15.75" customHeight="1" s="40">
      <c r="A768" s="4" t="n"/>
      <c r="B768" s="4" t="n"/>
      <c r="C768" s="4" t="n"/>
      <c r="D768" s="4" t="n"/>
      <c r="E768" s="4" t="n"/>
      <c r="F768" s="4" t="n"/>
      <c r="G768" s="4" t="n"/>
    </row>
    <row r="769" ht="15.75" customHeight="1" s="40">
      <c r="A769" s="4" t="n"/>
      <c r="B769" s="4" t="n"/>
      <c r="C769" s="4" t="n"/>
      <c r="D769" s="4" t="n"/>
      <c r="E769" s="4" t="n"/>
      <c r="F769" s="4" t="n"/>
      <c r="G769" s="4" t="n"/>
    </row>
    <row r="770" ht="15.75" customHeight="1" s="40">
      <c r="A770" s="4" t="n"/>
      <c r="B770" s="4" t="n"/>
      <c r="C770" s="4" t="n"/>
      <c r="D770" s="4" t="n"/>
      <c r="E770" s="4" t="n"/>
      <c r="F770" s="4" t="n"/>
      <c r="G770" s="4" t="n"/>
    </row>
    <row r="771" ht="15.75" customHeight="1" s="40">
      <c r="A771" s="4" t="n"/>
      <c r="B771" s="4" t="n"/>
      <c r="C771" s="4" t="n"/>
      <c r="D771" s="4" t="n"/>
      <c r="E771" s="4" t="n"/>
      <c r="F771" s="4" t="n"/>
      <c r="G771" s="4" t="n"/>
    </row>
    <row r="772" ht="15.75" customHeight="1" s="40">
      <c r="A772" s="4" t="n"/>
      <c r="B772" s="4" t="n"/>
      <c r="C772" s="4" t="n"/>
      <c r="D772" s="4" t="n"/>
      <c r="E772" s="4" t="n"/>
      <c r="F772" s="4" t="n"/>
      <c r="G772" s="4" t="n"/>
    </row>
    <row r="773" ht="15.75" customHeight="1" s="40">
      <c r="A773" s="4" t="n"/>
      <c r="B773" s="4" t="n"/>
      <c r="C773" s="4" t="n"/>
      <c r="D773" s="4" t="n"/>
      <c r="E773" s="4" t="n"/>
      <c r="F773" s="4" t="n"/>
      <c r="G773" s="4" t="n"/>
    </row>
    <row r="774" ht="15.75" customHeight="1" s="40">
      <c r="A774" s="4" t="n"/>
      <c r="B774" s="4" t="n"/>
      <c r="C774" s="4" t="n"/>
      <c r="D774" s="4" t="n"/>
      <c r="E774" s="4" t="n"/>
      <c r="F774" s="4" t="n"/>
      <c r="G774" s="4" t="n"/>
    </row>
    <row r="775" ht="15.75" customHeight="1" s="40">
      <c r="A775" s="4" t="n"/>
      <c r="B775" s="4" t="n"/>
      <c r="C775" s="4" t="n"/>
      <c r="D775" s="4" t="n"/>
      <c r="E775" s="4" t="n"/>
      <c r="F775" s="4" t="n"/>
      <c r="G775" s="4" t="n"/>
    </row>
    <row r="776" ht="15.75" customHeight="1" s="40">
      <c r="A776" s="4" t="n"/>
      <c r="B776" s="4" t="n"/>
      <c r="C776" s="4" t="n"/>
      <c r="D776" s="4" t="n"/>
      <c r="E776" s="4" t="n"/>
      <c r="F776" s="4" t="n"/>
      <c r="G776" s="4" t="n"/>
    </row>
    <row r="777" ht="15.75" customHeight="1" s="40">
      <c r="A777" s="4" t="n"/>
      <c r="B777" s="4" t="n"/>
      <c r="C777" s="4" t="n"/>
      <c r="D777" s="4" t="n"/>
      <c r="E777" s="4" t="n"/>
      <c r="F777" s="4" t="n"/>
      <c r="G777" s="4" t="n"/>
    </row>
    <row r="778" ht="15.75" customHeight="1" s="40">
      <c r="A778" s="4" t="n"/>
      <c r="B778" s="4" t="n"/>
      <c r="C778" s="4" t="n"/>
      <c r="D778" s="4" t="n"/>
      <c r="E778" s="4" t="n"/>
      <c r="F778" s="4" t="n"/>
      <c r="G778" s="4" t="n"/>
    </row>
    <row r="779" ht="15.75" customHeight="1" s="40">
      <c r="A779" s="4" t="n"/>
      <c r="B779" s="4" t="n"/>
      <c r="C779" s="4" t="n"/>
      <c r="D779" s="4" t="n"/>
      <c r="E779" s="4" t="n"/>
      <c r="F779" s="4" t="n"/>
      <c r="G779" s="4" t="n"/>
    </row>
    <row r="780" ht="15.75" customHeight="1" s="40">
      <c r="A780" s="4" t="n"/>
      <c r="B780" s="4" t="n"/>
      <c r="C780" s="4" t="n"/>
      <c r="D780" s="4" t="n"/>
      <c r="E780" s="4" t="n"/>
      <c r="F780" s="4" t="n"/>
      <c r="G780" s="4" t="n"/>
    </row>
    <row r="781" ht="15.75" customHeight="1" s="40">
      <c r="A781" s="4" t="n"/>
      <c r="B781" s="4" t="n"/>
      <c r="C781" s="4" t="n"/>
      <c r="D781" s="4" t="n"/>
      <c r="E781" s="4" t="n"/>
      <c r="F781" s="4" t="n"/>
      <c r="G781" s="4" t="n"/>
    </row>
    <row r="782" ht="15.75" customHeight="1" s="40">
      <c r="A782" s="4" t="n"/>
      <c r="B782" s="4" t="n"/>
      <c r="C782" s="4" t="n"/>
      <c r="D782" s="4" t="n"/>
      <c r="E782" s="4" t="n"/>
      <c r="F782" s="4" t="n"/>
      <c r="G782" s="4" t="n"/>
    </row>
    <row r="783" ht="15.75" customHeight="1" s="40">
      <c r="A783" s="4" t="n"/>
      <c r="B783" s="4" t="n"/>
      <c r="C783" s="4" t="n"/>
      <c r="D783" s="4" t="n"/>
      <c r="E783" s="4" t="n"/>
      <c r="F783" s="4" t="n"/>
      <c r="G783" s="4" t="n"/>
    </row>
    <row r="784" ht="15.75" customHeight="1" s="40">
      <c r="A784" s="4" t="n"/>
      <c r="B784" s="4" t="n"/>
      <c r="C784" s="4" t="n"/>
      <c r="D784" s="4" t="n"/>
      <c r="E784" s="4" t="n"/>
      <c r="F784" s="4" t="n"/>
      <c r="G784" s="4" t="n"/>
    </row>
    <row r="785" ht="15.75" customHeight="1" s="40">
      <c r="A785" s="4" t="n"/>
      <c r="B785" s="4" t="n"/>
      <c r="C785" s="4" t="n"/>
      <c r="D785" s="4" t="n"/>
      <c r="E785" s="4" t="n"/>
      <c r="F785" s="4" t="n"/>
      <c r="G785" s="4" t="n"/>
    </row>
    <row r="786" ht="15.75" customHeight="1" s="40">
      <c r="A786" s="4" t="n"/>
      <c r="B786" s="4" t="n"/>
      <c r="C786" s="4" t="n"/>
      <c r="D786" s="4" t="n"/>
      <c r="E786" s="4" t="n"/>
      <c r="F786" s="4" t="n"/>
      <c r="G786" s="4" t="n"/>
    </row>
    <row r="787" ht="15.75" customHeight="1" s="40">
      <c r="A787" s="4" t="n"/>
      <c r="B787" s="4" t="n"/>
      <c r="C787" s="4" t="n"/>
      <c r="D787" s="4" t="n"/>
      <c r="E787" s="4" t="n"/>
      <c r="F787" s="4" t="n"/>
      <c r="G787" s="4" t="n"/>
    </row>
    <row r="788" ht="15.75" customHeight="1" s="40">
      <c r="A788" s="4" t="n"/>
      <c r="B788" s="4" t="n"/>
      <c r="C788" s="4" t="n"/>
      <c r="D788" s="4" t="n"/>
      <c r="E788" s="4" t="n"/>
      <c r="F788" s="4" t="n"/>
      <c r="G788" s="4" t="n"/>
    </row>
    <row r="789" ht="15.75" customHeight="1" s="40">
      <c r="A789" s="4" t="n"/>
      <c r="B789" s="4" t="n"/>
      <c r="C789" s="4" t="n"/>
      <c r="D789" s="4" t="n"/>
      <c r="E789" s="4" t="n"/>
      <c r="F789" s="4" t="n"/>
      <c r="G789" s="4" t="n"/>
    </row>
    <row r="790" ht="15.75" customHeight="1" s="40">
      <c r="A790" s="4" t="n"/>
      <c r="B790" s="4" t="n"/>
      <c r="C790" s="4" t="n"/>
      <c r="D790" s="4" t="n"/>
      <c r="E790" s="4" t="n"/>
      <c r="F790" s="4" t="n"/>
      <c r="G790" s="4" t="n"/>
    </row>
    <row r="791" ht="15.75" customHeight="1" s="40">
      <c r="A791" s="4" t="n"/>
      <c r="B791" s="4" t="n"/>
      <c r="C791" s="4" t="n"/>
      <c r="D791" s="4" t="n"/>
      <c r="E791" s="4" t="n"/>
      <c r="F791" s="4" t="n"/>
      <c r="G791" s="4" t="n"/>
    </row>
    <row r="792" ht="15.75" customHeight="1" s="40">
      <c r="A792" s="4" t="n"/>
      <c r="B792" s="4" t="n"/>
      <c r="C792" s="4" t="n"/>
      <c r="D792" s="4" t="n"/>
      <c r="E792" s="4" t="n"/>
      <c r="F792" s="4" t="n"/>
      <c r="G792" s="4" t="n"/>
    </row>
    <row r="793" ht="15.75" customHeight="1" s="40">
      <c r="A793" s="4" t="n"/>
      <c r="B793" s="4" t="n"/>
      <c r="C793" s="4" t="n"/>
      <c r="D793" s="4" t="n"/>
      <c r="E793" s="4" t="n"/>
      <c r="F793" s="4" t="n"/>
      <c r="G793" s="4" t="n"/>
    </row>
    <row r="794" ht="15.75" customHeight="1" s="40">
      <c r="A794" s="4" t="n"/>
      <c r="B794" s="4" t="n"/>
      <c r="C794" s="4" t="n"/>
      <c r="D794" s="4" t="n"/>
      <c r="E794" s="4" t="n"/>
      <c r="F794" s="4" t="n"/>
      <c r="G794" s="4" t="n"/>
    </row>
    <row r="795" ht="15.75" customHeight="1" s="40">
      <c r="A795" s="4" t="n"/>
      <c r="B795" s="4" t="n"/>
      <c r="C795" s="4" t="n"/>
      <c r="D795" s="4" t="n"/>
      <c r="E795" s="4" t="n"/>
      <c r="F795" s="4" t="n"/>
      <c r="G795" s="4" t="n"/>
    </row>
    <row r="796" ht="15.75" customHeight="1" s="40">
      <c r="A796" s="4" t="n"/>
      <c r="B796" s="4" t="n"/>
      <c r="C796" s="4" t="n"/>
      <c r="D796" s="4" t="n"/>
      <c r="E796" s="4" t="n"/>
      <c r="F796" s="4" t="n"/>
      <c r="G796" s="4" t="n"/>
    </row>
    <row r="797" ht="15.75" customHeight="1" s="40">
      <c r="A797" s="4" t="n"/>
      <c r="B797" s="4" t="n"/>
      <c r="C797" s="4" t="n"/>
      <c r="D797" s="4" t="n"/>
      <c r="E797" s="4" t="n"/>
      <c r="F797" s="4" t="n"/>
      <c r="G797" s="4" t="n"/>
    </row>
    <row r="798" ht="15.75" customHeight="1" s="40">
      <c r="A798" s="4" t="n"/>
      <c r="B798" s="4" t="n"/>
      <c r="C798" s="4" t="n"/>
      <c r="D798" s="4" t="n"/>
      <c r="E798" s="4" t="n"/>
      <c r="F798" s="4" t="n"/>
      <c r="G798" s="4" t="n"/>
    </row>
    <row r="799" ht="15.75" customHeight="1" s="40">
      <c r="A799" s="4" t="n"/>
      <c r="B799" s="4" t="n"/>
      <c r="C799" s="4" t="n"/>
      <c r="D799" s="4" t="n"/>
      <c r="E799" s="4" t="n"/>
      <c r="F799" s="4" t="n"/>
      <c r="G799" s="4" t="n"/>
    </row>
    <row r="800" ht="15.75" customHeight="1" s="40">
      <c r="A800" s="4" t="n"/>
      <c r="B800" s="4" t="n"/>
      <c r="C800" s="4" t="n"/>
      <c r="D800" s="4" t="n"/>
      <c r="E800" s="4" t="n"/>
      <c r="F800" s="4" t="n"/>
      <c r="G800" s="4" t="n"/>
    </row>
    <row r="801" ht="15.75" customHeight="1" s="40">
      <c r="A801" s="4" t="n"/>
      <c r="B801" s="4" t="n"/>
      <c r="C801" s="4" t="n"/>
      <c r="D801" s="4" t="n"/>
      <c r="E801" s="4" t="n"/>
      <c r="F801" s="4" t="n"/>
      <c r="G801" s="4" t="n"/>
    </row>
    <row r="802" ht="15.75" customHeight="1" s="40">
      <c r="A802" s="4" t="n"/>
      <c r="B802" s="4" t="n"/>
      <c r="C802" s="4" t="n"/>
      <c r="D802" s="4" t="n"/>
      <c r="E802" s="4" t="n"/>
      <c r="F802" s="4" t="n"/>
      <c r="G802" s="4" t="n"/>
    </row>
    <row r="803" ht="15.75" customHeight="1" s="40">
      <c r="A803" s="4" t="n"/>
      <c r="B803" s="4" t="n"/>
      <c r="C803" s="4" t="n"/>
      <c r="D803" s="4" t="n"/>
      <c r="E803" s="4" t="n"/>
      <c r="F803" s="4" t="n"/>
      <c r="G803" s="4" t="n"/>
    </row>
    <row r="804" ht="15.75" customHeight="1" s="40">
      <c r="A804" s="4" t="n"/>
      <c r="B804" s="4" t="n"/>
      <c r="C804" s="4" t="n"/>
      <c r="D804" s="4" t="n"/>
      <c r="E804" s="4" t="n"/>
      <c r="F804" s="4" t="n"/>
      <c r="G804" s="4" t="n"/>
    </row>
    <row r="805" ht="15.75" customHeight="1" s="40">
      <c r="A805" s="4" t="n"/>
      <c r="B805" s="4" t="n"/>
      <c r="C805" s="4" t="n"/>
      <c r="D805" s="4" t="n"/>
      <c r="E805" s="4" t="n"/>
      <c r="F805" s="4" t="n"/>
      <c r="G805" s="4" t="n"/>
    </row>
    <row r="806" ht="15.75" customHeight="1" s="40">
      <c r="A806" s="4" t="n"/>
      <c r="B806" s="4" t="n"/>
      <c r="C806" s="4" t="n"/>
      <c r="D806" s="4" t="n"/>
      <c r="E806" s="4" t="n"/>
      <c r="F806" s="4" t="n"/>
      <c r="G806" s="4" t="n"/>
    </row>
    <row r="807" ht="15.75" customHeight="1" s="40">
      <c r="A807" s="4" t="n"/>
      <c r="B807" s="4" t="n"/>
      <c r="C807" s="4" t="n"/>
      <c r="D807" s="4" t="n"/>
      <c r="E807" s="4" t="n"/>
      <c r="F807" s="4" t="n"/>
      <c r="G807" s="4" t="n"/>
    </row>
    <row r="808" ht="15.75" customHeight="1" s="40">
      <c r="A808" s="4" t="n"/>
      <c r="B808" s="4" t="n"/>
      <c r="C808" s="4" t="n"/>
      <c r="D808" s="4" t="n"/>
      <c r="E808" s="4" t="n"/>
      <c r="F808" s="4" t="n"/>
      <c r="G808" s="4" t="n"/>
    </row>
    <row r="809" ht="15.75" customHeight="1" s="40">
      <c r="A809" s="4" t="n"/>
      <c r="B809" s="4" t="n"/>
      <c r="C809" s="4" t="n"/>
      <c r="D809" s="4" t="n"/>
      <c r="E809" s="4" t="n"/>
      <c r="F809" s="4" t="n"/>
      <c r="G809" s="4" t="n"/>
    </row>
    <row r="810" ht="15.75" customHeight="1" s="40">
      <c r="A810" s="4" t="n"/>
      <c r="B810" s="4" t="n"/>
      <c r="C810" s="4" t="n"/>
      <c r="D810" s="4" t="n"/>
      <c r="E810" s="4" t="n"/>
      <c r="F810" s="4" t="n"/>
      <c r="G810" s="4" t="n"/>
    </row>
    <row r="811" ht="15.75" customHeight="1" s="40">
      <c r="A811" s="4" t="n"/>
      <c r="B811" s="4" t="n"/>
      <c r="C811" s="4" t="n"/>
      <c r="D811" s="4" t="n"/>
      <c r="E811" s="4" t="n"/>
      <c r="F811" s="4" t="n"/>
      <c r="G811" s="4" t="n"/>
    </row>
    <row r="812" ht="15.75" customHeight="1" s="40">
      <c r="A812" s="4" t="n"/>
      <c r="B812" s="4" t="n"/>
      <c r="C812" s="4" t="n"/>
      <c r="D812" s="4" t="n"/>
      <c r="E812" s="4" t="n"/>
      <c r="F812" s="4" t="n"/>
      <c r="G812" s="4" t="n"/>
    </row>
    <row r="813" ht="15.75" customHeight="1" s="40">
      <c r="A813" s="4" t="n"/>
      <c r="B813" s="4" t="n"/>
      <c r="C813" s="4" t="n"/>
      <c r="D813" s="4" t="n"/>
      <c r="E813" s="4" t="n"/>
      <c r="F813" s="4" t="n"/>
      <c r="G813" s="4" t="n"/>
    </row>
    <row r="814" ht="15.75" customHeight="1" s="40">
      <c r="A814" s="4" t="n"/>
      <c r="B814" s="4" t="n"/>
      <c r="C814" s="4" t="n"/>
      <c r="D814" s="4" t="n"/>
      <c r="E814" s="4" t="n"/>
      <c r="F814" s="4" t="n"/>
      <c r="G814" s="4" t="n"/>
    </row>
    <row r="815" ht="15.75" customHeight="1" s="40">
      <c r="A815" s="4" t="n"/>
      <c r="B815" s="4" t="n"/>
      <c r="C815" s="4" t="n"/>
      <c r="D815" s="4" t="n"/>
      <c r="E815" s="4" t="n"/>
      <c r="F815" s="4" t="n"/>
      <c r="G815" s="4" t="n"/>
    </row>
    <row r="816" ht="15.75" customHeight="1" s="40">
      <c r="A816" s="4" t="n"/>
      <c r="B816" s="4" t="n"/>
      <c r="C816" s="4" t="n"/>
      <c r="D816" s="4" t="n"/>
      <c r="E816" s="4" t="n"/>
      <c r="F816" s="4" t="n"/>
      <c r="G816" s="4" t="n"/>
    </row>
    <row r="817" ht="15.75" customHeight="1" s="40">
      <c r="A817" s="4" t="n"/>
      <c r="B817" s="4" t="n"/>
      <c r="C817" s="4" t="n"/>
      <c r="D817" s="4" t="n"/>
      <c r="E817" s="4" t="n"/>
      <c r="F817" s="4" t="n"/>
      <c r="G817" s="4" t="n"/>
    </row>
    <row r="818" ht="15.75" customHeight="1" s="40">
      <c r="A818" s="4" t="n"/>
      <c r="B818" s="4" t="n"/>
      <c r="C818" s="4" t="n"/>
      <c r="D818" s="4" t="n"/>
      <c r="E818" s="4" t="n"/>
      <c r="F818" s="4" t="n"/>
      <c r="G818" s="4" t="n"/>
    </row>
    <row r="819" ht="15.75" customHeight="1" s="40">
      <c r="A819" s="4" t="n"/>
      <c r="B819" s="4" t="n"/>
      <c r="C819" s="4" t="n"/>
      <c r="D819" s="4" t="n"/>
      <c r="E819" s="4" t="n"/>
      <c r="F819" s="4" t="n"/>
      <c r="G819" s="4" t="n"/>
    </row>
    <row r="820" ht="15.75" customHeight="1" s="40">
      <c r="A820" s="4" t="n"/>
      <c r="B820" s="4" t="n"/>
      <c r="C820" s="4" t="n"/>
      <c r="D820" s="4" t="n"/>
      <c r="E820" s="4" t="n"/>
      <c r="F820" s="4" t="n"/>
      <c r="G820" s="4" t="n"/>
    </row>
    <row r="821" ht="15.75" customHeight="1" s="40">
      <c r="A821" s="4" t="n"/>
      <c r="B821" s="4" t="n"/>
      <c r="C821" s="4" t="n"/>
      <c r="D821" s="4" t="n"/>
      <c r="E821" s="4" t="n"/>
      <c r="F821" s="4" t="n"/>
      <c r="G821" s="4" t="n"/>
    </row>
    <row r="822" ht="15.75" customHeight="1" s="40">
      <c r="A822" s="4" t="n"/>
      <c r="B822" s="4" t="n"/>
      <c r="C822" s="4" t="n"/>
      <c r="D822" s="4" t="n"/>
      <c r="E822" s="4" t="n"/>
      <c r="F822" s="4" t="n"/>
      <c r="G822" s="4" t="n"/>
    </row>
    <row r="823" ht="15.75" customHeight="1" s="40">
      <c r="A823" s="4" t="n"/>
      <c r="B823" s="4" t="n"/>
      <c r="C823" s="4" t="n"/>
      <c r="D823" s="4" t="n"/>
      <c r="E823" s="4" t="n"/>
      <c r="F823" s="4" t="n"/>
      <c r="G823" s="4" t="n"/>
    </row>
    <row r="824" ht="15.75" customHeight="1" s="40">
      <c r="A824" s="4" t="n"/>
      <c r="B824" s="4" t="n"/>
      <c r="C824" s="4" t="n"/>
      <c r="D824" s="4" t="n"/>
      <c r="E824" s="4" t="n"/>
      <c r="F824" s="4" t="n"/>
      <c r="G824" s="4" t="n"/>
    </row>
    <row r="825" ht="15.75" customHeight="1" s="40">
      <c r="A825" s="4" t="n"/>
      <c r="B825" s="4" t="n"/>
      <c r="C825" s="4" t="n"/>
      <c r="D825" s="4" t="n"/>
      <c r="E825" s="4" t="n"/>
      <c r="F825" s="4" t="n"/>
      <c r="G825" s="4" t="n"/>
    </row>
    <row r="826" ht="15.75" customHeight="1" s="40">
      <c r="A826" s="4" t="n"/>
      <c r="B826" s="4" t="n"/>
      <c r="C826" s="4" t="n"/>
      <c r="D826" s="4" t="n"/>
      <c r="E826" s="4" t="n"/>
      <c r="F826" s="4" t="n"/>
      <c r="G826" s="4" t="n"/>
    </row>
    <row r="827" ht="15.75" customHeight="1" s="40">
      <c r="A827" s="4" t="n"/>
      <c r="B827" s="4" t="n"/>
      <c r="C827" s="4" t="n"/>
      <c r="D827" s="4" t="n"/>
      <c r="E827" s="4" t="n"/>
      <c r="F827" s="4" t="n"/>
      <c r="G827" s="4" t="n"/>
    </row>
    <row r="828" ht="15.75" customHeight="1" s="40">
      <c r="A828" s="4" t="n"/>
      <c r="B828" s="4" t="n"/>
      <c r="C828" s="4" t="n"/>
      <c r="D828" s="4" t="n"/>
      <c r="E828" s="4" t="n"/>
      <c r="F828" s="4" t="n"/>
      <c r="G828" s="4" t="n"/>
    </row>
    <row r="829" ht="15.75" customHeight="1" s="40">
      <c r="A829" s="4" t="n"/>
      <c r="B829" s="4" t="n"/>
      <c r="C829" s="4" t="n"/>
      <c r="D829" s="4" t="n"/>
      <c r="E829" s="4" t="n"/>
      <c r="F829" s="4" t="n"/>
      <c r="G829" s="4" t="n"/>
    </row>
    <row r="830" ht="15.75" customHeight="1" s="40">
      <c r="A830" s="4" t="n"/>
      <c r="B830" s="4" t="n"/>
      <c r="C830" s="4" t="n"/>
      <c r="D830" s="4" t="n"/>
      <c r="E830" s="4" t="n"/>
      <c r="F830" s="4" t="n"/>
      <c r="G830" s="4" t="n"/>
    </row>
    <row r="831" ht="15.75" customHeight="1" s="40">
      <c r="A831" s="4" t="n"/>
      <c r="B831" s="4" t="n"/>
      <c r="C831" s="4" t="n"/>
      <c r="D831" s="4" t="n"/>
      <c r="E831" s="4" t="n"/>
      <c r="F831" s="4" t="n"/>
      <c r="G831" s="4" t="n"/>
    </row>
    <row r="832" ht="15.75" customHeight="1" s="40">
      <c r="A832" s="4" t="n"/>
      <c r="B832" s="4" t="n"/>
      <c r="C832" s="4" t="n"/>
      <c r="D832" s="4" t="n"/>
      <c r="E832" s="4" t="n"/>
      <c r="F832" s="4" t="n"/>
      <c r="G832" s="4" t="n"/>
    </row>
    <row r="833" ht="15.75" customHeight="1" s="40">
      <c r="A833" s="4" t="n"/>
      <c r="B833" s="4" t="n"/>
      <c r="C833" s="4" t="n"/>
      <c r="D833" s="4" t="n"/>
      <c r="E833" s="4" t="n"/>
      <c r="F833" s="4" t="n"/>
      <c r="G833" s="4" t="n"/>
    </row>
    <row r="834" ht="15.75" customHeight="1" s="40">
      <c r="A834" s="4" t="n"/>
      <c r="B834" s="4" t="n"/>
      <c r="C834" s="4" t="n"/>
      <c r="D834" s="4" t="n"/>
      <c r="E834" s="4" t="n"/>
      <c r="F834" s="4" t="n"/>
      <c r="G834" s="4" t="n"/>
    </row>
    <row r="835" ht="15.75" customHeight="1" s="40">
      <c r="A835" s="4" t="n"/>
      <c r="B835" s="4" t="n"/>
      <c r="C835" s="4" t="n"/>
      <c r="D835" s="4" t="n"/>
      <c r="E835" s="4" t="n"/>
      <c r="F835" s="4" t="n"/>
      <c r="G835" s="4" t="n"/>
    </row>
    <row r="836" ht="15.75" customHeight="1" s="40">
      <c r="A836" s="4" t="n"/>
      <c r="B836" s="4" t="n"/>
      <c r="C836" s="4" t="n"/>
      <c r="D836" s="4" t="n"/>
      <c r="E836" s="4" t="n"/>
      <c r="F836" s="4" t="n"/>
      <c r="G836" s="4" t="n"/>
    </row>
    <row r="837" ht="15.75" customHeight="1" s="40">
      <c r="A837" s="4" t="n"/>
      <c r="B837" s="4" t="n"/>
      <c r="C837" s="4" t="n"/>
      <c r="D837" s="4" t="n"/>
      <c r="E837" s="4" t="n"/>
      <c r="F837" s="4" t="n"/>
      <c r="G837" s="4" t="n"/>
    </row>
    <row r="838" ht="15.75" customHeight="1" s="40">
      <c r="A838" s="4" t="n"/>
      <c r="B838" s="4" t="n"/>
      <c r="C838" s="4" t="n"/>
      <c r="D838" s="4" t="n"/>
      <c r="E838" s="4" t="n"/>
      <c r="F838" s="4" t="n"/>
      <c r="G838" s="4" t="n"/>
    </row>
    <row r="839" ht="15.75" customHeight="1" s="40">
      <c r="A839" s="4" t="n"/>
      <c r="B839" s="4" t="n"/>
      <c r="C839" s="4" t="n"/>
      <c r="D839" s="4" t="n"/>
      <c r="E839" s="4" t="n"/>
      <c r="F839" s="4" t="n"/>
      <c r="G839" s="4" t="n"/>
    </row>
    <row r="840" ht="15.75" customHeight="1" s="40">
      <c r="A840" s="4" t="n"/>
      <c r="B840" s="4" t="n"/>
      <c r="C840" s="4" t="n"/>
      <c r="D840" s="4" t="n"/>
      <c r="E840" s="4" t="n"/>
      <c r="F840" s="4" t="n"/>
      <c r="G840" s="4" t="n"/>
    </row>
    <row r="841" ht="15.75" customHeight="1" s="40">
      <c r="A841" s="4" t="n"/>
      <c r="B841" s="4" t="n"/>
      <c r="C841" s="4" t="n"/>
      <c r="D841" s="4" t="n"/>
      <c r="E841" s="4" t="n"/>
      <c r="F841" s="4" t="n"/>
      <c r="G841" s="4" t="n"/>
    </row>
    <row r="842" ht="15.75" customHeight="1" s="40">
      <c r="A842" s="4" t="n"/>
      <c r="B842" s="4" t="n"/>
      <c r="C842" s="4" t="n"/>
      <c r="D842" s="4" t="n"/>
      <c r="E842" s="4" t="n"/>
      <c r="F842" s="4" t="n"/>
      <c r="G842" s="4" t="n"/>
    </row>
    <row r="843" ht="15.75" customHeight="1" s="40">
      <c r="A843" s="4" t="n"/>
      <c r="B843" s="4" t="n"/>
      <c r="C843" s="4" t="n"/>
      <c r="D843" s="4" t="n"/>
      <c r="E843" s="4" t="n"/>
      <c r="F843" s="4" t="n"/>
      <c r="G843" s="4" t="n"/>
    </row>
    <row r="844" ht="15.75" customHeight="1" s="40">
      <c r="A844" s="4" t="n"/>
      <c r="B844" s="4" t="n"/>
      <c r="C844" s="4" t="n"/>
      <c r="D844" s="4" t="n"/>
      <c r="E844" s="4" t="n"/>
      <c r="F844" s="4" t="n"/>
      <c r="G844" s="4" t="n"/>
    </row>
    <row r="845" ht="15.75" customHeight="1" s="40">
      <c r="A845" s="4" t="n"/>
      <c r="B845" s="4" t="n"/>
      <c r="C845" s="4" t="n"/>
      <c r="D845" s="4" t="n"/>
      <c r="E845" s="4" t="n"/>
      <c r="F845" s="4" t="n"/>
      <c r="G845" s="4" t="n"/>
    </row>
    <row r="846" ht="15.75" customHeight="1" s="40">
      <c r="A846" s="4" t="n"/>
      <c r="B846" s="4" t="n"/>
      <c r="C846" s="4" t="n"/>
      <c r="D846" s="4" t="n"/>
      <c r="E846" s="4" t="n"/>
      <c r="F846" s="4" t="n"/>
      <c r="G846" s="4" t="n"/>
    </row>
    <row r="847" ht="15.75" customHeight="1" s="40">
      <c r="A847" s="4" t="n"/>
      <c r="B847" s="4" t="n"/>
      <c r="C847" s="4" t="n"/>
      <c r="D847" s="4" t="n"/>
      <c r="E847" s="4" t="n"/>
      <c r="F847" s="4" t="n"/>
      <c r="G847" s="4" t="n"/>
    </row>
    <row r="848" ht="15.75" customHeight="1" s="40">
      <c r="A848" s="4" t="n"/>
      <c r="B848" s="4" t="n"/>
      <c r="C848" s="4" t="n"/>
      <c r="D848" s="4" t="n"/>
      <c r="E848" s="4" t="n"/>
      <c r="F848" s="4" t="n"/>
      <c r="G848" s="4" t="n"/>
    </row>
    <row r="849" ht="15.75" customHeight="1" s="40">
      <c r="A849" s="4" t="n"/>
      <c r="B849" s="4" t="n"/>
      <c r="C849" s="4" t="n"/>
      <c r="D849" s="4" t="n"/>
      <c r="E849" s="4" t="n"/>
      <c r="F849" s="4" t="n"/>
      <c r="G849" s="4" t="n"/>
    </row>
    <row r="850" ht="15.75" customHeight="1" s="40">
      <c r="A850" s="4" t="n"/>
      <c r="B850" s="4" t="n"/>
      <c r="C850" s="4" t="n"/>
      <c r="D850" s="4" t="n"/>
      <c r="E850" s="4" t="n"/>
      <c r="F850" s="4" t="n"/>
      <c r="G850" s="4" t="n"/>
    </row>
    <row r="851" ht="15.75" customHeight="1" s="40">
      <c r="A851" s="4" t="n"/>
      <c r="B851" s="4" t="n"/>
      <c r="C851" s="4" t="n"/>
      <c r="D851" s="4" t="n"/>
      <c r="E851" s="4" t="n"/>
      <c r="F851" s="4" t="n"/>
      <c r="G851" s="4" t="n"/>
    </row>
    <row r="852" ht="15.75" customHeight="1" s="40">
      <c r="A852" s="4" t="n"/>
      <c r="B852" s="4" t="n"/>
      <c r="C852" s="4" t="n"/>
      <c r="D852" s="4" t="n"/>
      <c r="E852" s="4" t="n"/>
      <c r="F852" s="4" t="n"/>
      <c r="G852" s="4" t="n"/>
    </row>
    <row r="853" ht="15.75" customHeight="1" s="40">
      <c r="A853" s="4" t="n"/>
      <c r="B853" s="4" t="n"/>
      <c r="C853" s="4" t="n"/>
      <c r="D853" s="4" t="n"/>
      <c r="E853" s="4" t="n"/>
      <c r="F853" s="4" t="n"/>
      <c r="G853" s="4" t="n"/>
    </row>
    <row r="854" ht="15.75" customHeight="1" s="40">
      <c r="A854" s="4" t="n"/>
      <c r="B854" s="4" t="n"/>
      <c r="C854" s="4" t="n"/>
      <c r="D854" s="4" t="n"/>
      <c r="E854" s="4" t="n"/>
      <c r="F854" s="4" t="n"/>
      <c r="G854" s="4" t="n"/>
    </row>
    <row r="855" ht="15.75" customHeight="1" s="40">
      <c r="A855" s="4" t="n"/>
      <c r="B855" s="4" t="n"/>
      <c r="C855" s="4" t="n"/>
      <c r="D855" s="4" t="n"/>
      <c r="E855" s="4" t="n"/>
      <c r="F855" s="4" t="n"/>
      <c r="G855" s="4" t="n"/>
    </row>
    <row r="856" ht="15.75" customHeight="1" s="40">
      <c r="A856" s="4" t="n"/>
      <c r="B856" s="4" t="n"/>
      <c r="C856" s="4" t="n"/>
      <c r="D856" s="4" t="n"/>
      <c r="E856" s="4" t="n"/>
      <c r="F856" s="4" t="n"/>
      <c r="G856" s="4" t="n"/>
    </row>
    <row r="857" ht="15.75" customHeight="1" s="40">
      <c r="A857" s="4" t="n"/>
      <c r="B857" s="4" t="n"/>
      <c r="C857" s="4" t="n"/>
      <c r="D857" s="4" t="n"/>
      <c r="E857" s="4" t="n"/>
      <c r="F857" s="4" t="n"/>
      <c r="G857" s="4" t="n"/>
    </row>
    <row r="858" ht="15.75" customHeight="1" s="40">
      <c r="A858" s="4" t="n"/>
      <c r="B858" s="4" t="n"/>
      <c r="C858" s="4" t="n"/>
      <c r="D858" s="4" t="n"/>
      <c r="E858" s="4" t="n"/>
      <c r="F858" s="4" t="n"/>
      <c r="G858" s="4" t="n"/>
    </row>
    <row r="859" ht="15.75" customHeight="1" s="40">
      <c r="A859" s="4" t="n"/>
      <c r="B859" s="4" t="n"/>
      <c r="C859" s="4" t="n"/>
      <c r="D859" s="4" t="n"/>
      <c r="E859" s="4" t="n"/>
      <c r="F859" s="4" t="n"/>
      <c r="G859" s="4" t="n"/>
    </row>
    <row r="860" ht="15.75" customHeight="1" s="40">
      <c r="A860" s="4" t="n"/>
      <c r="B860" s="4" t="n"/>
      <c r="C860" s="4" t="n"/>
      <c r="D860" s="4" t="n"/>
      <c r="E860" s="4" t="n"/>
      <c r="F860" s="4" t="n"/>
      <c r="G860" s="4" t="n"/>
    </row>
    <row r="861" ht="15.75" customHeight="1" s="40">
      <c r="A861" s="4" t="n"/>
      <c r="B861" s="4" t="n"/>
      <c r="C861" s="4" t="n"/>
      <c r="D861" s="4" t="n"/>
      <c r="E861" s="4" t="n"/>
      <c r="F861" s="4" t="n"/>
      <c r="G861" s="4" t="n"/>
    </row>
    <row r="862" ht="15.75" customHeight="1" s="40">
      <c r="A862" s="4" t="n"/>
      <c r="B862" s="4" t="n"/>
      <c r="C862" s="4" t="n"/>
      <c r="D862" s="4" t="n"/>
      <c r="E862" s="4" t="n"/>
      <c r="F862" s="4" t="n"/>
      <c r="G862" s="4" t="n"/>
    </row>
    <row r="863" ht="15.75" customHeight="1" s="40">
      <c r="A863" s="4" t="n"/>
      <c r="B863" s="4" t="n"/>
      <c r="C863" s="4" t="n"/>
      <c r="D863" s="4" t="n"/>
      <c r="E863" s="4" t="n"/>
      <c r="F863" s="4" t="n"/>
      <c r="G863" s="4" t="n"/>
    </row>
    <row r="864" ht="15.75" customHeight="1" s="40">
      <c r="A864" s="4" t="n"/>
      <c r="B864" s="4" t="n"/>
      <c r="C864" s="4" t="n"/>
      <c r="D864" s="4" t="n"/>
      <c r="E864" s="4" t="n"/>
      <c r="F864" s="4" t="n"/>
      <c r="G864" s="4" t="n"/>
    </row>
    <row r="865" ht="15.75" customHeight="1" s="40">
      <c r="A865" s="4" t="n"/>
      <c r="B865" s="4" t="n"/>
      <c r="C865" s="4" t="n"/>
      <c r="D865" s="4" t="n"/>
      <c r="E865" s="4" t="n"/>
      <c r="F865" s="4" t="n"/>
      <c r="G865" s="4" t="n"/>
    </row>
    <row r="866" ht="15.75" customHeight="1" s="40">
      <c r="A866" s="4" t="n"/>
      <c r="B866" s="4" t="n"/>
      <c r="C866" s="4" t="n"/>
      <c r="D866" s="4" t="n"/>
      <c r="E866" s="4" t="n"/>
      <c r="F866" s="4" t="n"/>
      <c r="G866" s="4" t="n"/>
    </row>
    <row r="867" ht="15.75" customHeight="1" s="40">
      <c r="A867" s="4" t="n"/>
      <c r="B867" s="4" t="n"/>
      <c r="C867" s="4" t="n"/>
      <c r="D867" s="4" t="n"/>
      <c r="E867" s="4" t="n"/>
      <c r="F867" s="4" t="n"/>
      <c r="G867" s="4" t="n"/>
    </row>
    <row r="868" ht="15.75" customHeight="1" s="40">
      <c r="A868" s="4" t="n"/>
      <c r="B868" s="4" t="n"/>
      <c r="C868" s="4" t="n"/>
      <c r="D868" s="4" t="n"/>
      <c r="E868" s="4" t="n"/>
      <c r="F868" s="4" t="n"/>
      <c r="G868" s="4" t="n"/>
    </row>
    <row r="869" ht="15.75" customHeight="1" s="40">
      <c r="A869" s="4" t="n"/>
      <c r="B869" s="4" t="n"/>
      <c r="C869" s="4" t="n"/>
      <c r="D869" s="4" t="n"/>
      <c r="E869" s="4" t="n"/>
      <c r="F869" s="4" t="n"/>
      <c r="G869" s="4" t="n"/>
    </row>
    <row r="870" ht="15.75" customHeight="1" s="40">
      <c r="A870" s="4" t="n"/>
      <c r="B870" s="4" t="n"/>
      <c r="C870" s="4" t="n"/>
      <c r="D870" s="4" t="n"/>
      <c r="E870" s="4" t="n"/>
      <c r="F870" s="4" t="n"/>
      <c r="G870" s="4" t="n"/>
    </row>
    <row r="871" ht="15.75" customHeight="1" s="40">
      <c r="A871" s="4" t="n"/>
      <c r="B871" s="4" t="n"/>
      <c r="C871" s="4" t="n"/>
      <c r="D871" s="4" t="n"/>
      <c r="E871" s="4" t="n"/>
      <c r="F871" s="4" t="n"/>
      <c r="G871" s="4" t="n"/>
    </row>
    <row r="872" ht="15.75" customHeight="1" s="40">
      <c r="A872" s="4" t="n"/>
      <c r="B872" s="4" t="n"/>
      <c r="C872" s="4" t="n"/>
      <c r="D872" s="4" t="n"/>
      <c r="E872" s="4" t="n"/>
      <c r="F872" s="4" t="n"/>
      <c r="G872" s="4" t="n"/>
    </row>
    <row r="873" ht="15.75" customHeight="1" s="40">
      <c r="A873" s="4" t="n"/>
      <c r="B873" s="4" t="n"/>
      <c r="C873" s="4" t="n"/>
      <c r="D873" s="4" t="n"/>
      <c r="E873" s="4" t="n"/>
      <c r="F873" s="4" t="n"/>
      <c r="G873" s="4" t="n"/>
    </row>
    <row r="874" ht="15.75" customHeight="1" s="40">
      <c r="A874" s="4" t="n"/>
      <c r="B874" s="4" t="n"/>
      <c r="C874" s="4" t="n"/>
      <c r="D874" s="4" t="n"/>
      <c r="E874" s="4" t="n"/>
      <c r="F874" s="4" t="n"/>
      <c r="G874" s="4" t="n"/>
    </row>
    <row r="875" ht="15.75" customHeight="1" s="40">
      <c r="A875" s="4" t="n"/>
      <c r="B875" s="4" t="n"/>
      <c r="C875" s="4" t="n"/>
      <c r="D875" s="4" t="n"/>
      <c r="E875" s="4" t="n"/>
      <c r="F875" s="4" t="n"/>
      <c r="G875" s="4" t="n"/>
    </row>
    <row r="876" ht="15.75" customHeight="1" s="40">
      <c r="A876" s="4" t="n"/>
      <c r="B876" s="4" t="n"/>
      <c r="C876" s="4" t="n"/>
      <c r="D876" s="4" t="n"/>
      <c r="E876" s="4" t="n"/>
      <c r="F876" s="4" t="n"/>
      <c r="G876" s="4" t="n"/>
    </row>
    <row r="877" ht="15.75" customHeight="1" s="40">
      <c r="A877" s="4" t="n"/>
      <c r="B877" s="4" t="n"/>
      <c r="C877" s="4" t="n"/>
      <c r="D877" s="4" t="n"/>
      <c r="E877" s="4" t="n"/>
      <c r="F877" s="4" t="n"/>
      <c r="G877" s="4" t="n"/>
    </row>
    <row r="878" ht="15.75" customHeight="1" s="40">
      <c r="A878" s="4" t="n"/>
      <c r="B878" s="4" t="n"/>
      <c r="C878" s="4" t="n"/>
      <c r="D878" s="4" t="n"/>
      <c r="E878" s="4" t="n"/>
      <c r="F878" s="4" t="n"/>
      <c r="G878" s="4" t="n"/>
    </row>
    <row r="879" ht="15.75" customHeight="1" s="40">
      <c r="A879" s="4" t="n"/>
      <c r="B879" s="4" t="n"/>
      <c r="C879" s="4" t="n"/>
      <c r="D879" s="4" t="n"/>
      <c r="E879" s="4" t="n"/>
      <c r="F879" s="4" t="n"/>
      <c r="G879" s="4" t="n"/>
    </row>
    <row r="880" ht="15.75" customHeight="1" s="40">
      <c r="A880" s="4" t="n"/>
      <c r="B880" s="4" t="n"/>
      <c r="C880" s="4" t="n"/>
      <c r="D880" s="4" t="n"/>
      <c r="E880" s="4" t="n"/>
      <c r="F880" s="4" t="n"/>
      <c r="G880" s="4" t="n"/>
    </row>
    <row r="881" ht="15.75" customHeight="1" s="40">
      <c r="A881" s="4" t="n"/>
      <c r="B881" s="4" t="n"/>
      <c r="C881" s="4" t="n"/>
      <c r="D881" s="4" t="n"/>
      <c r="E881" s="4" t="n"/>
      <c r="F881" s="4" t="n"/>
      <c r="G881" s="4" t="n"/>
    </row>
    <row r="882" ht="15.75" customHeight="1" s="40">
      <c r="A882" s="4" t="n"/>
      <c r="B882" s="4" t="n"/>
      <c r="C882" s="4" t="n"/>
      <c r="D882" s="4" t="n"/>
      <c r="E882" s="4" t="n"/>
      <c r="F882" s="4" t="n"/>
      <c r="G882" s="4" t="n"/>
    </row>
    <row r="883" ht="15.75" customHeight="1" s="40">
      <c r="A883" s="4" t="n"/>
      <c r="B883" s="4" t="n"/>
      <c r="C883" s="4" t="n"/>
      <c r="D883" s="4" t="n"/>
      <c r="E883" s="4" t="n"/>
      <c r="F883" s="4" t="n"/>
      <c r="G883" s="4" t="n"/>
    </row>
    <row r="884" ht="15.75" customHeight="1" s="40">
      <c r="A884" s="4" t="n"/>
      <c r="B884" s="4" t="n"/>
      <c r="C884" s="4" t="n"/>
      <c r="D884" s="4" t="n"/>
      <c r="E884" s="4" t="n"/>
      <c r="F884" s="4" t="n"/>
      <c r="G884" s="4" t="n"/>
    </row>
    <row r="885" ht="15.75" customHeight="1" s="40">
      <c r="A885" s="4" t="n"/>
      <c r="B885" s="4" t="n"/>
      <c r="C885" s="4" t="n"/>
      <c r="D885" s="4" t="n"/>
      <c r="E885" s="4" t="n"/>
      <c r="F885" s="4" t="n"/>
      <c r="G885" s="4" t="n"/>
    </row>
    <row r="886" ht="15.75" customHeight="1" s="40">
      <c r="A886" s="4" t="n"/>
      <c r="B886" s="4" t="n"/>
      <c r="C886" s="4" t="n"/>
      <c r="D886" s="4" t="n"/>
      <c r="E886" s="4" t="n"/>
      <c r="F886" s="4" t="n"/>
      <c r="G886" s="4" t="n"/>
    </row>
    <row r="887" ht="15.75" customHeight="1" s="40">
      <c r="A887" s="4" t="n"/>
      <c r="B887" s="4" t="n"/>
      <c r="C887" s="4" t="n"/>
      <c r="D887" s="4" t="n"/>
      <c r="E887" s="4" t="n"/>
      <c r="F887" s="4" t="n"/>
      <c r="G887" s="4" t="n"/>
    </row>
    <row r="888" ht="15.75" customHeight="1" s="40">
      <c r="A888" s="4" t="n"/>
      <c r="B888" s="4" t="n"/>
      <c r="C888" s="4" t="n"/>
      <c r="D888" s="4" t="n"/>
      <c r="E888" s="4" t="n"/>
      <c r="F888" s="4" t="n"/>
      <c r="G888" s="4" t="n"/>
    </row>
    <row r="889" ht="15.75" customHeight="1" s="40">
      <c r="A889" s="4" t="n"/>
      <c r="B889" s="4" t="n"/>
      <c r="C889" s="4" t="n"/>
      <c r="D889" s="4" t="n"/>
      <c r="E889" s="4" t="n"/>
      <c r="F889" s="4" t="n"/>
      <c r="G889" s="4" t="n"/>
    </row>
    <row r="890" ht="15.75" customHeight="1" s="40">
      <c r="A890" s="4" t="n"/>
      <c r="B890" s="4" t="n"/>
      <c r="C890" s="4" t="n"/>
      <c r="D890" s="4" t="n"/>
      <c r="E890" s="4" t="n"/>
      <c r="F890" s="4" t="n"/>
      <c r="G890" s="4" t="n"/>
    </row>
    <row r="891" ht="15.75" customHeight="1" s="40">
      <c r="A891" s="4" t="n"/>
      <c r="B891" s="4" t="n"/>
      <c r="C891" s="4" t="n"/>
      <c r="D891" s="4" t="n"/>
      <c r="E891" s="4" t="n"/>
      <c r="F891" s="4" t="n"/>
      <c r="G891" s="4" t="n"/>
    </row>
    <row r="892" ht="15.75" customHeight="1" s="40">
      <c r="A892" s="4" t="n"/>
      <c r="B892" s="4" t="n"/>
      <c r="C892" s="4" t="n"/>
      <c r="D892" s="4" t="n"/>
      <c r="E892" s="4" t="n"/>
      <c r="F892" s="4" t="n"/>
      <c r="G892" s="4" t="n"/>
    </row>
    <row r="893" ht="15.75" customHeight="1" s="40">
      <c r="A893" s="4" t="n"/>
      <c r="B893" s="4" t="n"/>
      <c r="C893" s="4" t="n"/>
      <c r="D893" s="4" t="n"/>
      <c r="E893" s="4" t="n"/>
      <c r="F893" s="4" t="n"/>
      <c r="G893" s="4" t="n"/>
    </row>
    <row r="894" ht="15.75" customHeight="1" s="40">
      <c r="A894" s="4" t="n"/>
      <c r="B894" s="4" t="n"/>
      <c r="C894" s="4" t="n"/>
      <c r="D894" s="4" t="n"/>
      <c r="E894" s="4" t="n"/>
      <c r="F894" s="4" t="n"/>
      <c r="G894" s="4" t="n"/>
    </row>
    <row r="895" ht="15.75" customHeight="1" s="40">
      <c r="A895" s="4" t="n"/>
      <c r="B895" s="4" t="n"/>
      <c r="C895" s="4" t="n"/>
      <c r="D895" s="4" t="n"/>
      <c r="E895" s="4" t="n"/>
      <c r="F895" s="4" t="n"/>
      <c r="G895" s="4" t="n"/>
    </row>
    <row r="896" ht="15.75" customHeight="1" s="40">
      <c r="A896" s="4" t="n"/>
      <c r="B896" s="4" t="n"/>
      <c r="C896" s="4" t="n"/>
      <c r="D896" s="4" t="n"/>
      <c r="E896" s="4" t="n"/>
      <c r="F896" s="4" t="n"/>
      <c r="G896" s="4" t="n"/>
    </row>
    <row r="897" ht="15.75" customHeight="1" s="40">
      <c r="A897" s="4" t="n"/>
      <c r="B897" s="4" t="n"/>
      <c r="C897" s="4" t="n"/>
      <c r="D897" s="4" t="n"/>
      <c r="E897" s="4" t="n"/>
      <c r="F897" s="4" t="n"/>
      <c r="G897" s="4" t="n"/>
    </row>
    <row r="898" ht="15.75" customHeight="1" s="40">
      <c r="A898" s="4" t="n"/>
      <c r="B898" s="4" t="n"/>
      <c r="C898" s="4" t="n"/>
      <c r="D898" s="4" t="n"/>
      <c r="E898" s="4" t="n"/>
      <c r="F898" s="4" t="n"/>
      <c r="G898" s="4" t="n"/>
    </row>
    <row r="899" ht="15.75" customHeight="1" s="40">
      <c r="A899" s="4" t="n"/>
      <c r="B899" s="4" t="n"/>
      <c r="C899" s="4" t="n"/>
      <c r="D899" s="4" t="n"/>
      <c r="E899" s="4" t="n"/>
      <c r="F899" s="4" t="n"/>
      <c r="G899" s="4" t="n"/>
    </row>
    <row r="900" ht="15.75" customHeight="1" s="40">
      <c r="A900" s="4" t="n"/>
      <c r="B900" s="4" t="n"/>
      <c r="C900" s="4" t="n"/>
      <c r="D900" s="4" t="n"/>
      <c r="E900" s="4" t="n"/>
      <c r="F900" s="4" t="n"/>
      <c r="G900" s="4" t="n"/>
    </row>
    <row r="901" ht="15.75" customHeight="1" s="40">
      <c r="A901" s="4" t="n"/>
      <c r="B901" s="4" t="n"/>
      <c r="C901" s="4" t="n"/>
      <c r="D901" s="4" t="n"/>
      <c r="E901" s="4" t="n"/>
      <c r="F901" s="4" t="n"/>
      <c r="G901" s="4" t="n"/>
    </row>
    <row r="902" ht="15.75" customHeight="1" s="40">
      <c r="A902" s="4" t="n"/>
      <c r="B902" s="4" t="n"/>
      <c r="C902" s="4" t="n"/>
      <c r="D902" s="4" t="n"/>
      <c r="E902" s="4" t="n"/>
      <c r="F902" s="4" t="n"/>
      <c r="G902" s="4" t="n"/>
    </row>
    <row r="903" ht="15.75" customHeight="1" s="40">
      <c r="A903" s="4" t="n"/>
      <c r="B903" s="4" t="n"/>
      <c r="C903" s="4" t="n"/>
      <c r="D903" s="4" t="n"/>
      <c r="E903" s="4" t="n"/>
      <c r="F903" s="4" t="n"/>
      <c r="G903" s="4" t="n"/>
    </row>
    <row r="904" ht="15.75" customHeight="1" s="40">
      <c r="A904" s="4" t="n"/>
      <c r="B904" s="4" t="n"/>
      <c r="C904" s="4" t="n"/>
      <c r="D904" s="4" t="n"/>
      <c r="E904" s="4" t="n"/>
      <c r="F904" s="4" t="n"/>
      <c r="G904" s="4" t="n"/>
    </row>
    <row r="905" ht="15.75" customHeight="1" s="40">
      <c r="A905" s="4" t="n"/>
      <c r="B905" s="4" t="n"/>
      <c r="C905" s="4" t="n"/>
      <c r="D905" s="4" t="n"/>
      <c r="E905" s="4" t="n"/>
      <c r="F905" s="4" t="n"/>
      <c r="G905" s="4" t="n"/>
    </row>
    <row r="906" ht="15.75" customHeight="1" s="40">
      <c r="A906" s="4" t="n"/>
      <c r="B906" s="4" t="n"/>
      <c r="C906" s="4" t="n"/>
      <c r="D906" s="4" t="n"/>
      <c r="E906" s="4" t="n"/>
      <c r="F906" s="4" t="n"/>
      <c r="G906" s="4" t="n"/>
    </row>
    <row r="907" ht="15.75" customHeight="1" s="40">
      <c r="A907" s="4" t="n"/>
      <c r="B907" s="4" t="n"/>
      <c r="C907" s="4" t="n"/>
      <c r="D907" s="4" t="n"/>
      <c r="E907" s="4" t="n"/>
      <c r="F907" s="4" t="n"/>
      <c r="G907" s="4" t="n"/>
    </row>
    <row r="908" ht="15.75" customHeight="1" s="40">
      <c r="A908" s="4" t="n"/>
      <c r="B908" s="4" t="n"/>
      <c r="C908" s="4" t="n"/>
      <c r="D908" s="4" t="n"/>
      <c r="E908" s="4" t="n"/>
      <c r="F908" s="4" t="n"/>
      <c r="G908" s="4" t="n"/>
    </row>
    <row r="909" ht="15.75" customHeight="1" s="40">
      <c r="A909" s="4" t="n"/>
      <c r="B909" s="4" t="n"/>
      <c r="C909" s="4" t="n"/>
      <c r="D909" s="4" t="n"/>
      <c r="E909" s="4" t="n"/>
      <c r="F909" s="4" t="n"/>
      <c r="G909" s="4" t="n"/>
    </row>
    <row r="910" ht="15.75" customHeight="1" s="40">
      <c r="A910" s="4" t="n"/>
      <c r="B910" s="4" t="n"/>
      <c r="C910" s="4" t="n"/>
      <c r="D910" s="4" t="n"/>
      <c r="E910" s="4" t="n"/>
      <c r="F910" s="4" t="n"/>
      <c r="G910" s="4" t="n"/>
    </row>
    <row r="911" ht="15.75" customHeight="1" s="40">
      <c r="A911" s="4" t="n"/>
      <c r="B911" s="4" t="n"/>
      <c r="C911" s="4" t="n"/>
      <c r="D911" s="4" t="n"/>
      <c r="E911" s="4" t="n"/>
      <c r="F911" s="4" t="n"/>
      <c r="G911" s="4" t="n"/>
    </row>
    <row r="912" ht="15.75" customHeight="1" s="40">
      <c r="A912" s="4" t="n"/>
      <c r="B912" s="4" t="n"/>
      <c r="C912" s="4" t="n"/>
      <c r="D912" s="4" t="n"/>
      <c r="E912" s="4" t="n"/>
      <c r="F912" s="4" t="n"/>
      <c r="G912" s="4" t="n"/>
    </row>
    <row r="913" ht="15.75" customHeight="1" s="40">
      <c r="A913" s="4" t="n"/>
      <c r="B913" s="4" t="n"/>
      <c r="C913" s="4" t="n"/>
      <c r="D913" s="4" t="n"/>
      <c r="E913" s="4" t="n"/>
      <c r="F913" s="4" t="n"/>
      <c r="G913" s="4" t="n"/>
    </row>
    <row r="914" ht="15.75" customHeight="1" s="40">
      <c r="A914" s="4" t="n"/>
      <c r="B914" s="4" t="n"/>
      <c r="C914" s="4" t="n"/>
      <c r="D914" s="4" t="n"/>
      <c r="E914" s="4" t="n"/>
      <c r="F914" s="4" t="n"/>
      <c r="G914" s="4" t="n"/>
    </row>
    <row r="915" ht="15.75" customHeight="1" s="40">
      <c r="A915" s="4" t="n"/>
      <c r="B915" s="4" t="n"/>
      <c r="C915" s="4" t="n"/>
      <c r="D915" s="4" t="n"/>
      <c r="E915" s="4" t="n"/>
      <c r="F915" s="4" t="n"/>
      <c r="G915" s="4" t="n"/>
    </row>
    <row r="916" ht="15.75" customHeight="1" s="40">
      <c r="A916" s="4" t="n"/>
      <c r="B916" s="4" t="n"/>
      <c r="C916" s="4" t="n"/>
      <c r="D916" s="4" t="n"/>
      <c r="E916" s="4" t="n"/>
      <c r="F916" s="4" t="n"/>
      <c r="G916" s="4" t="n"/>
    </row>
    <row r="917" ht="15.75" customHeight="1" s="40">
      <c r="A917" s="4" t="n"/>
      <c r="B917" s="4" t="n"/>
      <c r="C917" s="4" t="n"/>
      <c r="D917" s="4" t="n"/>
      <c r="E917" s="4" t="n"/>
      <c r="F917" s="4" t="n"/>
      <c r="G917" s="4" t="n"/>
    </row>
    <row r="918" ht="15.75" customHeight="1" s="40">
      <c r="A918" s="4" t="n"/>
      <c r="B918" s="4" t="n"/>
      <c r="C918" s="4" t="n"/>
      <c r="D918" s="4" t="n"/>
      <c r="E918" s="4" t="n"/>
      <c r="F918" s="4" t="n"/>
      <c r="G918" s="4" t="n"/>
    </row>
    <row r="919" ht="15.75" customHeight="1" s="40">
      <c r="A919" s="4" t="n"/>
      <c r="B919" s="4" t="n"/>
      <c r="C919" s="4" t="n"/>
      <c r="D919" s="4" t="n"/>
      <c r="E919" s="4" t="n"/>
      <c r="F919" s="4" t="n"/>
      <c r="G919" s="4" t="n"/>
    </row>
    <row r="920" ht="15.75" customHeight="1" s="40">
      <c r="A920" s="4" t="n"/>
      <c r="B920" s="4" t="n"/>
      <c r="C920" s="4" t="n"/>
      <c r="D920" s="4" t="n"/>
      <c r="E920" s="4" t="n"/>
      <c r="F920" s="4" t="n"/>
      <c r="G920" s="4" t="n"/>
    </row>
    <row r="921" ht="15.75" customHeight="1" s="40">
      <c r="A921" s="4" t="n"/>
      <c r="B921" s="4" t="n"/>
      <c r="C921" s="4" t="n"/>
      <c r="D921" s="4" t="n"/>
      <c r="E921" s="4" t="n"/>
      <c r="F921" s="4" t="n"/>
      <c r="G921" s="4" t="n"/>
    </row>
    <row r="922" ht="15.75" customHeight="1" s="40">
      <c r="A922" s="4" t="n"/>
      <c r="B922" s="4" t="n"/>
      <c r="C922" s="4" t="n"/>
      <c r="D922" s="4" t="n"/>
      <c r="E922" s="4" t="n"/>
      <c r="F922" s="4" t="n"/>
      <c r="G922" s="4" t="n"/>
    </row>
    <row r="923" ht="15.75" customHeight="1" s="40">
      <c r="A923" s="4" t="n"/>
      <c r="B923" s="4" t="n"/>
      <c r="C923" s="4" t="n"/>
      <c r="D923" s="4" t="n"/>
      <c r="E923" s="4" t="n"/>
      <c r="F923" s="4" t="n"/>
      <c r="G923" s="4" t="n"/>
    </row>
    <row r="924" ht="15.75" customHeight="1" s="40">
      <c r="A924" s="4" t="n"/>
      <c r="B924" s="4" t="n"/>
      <c r="C924" s="4" t="n"/>
      <c r="D924" s="4" t="n"/>
      <c r="E924" s="4" t="n"/>
      <c r="F924" s="4" t="n"/>
      <c r="G924" s="4" t="n"/>
    </row>
    <row r="925" ht="15.75" customHeight="1" s="40">
      <c r="A925" s="4" t="n"/>
      <c r="B925" s="4" t="n"/>
      <c r="C925" s="4" t="n"/>
      <c r="D925" s="4" t="n"/>
      <c r="E925" s="4" t="n"/>
      <c r="F925" s="4" t="n"/>
      <c r="G925" s="4" t="n"/>
    </row>
    <row r="926" ht="15.75" customHeight="1" s="40">
      <c r="A926" s="4" t="n"/>
      <c r="B926" s="4" t="n"/>
      <c r="C926" s="4" t="n"/>
      <c r="D926" s="4" t="n"/>
      <c r="E926" s="4" t="n"/>
      <c r="F926" s="4" t="n"/>
      <c r="G926" s="4" t="n"/>
    </row>
    <row r="927" ht="15.75" customHeight="1" s="40">
      <c r="A927" s="4" t="n"/>
      <c r="B927" s="4" t="n"/>
      <c r="C927" s="4" t="n"/>
      <c r="D927" s="4" t="n"/>
      <c r="E927" s="4" t="n"/>
      <c r="F927" s="4" t="n"/>
      <c r="G927" s="4" t="n"/>
    </row>
    <row r="928" ht="15.75" customHeight="1" s="40">
      <c r="A928" s="4" t="n"/>
      <c r="B928" s="4" t="n"/>
      <c r="C928" s="4" t="n"/>
      <c r="D928" s="4" t="n"/>
      <c r="E928" s="4" t="n"/>
      <c r="F928" s="4" t="n"/>
      <c r="G928" s="4" t="n"/>
    </row>
    <row r="929" ht="15.75" customHeight="1" s="40">
      <c r="A929" s="4" t="n"/>
      <c r="B929" s="4" t="n"/>
      <c r="C929" s="4" t="n"/>
      <c r="D929" s="4" t="n"/>
      <c r="E929" s="4" t="n"/>
      <c r="F929" s="4" t="n"/>
      <c r="G929" s="4" t="n"/>
    </row>
    <row r="930" ht="15.75" customHeight="1" s="40">
      <c r="A930" s="4" t="n"/>
      <c r="B930" s="4" t="n"/>
      <c r="C930" s="4" t="n"/>
      <c r="D930" s="4" t="n"/>
      <c r="E930" s="4" t="n"/>
      <c r="F930" s="4" t="n"/>
      <c r="G930" s="4" t="n"/>
    </row>
    <row r="931" ht="15.75" customHeight="1" s="40">
      <c r="A931" s="4" t="n"/>
      <c r="B931" s="4" t="n"/>
      <c r="C931" s="4" t="n"/>
      <c r="D931" s="4" t="n"/>
      <c r="E931" s="4" t="n"/>
      <c r="F931" s="4" t="n"/>
      <c r="G931" s="4" t="n"/>
    </row>
    <row r="932" ht="15.75" customHeight="1" s="40">
      <c r="A932" s="4" t="n"/>
      <c r="B932" s="4" t="n"/>
      <c r="C932" s="4" t="n"/>
      <c r="D932" s="4" t="n"/>
      <c r="E932" s="4" t="n"/>
      <c r="F932" s="4" t="n"/>
      <c r="G932" s="4" t="n"/>
    </row>
    <row r="933" ht="15.75" customHeight="1" s="40">
      <c r="A933" s="4" t="n"/>
      <c r="B933" s="4" t="n"/>
      <c r="C933" s="4" t="n"/>
      <c r="D933" s="4" t="n"/>
      <c r="E933" s="4" t="n"/>
      <c r="F933" s="4" t="n"/>
      <c r="G933" s="4" t="n"/>
    </row>
    <row r="934" ht="15.75" customHeight="1" s="40">
      <c r="A934" s="4" t="n"/>
      <c r="B934" s="4" t="n"/>
      <c r="C934" s="4" t="n"/>
      <c r="D934" s="4" t="n"/>
      <c r="E934" s="4" t="n"/>
      <c r="F934" s="4" t="n"/>
      <c r="G934" s="4" t="n"/>
    </row>
    <row r="935" ht="15.75" customHeight="1" s="40">
      <c r="A935" s="4" t="n"/>
      <c r="B935" s="4" t="n"/>
      <c r="C935" s="4" t="n"/>
      <c r="D935" s="4" t="n"/>
      <c r="E935" s="4" t="n"/>
      <c r="F935" s="4" t="n"/>
      <c r="G935" s="4" t="n"/>
    </row>
    <row r="936" ht="15.75" customHeight="1" s="40">
      <c r="A936" s="4" t="n"/>
      <c r="B936" s="4" t="n"/>
      <c r="C936" s="4" t="n"/>
      <c r="D936" s="4" t="n"/>
      <c r="E936" s="4" t="n"/>
      <c r="F936" s="4" t="n"/>
      <c r="G936" s="4" t="n"/>
    </row>
    <row r="937" ht="15.75" customHeight="1" s="40">
      <c r="A937" s="4" t="n"/>
      <c r="B937" s="4" t="n"/>
      <c r="C937" s="4" t="n"/>
      <c r="D937" s="4" t="n"/>
      <c r="E937" s="4" t="n"/>
      <c r="F937" s="4" t="n"/>
      <c r="G937" s="4" t="n"/>
    </row>
    <row r="938" ht="15.75" customHeight="1" s="40">
      <c r="A938" s="4" t="n"/>
      <c r="B938" s="4" t="n"/>
      <c r="C938" s="4" t="n"/>
      <c r="D938" s="4" t="n"/>
      <c r="E938" s="4" t="n"/>
      <c r="F938" s="4" t="n"/>
      <c r="G938" s="4" t="n"/>
    </row>
    <row r="939" ht="15.75" customHeight="1" s="40">
      <c r="A939" s="4" t="n"/>
      <c r="B939" s="4" t="n"/>
      <c r="C939" s="4" t="n"/>
      <c r="D939" s="4" t="n"/>
      <c r="E939" s="4" t="n"/>
      <c r="F939" s="4" t="n"/>
      <c r="G939" s="4" t="n"/>
    </row>
    <row r="940" ht="15.75" customHeight="1" s="40">
      <c r="A940" s="4" t="n"/>
      <c r="B940" s="4" t="n"/>
      <c r="C940" s="4" t="n"/>
      <c r="D940" s="4" t="n"/>
      <c r="E940" s="4" t="n"/>
      <c r="F940" s="4" t="n"/>
      <c r="G940" s="4" t="n"/>
    </row>
    <row r="941" ht="15.75" customHeight="1" s="40">
      <c r="A941" s="4" t="n"/>
      <c r="B941" s="4" t="n"/>
      <c r="C941" s="4" t="n"/>
      <c r="D941" s="4" t="n"/>
      <c r="E941" s="4" t="n"/>
      <c r="F941" s="4" t="n"/>
      <c r="G941" s="4" t="n"/>
    </row>
    <row r="942" ht="15.75" customHeight="1" s="40">
      <c r="A942" s="4" t="n"/>
      <c r="B942" s="4" t="n"/>
      <c r="C942" s="4" t="n"/>
      <c r="D942" s="4" t="n"/>
      <c r="E942" s="4" t="n"/>
      <c r="F942" s="4" t="n"/>
      <c r="G942" s="4" t="n"/>
    </row>
    <row r="943" ht="15.75" customHeight="1" s="40">
      <c r="A943" s="4" t="n"/>
      <c r="B943" s="4" t="n"/>
      <c r="C943" s="4" t="n"/>
      <c r="D943" s="4" t="n"/>
      <c r="E943" s="4" t="n"/>
      <c r="F943" s="4" t="n"/>
      <c r="G943" s="4" t="n"/>
    </row>
    <row r="944" ht="15.75" customHeight="1" s="40">
      <c r="A944" s="4" t="n"/>
      <c r="B944" s="4" t="n"/>
      <c r="C944" s="4" t="n"/>
      <c r="D944" s="4" t="n"/>
      <c r="E944" s="4" t="n"/>
      <c r="F944" s="4" t="n"/>
      <c r="G944" s="4" t="n"/>
    </row>
    <row r="945" ht="15.75" customHeight="1" s="40">
      <c r="A945" s="4" t="n"/>
      <c r="B945" s="4" t="n"/>
      <c r="C945" s="4" t="n"/>
      <c r="D945" s="4" t="n"/>
      <c r="E945" s="4" t="n"/>
      <c r="F945" s="4" t="n"/>
      <c r="G945" s="4" t="n"/>
    </row>
    <row r="946" ht="15.75" customHeight="1" s="40">
      <c r="A946" s="4" t="n"/>
      <c r="B946" s="4" t="n"/>
      <c r="C946" s="4" t="n"/>
      <c r="D946" s="4" t="n"/>
      <c r="E946" s="4" t="n"/>
      <c r="F946" s="4" t="n"/>
      <c r="G946" s="4" t="n"/>
    </row>
    <row r="947" ht="15.75" customHeight="1" s="40">
      <c r="A947" s="4" t="n"/>
      <c r="B947" s="4" t="n"/>
      <c r="C947" s="4" t="n"/>
      <c r="D947" s="4" t="n"/>
      <c r="E947" s="4" t="n"/>
      <c r="F947" s="4" t="n"/>
      <c r="G947" s="4" t="n"/>
    </row>
    <row r="948" ht="15.75" customHeight="1" s="40">
      <c r="A948" s="4" t="n"/>
      <c r="B948" s="4" t="n"/>
      <c r="C948" s="4" t="n"/>
      <c r="D948" s="4" t="n"/>
      <c r="E948" s="4" t="n"/>
      <c r="F948" s="4" t="n"/>
      <c r="G948" s="4" t="n"/>
    </row>
    <row r="949" ht="15.75" customHeight="1" s="40">
      <c r="A949" s="4" t="n"/>
      <c r="B949" s="4" t="n"/>
      <c r="C949" s="4" t="n"/>
      <c r="D949" s="4" t="n"/>
      <c r="E949" s="4" t="n"/>
      <c r="F949" s="4" t="n"/>
      <c r="G949" s="4" t="n"/>
    </row>
    <row r="950" ht="15.75" customHeight="1" s="40">
      <c r="A950" s="4" t="n"/>
      <c r="B950" s="4" t="n"/>
      <c r="C950" s="4" t="n"/>
      <c r="D950" s="4" t="n"/>
      <c r="E950" s="4" t="n"/>
      <c r="F950" s="4" t="n"/>
      <c r="G950" s="4" t="n"/>
    </row>
    <row r="951" ht="15.75" customHeight="1" s="40">
      <c r="A951" s="4" t="n"/>
      <c r="B951" s="4" t="n"/>
      <c r="C951" s="4" t="n"/>
      <c r="D951" s="4" t="n"/>
      <c r="E951" s="4" t="n"/>
      <c r="F951" s="4" t="n"/>
      <c r="G951" s="4" t="n"/>
    </row>
    <row r="952" ht="15.75" customHeight="1" s="40">
      <c r="A952" s="4" t="n"/>
      <c r="B952" s="4" t="n"/>
      <c r="C952" s="4" t="n"/>
      <c r="D952" s="4" t="n"/>
      <c r="E952" s="4" t="n"/>
      <c r="F952" s="4" t="n"/>
      <c r="G952" s="4" t="n"/>
    </row>
    <row r="953" ht="15.75" customHeight="1" s="40">
      <c r="A953" s="4" t="n"/>
      <c r="B953" s="4" t="n"/>
      <c r="C953" s="4" t="n"/>
      <c r="D953" s="4" t="n"/>
      <c r="E953" s="4" t="n"/>
      <c r="F953" s="4" t="n"/>
      <c r="G953" s="4" t="n"/>
    </row>
    <row r="954" ht="15.75" customHeight="1" s="40">
      <c r="A954" s="4" t="n"/>
      <c r="B954" s="4" t="n"/>
      <c r="C954" s="4" t="n"/>
      <c r="D954" s="4" t="n"/>
      <c r="E954" s="4" t="n"/>
      <c r="F954" s="4" t="n"/>
      <c r="G954" s="4" t="n"/>
    </row>
    <row r="955" ht="15.75" customHeight="1" s="40">
      <c r="A955" s="4" t="n"/>
      <c r="B955" s="4" t="n"/>
      <c r="C955" s="4" t="n"/>
      <c r="D955" s="4" t="n"/>
      <c r="E955" s="4" t="n"/>
      <c r="F955" s="4" t="n"/>
      <c r="G955" s="4" t="n"/>
    </row>
    <row r="956" ht="15.75" customHeight="1" s="40">
      <c r="A956" s="4" t="n"/>
      <c r="B956" s="4" t="n"/>
      <c r="C956" s="4" t="n"/>
      <c r="D956" s="4" t="n"/>
      <c r="E956" s="4" t="n"/>
      <c r="F956" s="4" t="n"/>
      <c r="G956" s="4" t="n"/>
    </row>
    <row r="957" ht="15.75" customHeight="1" s="40">
      <c r="A957" s="4" t="n"/>
      <c r="B957" s="4" t="n"/>
      <c r="C957" s="4" t="n"/>
      <c r="D957" s="4" t="n"/>
      <c r="E957" s="4" t="n"/>
      <c r="F957" s="4" t="n"/>
      <c r="G957" s="4" t="n"/>
    </row>
    <row r="958" ht="15.75" customHeight="1" s="40">
      <c r="A958" s="4" t="n"/>
      <c r="B958" s="4" t="n"/>
      <c r="C958" s="4" t="n"/>
      <c r="D958" s="4" t="n"/>
      <c r="E958" s="4" t="n"/>
      <c r="F958" s="4" t="n"/>
      <c r="G958" s="4" t="n"/>
    </row>
    <row r="959" ht="15.75" customHeight="1" s="40">
      <c r="A959" s="4" t="n"/>
      <c r="B959" s="4" t="n"/>
      <c r="C959" s="4" t="n"/>
      <c r="D959" s="4" t="n"/>
      <c r="E959" s="4" t="n"/>
      <c r="F959" s="4" t="n"/>
      <c r="G959" s="4" t="n"/>
    </row>
    <row r="960" ht="15.75" customHeight="1" s="40">
      <c r="A960" s="4" t="n"/>
      <c r="B960" s="4" t="n"/>
      <c r="C960" s="4" t="n"/>
      <c r="D960" s="4" t="n"/>
      <c r="E960" s="4" t="n"/>
      <c r="F960" s="4" t="n"/>
      <c r="G960" s="4" t="n"/>
    </row>
    <row r="961" ht="15.75" customHeight="1" s="40">
      <c r="A961" s="4" t="n"/>
      <c r="B961" s="4" t="n"/>
      <c r="C961" s="4" t="n"/>
      <c r="D961" s="4" t="n"/>
      <c r="E961" s="4" t="n"/>
      <c r="F961" s="4" t="n"/>
      <c r="G961" s="4" t="n"/>
    </row>
    <row r="962" ht="15.75" customHeight="1" s="40">
      <c r="A962" s="4" t="n"/>
      <c r="B962" s="4" t="n"/>
      <c r="C962" s="4" t="n"/>
      <c r="D962" s="4" t="n"/>
      <c r="E962" s="4" t="n"/>
      <c r="F962" s="4" t="n"/>
      <c r="G962" s="4" t="n"/>
    </row>
    <row r="963" ht="15.75" customHeight="1" s="40">
      <c r="A963" s="4" t="n"/>
      <c r="B963" s="4" t="n"/>
      <c r="C963" s="4" t="n"/>
      <c r="D963" s="4" t="n"/>
      <c r="E963" s="4" t="n"/>
      <c r="F963" s="4" t="n"/>
      <c r="G963" s="4" t="n"/>
    </row>
    <row r="964" ht="15.75" customHeight="1" s="40">
      <c r="A964" s="4" t="n"/>
      <c r="B964" s="4" t="n"/>
      <c r="C964" s="4" t="n"/>
      <c r="D964" s="4" t="n"/>
      <c r="E964" s="4" t="n"/>
      <c r="F964" s="4" t="n"/>
      <c r="G964" s="4" t="n"/>
    </row>
    <row r="965" ht="15.75" customHeight="1" s="40">
      <c r="A965" s="4" t="n"/>
      <c r="B965" s="4" t="n"/>
      <c r="C965" s="4" t="n"/>
      <c r="D965" s="4" t="n"/>
      <c r="E965" s="4" t="n"/>
      <c r="F965" s="4" t="n"/>
      <c r="G965" s="4" t="n"/>
    </row>
    <row r="966" ht="15.75" customHeight="1" s="40">
      <c r="A966" s="4" t="n"/>
      <c r="B966" s="4" t="n"/>
      <c r="C966" s="4" t="n"/>
      <c r="D966" s="4" t="n"/>
      <c r="E966" s="4" t="n"/>
      <c r="F966" s="4" t="n"/>
      <c r="G966" s="4" t="n"/>
    </row>
    <row r="967" ht="15.75" customHeight="1" s="40">
      <c r="A967" s="4" t="n"/>
      <c r="B967" s="4" t="n"/>
      <c r="C967" s="4" t="n"/>
      <c r="D967" s="4" t="n"/>
      <c r="E967" s="4" t="n"/>
      <c r="F967" s="4" t="n"/>
      <c r="G967" s="4" t="n"/>
    </row>
    <row r="968" ht="15.75" customHeight="1" s="40">
      <c r="A968" s="4" t="n"/>
      <c r="B968" s="4" t="n"/>
      <c r="C968" s="4" t="n"/>
      <c r="D968" s="4" t="n"/>
      <c r="E968" s="4" t="n"/>
      <c r="F968" s="4" t="n"/>
      <c r="G968" s="4" t="n"/>
    </row>
    <row r="969" ht="15.75" customHeight="1" s="40">
      <c r="A969" s="4" t="n"/>
      <c r="B969" s="4" t="n"/>
      <c r="C969" s="4" t="n"/>
      <c r="D969" s="4" t="n"/>
      <c r="E969" s="4" t="n"/>
      <c r="F969" s="4" t="n"/>
      <c r="G969" s="4" t="n"/>
    </row>
    <row r="970" ht="15.75" customHeight="1" s="40">
      <c r="A970" s="4" t="n"/>
      <c r="B970" s="4" t="n"/>
      <c r="C970" s="4" t="n"/>
      <c r="D970" s="4" t="n"/>
      <c r="E970" s="4" t="n"/>
      <c r="F970" s="4" t="n"/>
      <c r="G970" s="4" t="n"/>
    </row>
    <row r="971" ht="15.75" customHeight="1" s="40">
      <c r="A971" s="4" t="n"/>
      <c r="B971" s="4" t="n"/>
      <c r="C971" s="4" t="n"/>
      <c r="D971" s="4" t="n"/>
      <c r="E971" s="4" t="n"/>
      <c r="F971" s="4" t="n"/>
      <c r="G971" s="4" t="n"/>
    </row>
    <row r="972" ht="15.75" customHeight="1" s="40">
      <c r="A972" s="4" t="n"/>
      <c r="B972" s="4" t="n"/>
      <c r="C972" s="4" t="n"/>
      <c r="D972" s="4" t="n"/>
      <c r="E972" s="4" t="n"/>
      <c r="F972" s="4" t="n"/>
      <c r="G972" s="4" t="n"/>
    </row>
    <row r="973" ht="15.75" customHeight="1" s="40">
      <c r="A973" s="4" t="n"/>
      <c r="B973" s="4" t="n"/>
      <c r="C973" s="4" t="n"/>
      <c r="D973" s="4" t="n"/>
      <c r="E973" s="4" t="n"/>
      <c r="F973" s="4" t="n"/>
      <c r="G973" s="4" t="n"/>
    </row>
    <row r="974" ht="15.75" customHeight="1" s="40">
      <c r="A974" s="4" t="n"/>
      <c r="B974" s="4" t="n"/>
      <c r="C974" s="4" t="n"/>
      <c r="D974" s="4" t="n"/>
      <c r="E974" s="4" t="n"/>
      <c r="F974" s="4" t="n"/>
      <c r="G974" s="4" t="n"/>
    </row>
    <row r="975" ht="15.75" customHeight="1" s="40">
      <c r="A975" s="4" t="n"/>
      <c r="B975" s="4" t="n"/>
      <c r="C975" s="4" t="n"/>
      <c r="D975" s="4" t="n"/>
      <c r="E975" s="4" t="n"/>
      <c r="F975" s="4" t="n"/>
      <c r="G975" s="4" t="n"/>
    </row>
    <row r="976" ht="15.75" customHeight="1" s="40">
      <c r="A976" s="4" t="n"/>
      <c r="B976" s="4" t="n"/>
      <c r="C976" s="4" t="n"/>
      <c r="D976" s="4" t="n"/>
      <c r="E976" s="4" t="n"/>
      <c r="F976" s="4" t="n"/>
      <c r="G976" s="4" t="n"/>
    </row>
    <row r="977" ht="15.75" customHeight="1" s="40">
      <c r="A977" s="4" t="n"/>
      <c r="B977" s="4" t="n"/>
      <c r="C977" s="4" t="n"/>
      <c r="D977" s="4" t="n"/>
      <c r="E977" s="4" t="n"/>
      <c r="F977" s="4" t="n"/>
      <c r="G977" s="4" t="n"/>
    </row>
    <row r="978" ht="15.75" customHeight="1" s="40">
      <c r="A978" s="4" t="n"/>
      <c r="B978" s="4" t="n"/>
      <c r="C978" s="4" t="n"/>
      <c r="D978" s="4" t="n"/>
      <c r="E978" s="4" t="n"/>
      <c r="F978" s="4" t="n"/>
      <c r="G978" s="4" t="n"/>
    </row>
    <row r="979" ht="15.75" customHeight="1" s="40">
      <c r="A979" s="4" t="n"/>
      <c r="B979" s="4" t="n"/>
      <c r="C979" s="4" t="n"/>
      <c r="D979" s="4" t="n"/>
      <c r="E979" s="4" t="n"/>
      <c r="F979" s="4" t="n"/>
      <c r="G979" s="4" t="n"/>
    </row>
    <row r="980" ht="15.75" customHeight="1" s="40">
      <c r="A980" s="4" t="n"/>
      <c r="B980" s="4" t="n"/>
      <c r="C980" s="4" t="n"/>
      <c r="D980" s="4" t="n"/>
      <c r="E980" s="4" t="n"/>
      <c r="F980" s="4" t="n"/>
      <c r="G980" s="4" t="n"/>
    </row>
    <row r="981" ht="15.75" customHeight="1" s="40">
      <c r="A981" s="4" t="n"/>
      <c r="B981" s="4" t="n"/>
      <c r="C981" s="4" t="n"/>
      <c r="D981" s="4" t="n"/>
      <c r="E981" s="4" t="n"/>
      <c r="F981" s="4" t="n"/>
      <c r="G981" s="4" t="n"/>
    </row>
    <row r="982" ht="15.75" customHeight="1" s="40">
      <c r="A982" s="4" t="n"/>
      <c r="B982" s="4" t="n"/>
      <c r="C982" s="4" t="n"/>
      <c r="D982" s="4" t="n"/>
      <c r="E982" s="4" t="n"/>
      <c r="F982" s="4" t="n"/>
      <c r="G982" s="4" t="n"/>
    </row>
    <row r="983" ht="15.75" customHeight="1" s="40">
      <c r="A983" s="4" t="n"/>
      <c r="B983" s="4" t="n"/>
      <c r="C983" s="4" t="n"/>
      <c r="D983" s="4" t="n"/>
      <c r="E983" s="4" t="n"/>
      <c r="F983" s="4" t="n"/>
      <c r="G983" s="4" t="n"/>
    </row>
    <row r="984" ht="15.75" customHeight="1" s="40">
      <c r="A984" s="4" t="n"/>
      <c r="B984" s="4" t="n"/>
      <c r="C984" s="4" t="n"/>
      <c r="D984" s="4" t="n"/>
      <c r="E984" s="4" t="n"/>
      <c r="F984" s="4" t="n"/>
      <c r="G984" s="4" t="n"/>
    </row>
    <row r="985" ht="15.75" customHeight="1" s="40">
      <c r="A985" s="4" t="n"/>
      <c r="B985" s="4" t="n"/>
      <c r="C985" s="4" t="n"/>
      <c r="D985" s="4" t="n"/>
      <c r="E985" s="4" t="n"/>
      <c r="F985" s="4" t="n"/>
      <c r="G985" s="4" t="n"/>
    </row>
    <row r="986" ht="15.75" customHeight="1" s="40">
      <c r="A986" s="4" t="n"/>
      <c r="B986" s="4" t="n"/>
      <c r="C986" s="4" t="n"/>
      <c r="D986" s="4" t="n"/>
      <c r="E986" s="4" t="n"/>
      <c r="F986" s="4" t="n"/>
      <c r="G986" s="4" t="n"/>
    </row>
    <row r="987" ht="15.75" customHeight="1" s="40">
      <c r="A987" s="4" t="n"/>
      <c r="B987" s="4" t="n"/>
      <c r="C987" s="4" t="n"/>
      <c r="D987" s="4" t="n"/>
      <c r="E987" s="4" t="n"/>
      <c r="F987" s="4" t="n"/>
      <c r="G987" s="4" t="n"/>
    </row>
    <row r="988" ht="15.75" customHeight="1" s="40">
      <c r="A988" s="4" t="n"/>
      <c r="B988" s="4" t="n"/>
      <c r="C988" s="4" t="n"/>
      <c r="D988" s="4" t="n"/>
      <c r="E988" s="4" t="n"/>
      <c r="F988" s="4" t="n"/>
      <c r="G988" s="4" t="n"/>
    </row>
    <row r="989" ht="15.75" customHeight="1" s="40">
      <c r="A989" s="4" t="n"/>
      <c r="B989" s="4" t="n"/>
      <c r="C989" s="4" t="n"/>
      <c r="D989" s="4" t="n"/>
      <c r="E989" s="4" t="n"/>
      <c r="F989" s="4" t="n"/>
      <c r="G989" s="4" t="n"/>
    </row>
    <row r="990" ht="15.75" customHeight="1" s="40">
      <c r="A990" s="4" t="n"/>
      <c r="B990" s="4" t="n"/>
      <c r="C990" s="4" t="n"/>
      <c r="D990" s="4" t="n"/>
      <c r="E990" s="4" t="n"/>
      <c r="F990" s="4" t="n"/>
      <c r="G990" s="4" t="n"/>
    </row>
    <row r="991" ht="15.75" customHeight="1" s="40">
      <c r="A991" s="4" t="n"/>
      <c r="B991" s="4" t="n"/>
      <c r="C991" s="4" t="n"/>
      <c r="D991" s="4" t="n"/>
      <c r="E991" s="4" t="n"/>
      <c r="F991" s="4" t="n"/>
      <c r="G991" s="4" t="n"/>
    </row>
    <row r="992" ht="15.75" customHeight="1" s="40">
      <c r="A992" s="4" t="n"/>
      <c r="B992" s="4" t="n"/>
      <c r="C992" s="4" t="n"/>
      <c r="D992" s="4" t="n"/>
      <c r="E992" s="4" t="n"/>
      <c r="F992" s="4" t="n"/>
      <c r="G992" s="4" t="n"/>
    </row>
    <row r="993" ht="15.75" customHeight="1" s="40">
      <c r="A993" s="4" t="n"/>
      <c r="B993" s="4" t="n"/>
      <c r="C993" s="4" t="n"/>
      <c r="D993" s="4" t="n"/>
      <c r="E993" s="4" t="n"/>
      <c r="F993" s="4" t="n"/>
      <c r="G993" s="4" t="n"/>
    </row>
    <row r="994" ht="15.75" customHeight="1" s="40">
      <c r="A994" s="4" t="n"/>
      <c r="B994" s="4" t="n"/>
      <c r="C994" s="4" t="n"/>
      <c r="D994" s="4" t="n"/>
      <c r="E994" s="4" t="n"/>
      <c r="F994" s="4" t="n"/>
      <c r="G994" s="4" t="n"/>
    </row>
    <row r="995" ht="15.75" customHeight="1" s="40">
      <c r="A995" s="4" t="n"/>
      <c r="B995" s="4" t="n"/>
      <c r="C995" s="4" t="n"/>
      <c r="D995" s="4" t="n"/>
      <c r="E995" s="4" t="n"/>
      <c r="F995" s="4" t="n"/>
      <c r="G995" s="4" t="n"/>
    </row>
    <row r="996" ht="15.75" customHeight="1" s="40">
      <c r="A996" s="4" t="n"/>
      <c r="B996" s="4" t="n"/>
      <c r="C996" s="4" t="n"/>
      <c r="D996" s="4" t="n"/>
      <c r="E996" s="4" t="n"/>
      <c r="F996" s="4" t="n"/>
      <c r="G996" s="4" t="n"/>
    </row>
    <row r="997" ht="15.75" customHeight="1" s="40">
      <c r="A997" s="4" t="n"/>
      <c r="B997" s="4" t="n"/>
      <c r="C997" s="4" t="n"/>
      <c r="D997" s="4" t="n"/>
      <c r="E997" s="4" t="n"/>
      <c r="F997" s="4" t="n"/>
      <c r="G997" s="4" t="n"/>
    </row>
    <row r="998" ht="15.75" customHeight="1" s="40">
      <c r="A998" s="4" t="n"/>
      <c r="B998" s="4" t="n"/>
      <c r="C998" s="4" t="n"/>
      <c r="D998" s="4" t="n"/>
      <c r="E998" s="4" t="n"/>
      <c r="F998" s="4" t="n"/>
      <c r="G998" s="4" t="n"/>
    </row>
    <row r="999" ht="15.75" customHeight="1" s="40">
      <c r="A999" s="4" t="n"/>
      <c r="B999" s="4" t="n"/>
      <c r="C999" s="4" t="n"/>
      <c r="D999" s="4" t="n"/>
      <c r="E999" s="4" t="n"/>
      <c r="F999" s="4" t="n"/>
      <c r="G999" s="4" t="n"/>
    </row>
    <row r="1000" ht="15.75" customHeight="1" s="40">
      <c r="A1000" s="4" t="n"/>
      <c r="B1000" s="4" t="n"/>
      <c r="C1000" s="4" t="n"/>
      <c r="D1000" s="4" t="n"/>
      <c r="E1000" s="4" t="n"/>
      <c r="F1000" s="4" t="n"/>
      <c r="G1000" s="4" t="n"/>
    </row>
  </sheetData>
  <autoFilter ref="$A$4:$G$41"/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6" customWidth="1" style="40" min="1" max="1"/>
    <col width="44" customWidth="1" style="40" min="2" max="2"/>
    <col width="13" customWidth="1" style="40" min="3" max="3"/>
    <col width="20" customWidth="1" style="40" min="4" max="4"/>
    <col width="52" customWidth="1" style="40" min="5" max="5"/>
    <col width="64" customWidth="1" style="40" min="6" max="6"/>
    <col width="14" customWidth="1" style="40" min="7" max="7"/>
    <col width="8.710000000000001" customWidth="1" style="40" min="8" max="26"/>
  </cols>
  <sheetData>
    <row r="1" ht="17.25" customHeight="1" s="40">
      <c r="A1" s="3" t="inlineStr">
        <is>
          <t>余额分类体系</t>
        </is>
      </c>
      <c r="B1" s="4" t="n"/>
      <c r="C1" s="4" t="n"/>
      <c r="D1" s="4" t="n"/>
      <c r="E1" s="4" t="n"/>
      <c r="F1" s="4" t="n"/>
      <c r="G1" s="4" t="n"/>
    </row>
    <row r="2" ht="15" customHeight="1" s="40">
      <c r="A2" s="5" t="inlineStr">
        <is>
          <t>balance_class 是结构性字段，不是列报标签（E9/I18）。natural_side 用于推导 L2 的 posting_side（规范 §2.2），属于「记账」概念。presentation_rule 是独立的「列报」概念（规范 §2.4、D6）：FIXED、BY_SIGN（结算账户）或 NET_IF_ELIGIBLE（除非通过 IAS 32 第 42 段测试，否则按总额列报 —— I19）。MEMO_ONLY 永远不得进入财务报表（I6）。</t>
        </is>
      </c>
      <c r="B2" s="4" t="n"/>
      <c r="C2" s="4" t="n"/>
      <c r="D2" s="4" t="n"/>
      <c r="E2" s="4" t="n"/>
      <c r="F2" s="4" t="n"/>
      <c r="G2" s="4" t="n"/>
    </row>
    <row r="3">
      <c r="A3" s="4" t="n"/>
      <c r="B3" s="4" t="n"/>
      <c r="C3" s="4" t="n"/>
      <c r="D3" s="4" t="n"/>
      <c r="E3" s="4" t="n"/>
      <c r="F3" s="4" t="n"/>
      <c r="G3" s="4" t="n"/>
    </row>
    <row r="4" ht="30" customHeight="1" s="40">
      <c r="A4" s="12" t="inlineStr">
        <is>
          <t>balance_class（账簿分类）</t>
        </is>
      </c>
      <c r="B4" s="12" t="inlineStr">
        <is>
          <t>balance_type（余额类型）</t>
        </is>
      </c>
      <c r="C4" s="12" t="inlineStr">
        <is>
          <t>natural_side（固有方向）</t>
        </is>
      </c>
      <c r="D4" s="12" t="inlineStr">
        <is>
          <t>presentation_rule（列报规则）</t>
        </is>
      </c>
      <c r="E4" s="10" t="inlineStr">
        <is>
          <t>总账科目说明</t>
        </is>
      </c>
      <c r="F4" s="10" t="inlineStr">
        <is>
          <t>说明</t>
        </is>
      </c>
      <c r="G4" s="12" t="inlineStr">
        <is>
          <t>v2 出处</t>
        </is>
      </c>
    </row>
    <row r="5" ht="15" customHeight="1" s="40">
      <c r="A5" s="14" t="inlineStr">
        <is>
          <t>CONTINGENT</t>
        </is>
      </c>
      <c r="B5" s="14" t="inlineStr">
        <is>
          <t>LC_CUSTOMER_LIABILITY</t>
        </is>
      </c>
      <c r="C5" s="14" t="inlineStr">
        <is>
          <t>Dr</t>
        </is>
      </c>
      <c r="D5" s="14" t="inlineStr">
        <is>
          <t>FIXED</t>
        </is>
      </c>
      <c r="E5" s="15" t="inlineStr">
        <is>
          <t>Customers' Liability under Documentary Credits</t>
        </is>
      </c>
      <c r="F5" s="15" t="inlineStr">
        <is>
          <t>Bank's recourse against the applicant. NOT an on-BS liability.</t>
        </is>
      </c>
      <c r="G5" s="14" t="inlineStr">
        <is>
          <t>v2 §2.2</t>
        </is>
      </c>
    </row>
    <row r="6" ht="15" customHeight="1" s="40">
      <c r="A6" s="14" t="inlineStr">
        <is>
          <t>CONTINGENT</t>
        </is>
      </c>
      <c r="B6" s="14" t="inlineStr">
        <is>
          <t>LC_OUTSTANDING</t>
        </is>
      </c>
      <c r="C6" s="14" t="inlineStr">
        <is>
          <t>Cr</t>
        </is>
      </c>
      <c r="D6" s="14" t="inlineStr">
        <is>
          <t>FIXED</t>
        </is>
      </c>
      <c r="E6" s="15" t="inlineStr">
        <is>
          <t>Documentary Credits Outstanding</t>
        </is>
      </c>
      <c r="F6" s="15" t="inlineStr">
        <is>
          <t>Bank's undertaking to the beneficiary.</t>
        </is>
      </c>
      <c r="G6" s="14" t="inlineStr">
        <is>
          <t>v2 §2.2</t>
        </is>
      </c>
    </row>
    <row r="7" ht="15" customHeight="1" s="40">
      <c r="A7" s="14" t="inlineStr">
        <is>
          <t>CONTINGENT</t>
        </is>
      </c>
      <c r="B7" s="14" t="inlineStr">
        <is>
          <t>SG_CUSTOMER_LIABILITY</t>
        </is>
      </c>
      <c r="C7" s="14" t="inlineStr">
        <is>
          <t>Dr</t>
        </is>
      </c>
      <c r="D7" s="14" t="inlineStr">
        <is>
          <t>FIXED</t>
        </is>
      </c>
      <c r="E7" s="15" t="inlineStr">
        <is>
          <t>Customers' Liability under Shipping Guarantees</t>
        </is>
      </c>
      <c r="F7" s="20" t="n"/>
      <c r="G7" s="14" t="inlineStr">
        <is>
          <t>v2 §4.2</t>
        </is>
      </c>
    </row>
    <row r="8" ht="15" customHeight="1" s="40">
      <c r="A8" s="14" t="inlineStr">
        <is>
          <t>CONTINGENT</t>
        </is>
      </c>
      <c r="B8" s="14" t="inlineStr">
        <is>
          <t>SG_OUTSTANDING</t>
        </is>
      </c>
      <c r="C8" s="14" t="inlineStr">
        <is>
          <t>Cr</t>
        </is>
      </c>
      <c r="D8" s="14" t="inlineStr">
        <is>
          <t>FIXED</t>
        </is>
      </c>
      <c r="E8" s="15" t="inlineStr">
        <is>
          <t>Shipping Guarantees Outstanding</t>
        </is>
      </c>
      <c r="F8" s="15" t="inlineStr">
        <is>
          <t>Indemnity to the carrier. Beneficiary is the shipping line.</t>
        </is>
      </c>
      <c r="G8" s="14" t="inlineStr">
        <is>
          <t>v2 §4.2</t>
        </is>
      </c>
    </row>
    <row r="9" ht="15" customHeight="1" s="40">
      <c r="A9" s="14" t="inlineStr">
        <is>
          <t>CONTINGENT</t>
        </is>
      </c>
      <c r="B9" s="14" t="inlineStr">
        <is>
          <t>CONFIRMATION_EXPOSURE</t>
        </is>
      </c>
      <c r="C9" s="14" t="inlineStr">
        <is>
          <t>Dr</t>
        </is>
      </c>
      <c r="D9" s="14" t="inlineStr">
        <is>
          <t>FIXED</t>
        </is>
      </c>
      <c r="E9" s="15" t="inlineStr">
        <is>
          <t>Issuing Bank Confirmation Exposure</t>
        </is>
      </c>
      <c r="F9" s="15" t="inlineStr">
        <is>
          <t>Obligor is the ISSUING BANK, not the exporter.</t>
        </is>
      </c>
      <c r="G9" s="14" t="inlineStr">
        <is>
          <t>v2 §7.1</t>
        </is>
      </c>
    </row>
    <row r="10" ht="15" customHeight="1" s="40">
      <c r="A10" s="14" t="inlineStr">
        <is>
          <t>CONTINGENT</t>
        </is>
      </c>
      <c r="B10" s="14" t="inlineStr">
        <is>
          <t>CONFIRMATION_OUTSTANDING</t>
        </is>
      </c>
      <c r="C10" s="14" t="inlineStr">
        <is>
          <t>Cr</t>
        </is>
      </c>
      <c r="D10" s="14" t="inlineStr">
        <is>
          <t>FIXED</t>
        </is>
      </c>
      <c r="E10" s="15" t="inlineStr">
        <is>
          <t>Confirmation Undertakings Outstanding</t>
        </is>
      </c>
      <c r="F10" s="15" t="inlineStr">
        <is>
          <t>Drives off confirmed_amount, not lc_amount.</t>
        </is>
      </c>
      <c r="G10" s="14" t="inlineStr">
        <is>
          <t>v2 §7.2</t>
        </is>
      </c>
    </row>
    <row r="11" ht="15" customHeight="1" s="40">
      <c r="A11" s="14" t="inlineStr">
        <is>
          <t>CONTINGENT</t>
        </is>
      </c>
      <c r="B11" s="14" t="inlineStr">
        <is>
          <t>REIMB_UNDERTAKING_EXPOSURE</t>
        </is>
      </c>
      <c r="C11" s="14" t="inlineStr">
        <is>
          <t>Dr</t>
        </is>
      </c>
      <c r="D11" s="14" t="inlineStr">
        <is>
          <t>FIXED</t>
        </is>
      </c>
      <c r="E11" s="15" t="inlineStr">
        <is>
          <t>Issuing Bank Reimbursement Exposure</t>
        </is>
      </c>
      <c r="F11" s="15" t="inlineStr">
        <is>
          <t>Only where an undertaking is issued (URR 725).</t>
        </is>
      </c>
      <c r="G11" s="14" t="inlineStr">
        <is>
          <t>v2 §7.7</t>
        </is>
      </c>
    </row>
    <row r="12" ht="15" customHeight="1" s="40">
      <c r="A12" s="14" t="inlineStr">
        <is>
          <t>CONTINGENT</t>
        </is>
      </c>
      <c r="B12" s="14" t="inlineStr">
        <is>
          <t>REIMB_UNDERTAKING_OUTSTANDING</t>
        </is>
      </c>
      <c r="C12" s="14" t="inlineStr">
        <is>
          <t>Cr</t>
        </is>
      </c>
      <c r="D12" s="14" t="inlineStr">
        <is>
          <t>FIXED</t>
        </is>
      </c>
      <c r="E12" s="15" t="inlineStr">
        <is>
          <t>Reimbursement Undertakings Outstanding</t>
        </is>
      </c>
      <c r="F12" s="15" t="inlineStr">
        <is>
          <t>Agency-only reimbursing creates nothing.</t>
        </is>
      </c>
      <c r="G12" s="14" t="inlineStr">
        <is>
          <t>v2 §7.7</t>
        </is>
      </c>
    </row>
    <row r="13" ht="15" customHeight="1" s="40">
      <c r="A13" s="19" t="inlineStr">
        <is>
          <t>ON_BALANCE_ASSET</t>
        </is>
      </c>
      <c r="B13" s="19" t="inlineStr">
        <is>
          <t>IMPORT_BILLS_RECEIVABLE</t>
        </is>
      </c>
      <c r="C13" s="19" t="inlineStr">
        <is>
          <t>Dr</t>
        </is>
      </c>
      <c r="D13" s="19" t="inlineStr">
        <is>
          <t>FIXED</t>
        </is>
      </c>
      <c r="E13" s="21" t="inlineStr">
        <is>
          <t>Import Bills Receivable — Applicant</t>
        </is>
      </c>
      <c r="F13" s="21" t="inlineStr">
        <is>
          <t>Sight honour.</t>
        </is>
      </c>
      <c r="G13" s="19" t="inlineStr">
        <is>
          <t>v2 §3.5</t>
        </is>
      </c>
    </row>
    <row r="14" ht="15" customHeight="1" s="40">
      <c r="A14" s="19" t="inlineStr">
        <is>
          <t>ON_BALANCE_ASSET</t>
        </is>
      </c>
      <c r="B14" s="19" t="inlineStr">
        <is>
          <t>ACCEPTANCE_REIMB_RECEIVABLE_APPLICANT</t>
        </is>
      </c>
      <c r="C14" s="19" t="inlineStr">
        <is>
          <t>Dr</t>
        </is>
      </c>
      <c r="D14" s="19" t="inlineStr">
        <is>
          <t>NET_IF_ELIGIBLE</t>
        </is>
      </c>
      <c r="E14" s="21" t="inlineStr">
        <is>
          <t>Acceptance Reimbursement Receivable — Applicant</t>
        </is>
      </c>
      <c r="F14" s="21" t="inlineStr">
        <is>
          <t>Unconditional claim on the applicant, raised at LC_ACCEPT.</t>
        </is>
      </c>
      <c r="G14" s="19" t="inlineStr">
        <is>
          <t>v2 §3.7</t>
        </is>
      </c>
    </row>
    <row r="15" ht="15" customHeight="1" s="40">
      <c r="A15" s="19" t="inlineStr">
        <is>
          <t>ON_BALANCE_ASSET</t>
        </is>
      </c>
      <c r="B15" s="19" t="inlineStr">
        <is>
          <t>ACCEPTANCE_REIMB_RECEIVABLE_ISSUING_BANK</t>
        </is>
      </c>
      <c r="C15" s="19" t="inlineStr">
        <is>
          <t>Dr</t>
        </is>
      </c>
      <c r="D15" s="19" t="inlineStr">
        <is>
          <t>NET_IF_ELIGIBLE</t>
        </is>
      </c>
      <c r="E15" s="21" t="inlineStr">
        <is>
          <t>Acceptance Reimbursement Receivable — Issuing Bank</t>
        </is>
      </c>
      <c r="F15" s="21" t="inlineStr">
        <is>
          <t>Export side. Art. 7(c) claim on the issuing bank.</t>
        </is>
      </c>
      <c r="G15" s="19" t="inlineStr">
        <is>
          <t>v2 §7.6</t>
        </is>
      </c>
    </row>
    <row r="16" ht="15" customHeight="1" s="40">
      <c r="A16" s="19" t="inlineStr">
        <is>
          <t>ON_BALANCE_ASSET</t>
        </is>
      </c>
      <c r="B16" s="19" t="inlineStr">
        <is>
          <t>IMPORT_USANCE_FINANCING</t>
        </is>
      </c>
      <c r="C16" s="19" t="inlineStr">
        <is>
          <t>Dr</t>
        </is>
      </c>
      <c r="D16" s="19" t="inlineStr">
        <is>
          <t>FIXED</t>
        </is>
      </c>
      <c r="E16" s="21" t="inlineStr">
        <is>
          <t>Import Usance Financing</t>
        </is>
      </c>
      <c r="F16" s="21" t="inlineStr">
        <is>
          <t>BU-A bank-funded, and discounted acceptance.</t>
        </is>
      </c>
      <c r="G16" s="19" t="inlineStr">
        <is>
          <t>v2 §3.6</t>
        </is>
      </c>
    </row>
    <row r="17" ht="15" customHeight="1" s="40">
      <c r="A17" s="19" t="inlineStr">
        <is>
          <t>ON_BALANCE_ASSET</t>
        </is>
      </c>
      <c r="B17" s="19" t="inlineStr">
        <is>
          <t>IMPORT_USANCE_RECEIVABLE_APPLICANT</t>
        </is>
      </c>
      <c r="C17" s="19" t="inlineStr">
        <is>
          <t>Dr</t>
        </is>
      </c>
      <c r="D17" s="19" t="inlineStr">
        <is>
          <t>NET_IF_ELIGIBLE</t>
        </is>
      </c>
      <c r="E17" s="21" t="inlineStr">
        <is>
          <t>Import Usance Receivable — Applicant</t>
        </is>
      </c>
      <c r="F17" s="21" t="inlineStr">
        <is>
          <t>BU-B. Paired with DUE_TO_REFINANCING_BANK.</t>
        </is>
      </c>
      <c r="G17" s="19" t="inlineStr">
        <is>
          <t>v2 §3.6</t>
        </is>
      </c>
    </row>
    <row r="18" ht="15" customHeight="1" s="40">
      <c r="A18" s="19" t="inlineStr">
        <is>
          <t>ON_BALANCE_ASSET</t>
        </is>
      </c>
      <c r="B18" s="19" t="inlineStr">
        <is>
          <t>TRUST_RECEIPT_LOAN</t>
        </is>
      </c>
      <c r="C18" s="19" t="inlineStr">
        <is>
          <t>Dr</t>
        </is>
      </c>
      <c r="D18" s="19" t="inlineStr">
        <is>
          <t>FIXED</t>
        </is>
      </c>
      <c r="E18" s="21" t="inlineStr">
        <is>
          <t>Trust Receipt / Import Loan</t>
        </is>
      </c>
      <c r="F18" s="21" t="inlineStr">
        <is>
          <t>Post-payment financing against goods. NOT the same as BU financing.</t>
        </is>
      </c>
      <c r="G18" s="19" t="inlineStr">
        <is>
          <t>v2 §3.8</t>
        </is>
      </c>
    </row>
    <row r="19" ht="15" customHeight="1" s="40">
      <c r="A19" s="19" t="inlineStr">
        <is>
          <t>ON_BALANCE_ASSET</t>
        </is>
      </c>
      <c r="B19" s="19" t="inlineStr">
        <is>
          <t>IMPORT_ADVANCE_FORCED</t>
        </is>
      </c>
      <c r="C19" s="19" t="inlineStr">
        <is>
          <t>Dr</t>
        </is>
      </c>
      <c r="D19" s="19" t="inlineStr">
        <is>
          <t>FIXED</t>
        </is>
      </c>
      <c r="E19" s="21" t="inlineStr">
        <is>
          <t>Import Advance — Forced (Overdue)</t>
        </is>
      </c>
      <c r="F19" s="21" t="inlineStr">
        <is>
          <t>Stage 3 and day-1 NPL on creation.</t>
        </is>
      </c>
      <c r="G19" s="19" t="inlineStr">
        <is>
          <t>v2 §3.8</t>
        </is>
      </c>
    </row>
    <row r="20" ht="15" customHeight="1" s="40">
      <c r="A20" s="19" t="inlineStr">
        <is>
          <t>ON_BALANCE_ASSET</t>
        </is>
      </c>
      <c r="B20" s="19" t="inlineStr">
        <is>
          <t>ADVANCE_UNDER_RESERVE</t>
        </is>
      </c>
      <c r="C20" s="19" t="inlineStr">
        <is>
          <t>Dr</t>
        </is>
      </c>
      <c r="D20" s="19" t="inlineStr">
        <is>
          <t>FIXED</t>
        </is>
      </c>
      <c r="E20" s="21" t="inlineStr">
        <is>
          <t>Advance under Reserve — Recourse to Presenter</t>
        </is>
      </c>
      <c r="F20" s="21" t="inlineStr">
        <is>
          <t>recourse=TRUE. Obligor is the presenter/exporter, NOT the applicant.</t>
        </is>
      </c>
      <c r="G20" s="19" t="inlineStr">
        <is>
          <t>v2 §3.4, §7.3</t>
        </is>
      </c>
    </row>
    <row r="21" ht="15" customHeight="1" s="40">
      <c r="A21" s="19" t="inlineStr">
        <is>
          <t>ON_BALANCE_ASSET</t>
        </is>
      </c>
      <c r="B21" s="19" t="inlineStr">
        <is>
          <t>SG_CLAIM_RECEIVABLE</t>
        </is>
      </c>
      <c r="C21" s="19" t="inlineStr">
        <is>
          <t>Dr</t>
        </is>
      </c>
      <c r="D21" s="19" t="inlineStr">
        <is>
          <t>FIXED</t>
        </is>
      </c>
      <c r="E21" s="21" t="inlineStr">
        <is>
          <t>Claim Receivable — Applicant</t>
        </is>
      </c>
      <c r="F21" s="21" t="inlineStr">
        <is>
          <t>May exceed booked notional where the SG form is unlimited.</t>
        </is>
      </c>
      <c r="G21" s="19" t="inlineStr">
        <is>
          <t>v2 §4.4</t>
        </is>
      </c>
    </row>
    <row r="22" ht="15" customHeight="1" s="40">
      <c r="A22" s="19" t="inlineStr">
        <is>
          <t>ON_BALANCE_ASSET</t>
        </is>
      </c>
      <c r="B22" s="19" t="inlineStr">
        <is>
          <t>DUE_FROM_ISSUING_BANK</t>
        </is>
      </c>
      <c r="C22" s="19" t="inlineStr">
        <is>
          <t>Dr</t>
        </is>
      </c>
      <c r="D22" s="19" t="inlineStr">
        <is>
          <t>FIXED</t>
        </is>
      </c>
      <c r="E22" s="21" t="inlineStr">
        <is>
          <t>Due from Issuing / Reimbursing Bank</t>
        </is>
      </c>
      <c r="F22" s="21" t="inlineStr">
        <is>
          <t>Confirmed honour. No recourse to the exporter.</t>
        </is>
      </c>
      <c r="G22" s="19" t="inlineStr">
        <is>
          <t>v2 §7.4a</t>
        </is>
      </c>
    </row>
    <row r="23" ht="15" customHeight="1" s="40">
      <c r="A23" s="19" t="inlineStr">
        <is>
          <t>ON_BALANCE_ASSET</t>
        </is>
      </c>
      <c r="B23" s="19" t="inlineStr">
        <is>
          <t>EXPORT_BILLS_DISCOUNTED</t>
        </is>
      </c>
      <c r="C23" s="19" t="inlineStr">
        <is>
          <t>Dr</t>
        </is>
      </c>
      <c r="D23" s="19" t="inlineStr">
        <is>
          <t>FIXED</t>
        </is>
      </c>
      <c r="E23" s="21" t="inlineStr">
        <is>
          <t>Export Bills Discounted — Due from Issuing Bank</t>
        </is>
      </c>
      <c r="F23" s="21" t="inlineStr">
        <is>
          <t>Obligor stays the issuing bank.</t>
        </is>
      </c>
      <c r="G23" s="19" t="inlineStr">
        <is>
          <t>v2 §7.6</t>
        </is>
      </c>
    </row>
    <row r="24" ht="15" customHeight="1" s="40">
      <c r="A24" s="19" t="inlineStr">
        <is>
          <t>ON_BALANCE_ASSET</t>
        </is>
      </c>
      <c r="B24" s="19" t="inlineStr">
        <is>
          <t>EXPORT_BILLS_NEGOTIATED_RECOURSE</t>
        </is>
      </c>
      <c r="C24" s="19" t="inlineStr">
        <is>
          <t>Dr</t>
        </is>
      </c>
      <c r="D24" s="19" t="inlineStr">
        <is>
          <t>FIXED</t>
        </is>
      </c>
      <c r="E24" s="21" t="inlineStr">
        <is>
          <t>Export Bills Negotiated — With Recourse</t>
        </is>
      </c>
      <c r="F24" s="21" t="inlineStr">
        <is>
          <t>Obligor is the EXPORTER. No contingent was ever released.</t>
        </is>
      </c>
      <c r="G24" s="19" t="inlineStr">
        <is>
          <t>v2 §7.4b</t>
        </is>
      </c>
    </row>
    <row r="25" ht="15" customHeight="1" s="40">
      <c r="A25" s="19" t="inlineStr">
        <is>
          <t>ON_BALANCE_ASSET</t>
        </is>
      </c>
      <c r="B25" s="19" t="inlineStr">
        <is>
          <t>REFINANCING_LOAN_TO_ISSUING_BANK</t>
        </is>
      </c>
      <c r="C25" s="19" t="inlineStr">
        <is>
          <t>Dr</t>
        </is>
      </c>
      <c r="D25" s="19" t="inlineStr">
        <is>
          <t>FIXED</t>
        </is>
      </c>
      <c r="E25" s="21" t="inlineStr">
        <is>
          <t>Refinancing Loan to Issuing Bank — UPAS</t>
        </is>
      </c>
      <c r="F25" s="21" t="inlineStr">
        <is>
          <t>Only where this bank IS the refinancing bank.</t>
        </is>
      </c>
      <c r="G25" s="19" t="inlineStr">
        <is>
          <t>v2 §7.5</t>
        </is>
      </c>
    </row>
    <row r="26" ht="15" customHeight="1" s="40">
      <c r="A26" s="19" t="inlineStr">
        <is>
          <t>ON_BALANCE_ASSET</t>
        </is>
      </c>
      <c r="B26" s="19" t="inlineStr">
        <is>
          <t>INTEREST_RECEIVABLE</t>
        </is>
      </c>
      <c r="C26" s="19" t="inlineStr">
        <is>
          <t>Dr</t>
        </is>
      </c>
      <c r="D26" s="19" t="inlineStr">
        <is>
          <t>FIXED</t>
        </is>
      </c>
      <c r="E26" s="21" t="inlineStr">
        <is>
          <t>Interest Receivable</t>
        </is>
      </c>
      <c r="F26" s="21" t="inlineStr">
        <is>
          <t>Effective interest. Suspend on Stage 3.</t>
        </is>
      </c>
      <c r="G26" s="19" t="inlineStr">
        <is>
          <t>v2 §9.4</t>
        </is>
      </c>
    </row>
    <row r="27" ht="15" customHeight="1" s="40">
      <c r="A27" s="19" t="inlineStr">
        <is>
          <t>ON_BALANCE_ASSET</t>
        </is>
      </c>
      <c r="B27" s="19" t="inlineStr">
        <is>
          <t>NOSTRO</t>
        </is>
      </c>
      <c r="C27" s="19" t="inlineStr">
        <is>
          <t>Dr</t>
        </is>
      </c>
      <c r="D27" s="19" t="inlineStr">
        <is>
          <t>BY_SIGN</t>
        </is>
      </c>
      <c r="E27" s="21" t="inlineStr">
        <is>
          <t>Nostro</t>
        </is>
      </c>
      <c r="F27" s="23" t="n"/>
      <c r="G27" s="19" t="inlineStr">
        <is>
          <t>—</t>
        </is>
      </c>
    </row>
    <row r="28" ht="15" customHeight="1" s="40">
      <c r="A28" s="14" t="inlineStr">
        <is>
          <t>ON_BALANCE_ASSET_CONTRA</t>
        </is>
      </c>
      <c r="B28" s="14" t="inlineStr">
        <is>
          <t>UNEARNED_DISCOUNT</t>
        </is>
      </c>
      <c r="C28" s="14" t="inlineStr">
        <is>
          <t>Cr</t>
        </is>
      </c>
      <c r="D28" s="14" t="inlineStr">
        <is>
          <t>FIXED</t>
        </is>
      </c>
      <c r="E28" s="15" t="inlineStr">
        <is>
          <t>Unearned Discount</t>
        </is>
      </c>
      <c r="F28" s="15" t="inlineStr">
        <is>
          <t>Nets against a named asset. Accreted by DISC_ACCRETE.</t>
        </is>
      </c>
      <c r="G28" s="14" t="inlineStr">
        <is>
          <t>v2 §9.4</t>
        </is>
      </c>
    </row>
    <row r="29" ht="15" customHeight="1" s="40">
      <c r="A29" s="19" t="inlineStr">
        <is>
          <t>ON_BALANCE_LIABILITY</t>
        </is>
      </c>
      <c r="B29" s="19" t="inlineStr">
        <is>
          <t>ACCEPTANCE_DPU_OUTSTANDING</t>
        </is>
      </c>
      <c r="C29" s="19" t="inlineStr">
        <is>
          <t>Cr</t>
        </is>
      </c>
      <c r="D29" s="19" t="inlineStr">
        <is>
          <t>NET_IF_ELIGIBLE</t>
        </is>
      </c>
      <c r="E29" s="21" t="inlineStr">
        <is>
          <t>Acceptances &amp; DPU Outstanding</t>
        </is>
      </c>
      <c r="F29" s="21" t="inlineStr">
        <is>
          <t>THE accounting liability — not a contingent.</t>
        </is>
      </c>
      <c r="G29" s="19" t="inlineStr">
        <is>
          <t>v2 §3.7</t>
        </is>
      </c>
    </row>
    <row r="30" ht="15" customHeight="1" s="40">
      <c r="A30" s="19" t="inlineStr">
        <is>
          <t>ON_BALANCE_LIABILITY</t>
        </is>
      </c>
      <c r="B30" s="19" t="inlineStr">
        <is>
          <t>CONFIRMED_ACCEPTANCE_DPU_OUTSTANDING</t>
        </is>
      </c>
      <c r="C30" s="19" t="inlineStr">
        <is>
          <t>Cr</t>
        </is>
      </c>
      <c r="D30" s="19" t="inlineStr">
        <is>
          <t>NET_IF_ELIGIBLE</t>
        </is>
      </c>
      <c r="E30" s="21" t="inlineStr">
        <is>
          <t>Confirmed Acceptances &amp; DPU Outstanding</t>
        </is>
      </c>
      <c r="F30" s="21" t="inlineStr">
        <is>
          <t>Only where available_with = THIS_BANK.</t>
        </is>
      </c>
      <c r="G30" s="19" t="inlineStr">
        <is>
          <t>v2 §7.6</t>
        </is>
      </c>
    </row>
    <row r="31" ht="15" customHeight="1" s="40">
      <c r="A31" s="19" t="inlineStr">
        <is>
          <t>ON_BALANCE_LIABILITY</t>
        </is>
      </c>
      <c r="B31" s="19" t="inlineStr">
        <is>
          <t>LC_SETTLEMENT_PAYABLE</t>
        </is>
      </c>
      <c r="C31" s="19" t="inlineStr">
        <is>
          <t>Cr</t>
        </is>
      </c>
      <c r="D31" s="19" t="inlineStr">
        <is>
          <t>FIXED</t>
        </is>
      </c>
      <c r="E31" s="21" t="inlineStr">
        <is>
          <t>LC Settlement Payable</t>
        </is>
      </c>
      <c r="F31" s="21" t="inlineStr">
        <is>
          <t>Honoured but not yet paid out.</t>
        </is>
      </c>
      <c r="G31" s="19" t="inlineStr">
        <is>
          <t>v2 §3.5</t>
        </is>
      </c>
    </row>
    <row r="32" ht="15" customHeight="1" s="40">
      <c r="A32" s="19" t="inlineStr">
        <is>
          <t>ON_BALANCE_LIABILITY</t>
        </is>
      </c>
      <c r="B32" s="19" t="inlineStr">
        <is>
          <t>DUE_TO_REFINANCING_BANK</t>
        </is>
      </c>
      <c r="C32" s="19" t="inlineStr">
        <is>
          <t>Cr</t>
        </is>
      </c>
      <c r="D32" s="19" t="inlineStr">
        <is>
          <t>NET_IF_ELIGIBLE</t>
        </is>
      </c>
      <c r="E32" s="21" t="inlineStr">
        <is>
          <t>Due to Refinancing Bank — Buyer's Usance</t>
        </is>
      </c>
      <c r="F32" s="21" t="inlineStr">
        <is>
          <t>The interbank leg a single-IBL model hides.</t>
        </is>
      </c>
      <c r="G32" s="19" t="inlineStr">
        <is>
          <t>v2 §3.6</t>
        </is>
      </c>
    </row>
    <row r="33" ht="15" customHeight="1" s="40">
      <c r="A33" s="19" t="inlineStr">
        <is>
          <t>ON_BALANCE_LIABILITY</t>
        </is>
      </c>
      <c r="B33" s="19" t="inlineStr">
        <is>
          <t>LC_CASH_MARGIN_DEPOSIT</t>
        </is>
      </c>
      <c r="C33" s="19" t="inlineStr">
        <is>
          <t>Cr</t>
        </is>
      </c>
      <c r="D33" s="19" t="inlineStr">
        <is>
          <t>FIXED</t>
        </is>
      </c>
      <c r="E33" s="21" t="inlineStr">
        <is>
          <t>LC Cash Margin Deposit</t>
        </is>
      </c>
      <c r="F33" s="21" t="inlineStr">
        <is>
          <t>Reclassification within customer deposits when internally funded.</t>
        </is>
      </c>
      <c r="G33" s="19" t="inlineStr">
        <is>
          <t>v2 §3.1</t>
        </is>
      </c>
    </row>
    <row r="34" ht="15" customHeight="1" s="40">
      <c r="A34" s="19" t="inlineStr">
        <is>
          <t>ON_BALANCE_LIABILITY</t>
        </is>
      </c>
      <c r="B34" s="19" t="inlineStr">
        <is>
          <t>UNEARNED_COMMISSION_INCOME</t>
        </is>
      </c>
      <c r="C34" s="19" t="inlineStr">
        <is>
          <t>Cr</t>
        </is>
      </c>
      <c r="D34" s="19" t="inlineStr">
        <is>
          <t>FIXED</t>
        </is>
      </c>
      <c r="E34" s="21" t="inlineStr">
        <is>
          <t>Unearned Commission Income</t>
        </is>
      </c>
      <c r="F34" s="21" t="inlineStr">
        <is>
          <t>Subject to higher_of where ifrs_scope = IFRS9_FGC.</t>
        </is>
      </c>
      <c r="G34" s="19" t="inlineStr">
        <is>
          <t>v2 §9.2</t>
        </is>
      </c>
    </row>
    <row r="35" ht="15" customHeight="1" s="40">
      <c r="A35" s="19" t="inlineStr">
        <is>
          <t>ON_BALANCE_LIABILITY</t>
        </is>
      </c>
      <c r="B35" s="19" t="inlineStr">
        <is>
          <t>PROVISION_OFFBS</t>
        </is>
      </c>
      <c r="C35" s="19" t="inlineStr">
        <is>
          <t>Cr</t>
        </is>
      </c>
      <c r="D35" s="19" t="inlineStr">
        <is>
          <t>FIXED</t>
        </is>
      </c>
      <c r="E35" s="21" t="inlineStr">
        <is>
          <t>Provision for Off-BS Credit Exposures</t>
        </is>
      </c>
      <c r="F35" s="21" t="inlineStr">
        <is>
          <t>IFRS 9 loss allowance. NOT a contra to the memo pair.</t>
        </is>
      </c>
      <c r="G35" s="19" t="inlineStr">
        <is>
          <t>v2 §9.3</t>
        </is>
      </c>
    </row>
    <row r="36" ht="15" customHeight="1" s="40">
      <c r="A36" s="19" t="inlineStr">
        <is>
          <t>ON_BALANCE_LIABILITY</t>
        </is>
      </c>
      <c r="B36" s="19" t="inlineStr">
        <is>
          <t>CUSTOMER_CURRENT_ACCOUNT</t>
        </is>
      </c>
      <c r="C36" s="19" t="inlineStr">
        <is>
          <t>Cr</t>
        </is>
      </c>
      <c r="D36" s="19" t="inlineStr">
        <is>
          <t>BY_SIGN</t>
        </is>
      </c>
      <c r="E36" s="21" t="inlineStr">
        <is>
          <t>Customer Current Account</t>
        </is>
      </c>
      <c r="F36" s="23" t="n"/>
      <c r="G36" s="19" t="inlineStr">
        <is>
          <t>—</t>
        </is>
      </c>
    </row>
    <row r="37" ht="15" customHeight="1" s="40">
      <c r="A37" s="19" t="inlineStr">
        <is>
          <t>ON_BALANCE_LIABILITY</t>
        </is>
      </c>
      <c r="B37" s="19" t="inlineStr">
        <is>
          <t>BENEFICIARY_ACCOUNT</t>
        </is>
      </c>
      <c r="C37" s="19" t="inlineStr">
        <is>
          <t>Cr</t>
        </is>
      </c>
      <c r="D37" s="19" t="inlineStr">
        <is>
          <t>BY_SIGN</t>
        </is>
      </c>
      <c r="E37" s="21" t="inlineStr">
        <is>
          <t>Beneficiary Account</t>
        </is>
      </c>
      <c r="F37" s="23" t="n"/>
      <c r="G37" s="19" t="inlineStr">
        <is>
          <t>—</t>
        </is>
      </c>
    </row>
    <row r="38" ht="15" customHeight="1" s="40">
      <c r="A38" s="14" t="inlineStr">
        <is>
          <t>PROFIT_AND_LOSS</t>
        </is>
      </c>
      <c r="B38" s="14" t="inlineStr">
        <is>
          <t>FEE_COMMISSION_INCOME</t>
        </is>
      </c>
      <c r="C38" s="14" t="inlineStr">
        <is>
          <t>Cr</t>
        </is>
      </c>
      <c r="D38" s="14" t="inlineStr">
        <is>
          <t>FIXED</t>
        </is>
      </c>
      <c r="E38" s="15" t="inlineStr">
        <is>
          <t>Fee &amp; Commission Income</t>
        </is>
      </c>
      <c r="F38" s="20" t="n"/>
      <c r="G38" s="14" t="inlineStr">
        <is>
          <t>v2 §9.2</t>
        </is>
      </c>
    </row>
    <row r="39" ht="15" customHeight="1" s="40">
      <c r="A39" s="14" t="inlineStr">
        <is>
          <t>PROFIT_AND_LOSS</t>
        </is>
      </c>
      <c r="B39" s="14" t="inlineStr">
        <is>
          <t>INTEREST_INCOME</t>
        </is>
      </c>
      <c r="C39" s="14" t="inlineStr">
        <is>
          <t>Cr</t>
        </is>
      </c>
      <c r="D39" s="14" t="inlineStr">
        <is>
          <t>FIXED</t>
        </is>
      </c>
      <c r="E39" s="15" t="inlineStr">
        <is>
          <t>Interest Income</t>
        </is>
      </c>
      <c r="F39" s="15" t="inlineStr">
        <is>
          <t>Includes the UPAS spread on BU-B.</t>
        </is>
      </c>
      <c r="G39" s="14" t="inlineStr">
        <is>
          <t>v2 §3.6</t>
        </is>
      </c>
    </row>
    <row r="40" ht="15" customHeight="1" s="40">
      <c r="A40" s="14" t="inlineStr">
        <is>
          <t>PROFIT_AND_LOSS</t>
        </is>
      </c>
      <c r="B40" s="14" t="inlineStr">
        <is>
          <t>INTEREST_EXPENSE</t>
        </is>
      </c>
      <c r="C40" s="14" t="inlineStr">
        <is>
          <t>Dr</t>
        </is>
      </c>
      <c r="D40" s="14" t="inlineStr">
        <is>
          <t>FIXED</t>
        </is>
      </c>
      <c r="E40" s="15" t="inlineStr">
        <is>
          <t>Interest Expense — Refinancing Bank</t>
        </is>
      </c>
      <c r="F40" s="15" t="inlineStr">
        <is>
          <t>BU-B funding leg.</t>
        </is>
      </c>
      <c r="G40" s="14" t="inlineStr">
        <is>
          <t>v2 §3.6</t>
        </is>
      </c>
    </row>
    <row r="41" ht="15" customHeight="1" s="40">
      <c r="A41" s="14" t="inlineStr">
        <is>
          <t>PROFIT_AND_LOSS</t>
        </is>
      </c>
      <c r="B41" s="14" t="inlineStr">
        <is>
          <t>IMPAIRMENT_CHARGE_OFFBS</t>
        </is>
      </c>
      <c r="C41" s="14" t="inlineStr">
        <is>
          <t>Dr</t>
        </is>
      </c>
      <c r="D41" s="14" t="inlineStr">
        <is>
          <t>FIXED</t>
        </is>
      </c>
      <c r="E41" s="15" t="inlineStr">
        <is>
          <t>Impairment Charge — Off-BS Credit Exposures</t>
        </is>
      </c>
      <c r="F41" s="20" t="n"/>
      <c r="G41" s="14" t="inlineStr">
        <is>
          <t>v2 §9.3</t>
        </is>
      </c>
    </row>
    <row r="42" ht="15" customHeight="1" s="40">
      <c r="A42" s="28" t="inlineStr">
        <is>
          <t>MEMO_ONLY</t>
        </is>
      </c>
      <c r="B42" s="19" t="inlineStr">
        <is>
          <t>ACCEPTANCE_SHADOW_DR</t>
        </is>
      </c>
      <c r="C42" s="19" t="inlineStr">
        <is>
          <t>Dr</t>
        </is>
      </c>
      <c r="D42" s="19" t="inlineStr">
        <is>
          <t>FIXED</t>
        </is>
      </c>
      <c r="E42" s="21" t="inlineStr">
        <is>
          <t>Acceptance Shadow — Customers' Liability</t>
        </is>
      </c>
      <c r="F42" s="21" t="inlineStr">
        <is>
          <t>MIS only. NEVER feeds the financials (I6).</t>
        </is>
      </c>
      <c r="G42" s="19" t="inlineStr">
        <is>
          <t>v2 §3.7</t>
        </is>
      </c>
    </row>
    <row r="43" ht="15" customHeight="1" s="40">
      <c r="A43" s="28" t="inlineStr">
        <is>
          <t>MEMO_ONLY</t>
        </is>
      </c>
      <c r="B43" s="19" t="inlineStr">
        <is>
          <t>ACCEPTANCE_SHADOW_CR</t>
        </is>
      </c>
      <c r="C43" s="19" t="inlineStr">
        <is>
          <t>Cr</t>
        </is>
      </c>
      <c r="D43" s="19" t="inlineStr">
        <is>
          <t>FIXED</t>
        </is>
      </c>
      <c r="E43" s="21" t="inlineStr">
        <is>
          <t>Acceptance Shadow — Outstanding</t>
        </is>
      </c>
      <c r="F43" s="21" t="inlineStr">
        <is>
          <t>MIS only.</t>
        </is>
      </c>
      <c r="G43" s="19" t="inlineStr">
        <is>
          <t>v2 §3.7</t>
        </is>
      </c>
    </row>
    <row r="44" ht="15" customHeight="1" s="40">
      <c r="A44" s="28" t="inlineStr">
        <is>
          <t>MEMO_ONLY</t>
        </is>
      </c>
      <c r="B44" s="19" t="inlineStr">
        <is>
          <t>CONFIRMED_ACCEPTANCE_SHADOW_DR</t>
        </is>
      </c>
      <c r="C44" s="19" t="inlineStr">
        <is>
          <t>Dr</t>
        </is>
      </c>
      <c r="D44" s="19" t="inlineStr">
        <is>
          <t>FIXED</t>
        </is>
      </c>
      <c r="E44" s="21" t="inlineStr">
        <is>
          <t>Confirmed Acceptance Shadow — Exposure</t>
        </is>
      </c>
      <c r="F44" s="21" t="inlineStr">
        <is>
          <t>MIS only.</t>
        </is>
      </c>
      <c r="G44" s="19" t="inlineStr">
        <is>
          <t>v2 §7.6</t>
        </is>
      </c>
    </row>
    <row r="45" ht="15" customHeight="1" s="40">
      <c r="A45" s="28" t="inlineStr">
        <is>
          <t>MEMO_ONLY</t>
        </is>
      </c>
      <c r="B45" s="19" t="inlineStr">
        <is>
          <t>CONFIRMED_ACCEPTANCE_SHADOW_CR</t>
        </is>
      </c>
      <c r="C45" s="19" t="inlineStr">
        <is>
          <t>Cr</t>
        </is>
      </c>
      <c r="D45" s="19" t="inlineStr">
        <is>
          <t>FIXED</t>
        </is>
      </c>
      <c r="E45" s="21" t="inlineStr">
        <is>
          <t>Confirmed Acceptance Shadow — Outstanding</t>
        </is>
      </c>
      <c r="F45" s="21" t="inlineStr">
        <is>
          <t>MIS only.</t>
        </is>
      </c>
      <c r="G45" s="19" t="inlineStr">
        <is>
          <t>v2 §7.6</t>
        </is>
      </c>
    </row>
    <row r="46" ht="15" customHeight="1" s="40">
      <c r="A46" s="28" t="inlineStr">
        <is>
          <t>MEMO_ONLY</t>
        </is>
      </c>
      <c r="B46" s="19" t="inlineStr">
        <is>
          <t>DOCUMENT_UNDER_EXAMINATION</t>
        </is>
      </c>
      <c r="C46" s="19" t="inlineStr">
        <is>
          <t>Dr</t>
        </is>
      </c>
      <c r="D46" s="19" t="inlineStr">
        <is>
          <t>FIXED</t>
        </is>
      </c>
      <c r="E46" s="21" t="inlineStr">
        <is>
          <t>Bills under LC — Received, Under Examination</t>
        </is>
      </c>
      <c r="F46" s="21" t="inlineStr">
        <is>
          <t>Art. 16 clock visibility.</t>
        </is>
      </c>
      <c r="G46" s="19" t="inlineStr">
        <is>
          <t>v2 §3.4</t>
        </is>
      </c>
    </row>
    <row r="47" ht="15" customHeight="1" s="40">
      <c r="A47" s="28" t="inlineStr">
        <is>
          <t>MEMO_ONLY</t>
        </is>
      </c>
      <c r="B47" s="19" t="inlineStr">
        <is>
          <t>DOCUMENT_AT_PRESENTER_DISPOSAL</t>
        </is>
      </c>
      <c r="C47" s="19" t="inlineStr">
        <is>
          <t>Dr</t>
        </is>
      </c>
      <c r="D47" s="19" t="inlineStr">
        <is>
          <t>FIXED</t>
        </is>
      </c>
      <c r="E47" s="21" t="inlineStr">
        <is>
          <t>Bills Held at Presenter's Disposal</t>
        </is>
      </c>
      <c r="F47" s="21" t="inlineStr">
        <is>
          <t>Refused and held.</t>
        </is>
      </c>
      <c r="G47" s="19" t="inlineStr">
        <is>
          <t>v2 §3.4</t>
        </is>
      </c>
    </row>
    <row r="48" ht="15" customHeight="1" s="40">
      <c r="A48" s="28" t="inlineStr">
        <is>
          <t>MEMO_ONLY</t>
        </is>
      </c>
      <c r="B48" s="19" t="inlineStr">
        <is>
          <t>EXPORT_BILLS_UNDER_EXAMINATION</t>
        </is>
      </c>
      <c r="C48" s="19" t="inlineStr">
        <is>
          <t>Dr</t>
        </is>
      </c>
      <c r="D48" s="19" t="inlineStr">
        <is>
          <t>FIXED</t>
        </is>
      </c>
      <c r="E48" s="21" t="inlineStr">
        <is>
          <t>Export Bills — Received, Under Examination</t>
        </is>
      </c>
      <c r="F48" s="23" t="n"/>
      <c r="G48" s="19" t="inlineStr">
        <is>
          <t>v2 §7.3</t>
        </is>
      </c>
    </row>
    <row r="49" ht="15" customHeight="1" s="40">
      <c r="A49" s="14" t="inlineStr">
        <is>
          <t>CONTINGENT</t>
        </is>
      </c>
      <c r="B49" s="14" t="inlineStr">
        <is>
          <t>AWB_CUSTOMER_LIABILITY</t>
        </is>
      </c>
      <c r="C49" s="14" t="inlineStr">
        <is>
          <t>Dr</t>
        </is>
      </c>
      <c r="D49" s="14" t="inlineStr">
        <is>
          <t>FIXED</t>
        </is>
      </c>
      <c r="E49" s="15" t="inlineStr">
        <is>
          <t>Customers' Liability under Air Release Indemnities</t>
        </is>
      </c>
      <c r="F49" s="15" t="inlineStr">
        <is>
          <t>Air release is a separate product from an SG — no document of title to return.</t>
        </is>
      </c>
      <c r="G49" s="14" t="inlineStr">
        <is>
          <t>v2 §11</t>
        </is>
      </c>
    </row>
    <row r="50" ht="15" customHeight="1" s="40">
      <c r="A50" s="14" t="inlineStr">
        <is>
          <t>CONTINGENT</t>
        </is>
      </c>
      <c r="B50" s="14" t="inlineStr">
        <is>
          <t>AWB_OUTSTANDING</t>
        </is>
      </c>
      <c r="C50" s="14" t="inlineStr">
        <is>
          <t>Cr</t>
        </is>
      </c>
      <c r="D50" s="14" t="inlineStr">
        <is>
          <t>FIXED</t>
        </is>
      </c>
      <c r="E50" s="15" t="inlineStr">
        <is>
          <t>Air Release Indemnities Outstanding</t>
        </is>
      </c>
      <c r="F50" s="15" t="inlineStr">
        <is>
          <t>Discharges on AWB_DISCHARGE, never on SG_RELEASE.</t>
        </is>
      </c>
      <c r="G50" s="14" t="inlineStr">
        <is>
          <t>v2 §11</t>
        </is>
      </c>
    </row>
    <row r="51" ht="23.25" customHeight="1" s="40">
      <c r="A51" s="19" t="inlineStr">
        <is>
          <t>ON_BALANCE_ASSET</t>
        </is>
      </c>
      <c r="B51" s="19" t="inlineStr">
        <is>
          <t>ROUNDING_RESIDUAL</t>
        </is>
      </c>
      <c r="C51" s="19" t="inlineStr">
        <is>
          <t>Dr</t>
        </is>
      </c>
      <c r="D51" s="19" t="inlineStr">
        <is>
          <t>BY_SIGN</t>
        </is>
      </c>
      <c r="E51" s="21" t="inlineStr">
        <is>
          <t>Rounding Residual (designated leg)</t>
        </is>
      </c>
      <c r="F51" s="21" t="inlineStr">
        <is>
          <t>I21 — a non-zero residual is posted here IN THE SAME JOURNAL. Never dropped, never absorbed into the first or largest leg.</t>
        </is>
      </c>
      <c r="G51" s="19" t="inlineStr">
        <is>
          <t>spec §11</t>
        </is>
      </c>
    </row>
    <row r="52" ht="23.25" customHeight="1" s="40">
      <c r="A52" s="19" t="inlineStr">
        <is>
          <t>ON_BALANCE_ASSET</t>
        </is>
      </c>
      <c r="B52" s="19" t="inlineStr">
        <is>
          <t>FX_POSITION</t>
        </is>
      </c>
      <c r="C52" s="19" t="inlineStr">
        <is>
          <t>Dr</t>
        </is>
      </c>
      <c r="D52" s="19" t="inlineStr">
        <is>
          <t>BY_SIGN</t>
        </is>
      </c>
      <c r="E52" s="21" t="inlineStr">
        <is>
          <t>FX Position (clearing)</t>
        </is>
      </c>
      <c r="F52" s="21" t="inlineStr">
        <is>
          <t>Mandatory leg on cross-currency settlement (I14). The rate margin is FX_REVALUATION income.</t>
        </is>
      </c>
      <c r="G52" s="19" t="inlineStr">
        <is>
          <t>v2 §9.5</t>
        </is>
      </c>
    </row>
    <row r="53" ht="15" customHeight="1" s="40">
      <c r="A53" s="26" t="inlineStr">
        <is>
          <t>MEMO_ONLY</t>
        </is>
      </c>
      <c r="B53" s="14" t="inlineStr">
        <is>
          <t>DOCUMENT_UNDER_EXAMINATION_CONTRA</t>
        </is>
      </c>
      <c r="C53" s="14" t="inlineStr">
        <is>
          <t>Cr</t>
        </is>
      </c>
      <c r="D53" s="14" t="inlineStr">
        <is>
          <t>FIXED</t>
        </is>
      </c>
      <c r="E53" s="15" t="inlineStr">
        <is>
          <t>Bills under LC — Contra</t>
        </is>
      </c>
      <c r="F53" s="15" t="inlineStr">
        <is>
          <t>Pairs with DOCUMENT_UNDER_EXAMINATION (I1C).</t>
        </is>
      </c>
      <c r="G53" s="14" t="inlineStr">
        <is>
          <t>v2 §3.4</t>
        </is>
      </c>
    </row>
    <row r="54" ht="15" customHeight="1" s="40">
      <c r="A54" s="26" t="inlineStr">
        <is>
          <t>MEMO_ONLY</t>
        </is>
      </c>
      <c r="B54" s="14" t="inlineStr">
        <is>
          <t>EXPORT_BILLS_UNDER_EXAMINATION_CONTRA</t>
        </is>
      </c>
      <c r="C54" s="14" t="inlineStr">
        <is>
          <t>Cr</t>
        </is>
      </c>
      <c r="D54" s="14" t="inlineStr">
        <is>
          <t>FIXED</t>
        </is>
      </c>
      <c r="E54" s="15" t="inlineStr">
        <is>
          <t>Export Bills — Contra</t>
        </is>
      </c>
      <c r="F54" s="15" t="inlineStr">
        <is>
          <t>Pairs with EXPORT_BILLS_UNDER_EXAMINATION (I1C).</t>
        </is>
      </c>
      <c r="G54" s="14" t="inlineStr">
        <is>
          <t>v2 §7.3</t>
        </is>
      </c>
    </row>
    <row r="55" ht="15" customHeight="1" s="40">
      <c r="A55" s="19" t="inlineStr">
        <is>
          <t>PROFIT_AND_LOSS</t>
        </is>
      </c>
      <c r="B55" s="19" t="inlineStr">
        <is>
          <t>FX_REVALUATION</t>
        </is>
      </c>
      <c r="C55" s="19" t="inlineStr">
        <is>
          <t>Cr</t>
        </is>
      </c>
      <c r="D55" s="19" t="inlineStr">
        <is>
          <t>FIXED</t>
        </is>
      </c>
      <c r="E55" s="21" t="inlineStr">
        <is>
          <t>FX Revaluation / Position margin</t>
        </is>
      </c>
      <c r="F55" s="21" t="inlineStr">
        <is>
          <t>Natural side Cr (income). Nil on contingent pairs by construction.</t>
        </is>
      </c>
      <c r="G55" s="19" t="inlineStr">
        <is>
          <t>v2 §9.5</t>
        </is>
      </c>
    </row>
    <row r="56" ht="15.75" customHeight="1" s="40">
      <c r="A56" s="4" t="n"/>
      <c r="B56" s="4" t="n"/>
      <c r="C56" s="4" t="n"/>
      <c r="D56" s="4" t="n"/>
      <c r="E56" s="4" t="n"/>
      <c r="F56" s="4" t="n"/>
      <c r="G56" s="4" t="n"/>
    </row>
    <row r="57" ht="15.75" customHeight="1" s="40">
      <c r="A57" s="4" t="n"/>
      <c r="B57" s="4" t="n"/>
      <c r="C57" s="4" t="n"/>
      <c r="D57" s="4" t="n"/>
      <c r="E57" s="4" t="n"/>
      <c r="F57" s="4" t="n"/>
      <c r="G57" s="4" t="n"/>
    </row>
    <row r="58" ht="15.75" customHeight="1" s="40">
      <c r="A58" s="4" t="n"/>
      <c r="B58" s="4" t="n"/>
      <c r="C58" s="4" t="n"/>
      <c r="D58" s="4" t="n"/>
      <c r="E58" s="4" t="n"/>
      <c r="F58" s="4" t="n"/>
      <c r="G58" s="4" t="n"/>
    </row>
    <row r="59" ht="15.75" customHeight="1" s="40">
      <c r="A59" s="4" t="n"/>
      <c r="B59" s="4" t="n"/>
      <c r="C59" s="4" t="n"/>
      <c r="D59" s="4" t="n"/>
      <c r="E59" s="4" t="n"/>
      <c r="F59" s="4" t="n"/>
      <c r="G59" s="4" t="n"/>
    </row>
    <row r="60" ht="15.75" customHeight="1" s="40">
      <c r="A60" s="4" t="n"/>
      <c r="B60" s="4" t="n"/>
      <c r="C60" s="4" t="n"/>
      <c r="D60" s="4" t="n"/>
      <c r="E60" s="4" t="n"/>
      <c r="F60" s="4" t="n"/>
      <c r="G60" s="4" t="n"/>
    </row>
    <row r="61" ht="15.75" customHeight="1" s="40">
      <c r="A61" s="4" t="n"/>
      <c r="B61" s="4" t="n"/>
      <c r="C61" s="4" t="n"/>
      <c r="D61" s="4" t="n"/>
      <c r="E61" s="4" t="n"/>
      <c r="F61" s="4" t="n"/>
      <c r="G61" s="4" t="n"/>
    </row>
    <row r="62" ht="15.75" customHeight="1" s="40">
      <c r="A62" s="4" t="n"/>
      <c r="B62" s="4" t="n"/>
      <c r="C62" s="4" t="n"/>
      <c r="D62" s="4" t="n"/>
      <c r="E62" s="4" t="n"/>
      <c r="F62" s="4" t="n"/>
      <c r="G62" s="4" t="n"/>
    </row>
    <row r="63" ht="15.75" customHeight="1" s="40">
      <c r="A63" s="4" t="n"/>
      <c r="B63" s="4" t="n"/>
      <c r="C63" s="4" t="n"/>
      <c r="D63" s="4" t="n"/>
      <c r="E63" s="4" t="n"/>
      <c r="F63" s="4" t="n"/>
      <c r="G63" s="4" t="n"/>
    </row>
    <row r="64" ht="15.75" customHeight="1" s="40">
      <c r="A64" s="4" t="n"/>
      <c r="B64" s="4" t="n"/>
      <c r="C64" s="4" t="n"/>
      <c r="D64" s="4" t="n"/>
      <c r="E64" s="4" t="n"/>
      <c r="F64" s="4" t="n"/>
      <c r="G64" s="4" t="n"/>
    </row>
    <row r="65" ht="15.75" customHeight="1" s="40">
      <c r="A65" s="4" t="n"/>
      <c r="B65" s="4" t="n"/>
      <c r="C65" s="4" t="n"/>
      <c r="D65" s="4" t="n"/>
      <c r="E65" s="4" t="n"/>
      <c r="F65" s="4" t="n"/>
      <c r="G65" s="4" t="n"/>
    </row>
    <row r="66" ht="15.75" customHeight="1" s="40">
      <c r="A66" s="4" t="n"/>
      <c r="B66" s="4" t="n"/>
      <c r="C66" s="4" t="n"/>
      <c r="D66" s="4" t="n"/>
      <c r="E66" s="4" t="n"/>
      <c r="F66" s="4" t="n"/>
      <c r="G66" s="4" t="n"/>
    </row>
    <row r="67" ht="15.75" customHeight="1" s="40">
      <c r="A67" s="4" t="n"/>
      <c r="B67" s="4" t="n"/>
      <c r="C67" s="4" t="n"/>
      <c r="D67" s="4" t="n"/>
      <c r="E67" s="4" t="n"/>
      <c r="F67" s="4" t="n"/>
      <c r="G67" s="4" t="n"/>
    </row>
    <row r="68" ht="15.75" customHeight="1" s="40">
      <c r="A68" s="4" t="n"/>
      <c r="B68" s="4" t="n"/>
      <c r="C68" s="4" t="n"/>
      <c r="D68" s="4" t="n"/>
      <c r="E68" s="4" t="n"/>
      <c r="F68" s="4" t="n"/>
      <c r="G68" s="4" t="n"/>
    </row>
    <row r="69" ht="15.75" customHeight="1" s="40">
      <c r="A69" s="4" t="n"/>
      <c r="B69" s="4" t="n"/>
      <c r="C69" s="4" t="n"/>
      <c r="D69" s="4" t="n"/>
      <c r="E69" s="4" t="n"/>
      <c r="F69" s="4" t="n"/>
      <c r="G69" s="4" t="n"/>
    </row>
    <row r="70" ht="15.75" customHeight="1" s="40">
      <c r="A70" s="4" t="n"/>
      <c r="B70" s="4" t="n"/>
      <c r="C70" s="4" t="n"/>
      <c r="D70" s="4" t="n"/>
      <c r="E70" s="4" t="n"/>
      <c r="F70" s="4" t="n"/>
      <c r="G70" s="4" t="n"/>
    </row>
    <row r="71" ht="15.75" customHeight="1" s="40">
      <c r="A71" s="4" t="n"/>
      <c r="B71" s="4" t="n"/>
      <c r="C71" s="4" t="n"/>
      <c r="D71" s="4" t="n"/>
      <c r="E71" s="4" t="n"/>
      <c r="F71" s="4" t="n"/>
      <c r="G71" s="4" t="n"/>
    </row>
    <row r="72" ht="15.75" customHeight="1" s="40">
      <c r="A72" s="4" t="n"/>
      <c r="B72" s="4" t="n"/>
      <c r="C72" s="4" t="n"/>
      <c r="D72" s="4" t="n"/>
      <c r="E72" s="4" t="n"/>
      <c r="F72" s="4" t="n"/>
      <c r="G72" s="4" t="n"/>
    </row>
    <row r="73" ht="15.75" customHeight="1" s="40">
      <c r="A73" s="4" t="n"/>
      <c r="B73" s="4" t="n"/>
      <c r="C73" s="4" t="n"/>
      <c r="D73" s="4" t="n"/>
      <c r="E73" s="4" t="n"/>
      <c r="F73" s="4" t="n"/>
      <c r="G73" s="4" t="n"/>
    </row>
    <row r="74" ht="15.75" customHeight="1" s="40">
      <c r="A74" s="4" t="n"/>
      <c r="B74" s="4" t="n"/>
      <c r="C74" s="4" t="n"/>
      <c r="D74" s="4" t="n"/>
      <c r="E74" s="4" t="n"/>
      <c r="F74" s="4" t="n"/>
      <c r="G74" s="4" t="n"/>
    </row>
    <row r="75" ht="15.75" customHeight="1" s="40">
      <c r="A75" s="4" t="n"/>
      <c r="B75" s="4" t="n"/>
      <c r="C75" s="4" t="n"/>
      <c r="D75" s="4" t="n"/>
      <c r="E75" s="4" t="n"/>
      <c r="F75" s="4" t="n"/>
      <c r="G75" s="4" t="n"/>
    </row>
    <row r="76" ht="15.75" customHeight="1" s="40">
      <c r="A76" s="4" t="n"/>
      <c r="B76" s="4" t="n"/>
      <c r="C76" s="4" t="n"/>
      <c r="D76" s="4" t="n"/>
      <c r="E76" s="4" t="n"/>
      <c r="F76" s="4" t="n"/>
      <c r="G76" s="4" t="n"/>
    </row>
    <row r="77" ht="15.75" customHeight="1" s="40">
      <c r="A77" s="4" t="n"/>
      <c r="B77" s="4" t="n"/>
      <c r="C77" s="4" t="n"/>
      <c r="D77" s="4" t="n"/>
      <c r="E77" s="4" t="n"/>
      <c r="F77" s="4" t="n"/>
      <c r="G77" s="4" t="n"/>
    </row>
    <row r="78" ht="15.75" customHeight="1" s="40">
      <c r="A78" s="4" t="n"/>
      <c r="B78" s="4" t="n"/>
      <c r="C78" s="4" t="n"/>
      <c r="D78" s="4" t="n"/>
      <c r="E78" s="4" t="n"/>
      <c r="F78" s="4" t="n"/>
      <c r="G78" s="4" t="n"/>
    </row>
    <row r="79" ht="15.75" customHeight="1" s="40">
      <c r="A79" s="4" t="n"/>
      <c r="B79" s="4" t="n"/>
      <c r="C79" s="4" t="n"/>
      <c r="D79" s="4" t="n"/>
      <c r="E79" s="4" t="n"/>
      <c r="F79" s="4" t="n"/>
      <c r="G79" s="4" t="n"/>
    </row>
    <row r="80" ht="15.75" customHeight="1" s="40">
      <c r="A80" s="4" t="n"/>
      <c r="B80" s="4" t="n"/>
      <c r="C80" s="4" t="n"/>
      <c r="D80" s="4" t="n"/>
      <c r="E80" s="4" t="n"/>
      <c r="F80" s="4" t="n"/>
      <c r="G80" s="4" t="n"/>
    </row>
    <row r="81" ht="15.75" customHeight="1" s="40">
      <c r="A81" s="4" t="n"/>
      <c r="B81" s="4" t="n"/>
      <c r="C81" s="4" t="n"/>
      <c r="D81" s="4" t="n"/>
      <c r="E81" s="4" t="n"/>
      <c r="F81" s="4" t="n"/>
      <c r="G81" s="4" t="n"/>
    </row>
    <row r="82" ht="15.75" customHeight="1" s="40">
      <c r="A82" s="4" t="n"/>
      <c r="B82" s="4" t="n"/>
      <c r="C82" s="4" t="n"/>
      <c r="D82" s="4" t="n"/>
      <c r="E82" s="4" t="n"/>
      <c r="F82" s="4" t="n"/>
      <c r="G82" s="4" t="n"/>
    </row>
    <row r="83" ht="15.75" customHeight="1" s="40">
      <c r="A83" s="4" t="n"/>
      <c r="B83" s="4" t="n"/>
      <c r="C83" s="4" t="n"/>
      <c r="D83" s="4" t="n"/>
      <c r="E83" s="4" t="n"/>
      <c r="F83" s="4" t="n"/>
      <c r="G83" s="4" t="n"/>
    </row>
    <row r="84" ht="15.75" customHeight="1" s="40">
      <c r="A84" s="4" t="n"/>
      <c r="B84" s="4" t="n"/>
      <c r="C84" s="4" t="n"/>
      <c r="D84" s="4" t="n"/>
      <c r="E84" s="4" t="n"/>
      <c r="F84" s="4" t="n"/>
      <c r="G84" s="4" t="n"/>
    </row>
    <row r="85" ht="15.75" customHeight="1" s="40">
      <c r="A85" s="4" t="n"/>
      <c r="B85" s="4" t="n"/>
      <c r="C85" s="4" t="n"/>
      <c r="D85" s="4" t="n"/>
      <c r="E85" s="4" t="n"/>
      <c r="F85" s="4" t="n"/>
      <c r="G85" s="4" t="n"/>
    </row>
    <row r="86" ht="15.75" customHeight="1" s="40">
      <c r="A86" s="4" t="n"/>
      <c r="B86" s="4" t="n"/>
      <c r="C86" s="4" t="n"/>
      <c r="D86" s="4" t="n"/>
      <c r="E86" s="4" t="n"/>
      <c r="F86" s="4" t="n"/>
      <c r="G86" s="4" t="n"/>
    </row>
    <row r="87" ht="15.75" customHeight="1" s="40">
      <c r="A87" s="4" t="n"/>
      <c r="B87" s="4" t="n"/>
      <c r="C87" s="4" t="n"/>
      <c r="D87" s="4" t="n"/>
      <c r="E87" s="4" t="n"/>
      <c r="F87" s="4" t="n"/>
      <c r="G87" s="4" t="n"/>
    </row>
    <row r="88" ht="15.75" customHeight="1" s="40">
      <c r="A88" s="4" t="n"/>
      <c r="B88" s="4" t="n"/>
      <c r="C88" s="4" t="n"/>
      <c r="D88" s="4" t="n"/>
      <c r="E88" s="4" t="n"/>
      <c r="F88" s="4" t="n"/>
      <c r="G88" s="4" t="n"/>
    </row>
    <row r="89" ht="15.75" customHeight="1" s="40">
      <c r="A89" s="4" t="n"/>
      <c r="B89" s="4" t="n"/>
      <c r="C89" s="4" t="n"/>
      <c r="D89" s="4" t="n"/>
      <c r="E89" s="4" t="n"/>
      <c r="F89" s="4" t="n"/>
      <c r="G89" s="4" t="n"/>
    </row>
    <row r="90" ht="15.75" customHeight="1" s="40">
      <c r="A90" s="4" t="n"/>
      <c r="B90" s="4" t="n"/>
      <c r="C90" s="4" t="n"/>
      <c r="D90" s="4" t="n"/>
      <c r="E90" s="4" t="n"/>
      <c r="F90" s="4" t="n"/>
      <c r="G90" s="4" t="n"/>
    </row>
    <row r="91" ht="15.75" customHeight="1" s="40">
      <c r="A91" s="4" t="n"/>
      <c r="B91" s="4" t="n"/>
      <c r="C91" s="4" t="n"/>
      <c r="D91" s="4" t="n"/>
      <c r="E91" s="4" t="n"/>
      <c r="F91" s="4" t="n"/>
      <c r="G91" s="4" t="n"/>
    </row>
    <row r="92" ht="15.75" customHeight="1" s="40">
      <c r="A92" s="4" t="n"/>
      <c r="B92" s="4" t="n"/>
      <c r="C92" s="4" t="n"/>
      <c r="D92" s="4" t="n"/>
      <c r="E92" s="4" t="n"/>
      <c r="F92" s="4" t="n"/>
      <c r="G92" s="4" t="n"/>
    </row>
    <row r="93" ht="15.75" customHeight="1" s="40">
      <c r="A93" s="4" t="n"/>
      <c r="B93" s="4" t="n"/>
      <c r="C93" s="4" t="n"/>
      <c r="D93" s="4" t="n"/>
      <c r="E93" s="4" t="n"/>
      <c r="F93" s="4" t="n"/>
      <c r="G93" s="4" t="n"/>
    </row>
    <row r="94" ht="15.75" customHeight="1" s="40">
      <c r="A94" s="4" t="n"/>
      <c r="B94" s="4" t="n"/>
      <c r="C94" s="4" t="n"/>
      <c r="D94" s="4" t="n"/>
      <c r="E94" s="4" t="n"/>
      <c r="F94" s="4" t="n"/>
      <c r="G94" s="4" t="n"/>
    </row>
    <row r="95" ht="15.75" customHeight="1" s="40">
      <c r="A95" s="4" t="n"/>
      <c r="B95" s="4" t="n"/>
      <c r="C95" s="4" t="n"/>
      <c r="D95" s="4" t="n"/>
      <c r="E95" s="4" t="n"/>
      <c r="F95" s="4" t="n"/>
      <c r="G95" s="4" t="n"/>
    </row>
    <row r="96" ht="15.75" customHeight="1" s="40">
      <c r="A96" s="4" t="n"/>
      <c r="B96" s="4" t="n"/>
      <c r="C96" s="4" t="n"/>
      <c r="D96" s="4" t="n"/>
      <c r="E96" s="4" t="n"/>
      <c r="F96" s="4" t="n"/>
      <c r="G96" s="4" t="n"/>
    </row>
    <row r="97" ht="15.75" customHeight="1" s="40">
      <c r="A97" s="4" t="n"/>
      <c r="B97" s="4" t="n"/>
      <c r="C97" s="4" t="n"/>
      <c r="D97" s="4" t="n"/>
      <c r="E97" s="4" t="n"/>
      <c r="F97" s="4" t="n"/>
      <c r="G97" s="4" t="n"/>
    </row>
    <row r="98" ht="15.75" customHeight="1" s="40">
      <c r="A98" s="4" t="n"/>
      <c r="B98" s="4" t="n"/>
      <c r="C98" s="4" t="n"/>
      <c r="D98" s="4" t="n"/>
      <c r="E98" s="4" t="n"/>
      <c r="F98" s="4" t="n"/>
      <c r="G98" s="4" t="n"/>
    </row>
    <row r="99" ht="15.75" customHeight="1" s="40">
      <c r="A99" s="4" t="n"/>
      <c r="B99" s="4" t="n"/>
      <c r="C99" s="4" t="n"/>
      <c r="D99" s="4" t="n"/>
      <c r="E99" s="4" t="n"/>
      <c r="F99" s="4" t="n"/>
      <c r="G99" s="4" t="n"/>
    </row>
    <row r="100" ht="15.75" customHeight="1" s="40">
      <c r="A100" s="4" t="n"/>
      <c r="B100" s="4" t="n"/>
      <c r="C100" s="4" t="n"/>
      <c r="D100" s="4" t="n"/>
      <c r="E100" s="4" t="n"/>
      <c r="F100" s="4" t="n"/>
      <c r="G100" s="4" t="n"/>
    </row>
    <row r="101" ht="15.75" customHeight="1" s="40">
      <c r="A101" s="4" t="n"/>
      <c r="B101" s="4" t="n"/>
      <c r="C101" s="4" t="n"/>
      <c r="D101" s="4" t="n"/>
      <c r="E101" s="4" t="n"/>
      <c r="F101" s="4" t="n"/>
      <c r="G101" s="4" t="n"/>
    </row>
    <row r="102" ht="15.75" customHeight="1" s="40">
      <c r="A102" s="4" t="n"/>
      <c r="B102" s="4" t="n"/>
      <c r="C102" s="4" t="n"/>
      <c r="D102" s="4" t="n"/>
      <c r="E102" s="4" t="n"/>
      <c r="F102" s="4" t="n"/>
      <c r="G102" s="4" t="n"/>
    </row>
    <row r="103" ht="15.75" customHeight="1" s="40">
      <c r="A103" s="4" t="n"/>
      <c r="B103" s="4" t="n"/>
      <c r="C103" s="4" t="n"/>
      <c r="D103" s="4" t="n"/>
      <c r="E103" s="4" t="n"/>
      <c r="F103" s="4" t="n"/>
      <c r="G103" s="4" t="n"/>
    </row>
    <row r="104" ht="15.75" customHeight="1" s="40">
      <c r="A104" s="4" t="n"/>
      <c r="B104" s="4" t="n"/>
      <c r="C104" s="4" t="n"/>
      <c r="D104" s="4" t="n"/>
      <c r="E104" s="4" t="n"/>
      <c r="F104" s="4" t="n"/>
      <c r="G104" s="4" t="n"/>
    </row>
    <row r="105" ht="15.75" customHeight="1" s="40">
      <c r="A105" s="4" t="n"/>
      <c r="B105" s="4" t="n"/>
      <c r="C105" s="4" t="n"/>
      <c r="D105" s="4" t="n"/>
      <c r="E105" s="4" t="n"/>
      <c r="F105" s="4" t="n"/>
      <c r="G105" s="4" t="n"/>
    </row>
    <row r="106" ht="15.75" customHeight="1" s="40">
      <c r="A106" s="4" t="n"/>
      <c r="B106" s="4" t="n"/>
      <c r="C106" s="4" t="n"/>
      <c r="D106" s="4" t="n"/>
      <c r="E106" s="4" t="n"/>
      <c r="F106" s="4" t="n"/>
      <c r="G106" s="4" t="n"/>
    </row>
    <row r="107" ht="15.75" customHeight="1" s="40">
      <c r="A107" s="4" t="n"/>
      <c r="B107" s="4" t="n"/>
      <c r="C107" s="4" t="n"/>
      <c r="D107" s="4" t="n"/>
      <c r="E107" s="4" t="n"/>
      <c r="F107" s="4" t="n"/>
      <c r="G107" s="4" t="n"/>
    </row>
    <row r="108" ht="15.75" customHeight="1" s="40">
      <c r="A108" s="4" t="n"/>
      <c r="B108" s="4" t="n"/>
      <c r="C108" s="4" t="n"/>
      <c r="D108" s="4" t="n"/>
      <c r="E108" s="4" t="n"/>
      <c r="F108" s="4" t="n"/>
      <c r="G108" s="4" t="n"/>
    </row>
    <row r="109" ht="15.75" customHeight="1" s="40">
      <c r="A109" s="4" t="n"/>
      <c r="B109" s="4" t="n"/>
      <c r="C109" s="4" t="n"/>
      <c r="D109" s="4" t="n"/>
      <c r="E109" s="4" t="n"/>
      <c r="F109" s="4" t="n"/>
      <c r="G109" s="4" t="n"/>
    </row>
    <row r="110" ht="15.75" customHeight="1" s="40">
      <c r="A110" s="4" t="n"/>
      <c r="B110" s="4" t="n"/>
      <c r="C110" s="4" t="n"/>
      <c r="D110" s="4" t="n"/>
      <c r="E110" s="4" t="n"/>
      <c r="F110" s="4" t="n"/>
      <c r="G110" s="4" t="n"/>
    </row>
    <row r="111" ht="15.75" customHeight="1" s="40">
      <c r="A111" s="4" t="n"/>
      <c r="B111" s="4" t="n"/>
      <c r="C111" s="4" t="n"/>
      <c r="D111" s="4" t="n"/>
      <c r="E111" s="4" t="n"/>
      <c r="F111" s="4" t="n"/>
      <c r="G111" s="4" t="n"/>
    </row>
    <row r="112" ht="15.75" customHeight="1" s="40">
      <c r="A112" s="4" t="n"/>
      <c r="B112" s="4" t="n"/>
      <c r="C112" s="4" t="n"/>
      <c r="D112" s="4" t="n"/>
      <c r="E112" s="4" t="n"/>
      <c r="F112" s="4" t="n"/>
      <c r="G112" s="4" t="n"/>
    </row>
    <row r="113" ht="15.75" customHeight="1" s="40">
      <c r="A113" s="4" t="n"/>
      <c r="B113" s="4" t="n"/>
      <c r="C113" s="4" t="n"/>
      <c r="D113" s="4" t="n"/>
      <c r="E113" s="4" t="n"/>
      <c r="F113" s="4" t="n"/>
      <c r="G113" s="4" t="n"/>
    </row>
    <row r="114" ht="15.75" customHeight="1" s="40">
      <c r="A114" s="4" t="n"/>
      <c r="B114" s="4" t="n"/>
      <c r="C114" s="4" t="n"/>
      <c r="D114" s="4" t="n"/>
      <c r="E114" s="4" t="n"/>
      <c r="F114" s="4" t="n"/>
      <c r="G114" s="4" t="n"/>
    </row>
    <row r="115" ht="15.75" customHeight="1" s="40">
      <c r="A115" s="4" t="n"/>
      <c r="B115" s="4" t="n"/>
      <c r="C115" s="4" t="n"/>
      <c r="D115" s="4" t="n"/>
      <c r="E115" s="4" t="n"/>
      <c r="F115" s="4" t="n"/>
      <c r="G115" s="4" t="n"/>
    </row>
    <row r="116" ht="15.75" customHeight="1" s="40">
      <c r="A116" s="4" t="n"/>
      <c r="B116" s="4" t="n"/>
      <c r="C116" s="4" t="n"/>
      <c r="D116" s="4" t="n"/>
      <c r="E116" s="4" t="n"/>
      <c r="F116" s="4" t="n"/>
      <c r="G116" s="4" t="n"/>
    </row>
    <row r="117" ht="15.75" customHeight="1" s="40">
      <c r="A117" s="4" t="n"/>
      <c r="B117" s="4" t="n"/>
      <c r="C117" s="4" t="n"/>
      <c r="D117" s="4" t="n"/>
      <c r="E117" s="4" t="n"/>
      <c r="F117" s="4" t="n"/>
      <c r="G117" s="4" t="n"/>
    </row>
    <row r="118" ht="15.75" customHeight="1" s="40">
      <c r="A118" s="4" t="n"/>
      <c r="B118" s="4" t="n"/>
      <c r="C118" s="4" t="n"/>
      <c r="D118" s="4" t="n"/>
      <c r="E118" s="4" t="n"/>
      <c r="F118" s="4" t="n"/>
      <c r="G118" s="4" t="n"/>
    </row>
    <row r="119" ht="15.75" customHeight="1" s="40">
      <c r="A119" s="4" t="n"/>
      <c r="B119" s="4" t="n"/>
      <c r="C119" s="4" t="n"/>
      <c r="D119" s="4" t="n"/>
      <c r="E119" s="4" t="n"/>
      <c r="F119" s="4" t="n"/>
      <c r="G119" s="4" t="n"/>
    </row>
    <row r="120" ht="15.75" customHeight="1" s="40">
      <c r="A120" s="4" t="n"/>
      <c r="B120" s="4" t="n"/>
      <c r="C120" s="4" t="n"/>
      <c r="D120" s="4" t="n"/>
      <c r="E120" s="4" t="n"/>
      <c r="F120" s="4" t="n"/>
      <c r="G120" s="4" t="n"/>
    </row>
    <row r="121" ht="15.75" customHeight="1" s="40">
      <c r="A121" s="4" t="n"/>
      <c r="B121" s="4" t="n"/>
      <c r="C121" s="4" t="n"/>
      <c r="D121" s="4" t="n"/>
      <c r="E121" s="4" t="n"/>
      <c r="F121" s="4" t="n"/>
      <c r="G121" s="4" t="n"/>
    </row>
    <row r="122" ht="15.75" customHeight="1" s="40">
      <c r="A122" s="4" t="n"/>
      <c r="B122" s="4" t="n"/>
      <c r="C122" s="4" t="n"/>
      <c r="D122" s="4" t="n"/>
      <c r="E122" s="4" t="n"/>
      <c r="F122" s="4" t="n"/>
      <c r="G122" s="4" t="n"/>
    </row>
    <row r="123" ht="15.75" customHeight="1" s="40">
      <c r="A123" s="4" t="n"/>
      <c r="B123" s="4" t="n"/>
      <c r="C123" s="4" t="n"/>
      <c r="D123" s="4" t="n"/>
      <c r="E123" s="4" t="n"/>
      <c r="F123" s="4" t="n"/>
      <c r="G123" s="4" t="n"/>
    </row>
    <row r="124" ht="15.75" customHeight="1" s="40">
      <c r="A124" s="4" t="n"/>
      <c r="B124" s="4" t="n"/>
      <c r="C124" s="4" t="n"/>
      <c r="D124" s="4" t="n"/>
      <c r="E124" s="4" t="n"/>
      <c r="F124" s="4" t="n"/>
      <c r="G124" s="4" t="n"/>
    </row>
    <row r="125" ht="15.75" customHeight="1" s="40">
      <c r="A125" s="4" t="n"/>
      <c r="B125" s="4" t="n"/>
      <c r="C125" s="4" t="n"/>
      <c r="D125" s="4" t="n"/>
      <c r="E125" s="4" t="n"/>
      <c r="F125" s="4" t="n"/>
      <c r="G125" s="4" t="n"/>
    </row>
    <row r="126" ht="15.75" customHeight="1" s="40">
      <c r="A126" s="4" t="n"/>
      <c r="B126" s="4" t="n"/>
      <c r="C126" s="4" t="n"/>
      <c r="D126" s="4" t="n"/>
      <c r="E126" s="4" t="n"/>
      <c r="F126" s="4" t="n"/>
      <c r="G126" s="4" t="n"/>
    </row>
    <row r="127" ht="15.75" customHeight="1" s="40">
      <c r="A127" s="4" t="n"/>
      <c r="B127" s="4" t="n"/>
      <c r="C127" s="4" t="n"/>
      <c r="D127" s="4" t="n"/>
      <c r="E127" s="4" t="n"/>
      <c r="F127" s="4" t="n"/>
      <c r="G127" s="4" t="n"/>
    </row>
    <row r="128" ht="15.75" customHeight="1" s="40">
      <c r="A128" s="4" t="n"/>
      <c r="B128" s="4" t="n"/>
      <c r="C128" s="4" t="n"/>
      <c r="D128" s="4" t="n"/>
      <c r="E128" s="4" t="n"/>
      <c r="F128" s="4" t="n"/>
      <c r="G128" s="4" t="n"/>
    </row>
    <row r="129" ht="15.75" customHeight="1" s="40">
      <c r="A129" s="4" t="n"/>
      <c r="B129" s="4" t="n"/>
      <c r="C129" s="4" t="n"/>
      <c r="D129" s="4" t="n"/>
      <c r="E129" s="4" t="n"/>
      <c r="F129" s="4" t="n"/>
      <c r="G129" s="4" t="n"/>
    </row>
    <row r="130" ht="15.75" customHeight="1" s="40">
      <c r="A130" s="4" t="n"/>
      <c r="B130" s="4" t="n"/>
      <c r="C130" s="4" t="n"/>
      <c r="D130" s="4" t="n"/>
      <c r="E130" s="4" t="n"/>
      <c r="F130" s="4" t="n"/>
      <c r="G130" s="4" t="n"/>
    </row>
    <row r="131" ht="15.75" customHeight="1" s="40">
      <c r="A131" s="4" t="n"/>
      <c r="B131" s="4" t="n"/>
      <c r="C131" s="4" t="n"/>
      <c r="D131" s="4" t="n"/>
      <c r="E131" s="4" t="n"/>
      <c r="F131" s="4" t="n"/>
      <c r="G131" s="4" t="n"/>
    </row>
    <row r="132" ht="15.75" customHeight="1" s="40">
      <c r="A132" s="4" t="n"/>
      <c r="B132" s="4" t="n"/>
      <c r="C132" s="4" t="n"/>
      <c r="D132" s="4" t="n"/>
      <c r="E132" s="4" t="n"/>
      <c r="F132" s="4" t="n"/>
      <c r="G132" s="4" t="n"/>
    </row>
    <row r="133" ht="15.75" customHeight="1" s="40">
      <c r="A133" s="4" t="n"/>
      <c r="B133" s="4" t="n"/>
      <c r="C133" s="4" t="n"/>
      <c r="D133" s="4" t="n"/>
      <c r="E133" s="4" t="n"/>
      <c r="F133" s="4" t="n"/>
      <c r="G133" s="4" t="n"/>
    </row>
    <row r="134" ht="15.75" customHeight="1" s="40">
      <c r="A134" s="4" t="n"/>
      <c r="B134" s="4" t="n"/>
      <c r="C134" s="4" t="n"/>
      <c r="D134" s="4" t="n"/>
      <c r="E134" s="4" t="n"/>
      <c r="F134" s="4" t="n"/>
      <c r="G134" s="4" t="n"/>
    </row>
    <row r="135" ht="15.75" customHeight="1" s="40">
      <c r="A135" s="4" t="n"/>
      <c r="B135" s="4" t="n"/>
      <c r="C135" s="4" t="n"/>
      <c r="D135" s="4" t="n"/>
      <c r="E135" s="4" t="n"/>
      <c r="F135" s="4" t="n"/>
      <c r="G135" s="4" t="n"/>
    </row>
    <row r="136" ht="15.75" customHeight="1" s="40">
      <c r="A136" s="4" t="n"/>
      <c r="B136" s="4" t="n"/>
      <c r="C136" s="4" t="n"/>
      <c r="D136" s="4" t="n"/>
      <c r="E136" s="4" t="n"/>
      <c r="F136" s="4" t="n"/>
      <c r="G136" s="4" t="n"/>
    </row>
    <row r="137" ht="15.75" customHeight="1" s="40">
      <c r="A137" s="4" t="n"/>
      <c r="B137" s="4" t="n"/>
      <c r="C137" s="4" t="n"/>
      <c r="D137" s="4" t="n"/>
      <c r="E137" s="4" t="n"/>
      <c r="F137" s="4" t="n"/>
      <c r="G137" s="4" t="n"/>
    </row>
    <row r="138" ht="15.75" customHeight="1" s="40">
      <c r="A138" s="4" t="n"/>
      <c r="B138" s="4" t="n"/>
      <c r="C138" s="4" t="n"/>
      <c r="D138" s="4" t="n"/>
      <c r="E138" s="4" t="n"/>
      <c r="F138" s="4" t="n"/>
      <c r="G138" s="4" t="n"/>
    </row>
    <row r="139" ht="15.75" customHeight="1" s="40">
      <c r="A139" s="4" t="n"/>
      <c r="B139" s="4" t="n"/>
      <c r="C139" s="4" t="n"/>
      <c r="D139" s="4" t="n"/>
      <c r="E139" s="4" t="n"/>
      <c r="F139" s="4" t="n"/>
      <c r="G139" s="4" t="n"/>
    </row>
    <row r="140" ht="15.75" customHeight="1" s="40">
      <c r="A140" s="4" t="n"/>
      <c r="B140" s="4" t="n"/>
      <c r="C140" s="4" t="n"/>
      <c r="D140" s="4" t="n"/>
      <c r="E140" s="4" t="n"/>
      <c r="F140" s="4" t="n"/>
      <c r="G140" s="4" t="n"/>
    </row>
    <row r="141" ht="15.75" customHeight="1" s="40">
      <c r="A141" s="4" t="n"/>
      <c r="B141" s="4" t="n"/>
      <c r="C141" s="4" t="n"/>
      <c r="D141" s="4" t="n"/>
      <c r="E141" s="4" t="n"/>
      <c r="F141" s="4" t="n"/>
      <c r="G141" s="4" t="n"/>
    </row>
    <row r="142" ht="15.75" customHeight="1" s="40">
      <c r="A142" s="4" t="n"/>
      <c r="B142" s="4" t="n"/>
      <c r="C142" s="4" t="n"/>
      <c r="D142" s="4" t="n"/>
      <c r="E142" s="4" t="n"/>
      <c r="F142" s="4" t="n"/>
      <c r="G142" s="4" t="n"/>
    </row>
    <row r="143" ht="15.75" customHeight="1" s="40">
      <c r="A143" s="4" t="n"/>
      <c r="B143" s="4" t="n"/>
      <c r="C143" s="4" t="n"/>
      <c r="D143" s="4" t="n"/>
      <c r="E143" s="4" t="n"/>
      <c r="F143" s="4" t="n"/>
      <c r="G143" s="4" t="n"/>
    </row>
    <row r="144" ht="15.75" customHeight="1" s="40">
      <c r="A144" s="4" t="n"/>
      <c r="B144" s="4" t="n"/>
      <c r="C144" s="4" t="n"/>
      <c r="D144" s="4" t="n"/>
      <c r="E144" s="4" t="n"/>
      <c r="F144" s="4" t="n"/>
      <c r="G144" s="4" t="n"/>
    </row>
    <row r="145" ht="15.75" customHeight="1" s="40">
      <c r="A145" s="4" t="n"/>
      <c r="B145" s="4" t="n"/>
      <c r="C145" s="4" t="n"/>
      <c r="D145" s="4" t="n"/>
      <c r="E145" s="4" t="n"/>
      <c r="F145" s="4" t="n"/>
      <c r="G145" s="4" t="n"/>
    </row>
    <row r="146" ht="15.75" customHeight="1" s="40">
      <c r="A146" s="4" t="n"/>
      <c r="B146" s="4" t="n"/>
      <c r="C146" s="4" t="n"/>
      <c r="D146" s="4" t="n"/>
      <c r="E146" s="4" t="n"/>
      <c r="F146" s="4" t="n"/>
      <c r="G146" s="4" t="n"/>
    </row>
    <row r="147" ht="15.75" customHeight="1" s="40">
      <c r="A147" s="4" t="n"/>
      <c r="B147" s="4" t="n"/>
      <c r="C147" s="4" t="n"/>
      <c r="D147" s="4" t="n"/>
      <c r="E147" s="4" t="n"/>
      <c r="F147" s="4" t="n"/>
      <c r="G147" s="4" t="n"/>
    </row>
    <row r="148" ht="15.75" customHeight="1" s="40">
      <c r="A148" s="4" t="n"/>
      <c r="B148" s="4" t="n"/>
      <c r="C148" s="4" t="n"/>
      <c r="D148" s="4" t="n"/>
      <c r="E148" s="4" t="n"/>
      <c r="F148" s="4" t="n"/>
      <c r="G148" s="4" t="n"/>
    </row>
    <row r="149" ht="15.75" customHeight="1" s="40">
      <c r="A149" s="4" t="n"/>
      <c r="B149" s="4" t="n"/>
      <c r="C149" s="4" t="n"/>
      <c r="D149" s="4" t="n"/>
      <c r="E149" s="4" t="n"/>
      <c r="F149" s="4" t="n"/>
      <c r="G149" s="4" t="n"/>
    </row>
    <row r="150" ht="15.75" customHeight="1" s="40">
      <c r="A150" s="4" t="n"/>
      <c r="B150" s="4" t="n"/>
      <c r="C150" s="4" t="n"/>
      <c r="D150" s="4" t="n"/>
      <c r="E150" s="4" t="n"/>
      <c r="F150" s="4" t="n"/>
      <c r="G150" s="4" t="n"/>
    </row>
    <row r="151" ht="15.75" customHeight="1" s="40">
      <c r="A151" s="4" t="n"/>
      <c r="B151" s="4" t="n"/>
      <c r="C151" s="4" t="n"/>
      <c r="D151" s="4" t="n"/>
      <c r="E151" s="4" t="n"/>
      <c r="F151" s="4" t="n"/>
      <c r="G151" s="4" t="n"/>
    </row>
    <row r="152" ht="15.75" customHeight="1" s="40">
      <c r="A152" s="4" t="n"/>
      <c r="B152" s="4" t="n"/>
      <c r="C152" s="4" t="n"/>
      <c r="D152" s="4" t="n"/>
      <c r="E152" s="4" t="n"/>
      <c r="F152" s="4" t="n"/>
      <c r="G152" s="4" t="n"/>
    </row>
    <row r="153" ht="15.75" customHeight="1" s="40">
      <c r="A153" s="4" t="n"/>
      <c r="B153" s="4" t="n"/>
      <c r="C153" s="4" t="n"/>
      <c r="D153" s="4" t="n"/>
      <c r="E153" s="4" t="n"/>
      <c r="F153" s="4" t="n"/>
      <c r="G153" s="4" t="n"/>
    </row>
    <row r="154" ht="15.75" customHeight="1" s="40">
      <c r="A154" s="4" t="n"/>
      <c r="B154" s="4" t="n"/>
      <c r="C154" s="4" t="n"/>
      <c r="D154" s="4" t="n"/>
      <c r="E154" s="4" t="n"/>
      <c r="F154" s="4" t="n"/>
      <c r="G154" s="4" t="n"/>
    </row>
    <row r="155" ht="15.75" customHeight="1" s="40">
      <c r="A155" s="4" t="n"/>
      <c r="B155" s="4" t="n"/>
      <c r="C155" s="4" t="n"/>
      <c r="D155" s="4" t="n"/>
      <c r="E155" s="4" t="n"/>
      <c r="F155" s="4" t="n"/>
      <c r="G155" s="4" t="n"/>
    </row>
    <row r="156" ht="15.75" customHeight="1" s="40">
      <c r="A156" s="4" t="n"/>
      <c r="B156" s="4" t="n"/>
      <c r="C156" s="4" t="n"/>
      <c r="D156" s="4" t="n"/>
      <c r="E156" s="4" t="n"/>
      <c r="F156" s="4" t="n"/>
      <c r="G156" s="4" t="n"/>
    </row>
    <row r="157" ht="15.75" customHeight="1" s="40">
      <c r="A157" s="4" t="n"/>
      <c r="B157" s="4" t="n"/>
      <c r="C157" s="4" t="n"/>
      <c r="D157" s="4" t="n"/>
      <c r="E157" s="4" t="n"/>
      <c r="F157" s="4" t="n"/>
      <c r="G157" s="4" t="n"/>
    </row>
    <row r="158" ht="15.75" customHeight="1" s="40">
      <c r="A158" s="4" t="n"/>
      <c r="B158" s="4" t="n"/>
      <c r="C158" s="4" t="n"/>
      <c r="D158" s="4" t="n"/>
      <c r="E158" s="4" t="n"/>
      <c r="F158" s="4" t="n"/>
      <c r="G158" s="4" t="n"/>
    </row>
    <row r="159" ht="15.75" customHeight="1" s="40">
      <c r="A159" s="4" t="n"/>
      <c r="B159" s="4" t="n"/>
      <c r="C159" s="4" t="n"/>
      <c r="D159" s="4" t="n"/>
      <c r="E159" s="4" t="n"/>
      <c r="F159" s="4" t="n"/>
      <c r="G159" s="4" t="n"/>
    </row>
    <row r="160" ht="15.75" customHeight="1" s="40">
      <c r="A160" s="4" t="n"/>
      <c r="B160" s="4" t="n"/>
      <c r="C160" s="4" t="n"/>
      <c r="D160" s="4" t="n"/>
      <c r="E160" s="4" t="n"/>
      <c r="F160" s="4" t="n"/>
      <c r="G160" s="4" t="n"/>
    </row>
    <row r="161" ht="15.75" customHeight="1" s="40">
      <c r="A161" s="4" t="n"/>
      <c r="B161" s="4" t="n"/>
      <c r="C161" s="4" t="n"/>
      <c r="D161" s="4" t="n"/>
      <c r="E161" s="4" t="n"/>
      <c r="F161" s="4" t="n"/>
      <c r="G161" s="4" t="n"/>
    </row>
    <row r="162" ht="15.75" customHeight="1" s="40">
      <c r="A162" s="4" t="n"/>
      <c r="B162" s="4" t="n"/>
      <c r="C162" s="4" t="n"/>
      <c r="D162" s="4" t="n"/>
      <c r="E162" s="4" t="n"/>
      <c r="F162" s="4" t="n"/>
      <c r="G162" s="4" t="n"/>
    </row>
    <row r="163" ht="15.75" customHeight="1" s="40">
      <c r="A163" s="4" t="n"/>
      <c r="B163" s="4" t="n"/>
      <c r="C163" s="4" t="n"/>
      <c r="D163" s="4" t="n"/>
      <c r="E163" s="4" t="n"/>
      <c r="F163" s="4" t="n"/>
      <c r="G163" s="4" t="n"/>
    </row>
    <row r="164" ht="15.75" customHeight="1" s="40">
      <c r="A164" s="4" t="n"/>
      <c r="B164" s="4" t="n"/>
      <c r="C164" s="4" t="n"/>
      <c r="D164" s="4" t="n"/>
      <c r="E164" s="4" t="n"/>
      <c r="F164" s="4" t="n"/>
      <c r="G164" s="4" t="n"/>
    </row>
    <row r="165" ht="15.75" customHeight="1" s="40">
      <c r="A165" s="4" t="n"/>
      <c r="B165" s="4" t="n"/>
      <c r="C165" s="4" t="n"/>
      <c r="D165" s="4" t="n"/>
      <c r="E165" s="4" t="n"/>
      <c r="F165" s="4" t="n"/>
      <c r="G165" s="4" t="n"/>
    </row>
    <row r="166" ht="15.75" customHeight="1" s="40">
      <c r="A166" s="4" t="n"/>
      <c r="B166" s="4" t="n"/>
      <c r="C166" s="4" t="n"/>
      <c r="D166" s="4" t="n"/>
      <c r="E166" s="4" t="n"/>
      <c r="F166" s="4" t="n"/>
      <c r="G166" s="4" t="n"/>
    </row>
    <row r="167" ht="15.75" customHeight="1" s="40">
      <c r="A167" s="4" t="n"/>
      <c r="B167" s="4" t="n"/>
      <c r="C167" s="4" t="n"/>
      <c r="D167" s="4" t="n"/>
      <c r="E167" s="4" t="n"/>
      <c r="F167" s="4" t="n"/>
      <c r="G167" s="4" t="n"/>
    </row>
    <row r="168" ht="15.75" customHeight="1" s="40">
      <c r="A168" s="4" t="n"/>
      <c r="B168" s="4" t="n"/>
      <c r="C168" s="4" t="n"/>
      <c r="D168" s="4" t="n"/>
      <c r="E168" s="4" t="n"/>
      <c r="F168" s="4" t="n"/>
      <c r="G168" s="4" t="n"/>
    </row>
    <row r="169" ht="15.75" customHeight="1" s="40">
      <c r="A169" s="4" t="n"/>
      <c r="B169" s="4" t="n"/>
      <c r="C169" s="4" t="n"/>
      <c r="D169" s="4" t="n"/>
      <c r="E169" s="4" t="n"/>
      <c r="F169" s="4" t="n"/>
      <c r="G169" s="4" t="n"/>
    </row>
    <row r="170" ht="15.75" customHeight="1" s="40">
      <c r="A170" s="4" t="n"/>
      <c r="B170" s="4" t="n"/>
      <c r="C170" s="4" t="n"/>
      <c r="D170" s="4" t="n"/>
      <c r="E170" s="4" t="n"/>
      <c r="F170" s="4" t="n"/>
      <c r="G170" s="4" t="n"/>
    </row>
    <row r="171" ht="15.75" customHeight="1" s="40">
      <c r="A171" s="4" t="n"/>
      <c r="B171" s="4" t="n"/>
      <c r="C171" s="4" t="n"/>
      <c r="D171" s="4" t="n"/>
      <c r="E171" s="4" t="n"/>
      <c r="F171" s="4" t="n"/>
      <c r="G171" s="4" t="n"/>
    </row>
    <row r="172" ht="15.75" customHeight="1" s="40">
      <c r="A172" s="4" t="n"/>
      <c r="B172" s="4" t="n"/>
      <c r="C172" s="4" t="n"/>
      <c r="D172" s="4" t="n"/>
      <c r="E172" s="4" t="n"/>
      <c r="F172" s="4" t="n"/>
      <c r="G172" s="4" t="n"/>
    </row>
    <row r="173" ht="15.75" customHeight="1" s="40">
      <c r="A173" s="4" t="n"/>
      <c r="B173" s="4" t="n"/>
      <c r="C173" s="4" t="n"/>
      <c r="D173" s="4" t="n"/>
      <c r="E173" s="4" t="n"/>
      <c r="F173" s="4" t="n"/>
      <c r="G173" s="4" t="n"/>
    </row>
    <row r="174" ht="15.75" customHeight="1" s="40">
      <c r="A174" s="4" t="n"/>
      <c r="B174" s="4" t="n"/>
      <c r="C174" s="4" t="n"/>
      <c r="D174" s="4" t="n"/>
      <c r="E174" s="4" t="n"/>
      <c r="F174" s="4" t="n"/>
      <c r="G174" s="4" t="n"/>
    </row>
    <row r="175" ht="15.75" customHeight="1" s="40">
      <c r="A175" s="4" t="n"/>
      <c r="B175" s="4" t="n"/>
      <c r="C175" s="4" t="n"/>
      <c r="D175" s="4" t="n"/>
      <c r="E175" s="4" t="n"/>
      <c r="F175" s="4" t="n"/>
      <c r="G175" s="4" t="n"/>
    </row>
    <row r="176" ht="15.75" customHeight="1" s="40">
      <c r="A176" s="4" t="n"/>
      <c r="B176" s="4" t="n"/>
      <c r="C176" s="4" t="n"/>
      <c r="D176" s="4" t="n"/>
      <c r="E176" s="4" t="n"/>
      <c r="F176" s="4" t="n"/>
      <c r="G176" s="4" t="n"/>
    </row>
    <row r="177" ht="15.75" customHeight="1" s="40">
      <c r="A177" s="4" t="n"/>
      <c r="B177" s="4" t="n"/>
      <c r="C177" s="4" t="n"/>
      <c r="D177" s="4" t="n"/>
      <c r="E177" s="4" t="n"/>
      <c r="F177" s="4" t="n"/>
      <c r="G177" s="4" t="n"/>
    </row>
    <row r="178" ht="15.75" customHeight="1" s="40">
      <c r="A178" s="4" t="n"/>
      <c r="B178" s="4" t="n"/>
      <c r="C178" s="4" t="n"/>
      <c r="D178" s="4" t="n"/>
      <c r="E178" s="4" t="n"/>
      <c r="F178" s="4" t="n"/>
      <c r="G178" s="4" t="n"/>
    </row>
    <row r="179" ht="15.75" customHeight="1" s="40">
      <c r="A179" s="4" t="n"/>
      <c r="B179" s="4" t="n"/>
      <c r="C179" s="4" t="n"/>
      <c r="D179" s="4" t="n"/>
      <c r="E179" s="4" t="n"/>
      <c r="F179" s="4" t="n"/>
      <c r="G179" s="4" t="n"/>
    </row>
    <row r="180" ht="15.75" customHeight="1" s="40">
      <c r="A180" s="4" t="n"/>
      <c r="B180" s="4" t="n"/>
      <c r="C180" s="4" t="n"/>
      <c r="D180" s="4" t="n"/>
      <c r="E180" s="4" t="n"/>
      <c r="F180" s="4" t="n"/>
      <c r="G180" s="4" t="n"/>
    </row>
    <row r="181" ht="15.75" customHeight="1" s="40">
      <c r="A181" s="4" t="n"/>
      <c r="B181" s="4" t="n"/>
      <c r="C181" s="4" t="n"/>
      <c r="D181" s="4" t="n"/>
      <c r="E181" s="4" t="n"/>
      <c r="F181" s="4" t="n"/>
      <c r="G181" s="4" t="n"/>
    </row>
    <row r="182" ht="15.75" customHeight="1" s="40">
      <c r="A182" s="4" t="n"/>
      <c r="B182" s="4" t="n"/>
      <c r="C182" s="4" t="n"/>
      <c r="D182" s="4" t="n"/>
      <c r="E182" s="4" t="n"/>
      <c r="F182" s="4" t="n"/>
      <c r="G182" s="4" t="n"/>
    </row>
    <row r="183" ht="15.75" customHeight="1" s="40">
      <c r="A183" s="4" t="n"/>
      <c r="B183" s="4" t="n"/>
      <c r="C183" s="4" t="n"/>
      <c r="D183" s="4" t="n"/>
      <c r="E183" s="4" t="n"/>
      <c r="F183" s="4" t="n"/>
      <c r="G183" s="4" t="n"/>
    </row>
    <row r="184" ht="15.75" customHeight="1" s="40">
      <c r="A184" s="4" t="n"/>
      <c r="B184" s="4" t="n"/>
      <c r="C184" s="4" t="n"/>
      <c r="D184" s="4" t="n"/>
      <c r="E184" s="4" t="n"/>
      <c r="F184" s="4" t="n"/>
      <c r="G184" s="4" t="n"/>
    </row>
    <row r="185" ht="15.75" customHeight="1" s="40">
      <c r="A185" s="4" t="n"/>
      <c r="B185" s="4" t="n"/>
      <c r="C185" s="4" t="n"/>
      <c r="D185" s="4" t="n"/>
      <c r="E185" s="4" t="n"/>
      <c r="F185" s="4" t="n"/>
      <c r="G185" s="4" t="n"/>
    </row>
    <row r="186" ht="15.75" customHeight="1" s="40">
      <c r="A186" s="4" t="n"/>
      <c r="B186" s="4" t="n"/>
      <c r="C186" s="4" t="n"/>
      <c r="D186" s="4" t="n"/>
      <c r="E186" s="4" t="n"/>
      <c r="F186" s="4" t="n"/>
      <c r="G186" s="4" t="n"/>
    </row>
    <row r="187" ht="15.75" customHeight="1" s="40">
      <c r="A187" s="4" t="n"/>
      <c r="B187" s="4" t="n"/>
      <c r="C187" s="4" t="n"/>
      <c r="D187" s="4" t="n"/>
      <c r="E187" s="4" t="n"/>
      <c r="F187" s="4" t="n"/>
      <c r="G187" s="4" t="n"/>
    </row>
    <row r="188" ht="15.75" customHeight="1" s="40">
      <c r="A188" s="4" t="n"/>
      <c r="B188" s="4" t="n"/>
      <c r="C188" s="4" t="n"/>
      <c r="D188" s="4" t="n"/>
      <c r="E188" s="4" t="n"/>
      <c r="F188" s="4" t="n"/>
      <c r="G188" s="4" t="n"/>
    </row>
    <row r="189" ht="15.75" customHeight="1" s="40">
      <c r="A189" s="4" t="n"/>
      <c r="B189" s="4" t="n"/>
      <c r="C189" s="4" t="n"/>
      <c r="D189" s="4" t="n"/>
      <c r="E189" s="4" t="n"/>
      <c r="F189" s="4" t="n"/>
      <c r="G189" s="4" t="n"/>
    </row>
    <row r="190" ht="15.75" customHeight="1" s="40">
      <c r="A190" s="4" t="n"/>
      <c r="B190" s="4" t="n"/>
      <c r="C190" s="4" t="n"/>
      <c r="D190" s="4" t="n"/>
      <c r="E190" s="4" t="n"/>
      <c r="F190" s="4" t="n"/>
      <c r="G190" s="4" t="n"/>
    </row>
    <row r="191" ht="15.75" customHeight="1" s="40">
      <c r="A191" s="4" t="n"/>
      <c r="B191" s="4" t="n"/>
      <c r="C191" s="4" t="n"/>
      <c r="D191" s="4" t="n"/>
      <c r="E191" s="4" t="n"/>
      <c r="F191" s="4" t="n"/>
      <c r="G191" s="4" t="n"/>
    </row>
    <row r="192" ht="15.75" customHeight="1" s="40">
      <c r="A192" s="4" t="n"/>
      <c r="B192" s="4" t="n"/>
      <c r="C192" s="4" t="n"/>
      <c r="D192" s="4" t="n"/>
      <c r="E192" s="4" t="n"/>
      <c r="F192" s="4" t="n"/>
      <c r="G192" s="4" t="n"/>
    </row>
    <row r="193" ht="15.75" customHeight="1" s="40">
      <c r="A193" s="4" t="n"/>
      <c r="B193" s="4" t="n"/>
      <c r="C193" s="4" t="n"/>
      <c r="D193" s="4" t="n"/>
      <c r="E193" s="4" t="n"/>
      <c r="F193" s="4" t="n"/>
      <c r="G193" s="4" t="n"/>
    </row>
    <row r="194" ht="15.75" customHeight="1" s="40">
      <c r="A194" s="4" t="n"/>
      <c r="B194" s="4" t="n"/>
      <c r="C194" s="4" t="n"/>
      <c r="D194" s="4" t="n"/>
      <c r="E194" s="4" t="n"/>
      <c r="F194" s="4" t="n"/>
      <c r="G194" s="4" t="n"/>
    </row>
    <row r="195" ht="15.75" customHeight="1" s="40">
      <c r="A195" s="4" t="n"/>
      <c r="B195" s="4" t="n"/>
      <c r="C195" s="4" t="n"/>
      <c r="D195" s="4" t="n"/>
      <c r="E195" s="4" t="n"/>
      <c r="F195" s="4" t="n"/>
      <c r="G195" s="4" t="n"/>
    </row>
    <row r="196" ht="15.75" customHeight="1" s="40">
      <c r="A196" s="4" t="n"/>
      <c r="B196" s="4" t="n"/>
      <c r="C196" s="4" t="n"/>
      <c r="D196" s="4" t="n"/>
      <c r="E196" s="4" t="n"/>
      <c r="F196" s="4" t="n"/>
      <c r="G196" s="4" t="n"/>
    </row>
    <row r="197" ht="15.75" customHeight="1" s="40">
      <c r="A197" s="4" t="n"/>
      <c r="B197" s="4" t="n"/>
      <c r="C197" s="4" t="n"/>
      <c r="D197" s="4" t="n"/>
      <c r="E197" s="4" t="n"/>
      <c r="F197" s="4" t="n"/>
      <c r="G197" s="4" t="n"/>
    </row>
    <row r="198" ht="15.75" customHeight="1" s="40">
      <c r="A198" s="4" t="n"/>
      <c r="B198" s="4" t="n"/>
      <c r="C198" s="4" t="n"/>
      <c r="D198" s="4" t="n"/>
      <c r="E198" s="4" t="n"/>
      <c r="F198" s="4" t="n"/>
      <c r="G198" s="4" t="n"/>
    </row>
    <row r="199" ht="15.75" customHeight="1" s="40">
      <c r="A199" s="4" t="n"/>
      <c r="B199" s="4" t="n"/>
      <c r="C199" s="4" t="n"/>
      <c r="D199" s="4" t="n"/>
      <c r="E199" s="4" t="n"/>
      <c r="F199" s="4" t="n"/>
      <c r="G199" s="4" t="n"/>
    </row>
    <row r="200" ht="15.75" customHeight="1" s="40">
      <c r="A200" s="4" t="n"/>
      <c r="B200" s="4" t="n"/>
      <c r="C200" s="4" t="n"/>
      <c r="D200" s="4" t="n"/>
      <c r="E200" s="4" t="n"/>
      <c r="F200" s="4" t="n"/>
      <c r="G200" s="4" t="n"/>
    </row>
    <row r="201" ht="15.75" customHeight="1" s="40">
      <c r="A201" s="4" t="n"/>
      <c r="B201" s="4" t="n"/>
      <c r="C201" s="4" t="n"/>
      <c r="D201" s="4" t="n"/>
      <c r="E201" s="4" t="n"/>
      <c r="F201" s="4" t="n"/>
      <c r="G201" s="4" t="n"/>
    </row>
    <row r="202" ht="15.75" customHeight="1" s="40">
      <c r="A202" s="4" t="n"/>
      <c r="B202" s="4" t="n"/>
      <c r="C202" s="4" t="n"/>
      <c r="D202" s="4" t="n"/>
      <c r="E202" s="4" t="n"/>
      <c r="F202" s="4" t="n"/>
      <c r="G202" s="4" t="n"/>
    </row>
    <row r="203" ht="15.75" customHeight="1" s="40">
      <c r="A203" s="4" t="n"/>
      <c r="B203" s="4" t="n"/>
      <c r="C203" s="4" t="n"/>
      <c r="D203" s="4" t="n"/>
      <c r="E203" s="4" t="n"/>
      <c r="F203" s="4" t="n"/>
      <c r="G203" s="4" t="n"/>
    </row>
    <row r="204" ht="15.75" customHeight="1" s="40">
      <c r="A204" s="4" t="n"/>
      <c r="B204" s="4" t="n"/>
      <c r="C204" s="4" t="n"/>
      <c r="D204" s="4" t="n"/>
      <c r="E204" s="4" t="n"/>
      <c r="F204" s="4" t="n"/>
      <c r="G204" s="4" t="n"/>
    </row>
    <row r="205" ht="15.75" customHeight="1" s="40">
      <c r="A205" s="4" t="n"/>
      <c r="B205" s="4" t="n"/>
      <c r="C205" s="4" t="n"/>
      <c r="D205" s="4" t="n"/>
      <c r="E205" s="4" t="n"/>
      <c r="F205" s="4" t="n"/>
      <c r="G205" s="4" t="n"/>
    </row>
    <row r="206" ht="15.75" customHeight="1" s="40">
      <c r="A206" s="4" t="n"/>
      <c r="B206" s="4" t="n"/>
      <c r="C206" s="4" t="n"/>
      <c r="D206" s="4" t="n"/>
      <c r="E206" s="4" t="n"/>
      <c r="F206" s="4" t="n"/>
      <c r="G206" s="4" t="n"/>
    </row>
    <row r="207" ht="15.75" customHeight="1" s="40">
      <c r="A207" s="4" t="n"/>
      <c r="B207" s="4" t="n"/>
      <c r="C207" s="4" t="n"/>
      <c r="D207" s="4" t="n"/>
      <c r="E207" s="4" t="n"/>
      <c r="F207" s="4" t="n"/>
      <c r="G207" s="4" t="n"/>
    </row>
    <row r="208" ht="15.75" customHeight="1" s="40">
      <c r="A208" s="4" t="n"/>
      <c r="B208" s="4" t="n"/>
      <c r="C208" s="4" t="n"/>
      <c r="D208" s="4" t="n"/>
      <c r="E208" s="4" t="n"/>
      <c r="F208" s="4" t="n"/>
      <c r="G208" s="4" t="n"/>
    </row>
    <row r="209" ht="15.75" customHeight="1" s="40">
      <c r="A209" s="4" t="n"/>
      <c r="B209" s="4" t="n"/>
      <c r="C209" s="4" t="n"/>
      <c r="D209" s="4" t="n"/>
      <c r="E209" s="4" t="n"/>
      <c r="F209" s="4" t="n"/>
      <c r="G209" s="4" t="n"/>
    </row>
    <row r="210" ht="15.75" customHeight="1" s="40">
      <c r="A210" s="4" t="n"/>
      <c r="B210" s="4" t="n"/>
      <c r="C210" s="4" t="n"/>
      <c r="D210" s="4" t="n"/>
      <c r="E210" s="4" t="n"/>
      <c r="F210" s="4" t="n"/>
      <c r="G210" s="4" t="n"/>
    </row>
    <row r="211" ht="15.75" customHeight="1" s="40">
      <c r="A211" s="4" t="n"/>
      <c r="B211" s="4" t="n"/>
      <c r="C211" s="4" t="n"/>
      <c r="D211" s="4" t="n"/>
      <c r="E211" s="4" t="n"/>
      <c r="F211" s="4" t="n"/>
      <c r="G211" s="4" t="n"/>
    </row>
    <row r="212" ht="15.75" customHeight="1" s="40">
      <c r="A212" s="4" t="n"/>
      <c r="B212" s="4" t="n"/>
      <c r="C212" s="4" t="n"/>
      <c r="D212" s="4" t="n"/>
      <c r="E212" s="4" t="n"/>
      <c r="F212" s="4" t="n"/>
      <c r="G212" s="4" t="n"/>
    </row>
    <row r="213" ht="15.75" customHeight="1" s="40">
      <c r="A213" s="4" t="n"/>
      <c r="B213" s="4" t="n"/>
      <c r="C213" s="4" t="n"/>
      <c r="D213" s="4" t="n"/>
      <c r="E213" s="4" t="n"/>
      <c r="F213" s="4" t="n"/>
      <c r="G213" s="4" t="n"/>
    </row>
    <row r="214" ht="15.75" customHeight="1" s="40">
      <c r="A214" s="4" t="n"/>
      <c r="B214" s="4" t="n"/>
      <c r="C214" s="4" t="n"/>
      <c r="D214" s="4" t="n"/>
      <c r="E214" s="4" t="n"/>
      <c r="F214" s="4" t="n"/>
      <c r="G214" s="4" t="n"/>
    </row>
    <row r="215" ht="15.75" customHeight="1" s="40">
      <c r="A215" s="4" t="n"/>
      <c r="B215" s="4" t="n"/>
      <c r="C215" s="4" t="n"/>
      <c r="D215" s="4" t="n"/>
      <c r="E215" s="4" t="n"/>
      <c r="F215" s="4" t="n"/>
      <c r="G215" s="4" t="n"/>
    </row>
    <row r="216" ht="15.75" customHeight="1" s="40">
      <c r="A216" s="4" t="n"/>
      <c r="B216" s="4" t="n"/>
      <c r="C216" s="4" t="n"/>
      <c r="D216" s="4" t="n"/>
      <c r="E216" s="4" t="n"/>
      <c r="F216" s="4" t="n"/>
      <c r="G216" s="4" t="n"/>
    </row>
    <row r="217" ht="15.75" customHeight="1" s="40">
      <c r="A217" s="4" t="n"/>
      <c r="B217" s="4" t="n"/>
      <c r="C217" s="4" t="n"/>
      <c r="D217" s="4" t="n"/>
      <c r="E217" s="4" t="n"/>
      <c r="F217" s="4" t="n"/>
      <c r="G217" s="4" t="n"/>
    </row>
    <row r="218" ht="15.75" customHeight="1" s="40">
      <c r="A218" s="4" t="n"/>
      <c r="B218" s="4" t="n"/>
      <c r="C218" s="4" t="n"/>
      <c r="D218" s="4" t="n"/>
      <c r="E218" s="4" t="n"/>
      <c r="F218" s="4" t="n"/>
      <c r="G218" s="4" t="n"/>
    </row>
    <row r="219" ht="15.75" customHeight="1" s="40">
      <c r="A219" s="4" t="n"/>
      <c r="B219" s="4" t="n"/>
      <c r="C219" s="4" t="n"/>
      <c r="D219" s="4" t="n"/>
      <c r="E219" s="4" t="n"/>
      <c r="F219" s="4" t="n"/>
      <c r="G219" s="4" t="n"/>
    </row>
    <row r="220" ht="15.75" customHeight="1" s="40">
      <c r="A220" s="4" t="n"/>
      <c r="B220" s="4" t="n"/>
      <c r="C220" s="4" t="n"/>
      <c r="D220" s="4" t="n"/>
      <c r="E220" s="4" t="n"/>
      <c r="F220" s="4" t="n"/>
      <c r="G220" s="4" t="n"/>
    </row>
    <row r="221" ht="15.75" customHeight="1" s="40">
      <c r="A221" s="4" t="n"/>
      <c r="B221" s="4" t="n"/>
      <c r="C221" s="4" t="n"/>
      <c r="D221" s="4" t="n"/>
      <c r="E221" s="4" t="n"/>
      <c r="F221" s="4" t="n"/>
      <c r="G221" s="4" t="n"/>
    </row>
    <row r="222" ht="15.75" customHeight="1" s="40">
      <c r="A222" s="4" t="n"/>
      <c r="B222" s="4" t="n"/>
      <c r="C222" s="4" t="n"/>
      <c r="D222" s="4" t="n"/>
      <c r="E222" s="4" t="n"/>
      <c r="F222" s="4" t="n"/>
      <c r="G222" s="4" t="n"/>
    </row>
    <row r="223" ht="15.75" customHeight="1" s="40">
      <c r="A223" s="4" t="n"/>
      <c r="B223" s="4" t="n"/>
      <c r="C223" s="4" t="n"/>
      <c r="D223" s="4" t="n"/>
      <c r="E223" s="4" t="n"/>
      <c r="F223" s="4" t="n"/>
      <c r="G223" s="4" t="n"/>
    </row>
    <row r="224" ht="15.75" customHeight="1" s="40">
      <c r="A224" s="4" t="n"/>
      <c r="B224" s="4" t="n"/>
      <c r="C224" s="4" t="n"/>
      <c r="D224" s="4" t="n"/>
      <c r="E224" s="4" t="n"/>
      <c r="F224" s="4" t="n"/>
      <c r="G224" s="4" t="n"/>
    </row>
    <row r="225" ht="15.75" customHeight="1" s="40">
      <c r="A225" s="4" t="n"/>
      <c r="B225" s="4" t="n"/>
      <c r="C225" s="4" t="n"/>
      <c r="D225" s="4" t="n"/>
      <c r="E225" s="4" t="n"/>
      <c r="F225" s="4" t="n"/>
      <c r="G225" s="4" t="n"/>
    </row>
    <row r="226" ht="15.75" customHeight="1" s="40">
      <c r="A226" s="4" t="n"/>
      <c r="B226" s="4" t="n"/>
      <c r="C226" s="4" t="n"/>
      <c r="D226" s="4" t="n"/>
      <c r="E226" s="4" t="n"/>
      <c r="F226" s="4" t="n"/>
      <c r="G226" s="4" t="n"/>
    </row>
    <row r="227" ht="15.75" customHeight="1" s="40">
      <c r="A227" s="4" t="n"/>
      <c r="B227" s="4" t="n"/>
      <c r="C227" s="4" t="n"/>
      <c r="D227" s="4" t="n"/>
      <c r="E227" s="4" t="n"/>
      <c r="F227" s="4" t="n"/>
      <c r="G227" s="4" t="n"/>
    </row>
    <row r="228" ht="15.75" customHeight="1" s="40">
      <c r="A228" s="4" t="n"/>
      <c r="B228" s="4" t="n"/>
      <c r="C228" s="4" t="n"/>
      <c r="D228" s="4" t="n"/>
      <c r="E228" s="4" t="n"/>
      <c r="F228" s="4" t="n"/>
      <c r="G228" s="4" t="n"/>
    </row>
    <row r="229" ht="15.75" customHeight="1" s="40">
      <c r="A229" s="4" t="n"/>
      <c r="B229" s="4" t="n"/>
      <c r="C229" s="4" t="n"/>
      <c r="D229" s="4" t="n"/>
      <c r="E229" s="4" t="n"/>
      <c r="F229" s="4" t="n"/>
      <c r="G229" s="4" t="n"/>
    </row>
    <row r="230" ht="15.75" customHeight="1" s="40">
      <c r="A230" s="4" t="n"/>
      <c r="B230" s="4" t="n"/>
      <c r="C230" s="4" t="n"/>
      <c r="D230" s="4" t="n"/>
      <c r="E230" s="4" t="n"/>
      <c r="F230" s="4" t="n"/>
      <c r="G230" s="4" t="n"/>
    </row>
    <row r="231" ht="15.75" customHeight="1" s="40">
      <c r="A231" s="4" t="n"/>
      <c r="B231" s="4" t="n"/>
      <c r="C231" s="4" t="n"/>
      <c r="D231" s="4" t="n"/>
      <c r="E231" s="4" t="n"/>
      <c r="F231" s="4" t="n"/>
      <c r="G231" s="4" t="n"/>
    </row>
    <row r="232" ht="15.75" customHeight="1" s="40">
      <c r="A232" s="4" t="n"/>
      <c r="B232" s="4" t="n"/>
      <c r="C232" s="4" t="n"/>
      <c r="D232" s="4" t="n"/>
      <c r="E232" s="4" t="n"/>
      <c r="F232" s="4" t="n"/>
      <c r="G232" s="4" t="n"/>
    </row>
    <row r="233" ht="15.75" customHeight="1" s="40">
      <c r="A233" s="4" t="n"/>
      <c r="B233" s="4" t="n"/>
      <c r="C233" s="4" t="n"/>
      <c r="D233" s="4" t="n"/>
      <c r="E233" s="4" t="n"/>
      <c r="F233" s="4" t="n"/>
      <c r="G233" s="4" t="n"/>
    </row>
    <row r="234" ht="15.75" customHeight="1" s="40">
      <c r="A234" s="4" t="n"/>
      <c r="B234" s="4" t="n"/>
      <c r="C234" s="4" t="n"/>
      <c r="D234" s="4" t="n"/>
      <c r="E234" s="4" t="n"/>
      <c r="F234" s="4" t="n"/>
      <c r="G234" s="4" t="n"/>
    </row>
    <row r="235" ht="15.75" customHeight="1" s="40">
      <c r="A235" s="4" t="n"/>
      <c r="B235" s="4" t="n"/>
      <c r="C235" s="4" t="n"/>
      <c r="D235" s="4" t="n"/>
      <c r="E235" s="4" t="n"/>
      <c r="F235" s="4" t="n"/>
      <c r="G235" s="4" t="n"/>
    </row>
    <row r="236" ht="15.75" customHeight="1" s="40">
      <c r="A236" s="4" t="n"/>
      <c r="B236" s="4" t="n"/>
      <c r="C236" s="4" t="n"/>
      <c r="D236" s="4" t="n"/>
      <c r="E236" s="4" t="n"/>
      <c r="F236" s="4" t="n"/>
      <c r="G236" s="4" t="n"/>
    </row>
    <row r="237" ht="15.75" customHeight="1" s="40">
      <c r="A237" s="4" t="n"/>
      <c r="B237" s="4" t="n"/>
      <c r="C237" s="4" t="n"/>
      <c r="D237" s="4" t="n"/>
      <c r="E237" s="4" t="n"/>
      <c r="F237" s="4" t="n"/>
      <c r="G237" s="4" t="n"/>
    </row>
    <row r="238" ht="15.75" customHeight="1" s="40">
      <c r="A238" s="4" t="n"/>
      <c r="B238" s="4" t="n"/>
      <c r="C238" s="4" t="n"/>
      <c r="D238" s="4" t="n"/>
      <c r="E238" s="4" t="n"/>
      <c r="F238" s="4" t="n"/>
      <c r="G238" s="4" t="n"/>
    </row>
    <row r="239" ht="15.75" customHeight="1" s="40">
      <c r="A239" s="4" t="n"/>
      <c r="B239" s="4" t="n"/>
      <c r="C239" s="4" t="n"/>
      <c r="D239" s="4" t="n"/>
      <c r="E239" s="4" t="n"/>
      <c r="F239" s="4" t="n"/>
      <c r="G239" s="4" t="n"/>
    </row>
    <row r="240" ht="15.75" customHeight="1" s="40">
      <c r="A240" s="4" t="n"/>
      <c r="B240" s="4" t="n"/>
      <c r="C240" s="4" t="n"/>
      <c r="D240" s="4" t="n"/>
      <c r="E240" s="4" t="n"/>
      <c r="F240" s="4" t="n"/>
      <c r="G240" s="4" t="n"/>
    </row>
    <row r="241" ht="15.75" customHeight="1" s="40">
      <c r="A241" s="4" t="n"/>
      <c r="B241" s="4" t="n"/>
      <c r="C241" s="4" t="n"/>
      <c r="D241" s="4" t="n"/>
      <c r="E241" s="4" t="n"/>
      <c r="F241" s="4" t="n"/>
      <c r="G241" s="4" t="n"/>
    </row>
    <row r="242" ht="15.75" customHeight="1" s="40">
      <c r="A242" s="4" t="n"/>
      <c r="B242" s="4" t="n"/>
      <c r="C242" s="4" t="n"/>
      <c r="D242" s="4" t="n"/>
      <c r="E242" s="4" t="n"/>
      <c r="F242" s="4" t="n"/>
      <c r="G242" s="4" t="n"/>
    </row>
    <row r="243" ht="15.75" customHeight="1" s="40">
      <c r="A243" s="4" t="n"/>
      <c r="B243" s="4" t="n"/>
      <c r="C243" s="4" t="n"/>
      <c r="D243" s="4" t="n"/>
      <c r="E243" s="4" t="n"/>
      <c r="F243" s="4" t="n"/>
      <c r="G243" s="4" t="n"/>
    </row>
    <row r="244" ht="15.75" customHeight="1" s="40">
      <c r="A244" s="4" t="n"/>
      <c r="B244" s="4" t="n"/>
      <c r="C244" s="4" t="n"/>
      <c r="D244" s="4" t="n"/>
      <c r="E244" s="4" t="n"/>
      <c r="F244" s="4" t="n"/>
      <c r="G244" s="4" t="n"/>
    </row>
    <row r="245" ht="15.75" customHeight="1" s="40">
      <c r="A245" s="4" t="n"/>
      <c r="B245" s="4" t="n"/>
      <c r="C245" s="4" t="n"/>
      <c r="D245" s="4" t="n"/>
      <c r="E245" s="4" t="n"/>
      <c r="F245" s="4" t="n"/>
      <c r="G245" s="4" t="n"/>
    </row>
    <row r="246" ht="15.75" customHeight="1" s="40">
      <c r="A246" s="4" t="n"/>
      <c r="B246" s="4" t="n"/>
      <c r="C246" s="4" t="n"/>
      <c r="D246" s="4" t="n"/>
      <c r="E246" s="4" t="n"/>
      <c r="F246" s="4" t="n"/>
      <c r="G246" s="4" t="n"/>
    </row>
    <row r="247" ht="15.75" customHeight="1" s="40">
      <c r="A247" s="4" t="n"/>
      <c r="B247" s="4" t="n"/>
      <c r="C247" s="4" t="n"/>
      <c r="D247" s="4" t="n"/>
      <c r="E247" s="4" t="n"/>
      <c r="F247" s="4" t="n"/>
      <c r="G247" s="4" t="n"/>
    </row>
    <row r="248" ht="15.75" customHeight="1" s="40">
      <c r="A248" s="4" t="n"/>
      <c r="B248" s="4" t="n"/>
      <c r="C248" s="4" t="n"/>
      <c r="D248" s="4" t="n"/>
      <c r="E248" s="4" t="n"/>
      <c r="F248" s="4" t="n"/>
      <c r="G248" s="4" t="n"/>
    </row>
    <row r="249" ht="15.75" customHeight="1" s="40">
      <c r="A249" s="4" t="n"/>
      <c r="B249" s="4" t="n"/>
      <c r="C249" s="4" t="n"/>
      <c r="D249" s="4" t="n"/>
      <c r="E249" s="4" t="n"/>
      <c r="F249" s="4" t="n"/>
      <c r="G249" s="4" t="n"/>
    </row>
    <row r="250" ht="15.75" customHeight="1" s="40">
      <c r="A250" s="4" t="n"/>
      <c r="B250" s="4" t="n"/>
      <c r="C250" s="4" t="n"/>
      <c r="D250" s="4" t="n"/>
      <c r="E250" s="4" t="n"/>
      <c r="F250" s="4" t="n"/>
      <c r="G250" s="4" t="n"/>
    </row>
    <row r="251" ht="15.75" customHeight="1" s="40">
      <c r="A251" s="4" t="n"/>
      <c r="B251" s="4" t="n"/>
      <c r="C251" s="4" t="n"/>
      <c r="D251" s="4" t="n"/>
      <c r="E251" s="4" t="n"/>
      <c r="F251" s="4" t="n"/>
      <c r="G251" s="4" t="n"/>
    </row>
    <row r="252" ht="15.75" customHeight="1" s="40">
      <c r="A252" s="4" t="n"/>
      <c r="B252" s="4" t="n"/>
      <c r="C252" s="4" t="n"/>
      <c r="D252" s="4" t="n"/>
      <c r="E252" s="4" t="n"/>
      <c r="F252" s="4" t="n"/>
      <c r="G252" s="4" t="n"/>
    </row>
    <row r="253" ht="15.75" customHeight="1" s="40">
      <c r="A253" s="4" t="n"/>
      <c r="B253" s="4" t="n"/>
      <c r="C253" s="4" t="n"/>
      <c r="D253" s="4" t="n"/>
      <c r="E253" s="4" t="n"/>
      <c r="F253" s="4" t="n"/>
      <c r="G253" s="4" t="n"/>
    </row>
    <row r="254" ht="15.75" customHeight="1" s="40">
      <c r="A254" s="4" t="n"/>
      <c r="B254" s="4" t="n"/>
      <c r="C254" s="4" t="n"/>
      <c r="D254" s="4" t="n"/>
      <c r="E254" s="4" t="n"/>
      <c r="F254" s="4" t="n"/>
      <c r="G254" s="4" t="n"/>
    </row>
    <row r="255" ht="15.75" customHeight="1" s="40">
      <c r="A255" s="4" t="n"/>
      <c r="B255" s="4" t="n"/>
      <c r="C255" s="4" t="n"/>
      <c r="D255" s="4" t="n"/>
      <c r="E255" s="4" t="n"/>
      <c r="F255" s="4" t="n"/>
      <c r="G255" s="4" t="n"/>
    </row>
    <row r="256" ht="15.75" customHeight="1" s="40">
      <c r="A256" s="4" t="n"/>
      <c r="B256" s="4" t="n"/>
      <c r="C256" s="4" t="n"/>
      <c r="D256" s="4" t="n"/>
      <c r="E256" s="4" t="n"/>
      <c r="F256" s="4" t="n"/>
      <c r="G256" s="4" t="n"/>
    </row>
    <row r="257" ht="15.75" customHeight="1" s="40">
      <c r="A257" s="4" t="n"/>
      <c r="B257" s="4" t="n"/>
      <c r="C257" s="4" t="n"/>
      <c r="D257" s="4" t="n"/>
      <c r="E257" s="4" t="n"/>
      <c r="F257" s="4" t="n"/>
      <c r="G257" s="4" t="n"/>
    </row>
    <row r="258" ht="15.75" customHeight="1" s="40">
      <c r="A258" s="4" t="n"/>
      <c r="B258" s="4" t="n"/>
      <c r="C258" s="4" t="n"/>
      <c r="D258" s="4" t="n"/>
      <c r="E258" s="4" t="n"/>
      <c r="F258" s="4" t="n"/>
      <c r="G258" s="4" t="n"/>
    </row>
    <row r="259" ht="15.75" customHeight="1" s="40">
      <c r="A259" s="4" t="n"/>
      <c r="B259" s="4" t="n"/>
      <c r="C259" s="4" t="n"/>
      <c r="D259" s="4" t="n"/>
      <c r="E259" s="4" t="n"/>
      <c r="F259" s="4" t="n"/>
      <c r="G259" s="4" t="n"/>
    </row>
    <row r="260" ht="15.75" customHeight="1" s="40">
      <c r="A260" s="4" t="n"/>
      <c r="B260" s="4" t="n"/>
      <c r="C260" s="4" t="n"/>
      <c r="D260" s="4" t="n"/>
      <c r="E260" s="4" t="n"/>
      <c r="F260" s="4" t="n"/>
      <c r="G260" s="4" t="n"/>
    </row>
    <row r="261" ht="15.75" customHeight="1" s="40">
      <c r="A261" s="4" t="n"/>
      <c r="B261" s="4" t="n"/>
      <c r="C261" s="4" t="n"/>
      <c r="D261" s="4" t="n"/>
      <c r="E261" s="4" t="n"/>
      <c r="F261" s="4" t="n"/>
      <c r="G261" s="4" t="n"/>
    </row>
    <row r="262" ht="15.75" customHeight="1" s="40">
      <c r="A262" s="4" t="n"/>
      <c r="B262" s="4" t="n"/>
      <c r="C262" s="4" t="n"/>
      <c r="D262" s="4" t="n"/>
      <c r="E262" s="4" t="n"/>
      <c r="F262" s="4" t="n"/>
      <c r="G262" s="4" t="n"/>
    </row>
    <row r="263" ht="15.75" customHeight="1" s="40">
      <c r="A263" s="4" t="n"/>
      <c r="B263" s="4" t="n"/>
      <c r="C263" s="4" t="n"/>
      <c r="D263" s="4" t="n"/>
      <c r="E263" s="4" t="n"/>
      <c r="F263" s="4" t="n"/>
      <c r="G263" s="4" t="n"/>
    </row>
    <row r="264" ht="15.75" customHeight="1" s="40">
      <c r="A264" s="4" t="n"/>
      <c r="B264" s="4" t="n"/>
      <c r="C264" s="4" t="n"/>
      <c r="D264" s="4" t="n"/>
      <c r="E264" s="4" t="n"/>
      <c r="F264" s="4" t="n"/>
      <c r="G264" s="4" t="n"/>
    </row>
    <row r="265" ht="15.75" customHeight="1" s="40">
      <c r="A265" s="4" t="n"/>
      <c r="B265" s="4" t="n"/>
      <c r="C265" s="4" t="n"/>
      <c r="D265" s="4" t="n"/>
      <c r="E265" s="4" t="n"/>
      <c r="F265" s="4" t="n"/>
      <c r="G265" s="4" t="n"/>
    </row>
    <row r="266" ht="15.75" customHeight="1" s="40">
      <c r="A266" s="4" t="n"/>
      <c r="B266" s="4" t="n"/>
      <c r="C266" s="4" t="n"/>
      <c r="D266" s="4" t="n"/>
      <c r="E266" s="4" t="n"/>
      <c r="F266" s="4" t="n"/>
      <c r="G266" s="4" t="n"/>
    </row>
    <row r="267" ht="15.75" customHeight="1" s="40">
      <c r="A267" s="4" t="n"/>
      <c r="B267" s="4" t="n"/>
      <c r="C267" s="4" t="n"/>
      <c r="D267" s="4" t="n"/>
      <c r="E267" s="4" t="n"/>
      <c r="F267" s="4" t="n"/>
      <c r="G267" s="4" t="n"/>
    </row>
    <row r="268" ht="15.75" customHeight="1" s="40">
      <c r="A268" s="4" t="n"/>
      <c r="B268" s="4" t="n"/>
      <c r="C268" s="4" t="n"/>
      <c r="D268" s="4" t="n"/>
      <c r="E268" s="4" t="n"/>
      <c r="F268" s="4" t="n"/>
      <c r="G268" s="4" t="n"/>
    </row>
    <row r="269" ht="15.75" customHeight="1" s="40">
      <c r="A269" s="4" t="n"/>
      <c r="B269" s="4" t="n"/>
      <c r="C269" s="4" t="n"/>
      <c r="D269" s="4" t="n"/>
      <c r="E269" s="4" t="n"/>
      <c r="F269" s="4" t="n"/>
      <c r="G269" s="4" t="n"/>
    </row>
    <row r="270" ht="15.75" customHeight="1" s="40">
      <c r="A270" s="4" t="n"/>
      <c r="B270" s="4" t="n"/>
      <c r="C270" s="4" t="n"/>
      <c r="D270" s="4" t="n"/>
      <c r="E270" s="4" t="n"/>
      <c r="F270" s="4" t="n"/>
      <c r="G270" s="4" t="n"/>
    </row>
    <row r="271" ht="15.75" customHeight="1" s="40">
      <c r="A271" s="4" t="n"/>
      <c r="B271" s="4" t="n"/>
      <c r="C271" s="4" t="n"/>
      <c r="D271" s="4" t="n"/>
      <c r="E271" s="4" t="n"/>
      <c r="F271" s="4" t="n"/>
      <c r="G271" s="4" t="n"/>
    </row>
    <row r="272" ht="15.75" customHeight="1" s="40">
      <c r="A272" s="4" t="n"/>
      <c r="B272" s="4" t="n"/>
      <c r="C272" s="4" t="n"/>
      <c r="D272" s="4" t="n"/>
      <c r="E272" s="4" t="n"/>
      <c r="F272" s="4" t="n"/>
      <c r="G272" s="4" t="n"/>
    </row>
    <row r="273" ht="15.75" customHeight="1" s="40">
      <c r="A273" s="4" t="n"/>
      <c r="B273" s="4" t="n"/>
      <c r="C273" s="4" t="n"/>
      <c r="D273" s="4" t="n"/>
      <c r="E273" s="4" t="n"/>
      <c r="F273" s="4" t="n"/>
      <c r="G273" s="4" t="n"/>
    </row>
    <row r="274" ht="15.75" customHeight="1" s="40">
      <c r="A274" s="4" t="n"/>
      <c r="B274" s="4" t="n"/>
      <c r="C274" s="4" t="n"/>
      <c r="D274" s="4" t="n"/>
      <c r="E274" s="4" t="n"/>
      <c r="F274" s="4" t="n"/>
      <c r="G274" s="4" t="n"/>
    </row>
    <row r="275" ht="15.75" customHeight="1" s="40">
      <c r="A275" s="4" t="n"/>
      <c r="B275" s="4" t="n"/>
      <c r="C275" s="4" t="n"/>
      <c r="D275" s="4" t="n"/>
      <c r="E275" s="4" t="n"/>
      <c r="F275" s="4" t="n"/>
      <c r="G275" s="4" t="n"/>
    </row>
    <row r="276" ht="15.75" customHeight="1" s="40">
      <c r="A276" s="4" t="n"/>
      <c r="B276" s="4" t="n"/>
      <c r="C276" s="4" t="n"/>
      <c r="D276" s="4" t="n"/>
      <c r="E276" s="4" t="n"/>
      <c r="F276" s="4" t="n"/>
      <c r="G276" s="4" t="n"/>
    </row>
    <row r="277" ht="15.75" customHeight="1" s="40">
      <c r="A277" s="4" t="n"/>
      <c r="B277" s="4" t="n"/>
      <c r="C277" s="4" t="n"/>
      <c r="D277" s="4" t="n"/>
      <c r="E277" s="4" t="n"/>
      <c r="F277" s="4" t="n"/>
      <c r="G277" s="4" t="n"/>
    </row>
    <row r="278" ht="15.75" customHeight="1" s="40">
      <c r="A278" s="4" t="n"/>
      <c r="B278" s="4" t="n"/>
      <c r="C278" s="4" t="n"/>
      <c r="D278" s="4" t="n"/>
      <c r="E278" s="4" t="n"/>
      <c r="F278" s="4" t="n"/>
      <c r="G278" s="4" t="n"/>
    </row>
    <row r="279" ht="15.75" customHeight="1" s="40">
      <c r="A279" s="4" t="n"/>
      <c r="B279" s="4" t="n"/>
      <c r="C279" s="4" t="n"/>
      <c r="D279" s="4" t="n"/>
      <c r="E279" s="4" t="n"/>
      <c r="F279" s="4" t="n"/>
      <c r="G279" s="4" t="n"/>
    </row>
    <row r="280" ht="15.75" customHeight="1" s="40">
      <c r="A280" s="4" t="n"/>
      <c r="B280" s="4" t="n"/>
      <c r="C280" s="4" t="n"/>
      <c r="D280" s="4" t="n"/>
      <c r="E280" s="4" t="n"/>
      <c r="F280" s="4" t="n"/>
      <c r="G280" s="4" t="n"/>
    </row>
    <row r="281" ht="15.75" customHeight="1" s="40">
      <c r="A281" s="4" t="n"/>
      <c r="B281" s="4" t="n"/>
      <c r="C281" s="4" t="n"/>
      <c r="D281" s="4" t="n"/>
      <c r="E281" s="4" t="n"/>
      <c r="F281" s="4" t="n"/>
      <c r="G281" s="4" t="n"/>
    </row>
    <row r="282" ht="15.75" customHeight="1" s="40">
      <c r="A282" s="4" t="n"/>
      <c r="B282" s="4" t="n"/>
      <c r="C282" s="4" t="n"/>
      <c r="D282" s="4" t="n"/>
      <c r="E282" s="4" t="n"/>
      <c r="F282" s="4" t="n"/>
      <c r="G282" s="4" t="n"/>
    </row>
    <row r="283" ht="15.75" customHeight="1" s="40">
      <c r="A283" s="4" t="n"/>
      <c r="B283" s="4" t="n"/>
      <c r="C283" s="4" t="n"/>
      <c r="D283" s="4" t="n"/>
      <c r="E283" s="4" t="n"/>
      <c r="F283" s="4" t="n"/>
      <c r="G283" s="4" t="n"/>
    </row>
    <row r="284" ht="15.75" customHeight="1" s="40">
      <c r="A284" s="4" t="n"/>
      <c r="B284" s="4" t="n"/>
      <c r="C284" s="4" t="n"/>
      <c r="D284" s="4" t="n"/>
      <c r="E284" s="4" t="n"/>
      <c r="F284" s="4" t="n"/>
      <c r="G284" s="4" t="n"/>
    </row>
    <row r="285" ht="15.75" customHeight="1" s="40">
      <c r="A285" s="4" t="n"/>
      <c r="B285" s="4" t="n"/>
      <c r="C285" s="4" t="n"/>
      <c r="D285" s="4" t="n"/>
      <c r="E285" s="4" t="n"/>
      <c r="F285" s="4" t="n"/>
      <c r="G285" s="4" t="n"/>
    </row>
    <row r="286" ht="15.75" customHeight="1" s="40">
      <c r="A286" s="4" t="n"/>
      <c r="B286" s="4" t="n"/>
      <c r="C286" s="4" t="n"/>
      <c r="D286" s="4" t="n"/>
      <c r="E286" s="4" t="n"/>
      <c r="F286" s="4" t="n"/>
      <c r="G286" s="4" t="n"/>
    </row>
    <row r="287" ht="15.75" customHeight="1" s="40">
      <c r="A287" s="4" t="n"/>
      <c r="B287" s="4" t="n"/>
      <c r="C287" s="4" t="n"/>
      <c r="D287" s="4" t="n"/>
      <c r="E287" s="4" t="n"/>
      <c r="F287" s="4" t="n"/>
      <c r="G287" s="4" t="n"/>
    </row>
    <row r="288" ht="15.75" customHeight="1" s="40">
      <c r="A288" s="4" t="n"/>
      <c r="B288" s="4" t="n"/>
      <c r="C288" s="4" t="n"/>
      <c r="D288" s="4" t="n"/>
      <c r="E288" s="4" t="n"/>
      <c r="F288" s="4" t="n"/>
      <c r="G288" s="4" t="n"/>
    </row>
    <row r="289" ht="15.75" customHeight="1" s="40">
      <c r="A289" s="4" t="n"/>
      <c r="B289" s="4" t="n"/>
      <c r="C289" s="4" t="n"/>
      <c r="D289" s="4" t="n"/>
      <c r="E289" s="4" t="n"/>
      <c r="F289" s="4" t="n"/>
      <c r="G289" s="4" t="n"/>
    </row>
    <row r="290" ht="15.75" customHeight="1" s="40">
      <c r="A290" s="4" t="n"/>
      <c r="B290" s="4" t="n"/>
      <c r="C290" s="4" t="n"/>
      <c r="D290" s="4" t="n"/>
      <c r="E290" s="4" t="n"/>
      <c r="F290" s="4" t="n"/>
      <c r="G290" s="4" t="n"/>
    </row>
    <row r="291" ht="15.75" customHeight="1" s="40">
      <c r="A291" s="4" t="n"/>
      <c r="B291" s="4" t="n"/>
      <c r="C291" s="4" t="n"/>
      <c r="D291" s="4" t="n"/>
      <c r="E291" s="4" t="n"/>
      <c r="F291" s="4" t="n"/>
      <c r="G291" s="4" t="n"/>
    </row>
    <row r="292" ht="15.75" customHeight="1" s="40">
      <c r="A292" s="4" t="n"/>
      <c r="B292" s="4" t="n"/>
      <c r="C292" s="4" t="n"/>
      <c r="D292" s="4" t="n"/>
      <c r="E292" s="4" t="n"/>
      <c r="F292" s="4" t="n"/>
      <c r="G292" s="4" t="n"/>
    </row>
    <row r="293" ht="15.75" customHeight="1" s="40">
      <c r="A293" s="4" t="n"/>
      <c r="B293" s="4" t="n"/>
      <c r="C293" s="4" t="n"/>
      <c r="D293" s="4" t="n"/>
      <c r="E293" s="4" t="n"/>
      <c r="F293" s="4" t="n"/>
      <c r="G293" s="4" t="n"/>
    </row>
    <row r="294" ht="15.75" customHeight="1" s="40">
      <c r="A294" s="4" t="n"/>
      <c r="B294" s="4" t="n"/>
      <c r="C294" s="4" t="n"/>
      <c r="D294" s="4" t="n"/>
      <c r="E294" s="4" t="n"/>
      <c r="F294" s="4" t="n"/>
      <c r="G294" s="4" t="n"/>
    </row>
    <row r="295" ht="15.75" customHeight="1" s="40">
      <c r="A295" s="4" t="n"/>
      <c r="B295" s="4" t="n"/>
      <c r="C295" s="4" t="n"/>
      <c r="D295" s="4" t="n"/>
      <c r="E295" s="4" t="n"/>
      <c r="F295" s="4" t="n"/>
      <c r="G295" s="4" t="n"/>
    </row>
    <row r="296" ht="15.75" customHeight="1" s="40">
      <c r="A296" s="4" t="n"/>
      <c r="B296" s="4" t="n"/>
      <c r="C296" s="4" t="n"/>
      <c r="D296" s="4" t="n"/>
      <c r="E296" s="4" t="n"/>
      <c r="F296" s="4" t="n"/>
      <c r="G296" s="4" t="n"/>
    </row>
    <row r="297" ht="15.75" customHeight="1" s="40">
      <c r="A297" s="4" t="n"/>
      <c r="B297" s="4" t="n"/>
      <c r="C297" s="4" t="n"/>
      <c r="D297" s="4" t="n"/>
      <c r="E297" s="4" t="n"/>
      <c r="F297" s="4" t="n"/>
      <c r="G297" s="4" t="n"/>
    </row>
    <row r="298" ht="15.75" customHeight="1" s="40">
      <c r="A298" s="4" t="n"/>
      <c r="B298" s="4" t="n"/>
      <c r="C298" s="4" t="n"/>
      <c r="D298" s="4" t="n"/>
      <c r="E298" s="4" t="n"/>
      <c r="F298" s="4" t="n"/>
      <c r="G298" s="4" t="n"/>
    </row>
    <row r="299" ht="15.75" customHeight="1" s="40">
      <c r="A299" s="4" t="n"/>
      <c r="B299" s="4" t="n"/>
      <c r="C299" s="4" t="n"/>
      <c r="D299" s="4" t="n"/>
      <c r="E299" s="4" t="n"/>
      <c r="F299" s="4" t="n"/>
      <c r="G299" s="4" t="n"/>
    </row>
    <row r="300" ht="15.75" customHeight="1" s="40">
      <c r="A300" s="4" t="n"/>
      <c r="B300" s="4" t="n"/>
      <c r="C300" s="4" t="n"/>
      <c r="D300" s="4" t="n"/>
      <c r="E300" s="4" t="n"/>
      <c r="F300" s="4" t="n"/>
      <c r="G300" s="4" t="n"/>
    </row>
    <row r="301" ht="15.75" customHeight="1" s="40">
      <c r="A301" s="4" t="n"/>
      <c r="B301" s="4" t="n"/>
      <c r="C301" s="4" t="n"/>
      <c r="D301" s="4" t="n"/>
      <c r="E301" s="4" t="n"/>
      <c r="F301" s="4" t="n"/>
      <c r="G301" s="4" t="n"/>
    </row>
    <row r="302" ht="15.75" customHeight="1" s="40">
      <c r="A302" s="4" t="n"/>
      <c r="B302" s="4" t="n"/>
      <c r="C302" s="4" t="n"/>
      <c r="D302" s="4" t="n"/>
      <c r="E302" s="4" t="n"/>
      <c r="F302" s="4" t="n"/>
      <c r="G302" s="4" t="n"/>
    </row>
    <row r="303" ht="15.75" customHeight="1" s="40">
      <c r="A303" s="4" t="n"/>
      <c r="B303" s="4" t="n"/>
      <c r="C303" s="4" t="n"/>
      <c r="D303" s="4" t="n"/>
      <c r="E303" s="4" t="n"/>
      <c r="F303" s="4" t="n"/>
      <c r="G303" s="4" t="n"/>
    </row>
    <row r="304" ht="15.75" customHeight="1" s="40">
      <c r="A304" s="4" t="n"/>
      <c r="B304" s="4" t="n"/>
      <c r="C304" s="4" t="n"/>
      <c r="D304" s="4" t="n"/>
      <c r="E304" s="4" t="n"/>
      <c r="F304" s="4" t="n"/>
      <c r="G304" s="4" t="n"/>
    </row>
    <row r="305" ht="15.75" customHeight="1" s="40">
      <c r="A305" s="4" t="n"/>
      <c r="B305" s="4" t="n"/>
      <c r="C305" s="4" t="n"/>
      <c r="D305" s="4" t="n"/>
      <c r="E305" s="4" t="n"/>
      <c r="F305" s="4" t="n"/>
      <c r="G305" s="4" t="n"/>
    </row>
    <row r="306" ht="15.75" customHeight="1" s="40">
      <c r="A306" s="4" t="n"/>
      <c r="B306" s="4" t="n"/>
      <c r="C306" s="4" t="n"/>
      <c r="D306" s="4" t="n"/>
      <c r="E306" s="4" t="n"/>
      <c r="F306" s="4" t="n"/>
      <c r="G306" s="4" t="n"/>
    </row>
    <row r="307" ht="15.75" customHeight="1" s="40">
      <c r="A307" s="4" t="n"/>
      <c r="B307" s="4" t="n"/>
      <c r="C307" s="4" t="n"/>
      <c r="D307" s="4" t="n"/>
      <c r="E307" s="4" t="n"/>
      <c r="F307" s="4" t="n"/>
      <c r="G307" s="4" t="n"/>
    </row>
    <row r="308" ht="15.75" customHeight="1" s="40">
      <c r="A308" s="4" t="n"/>
      <c r="B308" s="4" t="n"/>
      <c r="C308" s="4" t="n"/>
      <c r="D308" s="4" t="n"/>
      <c r="E308" s="4" t="n"/>
      <c r="F308" s="4" t="n"/>
      <c r="G308" s="4" t="n"/>
    </row>
    <row r="309" ht="15.75" customHeight="1" s="40">
      <c r="A309" s="4" t="n"/>
      <c r="B309" s="4" t="n"/>
      <c r="C309" s="4" t="n"/>
      <c r="D309" s="4" t="n"/>
      <c r="E309" s="4" t="n"/>
      <c r="F309" s="4" t="n"/>
      <c r="G309" s="4" t="n"/>
    </row>
    <row r="310" ht="15.75" customHeight="1" s="40">
      <c r="A310" s="4" t="n"/>
      <c r="B310" s="4" t="n"/>
      <c r="C310" s="4" t="n"/>
      <c r="D310" s="4" t="n"/>
      <c r="E310" s="4" t="n"/>
      <c r="F310" s="4" t="n"/>
      <c r="G310" s="4" t="n"/>
    </row>
    <row r="311" ht="15.75" customHeight="1" s="40">
      <c r="A311" s="4" t="n"/>
      <c r="B311" s="4" t="n"/>
      <c r="C311" s="4" t="n"/>
      <c r="D311" s="4" t="n"/>
      <c r="E311" s="4" t="n"/>
      <c r="F311" s="4" t="n"/>
      <c r="G311" s="4" t="n"/>
    </row>
    <row r="312" ht="15.75" customHeight="1" s="40">
      <c r="A312" s="4" t="n"/>
      <c r="B312" s="4" t="n"/>
      <c r="C312" s="4" t="n"/>
      <c r="D312" s="4" t="n"/>
      <c r="E312" s="4" t="n"/>
      <c r="F312" s="4" t="n"/>
      <c r="G312" s="4" t="n"/>
    </row>
    <row r="313" ht="15.75" customHeight="1" s="40">
      <c r="A313" s="4" t="n"/>
      <c r="B313" s="4" t="n"/>
      <c r="C313" s="4" t="n"/>
      <c r="D313" s="4" t="n"/>
      <c r="E313" s="4" t="n"/>
      <c r="F313" s="4" t="n"/>
      <c r="G313" s="4" t="n"/>
    </row>
    <row r="314" ht="15.75" customHeight="1" s="40">
      <c r="A314" s="4" t="n"/>
      <c r="B314" s="4" t="n"/>
      <c r="C314" s="4" t="n"/>
      <c r="D314" s="4" t="n"/>
      <c r="E314" s="4" t="n"/>
      <c r="F314" s="4" t="n"/>
      <c r="G314" s="4" t="n"/>
    </row>
    <row r="315" ht="15.75" customHeight="1" s="40">
      <c r="A315" s="4" t="n"/>
      <c r="B315" s="4" t="n"/>
      <c r="C315" s="4" t="n"/>
      <c r="D315" s="4" t="n"/>
      <c r="E315" s="4" t="n"/>
      <c r="F315" s="4" t="n"/>
      <c r="G315" s="4" t="n"/>
    </row>
    <row r="316" ht="15.75" customHeight="1" s="40">
      <c r="A316" s="4" t="n"/>
      <c r="B316" s="4" t="n"/>
      <c r="C316" s="4" t="n"/>
      <c r="D316" s="4" t="n"/>
      <c r="E316" s="4" t="n"/>
      <c r="F316" s="4" t="n"/>
      <c r="G316" s="4" t="n"/>
    </row>
    <row r="317" ht="15.75" customHeight="1" s="40">
      <c r="A317" s="4" t="n"/>
      <c r="B317" s="4" t="n"/>
      <c r="C317" s="4" t="n"/>
      <c r="D317" s="4" t="n"/>
      <c r="E317" s="4" t="n"/>
      <c r="F317" s="4" t="n"/>
      <c r="G317" s="4" t="n"/>
    </row>
    <row r="318" ht="15.75" customHeight="1" s="40">
      <c r="A318" s="4" t="n"/>
      <c r="B318" s="4" t="n"/>
      <c r="C318" s="4" t="n"/>
      <c r="D318" s="4" t="n"/>
      <c r="E318" s="4" t="n"/>
      <c r="F318" s="4" t="n"/>
      <c r="G318" s="4" t="n"/>
    </row>
    <row r="319" ht="15.75" customHeight="1" s="40">
      <c r="A319" s="4" t="n"/>
      <c r="B319" s="4" t="n"/>
      <c r="C319" s="4" t="n"/>
      <c r="D319" s="4" t="n"/>
      <c r="E319" s="4" t="n"/>
      <c r="F319" s="4" t="n"/>
      <c r="G319" s="4" t="n"/>
    </row>
    <row r="320" ht="15.75" customHeight="1" s="40">
      <c r="A320" s="4" t="n"/>
      <c r="B320" s="4" t="n"/>
      <c r="C320" s="4" t="n"/>
      <c r="D320" s="4" t="n"/>
      <c r="E320" s="4" t="n"/>
      <c r="F320" s="4" t="n"/>
      <c r="G320" s="4" t="n"/>
    </row>
    <row r="321" ht="15.75" customHeight="1" s="40">
      <c r="A321" s="4" t="n"/>
      <c r="B321" s="4" t="n"/>
      <c r="C321" s="4" t="n"/>
      <c r="D321" s="4" t="n"/>
      <c r="E321" s="4" t="n"/>
      <c r="F321" s="4" t="n"/>
      <c r="G321" s="4" t="n"/>
    </row>
    <row r="322" ht="15.75" customHeight="1" s="40">
      <c r="A322" s="4" t="n"/>
      <c r="B322" s="4" t="n"/>
      <c r="C322" s="4" t="n"/>
      <c r="D322" s="4" t="n"/>
      <c r="E322" s="4" t="n"/>
      <c r="F322" s="4" t="n"/>
      <c r="G322" s="4" t="n"/>
    </row>
    <row r="323" ht="15.75" customHeight="1" s="40">
      <c r="A323" s="4" t="n"/>
      <c r="B323" s="4" t="n"/>
      <c r="C323" s="4" t="n"/>
      <c r="D323" s="4" t="n"/>
      <c r="E323" s="4" t="n"/>
      <c r="F323" s="4" t="n"/>
      <c r="G323" s="4" t="n"/>
    </row>
    <row r="324" ht="15.75" customHeight="1" s="40">
      <c r="A324" s="4" t="n"/>
      <c r="B324" s="4" t="n"/>
      <c r="C324" s="4" t="n"/>
      <c r="D324" s="4" t="n"/>
      <c r="E324" s="4" t="n"/>
      <c r="F324" s="4" t="n"/>
      <c r="G324" s="4" t="n"/>
    </row>
    <row r="325" ht="15.75" customHeight="1" s="40">
      <c r="A325" s="4" t="n"/>
      <c r="B325" s="4" t="n"/>
      <c r="C325" s="4" t="n"/>
      <c r="D325" s="4" t="n"/>
      <c r="E325" s="4" t="n"/>
      <c r="F325" s="4" t="n"/>
      <c r="G325" s="4" t="n"/>
    </row>
    <row r="326" ht="15.75" customHeight="1" s="40">
      <c r="A326" s="4" t="n"/>
      <c r="B326" s="4" t="n"/>
      <c r="C326" s="4" t="n"/>
      <c r="D326" s="4" t="n"/>
      <c r="E326" s="4" t="n"/>
      <c r="F326" s="4" t="n"/>
      <c r="G326" s="4" t="n"/>
    </row>
    <row r="327" ht="15.75" customHeight="1" s="40">
      <c r="A327" s="4" t="n"/>
      <c r="B327" s="4" t="n"/>
      <c r="C327" s="4" t="n"/>
      <c r="D327" s="4" t="n"/>
      <c r="E327" s="4" t="n"/>
      <c r="F327" s="4" t="n"/>
      <c r="G327" s="4" t="n"/>
    </row>
    <row r="328" ht="15.75" customHeight="1" s="40">
      <c r="A328" s="4" t="n"/>
      <c r="B328" s="4" t="n"/>
      <c r="C328" s="4" t="n"/>
      <c r="D328" s="4" t="n"/>
      <c r="E328" s="4" t="n"/>
      <c r="F328" s="4" t="n"/>
      <c r="G328" s="4" t="n"/>
    </row>
    <row r="329" ht="15.75" customHeight="1" s="40">
      <c r="A329" s="4" t="n"/>
      <c r="B329" s="4" t="n"/>
      <c r="C329" s="4" t="n"/>
      <c r="D329" s="4" t="n"/>
      <c r="E329" s="4" t="n"/>
      <c r="F329" s="4" t="n"/>
      <c r="G329" s="4" t="n"/>
    </row>
    <row r="330" ht="15.75" customHeight="1" s="40">
      <c r="A330" s="4" t="n"/>
      <c r="B330" s="4" t="n"/>
      <c r="C330" s="4" t="n"/>
      <c r="D330" s="4" t="n"/>
      <c r="E330" s="4" t="n"/>
      <c r="F330" s="4" t="n"/>
      <c r="G330" s="4" t="n"/>
    </row>
    <row r="331" ht="15.75" customHeight="1" s="40">
      <c r="A331" s="4" t="n"/>
      <c r="B331" s="4" t="n"/>
      <c r="C331" s="4" t="n"/>
      <c r="D331" s="4" t="n"/>
      <c r="E331" s="4" t="n"/>
      <c r="F331" s="4" t="n"/>
      <c r="G331" s="4" t="n"/>
    </row>
    <row r="332" ht="15.75" customHeight="1" s="40">
      <c r="A332" s="4" t="n"/>
      <c r="B332" s="4" t="n"/>
      <c r="C332" s="4" t="n"/>
      <c r="D332" s="4" t="n"/>
      <c r="E332" s="4" t="n"/>
      <c r="F332" s="4" t="n"/>
      <c r="G332" s="4" t="n"/>
    </row>
    <row r="333" ht="15.75" customHeight="1" s="40">
      <c r="A333" s="4" t="n"/>
      <c r="B333" s="4" t="n"/>
      <c r="C333" s="4" t="n"/>
      <c r="D333" s="4" t="n"/>
      <c r="E333" s="4" t="n"/>
      <c r="F333" s="4" t="n"/>
      <c r="G333" s="4" t="n"/>
    </row>
    <row r="334" ht="15.75" customHeight="1" s="40">
      <c r="A334" s="4" t="n"/>
      <c r="B334" s="4" t="n"/>
      <c r="C334" s="4" t="n"/>
      <c r="D334" s="4" t="n"/>
      <c r="E334" s="4" t="n"/>
      <c r="F334" s="4" t="n"/>
      <c r="G334" s="4" t="n"/>
    </row>
    <row r="335" ht="15.75" customHeight="1" s="40">
      <c r="A335" s="4" t="n"/>
      <c r="B335" s="4" t="n"/>
      <c r="C335" s="4" t="n"/>
      <c r="D335" s="4" t="n"/>
      <c r="E335" s="4" t="n"/>
      <c r="F335" s="4" t="n"/>
      <c r="G335" s="4" t="n"/>
    </row>
    <row r="336" ht="15.75" customHeight="1" s="40">
      <c r="A336" s="4" t="n"/>
      <c r="B336" s="4" t="n"/>
      <c r="C336" s="4" t="n"/>
      <c r="D336" s="4" t="n"/>
      <c r="E336" s="4" t="n"/>
      <c r="F336" s="4" t="n"/>
      <c r="G336" s="4" t="n"/>
    </row>
    <row r="337" ht="15.75" customHeight="1" s="40">
      <c r="A337" s="4" t="n"/>
      <c r="B337" s="4" t="n"/>
      <c r="C337" s="4" t="n"/>
      <c r="D337" s="4" t="n"/>
      <c r="E337" s="4" t="n"/>
      <c r="F337" s="4" t="n"/>
      <c r="G337" s="4" t="n"/>
    </row>
    <row r="338" ht="15.75" customHeight="1" s="40">
      <c r="A338" s="4" t="n"/>
      <c r="B338" s="4" t="n"/>
      <c r="C338" s="4" t="n"/>
      <c r="D338" s="4" t="n"/>
      <c r="E338" s="4" t="n"/>
      <c r="F338" s="4" t="n"/>
      <c r="G338" s="4" t="n"/>
    </row>
    <row r="339" ht="15.75" customHeight="1" s="40">
      <c r="A339" s="4" t="n"/>
      <c r="B339" s="4" t="n"/>
      <c r="C339" s="4" t="n"/>
      <c r="D339" s="4" t="n"/>
      <c r="E339" s="4" t="n"/>
      <c r="F339" s="4" t="n"/>
      <c r="G339" s="4" t="n"/>
    </row>
    <row r="340" ht="15.75" customHeight="1" s="40">
      <c r="A340" s="4" t="n"/>
      <c r="B340" s="4" t="n"/>
      <c r="C340" s="4" t="n"/>
      <c r="D340" s="4" t="n"/>
      <c r="E340" s="4" t="n"/>
      <c r="F340" s="4" t="n"/>
      <c r="G340" s="4" t="n"/>
    </row>
    <row r="341" ht="15.75" customHeight="1" s="40">
      <c r="A341" s="4" t="n"/>
      <c r="B341" s="4" t="n"/>
      <c r="C341" s="4" t="n"/>
      <c r="D341" s="4" t="n"/>
      <c r="E341" s="4" t="n"/>
      <c r="F341" s="4" t="n"/>
      <c r="G341" s="4" t="n"/>
    </row>
    <row r="342" ht="15.75" customHeight="1" s="40">
      <c r="A342" s="4" t="n"/>
      <c r="B342" s="4" t="n"/>
      <c r="C342" s="4" t="n"/>
      <c r="D342" s="4" t="n"/>
      <c r="E342" s="4" t="n"/>
      <c r="F342" s="4" t="n"/>
      <c r="G342" s="4" t="n"/>
    </row>
    <row r="343" ht="15.75" customHeight="1" s="40">
      <c r="A343" s="4" t="n"/>
      <c r="B343" s="4" t="n"/>
      <c r="C343" s="4" t="n"/>
      <c r="D343" s="4" t="n"/>
      <c r="E343" s="4" t="n"/>
      <c r="F343" s="4" t="n"/>
      <c r="G343" s="4" t="n"/>
    </row>
    <row r="344" ht="15.75" customHeight="1" s="40">
      <c r="A344" s="4" t="n"/>
      <c r="B344" s="4" t="n"/>
      <c r="C344" s="4" t="n"/>
      <c r="D344" s="4" t="n"/>
      <c r="E344" s="4" t="n"/>
      <c r="F344" s="4" t="n"/>
      <c r="G344" s="4" t="n"/>
    </row>
    <row r="345" ht="15.75" customHeight="1" s="40">
      <c r="A345" s="4" t="n"/>
      <c r="B345" s="4" t="n"/>
      <c r="C345" s="4" t="n"/>
      <c r="D345" s="4" t="n"/>
      <c r="E345" s="4" t="n"/>
      <c r="F345" s="4" t="n"/>
      <c r="G345" s="4" t="n"/>
    </row>
    <row r="346" ht="15.75" customHeight="1" s="40">
      <c r="A346" s="4" t="n"/>
      <c r="B346" s="4" t="n"/>
      <c r="C346" s="4" t="n"/>
      <c r="D346" s="4" t="n"/>
      <c r="E346" s="4" t="n"/>
      <c r="F346" s="4" t="n"/>
      <c r="G346" s="4" t="n"/>
    </row>
    <row r="347" ht="15.75" customHeight="1" s="40">
      <c r="A347" s="4" t="n"/>
      <c r="B347" s="4" t="n"/>
      <c r="C347" s="4" t="n"/>
      <c r="D347" s="4" t="n"/>
      <c r="E347" s="4" t="n"/>
      <c r="F347" s="4" t="n"/>
      <c r="G347" s="4" t="n"/>
    </row>
    <row r="348" ht="15.75" customHeight="1" s="40">
      <c r="A348" s="4" t="n"/>
      <c r="B348" s="4" t="n"/>
      <c r="C348" s="4" t="n"/>
      <c r="D348" s="4" t="n"/>
      <c r="E348" s="4" t="n"/>
      <c r="F348" s="4" t="n"/>
      <c r="G348" s="4" t="n"/>
    </row>
    <row r="349" ht="15.75" customHeight="1" s="40">
      <c r="A349" s="4" t="n"/>
      <c r="B349" s="4" t="n"/>
      <c r="C349" s="4" t="n"/>
      <c r="D349" s="4" t="n"/>
      <c r="E349" s="4" t="n"/>
      <c r="F349" s="4" t="n"/>
      <c r="G349" s="4" t="n"/>
    </row>
    <row r="350" ht="15.75" customHeight="1" s="40">
      <c r="A350" s="4" t="n"/>
      <c r="B350" s="4" t="n"/>
      <c r="C350" s="4" t="n"/>
      <c r="D350" s="4" t="n"/>
      <c r="E350" s="4" t="n"/>
      <c r="F350" s="4" t="n"/>
      <c r="G350" s="4" t="n"/>
    </row>
    <row r="351" ht="15.75" customHeight="1" s="40">
      <c r="A351" s="4" t="n"/>
      <c r="B351" s="4" t="n"/>
      <c r="C351" s="4" t="n"/>
      <c r="D351" s="4" t="n"/>
      <c r="E351" s="4" t="n"/>
      <c r="F351" s="4" t="n"/>
      <c r="G351" s="4" t="n"/>
    </row>
    <row r="352" ht="15.75" customHeight="1" s="40">
      <c r="A352" s="4" t="n"/>
      <c r="B352" s="4" t="n"/>
      <c r="C352" s="4" t="n"/>
      <c r="D352" s="4" t="n"/>
      <c r="E352" s="4" t="n"/>
      <c r="F352" s="4" t="n"/>
      <c r="G352" s="4" t="n"/>
    </row>
    <row r="353" ht="15.75" customHeight="1" s="40">
      <c r="A353" s="4" t="n"/>
      <c r="B353" s="4" t="n"/>
      <c r="C353" s="4" t="n"/>
      <c r="D353" s="4" t="n"/>
      <c r="E353" s="4" t="n"/>
      <c r="F353" s="4" t="n"/>
      <c r="G353" s="4" t="n"/>
    </row>
    <row r="354" ht="15.75" customHeight="1" s="40">
      <c r="A354" s="4" t="n"/>
      <c r="B354" s="4" t="n"/>
      <c r="C354" s="4" t="n"/>
      <c r="D354" s="4" t="n"/>
      <c r="E354" s="4" t="n"/>
      <c r="F354" s="4" t="n"/>
      <c r="G354" s="4" t="n"/>
    </row>
    <row r="355" ht="15.75" customHeight="1" s="40">
      <c r="A355" s="4" t="n"/>
      <c r="B355" s="4" t="n"/>
      <c r="C355" s="4" t="n"/>
      <c r="D355" s="4" t="n"/>
      <c r="E355" s="4" t="n"/>
      <c r="F355" s="4" t="n"/>
      <c r="G355" s="4" t="n"/>
    </row>
    <row r="356" ht="15.75" customHeight="1" s="40">
      <c r="A356" s="4" t="n"/>
      <c r="B356" s="4" t="n"/>
      <c r="C356" s="4" t="n"/>
      <c r="D356" s="4" t="n"/>
      <c r="E356" s="4" t="n"/>
      <c r="F356" s="4" t="n"/>
      <c r="G356" s="4" t="n"/>
    </row>
    <row r="357" ht="15.75" customHeight="1" s="40">
      <c r="A357" s="4" t="n"/>
      <c r="B357" s="4" t="n"/>
      <c r="C357" s="4" t="n"/>
      <c r="D357" s="4" t="n"/>
      <c r="E357" s="4" t="n"/>
      <c r="F357" s="4" t="n"/>
      <c r="G357" s="4" t="n"/>
    </row>
    <row r="358" ht="15.75" customHeight="1" s="40">
      <c r="A358" s="4" t="n"/>
      <c r="B358" s="4" t="n"/>
      <c r="C358" s="4" t="n"/>
      <c r="D358" s="4" t="n"/>
      <c r="E358" s="4" t="n"/>
      <c r="F358" s="4" t="n"/>
      <c r="G358" s="4" t="n"/>
    </row>
    <row r="359" ht="15.75" customHeight="1" s="40">
      <c r="A359" s="4" t="n"/>
      <c r="B359" s="4" t="n"/>
      <c r="C359" s="4" t="n"/>
      <c r="D359" s="4" t="n"/>
      <c r="E359" s="4" t="n"/>
      <c r="F359" s="4" t="n"/>
      <c r="G359" s="4" t="n"/>
    </row>
    <row r="360" ht="15.75" customHeight="1" s="40">
      <c r="A360" s="4" t="n"/>
      <c r="B360" s="4" t="n"/>
      <c r="C360" s="4" t="n"/>
      <c r="D360" s="4" t="n"/>
      <c r="E360" s="4" t="n"/>
      <c r="F360" s="4" t="n"/>
      <c r="G360" s="4" t="n"/>
    </row>
    <row r="361" ht="15.75" customHeight="1" s="40">
      <c r="A361" s="4" t="n"/>
      <c r="B361" s="4" t="n"/>
      <c r="C361" s="4" t="n"/>
      <c r="D361" s="4" t="n"/>
      <c r="E361" s="4" t="n"/>
      <c r="F361" s="4" t="n"/>
      <c r="G361" s="4" t="n"/>
    </row>
    <row r="362" ht="15.75" customHeight="1" s="40">
      <c r="A362" s="4" t="n"/>
      <c r="B362" s="4" t="n"/>
      <c r="C362" s="4" t="n"/>
      <c r="D362" s="4" t="n"/>
      <c r="E362" s="4" t="n"/>
      <c r="F362" s="4" t="n"/>
      <c r="G362" s="4" t="n"/>
    </row>
    <row r="363" ht="15.75" customHeight="1" s="40">
      <c r="A363" s="4" t="n"/>
      <c r="B363" s="4" t="n"/>
      <c r="C363" s="4" t="n"/>
      <c r="D363" s="4" t="n"/>
      <c r="E363" s="4" t="n"/>
      <c r="F363" s="4" t="n"/>
      <c r="G363" s="4" t="n"/>
    </row>
    <row r="364" ht="15.75" customHeight="1" s="40">
      <c r="A364" s="4" t="n"/>
      <c r="B364" s="4" t="n"/>
      <c r="C364" s="4" t="n"/>
      <c r="D364" s="4" t="n"/>
      <c r="E364" s="4" t="n"/>
      <c r="F364" s="4" t="n"/>
      <c r="G364" s="4" t="n"/>
    </row>
    <row r="365" ht="15.75" customHeight="1" s="40">
      <c r="A365" s="4" t="n"/>
      <c r="B365" s="4" t="n"/>
      <c r="C365" s="4" t="n"/>
      <c r="D365" s="4" t="n"/>
      <c r="E365" s="4" t="n"/>
      <c r="F365" s="4" t="n"/>
      <c r="G365" s="4" t="n"/>
    </row>
    <row r="366" ht="15.75" customHeight="1" s="40">
      <c r="A366" s="4" t="n"/>
      <c r="B366" s="4" t="n"/>
      <c r="C366" s="4" t="n"/>
      <c r="D366" s="4" t="n"/>
      <c r="E366" s="4" t="n"/>
      <c r="F366" s="4" t="n"/>
      <c r="G366" s="4" t="n"/>
    </row>
    <row r="367" ht="15.75" customHeight="1" s="40">
      <c r="A367" s="4" t="n"/>
      <c r="B367" s="4" t="n"/>
      <c r="C367" s="4" t="n"/>
      <c r="D367" s="4" t="n"/>
      <c r="E367" s="4" t="n"/>
      <c r="F367" s="4" t="n"/>
      <c r="G367" s="4" t="n"/>
    </row>
    <row r="368" ht="15.75" customHeight="1" s="40">
      <c r="A368" s="4" t="n"/>
      <c r="B368" s="4" t="n"/>
      <c r="C368" s="4" t="n"/>
      <c r="D368" s="4" t="n"/>
      <c r="E368" s="4" t="n"/>
      <c r="F368" s="4" t="n"/>
      <c r="G368" s="4" t="n"/>
    </row>
    <row r="369" ht="15.75" customHeight="1" s="40">
      <c r="A369" s="4" t="n"/>
      <c r="B369" s="4" t="n"/>
      <c r="C369" s="4" t="n"/>
      <c r="D369" s="4" t="n"/>
      <c r="E369" s="4" t="n"/>
      <c r="F369" s="4" t="n"/>
      <c r="G369" s="4" t="n"/>
    </row>
    <row r="370" ht="15.75" customHeight="1" s="40">
      <c r="A370" s="4" t="n"/>
      <c r="B370" s="4" t="n"/>
      <c r="C370" s="4" t="n"/>
      <c r="D370" s="4" t="n"/>
      <c r="E370" s="4" t="n"/>
      <c r="F370" s="4" t="n"/>
      <c r="G370" s="4" t="n"/>
    </row>
    <row r="371" ht="15.75" customHeight="1" s="40">
      <c r="A371" s="4" t="n"/>
      <c r="B371" s="4" t="n"/>
      <c r="C371" s="4" t="n"/>
      <c r="D371" s="4" t="n"/>
      <c r="E371" s="4" t="n"/>
      <c r="F371" s="4" t="n"/>
      <c r="G371" s="4" t="n"/>
    </row>
    <row r="372" ht="15.75" customHeight="1" s="40">
      <c r="A372" s="4" t="n"/>
      <c r="B372" s="4" t="n"/>
      <c r="C372" s="4" t="n"/>
      <c r="D372" s="4" t="n"/>
      <c r="E372" s="4" t="n"/>
      <c r="F372" s="4" t="n"/>
      <c r="G372" s="4" t="n"/>
    </row>
    <row r="373" ht="15.75" customHeight="1" s="40">
      <c r="A373" s="4" t="n"/>
      <c r="B373" s="4" t="n"/>
      <c r="C373" s="4" t="n"/>
      <c r="D373" s="4" t="n"/>
      <c r="E373" s="4" t="n"/>
      <c r="F373" s="4" t="n"/>
      <c r="G373" s="4" t="n"/>
    </row>
    <row r="374" ht="15.75" customHeight="1" s="40">
      <c r="A374" s="4" t="n"/>
      <c r="B374" s="4" t="n"/>
      <c r="C374" s="4" t="n"/>
      <c r="D374" s="4" t="n"/>
      <c r="E374" s="4" t="n"/>
      <c r="F374" s="4" t="n"/>
      <c r="G374" s="4" t="n"/>
    </row>
    <row r="375" ht="15.75" customHeight="1" s="40">
      <c r="A375" s="4" t="n"/>
      <c r="B375" s="4" t="n"/>
      <c r="C375" s="4" t="n"/>
      <c r="D375" s="4" t="n"/>
      <c r="E375" s="4" t="n"/>
      <c r="F375" s="4" t="n"/>
      <c r="G375" s="4" t="n"/>
    </row>
    <row r="376" ht="15.75" customHeight="1" s="40">
      <c r="A376" s="4" t="n"/>
      <c r="B376" s="4" t="n"/>
      <c r="C376" s="4" t="n"/>
      <c r="D376" s="4" t="n"/>
      <c r="E376" s="4" t="n"/>
      <c r="F376" s="4" t="n"/>
      <c r="G376" s="4" t="n"/>
    </row>
    <row r="377" ht="15.75" customHeight="1" s="40">
      <c r="A377" s="4" t="n"/>
      <c r="B377" s="4" t="n"/>
      <c r="C377" s="4" t="n"/>
      <c r="D377" s="4" t="n"/>
      <c r="E377" s="4" t="n"/>
      <c r="F377" s="4" t="n"/>
      <c r="G377" s="4" t="n"/>
    </row>
    <row r="378" ht="15.75" customHeight="1" s="40">
      <c r="A378" s="4" t="n"/>
      <c r="B378" s="4" t="n"/>
      <c r="C378" s="4" t="n"/>
      <c r="D378" s="4" t="n"/>
      <c r="E378" s="4" t="n"/>
      <c r="F378" s="4" t="n"/>
      <c r="G378" s="4" t="n"/>
    </row>
    <row r="379" ht="15.75" customHeight="1" s="40">
      <c r="A379" s="4" t="n"/>
      <c r="B379" s="4" t="n"/>
      <c r="C379" s="4" t="n"/>
      <c r="D379" s="4" t="n"/>
      <c r="E379" s="4" t="n"/>
      <c r="F379" s="4" t="n"/>
      <c r="G379" s="4" t="n"/>
    </row>
    <row r="380" ht="15.75" customHeight="1" s="40">
      <c r="A380" s="4" t="n"/>
      <c r="B380" s="4" t="n"/>
      <c r="C380" s="4" t="n"/>
      <c r="D380" s="4" t="n"/>
      <c r="E380" s="4" t="n"/>
      <c r="F380" s="4" t="n"/>
      <c r="G380" s="4" t="n"/>
    </row>
    <row r="381" ht="15.75" customHeight="1" s="40">
      <c r="A381" s="4" t="n"/>
      <c r="B381" s="4" t="n"/>
      <c r="C381" s="4" t="n"/>
      <c r="D381" s="4" t="n"/>
      <c r="E381" s="4" t="n"/>
      <c r="F381" s="4" t="n"/>
      <c r="G381" s="4" t="n"/>
    </row>
    <row r="382" ht="15.75" customHeight="1" s="40">
      <c r="A382" s="4" t="n"/>
      <c r="B382" s="4" t="n"/>
      <c r="C382" s="4" t="n"/>
      <c r="D382" s="4" t="n"/>
      <c r="E382" s="4" t="n"/>
      <c r="F382" s="4" t="n"/>
      <c r="G382" s="4" t="n"/>
    </row>
    <row r="383" ht="15.75" customHeight="1" s="40">
      <c r="A383" s="4" t="n"/>
      <c r="B383" s="4" t="n"/>
      <c r="C383" s="4" t="n"/>
      <c r="D383" s="4" t="n"/>
      <c r="E383" s="4" t="n"/>
      <c r="F383" s="4" t="n"/>
      <c r="G383" s="4" t="n"/>
    </row>
    <row r="384" ht="15.75" customHeight="1" s="40">
      <c r="A384" s="4" t="n"/>
      <c r="B384" s="4" t="n"/>
      <c r="C384" s="4" t="n"/>
      <c r="D384" s="4" t="n"/>
      <c r="E384" s="4" t="n"/>
      <c r="F384" s="4" t="n"/>
      <c r="G384" s="4" t="n"/>
    </row>
    <row r="385" ht="15.75" customHeight="1" s="40">
      <c r="A385" s="4" t="n"/>
      <c r="B385" s="4" t="n"/>
      <c r="C385" s="4" t="n"/>
      <c r="D385" s="4" t="n"/>
      <c r="E385" s="4" t="n"/>
      <c r="F385" s="4" t="n"/>
      <c r="G385" s="4" t="n"/>
    </row>
    <row r="386" ht="15.75" customHeight="1" s="40">
      <c r="A386" s="4" t="n"/>
      <c r="B386" s="4" t="n"/>
      <c r="C386" s="4" t="n"/>
      <c r="D386" s="4" t="n"/>
      <c r="E386" s="4" t="n"/>
      <c r="F386" s="4" t="n"/>
      <c r="G386" s="4" t="n"/>
    </row>
    <row r="387" ht="15.75" customHeight="1" s="40">
      <c r="A387" s="4" t="n"/>
      <c r="B387" s="4" t="n"/>
      <c r="C387" s="4" t="n"/>
      <c r="D387" s="4" t="n"/>
      <c r="E387" s="4" t="n"/>
      <c r="F387" s="4" t="n"/>
      <c r="G387" s="4" t="n"/>
    </row>
    <row r="388" ht="15.75" customHeight="1" s="40">
      <c r="A388" s="4" t="n"/>
      <c r="B388" s="4" t="n"/>
      <c r="C388" s="4" t="n"/>
      <c r="D388" s="4" t="n"/>
      <c r="E388" s="4" t="n"/>
      <c r="F388" s="4" t="n"/>
      <c r="G388" s="4" t="n"/>
    </row>
    <row r="389" ht="15.75" customHeight="1" s="40">
      <c r="A389" s="4" t="n"/>
      <c r="B389" s="4" t="n"/>
      <c r="C389" s="4" t="n"/>
      <c r="D389" s="4" t="n"/>
      <c r="E389" s="4" t="n"/>
      <c r="F389" s="4" t="n"/>
      <c r="G389" s="4" t="n"/>
    </row>
    <row r="390" ht="15.75" customHeight="1" s="40">
      <c r="A390" s="4" t="n"/>
      <c r="B390" s="4" t="n"/>
      <c r="C390" s="4" t="n"/>
      <c r="D390" s="4" t="n"/>
      <c r="E390" s="4" t="n"/>
      <c r="F390" s="4" t="n"/>
      <c r="G390" s="4" t="n"/>
    </row>
    <row r="391" ht="15.75" customHeight="1" s="40">
      <c r="A391" s="4" t="n"/>
      <c r="B391" s="4" t="n"/>
      <c r="C391" s="4" t="n"/>
      <c r="D391" s="4" t="n"/>
      <c r="E391" s="4" t="n"/>
      <c r="F391" s="4" t="n"/>
      <c r="G391" s="4" t="n"/>
    </row>
    <row r="392" ht="15.75" customHeight="1" s="40">
      <c r="A392" s="4" t="n"/>
      <c r="B392" s="4" t="n"/>
      <c r="C392" s="4" t="n"/>
      <c r="D392" s="4" t="n"/>
      <c r="E392" s="4" t="n"/>
      <c r="F392" s="4" t="n"/>
      <c r="G392" s="4" t="n"/>
    </row>
    <row r="393" ht="15.75" customHeight="1" s="40">
      <c r="A393" s="4" t="n"/>
      <c r="B393" s="4" t="n"/>
      <c r="C393" s="4" t="n"/>
      <c r="D393" s="4" t="n"/>
      <c r="E393" s="4" t="n"/>
      <c r="F393" s="4" t="n"/>
      <c r="G393" s="4" t="n"/>
    </row>
    <row r="394" ht="15.75" customHeight="1" s="40">
      <c r="A394" s="4" t="n"/>
      <c r="B394" s="4" t="n"/>
      <c r="C394" s="4" t="n"/>
      <c r="D394" s="4" t="n"/>
      <c r="E394" s="4" t="n"/>
      <c r="F394" s="4" t="n"/>
      <c r="G394" s="4" t="n"/>
    </row>
    <row r="395" ht="15.75" customHeight="1" s="40">
      <c r="A395" s="4" t="n"/>
      <c r="B395" s="4" t="n"/>
      <c r="C395" s="4" t="n"/>
      <c r="D395" s="4" t="n"/>
      <c r="E395" s="4" t="n"/>
      <c r="F395" s="4" t="n"/>
      <c r="G395" s="4" t="n"/>
    </row>
    <row r="396" ht="15.75" customHeight="1" s="40">
      <c r="A396" s="4" t="n"/>
      <c r="B396" s="4" t="n"/>
      <c r="C396" s="4" t="n"/>
      <c r="D396" s="4" t="n"/>
      <c r="E396" s="4" t="n"/>
      <c r="F396" s="4" t="n"/>
      <c r="G396" s="4" t="n"/>
    </row>
    <row r="397" ht="15.75" customHeight="1" s="40">
      <c r="A397" s="4" t="n"/>
      <c r="B397" s="4" t="n"/>
      <c r="C397" s="4" t="n"/>
      <c r="D397" s="4" t="n"/>
      <c r="E397" s="4" t="n"/>
      <c r="F397" s="4" t="n"/>
      <c r="G397" s="4" t="n"/>
    </row>
    <row r="398" ht="15.75" customHeight="1" s="40">
      <c r="A398" s="4" t="n"/>
      <c r="B398" s="4" t="n"/>
      <c r="C398" s="4" t="n"/>
      <c r="D398" s="4" t="n"/>
      <c r="E398" s="4" t="n"/>
      <c r="F398" s="4" t="n"/>
      <c r="G398" s="4" t="n"/>
    </row>
    <row r="399" ht="15.75" customHeight="1" s="40">
      <c r="A399" s="4" t="n"/>
      <c r="B399" s="4" t="n"/>
      <c r="C399" s="4" t="n"/>
      <c r="D399" s="4" t="n"/>
      <c r="E399" s="4" t="n"/>
      <c r="F399" s="4" t="n"/>
      <c r="G399" s="4" t="n"/>
    </row>
    <row r="400" ht="15.75" customHeight="1" s="40">
      <c r="A400" s="4" t="n"/>
      <c r="B400" s="4" t="n"/>
      <c r="C400" s="4" t="n"/>
      <c r="D400" s="4" t="n"/>
      <c r="E400" s="4" t="n"/>
      <c r="F400" s="4" t="n"/>
      <c r="G400" s="4" t="n"/>
    </row>
    <row r="401" ht="15.75" customHeight="1" s="40">
      <c r="A401" s="4" t="n"/>
      <c r="B401" s="4" t="n"/>
      <c r="C401" s="4" t="n"/>
      <c r="D401" s="4" t="n"/>
      <c r="E401" s="4" t="n"/>
      <c r="F401" s="4" t="n"/>
      <c r="G401" s="4" t="n"/>
    </row>
    <row r="402" ht="15.75" customHeight="1" s="40">
      <c r="A402" s="4" t="n"/>
      <c r="B402" s="4" t="n"/>
      <c r="C402" s="4" t="n"/>
      <c r="D402" s="4" t="n"/>
      <c r="E402" s="4" t="n"/>
      <c r="F402" s="4" t="n"/>
      <c r="G402" s="4" t="n"/>
    </row>
    <row r="403" ht="15.75" customHeight="1" s="40">
      <c r="A403" s="4" t="n"/>
      <c r="B403" s="4" t="n"/>
      <c r="C403" s="4" t="n"/>
      <c r="D403" s="4" t="n"/>
      <c r="E403" s="4" t="n"/>
      <c r="F403" s="4" t="n"/>
      <c r="G403" s="4" t="n"/>
    </row>
    <row r="404" ht="15.75" customHeight="1" s="40">
      <c r="A404" s="4" t="n"/>
      <c r="B404" s="4" t="n"/>
      <c r="C404" s="4" t="n"/>
      <c r="D404" s="4" t="n"/>
      <c r="E404" s="4" t="n"/>
      <c r="F404" s="4" t="n"/>
      <c r="G404" s="4" t="n"/>
    </row>
    <row r="405" ht="15.75" customHeight="1" s="40">
      <c r="A405" s="4" t="n"/>
      <c r="B405" s="4" t="n"/>
      <c r="C405" s="4" t="n"/>
      <c r="D405" s="4" t="n"/>
      <c r="E405" s="4" t="n"/>
      <c r="F405" s="4" t="n"/>
      <c r="G405" s="4" t="n"/>
    </row>
    <row r="406" ht="15.75" customHeight="1" s="40">
      <c r="A406" s="4" t="n"/>
      <c r="B406" s="4" t="n"/>
      <c r="C406" s="4" t="n"/>
      <c r="D406" s="4" t="n"/>
      <c r="E406" s="4" t="n"/>
      <c r="F406" s="4" t="n"/>
      <c r="G406" s="4" t="n"/>
    </row>
    <row r="407" ht="15.75" customHeight="1" s="40">
      <c r="A407" s="4" t="n"/>
      <c r="B407" s="4" t="n"/>
      <c r="C407" s="4" t="n"/>
      <c r="D407" s="4" t="n"/>
      <c r="E407" s="4" t="n"/>
      <c r="F407" s="4" t="n"/>
      <c r="G407" s="4" t="n"/>
    </row>
    <row r="408" ht="15.75" customHeight="1" s="40">
      <c r="A408" s="4" t="n"/>
      <c r="B408" s="4" t="n"/>
      <c r="C408" s="4" t="n"/>
      <c r="D408" s="4" t="n"/>
      <c r="E408" s="4" t="n"/>
      <c r="F408" s="4" t="n"/>
      <c r="G408" s="4" t="n"/>
    </row>
    <row r="409" ht="15.75" customHeight="1" s="40">
      <c r="A409" s="4" t="n"/>
      <c r="B409" s="4" t="n"/>
      <c r="C409" s="4" t="n"/>
      <c r="D409" s="4" t="n"/>
      <c r="E409" s="4" t="n"/>
      <c r="F409" s="4" t="n"/>
      <c r="G409" s="4" t="n"/>
    </row>
    <row r="410" ht="15.75" customHeight="1" s="40">
      <c r="A410" s="4" t="n"/>
      <c r="B410" s="4" t="n"/>
      <c r="C410" s="4" t="n"/>
      <c r="D410" s="4" t="n"/>
      <c r="E410" s="4" t="n"/>
      <c r="F410" s="4" t="n"/>
      <c r="G410" s="4" t="n"/>
    </row>
    <row r="411" ht="15.75" customHeight="1" s="40">
      <c r="A411" s="4" t="n"/>
      <c r="B411" s="4" t="n"/>
      <c r="C411" s="4" t="n"/>
      <c r="D411" s="4" t="n"/>
      <c r="E411" s="4" t="n"/>
      <c r="F411" s="4" t="n"/>
      <c r="G411" s="4" t="n"/>
    </row>
    <row r="412" ht="15.75" customHeight="1" s="40">
      <c r="A412" s="4" t="n"/>
      <c r="B412" s="4" t="n"/>
      <c r="C412" s="4" t="n"/>
      <c r="D412" s="4" t="n"/>
      <c r="E412" s="4" t="n"/>
      <c r="F412" s="4" t="n"/>
      <c r="G412" s="4" t="n"/>
    </row>
    <row r="413" ht="15.75" customHeight="1" s="40">
      <c r="A413" s="4" t="n"/>
      <c r="B413" s="4" t="n"/>
      <c r="C413" s="4" t="n"/>
      <c r="D413" s="4" t="n"/>
      <c r="E413" s="4" t="n"/>
      <c r="F413" s="4" t="n"/>
      <c r="G413" s="4" t="n"/>
    </row>
    <row r="414" ht="15.75" customHeight="1" s="40">
      <c r="A414" s="4" t="n"/>
      <c r="B414" s="4" t="n"/>
      <c r="C414" s="4" t="n"/>
      <c r="D414" s="4" t="n"/>
      <c r="E414" s="4" t="n"/>
      <c r="F414" s="4" t="n"/>
      <c r="G414" s="4" t="n"/>
    </row>
    <row r="415" ht="15.75" customHeight="1" s="40">
      <c r="A415" s="4" t="n"/>
      <c r="B415" s="4" t="n"/>
      <c r="C415" s="4" t="n"/>
      <c r="D415" s="4" t="n"/>
      <c r="E415" s="4" t="n"/>
      <c r="F415" s="4" t="n"/>
      <c r="G415" s="4" t="n"/>
    </row>
    <row r="416" ht="15.75" customHeight="1" s="40">
      <c r="A416" s="4" t="n"/>
      <c r="B416" s="4" t="n"/>
      <c r="C416" s="4" t="n"/>
      <c r="D416" s="4" t="n"/>
      <c r="E416" s="4" t="n"/>
      <c r="F416" s="4" t="n"/>
      <c r="G416" s="4" t="n"/>
    </row>
    <row r="417" ht="15.75" customHeight="1" s="40">
      <c r="A417" s="4" t="n"/>
      <c r="B417" s="4" t="n"/>
      <c r="C417" s="4" t="n"/>
      <c r="D417" s="4" t="n"/>
      <c r="E417" s="4" t="n"/>
      <c r="F417" s="4" t="n"/>
      <c r="G417" s="4" t="n"/>
    </row>
    <row r="418" ht="15.75" customHeight="1" s="40">
      <c r="A418" s="4" t="n"/>
      <c r="B418" s="4" t="n"/>
      <c r="C418" s="4" t="n"/>
      <c r="D418" s="4" t="n"/>
      <c r="E418" s="4" t="n"/>
      <c r="F418" s="4" t="n"/>
      <c r="G418" s="4" t="n"/>
    </row>
    <row r="419" ht="15.75" customHeight="1" s="40">
      <c r="A419" s="4" t="n"/>
      <c r="B419" s="4" t="n"/>
      <c r="C419" s="4" t="n"/>
      <c r="D419" s="4" t="n"/>
      <c r="E419" s="4" t="n"/>
      <c r="F419" s="4" t="n"/>
      <c r="G419" s="4" t="n"/>
    </row>
    <row r="420" ht="15.75" customHeight="1" s="40">
      <c r="A420" s="4" t="n"/>
      <c r="B420" s="4" t="n"/>
      <c r="C420" s="4" t="n"/>
      <c r="D420" s="4" t="n"/>
      <c r="E420" s="4" t="n"/>
      <c r="F420" s="4" t="n"/>
      <c r="G420" s="4" t="n"/>
    </row>
    <row r="421" ht="15.75" customHeight="1" s="40">
      <c r="A421" s="4" t="n"/>
      <c r="B421" s="4" t="n"/>
      <c r="C421" s="4" t="n"/>
      <c r="D421" s="4" t="n"/>
      <c r="E421" s="4" t="n"/>
      <c r="F421" s="4" t="n"/>
      <c r="G421" s="4" t="n"/>
    </row>
    <row r="422" ht="15.75" customHeight="1" s="40">
      <c r="A422" s="4" t="n"/>
      <c r="B422" s="4" t="n"/>
      <c r="C422" s="4" t="n"/>
      <c r="D422" s="4" t="n"/>
      <c r="E422" s="4" t="n"/>
      <c r="F422" s="4" t="n"/>
      <c r="G422" s="4" t="n"/>
    </row>
    <row r="423" ht="15.75" customHeight="1" s="40">
      <c r="A423" s="4" t="n"/>
      <c r="B423" s="4" t="n"/>
      <c r="C423" s="4" t="n"/>
      <c r="D423" s="4" t="n"/>
      <c r="E423" s="4" t="n"/>
      <c r="F423" s="4" t="n"/>
      <c r="G423" s="4" t="n"/>
    </row>
    <row r="424" ht="15.75" customHeight="1" s="40">
      <c r="A424" s="4" t="n"/>
      <c r="B424" s="4" t="n"/>
      <c r="C424" s="4" t="n"/>
      <c r="D424" s="4" t="n"/>
      <c r="E424" s="4" t="n"/>
      <c r="F424" s="4" t="n"/>
      <c r="G424" s="4" t="n"/>
    </row>
    <row r="425" ht="15.75" customHeight="1" s="40">
      <c r="A425" s="4" t="n"/>
      <c r="B425" s="4" t="n"/>
      <c r="C425" s="4" t="n"/>
      <c r="D425" s="4" t="n"/>
      <c r="E425" s="4" t="n"/>
      <c r="F425" s="4" t="n"/>
      <c r="G425" s="4" t="n"/>
    </row>
    <row r="426" ht="15.75" customHeight="1" s="40">
      <c r="A426" s="4" t="n"/>
      <c r="B426" s="4" t="n"/>
      <c r="C426" s="4" t="n"/>
      <c r="D426" s="4" t="n"/>
      <c r="E426" s="4" t="n"/>
      <c r="F426" s="4" t="n"/>
      <c r="G426" s="4" t="n"/>
    </row>
    <row r="427" ht="15.75" customHeight="1" s="40">
      <c r="A427" s="4" t="n"/>
      <c r="B427" s="4" t="n"/>
      <c r="C427" s="4" t="n"/>
      <c r="D427" s="4" t="n"/>
      <c r="E427" s="4" t="n"/>
      <c r="F427" s="4" t="n"/>
      <c r="G427" s="4" t="n"/>
    </row>
    <row r="428" ht="15.75" customHeight="1" s="40">
      <c r="A428" s="4" t="n"/>
      <c r="B428" s="4" t="n"/>
      <c r="C428" s="4" t="n"/>
      <c r="D428" s="4" t="n"/>
      <c r="E428" s="4" t="n"/>
      <c r="F428" s="4" t="n"/>
      <c r="G428" s="4" t="n"/>
    </row>
    <row r="429" ht="15.75" customHeight="1" s="40">
      <c r="A429" s="4" t="n"/>
      <c r="B429" s="4" t="n"/>
      <c r="C429" s="4" t="n"/>
      <c r="D429" s="4" t="n"/>
      <c r="E429" s="4" t="n"/>
      <c r="F429" s="4" t="n"/>
      <c r="G429" s="4" t="n"/>
    </row>
    <row r="430" ht="15.75" customHeight="1" s="40">
      <c r="A430" s="4" t="n"/>
      <c r="B430" s="4" t="n"/>
      <c r="C430" s="4" t="n"/>
      <c r="D430" s="4" t="n"/>
      <c r="E430" s="4" t="n"/>
      <c r="F430" s="4" t="n"/>
      <c r="G430" s="4" t="n"/>
    </row>
    <row r="431" ht="15.75" customHeight="1" s="40">
      <c r="A431" s="4" t="n"/>
      <c r="B431" s="4" t="n"/>
      <c r="C431" s="4" t="n"/>
      <c r="D431" s="4" t="n"/>
      <c r="E431" s="4" t="n"/>
      <c r="F431" s="4" t="n"/>
      <c r="G431" s="4" t="n"/>
    </row>
    <row r="432" ht="15.75" customHeight="1" s="40">
      <c r="A432" s="4" t="n"/>
      <c r="B432" s="4" t="n"/>
      <c r="C432" s="4" t="n"/>
      <c r="D432" s="4" t="n"/>
      <c r="E432" s="4" t="n"/>
      <c r="F432" s="4" t="n"/>
      <c r="G432" s="4" t="n"/>
    </row>
    <row r="433" ht="15.75" customHeight="1" s="40">
      <c r="A433" s="4" t="n"/>
      <c r="B433" s="4" t="n"/>
      <c r="C433" s="4" t="n"/>
      <c r="D433" s="4" t="n"/>
      <c r="E433" s="4" t="n"/>
      <c r="F433" s="4" t="n"/>
      <c r="G433" s="4" t="n"/>
    </row>
    <row r="434" ht="15.75" customHeight="1" s="40">
      <c r="A434" s="4" t="n"/>
      <c r="B434" s="4" t="n"/>
      <c r="C434" s="4" t="n"/>
      <c r="D434" s="4" t="n"/>
      <c r="E434" s="4" t="n"/>
      <c r="F434" s="4" t="n"/>
      <c r="G434" s="4" t="n"/>
    </row>
    <row r="435" ht="15.75" customHeight="1" s="40">
      <c r="A435" s="4" t="n"/>
      <c r="B435" s="4" t="n"/>
      <c r="C435" s="4" t="n"/>
      <c r="D435" s="4" t="n"/>
      <c r="E435" s="4" t="n"/>
      <c r="F435" s="4" t="n"/>
      <c r="G435" s="4" t="n"/>
    </row>
    <row r="436" ht="15.75" customHeight="1" s="40">
      <c r="A436" s="4" t="n"/>
      <c r="B436" s="4" t="n"/>
      <c r="C436" s="4" t="n"/>
      <c r="D436" s="4" t="n"/>
      <c r="E436" s="4" t="n"/>
      <c r="F436" s="4" t="n"/>
      <c r="G436" s="4" t="n"/>
    </row>
    <row r="437" ht="15.75" customHeight="1" s="40">
      <c r="A437" s="4" t="n"/>
      <c r="B437" s="4" t="n"/>
      <c r="C437" s="4" t="n"/>
      <c r="D437" s="4" t="n"/>
      <c r="E437" s="4" t="n"/>
      <c r="F437" s="4" t="n"/>
      <c r="G437" s="4" t="n"/>
    </row>
    <row r="438" ht="15.75" customHeight="1" s="40">
      <c r="A438" s="4" t="n"/>
      <c r="B438" s="4" t="n"/>
      <c r="C438" s="4" t="n"/>
      <c r="D438" s="4" t="n"/>
      <c r="E438" s="4" t="n"/>
      <c r="F438" s="4" t="n"/>
      <c r="G438" s="4" t="n"/>
    </row>
    <row r="439" ht="15.75" customHeight="1" s="40">
      <c r="A439" s="4" t="n"/>
      <c r="B439" s="4" t="n"/>
      <c r="C439" s="4" t="n"/>
      <c r="D439" s="4" t="n"/>
      <c r="E439" s="4" t="n"/>
      <c r="F439" s="4" t="n"/>
      <c r="G439" s="4" t="n"/>
    </row>
    <row r="440" ht="15.75" customHeight="1" s="40">
      <c r="A440" s="4" t="n"/>
      <c r="B440" s="4" t="n"/>
      <c r="C440" s="4" t="n"/>
      <c r="D440" s="4" t="n"/>
      <c r="E440" s="4" t="n"/>
      <c r="F440" s="4" t="n"/>
      <c r="G440" s="4" t="n"/>
    </row>
    <row r="441" ht="15.75" customHeight="1" s="40">
      <c r="A441" s="4" t="n"/>
      <c r="B441" s="4" t="n"/>
      <c r="C441" s="4" t="n"/>
      <c r="D441" s="4" t="n"/>
      <c r="E441" s="4" t="n"/>
      <c r="F441" s="4" t="n"/>
      <c r="G441" s="4" t="n"/>
    </row>
    <row r="442" ht="15.75" customHeight="1" s="40">
      <c r="A442" s="4" t="n"/>
      <c r="B442" s="4" t="n"/>
      <c r="C442" s="4" t="n"/>
      <c r="D442" s="4" t="n"/>
      <c r="E442" s="4" t="n"/>
      <c r="F442" s="4" t="n"/>
      <c r="G442" s="4" t="n"/>
    </row>
    <row r="443" ht="15.75" customHeight="1" s="40">
      <c r="A443" s="4" t="n"/>
      <c r="B443" s="4" t="n"/>
      <c r="C443" s="4" t="n"/>
      <c r="D443" s="4" t="n"/>
      <c r="E443" s="4" t="n"/>
      <c r="F443" s="4" t="n"/>
      <c r="G443" s="4" t="n"/>
    </row>
    <row r="444" ht="15.75" customHeight="1" s="40">
      <c r="A444" s="4" t="n"/>
      <c r="B444" s="4" t="n"/>
      <c r="C444" s="4" t="n"/>
      <c r="D444" s="4" t="n"/>
      <c r="E444" s="4" t="n"/>
      <c r="F444" s="4" t="n"/>
      <c r="G444" s="4" t="n"/>
    </row>
    <row r="445" ht="15.75" customHeight="1" s="40">
      <c r="A445" s="4" t="n"/>
      <c r="B445" s="4" t="n"/>
      <c r="C445" s="4" t="n"/>
      <c r="D445" s="4" t="n"/>
      <c r="E445" s="4" t="n"/>
      <c r="F445" s="4" t="n"/>
      <c r="G445" s="4" t="n"/>
    </row>
    <row r="446" ht="15.75" customHeight="1" s="40">
      <c r="A446" s="4" t="n"/>
      <c r="B446" s="4" t="n"/>
      <c r="C446" s="4" t="n"/>
      <c r="D446" s="4" t="n"/>
      <c r="E446" s="4" t="n"/>
      <c r="F446" s="4" t="n"/>
      <c r="G446" s="4" t="n"/>
    </row>
    <row r="447" ht="15.75" customHeight="1" s="40">
      <c r="A447" s="4" t="n"/>
      <c r="B447" s="4" t="n"/>
      <c r="C447" s="4" t="n"/>
      <c r="D447" s="4" t="n"/>
      <c r="E447" s="4" t="n"/>
      <c r="F447" s="4" t="n"/>
      <c r="G447" s="4" t="n"/>
    </row>
    <row r="448" ht="15.75" customHeight="1" s="40">
      <c r="A448" s="4" t="n"/>
      <c r="B448" s="4" t="n"/>
      <c r="C448" s="4" t="n"/>
      <c r="D448" s="4" t="n"/>
      <c r="E448" s="4" t="n"/>
      <c r="F448" s="4" t="n"/>
      <c r="G448" s="4" t="n"/>
    </row>
    <row r="449" ht="15.75" customHeight="1" s="40">
      <c r="A449" s="4" t="n"/>
      <c r="B449" s="4" t="n"/>
      <c r="C449" s="4" t="n"/>
      <c r="D449" s="4" t="n"/>
      <c r="E449" s="4" t="n"/>
      <c r="F449" s="4" t="n"/>
      <c r="G449" s="4" t="n"/>
    </row>
    <row r="450" ht="15.75" customHeight="1" s="40">
      <c r="A450" s="4" t="n"/>
      <c r="B450" s="4" t="n"/>
      <c r="C450" s="4" t="n"/>
      <c r="D450" s="4" t="n"/>
      <c r="E450" s="4" t="n"/>
      <c r="F450" s="4" t="n"/>
      <c r="G450" s="4" t="n"/>
    </row>
    <row r="451" ht="15.75" customHeight="1" s="40">
      <c r="A451" s="4" t="n"/>
      <c r="B451" s="4" t="n"/>
      <c r="C451" s="4" t="n"/>
      <c r="D451" s="4" t="n"/>
      <c r="E451" s="4" t="n"/>
      <c r="F451" s="4" t="n"/>
      <c r="G451" s="4" t="n"/>
    </row>
    <row r="452" ht="15.75" customHeight="1" s="40">
      <c r="A452" s="4" t="n"/>
      <c r="B452" s="4" t="n"/>
      <c r="C452" s="4" t="n"/>
      <c r="D452" s="4" t="n"/>
      <c r="E452" s="4" t="n"/>
      <c r="F452" s="4" t="n"/>
      <c r="G452" s="4" t="n"/>
    </row>
    <row r="453" ht="15.75" customHeight="1" s="40">
      <c r="A453" s="4" t="n"/>
      <c r="B453" s="4" t="n"/>
      <c r="C453" s="4" t="n"/>
      <c r="D453" s="4" t="n"/>
      <c r="E453" s="4" t="n"/>
      <c r="F453" s="4" t="n"/>
      <c r="G453" s="4" t="n"/>
    </row>
    <row r="454" ht="15.75" customHeight="1" s="40">
      <c r="A454" s="4" t="n"/>
      <c r="B454" s="4" t="n"/>
      <c r="C454" s="4" t="n"/>
      <c r="D454" s="4" t="n"/>
      <c r="E454" s="4" t="n"/>
      <c r="F454" s="4" t="n"/>
      <c r="G454" s="4" t="n"/>
    </row>
    <row r="455" ht="15.75" customHeight="1" s="40">
      <c r="A455" s="4" t="n"/>
      <c r="B455" s="4" t="n"/>
      <c r="C455" s="4" t="n"/>
      <c r="D455" s="4" t="n"/>
      <c r="E455" s="4" t="n"/>
      <c r="F455" s="4" t="n"/>
      <c r="G455" s="4" t="n"/>
    </row>
    <row r="456" ht="15.75" customHeight="1" s="40">
      <c r="A456" s="4" t="n"/>
      <c r="B456" s="4" t="n"/>
      <c r="C456" s="4" t="n"/>
      <c r="D456" s="4" t="n"/>
      <c r="E456" s="4" t="n"/>
      <c r="F456" s="4" t="n"/>
      <c r="G456" s="4" t="n"/>
    </row>
    <row r="457" ht="15.75" customHeight="1" s="40">
      <c r="A457" s="4" t="n"/>
      <c r="B457" s="4" t="n"/>
      <c r="C457" s="4" t="n"/>
      <c r="D457" s="4" t="n"/>
      <c r="E457" s="4" t="n"/>
      <c r="F457" s="4" t="n"/>
      <c r="G457" s="4" t="n"/>
    </row>
    <row r="458" ht="15.75" customHeight="1" s="40">
      <c r="A458" s="4" t="n"/>
      <c r="B458" s="4" t="n"/>
      <c r="C458" s="4" t="n"/>
      <c r="D458" s="4" t="n"/>
      <c r="E458" s="4" t="n"/>
      <c r="F458" s="4" t="n"/>
      <c r="G458" s="4" t="n"/>
    </row>
    <row r="459" ht="15.75" customHeight="1" s="40">
      <c r="A459" s="4" t="n"/>
      <c r="B459" s="4" t="n"/>
      <c r="C459" s="4" t="n"/>
      <c r="D459" s="4" t="n"/>
      <c r="E459" s="4" t="n"/>
      <c r="F459" s="4" t="n"/>
      <c r="G459" s="4" t="n"/>
    </row>
    <row r="460" ht="15.75" customHeight="1" s="40">
      <c r="A460" s="4" t="n"/>
      <c r="B460" s="4" t="n"/>
      <c r="C460" s="4" t="n"/>
      <c r="D460" s="4" t="n"/>
      <c r="E460" s="4" t="n"/>
      <c r="F460" s="4" t="n"/>
      <c r="G460" s="4" t="n"/>
    </row>
    <row r="461" ht="15.75" customHeight="1" s="40">
      <c r="A461" s="4" t="n"/>
      <c r="B461" s="4" t="n"/>
      <c r="C461" s="4" t="n"/>
      <c r="D461" s="4" t="n"/>
      <c r="E461" s="4" t="n"/>
      <c r="F461" s="4" t="n"/>
      <c r="G461" s="4" t="n"/>
    </row>
    <row r="462" ht="15.75" customHeight="1" s="40">
      <c r="A462" s="4" t="n"/>
      <c r="B462" s="4" t="n"/>
      <c r="C462" s="4" t="n"/>
      <c r="D462" s="4" t="n"/>
      <c r="E462" s="4" t="n"/>
      <c r="F462" s="4" t="n"/>
      <c r="G462" s="4" t="n"/>
    </row>
    <row r="463" ht="15.75" customHeight="1" s="40">
      <c r="A463" s="4" t="n"/>
      <c r="B463" s="4" t="n"/>
      <c r="C463" s="4" t="n"/>
      <c r="D463" s="4" t="n"/>
      <c r="E463" s="4" t="n"/>
      <c r="F463" s="4" t="n"/>
      <c r="G463" s="4" t="n"/>
    </row>
    <row r="464" ht="15.75" customHeight="1" s="40">
      <c r="A464" s="4" t="n"/>
      <c r="B464" s="4" t="n"/>
      <c r="C464" s="4" t="n"/>
      <c r="D464" s="4" t="n"/>
      <c r="E464" s="4" t="n"/>
      <c r="F464" s="4" t="n"/>
      <c r="G464" s="4" t="n"/>
    </row>
    <row r="465" ht="15.75" customHeight="1" s="40">
      <c r="A465" s="4" t="n"/>
      <c r="B465" s="4" t="n"/>
      <c r="C465" s="4" t="n"/>
      <c r="D465" s="4" t="n"/>
      <c r="E465" s="4" t="n"/>
      <c r="F465" s="4" t="n"/>
      <c r="G465" s="4" t="n"/>
    </row>
    <row r="466" ht="15.75" customHeight="1" s="40">
      <c r="A466" s="4" t="n"/>
      <c r="B466" s="4" t="n"/>
      <c r="C466" s="4" t="n"/>
      <c r="D466" s="4" t="n"/>
      <c r="E466" s="4" t="n"/>
      <c r="F466" s="4" t="n"/>
      <c r="G466" s="4" t="n"/>
    </row>
    <row r="467" ht="15.75" customHeight="1" s="40">
      <c r="A467" s="4" t="n"/>
      <c r="B467" s="4" t="n"/>
      <c r="C467" s="4" t="n"/>
      <c r="D467" s="4" t="n"/>
      <c r="E467" s="4" t="n"/>
      <c r="F467" s="4" t="n"/>
      <c r="G467" s="4" t="n"/>
    </row>
    <row r="468" ht="15.75" customHeight="1" s="40">
      <c r="A468" s="4" t="n"/>
      <c r="B468" s="4" t="n"/>
      <c r="C468" s="4" t="n"/>
      <c r="D468" s="4" t="n"/>
      <c r="E468" s="4" t="n"/>
      <c r="F468" s="4" t="n"/>
      <c r="G468" s="4" t="n"/>
    </row>
    <row r="469" ht="15.75" customHeight="1" s="40">
      <c r="A469" s="4" t="n"/>
      <c r="B469" s="4" t="n"/>
      <c r="C469" s="4" t="n"/>
      <c r="D469" s="4" t="n"/>
      <c r="E469" s="4" t="n"/>
      <c r="F469" s="4" t="n"/>
      <c r="G469" s="4" t="n"/>
    </row>
    <row r="470" ht="15.75" customHeight="1" s="40">
      <c r="A470" s="4" t="n"/>
      <c r="B470" s="4" t="n"/>
      <c r="C470" s="4" t="n"/>
      <c r="D470" s="4" t="n"/>
      <c r="E470" s="4" t="n"/>
      <c r="F470" s="4" t="n"/>
      <c r="G470" s="4" t="n"/>
    </row>
    <row r="471" ht="15.75" customHeight="1" s="40">
      <c r="A471" s="4" t="n"/>
      <c r="B471" s="4" t="n"/>
      <c r="C471" s="4" t="n"/>
      <c r="D471" s="4" t="n"/>
      <c r="E471" s="4" t="n"/>
      <c r="F471" s="4" t="n"/>
      <c r="G471" s="4" t="n"/>
    </row>
    <row r="472" ht="15.75" customHeight="1" s="40">
      <c r="A472" s="4" t="n"/>
      <c r="B472" s="4" t="n"/>
      <c r="C472" s="4" t="n"/>
      <c r="D472" s="4" t="n"/>
      <c r="E472" s="4" t="n"/>
      <c r="F472" s="4" t="n"/>
      <c r="G472" s="4" t="n"/>
    </row>
    <row r="473" ht="15.75" customHeight="1" s="40">
      <c r="A473" s="4" t="n"/>
      <c r="B473" s="4" t="n"/>
      <c r="C473" s="4" t="n"/>
      <c r="D473" s="4" t="n"/>
      <c r="E473" s="4" t="n"/>
      <c r="F473" s="4" t="n"/>
      <c r="G473" s="4" t="n"/>
    </row>
    <row r="474" ht="15.75" customHeight="1" s="40">
      <c r="A474" s="4" t="n"/>
      <c r="B474" s="4" t="n"/>
      <c r="C474" s="4" t="n"/>
      <c r="D474" s="4" t="n"/>
      <c r="E474" s="4" t="n"/>
      <c r="F474" s="4" t="n"/>
      <c r="G474" s="4" t="n"/>
    </row>
    <row r="475" ht="15.75" customHeight="1" s="40">
      <c r="A475" s="4" t="n"/>
      <c r="B475" s="4" t="n"/>
      <c r="C475" s="4" t="n"/>
      <c r="D475" s="4" t="n"/>
      <c r="E475" s="4" t="n"/>
      <c r="F475" s="4" t="n"/>
      <c r="G475" s="4" t="n"/>
    </row>
    <row r="476" ht="15.75" customHeight="1" s="40">
      <c r="A476" s="4" t="n"/>
      <c r="B476" s="4" t="n"/>
      <c r="C476" s="4" t="n"/>
      <c r="D476" s="4" t="n"/>
      <c r="E476" s="4" t="n"/>
      <c r="F476" s="4" t="n"/>
      <c r="G476" s="4" t="n"/>
    </row>
    <row r="477" ht="15.75" customHeight="1" s="40">
      <c r="A477" s="4" t="n"/>
      <c r="B477" s="4" t="n"/>
      <c r="C477" s="4" t="n"/>
      <c r="D477" s="4" t="n"/>
      <c r="E477" s="4" t="n"/>
      <c r="F477" s="4" t="n"/>
      <c r="G477" s="4" t="n"/>
    </row>
    <row r="478" ht="15.75" customHeight="1" s="40">
      <c r="A478" s="4" t="n"/>
      <c r="B478" s="4" t="n"/>
      <c r="C478" s="4" t="n"/>
      <c r="D478" s="4" t="n"/>
      <c r="E478" s="4" t="n"/>
      <c r="F478" s="4" t="n"/>
      <c r="G478" s="4" t="n"/>
    </row>
    <row r="479" ht="15.75" customHeight="1" s="40">
      <c r="A479" s="4" t="n"/>
      <c r="B479" s="4" t="n"/>
      <c r="C479" s="4" t="n"/>
      <c r="D479" s="4" t="n"/>
      <c r="E479" s="4" t="n"/>
      <c r="F479" s="4" t="n"/>
      <c r="G479" s="4" t="n"/>
    </row>
    <row r="480" ht="15.75" customHeight="1" s="40">
      <c r="A480" s="4" t="n"/>
      <c r="B480" s="4" t="n"/>
      <c r="C480" s="4" t="n"/>
      <c r="D480" s="4" t="n"/>
      <c r="E480" s="4" t="n"/>
      <c r="F480" s="4" t="n"/>
      <c r="G480" s="4" t="n"/>
    </row>
    <row r="481" ht="15.75" customHeight="1" s="40">
      <c r="A481" s="4" t="n"/>
      <c r="B481" s="4" t="n"/>
      <c r="C481" s="4" t="n"/>
      <c r="D481" s="4" t="n"/>
      <c r="E481" s="4" t="n"/>
      <c r="F481" s="4" t="n"/>
      <c r="G481" s="4" t="n"/>
    </row>
    <row r="482" ht="15.75" customHeight="1" s="40">
      <c r="A482" s="4" t="n"/>
      <c r="B482" s="4" t="n"/>
      <c r="C482" s="4" t="n"/>
      <c r="D482" s="4" t="n"/>
      <c r="E482" s="4" t="n"/>
      <c r="F482" s="4" t="n"/>
      <c r="G482" s="4" t="n"/>
    </row>
    <row r="483" ht="15.75" customHeight="1" s="40">
      <c r="A483" s="4" t="n"/>
      <c r="B483" s="4" t="n"/>
      <c r="C483" s="4" t="n"/>
      <c r="D483" s="4" t="n"/>
      <c r="E483" s="4" t="n"/>
      <c r="F483" s="4" t="n"/>
      <c r="G483" s="4" t="n"/>
    </row>
    <row r="484" ht="15.75" customHeight="1" s="40">
      <c r="A484" s="4" t="n"/>
      <c r="B484" s="4" t="n"/>
      <c r="C484" s="4" t="n"/>
      <c r="D484" s="4" t="n"/>
      <c r="E484" s="4" t="n"/>
      <c r="F484" s="4" t="n"/>
      <c r="G484" s="4" t="n"/>
    </row>
    <row r="485" ht="15.75" customHeight="1" s="40">
      <c r="A485" s="4" t="n"/>
      <c r="B485" s="4" t="n"/>
      <c r="C485" s="4" t="n"/>
      <c r="D485" s="4" t="n"/>
      <c r="E485" s="4" t="n"/>
      <c r="F485" s="4" t="n"/>
      <c r="G485" s="4" t="n"/>
    </row>
    <row r="486" ht="15.75" customHeight="1" s="40">
      <c r="A486" s="4" t="n"/>
      <c r="B486" s="4" t="n"/>
      <c r="C486" s="4" t="n"/>
      <c r="D486" s="4" t="n"/>
      <c r="E486" s="4" t="n"/>
      <c r="F486" s="4" t="n"/>
      <c r="G486" s="4" t="n"/>
    </row>
    <row r="487" ht="15.75" customHeight="1" s="40">
      <c r="A487" s="4" t="n"/>
      <c r="B487" s="4" t="n"/>
      <c r="C487" s="4" t="n"/>
      <c r="D487" s="4" t="n"/>
      <c r="E487" s="4" t="n"/>
      <c r="F487" s="4" t="n"/>
      <c r="G487" s="4" t="n"/>
    </row>
    <row r="488" ht="15.75" customHeight="1" s="40">
      <c r="A488" s="4" t="n"/>
      <c r="B488" s="4" t="n"/>
      <c r="C488" s="4" t="n"/>
      <c r="D488" s="4" t="n"/>
      <c r="E488" s="4" t="n"/>
      <c r="F488" s="4" t="n"/>
      <c r="G488" s="4" t="n"/>
    </row>
    <row r="489" ht="15.75" customHeight="1" s="40">
      <c r="A489" s="4" t="n"/>
      <c r="B489" s="4" t="n"/>
      <c r="C489" s="4" t="n"/>
      <c r="D489" s="4" t="n"/>
      <c r="E489" s="4" t="n"/>
      <c r="F489" s="4" t="n"/>
      <c r="G489" s="4" t="n"/>
    </row>
    <row r="490" ht="15.75" customHeight="1" s="40">
      <c r="A490" s="4" t="n"/>
      <c r="B490" s="4" t="n"/>
      <c r="C490" s="4" t="n"/>
      <c r="D490" s="4" t="n"/>
      <c r="E490" s="4" t="n"/>
      <c r="F490" s="4" t="n"/>
      <c r="G490" s="4" t="n"/>
    </row>
    <row r="491" ht="15.75" customHeight="1" s="40">
      <c r="A491" s="4" t="n"/>
      <c r="B491" s="4" t="n"/>
      <c r="C491" s="4" t="n"/>
      <c r="D491" s="4" t="n"/>
      <c r="E491" s="4" t="n"/>
      <c r="F491" s="4" t="n"/>
      <c r="G491" s="4" t="n"/>
    </row>
    <row r="492" ht="15.75" customHeight="1" s="40">
      <c r="A492" s="4" t="n"/>
      <c r="B492" s="4" t="n"/>
      <c r="C492" s="4" t="n"/>
      <c r="D492" s="4" t="n"/>
      <c r="E492" s="4" t="n"/>
      <c r="F492" s="4" t="n"/>
      <c r="G492" s="4" t="n"/>
    </row>
    <row r="493" ht="15.75" customHeight="1" s="40">
      <c r="A493" s="4" t="n"/>
      <c r="B493" s="4" t="n"/>
      <c r="C493" s="4" t="n"/>
      <c r="D493" s="4" t="n"/>
      <c r="E493" s="4" t="n"/>
      <c r="F493" s="4" t="n"/>
      <c r="G493" s="4" t="n"/>
    </row>
    <row r="494" ht="15.75" customHeight="1" s="40">
      <c r="A494" s="4" t="n"/>
      <c r="B494" s="4" t="n"/>
      <c r="C494" s="4" t="n"/>
      <c r="D494" s="4" t="n"/>
      <c r="E494" s="4" t="n"/>
      <c r="F494" s="4" t="n"/>
      <c r="G494" s="4" t="n"/>
    </row>
    <row r="495" ht="15.75" customHeight="1" s="40">
      <c r="A495" s="4" t="n"/>
      <c r="B495" s="4" t="n"/>
      <c r="C495" s="4" t="n"/>
      <c r="D495" s="4" t="n"/>
      <c r="E495" s="4" t="n"/>
      <c r="F495" s="4" t="n"/>
      <c r="G495" s="4" t="n"/>
    </row>
    <row r="496" ht="15.75" customHeight="1" s="40">
      <c r="A496" s="4" t="n"/>
      <c r="B496" s="4" t="n"/>
      <c r="C496" s="4" t="n"/>
      <c r="D496" s="4" t="n"/>
      <c r="E496" s="4" t="n"/>
      <c r="F496" s="4" t="n"/>
      <c r="G496" s="4" t="n"/>
    </row>
    <row r="497" ht="15.75" customHeight="1" s="40">
      <c r="A497" s="4" t="n"/>
      <c r="B497" s="4" t="n"/>
      <c r="C497" s="4" t="n"/>
      <c r="D497" s="4" t="n"/>
      <c r="E497" s="4" t="n"/>
      <c r="F497" s="4" t="n"/>
      <c r="G497" s="4" t="n"/>
    </row>
    <row r="498" ht="15.75" customHeight="1" s="40">
      <c r="A498" s="4" t="n"/>
      <c r="B498" s="4" t="n"/>
      <c r="C498" s="4" t="n"/>
      <c r="D498" s="4" t="n"/>
      <c r="E498" s="4" t="n"/>
      <c r="F498" s="4" t="n"/>
      <c r="G498" s="4" t="n"/>
    </row>
    <row r="499" ht="15.75" customHeight="1" s="40">
      <c r="A499" s="4" t="n"/>
      <c r="B499" s="4" t="n"/>
      <c r="C499" s="4" t="n"/>
      <c r="D499" s="4" t="n"/>
      <c r="E499" s="4" t="n"/>
      <c r="F499" s="4" t="n"/>
      <c r="G499" s="4" t="n"/>
    </row>
    <row r="500" ht="15.75" customHeight="1" s="40">
      <c r="A500" s="4" t="n"/>
      <c r="B500" s="4" t="n"/>
      <c r="C500" s="4" t="n"/>
      <c r="D500" s="4" t="n"/>
      <c r="E500" s="4" t="n"/>
      <c r="F500" s="4" t="n"/>
      <c r="G500" s="4" t="n"/>
    </row>
    <row r="501" ht="15.75" customHeight="1" s="40">
      <c r="A501" s="4" t="n"/>
      <c r="B501" s="4" t="n"/>
      <c r="C501" s="4" t="n"/>
      <c r="D501" s="4" t="n"/>
      <c r="E501" s="4" t="n"/>
      <c r="F501" s="4" t="n"/>
      <c r="G501" s="4" t="n"/>
    </row>
    <row r="502" ht="15.75" customHeight="1" s="40">
      <c r="A502" s="4" t="n"/>
      <c r="B502" s="4" t="n"/>
      <c r="C502" s="4" t="n"/>
      <c r="D502" s="4" t="n"/>
      <c r="E502" s="4" t="n"/>
      <c r="F502" s="4" t="n"/>
      <c r="G502" s="4" t="n"/>
    </row>
    <row r="503" ht="15.75" customHeight="1" s="40">
      <c r="A503" s="4" t="n"/>
      <c r="B503" s="4" t="n"/>
      <c r="C503" s="4" t="n"/>
      <c r="D503" s="4" t="n"/>
      <c r="E503" s="4" t="n"/>
      <c r="F503" s="4" t="n"/>
      <c r="G503" s="4" t="n"/>
    </row>
    <row r="504" ht="15.75" customHeight="1" s="40">
      <c r="A504" s="4" t="n"/>
      <c r="B504" s="4" t="n"/>
      <c r="C504" s="4" t="n"/>
      <c r="D504" s="4" t="n"/>
      <c r="E504" s="4" t="n"/>
      <c r="F504" s="4" t="n"/>
      <c r="G504" s="4" t="n"/>
    </row>
    <row r="505" ht="15.75" customHeight="1" s="40">
      <c r="A505" s="4" t="n"/>
      <c r="B505" s="4" t="n"/>
      <c r="C505" s="4" t="n"/>
      <c r="D505" s="4" t="n"/>
      <c r="E505" s="4" t="n"/>
      <c r="F505" s="4" t="n"/>
      <c r="G505" s="4" t="n"/>
    </row>
    <row r="506" ht="15.75" customHeight="1" s="40">
      <c r="A506" s="4" t="n"/>
      <c r="B506" s="4" t="n"/>
      <c r="C506" s="4" t="n"/>
      <c r="D506" s="4" t="n"/>
      <c r="E506" s="4" t="n"/>
      <c r="F506" s="4" t="n"/>
      <c r="G506" s="4" t="n"/>
    </row>
    <row r="507" ht="15.75" customHeight="1" s="40">
      <c r="A507" s="4" t="n"/>
      <c r="B507" s="4" t="n"/>
      <c r="C507" s="4" t="n"/>
      <c r="D507" s="4" t="n"/>
      <c r="E507" s="4" t="n"/>
      <c r="F507" s="4" t="n"/>
      <c r="G507" s="4" t="n"/>
    </row>
    <row r="508" ht="15.75" customHeight="1" s="40">
      <c r="A508" s="4" t="n"/>
      <c r="B508" s="4" t="n"/>
      <c r="C508" s="4" t="n"/>
      <c r="D508" s="4" t="n"/>
      <c r="E508" s="4" t="n"/>
      <c r="F508" s="4" t="n"/>
      <c r="G508" s="4" t="n"/>
    </row>
    <row r="509" ht="15.75" customHeight="1" s="40">
      <c r="A509" s="4" t="n"/>
      <c r="B509" s="4" t="n"/>
      <c r="C509" s="4" t="n"/>
      <c r="D509" s="4" t="n"/>
      <c r="E509" s="4" t="n"/>
      <c r="F509" s="4" t="n"/>
      <c r="G509" s="4" t="n"/>
    </row>
    <row r="510" ht="15.75" customHeight="1" s="40">
      <c r="A510" s="4" t="n"/>
      <c r="B510" s="4" t="n"/>
      <c r="C510" s="4" t="n"/>
      <c r="D510" s="4" t="n"/>
      <c r="E510" s="4" t="n"/>
      <c r="F510" s="4" t="n"/>
      <c r="G510" s="4" t="n"/>
    </row>
    <row r="511" ht="15.75" customHeight="1" s="40">
      <c r="A511" s="4" t="n"/>
      <c r="B511" s="4" t="n"/>
      <c r="C511" s="4" t="n"/>
      <c r="D511" s="4" t="n"/>
      <c r="E511" s="4" t="n"/>
      <c r="F511" s="4" t="n"/>
      <c r="G511" s="4" t="n"/>
    </row>
    <row r="512" ht="15.75" customHeight="1" s="40">
      <c r="A512" s="4" t="n"/>
      <c r="B512" s="4" t="n"/>
      <c r="C512" s="4" t="n"/>
      <c r="D512" s="4" t="n"/>
      <c r="E512" s="4" t="n"/>
      <c r="F512" s="4" t="n"/>
      <c r="G512" s="4" t="n"/>
    </row>
    <row r="513" ht="15.75" customHeight="1" s="40">
      <c r="A513" s="4" t="n"/>
      <c r="B513" s="4" t="n"/>
      <c r="C513" s="4" t="n"/>
      <c r="D513" s="4" t="n"/>
      <c r="E513" s="4" t="n"/>
      <c r="F513" s="4" t="n"/>
      <c r="G513" s="4" t="n"/>
    </row>
    <row r="514" ht="15.75" customHeight="1" s="40">
      <c r="A514" s="4" t="n"/>
      <c r="B514" s="4" t="n"/>
      <c r="C514" s="4" t="n"/>
      <c r="D514" s="4" t="n"/>
      <c r="E514" s="4" t="n"/>
      <c r="F514" s="4" t="n"/>
      <c r="G514" s="4" t="n"/>
    </row>
    <row r="515" ht="15.75" customHeight="1" s="40">
      <c r="A515" s="4" t="n"/>
      <c r="B515" s="4" t="n"/>
      <c r="C515" s="4" t="n"/>
      <c r="D515" s="4" t="n"/>
      <c r="E515" s="4" t="n"/>
      <c r="F515" s="4" t="n"/>
      <c r="G515" s="4" t="n"/>
    </row>
    <row r="516" ht="15.75" customHeight="1" s="40">
      <c r="A516" s="4" t="n"/>
      <c r="B516" s="4" t="n"/>
      <c r="C516" s="4" t="n"/>
      <c r="D516" s="4" t="n"/>
      <c r="E516" s="4" t="n"/>
      <c r="F516" s="4" t="n"/>
      <c r="G516" s="4" t="n"/>
    </row>
    <row r="517" ht="15.75" customHeight="1" s="40">
      <c r="A517" s="4" t="n"/>
      <c r="B517" s="4" t="n"/>
      <c r="C517" s="4" t="n"/>
      <c r="D517" s="4" t="n"/>
      <c r="E517" s="4" t="n"/>
      <c r="F517" s="4" t="n"/>
      <c r="G517" s="4" t="n"/>
    </row>
    <row r="518" ht="15.75" customHeight="1" s="40">
      <c r="A518" s="4" t="n"/>
      <c r="B518" s="4" t="n"/>
      <c r="C518" s="4" t="n"/>
      <c r="D518" s="4" t="n"/>
      <c r="E518" s="4" t="n"/>
      <c r="F518" s="4" t="n"/>
      <c r="G518" s="4" t="n"/>
    </row>
    <row r="519" ht="15.75" customHeight="1" s="40">
      <c r="A519" s="4" t="n"/>
      <c r="B519" s="4" t="n"/>
      <c r="C519" s="4" t="n"/>
      <c r="D519" s="4" t="n"/>
      <c r="E519" s="4" t="n"/>
      <c r="F519" s="4" t="n"/>
      <c r="G519" s="4" t="n"/>
    </row>
    <row r="520" ht="15.75" customHeight="1" s="40">
      <c r="A520" s="4" t="n"/>
      <c r="B520" s="4" t="n"/>
      <c r="C520" s="4" t="n"/>
      <c r="D520" s="4" t="n"/>
      <c r="E520" s="4" t="n"/>
      <c r="F520" s="4" t="n"/>
      <c r="G520" s="4" t="n"/>
    </row>
    <row r="521" ht="15.75" customHeight="1" s="40">
      <c r="A521" s="4" t="n"/>
      <c r="B521" s="4" t="n"/>
      <c r="C521" s="4" t="n"/>
      <c r="D521" s="4" t="n"/>
      <c r="E521" s="4" t="n"/>
      <c r="F521" s="4" t="n"/>
      <c r="G521" s="4" t="n"/>
    </row>
    <row r="522" ht="15.75" customHeight="1" s="40">
      <c r="A522" s="4" t="n"/>
      <c r="B522" s="4" t="n"/>
      <c r="C522" s="4" t="n"/>
      <c r="D522" s="4" t="n"/>
      <c r="E522" s="4" t="n"/>
      <c r="F522" s="4" t="n"/>
      <c r="G522" s="4" t="n"/>
    </row>
    <row r="523" ht="15.75" customHeight="1" s="40">
      <c r="A523" s="4" t="n"/>
      <c r="B523" s="4" t="n"/>
      <c r="C523" s="4" t="n"/>
      <c r="D523" s="4" t="n"/>
      <c r="E523" s="4" t="n"/>
      <c r="F523" s="4" t="n"/>
      <c r="G523" s="4" t="n"/>
    </row>
    <row r="524" ht="15.75" customHeight="1" s="40">
      <c r="A524" s="4" t="n"/>
      <c r="B524" s="4" t="n"/>
      <c r="C524" s="4" t="n"/>
      <c r="D524" s="4" t="n"/>
      <c r="E524" s="4" t="n"/>
      <c r="F524" s="4" t="n"/>
      <c r="G524" s="4" t="n"/>
    </row>
    <row r="525" ht="15.75" customHeight="1" s="40">
      <c r="A525" s="4" t="n"/>
      <c r="B525" s="4" t="n"/>
      <c r="C525" s="4" t="n"/>
      <c r="D525" s="4" t="n"/>
      <c r="E525" s="4" t="n"/>
      <c r="F525" s="4" t="n"/>
      <c r="G525" s="4" t="n"/>
    </row>
    <row r="526" ht="15.75" customHeight="1" s="40">
      <c r="A526" s="4" t="n"/>
      <c r="B526" s="4" t="n"/>
      <c r="C526" s="4" t="n"/>
      <c r="D526" s="4" t="n"/>
      <c r="E526" s="4" t="n"/>
      <c r="F526" s="4" t="n"/>
      <c r="G526" s="4" t="n"/>
    </row>
    <row r="527" ht="15.75" customHeight="1" s="40">
      <c r="A527" s="4" t="n"/>
      <c r="B527" s="4" t="n"/>
      <c r="C527" s="4" t="n"/>
      <c r="D527" s="4" t="n"/>
      <c r="E527" s="4" t="n"/>
      <c r="F527" s="4" t="n"/>
      <c r="G527" s="4" t="n"/>
    </row>
    <row r="528" ht="15.75" customHeight="1" s="40">
      <c r="A528" s="4" t="n"/>
      <c r="B528" s="4" t="n"/>
      <c r="C528" s="4" t="n"/>
      <c r="D528" s="4" t="n"/>
      <c r="E528" s="4" t="n"/>
      <c r="F528" s="4" t="n"/>
      <c r="G528" s="4" t="n"/>
    </row>
    <row r="529" ht="15.75" customHeight="1" s="40">
      <c r="A529" s="4" t="n"/>
      <c r="B529" s="4" t="n"/>
      <c r="C529" s="4" t="n"/>
      <c r="D529" s="4" t="n"/>
      <c r="E529" s="4" t="n"/>
      <c r="F529" s="4" t="n"/>
      <c r="G529" s="4" t="n"/>
    </row>
    <row r="530" ht="15.75" customHeight="1" s="40">
      <c r="A530" s="4" t="n"/>
      <c r="B530" s="4" t="n"/>
      <c r="C530" s="4" t="n"/>
      <c r="D530" s="4" t="n"/>
      <c r="E530" s="4" t="n"/>
      <c r="F530" s="4" t="n"/>
      <c r="G530" s="4" t="n"/>
    </row>
    <row r="531" ht="15.75" customHeight="1" s="40">
      <c r="A531" s="4" t="n"/>
      <c r="B531" s="4" t="n"/>
      <c r="C531" s="4" t="n"/>
      <c r="D531" s="4" t="n"/>
      <c r="E531" s="4" t="n"/>
      <c r="F531" s="4" t="n"/>
      <c r="G531" s="4" t="n"/>
    </row>
    <row r="532" ht="15.75" customHeight="1" s="40">
      <c r="A532" s="4" t="n"/>
      <c r="B532" s="4" t="n"/>
      <c r="C532" s="4" t="n"/>
      <c r="D532" s="4" t="n"/>
      <c r="E532" s="4" t="n"/>
      <c r="F532" s="4" t="n"/>
      <c r="G532" s="4" t="n"/>
    </row>
    <row r="533" ht="15.75" customHeight="1" s="40">
      <c r="A533" s="4" t="n"/>
      <c r="B533" s="4" t="n"/>
      <c r="C533" s="4" t="n"/>
      <c r="D533" s="4" t="n"/>
      <c r="E533" s="4" t="n"/>
      <c r="F533" s="4" t="n"/>
      <c r="G533" s="4" t="n"/>
    </row>
    <row r="534" ht="15.75" customHeight="1" s="40">
      <c r="A534" s="4" t="n"/>
      <c r="B534" s="4" t="n"/>
      <c r="C534" s="4" t="n"/>
      <c r="D534" s="4" t="n"/>
      <c r="E534" s="4" t="n"/>
      <c r="F534" s="4" t="n"/>
      <c r="G534" s="4" t="n"/>
    </row>
    <row r="535" ht="15.75" customHeight="1" s="40">
      <c r="A535" s="4" t="n"/>
      <c r="B535" s="4" t="n"/>
      <c r="C535" s="4" t="n"/>
      <c r="D535" s="4" t="n"/>
      <c r="E535" s="4" t="n"/>
      <c r="F535" s="4" t="n"/>
      <c r="G535" s="4" t="n"/>
    </row>
    <row r="536" ht="15.75" customHeight="1" s="40">
      <c r="A536" s="4" t="n"/>
      <c r="B536" s="4" t="n"/>
      <c r="C536" s="4" t="n"/>
      <c r="D536" s="4" t="n"/>
      <c r="E536" s="4" t="n"/>
      <c r="F536" s="4" t="n"/>
      <c r="G536" s="4" t="n"/>
    </row>
    <row r="537" ht="15.75" customHeight="1" s="40">
      <c r="A537" s="4" t="n"/>
      <c r="B537" s="4" t="n"/>
      <c r="C537" s="4" t="n"/>
      <c r="D537" s="4" t="n"/>
      <c r="E537" s="4" t="n"/>
      <c r="F537" s="4" t="n"/>
      <c r="G537" s="4" t="n"/>
    </row>
    <row r="538" ht="15.75" customHeight="1" s="40">
      <c r="A538" s="4" t="n"/>
      <c r="B538" s="4" t="n"/>
      <c r="C538" s="4" t="n"/>
      <c r="D538" s="4" t="n"/>
      <c r="E538" s="4" t="n"/>
      <c r="F538" s="4" t="n"/>
      <c r="G538" s="4" t="n"/>
    </row>
    <row r="539" ht="15.75" customHeight="1" s="40">
      <c r="A539" s="4" t="n"/>
      <c r="B539" s="4" t="n"/>
      <c r="C539" s="4" t="n"/>
      <c r="D539" s="4" t="n"/>
      <c r="E539" s="4" t="n"/>
      <c r="F539" s="4" t="n"/>
      <c r="G539" s="4" t="n"/>
    </row>
    <row r="540" ht="15.75" customHeight="1" s="40">
      <c r="A540" s="4" t="n"/>
      <c r="B540" s="4" t="n"/>
      <c r="C540" s="4" t="n"/>
      <c r="D540" s="4" t="n"/>
      <c r="E540" s="4" t="n"/>
      <c r="F540" s="4" t="n"/>
      <c r="G540" s="4" t="n"/>
    </row>
    <row r="541" ht="15.75" customHeight="1" s="40">
      <c r="A541" s="4" t="n"/>
      <c r="B541" s="4" t="n"/>
      <c r="C541" s="4" t="n"/>
      <c r="D541" s="4" t="n"/>
      <c r="E541" s="4" t="n"/>
      <c r="F541" s="4" t="n"/>
      <c r="G541" s="4" t="n"/>
    </row>
    <row r="542" ht="15.75" customHeight="1" s="40">
      <c r="A542" s="4" t="n"/>
      <c r="B542" s="4" t="n"/>
      <c r="C542" s="4" t="n"/>
      <c r="D542" s="4" t="n"/>
      <c r="E542" s="4" t="n"/>
      <c r="F542" s="4" t="n"/>
      <c r="G542" s="4" t="n"/>
    </row>
    <row r="543" ht="15.75" customHeight="1" s="40">
      <c r="A543" s="4" t="n"/>
      <c r="B543" s="4" t="n"/>
      <c r="C543" s="4" t="n"/>
      <c r="D543" s="4" t="n"/>
      <c r="E543" s="4" t="n"/>
      <c r="F543" s="4" t="n"/>
      <c r="G543" s="4" t="n"/>
    </row>
    <row r="544" ht="15.75" customHeight="1" s="40">
      <c r="A544" s="4" t="n"/>
      <c r="B544" s="4" t="n"/>
      <c r="C544" s="4" t="n"/>
      <c r="D544" s="4" t="n"/>
      <c r="E544" s="4" t="n"/>
      <c r="F544" s="4" t="n"/>
      <c r="G544" s="4" t="n"/>
    </row>
    <row r="545" ht="15.75" customHeight="1" s="40">
      <c r="A545" s="4" t="n"/>
      <c r="B545" s="4" t="n"/>
      <c r="C545" s="4" t="n"/>
      <c r="D545" s="4" t="n"/>
      <c r="E545" s="4" t="n"/>
      <c r="F545" s="4" t="n"/>
      <c r="G545" s="4" t="n"/>
    </row>
    <row r="546" ht="15.75" customHeight="1" s="40">
      <c r="A546" s="4" t="n"/>
      <c r="B546" s="4" t="n"/>
      <c r="C546" s="4" t="n"/>
      <c r="D546" s="4" t="n"/>
      <c r="E546" s="4" t="n"/>
      <c r="F546" s="4" t="n"/>
      <c r="G546" s="4" t="n"/>
    </row>
    <row r="547" ht="15.75" customHeight="1" s="40">
      <c r="A547" s="4" t="n"/>
      <c r="B547" s="4" t="n"/>
      <c r="C547" s="4" t="n"/>
      <c r="D547" s="4" t="n"/>
      <c r="E547" s="4" t="n"/>
      <c r="F547" s="4" t="n"/>
      <c r="G547" s="4" t="n"/>
    </row>
    <row r="548" ht="15.75" customHeight="1" s="40">
      <c r="A548" s="4" t="n"/>
      <c r="B548" s="4" t="n"/>
      <c r="C548" s="4" t="n"/>
      <c r="D548" s="4" t="n"/>
      <c r="E548" s="4" t="n"/>
      <c r="F548" s="4" t="n"/>
      <c r="G548" s="4" t="n"/>
    </row>
    <row r="549" ht="15.75" customHeight="1" s="40">
      <c r="A549" s="4" t="n"/>
      <c r="B549" s="4" t="n"/>
      <c r="C549" s="4" t="n"/>
      <c r="D549" s="4" t="n"/>
      <c r="E549" s="4" t="n"/>
      <c r="F549" s="4" t="n"/>
      <c r="G549" s="4" t="n"/>
    </row>
    <row r="550" ht="15.75" customHeight="1" s="40">
      <c r="A550" s="4" t="n"/>
      <c r="B550" s="4" t="n"/>
      <c r="C550" s="4" t="n"/>
      <c r="D550" s="4" t="n"/>
      <c r="E550" s="4" t="n"/>
      <c r="F550" s="4" t="n"/>
      <c r="G550" s="4" t="n"/>
    </row>
    <row r="551" ht="15.75" customHeight="1" s="40">
      <c r="A551" s="4" t="n"/>
      <c r="B551" s="4" t="n"/>
      <c r="C551" s="4" t="n"/>
      <c r="D551" s="4" t="n"/>
      <c r="E551" s="4" t="n"/>
      <c r="F551" s="4" t="n"/>
      <c r="G551" s="4" t="n"/>
    </row>
    <row r="552" ht="15.75" customHeight="1" s="40">
      <c r="A552" s="4" t="n"/>
      <c r="B552" s="4" t="n"/>
      <c r="C552" s="4" t="n"/>
      <c r="D552" s="4" t="n"/>
      <c r="E552" s="4" t="n"/>
      <c r="F552" s="4" t="n"/>
      <c r="G552" s="4" t="n"/>
    </row>
    <row r="553" ht="15.75" customHeight="1" s="40">
      <c r="A553" s="4" t="n"/>
      <c r="B553" s="4" t="n"/>
      <c r="C553" s="4" t="n"/>
      <c r="D553" s="4" t="n"/>
      <c r="E553" s="4" t="n"/>
      <c r="F553" s="4" t="n"/>
      <c r="G553" s="4" t="n"/>
    </row>
    <row r="554" ht="15.75" customHeight="1" s="40">
      <c r="A554" s="4" t="n"/>
      <c r="B554" s="4" t="n"/>
      <c r="C554" s="4" t="n"/>
      <c r="D554" s="4" t="n"/>
      <c r="E554" s="4" t="n"/>
      <c r="F554" s="4" t="n"/>
      <c r="G554" s="4" t="n"/>
    </row>
    <row r="555" ht="15.75" customHeight="1" s="40">
      <c r="A555" s="4" t="n"/>
      <c r="B555" s="4" t="n"/>
      <c r="C555" s="4" t="n"/>
      <c r="D555" s="4" t="n"/>
      <c r="E555" s="4" t="n"/>
      <c r="F555" s="4" t="n"/>
      <c r="G555" s="4" t="n"/>
    </row>
    <row r="556" ht="15.75" customHeight="1" s="40">
      <c r="A556" s="4" t="n"/>
      <c r="B556" s="4" t="n"/>
      <c r="C556" s="4" t="n"/>
      <c r="D556" s="4" t="n"/>
      <c r="E556" s="4" t="n"/>
      <c r="F556" s="4" t="n"/>
      <c r="G556" s="4" t="n"/>
    </row>
    <row r="557" ht="15.75" customHeight="1" s="40">
      <c r="A557" s="4" t="n"/>
      <c r="B557" s="4" t="n"/>
      <c r="C557" s="4" t="n"/>
      <c r="D557" s="4" t="n"/>
      <c r="E557" s="4" t="n"/>
      <c r="F557" s="4" t="n"/>
      <c r="G557" s="4" t="n"/>
    </row>
    <row r="558" ht="15.75" customHeight="1" s="40">
      <c r="A558" s="4" t="n"/>
      <c r="B558" s="4" t="n"/>
      <c r="C558" s="4" t="n"/>
      <c r="D558" s="4" t="n"/>
      <c r="E558" s="4" t="n"/>
      <c r="F558" s="4" t="n"/>
      <c r="G558" s="4" t="n"/>
    </row>
    <row r="559" ht="15.75" customHeight="1" s="40">
      <c r="A559" s="4" t="n"/>
      <c r="B559" s="4" t="n"/>
      <c r="C559" s="4" t="n"/>
      <c r="D559" s="4" t="n"/>
      <c r="E559" s="4" t="n"/>
      <c r="F559" s="4" t="n"/>
      <c r="G559" s="4" t="n"/>
    </row>
    <row r="560" ht="15.75" customHeight="1" s="40">
      <c r="A560" s="4" t="n"/>
      <c r="B560" s="4" t="n"/>
      <c r="C560" s="4" t="n"/>
      <c r="D560" s="4" t="n"/>
      <c r="E560" s="4" t="n"/>
      <c r="F560" s="4" t="n"/>
      <c r="G560" s="4" t="n"/>
    </row>
    <row r="561" ht="15.75" customHeight="1" s="40">
      <c r="A561" s="4" t="n"/>
      <c r="B561" s="4" t="n"/>
      <c r="C561" s="4" t="n"/>
      <c r="D561" s="4" t="n"/>
      <c r="E561" s="4" t="n"/>
      <c r="F561" s="4" t="n"/>
      <c r="G561" s="4" t="n"/>
    </row>
    <row r="562" ht="15.75" customHeight="1" s="40">
      <c r="A562" s="4" t="n"/>
      <c r="B562" s="4" t="n"/>
      <c r="C562" s="4" t="n"/>
      <c r="D562" s="4" t="n"/>
      <c r="E562" s="4" t="n"/>
      <c r="F562" s="4" t="n"/>
      <c r="G562" s="4" t="n"/>
    </row>
    <row r="563" ht="15.75" customHeight="1" s="40">
      <c r="A563" s="4" t="n"/>
      <c r="B563" s="4" t="n"/>
      <c r="C563" s="4" t="n"/>
      <c r="D563" s="4" t="n"/>
      <c r="E563" s="4" t="n"/>
      <c r="F563" s="4" t="n"/>
      <c r="G563" s="4" t="n"/>
    </row>
    <row r="564" ht="15.75" customHeight="1" s="40">
      <c r="A564" s="4" t="n"/>
      <c r="B564" s="4" t="n"/>
      <c r="C564" s="4" t="n"/>
      <c r="D564" s="4" t="n"/>
      <c r="E564" s="4" t="n"/>
      <c r="F564" s="4" t="n"/>
      <c r="G564" s="4" t="n"/>
    </row>
    <row r="565" ht="15.75" customHeight="1" s="40">
      <c r="A565" s="4" t="n"/>
      <c r="B565" s="4" t="n"/>
      <c r="C565" s="4" t="n"/>
      <c r="D565" s="4" t="n"/>
      <c r="E565" s="4" t="n"/>
      <c r="F565" s="4" t="n"/>
      <c r="G565" s="4" t="n"/>
    </row>
    <row r="566" ht="15.75" customHeight="1" s="40">
      <c r="A566" s="4" t="n"/>
      <c r="B566" s="4" t="n"/>
      <c r="C566" s="4" t="n"/>
      <c r="D566" s="4" t="n"/>
      <c r="E566" s="4" t="n"/>
      <c r="F566" s="4" t="n"/>
      <c r="G566" s="4" t="n"/>
    </row>
    <row r="567" ht="15.75" customHeight="1" s="40">
      <c r="A567" s="4" t="n"/>
      <c r="B567" s="4" t="n"/>
      <c r="C567" s="4" t="n"/>
      <c r="D567" s="4" t="n"/>
      <c r="E567" s="4" t="n"/>
      <c r="F567" s="4" t="n"/>
      <c r="G567" s="4" t="n"/>
    </row>
    <row r="568" ht="15.75" customHeight="1" s="40">
      <c r="A568" s="4" t="n"/>
      <c r="B568" s="4" t="n"/>
      <c r="C568" s="4" t="n"/>
      <c r="D568" s="4" t="n"/>
      <c r="E568" s="4" t="n"/>
      <c r="F568" s="4" t="n"/>
      <c r="G568" s="4" t="n"/>
    </row>
    <row r="569" ht="15.75" customHeight="1" s="40">
      <c r="A569" s="4" t="n"/>
      <c r="B569" s="4" t="n"/>
      <c r="C569" s="4" t="n"/>
      <c r="D569" s="4" t="n"/>
      <c r="E569" s="4" t="n"/>
      <c r="F569" s="4" t="n"/>
      <c r="G569" s="4" t="n"/>
    </row>
    <row r="570" ht="15.75" customHeight="1" s="40">
      <c r="A570" s="4" t="n"/>
      <c r="B570" s="4" t="n"/>
      <c r="C570" s="4" t="n"/>
      <c r="D570" s="4" t="n"/>
      <c r="E570" s="4" t="n"/>
      <c r="F570" s="4" t="n"/>
      <c r="G570" s="4" t="n"/>
    </row>
    <row r="571" ht="15.75" customHeight="1" s="40">
      <c r="A571" s="4" t="n"/>
      <c r="B571" s="4" t="n"/>
      <c r="C571" s="4" t="n"/>
      <c r="D571" s="4" t="n"/>
      <c r="E571" s="4" t="n"/>
      <c r="F571" s="4" t="n"/>
      <c r="G571" s="4" t="n"/>
    </row>
    <row r="572" ht="15.75" customHeight="1" s="40">
      <c r="A572" s="4" t="n"/>
      <c r="B572" s="4" t="n"/>
      <c r="C572" s="4" t="n"/>
      <c r="D572" s="4" t="n"/>
      <c r="E572" s="4" t="n"/>
      <c r="F572" s="4" t="n"/>
      <c r="G572" s="4" t="n"/>
    </row>
    <row r="573" ht="15.75" customHeight="1" s="40">
      <c r="A573" s="4" t="n"/>
      <c r="B573" s="4" t="n"/>
      <c r="C573" s="4" t="n"/>
      <c r="D573" s="4" t="n"/>
      <c r="E573" s="4" t="n"/>
      <c r="F573" s="4" t="n"/>
      <c r="G573" s="4" t="n"/>
    </row>
    <row r="574" ht="15.75" customHeight="1" s="40">
      <c r="A574" s="4" t="n"/>
      <c r="B574" s="4" t="n"/>
      <c r="C574" s="4" t="n"/>
      <c r="D574" s="4" t="n"/>
      <c r="E574" s="4" t="n"/>
      <c r="F574" s="4" t="n"/>
      <c r="G574" s="4" t="n"/>
    </row>
    <row r="575" ht="15.75" customHeight="1" s="40">
      <c r="A575" s="4" t="n"/>
      <c r="B575" s="4" t="n"/>
      <c r="C575" s="4" t="n"/>
      <c r="D575" s="4" t="n"/>
      <c r="E575" s="4" t="n"/>
      <c r="F575" s="4" t="n"/>
      <c r="G575" s="4" t="n"/>
    </row>
    <row r="576" ht="15.75" customHeight="1" s="40">
      <c r="A576" s="4" t="n"/>
      <c r="B576" s="4" t="n"/>
      <c r="C576" s="4" t="n"/>
      <c r="D576" s="4" t="n"/>
      <c r="E576" s="4" t="n"/>
      <c r="F576" s="4" t="n"/>
      <c r="G576" s="4" t="n"/>
    </row>
    <row r="577" ht="15.75" customHeight="1" s="40">
      <c r="A577" s="4" t="n"/>
      <c r="B577" s="4" t="n"/>
      <c r="C577" s="4" t="n"/>
      <c r="D577" s="4" t="n"/>
      <c r="E577" s="4" t="n"/>
      <c r="F577" s="4" t="n"/>
      <c r="G577" s="4" t="n"/>
    </row>
    <row r="578" ht="15.75" customHeight="1" s="40">
      <c r="A578" s="4" t="n"/>
      <c r="B578" s="4" t="n"/>
      <c r="C578" s="4" t="n"/>
      <c r="D578" s="4" t="n"/>
      <c r="E578" s="4" t="n"/>
      <c r="F578" s="4" t="n"/>
      <c r="G578" s="4" t="n"/>
    </row>
    <row r="579" ht="15.75" customHeight="1" s="40">
      <c r="A579" s="4" t="n"/>
      <c r="B579" s="4" t="n"/>
      <c r="C579" s="4" t="n"/>
      <c r="D579" s="4" t="n"/>
      <c r="E579" s="4" t="n"/>
      <c r="F579" s="4" t="n"/>
      <c r="G579" s="4" t="n"/>
    </row>
    <row r="580" ht="15.75" customHeight="1" s="40">
      <c r="A580" s="4" t="n"/>
      <c r="B580" s="4" t="n"/>
      <c r="C580" s="4" t="n"/>
      <c r="D580" s="4" t="n"/>
      <c r="E580" s="4" t="n"/>
      <c r="F580" s="4" t="n"/>
      <c r="G580" s="4" t="n"/>
    </row>
    <row r="581" ht="15.75" customHeight="1" s="40">
      <c r="A581" s="4" t="n"/>
      <c r="B581" s="4" t="n"/>
      <c r="C581" s="4" t="n"/>
      <c r="D581" s="4" t="n"/>
      <c r="E581" s="4" t="n"/>
      <c r="F581" s="4" t="n"/>
      <c r="G581" s="4" t="n"/>
    </row>
    <row r="582" ht="15.75" customHeight="1" s="40">
      <c r="A582" s="4" t="n"/>
      <c r="B582" s="4" t="n"/>
      <c r="C582" s="4" t="n"/>
      <c r="D582" s="4" t="n"/>
      <c r="E582" s="4" t="n"/>
      <c r="F582" s="4" t="n"/>
      <c r="G582" s="4" t="n"/>
    </row>
    <row r="583" ht="15.75" customHeight="1" s="40">
      <c r="A583" s="4" t="n"/>
      <c r="B583" s="4" t="n"/>
      <c r="C583" s="4" t="n"/>
      <c r="D583" s="4" t="n"/>
      <c r="E583" s="4" t="n"/>
      <c r="F583" s="4" t="n"/>
      <c r="G583" s="4" t="n"/>
    </row>
    <row r="584" ht="15.75" customHeight="1" s="40">
      <c r="A584" s="4" t="n"/>
      <c r="B584" s="4" t="n"/>
      <c r="C584" s="4" t="n"/>
      <c r="D584" s="4" t="n"/>
      <c r="E584" s="4" t="n"/>
      <c r="F584" s="4" t="n"/>
      <c r="G584" s="4" t="n"/>
    </row>
    <row r="585" ht="15.75" customHeight="1" s="40">
      <c r="A585" s="4" t="n"/>
      <c r="B585" s="4" t="n"/>
      <c r="C585" s="4" t="n"/>
      <c r="D585" s="4" t="n"/>
      <c r="E585" s="4" t="n"/>
      <c r="F585" s="4" t="n"/>
      <c r="G585" s="4" t="n"/>
    </row>
    <row r="586" ht="15.75" customHeight="1" s="40">
      <c r="A586" s="4" t="n"/>
      <c r="B586" s="4" t="n"/>
      <c r="C586" s="4" t="n"/>
      <c r="D586" s="4" t="n"/>
      <c r="E586" s="4" t="n"/>
      <c r="F586" s="4" t="n"/>
      <c r="G586" s="4" t="n"/>
    </row>
    <row r="587" ht="15.75" customHeight="1" s="40">
      <c r="A587" s="4" t="n"/>
      <c r="B587" s="4" t="n"/>
      <c r="C587" s="4" t="n"/>
      <c r="D587" s="4" t="n"/>
      <c r="E587" s="4" t="n"/>
      <c r="F587" s="4" t="n"/>
      <c r="G587" s="4" t="n"/>
    </row>
    <row r="588" ht="15.75" customHeight="1" s="40">
      <c r="A588" s="4" t="n"/>
      <c r="B588" s="4" t="n"/>
      <c r="C588" s="4" t="n"/>
      <c r="D588" s="4" t="n"/>
      <c r="E588" s="4" t="n"/>
      <c r="F588" s="4" t="n"/>
      <c r="G588" s="4" t="n"/>
    </row>
    <row r="589" ht="15.75" customHeight="1" s="40">
      <c r="A589" s="4" t="n"/>
      <c r="B589" s="4" t="n"/>
      <c r="C589" s="4" t="n"/>
      <c r="D589" s="4" t="n"/>
      <c r="E589" s="4" t="n"/>
      <c r="F589" s="4" t="n"/>
      <c r="G589" s="4" t="n"/>
    </row>
    <row r="590" ht="15.75" customHeight="1" s="40">
      <c r="A590" s="4" t="n"/>
      <c r="B590" s="4" t="n"/>
      <c r="C590" s="4" t="n"/>
      <c r="D590" s="4" t="n"/>
      <c r="E590" s="4" t="n"/>
      <c r="F590" s="4" t="n"/>
      <c r="G590" s="4" t="n"/>
    </row>
    <row r="591" ht="15.75" customHeight="1" s="40">
      <c r="A591" s="4" t="n"/>
      <c r="B591" s="4" t="n"/>
      <c r="C591" s="4" t="n"/>
      <c r="D591" s="4" t="n"/>
      <c r="E591" s="4" t="n"/>
      <c r="F591" s="4" t="n"/>
      <c r="G591" s="4" t="n"/>
    </row>
    <row r="592" ht="15.75" customHeight="1" s="40">
      <c r="A592" s="4" t="n"/>
      <c r="B592" s="4" t="n"/>
      <c r="C592" s="4" t="n"/>
      <c r="D592" s="4" t="n"/>
      <c r="E592" s="4" t="n"/>
      <c r="F592" s="4" t="n"/>
      <c r="G592" s="4" t="n"/>
    </row>
    <row r="593" ht="15.75" customHeight="1" s="40">
      <c r="A593" s="4" t="n"/>
      <c r="B593" s="4" t="n"/>
      <c r="C593" s="4" t="n"/>
      <c r="D593" s="4" t="n"/>
      <c r="E593" s="4" t="n"/>
      <c r="F593" s="4" t="n"/>
      <c r="G593" s="4" t="n"/>
    </row>
    <row r="594" ht="15.75" customHeight="1" s="40">
      <c r="A594" s="4" t="n"/>
      <c r="B594" s="4" t="n"/>
      <c r="C594" s="4" t="n"/>
      <c r="D594" s="4" t="n"/>
      <c r="E594" s="4" t="n"/>
      <c r="F594" s="4" t="n"/>
      <c r="G594" s="4" t="n"/>
    </row>
    <row r="595" ht="15.75" customHeight="1" s="40">
      <c r="A595" s="4" t="n"/>
      <c r="B595" s="4" t="n"/>
      <c r="C595" s="4" t="n"/>
      <c r="D595" s="4" t="n"/>
      <c r="E595" s="4" t="n"/>
      <c r="F595" s="4" t="n"/>
      <c r="G595" s="4" t="n"/>
    </row>
    <row r="596" ht="15.75" customHeight="1" s="40">
      <c r="A596" s="4" t="n"/>
      <c r="B596" s="4" t="n"/>
      <c r="C596" s="4" t="n"/>
      <c r="D596" s="4" t="n"/>
      <c r="E596" s="4" t="n"/>
      <c r="F596" s="4" t="n"/>
      <c r="G596" s="4" t="n"/>
    </row>
    <row r="597" ht="15.75" customHeight="1" s="40">
      <c r="A597" s="4" t="n"/>
      <c r="B597" s="4" t="n"/>
      <c r="C597" s="4" t="n"/>
      <c r="D597" s="4" t="n"/>
      <c r="E597" s="4" t="n"/>
      <c r="F597" s="4" t="n"/>
      <c r="G597" s="4" t="n"/>
    </row>
    <row r="598" ht="15.75" customHeight="1" s="40">
      <c r="A598" s="4" t="n"/>
      <c r="B598" s="4" t="n"/>
      <c r="C598" s="4" t="n"/>
      <c r="D598" s="4" t="n"/>
      <c r="E598" s="4" t="n"/>
      <c r="F598" s="4" t="n"/>
      <c r="G598" s="4" t="n"/>
    </row>
    <row r="599" ht="15.75" customHeight="1" s="40">
      <c r="A599" s="4" t="n"/>
      <c r="B599" s="4" t="n"/>
      <c r="C599" s="4" t="n"/>
      <c r="D599" s="4" t="n"/>
      <c r="E599" s="4" t="n"/>
      <c r="F599" s="4" t="n"/>
      <c r="G599" s="4" t="n"/>
    </row>
    <row r="600" ht="15.75" customHeight="1" s="40">
      <c r="A600" s="4" t="n"/>
      <c r="B600" s="4" t="n"/>
      <c r="C600" s="4" t="n"/>
      <c r="D600" s="4" t="n"/>
      <c r="E600" s="4" t="n"/>
      <c r="F600" s="4" t="n"/>
      <c r="G600" s="4" t="n"/>
    </row>
    <row r="601" ht="15.75" customHeight="1" s="40">
      <c r="A601" s="4" t="n"/>
      <c r="B601" s="4" t="n"/>
      <c r="C601" s="4" t="n"/>
      <c r="D601" s="4" t="n"/>
      <c r="E601" s="4" t="n"/>
      <c r="F601" s="4" t="n"/>
      <c r="G601" s="4" t="n"/>
    </row>
    <row r="602" ht="15.75" customHeight="1" s="40">
      <c r="A602" s="4" t="n"/>
      <c r="B602" s="4" t="n"/>
      <c r="C602" s="4" t="n"/>
      <c r="D602" s="4" t="n"/>
      <c r="E602" s="4" t="n"/>
      <c r="F602" s="4" t="n"/>
      <c r="G602" s="4" t="n"/>
    </row>
    <row r="603" ht="15.75" customHeight="1" s="40">
      <c r="A603" s="4" t="n"/>
      <c r="B603" s="4" t="n"/>
      <c r="C603" s="4" t="n"/>
      <c r="D603" s="4" t="n"/>
      <c r="E603" s="4" t="n"/>
      <c r="F603" s="4" t="n"/>
      <c r="G603" s="4" t="n"/>
    </row>
    <row r="604" ht="15.75" customHeight="1" s="40">
      <c r="A604" s="4" t="n"/>
      <c r="B604" s="4" t="n"/>
      <c r="C604" s="4" t="n"/>
      <c r="D604" s="4" t="n"/>
      <c r="E604" s="4" t="n"/>
      <c r="F604" s="4" t="n"/>
      <c r="G604" s="4" t="n"/>
    </row>
    <row r="605" ht="15.75" customHeight="1" s="40">
      <c r="A605" s="4" t="n"/>
      <c r="B605" s="4" t="n"/>
      <c r="C605" s="4" t="n"/>
      <c r="D605" s="4" t="n"/>
      <c r="E605" s="4" t="n"/>
      <c r="F605" s="4" t="n"/>
      <c r="G605" s="4" t="n"/>
    </row>
    <row r="606" ht="15.75" customHeight="1" s="40">
      <c r="A606" s="4" t="n"/>
      <c r="B606" s="4" t="n"/>
      <c r="C606" s="4" t="n"/>
      <c r="D606" s="4" t="n"/>
      <c r="E606" s="4" t="n"/>
      <c r="F606" s="4" t="n"/>
      <c r="G606" s="4" t="n"/>
    </row>
    <row r="607" ht="15.75" customHeight="1" s="40">
      <c r="A607" s="4" t="n"/>
      <c r="B607" s="4" t="n"/>
      <c r="C607" s="4" t="n"/>
      <c r="D607" s="4" t="n"/>
      <c r="E607" s="4" t="n"/>
      <c r="F607" s="4" t="n"/>
      <c r="G607" s="4" t="n"/>
    </row>
    <row r="608" ht="15.75" customHeight="1" s="40">
      <c r="A608" s="4" t="n"/>
      <c r="B608" s="4" t="n"/>
      <c r="C608" s="4" t="n"/>
      <c r="D608" s="4" t="n"/>
      <c r="E608" s="4" t="n"/>
      <c r="F608" s="4" t="n"/>
      <c r="G608" s="4" t="n"/>
    </row>
    <row r="609" ht="15.75" customHeight="1" s="40">
      <c r="A609" s="4" t="n"/>
      <c r="B609" s="4" t="n"/>
      <c r="C609" s="4" t="n"/>
      <c r="D609" s="4" t="n"/>
      <c r="E609" s="4" t="n"/>
      <c r="F609" s="4" t="n"/>
      <c r="G609" s="4" t="n"/>
    </row>
    <row r="610" ht="15.75" customHeight="1" s="40">
      <c r="A610" s="4" t="n"/>
      <c r="B610" s="4" t="n"/>
      <c r="C610" s="4" t="n"/>
      <c r="D610" s="4" t="n"/>
      <c r="E610" s="4" t="n"/>
      <c r="F610" s="4" t="n"/>
      <c r="G610" s="4" t="n"/>
    </row>
    <row r="611" ht="15.75" customHeight="1" s="40">
      <c r="A611" s="4" t="n"/>
      <c r="B611" s="4" t="n"/>
      <c r="C611" s="4" t="n"/>
      <c r="D611" s="4" t="n"/>
      <c r="E611" s="4" t="n"/>
      <c r="F611" s="4" t="n"/>
      <c r="G611" s="4" t="n"/>
    </row>
    <row r="612" ht="15.75" customHeight="1" s="40">
      <c r="A612" s="4" t="n"/>
      <c r="B612" s="4" t="n"/>
      <c r="C612" s="4" t="n"/>
      <c r="D612" s="4" t="n"/>
      <c r="E612" s="4" t="n"/>
      <c r="F612" s="4" t="n"/>
      <c r="G612" s="4" t="n"/>
    </row>
    <row r="613" ht="15.75" customHeight="1" s="40">
      <c r="A613" s="4" t="n"/>
      <c r="B613" s="4" t="n"/>
      <c r="C613" s="4" t="n"/>
      <c r="D613" s="4" t="n"/>
      <c r="E613" s="4" t="n"/>
      <c r="F613" s="4" t="n"/>
      <c r="G613" s="4" t="n"/>
    </row>
    <row r="614" ht="15.75" customHeight="1" s="40">
      <c r="A614" s="4" t="n"/>
      <c r="B614" s="4" t="n"/>
      <c r="C614" s="4" t="n"/>
      <c r="D614" s="4" t="n"/>
      <c r="E614" s="4" t="n"/>
      <c r="F614" s="4" t="n"/>
      <c r="G614" s="4" t="n"/>
    </row>
    <row r="615" ht="15.75" customHeight="1" s="40">
      <c r="A615" s="4" t="n"/>
      <c r="B615" s="4" t="n"/>
      <c r="C615" s="4" t="n"/>
      <c r="D615" s="4" t="n"/>
      <c r="E615" s="4" t="n"/>
      <c r="F615" s="4" t="n"/>
      <c r="G615" s="4" t="n"/>
    </row>
    <row r="616" ht="15.75" customHeight="1" s="40">
      <c r="A616" s="4" t="n"/>
      <c r="B616" s="4" t="n"/>
      <c r="C616" s="4" t="n"/>
      <c r="D616" s="4" t="n"/>
      <c r="E616" s="4" t="n"/>
      <c r="F616" s="4" t="n"/>
      <c r="G616" s="4" t="n"/>
    </row>
    <row r="617" ht="15.75" customHeight="1" s="40">
      <c r="A617" s="4" t="n"/>
      <c r="B617" s="4" t="n"/>
      <c r="C617" s="4" t="n"/>
      <c r="D617" s="4" t="n"/>
      <c r="E617" s="4" t="n"/>
      <c r="F617" s="4" t="n"/>
      <c r="G617" s="4" t="n"/>
    </row>
    <row r="618" ht="15.75" customHeight="1" s="40">
      <c r="A618" s="4" t="n"/>
      <c r="B618" s="4" t="n"/>
      <c r="C618" s="4" t="n"/>
      <c r="D618" s="4" t="n"/>
      <c r="E618" s="4" t="n"/>
      <c r="F618" s="4" t="n"/>
      <c r="G618" s="4" t="n"/>
    </row>
    <row r="619" ht="15.75" customHeight="1" s="40">
      <c r="A619" s="4" t="n"/>
      <c r="B619" s="4" t="n"/>
      <c r="C619" s="4" t="n"/>
      <c r="D619" s="4" t="n"/>
      <c r="E619" s="4" t="n"/>
      <c r="F619" s="4" t="n"/>
      <c r="G619" s="4" t="n"/>
    </row>
    <row r="620" ht="15.75" customHeight="1" s="40">
      <c r="A620" s="4" t="n"/>
      <c r="B620" s="4" t="n"/>
      <c r="C620" s="4" t="n"/>
      <c r="D620" s="4" t="n"/>
      <c r="E620" s="4" t="n"/>
      <c r="F620" s="4" t="n"/>
      <c r="G620" s="4" t="n"/>
    </row>
    <row r="621" ht="15.75" customHeight="1" s="40">
      <c r="A621" s="4" t="n"/>
      <c r="B621" s="4" t="n"/>
      <c r="C621" s="4" t="n"/>
      <c r="D621" s="4" t="n"/>
      <c r="E621" s="4" t="n"/>
      <c r="F621" s="4" t="n"/>
      <c r="G621" s="4" t="n"/>
    </row>
    <row r="622" ht="15.75" customHeight="1" s="40">
      <c r="A622" s="4" t="n"/>
      <c r="B622" s="4" t="n"/>
      <c r="C622" s="4" t="n"/>
      <c r="D622" s="4" t="n"/>
      <c r="E622" s="4" t="n"/>
      <c r="F622" s="4" t="n"/>
      <c r="G622" s="4" t="n"/>
    </row>
    <row r="623" ht="15.75" customHeight="1" s="40">
      <c r="A623" s="4" t="n"/>
      <c r="B623" s="4" t="n"/>
      <c r="C623" s="4" t="n"/>
      <c r="D623" s="4" t="n"/>
      <c r="E623" s="4" t="n"/>
      <c r="F623" s="4" t="n"/>
      <c r="G623" s="4" t="n"/>
    </row>
    <row r="624" ht="15.75" customHeight="1" s="40">
      <c r="A624" s="4" t="n"/>
      <c r="B624" s="4" t="n"/>
      <c r="C624" s="4" t="n"/>
      <c r="D624" s="4" t="n"/>
      <c r="E624" s="4" t="n"/>
      <c r="F624" s="4" t="n"/>
      <c r="G624" s="4" t="n"/>
    </row>
    <row r="625" ht="15.75" customHeight="1" s="40">
      <c r="A625" s="4" t="n"/>
      <c r="B625" s="4" t="n"/>
      <c r="C625" s="4" t="n"/>
      <c r="D625" s="4" t="n"/>
      <c r="E625" s="4" t="n"/>
      <c r="F625" s="4" t="n"/>
      <c r="G625" s="4" t="n"/>
    </row>
    <row r="626" ht="15.75" customHeight="1" s="40">
      <c r="A626" s="4" t="n"/>
      <c r="B626" s="4" t="n"/>
      <c r="C626" s="4" t="n"/>
      <c r="D626" s="4" t="n"/>
      <c r="E626" s="4" t="n"/>
      <c r="F626" s="4" t="n"/>
      <c r="G626" s="4" t="n"/>
    </row>
    <row r="627" ht="15.75" customHeight="1" s="40">
      <c r="A627" s="4" t="n"/>
      <c r="B627" s="4" t="n"/>
      <c r="C627" s="4" t="n"/>
      <c r="D627" s="4" t="n"/>
      <c r="E627" s="4" t="n"/>
      <c r="F627" s="4" t="n"/>
      <c r="G627" s="4" t="n"/>
    </row>
    <row r="628" ht="15.75" customHeight="1" s="40">
      <c r="A628" s="4" t="n"/>
      <c r="B628" s="4" t="n"/>
      <c r="C628" s="4" t="n"/>
      <c r="D628" s="4" t="n"/>
      <c r="E628" s="4" t="n"/>
      <c r="F628" s="4" t="n"/>
      <c r="G628" s="4" t="n"/>
    </row>
    <row r="629" ht="15.75" customHeight="1" s="40">
      <c r="A629" s="4" t="n"/>
      <c r="B629" s="4" t="n"/>
      <c r="C629" s="4" t="n"/>
      <c r="D629" s="4" t="n"/>
      <c r="E629" s="4" t="n"/>
      <c r="F629" s="4" t="n"/>
      <c r="G629" s="4" t="n"/>
    </row>
    <row r="630" ht="15.75" customHeight="1" s="40">
      <c r="A630" s="4" t="n"/>
      <c r="B630" s="4" t="n"/>
      <c r="C630" s="4" t="n"/>
      <c r="D630" s="4" t="n"/>
      <c r="E630" s="4" t="n"/>
      <c r="F630" s="4" t="n"/>
      <c r="G630" s="4" t="n"/>
    </row>
    <row r="631" ht="15.75" customHeight="1" s="40">
      <c r="A631" s="4" t="n"/>
      <c r="B631" s="4" t="n"/>
      <c r="C631" s="4" t="n"/>
      <c r="D631" s="4" t="n"/>
      <c r="E631" s="4" t="n"/>
      <c r="F631" s="4" t="n"/>
      <c r="G631" s="4" t="n"/>
    </row>
    <row r="632" ht="15.75" customHeight="1" s="40">
      <c r="A632" s="4" t="n"/>
      <c r="B632" s="4" t="n"/>
      <c r="C632" s="4" t="n"/>
      <c r="D632" s="4" t="n"/>
      <c r="E632" s="4" t="n"/>
      <c r="F632" s="4" t="n"/>
      <c r="G632" s="4" t="n"/>
    </row>
    <row r="633" ht="15.75" customHeight="1" s="40">
      <c r="A633" s="4" t="n"/>
      <c r="B633" s="4" t="n"/>
      <c r="C633" s="4" t="n"/>
      <c r="D633" s="4" t="n"/>
      <c r="E633" s="4" t="n"/>
      <c r="F633" s="4" t="n"/>
      <c r="G633" s="4" t="n"/>
    </row>
    <row r="634" ht="15.75" customHeight="1" s="40">
      <c r="A634" s="4" t="n"/>
      <c r="B634" s="4" t="n"/>
      <c r="C634" s="4" t="n"/>
      <c r="D634" s="4" t="n"/>
      <c r="E634" s="4" t="n"/>
      <c r="F634" s="4" t="n"/>
      <c r="G634" s="4" t="n"/>
    </row>
    <row r="635" ht="15.75" customHeight="1" s="40">
      <c r="A635" s="4" t="n"/>
      <c r="B635" s="4" t="n"/>
      <c r="C635" s="4" t="n"/>
      <c r="D635" s="4" t="n"/>
      <c r="E635" s="4" t="n"/>
      <c r="F635" s="4" t="n"/>
      <c r="G635" s="4" t="n"/>
    </row>
    <row r="636" ht="15.75" customHeight="1" s="40">
      <c r="A636" s="4" t="n"/>
      <c r="B636" s="4" t="n"/>
      <c r="C636" s="4" t="n"/>
      <c r="D636" s="4" t="n"/>
      <c r="E636" s="4" t="n"/>
      <c r="F636" s="4" t="n"/>
      <c r="G636" s="4" t="n"/>
    </row>
    <row r="637" ht="15.75" customHeight="1" s="40">
      <c r="A637" s="4" t="n"/>
      <c r="B637" s="4" t="n"/>
      <c r="C637" s="4" t="n"/>
      <c r="D637" s="4" t="n"/>
      <c r="E637" s="4" t="n"/>
      <c r="F637" s="4" t="n"/>
      <c r="G637" s="4" t="n"/>
    </row>
    <row r="638" ht="15.75" customHeight="1" s="40">
      <c r="A638" s="4" t="n"/>
      <c r="B638" s="4" t="n"/>
      <c r="C638" s="4" t="n"/>
      <c r="D638" s="4" t="n"/>
      <c r="E638" s="4" t="n"/>
      <c r="F638" s="4" t="n"/>
      <c r="G638" s="4" t="n"/>
    </row>
    <row r="639" ht="15.75" customHeight="1" s="40">
      <c r="A639" s="4" t="n"/>
      <c r="B639" s="4" t="n"/>
      <c r="C639" s="4" t="n"/>
      <c r="D639" s="4" t="n"/>
      <c r="E639" s="4" t="n"/>
      <c r="F639" s="4" t="n"/>
      <c r="G639" s="4" t="n"/>
    </row>
    <row r="640" ht="15.75" customHeight="1" s="40">
      <c r="A640" s="4" t="n"/>
      <c r="B640" s="4" t="n"/>
      <c r="C640" s="4" t="n"/>
      <c r="D640" s="4" t="n"/>
      <c r="E640" s="4" t="n"/>
      <c r="F640" s="4" t="n"/>
      <c r="G640" s="4" t="n"/>
    </row>
    <row r="641" ht="15.75" customHeight="1" s="40">
      <c r="A641" s="4" t="n"/>
      <c r="B641" s="4" t="n"/>
      <c r="C641" s="4" t="n"/>
      <c r="D641" s="4" t="n"/>
      <c r="E641" s="4" t="n"/>
      <c r="F641" s="4" t="n"/>
      <c r="G641" s="4" t="n"/>
    </row>
    <row r="642" ht="15.75" customHeight="1" s="40">
      <c r="A642" s="4" t="n"/>
      <c r="B642" s="4" t="n"/>
      <c r="C642" s="4" t="n"/>
      <c r="D642" s="4" t="n"/>
      <c r="E642" s="4" t="n"/>
      <c r="F642" s="4" t="n"/>
      <c r="G642" s="4" t="n"/>
    </row>
    <row r="643" ht="15.75" customHeight="1" s="40">
      <c r="A643" s="4" t="n"/>
      <c r="B643" s="4" t="n"/>
      <c r="C643" s="4" t="n"/>
      <c r="D643" s="4" t="n"/>
      <c r="E643" s="4" t="n"/>
      <c r="F643" s="4" t="n"/>
      <c r="G643" s="4" t="n"/>
    </row>
    <row r="644" ht="15.75" customHeight="1" s="40">
      <c r="A644" s="4" t="n"/>
      <c r="B644" s="4" t="n"/>
      <c r="C644" s="4" t="n"/>
      <c r="D644" s="4" t="n"/>
      <c r="E644" s="4" t="n"/>
      <c r="F644" s="4" t="n"/>
      <c r="G644" s="4" t="n"/>
    </row>
    <row r="645" ht="15.75" customHeight="1" s="40">
      <c r="A645" s="4" t="n"/>
      <c r="B645" s="4" t="n"/>
      <c r="C645" s="4" t="n"/>
      <c r="D645" s="4" t="n"/>
      <c r="E645" s="4" t="n"/>
      <c r="F645" s="4" t="n"/>
      <c r="G645" s="4" t="n"/>
    </row>
    <row r="646" ht="15.75" customHeight="1" s="40">
      <c r="A646" s="4" t="n"/>
      <c r="B646" s="4" t="n"/>
      <c r="C646" s="4" t="n"/>
      <c r="D646" s="4" t="n"/>
      <c r="E646" s="4" t="n"/>
      <c r="F646" s="4" t="n"/>
      <c r="G646" s="4" t="n"/>
    </row>
    <row r="647" ht="15.75" customHeight="1" s="40">
      <c r="A647" s="4" t="n"/>
      <c r="B647" s="4" t="n"/>
      <c r="C647" s="4" t="n"/>
      <c r="D647" s="4" t="n"/>
      <c r="E647" s="4" t="n"/>
      <c r="F647" s="4" t="n"/>
      <c r="G647" s="4" t="n"/>
    </row>
    <row r="648" ht="15.75" customHeight="1" s="40">
      <c r="A648" s="4" t="n"/>
      <c r="B648" s="4" t="n"/>
      <c r="C648" s="4" t="n"/>
      <c r="D648" s="4" t="n"/>
      <c r="E648" s="4" t="n"/>
      <c r="F648" s="4" t="n"/>
      <c r="G648" s="4" t="n"/>
    </row>
    <row r="649" ht="15.75" customHeight="1" s="40">
      <c r="A649" s="4" t="n"/>
      <c r="B649" s="4" t="n"/>
      <c r="C649" s="4" t="n"/>
      <c r="D649" s="4" t="n"/>
      <c r="E649" s="4" t="n"/>
      <c r="F649" s="4" t="n"/>
      <c r="G649" s="4" t="n"/>
    </row>
    <row r="650" ht="15.75" customHeight="1" s="40">
      <c r="A650" s="4" t="n"/>
      <c r="B650" s="4" t="n"/>
      <c r="C650" s="4" t="n"/>
      <c r="D650" s="4" t="n"/>
      <c r="E650" s="4" t="n"/>
      <c r="F650" s="4" t="n"/>
      <c r="G650" s="4" t="n"/>
    </row>
    <row r="651" ht="15.75" customHeight="1" s="40">
      <c r="A651" s="4" t="n"/>
      <c r="B651" s="4" t="n"/>
      <c r="C651" s="4" t="n"/>
      <c r="D651" s="4" t="n"/>
      <c r="E651" s="4" t="n"/>
      <c r="F651" s="4" t="n"/>
      <c r="G651" s="4" t="n"/>
    </row>
    <row r="652" ht="15.75" customHeight="1" s="40">
      <c r="A652" s="4" t="n"/>
      <c r="B652" s="4" t="n"/>
      <c r="C652" s="4" t="n"/>
      <c r="D652" s="4" t="n"/>
      <c r="E652" s="4" t="n"/>
      <c r="F652" s="4" t="n"/>
      <c r="G652" s="4" t="n"/>
    </row>
    <row r="653" ht="15.75" customHeight="1" s="40">
      <c r="A653" s="4" t="n"/>
      <c r="B653" s="4" t="n"/>
      <c r="C653" s="4" t="n"/>
      <c r="D653" s="4" t="n"/>
      <c r="E653" s="4" t="n"/>
      <c r="F653" s="4" t="n"/>
      <c r="G653" s="4" t="n"/>
    </row>
    <row r="654" ht="15.75" customHeight="1" s="40">
      <c r="A654" s="4" t="n"/>
      <c r="B654" s="4" t="n"/>
      <c r="C654" s="4" t="n"/>
      <c r="D654" s="4" t="n"/>
      <c r="E654" s="4" t="n"/>
      <c r="F654" s="4" t="n"/>
      <c r="G654" s="4" t="n"/>
    </row>
    <row r="655" ht="15.75" customHeight="1" s="40">
      <c r="A655" s="4" t="n"/>
      <c r="B655" s="4" t="n"/>
      <c r="C655" s="4" t="n"/>
      <c r="D655" s="4" t="n"/>
      <c r="E655" s="4" t="n"/>
      <c r="F655" s="4" t="n"/>
      <c r="G655" s="4" t="n"/>
    </row>
    <row r="656" ht="15.75" customHeight="1" s="40">
      <c r="A656" s="4" t="n"/>
      <c r="B656" s="4" t="n"/>
      <c r="C656" s="4" t="n"/>
      <c r="D656" s="4" t="n"/>
      <c r="E656" s="4" t="n"/>
      <c r="F656" s="4" t="n"/>
      <c r="G656" s="4" t="n"/>
    </row>
    <row r="657" ht="15.75" customHeight="1" s="40">
      <c r="A657" s="4" t="n"/>
      <c r="B657" s="4" t="n"/>
      <c r="C657" s="4" t="n"/>
      <c r="D657" s="4" t="n"/>
      <c r="E657" s="4" t="n"/>
      <c r="F657" s="4" t="n"/>
      <c r="G657" s="4" t="n"/>
    </row>
    <row r="658" ht="15.75" customHeight="1" s="40">
      <c r="A658" s="4" t="n"/>
      <c r="B658" s="4" t="n"/>
      <c r="C658" s="4" t="n"/>
      <c r="D658" s="4" t="n"/>
      <c r="E658" s="4" t="n"/>
      <c r="F658" s="4" t="n"/>
      <c r="G658" s="4" t="n"/>
    </row>
    <row r="659" ht="15.75" customHeight="1" s="40">
      <c r="A659" s="4" t="n"/>
      <c r="B659" s="4" t="n"/>
      <c r="C659" s="4" t="n"/>
      <c r="D659" s="4" t="n"/>
      <c r="E659" s="4" t="n"/>
      <c r="F659" s="4" t="n"/>
      <c r="G659" s="4" t="n"/>
    </row>
    <row r="660" ht="15.75" customHeight="1" s="40">
      <c r="A660" s="4" t="n"/>
      <c r="B660" s="4" t="n"/>
      <c r="C660" s="4" t="n"/>
      <c r="D660" s="4" t="n"/>
      <c r="E660" s="4" t="n"/>
      <c r="F660" s="4" t="n"/>
      <c r="G660" s="4" t="n"/>
    </row>
    <row r="661" ht="15.75" customHeight="1" s="40">
      <c r="A661" s="4" t="n"/>
      <c r="B661" s="4" t="n"/>
      <c r="C661" s="4" t="n"/>
      <c r="D661" s="4" t="n"/>
      <c r="E661" s="4" t="n"/>
      <c r="F661" s="4" t="n"/>
      <c r="G661" s="4" t="n"/>
    </row>
    <row r="662" ht="15.75" customHeight="1" s="40">
      <c r="A662" s="4" t="n"/>
      <c r="B662" s="4" t="n"/>
      <c r="C662" s="4" t="n"/>
      <c r="D662" s="4" t="n"/>
      <c r="E662" s="4" t="n"/>
      <c r="F662" s="4" t="n"/>
      <c r="G662" s="4" t="n"/>
    </row>
    <row r="663" ht="15.75" customHeight="1" s="40">
      <c r="A663" s="4" t="n"/>
      <c r="B663" s="4" t="n"/>
      <c r="C663" s="4" t="n"/>
      <c r="D663" s="4" t="n"/>
      <c r="E663" s="4" t="n"/>
      <c r="F663" s="4" t="n"/>
      <c r="G663" s="4" t="n"/>
    </row>
    <row r="664" ht="15.75" customHeight="1" s="40">
      <c r="A664" s="4" t="n"/>
      <c r="B664" s="4" t="n"/>
      <c r="C664" s="4" t="n"/>
      <c r="D664" s="4" t="n"/>
      <c r="E664" s="4" t="n"/>
      <c r="F664" s="4" t="n"/>
      <c r="G664" s="4" t="n"/>
    </row>
    <row r="665" ht="15.75" customHeight="1" s="40">
      <c r="A665" s="4" t="n"/>
      <c r="B665" s="4" t="n"/>
      <c r="C665" s="4" t="n"/>
      <c r="D665" s="4" t="n"/>
      <c r="E665" s="4" t="n"/>
      <c r="F665" s="4" t="n"/>
      <c r="G665" s="4" t="n"/>
    </row>
    <row r="666" ht="15.75" customHeight="1" s="40">
      <c r="A666" s="4" t="n"/>
      <c r="B666" s="4" t="n"/>
      <c r="C666" s="4" t="n"/>
      <c r="D666" s="4" t="n"/>
      <c r="E666" s="4" t="n"/>
      <c r="F666" s="4" t="n"/>
      <c r="G666" s="4" t="n"/>
    </row>
    <row r="667" ht="15.75" customHeight="1" s="40">
      <c r="A667" s="4" t="n"/>
      <c r="B667" s="4" t="n"/>
      <c r="C667" s="4" t="n"/>
      <c r="D667" s="4" t="n"/>
      <c r="E667" s="4" t="n"/>
      <c r="F667" s="4" t="n"/>
      <c r="G667" s="4" t="n"/>
    </row>
    <row r="668" ht="15.75" customHeight="1" s="40">
      <c r="A668" s="4" t="n"/>
      <c r="B668" s="4" t="n"/>
      <c r="C668" s="4" t="n"/>
      <c r="D668" s="4" t="n"/>
      <c r="E668" s="4" t="n"/>
      <c r="F668" s="4" t="n"/>
      <c r="G668" s="4" t="n"/>
    </row>
    <row r="669" ht="15.75" customHeight="1" s="40">
      <c r="A669" s="4" t="n"/>
      <c r="B669" s="4" t="n"/>
      <c r="C669" s="4" t="n"/>
      <c r="D669" s="4" t="n"/>
      <c r="E669" s="4" t="n"/>
      <c r="F669" s="4" t="n"/>
      <c r="G669" s="4" t="n"/>
    </row>
    <row r="670" ht="15.75" customHeight="1" s="40">
      <c r="A670" s="4" t="n"/>
      <c r="B670" s="4" t="n"/>
      <c r="C670" s="4" t="n"/>
      <c r="D670" s="4" t="n"/>
      <c r="E670" s="4" t="n"/>
      <c r="F670" s="4" t="n"/>
      <c r="G670" s="4" t="n"/>
    </row>
    <row r="671" ht="15.75" customHeight="1" s="40">
      <c r="A671" s="4" t="n"/>
      <c r="B671" s="4" t="n"/>
      <c r="C671" s="4" t="n"/>
      <c r="D671" s="4" t="n"/>
      <c r="E671" s="4" t="n"/>
      <c r="F671" s="4" t="n"/>
      <c r="G671" s="4" t="n"/>
    </row>
    <row r="672" ht="15.75" customHeight="1" s="40">
      <c r="A672" s="4" t="n"/>
      <c r="B672" s="4" t="n"/>
      <c r="C672" s="4" t="n"/>
      <c r="D672" s="4" t="n"/>
      <c r="E672" s="4" t="n"/>
      <c r="F672" s="4" t="n"/>
      <c r="G672" s="4" t="n"/>
    </row>
    <row r="673" ht="15.75" customHeight="1" s="40">
      <c r="A673" s="4" t="n"/>
      <c r="B673" s="4" t="n"/>
      <c r="C673" s="4" t="n"/>
      <c r="D673" s="4" t="n"/>
      <c r="E673" s="4" t="n"/>
      <c r="F673" s="4" t="n"/>
      <c r="G673" s="4" t="n"/>
    </row>
    <row r="674" ht="15.75" customHeight="1" s="40">
      <c r="A674" s="4" t="n"/>
      <c r="B674" s="4" t="n"/>
      <c r="C674" s="4" t="n"/>
      <c r="D674" s="4" t="n"/>
      <c r="E674" s="4" t="n"/>
      <c r="F674" s="4" t="n"/>
      <c r="G674" s="4" t="n"/>
    </row>
    <row r="675" ht="15.75" customHeight="1" s="40">
      <c r="A675" s="4" t="n"/>
      <c r="B675" s="4" t="n"/>
      <c r="C675" s="4" t="n"/>
      <c r="D675" s="4" t="n"/>
      <c r="E675" s="4" t="n"/>
      <c r="F675" s="4" t="n"/>
      <c r="G675" s="4" t="n"/>
    </row>
    <row r="676" ht="15.75" customHeight="1" s="40">
      <c r="A676" s="4" t="n"/>
      <c r="B676" s="4" t="n"/>
      <c r="C676" s="4" t="n"/>
      <c r="D676" s="4" t="n"/>
      <c r="E676" s="4" t="n"/>
      <c r="F676" s="4" t="n"/>
      <c r="G676" s="4" t="n"/>
    </row>
    <row r="677" ht="15.75" customHeight="1" s="40">
      <c r="A677" s="4" t="n"/>
      <c r="B677" s="4" t="n"/>
      <c r="C677" s="4" t="n"/>
      <c r="D677" s="4" t="n"/>
      <c r="E677" s="4" t="n"/>
      <c r="F677" s="4" t="n"/>
      <c r="G677" s="4" t="n"/>
    </row>
    <row r="678" ht="15.75" customHeight="1" s="40">
      <c r="A678" s="4" t="n"/>
      <c r="B678" s="4" t="n"/>
      <c r="C678" s="4" t="n"/>
      <c r="D678" s="4" t="n"/>
      <c r="E678" s="4" t="n"/>
      <c r="F678" s="4" t="n"/>
      <c r="G678" s="4" t="n"/>
    </row>
    <row r="679" ht="15.75" customHeight="1" s="40">
      <c r="A679" s="4" t="n"/>
      <c r="B679" s="4" t="n"/>
      <c r="C679" s="4" t="n"/>
      <c r="D679" s="4" t="n"/>
      <c r="E679" s="4" t="n"/>
      <c r="F679" s="4" t="n"/>
      <c r="G679" s="4" t="n"/>
    </row>
    <row r="680" ht="15.75" customHeight="1" s="40">
      <c r="A680" s="4" t="n"/>
      <c r="B680" s="4" t="n"/>
      <c r="C680" s="4" t="n"/>
      <c r="D680" s="4" t="n"/>
      <c r="E680" s="4" t="n"/>
      <c r="F680" s="4" t="n"/>
      <c r="G680" s="4" t="n"/>
    </row>
    <row r="681" ht="15.75" customHeight="1" s="40">
      <c r="A681" s="4" t="n"/>
      <c r="B681" s="4" t="n"/>
      <c r="C681" s="4" t="n"/>
      <c r="D681" s="4" t="n"/>
      <c r="E681" s="4" t="n"/>
      <c r="F681" s="4" t="n"/>
      <c r="G681" s="4" t="n"/>
    </row>
    <row r="682" ht="15.75" customHeight="1" s="40">
      <c r="A682" s="4" t="n"/>
      <c r="B682" s="4" t="n"/>
      <c r="C682" s="4" t="n"/>
      <c r="D682" s="4" t="n"/>
      <c r="E682" s="4" t="n"/>
      <c r="F682" s="4" t="n"/>
      <c r="G682" s="4" t="n"/>
    </row>
    <row r="683" ht="15.75" customHeight="1" s="40">
      <c r="A683" s="4" t="n"/>
      <c r="B683" s="4" t="n"/>
      <c r="C683" s="4" t="n"/>
      <c r="D683" s="4" t="n"/>
      <c r="E683" s="4" t="n"/>
      <c r="F683" s="4" t="n"/>
      <c r="G683" s="4" t="n"/>
    </row>
    <row r="684" ht="15.75" customHeight="1" s="40">
      <c r="A684" s="4" t="n"/>
      <c r="B684" s="4" t="n"/>
      <c r="C684" s="4" t="n"/>
      <c r="D684" s="4" t="n"/>
      <c r="E684" s="4" t="n"/>
      <c r="F684" s="4" t="n"/>
      <c r="G684" s="4" t="n"/>
    </row>
    <row r="685" ht="15.75" customHeight="1" s="40">
      <c r="A685" s="4" t="n"/>
      <c r="B685" s="4" t="n"/>
      <c r="C685" s="4" t="n"/>
      <c r="D685" s="4" t="n"/>
      <c r="E685" s="4" t="n"/>
      <c r="F685" s="4" t="n"/>
      <c r="G685" s="4" t="n"/>
    </row>
    <row r="686" ht="15.75" customHeight="1" s="40">
      <c r="A686" s="4" t="n"/>
      <c r="B686" s="4" t="n"/>
      <c r="C686" s="4" t="n"/>
      <c r="D686" s="4" t="n"/>
      <c r="E686" s="4" t="n"/>
      <c r="F686" s="4" t="n"/>
      <c r="G686" s="4" t="n"/>
    </row>
    <row r="687" ht="15.75" customHeight="1" s="40">
      <c r="A687" s="4" t="n"/>
      <c r="B687" s="4" t="n"/>
      <c r="C687" s="4" t="n"/>
      <c r="D687" s="4" t="n"/>
      <c r="E687" s="4" t="n"/>
      <c r="F687" s="4" t="n"/>
      <c r="G687" s="4" t="n"/>
    </row>
    <row r="688" ht="15.75" customHeight="1" s="40">
      <c r="A688" s="4" t="n"/>
      <c r="B688" s="4" t="n"/>
      <c r="C688" s="4" t="n"/>
      <c r="D688" s="4" t="n"/>
      <c r="E688" s="4" t="n"/>
      <c r="F688" s="4" t="n"/>
      <c r="G688" s="4" t="n"/>
    </row>
    <row r="689" ht="15.75" customHeight="1" s="40">
      <c r="A689" s="4" t="n"/>
      <c r="B689" s="4" t="n"/>
      <c r="C689" s="4" t="n"/>
      <c r="D689" s="4" t="n"/>
      <c r="E689" s="4" t="n"/>
      <c r="F689" s="4" t="n"/>
      <c r="G689" s="4" t="n"/>
    </row>
    <row r="690" ht="15.75" customHeight="1" s="40">
      <c r="A690" s="4" t="n"/>
      <c r="B690" s="4" t="n"/>
      <c r="C690" s="4" t="n"/>
      <c r="D690" s="4" t="n"/>
      <c r="E690" s="4" t="n"/>
      <c r="F690" s="4" t="n"/>
      <c r="G690" s="4" t="n"/>
    </row>
    <row r="691" ht="15.75" customHeight="1" s="40">
      <c r="A691" s="4" t="n"/>
      <c r="B691" s="4" t="n"/>
      <c r="C691" s="4" t="n"/>
      <c r="D691" s="4" t="n"/>
      <c r="E691" s="4" t="n"/>
      <c r="F691" s="4" t="n"/>
      <c r="G691" s="4" t="n"/>
    </row>
    <row r="692" ht="15.75" customHeight="1" s="40">
      <c r="A692" s="4" t="n"/>
      <c r="B692" s="4" t="n"/>
      <c r="C692" s="4" t="n"/>
      <c r="D692" s="4" t="n"/>
      <c r="E692" s="4" t="n"/>
      <c r="F692" s="4" t="n"/>
      <c r="G692" s="4" t="n"/>
    </row>
    <row r="693" ht="15.75" customHeight="1" s="40">
      <c r="A693" s="4" t="n"/>
      <c r="B693" s="4" t="n"/>
      <c r="C693" s="4" t="n"/>
      <c r="D693" s="4" t="n"/>
      <c r="E693" s="4" t="n"/>
      <c r="F693" s="4" t="n"/>
      <c r="G693" s="4" t="n"/>
    </row>
    <row r="694" ht="15.75" customHeight="1" s="40">
      <c r="A694" s="4" t="n"/>
      <c r="B694" s="4" t="n"/>
      <c r="C694" s="4" t="n"/>
      <c r="D694" s="4" t="n"/>
      <c r="E694" s="4" t="n"/>
      <c r="F694" s="4" t="n"/>
      <c r="G694" s="4" t="n"/>
    </row>
    <row r="695" ht="15.75" customHeight="1" s="40">
      <c r="A695" s="4" t="n"/>
      <c r="B695" s="4" t="n"/>
      <c r="C695" s="4" t="n"/>
      <c r="D695" s="4" t="n"/>
      <c r="E695" s="4" t="n"/>
      <c r="F695" s="4" t="n"/>
      <c r="G695" s="4" t="n"/>
    </row>
    <row r="696" ht="15.75" customHeight="1" s="40">
      <c r="A696" s="4" t="n"/>
      <c r="B696" s="4" t="n"/>
      <c r="C696" s="4" t="n"/>
      <c r="D696" s="4" t="n"/>
      <c r="E696" s="4" t="n"/>
      <c r="F696" s="4" t="n"/>
      <c r="G696" s="4" t="n"/>
    </row>
    <row r="697" ht="15.75" customHeight="1" s="40">
      <c r="A697" s="4" t="n"/>
      <c r="B697" s="4" t="n"/>
      <c r="C697" s="4" t="n"/>
      <c r="D697" s="4" t="n"/>
      <c r="E697" s="4" t="n"/>
      <c r="F697" s="4" t="n"/>
      <c r="G697" s="4" t="n"/>
    </row>
    <row r="698" ht="15.75" customHeight="1" s="40">
      <c r="A698" s="4" t="n"/>
      <c r="B698" s="4" t="n"/>
      <c r="C698" s="4" t="n"/>
      <c r="D698" s="4" t="n"/>
      <c r="E698" s="4" t="n"/>
      <c r="F698" s="4" t="n"/>
      <c r="G698" s="4" t="n"/>
    </row>
    <row r="699" ht="15.75" customHeight="1" s="40">
      <c r="A699" s="4" t="n"/>
      <c r="B699" s="4" t="n"/>
      <c r="C699" s="4" t="n"/>
      <c r="D699" s="4" t="n"/>
      <c r="E699" s="4" t="n"/>
      <c r="F699" s="4" t="n"/>
      <c r="G699" s="4" t="n"/>
    </row>
    <row r="700" ht="15.75" customHeight="1" s="40">
      <c r="A700" s="4" t="n"/>
      <c r="B700" s="4" t="n"/>
      <c r="C700" s="4" t="n"/>
      <c r="D700" s="4" t="n"/>
      <c r="E700" s="4" t="n"/>
      <c r="F700" s="4" t="n"/>
      <c r="G700" s="4" t="n"/>
    </row>
    <row r="701" ht="15.75" customHeight="1" s="40">
      <c r="A701" s="4" t="n"/>
      <c r="B701" s="4" t="n"/>
      <c r="C701" s="4" t="n"/>
      <c r="D701" s="4" t="n"/>
      <c r="E701" s="4" t="n"/>
      <c r="F701" s="4" t="n"/>
      <c r="G701" s="4" t="n"/>
    </row>
    <row r="702" ht="15.75" customHeight="1" s="40">
      <c r="A702" s="4" t="n"/>
      <c r="B702" s="4" t="n"/>
      <c r="C702" s="4" t="n"/>
      <c r="D702" s="4" t="n"/>
      <c r="E702" s="4" t="n"/>
      <c r="F702" s="4" t="n"/>
      <c r="G702" s="4" t="n"/>
    </row>
    <row r="703" ht="15.75" customHeight="1" s="40">
      <c r="A703" s="4" t="n"/>
      <c r="B703" s="4" t="n"/>
      <c r="C703" s="4" t="n"/>
      <c r="D703" s="4" t="n"/>
      <c r="E703" s="4" t="n"/>
      <c r="F703" s="4" t="n"/>
      <c r="G703" s="4" t="n"/>
    </row>
    <row r="704" ht="15.75" customHeight="1" s="40">
      <c r="A704" s="4" t="n"/>
      <c r="B704" s="4" t="n"/>
      <c r="C704" s="4" t="n"/>
      <c r="D704" s="4" t="n"/>
      <c r="E704" s="4" t="n"/>
      <c r="F704" s="4" t="n"/>
      <c r="G704" s="4" t="n"/>
    </row>
    <row r="705" ht="15.75" customHeight="1" s="40">
      <c r="A705" s="4" t="n"/>
      <c r="B705" s="4" t="n"/>
      <c r="C705" s="4" t="n"/>
      <c r="D705" s="4" t="n"/>
      <c r="E705" s="4" t="n"/>
      <c r="F705" s="4" t="n"/>
      <c r="G705" s="4" t="n"/>
    </row>
    <row r="706" ht="15.75" customHeight="1" s="40">
      <c r="A706" s="4" t="n"/>
      <c r="B706" s="4" t="n"/>
      <c r="C706" s="4" t="n"/>
      <c r="D706" s="4" t="n"/>
      <c r="E706" s="4" t="n"/>
      <c r="F706" s="4" t="n"/>
      <c r="G706" s="4" t="n"/>
    </row>
    <row r="707" ht="15.75" customHeight="1" s="40">
      <c r="A707" s="4" t="n"/>
      <c r="B707" s="4" t="n"/>
      <c r="C707" s="4" t="n"/>
      <c r="D707" s="4" t="n"/>
      <c r="E707" s="4" t="n"/>
      <c r="F707" s="4" t="n"/>
      <c r="G707" s="4" t="n"/>
    </row>
    <row r="708" ht="15.75" customHeight="1" s="40">
      <c r="A708" s="4" t="n"/>
      <c r="B708" s="4" t="n"/>
      <c r="C708" s="4" t="n"/>
      <c r="D708" s="4" t="n"/>
      <c r="E708" s="4" t="n"/>
      <c r="F708" s="4" t="n"/>
      <c r="G708" s="4" t="n"/>
    </row>
    <row r="709" ht="15.75" customHeight="1" s="40">
      <c r="A709" s="4" t="n"/>
      <c r="B709" s="4" t="n"/>
      <c r="C709" s="4" t="n"/>
      <c r="D709" s="4" t="n"/>
      <c r="E709" s="4" t="n"/>
      <c r="F709" s="4" t="n"/>
      <c r="G709" s="4" t="n"/>
    </row>
    <row r="710" ht="15.75" customHeight="1" s="40">
      <c r="A710" s="4" t="n"/>
      <c r="B710" s="4" t="n"/>
      <c r="C710" s="4" t="n"/>
      <c r="D710" s="4" t="n"/>
      <c r="E710" s="4" t="n"/>
      <c r="F710" s="4" t="n"/>
      <c r="G710" s="4" t="n"/>
    </row>
    <row r="711" ht="15.75" customHeight="1" s="40">
      <c r="A711" s="4" t="n"/>
      <c r="B711" s="4" t="n"/>
      <c r="C711" s="4" t="n"/>
      <c r="D711" s="4" t="n"/>
      <c r="E711" s="4" t="n"/>
      <c r="F711" s="4" t="n"/>
      <c r="G711" s="4" t="n"/>
    </row>
    <row r="712" ht="15.75" customHeight="1" s="40">
      <c r="A712" s="4" t="n"/>
      <c r="B712" s="4" t="n"/>
      <c r="C712" s="4" t="n"/>
      <c r="D712" s="4" t="n"/>
      <c r="E712" s="4" t="n"/>
      <c r="F712" s="4" t="n"/>
      <c r="G712" s="4" t="n"/>
    </row>
    <row r="713" ht="15.75" customHeight="1" s="40">
      <c r="A713" s="4" t="n"/>
      <c r="B713" s="4" t="n"/>
      <c r="C713" s="4" t="n"/>
      <c r="D713" s="4" t="n"/>
      <c r="E713" s="4" t="n"/>
      <c r="F713" s="4" t="n"/>
      <c r="G713" s="4" t="n"/>
    </row>
    <row r="714" ht="15.75" customHeight="1" s="40">
      <c r="A714" s="4" t="n"/>
      <c r="B714" s="4" t="n"/>
      <c r="C714" s="4" t="n"/>
      <c r="D714" s="4" t="n"/>
      <c r="E714" s="4" t="n"/>
      <c r="F714" s="4" t="n"/>
      <c r="G714" s="4" t="n"/>
    </row>
    <row r="715" ht="15.75" customHeight="1" s="40">
      <c r="A715" s="4" t="n"/>
      <c r="B715" s="4" t="n"/>
      <c r="C715" s="4" t="n"/>
      <c r="D715" s="4" t="n"/>
      <c r="E715" s="4" t="n"/>
      <c r="F715" s="4" t="n"/>
      <c r="G715" s="4" t="n"/>
    </row>
    <row r="716" ht="15.75" customHeight="1" s="40">
      <c r="A716" s="4" t="n"/>
      <c r="B716" s="4" t="n"/>
      <c r="C716" s="4" t="n"/>
      <c r="D716" s="4" t="n"/>
      <c r="E716" s="4" t="n"/>
      <c r="F716" s="4" t="n"/>
      <c r="G716" s="4" t="n"/>
    </row>
    <row r="717" ht="15.75" customHeight="1" s="40">
      <c r="A717" s="4" t="n"/>
      <c r="B717" s="4" t="n"/>
      <c r="C717" s="4" t="n"/>
      <c r="D717" s="4" t="n"/>
      <c r="E717" s="4" t="n"/>
      <c r="F717" s="4" t="n"/>
      <c r="G717" s="4" t="n"/>
    </row>
    <row r="718" ht="15.75" customHeight="1" s="40">
      <c r="A718" s="4" t="n"/>
      <c r="B718" s="4" t="n"/>
      <c r="C718" s="4" t="n"/>
      <c r="D718" s="4" t="n"/>
      <c r="E718" s="4" t="n"/>
      <c r="F718" s="4" t="n"/>
      <c r="G718" s="4" t="n"/>
    </row>
    <row r="719" ht="15.75" customHeight="1" s="40">
      <c r="A719" s="4" t="n"/>
      <c r="B719" s="4" t="n"/>
      <c r="C719" s="4" t="n"/>
      <c r="D719" s="4" t="n"/>
      <c r="E719" s="4" t="n"/>
      <c r="F719" s="4" t="n"/>
      <c r="G719" s="4" t="n"/>
    </row>
    <row r="720" ht="15.75" customHeight="1" s="40">
      <c r="A720" s="4" t="n"/>
      <c r="B720" s="4" t="n"/>
      <c r="C720" s="4" t="n"/>
      <c r="D720" s="4" t="n"/>
      <c r="E720" s="4" t="n"/>
      <c r="F720" s="4" t="n"/>
      <c r="G720" s="4" t="n"/>
    </row>
    <row r="721" ht="15.75" customHeight="1" s="40">
      <c r="A721" s="4" t="n"/>
      <c r="B721" s="4" t="n"/>
      <c r="C721" s="4" t="n"/>
      <c r="D721" s="4" t="n"/>
      <c r="E721" s="4" t="n"/>
      <c r="F721" s="4" t="n"/>
      <c r="G721" s="4" t="n"/>
    </row>
    <row r="722" ht="15.75" customHeight="1" s="40">
      <c r="A722" s="4" t="n"/>
      <c r="B722" s="4" t="n"/>
      <c r="C722" s="4" t="n"/>
      <c r="D722" s="4" t="n"/>
      <c r="E722" s="4" t="n"/>
      <c r="F722" s="4" t="n"/>
      <c r="G722" s="4" t="n"/>
    </row>
    <row r="723" ht="15.75" customHeight="1" s="40">
      <c r="A723" s="4" t="n"/>
      <c r="B723" s="4" t="n"/>
      <c r="C723" s="4" t="n"/>
      <c r="D723" s="4" t="n"/>
      <c r="E723" s="4" t="n"/>
      <c r="F723" s="4" t="n"/>
      <c r="G723" s="4" t="n"/>
    </row>
    <row r="724" ht="15.75" customHeight="1" s="40">
      <c r="A724" s="4" t="n"/>
      <c r="B724" s="4" t="n"/>
      <c r="C724" s="4" t="n"/>
      <c r="D724" s="4" t="n"/>
      <c r="E724" s="4" t="n"/>
      <c r="F724" s="4" t="n"/>
      <c r="G724" s="4" t="n"/>
    </row>
    <row r="725" ht="15.75" customHeight="1" s="40">
      <c r="A725" s="4" t="n"/>
      <c r="B725" s="4" t="n"/>
      <c r="C725" s="4" t="n"/>
      <c r="D725" s="4" t="n"/>
      <c r="E725" s="4" t="n"/>
      <c r="F725" s="4" t="n"/>
      <c r="G725" s="4" t="n"/>
    </row>
    <row r="726" ht="15.75" customHeight="1" s="40">
      <c r="A726" s="4" t="n"/>
      <c r="B726" s="4" t="n"/>
      <c r="C726" s="4" t="n"/>
      <c r="D726" s="4" t="n"/>
      <c r="E726" s="4" t="n"/>
      <c r="F726" s="4" t="n"/>
      <c r="G726" s="4" t="n"/>
    </row>
    <row r="727" ht="15.75" customHeight="1" s="40">
      <c r="A727" s="4" t="n"/>
      <c r="B727" s="4" t="n"/>
      <c r="C727" s="4" t="n"/>
      <c r="D727" s="4" t="n"/>
      <c r="E727" s="4" t="n"/>
      <c r="F727" s="4" t="n"/>
      <c r="G727" s="4" t="n"/>
    </row>
    <row r="728" ht="15.75" customHeight="1" s="40">
      <c r="A728" s="4" t="n"/>
      <c r="B728" s="4" t="n"/>
      <c r="C728" s="4" t="n"/>
      <c r="D728" s="4" t="n"/>
      <c r="E728" s="4" t="n"/>
      <c r="F728" s="4" t="n"/>
      <c r="G728" s="4" t="n"/>
    </row>
    <row r="729" ht="15.75" customHeight="1" s="40">
      <c r="A729" s="4" t="n"/>
      <c r="B729" s="4" t="n"/>
      <c r="C729" s="4" t="n"/>
      <c r="D729" s="4" t="n"/>
      <c r="E729" s="4" t="n"/>
      <c r="F729" s="4" t="n"/>
      <c r="G729" s="4" t="n"/>
    </row>
    <row r="730" ht="15.75" customHeight="1" s="40">
      <c r="A730" s="4" t="n"/>
      <c r="B730" s="4" t="n"/>
      <c r="C730" s="4" t="n"/>
      <c r="D730" s="4" t="n"/>
      <c r="E730" s="4" t="n"/>
      <c r="F730" s="4" t="n"/>
      <c r="G730" s="4" t="n"/>
    </row>
    <row r="731" ht="15.75" customHeight="1" s="40">
      <c r="A731" s="4" t="n"/>
      <c r="B731" s="4" t="n"/>
      <c r="C731" s="4" t="n"/>
      <c r="D731" s="4" t="n"/>
      <c r="E731" s="4" t="n"/>
      <c r="F731" s="4" t="n"/>
      <c r="G731" s="4" t="n"/>
    </row>
    <row r="732" ht="15.75" customHeight="1" s="40">
      <c r="A732" s="4" t="n"/>
      <c r="B732" s="4" t="n"/>
      <c r="C732" s="4" t="n"/>
      <c r="D732" s="4" t="n"/>
      <c r="E732" s="4" t="n"/>
      <c r="F732" s="4" t="n"/>
      <c r="G732" s="4" t="n"/>
    </row>
    <row r="733" ht="15.75" customHeight="1" s="40">
      <c r="A733" s="4" t="n"/>
      <c r="B733" s="4" t="n"/>
      <c r="C733" s="4" t="n"/>
      <c r="D733" s="4" t="n"/>
      <c r="E733" s="4" t="n"/>
      <c r="F733" s="4" t="n"/>
      <c r="G733" s="4" t="n"/>
    </row>
    <row r="734" ht="15.75" customHeight="1" s="40">
      <c r="A734" s="4" t="n"/>
      <c r="B734" s="4" t="n"/>
      <c r="C734" s="4" t="n"/>
      <c r="D734" s="4" t="n"/>
      <c r="E734" s="4" t="n"/>
      <c r="F734" s="4" t="n"/>
      <c r="G734" s="4" t="n"/>
    </row>
    <row r="735" ht="15.75" customHeight="1" s="40">
      <c r="A735" s="4" t="n"/>
      <c r="B735" s="4" t="n"/>
      <c r="C735" s="4" t="n"/>
      <c r="D735" s="4" t="n"/>
      <c r="E735" s="4" t="n"/>
      <c r="F735" s="4" t="n"/>
      <c r="G735" s="4" t="n"/>
    </row>
    <row r="736" ht="15.75" customHeight="1" s="40">
      <c r="A736" s="4" t="n"/>
      <c r="B736" s="4" t="n"/>
      <c r="C736" s="4" t="n"/>
      <c r="D736" s="4" t="n"/>
      <c r="E736" s="4" t="n"/>
      <c r="F736" s="4" t="n"/>
      <c r="G736" s="4" t="n"/>
    </row>
    <row r="737" ht="15.75" customHeight="1" s="40">
      <c r="A737" s="4" t="n"/>
      <c r="B737" s="4" t="n"/>
      <c r="C737" s="4" t="n"/>
      <c r="D737" s="4" t="n"/>
      <c r="E737" s="4" t="n"/>
      <c r="F737" s="4" t="n"/>
      <c r="G737" s="4" t="n"/>
    </row>
    <row r="738" ht="15.75" customHeight="1" s="40">
      <c r="A738" s="4" t="n"/>
      <c r="B738" s="4" t="n"/>
      <c r="C738" s="4" t="n"/>
      <c r="D738" s="4" t="n"/>
      <c r="E738" s="4" t="n"/>
      <c r="F738" s="4" t="n"/>
      <c r="G738" s="4" t="n"/>
    </row>
    <row r="739" ht="15.75" customHeight="1" s="40">
      <c r="A739" s="4" t="n"/>
      <c r="B739" s="4" t="n"/>
      <c r="C739" s="4" t="n"/>
      <c r="D739" s="4" t="n"/>
      <c r="E739" s="4" t="n"/>
      <c r="F739" s="4" t="n"/>
      <c r="G739" s="4" t="n"/>
    </row>
    <row r="740" ht="15.75" customHeight="1" s="40">
      <c r="A740" s="4" t="n"/>
      <c r="B740" s="4" t="n"/>
      <c r="C740" s="4" t="n"/>
      <c r="D740" s="4" t="n"/>
      <c r="E740" s="4" t="n"/>
      <c r="F740" s="4" t="n"/>
      <c r="G740" s="4" t="n"/>
    </row>
    <row r="741" ht="15.75" customHeight="1" s="40">
      <c r="A741" s="4" t="n"/>
      <c r="B741" s="4" t="n"/>
      <c r="C741" s="4" t="n"/>
      <c r="D741" s="4" t="n"/>
      <c r="E741" s="4" t="n"/>
      <c r="F741" s="4" t="n"/>
      <c r="G741" s="4" t="n"/>
    </row>
    <row r="742" ht="15.75" customHeight="1" s="40">
      <c r="A742" s="4" t="n"/>
      <c r="B742" s="4" t="n"/>
      <c r="C742" s="4" t="n"/>
      <c r="D742" s="4" t="n"/>
      <c r="E742" s="4" t="n"/>
      <c r="F742" s="4" t="n"/>
      <c r="G742" s="4" t="n"/>
    </row>
    <row r="743" ht="15.75" customHeight="1" s="40">
      <c r="A743" s="4" t="n"/>
      <c r="B743" s="4" t="n"/>
      <c r="C743" s="4" t="n"/>
      <c r="D743" s="4" t="n"/>
      <c r="E743" s="4" t="n"/>
      <c r="F743" s="4" t="n"/>
      <c r="G743" s="4" t="n"/>
    </row>
    <row r="744" ht="15.75" customHeight="1" s="40">
      <c r="A744" s="4" t="n"/>
      <c r="B744" s="4" t="n"/>
      <c r="C744" s="4" t="n"/>
      <c r="D744" s="4" t="n"/>
      <c r="E744" s="4" t="n"/>
      <c r="F744" s="4" t="n"/>
      <c r="G744" s="4" t="n"/>
    </row>
    <row r="745" ht="15.75" customHeight="1" s="40">
      <c r="A745" s="4" t="n"/>
      <c r="B745" s="4" t="n"/>
      <c r="C745" s="4" t="n"/>
      <c r="D745" s="4" t="n"/>
      <c r="E745" s="4" t="n"/>
      <c r="F745" s="4" t="n"/>
      <c r="G745" s="4" t="n"/>
    </row>
    <row r="746" ht="15.75" customHeight="1" s="40">
      <c r="A746" s="4" t="n"/>
      <c r="B746" s="4" t="n"/>
      <c r="C746" s="4" t="n"/>
      <c r="D746" s="4" t="n"/>
      <c r="E746" s="4" t="n"/>
      <c r="F746" s="4" t="n"/>
      <c r="G746" s="4" t="n"/>
    </row>
    <row r="747" ht="15.75" customHeight="1" s="40">
      <c r="A747" s="4" t="n"/>
      <c r="B747" s="4" t="n"/>
      <c r="C747" s="4" t="n"/>
      <c r="D747" s="4" t="n"/>
      <c r="E747" s="4" t="n"/>
      <c r="F747" s="4" t="n"/>
      <c r="G747" s="4" t="n"/>
    </row>
    <row r="748" ht="15.75" customHeight="1" s="40">
      <c r="A748" s="4" t="n"/>
      <c r="B748" s="4" t="n"/>
      <c r="C748" s="4" t="n"/>
      <c r="D748" s="4" t="n"/>
      <c r="E748" s="4" t="n"/>
      <c r="F748" s="4" t="n"/>
      <c r="G748" s="4" t="n"/>
    </row>
    <row r="749" ht="15.75" customHeight="1" s="40">
      <c r="A749" s="4" t="n"/>
      <c r="B749" s="4" t="n"/>
      <c r="C749" s="4" t="n"/>
      <c r="D749" s="4" t="n"/>
      <c r="E749" s="4" t="n"/>
      <c r="F749" s="4" t="n"/>
      <c r="G749" s="4" t="n"/>
    </row>
    <row r="750" ht="15.75" customHeight="1" s="40">
      <c r="A750" s="4" t="n"/>
      <c r="B750" s="4" t="n"/>
      <c r="C750" s="4" t="n"/>
      <c r="D750" s="4" t="n"/>
      <c r="E750" s="4" t="n"/>
      <c r="F750" s="4" t="n"/>
      <c r="G750" s="4" t="n"/>
    </row>
    <row r="751" ht="15.75" customHeight="1" s="40">
      <c r="A751" s="4" t="n"/>
      <c r="B751" s="4" t="n"/>
      <c r="C751" s="4" t="n"/>
      <c r="D751" s="4" t="n"/>
      <c r="E751" s="4" t="n"/>
      <c r="F751" s="4" t="n"/>
      <c r="G751" s="4" t="n"/>
    </row>
    <row r="752" ht="15.75" customHeight="1" s="40">
      <c r="A752" s="4" t="n"/>
      <c r="B752" s="4" t="n"/>
      <c r="C752" s="4" t="n"/>
      <c r="D752" s="4" t="n"/>
      <c r="E752" s="4" t="n"/>
      <c r="F752" s="4" t="n"/>
      <c r="G752" s="4" t="n"/>
    </row>
    <row r="753" ht="15.75" customHeight="1" s="40">
      <c r="A753" s="4" t="n"/>
      <c r="B753" s="4" t="n"/>
      <c r="C753" s="4" t="n"/>
      <c r="D753" s="4" t="n"/>
      <c r="E753" s="4" t="n"/>
      <c r="F753" s="4" t="n"/>
      <c r="G753" s="4" t="n"/>
    </row>
    <row r="754" ht="15.75" customHeight="1" s="40">
      <c r="A754" s="4" t="n"/>
      <c r="B754" s="4" t="n"/>
      <c r="C754" s="4" t="n"/>
      <c r="D754" s="4" t="n"/>
      <c r="E754" s="4" t="n"/>
      <c r="F754" s="4" t="n"/>
      <c r="G754" s="4" t="n"/>
    </row>
    <row r="755" ht="15.75" customHeight="1" s="40">
      <c r="A755" s="4" t="n"/>
      <c r="B755" s="4" t="n"/>
      <c r="C755" s="4" t="n"/>
      <c r="D755" s="4" t="n"/>
      <c r="E755" s="4" t="n"/>
      <c r="F755" s="4" t="n"/>
      <c r="G755" s="4" t="n"/>
    </row>
    <row r="756" ht="15.75" customHeight="1" s="40">
      <c r="A756" s="4" t="n"/>
      <c r="B756" s="4" t="n"/>
      <c r="C756" s="4" t="n"/>
      <c r="D756" s="4" t="n"/>
      <c r="E756" s="4" t="n"/>
      <c r="F756" s="4" t="n"/>
      <c r="G756" s="4" t="n"/>
    </row>
    <row r="757" ht="15.75" customHeight="1" s="40">
      <c r="A757" s="4" t="n"/>
      <c r="B757" s="4" t="n"/>
      <c r="C757" s="4" t="n"/>
      <c r="D757" s="4" t="n"/>
      <c r="E757" s="4" t="n"/>
      <c r="F757" s="4" t="n"/>
      <c r="G757" s="4" t="n"/>
    </row>
    <row r="758" ht="15.75" customHeight="1" s="40">
      <c r="A758" s="4" t="n"/>
      <c r="B758" s="4" t="n"/>
      <c r="C758" s="4" t="n"/>
      <c r="D758" s="4" t="n"/>
      <c r="E758" s="4" t="n"/>
      <c r="F758" s="4" t="n"/>
      <c r="G758" s="4" t="n"/>
    </row>
    <row r="759" ht="15.75" customHeight="1" s="40">
      <c r="A759" s="4" t="n"/>
      <c r="B759" s="4" t="n"/>
      <c r="C759" s="4" t="n"/>
      <c r="D759" s="4" t="n"/>
      <c r="E759" s="4" t="n"/>
      <c r="F759" s="4" t="n"/>
      <c r="G759" s="4" t="n"/>
    </row>
    <row r="760" ht="15.75" customHeight="1" s="40">
      <c r="A760" s="4" t="n"/>
      <c r="B760" s="4" t="n"/>
      <c r="C760" s="4" t="n"/>
      <c r="D760" s="4" t="n"/>
      <c r="E760" s="4" t="n"/>
      <c r="F760" s="4" t="n"/>
      <c r="G760" s="4" t="n"/>
    </row>
    <row r="761" ht="15.75" customHeight="1" s="40">
      <c r="A761" s="4" t="n"/>
      <c r="B761" s="4" t="n"/>
      <c r="C761" s="4" t="n"/>
      <c r="D761" s="4" t="n"/>
      <c r="E761" s="4" t="n"/>
      <c r="F761" s="4" t="n"/>
      <c r="G761" s="4" t="n"/>
    </row>
    <row r="762" ht="15.75" customHeight="1" s="40">
      <c r="A762" s="4" t="n"/>
      <c r="B762" s="4" t="n"/>
      <c r="C762" s="4" t="n"/>
      <c r="D762" s="4" t="n"/>
      <c r="E762" s="4" t="n"/>
      <c r="F762" s="4" t="n"/>
      <c r="G762" s="4" t="n"/>
    </row>
    <row r="763" ht="15.75" customHeight="1" s="40">
      <c r="A763" s="4" t="n"/>
      <c r="B763" s="4" t="n"/>
      <c r="C763" s="4" t="n"/>
      <c r="D763" s="4" t="n"/>
      <c r="E763" s="4" t="n"/>
      <c r="F763" s="4" t="n"/>
      <c r="G763" s="4" t="n"/>
    </row>
    <row r="764" ht="15.75" customHeight="1" s="40">
      <c r="A764" s="4" t="n"/>
      <c r="B764" s="4" t="n"/>
      <c r="C764" s="4" t="n"/>
      <c r="D764" s="4" t="n"/>
      <c r="E764" s="4" t="n"/>
      <c r="F764" s="4" t="n"/>
      <c r="G764" s="4" t="n"/>
    </row>
    <row r="765" ht="15.75" customHeight="1" s="40">
      <c r="A765" s="4" t="n"/>
      <c r="B765" s="4" t="n"/>
      <c r="C765" s="4" t="n"/>
      <c r="D765" s="4" t="n"/>
      <c r="E765" s="4" t="n"/>
      <c r="F765" s="4" t="n"/>
      <c r="G765" s="4" t="n"/>
    </row>
    <row r="766" ht="15.75" customHeight="1" s="40">
      <c r="A766" s="4" t="n"/>
      <c r="B766" s="4" t="n"/>
      <c r="C766" s="4" t="n"/>
      <c r="D766" s="4" t="n"/>
      <c r="E766" s="4" t="n"/>
      <c r="F766" s="4" t="n"/>
      <c r="G766" s="4" t="n"/>
    </row>
    <row r="767" ht="15.75" customHeight="1" s="40">
      <c r="A767" s="4" t="n"/>
      <c r="B767" s="4" t="n"/>
      <c r="C767" s="4" t="n"/>
      <c r="D767" s="4" t="n"/>
      <c r="E767" s="4" t="n"/>
      <c r="F767" s="4" t="n"/>
      <c r="G767" s="4" t="n"/>
    </row>
    <row r="768" ht="15.75" customHeight="1" s="40">
      <c r="A768" s="4" t="n"/>
      <c r="B768" s="4" t="n"/>
      <c r="C768" s="4" t="n"/>
      <c r="D768" s="4" t="n"/>
      <c r="E768" s="4" t="n"/>
      <c r="F768" s="4" t="n"/>
      <c r="G768" s="4" t="n"/>
    </row>
    <row r="769" ht="15.75" customHeight="1" s="40">
      <c r="A769" s="4" t="n"/>
      <c r="B769" s="4" t="n"/>
      <c r="C769" s="4" t="n"/>
      <c r="D769" s="4" t="n"/>
      <c r="E769" s="4" t="n"/>
      <c r="F769" s="4" t="n"/>
      <c r="G769" s="4" t="n"/>
    </row>
    <row r="770" ht="15.75" customHeight="1" s="40">
      <c r="A770" s="4" t="n"/>
      <c r="B770" s="4" t="n"/>
      <c r="C770" s="4" t="n"/>
      <c r="D770" s="4" t="n"/>
      <c r="E770" s="4" t="n"/>
      <c r="F770" s="4" t="n"/>
      <c r="G770" s="4" t="n"/>
    </row>
    <row r="771" ht="15.75" customHeight="1" s="40">
      <c r="A771" s="4" t="n"/>
      <c r="B771" s="4" t="n"/>
      <c r="C771" s="4" t="n"/>
      <c r="D771" s="4" t="n"/>
      <c r="E771" s="4" t="n"/>
      <c r="F771" s="4" t="n"/>
      <c r="G771" s="4" t="n"/>
    </row>
    <row r="772" ht="15.75" customHeight="1" s="40">
      <c r="A772" s="4" t="n"/>
      <c r="B772" s="4" t="n"/>
      <c r="C772" s="4" t="n"/>
      <c r="D772" s="4" t="n"/>
      <c r="E772" s="4" t="n"/>
      <c r="F772" s="4" t="n"/>
      <c r="G772" s="4" t="n"/>
    </row>
    <row r="773" ht="15.75" customHeight="1" s="40">
      <c r="A773" s="4" t="n"/>
      <c r="B773" s="4" t="n"/>
      <c r="C773" s="4" t="n"/>
      <c r="D773" s="4" t="n"/>
      <c r="E773" s="4" t="n"/>
      <c r="F773" s="4" t="n"/>
      <c r="G773" s="4" t="n"/>
    </row>
    <row r="774" ht="15.75" customHeight="1" s="40">
      <c r="A774" s="4" t="n"/>
      <c r="B774" s="4" t="n"/>
      <c r="C774" s="4" t="n"/>
      <c r="D774" s="4" t="n"/>
      <c r="E774" s="4" t="n"/>
      <c r="F774" s="4" t="n"/>
      <c r="G774" s="4" t="n"/>
    </row>
    <row r="775" ht="15.75" customHeight="1" s="40">
      <c r="A775" s="4" t="n"/>
      <c r="B775" s="4" t="n"/>
      <c r="C775" s="4" t="n"/>
      <c r="D775" s="4" t="n"/>
      <c r="E775" s="4" t="n"/>
      <c r="F775" s="4" t="n"/>
      <c r="G775" s="4" t="n"/>
    </row>
    <row r="776" ht="15.75" customHeight="1" s="40">
      <c r="A776" s="4" t="n"/>
      <c r="B776" s="4" t="n"/>
      <c r="C776" s="4" t="n"/>
      <c r="D776" s="4" t="n"/>
      <c r="E776" s="4" t="n"/>
      <c r="F776" s="4" t="n"/>
      <c r="G776" s="4" t="n"/>
    </row>
    <row r="777" ht="15.75" customHeight="1" s="40">
      <c r="A777" s="4" t="n"/>
      <c r="B777" s="4" t="n"/>
      <c r="C777" s="4" t="n"/>
      <c r="D777" s="4" t="n"/>
      <c r="E777" s="4" t="n"/>
      <c r="F777" s="4" t="n"/>
      <c r="G777" s="4" t="n"/>
    </row>
    <row r="778" ht="15.75" customHeight="1" s="40">
      <c r="A778" s="4" t="n"/>
      <c r="B778" s="4" t="n"/>
      <c r="C778" s="4" t="n"/>
      <c r="D778" s="4" t="n"/>
      <c r="E778" s="4" t="n"/>
      <c r="F778" s="4" t="n"/>
      <c r="G778" s="4" t="n"/>
    </row>
    <row r="779" ht="15.75" customHeight="1" s="40">
      <c r="A779" s="4" t="n"/>
      <c r="B779" s="4" t="n"/>
      <c r="C779" s="4" t="n"/>
      <c r="D779" s="4" t="n"/>
      <c r="E779" s="4" t="n"/>
      <c r="F779" s="4" t="n"/>
      <c r="G779" s="4" t="n"/>
    </row>
    <row r="780" ht="15.75" customHeight="1" s="40">
      <c r="A780" s="4" t="n"/>
      <c r="B780" s="4" t="n"/>
      <c r="C780" s="4" t="n"/>
      <c r="D780" s="4" t="n"/>
      <c r="E780" s="4" t="n"/>
      <c r="F780" s="4" t="n"/>
      <c r="G780" s="4" t="n"/>
    </row>
    <row r="781" ht="15.75" customHeight="1" s="40">
      <c r="A781" s="4" t="n"/>
      <c r="B781" s="4" t="n"/>
      <c r="C781" s="4" t="n"/>
      <c r="D781" s="4" t="n"/>
      <c r="E781" s="4" t="n"/>
      <c r="F781" s="4" t="n"/>
      <c r="G781" s="4" t="n"/>
    </row>
    <row r="782" ht="15.75" customHeight="1" s="40">
      <c r="A782" s="4" t="n"/>
      <c r="B782" s="4" t="n"/>
      <c r="C782" s="4" t="n"/>
      <c r="D782" s="4" t="n"/>
      <c r="E782" s="4" t="n"/>
      <c r="F782" s="4" t="n"/>
      <c r="G782" s="4" t="n"/>
    </row>
    <row r="783" ht="15.75" customHeight="1" s="40">
      <c r="A783" s="4" t="n"/>
      <c r="B783" s="4" t="n"/>
      <c r="C783" s="4" t="n"/>
      <c r="D783" s="4" t="n"/>
      <c r="E783" s="4" t="n"/>
      <c r="F783" s="4" t="n"/>
      <c r="G783" s="4" t="n"/>
    </row>
    <row r="784" ht="15.75" customHeight="1" s="40">
      <c r="A784" s="4" t="n"/>
      <c r="B784" s="4" t="n"/>
      <c r="C784" s="4" t="n"/>
      <c r="D784" s="4" t="n"/>
      <c r="E784" s="4" t="n"/>
      <c r="F784" s="4" t="n"/>
      <c r="G784" s="4" t="n"/>
    </row>
    <row r="785" ht="15.75" customHeight="1" s="40">
      <c r="A785" s="4" t="n"/>
      <c r="B785" s="4" t="n"/>
      <c r="C785" s="4" t="n"/>
      <c r="D785" s="4" t="n"/>
      <c r="E785" s="4" t="n"/>
      <c r="F785" s="4" t="n"/>
      <c r="G785" s="4" t="n"/>
    </row>
    <row r="786" ht="15.75" customHeight="1" s="40">
      <c r="A786" s="4" t="n"/>
      <c r="B786" s="4" t="n"/>
      <c r="C786" s="4" t="n"/>
      <c r="D786" s="4" t="n"/>
      <c r="E786" s="4" t="n"/>
      <c r="F786" s="4" t="n"/>
      <c r="G786" s="4" t="n"/>
    </row>
    <row r="787" ht="15.75" customHeight="1" s="40">
      <c r="A787" s="4" t="n"/>
      <c r="B787" s="4" t="n"/>
      <c r="C787" s="4" t="n"/>
      <c r="D787" s="4" t="n"/>
      <c r="E787" s="4" t="n"/>
      <c r="F787" s="4" t="n"/>
      <c r="G787" s="4" t="n"/>
    </row>
    <row r="788" ht="15.75" customHeight="1" s="40">
      <c r="A788" s="4" t="n"/>
      <c r="B788" s="4" t="n"/>
      <c r="C788" s="4" t="n"/>
      <c r="D788" s="4" t="n"/>
      <c r="E788" s="4" t="n"/>
      <c r="F788" s="4" t="n"/>
      <c r="G788" s="4" t="n"/>
    </row>
    <row r="789" ht="15.75" customHeight="1" s="40">
      <c r="A789" s="4" t="n"/>
      <c r="B789" s="4" t="n"/>
      <c r="C789" s="4" t="n"/>
      <c r="D789" s="4" t="n"/>
      <c r="E789" s="4" t="n"/>
      <c r="F789" s="4" t="n"/>
      <c r="G789" s="4" t="n"/>
    </row>
    <row r="790" ht="15.75" customHeight="1" s="40">
      <c r="A790" s="4" t="n"/>
      <c r="B790" s="4" t="n"/>
      <c r="C790" s="4" t="n"/>
      <c r="D790" s="4" t="n"/>
      <c r="E790" s="4" t="n"/>
      <c r="F790" s="4" t="n"/>
      <c r="G790" s="4" t="n"/>
    </row>
    <row r="791" ht="15.75" customHeight="1" s="40">
      <c r="A791" s="4" t="n"/>
      <c r="B791" s="4" t="n"/>
      <c r="C791" s="4" t="n"/>
      <c r="D791" s="4" t="n"/>
      <c r="E791" s="4" t="n"/>
      <c r="F791" s="4" t="n"/>
      <c r="G791" s="4" t="n"/>
    </row>
    <row r="792" ht="15.75" customHeight="1" s="40">
      <c r="A792" s="4" t="n"/>
      <c r="B792" s="4" t="n"/>
      <c r="C792" s="4" t="n"/>
      <c r="D792" s="4" t="n"/>
      <c r="E792" s="4" t="n"/>
      <c r="F792" s="4" t="n"/>
      <c r="G792" s="4" t="n"/>
    </row>
    <row r="793" ht="15.75" customHeight="1" s="40">
      <c r="A793" s="4" t="n"/>
      <c r="B793" s="4" t="n"/>
      <c r="C793" s="4" t="n"/>
      <c r="D793" s="4" t="n"/>
      <c r="E793" s="4" t="n"/>
      <c r="F793" s="4" t="n"/>
      <c r="G793" s="4" t="n"/>
    </row>
    <row r="794" ht="15.75" customHeight="1" s="40">
      <c r="A794" s="4" t="n"/>
      <c r="B794" s="4" t="n"/>
      <c r="C794" s="4" t="n"/>
      <c r="D794" s="4" t="n"/>
      <c r="E794" s="4" t="n"/>
      <c r="F794" s="4" t="n"/>
      <c r="G794" s="4" t="n"/>
    </row>
    <row r="795" ht="15.75" customHeight="1" s="40">
      <c r="A795" s="4" t="n"/>
      <c r="B795" s="4" t="n"/>
      <c r="C795" s="4" t="n"/>
      <c r="D795" s="4" t="n"/>
      <c r="E795" s="4" t="n"/>
      <c r="F795" s="4" t="n"/>
      <c r="G795" s="4" t="n"/>
    </row>
    <row r="796" ht="15.75" customHeight="1" s="40">
      <c r="A796" s="4" t="n"/>
      <c r="B796" s="4" t="n"/>
      <c r="C796" s="4" t="n"/>
      <c r="D796" s="4" t="n"/>
      <c r="E796" s="4" t="n"/>
      <c r="F796" s="4" t="n"/>
      <c r="G796" s="4" t="n"/>
    </row>
    <row r="797" ht="15.75" customHeight="1" s="40">
      <c r="A797" s="4" t="n"/>
      <c r="B797" s="4" t="n"/>
      <c r="C797" s="4" t="n"/>
      <c r="D797" s="4" t="n"/>
      <c r="E797" s="4" t="n"/>
      <c r="F797" s="4" t="n"/>
      <c r="G797" s="4" t="n"/>
    </row>
    <row r="798" ht="15.75" customHeight="1" s="40">
      <c r="A798" s="4" t="n"/>
      <c r="B798" s="4" t="n"/>
      <c r="C798" s="4" t="n"/>
      <c r="D798" s="4" t="n"/>
      <c r="E798" s="4" t="n"/>
      <c r="F798" s="4" t="n"/>
      <c r="G798" s="4" t="n"/>
    </row>
    <row r="799" ht="15.75" customHeight="1" s="40">
      <c r="A799" s="4" t="n"/>
      <c r="B799" s="4" t="n"/>
      <c r="C799" s="4" t="n"/>
      <c r="D799" s="4" t="n"/>
      <c r="E799" s="4" t="n"/>
      <c r="F799" s="4" t="n"/>
      <c r="G799" s="4" t="n"/>
    </row>
    <row r="800" ht="15.75" customHeight="1" s="40">
      <c r="A800" s="4" t="n"/>
      <c r="B800" s="4" t="n"/>
      <c r="C800" s="4" t="n"/>
      <c r="D800" s="4" t="n"/>
      <c r="E800" s="4" t="n"/>
      <c r="F800" s="4" t="n"/>
      <c r="G800" s="4" t="n"/>
    </row>
    <row r="801" ht="15.75" customHeight="1" s="40">
      <c r="A801" s="4" t="n"/>
      <c r="B801" s="4" t="n"/>
      <c r="C801" s="4" t="n"/>
      <c r="D801" s="4" t="n"/>
      <c r="E801" s="4" t="n"/>
      <c r="F801" s="4" t="n"/>
      <c r="G801" s="4" t="n"/>
    </row>
    <row r="802" ht="15.75" customHeight="1" s="40">
      <c r="A802" s="4" t="n"/>
      <c r="B802" s="4" t="n"/>
      <c r="C802" s="4" t="n"/>
      <c r="D802" s="4" t="n"/>
      <c r="E802" s="4" t="n"/>
      <c r="F802" s="4" t="n"/>
      <c r="G802" s="4" t="n"/>
    </row>
    <row r="803" ht="15.75" customHeight="1" s="40">
      <c r="A803" s="4" t="n"/>
      <c r="B803" s="4" t="n"/>
      <c r="C803" s="4" t="n"/>
      <c r="D803" s="4" t="n"/>
      <c r="E803" s="4" t="n"/>
      <c r="F803" s="4" t="n"/>
      <c r="G803" s="4" t="n"/>
    </row>
    <row r="804" ht="15.75" customHeight="1" s="40">
      <c r="A804" s="4" t="n"/>
      <c r="B804" s="4" t="n"/>
      <c r="C804" s="4" t="n"/>
      <c r="D804" s="4" t="n"/>
      <c r="E804" s="4" t="n"/>
      <c r="F804" s="4" t="n"/>
      <c r="G804" s="4" t="n"/>
    </row>
    <row r="805" ht="15.75" customHeight="1" s="40">
      <c r="A805" s="4" t="n"/>
      <c r="B805" s="4" t="n"/>
      <c r="C805" s="4" t="n"/>
      <c r="D805" s="4" t="n"/>
      <c r="E805" s="4" t="n"/>
      <c r="F805" s="4" t="n"/>
      <c r="G805" s="4" t="n"/>
    </row>
    <row r="806" ht="15.75" customHeight="1" s="40">
      <c r="A806" s="4" t="n"/>
      <c r="B806" s="4" t="n"/>
      <c r="C806" s="4" t="n"/>
      <c r="D806" s="4" t="n"/>
      <c r="E806" s="4" t="n"/>
      <c r="F806" s="4" t="n"/>
      <c r="G806" s="4" t="n"/>
    </row>
    <row r="807" ht="15.75" customHeight="1" s="40">
      <c r="A807" s="4" t="n"/>
      <c r="B807" s="4" t="n"/>
      <c r="C807" s="4" t="n"/>
      <c r="D807" s="4" t="n"/>
      <c r="E807" s="4" t="n"/>
      <c r="F807" s="4" t="n"/>
      <c r="G807" s="4" t="n"/>
    </row>
    <row r="808" ht="15.75" customHeight="1" s="40">
      <c r="A808" s="4" t="n"/>
      <c r="B808" s="4" t="n"/>
      <c r="C808" s="4" t="n"/>
      <c r="D808" s="4" t="n"/>
      <c r="E808" s="4" t="n"/>
      <c r="F808" s="4" t="n"/>
      <c r="G808" s="4" t="n"/>
    </row>
    <row r="809" ht="15.75" customHeight="1" s="40">
      <c r="A809" s="4" t="n"/>
      <c r="B809" s="4" t="n"/>
      <c r="C809" s="4" t="n"/>
      <c r="D809" s="4" t="n"/>
      <c r="E809" s="4" t="n"/>
      <c r="F809" s="4" t="n"/>
      <c r="G809" s="4" t="n"/>
    </row>
    <row r="810" ht="15.75" customHeight="1" s="40">
      <c r="A810" s="4" t="n"/>
      <c r="B810" s="4" t="n"/>
      <c r="C810" s="4" t="n"/>
      <c r="D810" s="4" t="n"/>
      <c r="E810" s="4" t="n"/>
      <c r="F810" s="4" t="n"/>
      <c r="G810" s="4" t="n"/>
    </row>
    <row r="811" ht="15.75" customHeight="1" s="40">
      <c r="A811" s="4" t="n"/>
      <c r="B811" s="4" t="n"/>
      <c r="C811" s="4" t="n"/>
      <c r="D811" s="4" t="n"/>
      <c r="E811" s="4" t="n"/>
      <c r="F811" s="4" t="n"/>
      <c r="G811" s="4" t="n"/>
    </row>
    <row r="812" ht="15.75" customHeight="1" s="40">
      <c r="A812" s="4" t="n"/>
      <c r="B812" s="4" t="n"/>
      <c r="C812" s="4" t="n"/>
      <c r="D812" s="4" t="n"/>
      <c r="E812" s="4" t="n"/>
      <c r="F812" s="4" t="n"/>
      <c r="G812" s="4" t="n"/>
    </row>
    <row r="813" ht="15.75" customHeight="1" s="40">
      <c r="A813" s="4" t="n"/>
      <c r="B813" s="4" t="n"/>
      <c r="C813" s="4" t="n"/>
      <c r="D813" s="4" t="n"/>
      <c r="E813" s="4" t="n"/>
      <c r="F813" s="4" t="n"/>
      <c r="G813" s="4" t="n"/>
    </row>
    <row r="814" ht="15.75" customHeight="1" s="40">
      <c r="A814" s="4" t="n"/>
      <c r="B814" s="4" t="n"/>
      <c r="C814" s="4" t="n"/>
      <c r="D814" s="4" t="n"/>
      <c r="E814" s="4" t="n"/>
      <c r="F814" s="4" t="n"/>
      <c r="G814" s="4" t="n"/>
    </row>
    <row r="815" ht="15.75" customHeight="1" s="40">
      <c r="A815" s="4" t="n"/>
      <c r="B815" s="4" t="n"/>
      <c r="C815" s="4" t="n"/>
      <c r="D815" s="4" t="n"/>
      <c r="E815" s="4" t="n"/>
      <c r="F815" s="4" t="n"/>
      <c r="G815" s="4" t="n"/>
    </row>
    <row r="816" ht="15.75" customHeight="1" s="40">
      <c r="A816" s="4" t="n"/>
      <c r="B816" s="4" t="n"/>
      <c r="C816" s="4" t="n"/>
      <c r="D816" s="4" t="n"/>
      <c r="E816" s="4" t="n"/>
      <c r="F816" s="4" t="n"/>
      <c r="G816" s="4" t="n"/>
    </row>
    <row r="817" ht="15.75" customHeight="1" s="40">
      <c r="A817" s="4" t="n"/>
      <c r="B817" s="4" t="n"/>
      <c r="C817" s="4" t="n"/>
      <c r="D817" s="4" t="n"/>
      <c r="E817" s="4" t="n"/>
      <c r="F817" s="4" t="n"/>
      <c r="G817" s="4" t="n"/>
    </row>
    <row r="818" ht="15.75" customHeight="1" s="40">
      <c r="A818" s="4" t="n"/>
      <c r="B818" s="4" t="n"/>
      <c r="C818" s="4" t="n"/>
      <c r="D818" s="4" t="n"/>
      <c r="E818" s="4" t="n"/>
      <c r="F818" s="4" t="n"/>
      <c r="G818" s="4" t="n"/>
    </row>
    <row r="819" ht="15.75" customHeight="1" s="40">
      <c r="A819" s="4" t="n"/>
      <c r="B819" s="4" t="n"/>
      <c r="C819" s="4" t="n"/>
      <c r="D819" s="4" t="n"/>
      <c r="E819" s="4" t="n"/>
      <c r="F819" s="4" t="n"/>
      <c r="G819" s="4" t="n"/>
    </row>
    <row r="820" ht="15.75" customHeight="1" s="40">
      <c r="A820" s="4" t="n"/>
      <c r="B820" s="4" t="n"/>
      <c r="C820" s="4" t="n"/>
      <c r="D820" s="4" t="n"/>
      <c r="E820" s="4" t="n"/>
      <c r="F820" s="4" t="n"/>
      <c r="G820" s="4" t="n"/>
    </row>
    <row r="821" ht="15.75" customHeight="1" s="40">
      <c r="A821" s="4" t="n"/>
      <c r="B821" s="4" t="n"/>
      <c r="C821" s="4" t="n"/>
      <c r="D821" s="4" t="n"/>
      <c r="E821" s="4" t="n"/>
      <c r="F821" s="4" t="n"/>
      <c r="G821" s="4" t="n"/>
    </row>
    <row r="822" ht="15.75" customHeight="1" s="40">
      <c r="A822" s="4" t="n"/>
      <c r="B822" s="4" t="n"/>
      <c r="C822" s="4" t="n"/>
      <c r="D822" s="4" t="n"/>
      <c r="E822" s="4" t="n"/>
      <c r="F822" s="4" t="n"/>
      <c r="G822" s="4" t="n"/>
    </row>
    <row r="823" ht="15.75" customHeight="1" s="40">
      <c r="A823" s="4" t="n"/>
      <c r="B823" s="4" t="n"/>
      <c r="C823" s="4" t="n"/>
      <c r="D823" s="4" t="n"/>
      <c r="E823" s="4" t="n"/>
      <c r="F823" s="4" t="n"/>
      <c r="G823" s="4" t="n"/>
    </row>
    <row r="824" ht="15.75" customHeight="1" s="40">
      <c r="A824" s="4" t="n"/>
      <c r="B824" s="4" t="n"/>
      <c r="C824" s="4" t="n"/>
      <c r="D824" s="4" t="n"/>
      <c r="E824" s="4" t="n"/>
      <c r="F824" s="4" t="n"/>
      <c r="G824" s="4" t="n"/>
    </row>
    <row r="825" ht="15.75" customHeight="1" s="40">
      <c r="A825" s="4" t="n"/>
      <c r="B825" s="4" t="n"/>
      <c r="C825" s="4" t="n"/>
      <c r="D825" s="4" t="n"/>
      <c r="E825" s="4" t="n"/>
      <c r="F825" s="4" t="n"/>
      <c r="G825" s="4" t="n"/>
    </row>
    <row r="826" ht="15.75" customHeight="1" s="40">
      <c r="A826" s="4" t="n"/>
      <c r="B826" s="4" t="n"/>
      <c r="C826" s="4" t="n"/>
      <c r="D826" s="4" t="n"/>
      <c r="E826" s="4" t="n"/>
      <c r="F826" s="4" t="n"/>
      <c r="G826" s="4" t="n"/>
    </row>
    <row r="827" ht="15.75" customHeight="1" s="40">
      <c r="A827" s="4" t="n"/>
      <c r="B827" s="4" t="n"/>
      <c r="C827" s="4" t="n"/>
      <c r="D827" s="4" t="n"/>
      <c r="E827" s="4" t="n"/>
      <c r="F827" s="4" t="n"/>
      <c r="G827" s="4" t="n"/>
    </row>
    <row r="828" ht="15.75" customHeight="1" s="40">
      <c r="A828" s="4" t="n"/>
      <c r="B828" s="4" t="n"/>
      <c r="C828" s="4" t="n"/>
      <c r="D828" s="4" t="n"/>
      <c r="E828" s="4" t="n"/>
      <c r="F828" s="4" t="n"/>
      <c r="G828" s="4" t="n"/>
    </row>
    <row r="829" ht="15.75" customHeight="1" s="40">
      <c r="A829" s="4" t="n"/>
      <c r="B829" s="4" t="n"/>
      <c r="C829" s="4" t="n"/>
      <c r="D829" s="4" t="n"/>
      <c r="E829" s="4" t="n"/>
      <c r="F829" s="4" t="n"/>
      <c r="G829" s="4" t="n"/>
    </row>
    <row r="830" ht="15.75" customHeight="1" s="40">
      <c r="A830" s="4" t="n"/>
      <c r="B830" s="4" t="n"/>
      <c r="C830" s="4" t="n"/>
      <c r="D830" s="4" t="n"/>
      <c r="E830" s="4" t="n"/>
      <c r="F830" s="4" t="n"/>
      <c r="G830" s="4" t="n"/>
    </row>
    <row r="831" ht="15.75" customHeight="1" s="40">
      <c r="A831" s="4" t="n"/>
      <c r="B831" s="4" t="n"/>
      <c r="C831" s="4" t="n"/>
      <c r="D831" s="4" t="n"/>
      <c r="E831" s="4" t="n"/>
      <c r="F831" s="4" t="n"/>
      <c r="G831" s="4" t="n"/>
    </row>
    <row r="832" ht="15.75" customHeight="1" s="40">
      <c r="A832" s="4" t="n"/>
      <c r="B832" s="4" t="n"/>
      <c r="C832" s="4" t="n"/>
      <c r="D832" s="4" t="n"/>
      <c r="E832" s="4" t="n"/>
      <c r="F832" s="4" t="n"/>
      <c r="G832" s="4" t="n"/>
    </row>
    <row r="833" ht="15.75" customHeight="1" s="40">
      <c r="A833" s="4" t="n"/>
      <c r="B833" s="4" t="n"/>
      <c r="C833" s="4" t="n"/>
      <c r="D833" s="4" t="n"/>
      <c r="E833" s="4" t="n"/>
      <c r="F833" s="4" t="n"/>
      <c r="G833" s="4" t="n"/>
    </row>
    <row r="834" ht="15.75" customHeight="1" s="40">
      <c r="A834" s="4" t="n"/>
      <c r="B834" s="4" t="n"/>
      <c r="C834" s="4" t="n"/>
      <c r="D834" s="4" t="n"/>
      <c r="E834" s="4" t="n"/>
      <c r="F834" s="4" t="n"/>
      <c r="G834" s="4" t="n"/>
    </row>
    <row r="835" ht="15.75" customHeight="1" s="40">
      <c r="A835" s="4" t="n"/>
      <c r="B835" s="4" t="n"/>
      <c r="C835" s="4" t="n"/>
      <c r="D835" s="4" t="n"/>
      <c r="E835" s="4" t="n"/>
      <c r="F835" s="4" t="n"/>
      <c r="G835" s="4" t="n"/>
    </row>
    <row r="836" ht="15.75" customHeight="1" s="40">
      <c r="A836" s="4" t="n"/>
      <c r="B836" s="4" t="n"/>
      <c r="C836" s="4" t="n"/>
      <c r="D836" s="4" t="n"/>
      <c r="E836" s="4" t="n"/>
      <c r="F836" s="4" t="n"/>
      <c r="G836" s="4" t="n"/>
    </row>
    <row r="837" ht="15.75" customHeight="1" s="40">
      <c r="A837" s="4" t="n"/>
      <c r="B837" s="4" t="n"/>
      <c r="C837" s="4" t="n"/>
      <c r="D837" s="4" t="n"/>
      <c r="E837" s="4" t="n"/>
      <c r="F837" s="4" t="n"/>
      <c r="G837" s="4" t="n"/>
    </row>
    <row r="838" ht="15.75" customHeight="1" s="40">
      <c r="A838" s="4" t="n"/>
      <c r="B838" s="4" t="n"/>
      <c r="C838" s="4" t="n"/>
      <c r="D838" s="4" t="n"/>
      <c r="E838" s="4" t="n"/>
      <c r="F838" s="4" t="n"/>
      <c r="G838" s="4" t="n"/>
    </row>
    <row r="839" ht="15.75" customHeight="1" s="40">
      <c r="A839" s="4" t="n"/>
      <c r="B839" s="4" t="n"/>
      <c r="C839" s="4" t="n"/>
      <c r="D839" s="4" t="n"/>
      <c r="E839" s="4" t="n"/>
      <c r="F839" s="4" t="n"/>
      <c r="G839" s="4" t="n"/>
    </row>
    <row r="840" ht="15.75" customHeight="1" s="40">
      <c r="A840" s="4" t="n"/>
      <c r="B840" s="4" t="n"/>
      <c r="C840" s="4" t="n"/>
      <c r="D840" s="4" t="n"/>
      <c r="E840" s="4" t="n"/>
      <c r="F840" s="4" t="n"/>
      <c r="G840" s="4" t="n"/>
    </row>
    <row r="841" ht="15.75" customHeight="1" s="40">
      <c r="A841" s="4" t="n"/>
      <c r="B841" s="4" t="n"/>
      <c r="C841" s="4" t="n"/>
      <c r="D841" s="4" t="n"/>
      <c r="E841" s="4" t="n"/>
      <c r="F841" s="4" t="n"/>
      <c r="G841" s="4" t="n"/>
    </row>
    <row r="842" ht="15.75" customHeight="1" s="40">
      <c r="A842" s="4" t="n"/>
      <c r="B842" s="4" t="n"/>
      <c r="C842" s="4" t="n"/>
      <c r="D842" s="4" t="n"/>
      <c r="E842" s="4" t="n"/>
      <c r="F842" s="4" t="n"/>
      <c r="G842" s="4" t="n"/>
    </row>
    <row r="843" ht="15.75" customHeight="1" s="40">
      <c r="A843" s="4" t="n"/>
      <c r="B843" s="4" t="n"/>
      <c r="C843" s="4" t="n"/>
      <c r="D843" s="4" t="n"/>
      <c r="E843" s="4" t="n"/>
      <c r="F843" s="4" t="n"/>
      <c r="G843" s="4" t="n"/>
    </row>
    <row r="844" ht="15.75" customHeight="1" s="40">
      <c r="A844" s="4" t="n"/>
      <c r="B844" s="4" t="n"/>
      <c r="C844" s="4" t="n"/>
      <c r="D844" s="4" t="n"/>
      <c r="E844" s="4" t="n"/>
      <c r="F844" s="4" t="n"/>
      <c r="G844" s="4" t="n"/>
    </row>
    <row r="845" ht="15.75" customHeight="1" s="40">
      <c r="A845" s="4" t="n"/>
      <c r="B845" s="4" t="n"/>
      <c r="C845" s="4" t="n"/>
      <c r="D845" s="4" t="n"/>
      <c r="E845" s="4" t="n"/>
      <c r="F845" s="4" t="n"/>
      <c r="G845" s="4" t="n"/>
    </row>
    <row r="846" ht="15.75" customHeight="1" s="40">
      <c r="A846" s="4" t="n"/>
      <c r="B846" s="4" t="n"/>
      <c r="C846" s="4" t="n"/>
      <c r="D846" s="4" t="n"/>
      <c r="E846" s="4" t="n"/>
      <c r="F846" s="4" t="n"/>
      <c r="G846" s="4" t="n"/>
    </row>
    <row r="847" ht="15.75" customHeight="1" s="40">
      <c r="A847" s="4" t="n"/>
      <c r="B847" s="4" t="n"/>
      <c r="C847" s="4" t="n"/>
      <c r="D847" s="4" t="n"/>
      <c r="E847" s="4" t="n"/>
      <c r="F847" s="4" t="n"/>
      <c r="G847" s="4" t="n"/>
    </row>
    <row r="848" ht="15.75" customHeight="1" s="40">
      <c r="A848" s="4" t="n"/>
      <c r="B848" s="4" t="n"/>
      <c r="C848" s="4" t="n"/>
      <c r="D848" s="4" t="n"/>
      <c r="E848" s="4" t="n"/>
      <c r="F848" s="4" t="n"/>
      <c r="G848" s="4" t="n"/>
    </row>
    <row r="849" ht="15.75" customHeight="1" s="40">
      <c r="A849" s="4" t="n"/>
      <c r="B849" s="4" t="n"/>
      <c r="C849" s="4" t="n"/>
      <c r="D849" s="4" t="n"/>
      <c r="E849" s="4" t="n"/>
      <c r="F849" s="4" t="n"/>
      <c r="G849" s="4" t="n"/>
    </row>
    <row r="850" ht="15.75" customHeight="1" s="40">
      <c r="A850" s="4" t="n"/>
      <c r="B850" s="4" t="n"/>
      <c r="C850" s="4" t="n"/>
      <c r="D850" s="4" t="n"/>
      <c r="E850" s="4" t="n"/>
      <c r="F850" s="4" t="n"/>
      <c r="G850" s="4" t="n"/>
    </row>
    <row r="851" ht="15.75" customHeight="1" s="40">
      <c r="A851" s="4" t="n"/>
      <c r="B851" s="4" t="n"/>
      <c r="C851" s="4" t="n"/>
      <c r="D851" s="4" t="n"/>
      <c r="E851" s="4" t="n"/>
      <c r="F851" s="4" t="n"/>
      <c r="G851" s="4" t="n"/>
    </row>
    <row r="852" ht="15.75" customHeight="1" s="40">
      <c r="A852" s="4" t="n"/>
      <c r="B852" s="4" t="n"/>
      <c r="C852" s="4" t="n"/>
      <c r="D852" s="4" t="n"/>
      <c r="E852" s="4" t="n"/>
      <c r="F852" s="4" t="n"/>
      <c r="G852" s="4" t="n"/>
    </row>
    <row r="853" ht="15.75" customHeight="1" s="40">
      <c r="A853" s="4" t="n"/>
      <c r="B853" s="4" t="n"/>
      <c r="C853" s="4" t="n"/>
      <c r="D853" s="4" t="n"/>
      <c r="E853" s="4" t="n"/>
      <c r="F853" s="4" t="n"/>
      <c r="G853" s="4" t="n"/>
    </row>
    <row r="854" ht="15.75" customHeight="1" s="40">
      <c r="A854" s="4" t="n"/>
      <c r="B854" s="4" t="n"/>
      <c r="C854" s="4" t="n"/>
      <c r="D854" s="4" t="n"/>
      <c r="E854" s="4" t="n"/>
      <c r="F854" s="4" t="n"/>
      <c r="G854" s="4" t="n"/>
    </row>
    <row r="855" ht="15.75" customHeight="1" s="40">
      <c r="A855" s="4" t="n"/>
      <c r="B855" s="4" t="n"/>
      <c r="C855" s="4" t="n"/>
      <c r="D855" s="4" t="n"/>
      <c r="E855" s="4" t="n"/>
      <c r="F855" s="4" t="n"/>
      <c r="G855" s="4" t="n"/>
    </row>
    <row r="856" ht="15.75" customHeight="1" s="40">
      <c r="A856" s="4" t="n"/>
      <c r="B856" s="4" t="n"/>
      <c r="C856" s="4" t="n"/>
      <c r="D856" s="4" t="n"/>
      <c r="E856" s="4" t="n"/>
      <c r="F856" s="4" t="n"/>
      <c r="G856" s="4" t="n"/>
    </row>
    <row r="857" ht="15.75" customHeight="1" s="40">
      <c r="A857" s="4" t="n"/>
      <c r="B857" s="4" t="n"/>
      <c r="C857" s="4" t="n"/>
      <c r="D857" s="4" t="n"/>
      <c r="E857" s="4" t="n"/>
      <c r="F857" s="4" t="n"/>
      <c r="G857" s="4" t="n"/>
    </row>
    <row r="858" ht="15.75" customHeight="1" s="40">
      <c r="A858" s="4" t="n"/>
      <c r="B858" s="4" t="n"/>
      <c r="C858" s="4" t="n"/>
      <c r="D858" s="4" t="n"/>
      <c r="E858" s="4" t="n"/>
      <c r="F858" s="4" t="n"/>
      <c r="G858" s="4" t="n"/>
    </row>
    <row r="859" ht="15.75" customHeight="1" s="40">
      <c r="A859" s="4" t="n"/>
      <c r="B859" s="4" t="n"/>
      <c r="C859" s="4" t="n"/>
      <c r="D859" s="4" t="n"/>
      <c r="E859" s="4" t="n"/>
      <c r="F859" s="4" t="n"/>
      <c r="G859" s="4" t="n"/>
    </row>
    <row r="860" ht="15.75" customHeight="1" s="40">
      <c r="A860" s="4" t="n"/>
      <c r="B860" s="4" t="n"/>
      <c r="C860" s="4" t="n"/>
      <c r="D860" s="4" t="n"/>
      <c r="E860" s="4" t="n"/>
      <c r="F860" s="4" t="n"/>
      <c r="G860" s="4" t="n"/>
    </row>
    <row r="861" ht="15.75" customHeight="1" s="40">
      <c r="A861" s="4" t="n"/>
      <c r="B861" s="4" t="n"/>
      <c r="C861" s="4" t="n"/>
      <c r="D861" s="4" t="n"/>
      <c r="E861" s="4" t="n"/>
      <c r="F861" s="4" t="n"/>
      <c r="G861" s="4" t="n"/>
    </row>
    <row r="862" ht="15.75" customHeight="1" s="40">
      <c r="A862" s="4" t="n"/>
      <c r="B862" s="4" t="n"/>
      <c r="C862" s="4" t="n"/>
      <c r="D862" s="4" t="n"/>
      <c r="E862" s="4" t="n"/>
      <c r="F862" s="4" t="n"/>
      <c r="G862" s="4" t="n"/>
    </row>
    <row r="863" ht="15.75" customHeight="1" s="40">
      <c r="A863" s="4" t="n"/>
      <c r="B863" s="4" t="n"/>
      <c r="C863" s="4" t="n"/>
      <c r="D863" s="4" t="n"/>
      <c r="E863" s="4" t="n"/>
      <c r="F863" s="4" t="n"/>
      <c r="G863" s="4" t="n"/>
    </row>
    <row r="864" ht="15.75" customHeight="1" s="40">
      <c r="A864" s="4" t="n"/>
      <c r="B864" s="4" t="n"/>
      <c r="C864" s="4" t="n"/>
      <c r="D864" s="4" t="n"/>
      <c r="E864" s="4" t="n"/>
      <c r="F864" s="4" t="n"/>
      <c r="G864" s="4" t="n"/>
    </row>
    <row r="865" ht="15.75" customHeight="1" s="40">
      <c r="A865" s="4" t="n"/>
      <c r="B865" s="4" t="n"/>
      <c r="C865" s="4" t="n"/>
      <c r="D865" s="4" t="n"/>
      <c r="E865" s="4" t="n"/>
      <c r="F865" s="4" t="n"/>
      <c r="G865" s="4" t="n"/>
    </row>
    <row r="866" ht="15.75" customHeight="1" s="40">
      <c r="A866" s="4" t="n"/>
      <c r="B866" s="4" t="n"/>
      <c r="C866" s="4" t="n"/>
      <c r="D866" s="4" t="n"/>
      <c r="E866" s="4" t="n"/>
      <c r="F866" s="4" t="n"/>
      <c r="G866" s="4" t="n"/>
    </row>
    <row r="867" ht="15.75" customHeight="1" s="40">
      <c r="A867" s="4" t="n"/>
      <c r="B867" s="4" t="n"/>
      <c r="C867" s="4" t="n"/>
      <c r="D867" s="4" t="n"/>
      <c r="E867" s="4" t="n"/>
      <c r="F867" s="4" t="n"/>
      <c r="G867" s="4" t="n"/>
    </row>
    <row r="868" ht="15.75" customHeight="1" s="40">
      <c r="A868" s="4" t="n"/>
      <c r="B868" s="4" t="n"/>
      <c r="C868" s="4" t="n"/>
      <c r="D868" s="4" t="n"/>
      <c r="E868" s="4" t="n"/>
      <c r="F868" s="4" t="n"/>
      <c r="G868" s="4" t="n"/>
    </row>
    <row r="869" ht="15.75" customHeight="1" s="40">
      <c r="A869" s="4" t="n"/>
      <c r="B869" s="4" t="n"/>
      <c r="C869" s="4" t="n"/>
      <c r="D869" s="4" t="n"/>
      <c r="E869" s="4" t="n"/>
      <c r="F869" s="4" t="n"/>
      <c r="G869" s="4" t="n"/>
    </row>
    <row r="870" ht="15.75" customHeight="1" s="40">
      <c r="A870" s="4" t="n"/>
      <c r="B870" s="4" t="n"/>
      <c r="C870" s="4" t="n"/>
      <c r="D870" s="4" t="n"/>
      <c r="E870" s="4" t="n"/>
      <c r="F870" s="4" t="n"/>
      <c r="G870" s="4" t="n"/>
    </row>
    <row r="871" ht="15.75" customHeight="1" s="40">
      <c r="A871" s="4" t="n"/>
      <c r="B871" s="4" t="n"/>
      <c r="C871" s="4" t="n"/>
      <c r="D871" s="4" t="n"/>
      <c r="E871" s="4" t="n"/>
      <c r="F871" s="4" t="n"/>
      <c r="G871" s="4" t="n"/>
    </row>
    <row r="872" ht="15.75" customHeight="1" s="40">
      <c r="A872" s="4" t="n"/>
      <c r="B872" s="4" t="n"/>
      <c r="C872" s="4" t="n"/>
      <c r="D872" s="4" t="n"/>
      <c r="E872" s="4" t="n"/>
      <c r="F872" s="4" t="n"/>
      <c r="G872" s="4" t="n"/>
    </row>
    <row r="873" ht="15.75" customHeight="1" s="40">
      <c r="A873" s="4" t="n"/>
      <c r="B873" s="4" t="n"/>
      <c r="C873" s="4" t="n"/>
      <c r="D873" s="4" t="n"/>
      <c r="E873" s="4" t="n"/>
      <c r="F873" s="4" t="n"/>
      <c r="G873" s="4" t="n"/>
    </row>
    <row r="874" ht="15.75" customHeight="1" s="40">
      <c r="A874" s="4" t="n"/>
      <c r="B874" s="4" t="n"/>
      <c r="C874" s="4" t="n"/>
      <c r="D874" s="4" t="n"/>
      <c r="E874" s="4" t="n"/>
      <c r="F874" s="4" t="n"/>
      <c r="G874" s="4" t="n"/>
    </row>
    <row r="875" ht="15.75" customHeight="1" s="40">
      <c r="A875" s="4" t="n"/>
      <c r="B875" s="4" t="n"/>
      <c r="C875" s="4" t="n"/>
      <c r="D875" s="4" t="n"/>
      <c r="E875" s="4" t="n"/>
      <c r="F875" s="4" t="n"/>
      <c r="G875" s="4" t="n"/>
    </row>
    <row r="876" ht="15.75" customHeight="1" s="40">
      <c r="A876" s="4" t="n"/>
      <c r="B876" s="4" t="n"/>
      <c r="C876" s="4" t="n"/>
      <c r="D876" s="4" t="n"/>
      <c r="E876" s="4" t="n"/>
      <c r="F876" s="4" t="n"/>
      <c r="G876" s="4" t="n"/>
    </row>
    <row r="877" ht="15.75" customHeight="1" s="40">
      <c r="A877" s="4" t="n"/>
      <c r="B877" s="4" t="n"/>
      <c r="C877" s="4" t="n"/>
      <c r="D877" s="4" t="n"/>
      <c r="E877" s="4" t="n"/>
      <c r="F877" s="4" t="n"/>
      <c r="G877" s="4" t="n"/>
    </row>
    <row r="878" ht="15.75" customHeight="1" s="40">
      <c r="A878" s="4" t="n"/>
      <c r="B878" s="4" t="n"/>
      <c r="C878" s="4" t="n"/>
      <c r="D878" s="4" t="n"/>
      <c r="E878" s="4" t="n"/>
      <c r="F878" s="4" t="n"/>
      <c r="G878" s="4" t="n"/>
    </row>
    <row r="879" ht="15.75" customHeight="1" s="40">
      <c r="A879" s="4" t="n"/>
      <c r="B879" s="4" t="n"/>
      <c r="C879" s="4" t="n"/>
      <c r="D879" s="4" t="n"/>
      <c r="E879" s="4" t="n"/>
      <c r="F879" s="4" t="n"/>
      <c r="G879" s="4" t="n"/>
    </row>
    <row r="880" ht="15.75" customHeight="1" s="40">
      <c r="A880" s="4" t="n"/>
      <c r="B880" s="4" t="n"/>
      <c r="C880" s="4" t="n"/>
      <c r="D880" s="4" t="n"/>
      <c r="E880" s="4" t="n"/>
      <c r="F880" s="4" t="n"/>
      <c r="G880" s="4" t="n"/>
    </row>
    <row r="881" ht="15.75" customHeight="1" s="40">
      <c r="A881" s="4" t="n"/>
      <c r="B881" s="4" t="n"/>
      <c r="C881" s="4" t="n"/>
      <c r="D881" s="4" t="n"/>
      <c r="E881" s="4" t="n"/>
      <c r="F881" s="4" t="n"/>
      <c r="G881" s="4" t="n"/>
    </row>
    <row r="882" ht="15.75" customHeight="1" s="40">
      <c r="A882" s="4" t="n"/>
      <c r="B882" s="4" t="n"/>
      <c r="C882" s="4" t="n"/>
      <c r="D882" s="4" t="n"/>
      <c r="E882" s="4" t="n"/>
      <c r="F882" s="4" t="n"/>
      <c r="G882" s="4" t="n"/>
    </row>
    <row r="883" ht="15.75" customHeight="1" s="40">
      <c r="A883" s="4" t="n"/>
      <c r="B883" s="4" t="n"/>
      <c r="C883" s="4" t="n"/>
      <c r="D883" s="4" t="n"/>
      <c r="E883" s="4" t="n"/>
      <c r="F883" s="4" t="n"/>
      <c r="G883" s="4" t="n"/>
    </row>
    <row r="884" ht="15.75" customHeight="1" s="40">
      <c r="A884" s="4" t="n"/>
      <c r="B884" s="4" t="n"/>
      <c r="C884" s="4" t="n"/>
      <c r="D884" s="4" t="n"/>
      <c r="E884" s="4" t="n"/>
      <c r="F884" s="4" t="n"/>
      <c r="G884" s="4" t="n"/>
    </row>
    <row r="885" ht="15.75" customHeight="1" s="40">
      <c r="A885" s="4" t="n"/>
      <c r="B885" s="4" t="n"/>
      <c r="C885" s="4" t="n"/>
      <c r="D885" s="4" t="n"/>
      <c r="E885" s="4" t="n"/>
      <c r="F885" s="4" t="n"/>
      <c r="G885" s="4" t="n"/>
    </row>
    <row r="886" ht="15.75" customHeight="1" s="40">
      <c r="A886" s="4" t="n"/>
      <c r="B886" s="4" t="n"/>
      <c r="C886" s="4" t="n"/>
      <c r="D886" s="4" t="n"/>
      <c r="E886" s="4" t="n"/>
      <c r="F886" s="4" t="n"/>
      <c r="G886" s="4" t="n"/>
    </row>
    <row r="887" ht="15.75" customHeight="1" s="40">
      <c r="A887" s="4" t="n"/>
      <c r="B887" s="4" t="n"/>
      <c r="C887" s="4" t="n"/>
      <c r="D887" s="4" t="n"/>
      <c r="E887" s="4" t="n"/>
      <c r="F887" s="4" t="n"/>
      <c r="G887" s="4" t="n"/>
    </row>
    <row r="888" ht="15.75" customHeight="1" s="40">
      <c r="A888" s="4" t="n"/>
      <c r="B888" s="4" t="n"/>
      <c r="C888" s="4" t="n"/>
      <c r="D888" s="4" t="n"/>
      <c r="E888" s="4" t="n"/>
      <c r="F888" s="4" t="n"/>
      <c r="G888" s="4" t="n"/>
    </row>
    <row r="889" ht="15.75" customHeight="1" s="40">
      <c r="A889" s="4" t="n"/>
      <c r="B889" s="4" t="n"/>
      <c r="C889" s="4" t="n"/>
      <c r="D889" s="4" t="n"/>
      <c r="E889" s="4" t="n"/>
      <c r="F889" s="4" t="n"/>
      <c r="G889" s="4" t="n"/>
    </row>
    <row r="890" ht="15.75" customHeight="1" s="40">
      <c r="A890" s="4" t="n"/>
      <c r="B890" s="4" t="n"/>
      <c r="C890" s="4" t="n"/>
      <c r="D890" s="4" t="n"/>
      <c r="E890" s="4" t="n"/>
      <c r="F890" s="4" t="n"/>
      <c r="G890" s="4" t="n"/>
    </row>
    <row r="891" ht="15.75" customHeight="1" s="40">
      <c r="A891" s="4" t="n"/>
      <c r="B891" s="4" t="n"/>
      <c r="C891" s="4" t="n"/>
      <c r="D891" s="4" t="n"/>
      <c r="E891" s="4" t="n"/>
      <c r="F891" s="4" t="n"/>
      <c r="G891" s="4" t="n"/>
    </row>
    <row r="892" ht="15.75" customHeight="1" s="40">
      <c r="A892" s="4" t="n"/>
      <c r="B892" s="4" t="n"/>
      <c r="C892" s="4" t="n"/>
      <c r="D892" s="4" t="n"/>
      <c r="E892" s="4" t="n"/>
      <c r="F892" s="4" t="n"/>
      <c r="G892" s="4" t="n"/>
    </row>
    <row r="893" ht="15.75" customHeight="1" s="40">
      <c r="A893" s="4" t="n"/>
      <c r="B893" s="4" t="n"/>
      <c r="C893" s="4" t="n"/>
      <c r="D893" s="4" t="n"/>
      <c r="E893" s="4" t="n"/>
      <c r="F893" s="4" t="n"/>
      <c r="G893" s="4" t="n"/>
    </row>
    <row r="894" ht="15.75" customHeight="1" s="40">
      <c r="A894" s="4" t="n"/>
      <c r="B894" s="4" t="n"/>
      <c r="C894" s="4" t="n"/>
      <c r="D894" s="4" t="n"/>
      <c r="E894" s="4" t="n"/>
      <c r="F894" s="4" t="n"/>
      <c r="G894" s="4" t="n"/>
    </row>
    <row r="895" ht="15.75" customHeight="1" s="40">
      <c r="A895" s="4" t="n"/>
      <c r="B895" s="4" t="n"/>
      <c r="C895" s="4" t="n"/>
      <c r="D895" s="4" t="n"/>
      <c r="E895" s="4" t="n"/>
      <c r="F895" s="4" t="n"/>
      <c r="G895" s="4" t="n"/>
    </row>
    <row r="896" ht="15.75" customHeight="1" s="40">
      <c r="A896" s="4" t="n"/>
      <c r="B896" s="4" t="n"/>
      <c r="C896" s="4" t="n"/>
      <c r="D896" s="4" t="n"/>
      <c r="E896" s="4" t="n"/>
      <c r="F896" s="4" t="n"/>
      <c r="G896" s="4" t="n"/>
    </row>
    <row r="897" ht="15.75" customHeight="1" s="40">
      <c r="A897" s="4" t="n"/>
      <c r="B897" s="4" t="n"/>
      <c r="C897" s="4" t="n"/>
      <c r="D897" s="4" t="n"/>
      <c r="E897" s="4" t="n"/>
      <c r="F897" s="4" t="n"/>
      <c r="G897" s="4" t="n"/>
    </row>
    <row r="898" ht="15.75" customHeight="1" s="40">
      <c r="A898" s="4" t="n"/>
      <c r="B898" s="4" t="n"/>
      <c r="C898" s="4" t="n"/>
      <c r="D898" s="4" t="n"/>
      <c r="E898" s="4" t="n"/>
      <c r="F898" s="4" t="n"/>
      <c r="G898" s="4" t="n"/>
    </row>
    <row r="899" ht="15.75" customHeight="1" s="40">
      <c r="A899" s="4" t="n"/>
      <c r="B899" s="4" t="n"/>
      <c r="C899" s="4" t="n"/>
      <c r="D899" s="4" t="n"/>
      <c r="E899" s="4" t="n"/>
      <c r="F899" s="4" t="n"/>
      <c r="G899" s="4" t="n"/>
    </row>
    <row r="900" ht="15.75" customHeight="1" s="40">
      <c r="A900" s="4" t="n"/>
      <c r="B900" s="4" t="n"/>
      <c r="C900" s="4" t="n"/>
      <c r="D900" s="4" t="n"/>
      <c r="E900" s="4" t="n"/>
      <c r="F900" s="4" t="n"/>
      <c r="G900" s="4" t="n"/>
    </row>
    <row r="901" ht="15.75" customHeight="1" s="40">
      <c r="A901" s="4" t="n"/>
      <c r="B901" s="4" t="n"/>
      <c r="C901" s="4" t="n"/>
      <c r="D901" s="4" t="n"/>
      <c r="E901" s="4" t="n"/>
      <c r="F901" s="4" t="n"/>
      <c r="G901" s="4" t="n"/>
    </row>
    <row r="902" ht="15.75" customHeight="1" s="40">
      <c r="A902" s="4" t="n"/>
      <c r="B902" s="4" t="n"/>
      <c r="C902" s="4" t="n"/>
      <c r="D902" s="4" t="n"/>
      <c r="E902" s="4" t="n"/>
      <c r="F902" s="4" t="n"/>
      <c r="G902" s="4" t="n"/>
    </row>
    <row r="903" ht="15.75" customHeight="1" s="40">
      <c r="A903" s="4" t="n"/>
      <c r="B903" s="4" t="n"/>
      <c r="C903" s="4" t="n"/>
      <c r="D903" s="4" t="n"/>
      <c r="E903" s="4" t="n"/>
      <c r="F903" s="4" t="n"/>
      <c r="G903" s="4" t="n"/>
    </row>
    <row r="904" ht="15.75" customHeight="1" s="40">
      <c r="A904" s="4" t="n"/>
      <c r="B904" s="4" t="n"/>
      <c r="C904" s="4" t="n"/>
      <c r="D904" s="4" t="n"/>
      <c r="E904" s="4" t="n"/>
      <c r="F904" s="4" t="n"/>
      <c r="G904" s="4" t="n"/>
    </row>
    <row r="905" ht="15.75" customHeight="1" s="40">
      <c r="A905" s="4" t="n"/>
      <c r="B905" s="4" t="n"/>
      <c r="C905" s="4" t="n"/>
      <c r="D905" s="4" t="n"/>
      <c r="E905" s="4" t="n"/>
      <c r="F905" s="4" t="n"/>
      <c r="G905" s="4" t="n"/>
    </row>
    <row r="906" ht="15.75" customHeight="1" s="40">
      <c r="A906" s="4" t="n"/>
      <c r="B906" s="4" t="n"/>
      <c r="C906" s="4" t="n"/>
      <c r="D906" s="4" t="n"/>
      <c r="E906" s="4" t="n"/>
      <c r="F906" s="4" t="n"/>
      <c r="G906" s="4" t="n"/>
    </row>
    <row r="907" ht="15.75" customHeight="1" s="40">
      <c r="A907" s="4" t="n"/>
      <c r="B907" s="4" t="n"/>
      <c r="C907" s="4" t="n"/>
      <c r="D907" s="4" t="n"/>
      <c r="E907" s="4" t="n"/>
      <c r="F907" s="4" t="n"/>
      <c r="G907" s="4" t="n"/>
    </row>
    <row r="908" ht="15.75" customHeight="1" s="40">
      <c r="A908" s="4" t="n"/>
      <c r="B908" s="4" t="n"/>
      <c r="C908" s="4" t="n"/>
      <c r="D908" s="4" t="n"/>
      <c r="E908" s="4" t="n"/>
      <c r="F908" s="4" t="n"/>
      <c r="G908" s="4" t="n"/>
    </row>
    <row r="909" ht="15.75" customHeight="1" s="40">
      <c r="A909" s="4" t="n"/>
      <c r="B909" s="4" t="n"/>
      <c r="C909" s="4" t="n"/>
      <c r="D909" s="4" t="n"/>
      <c r="E909" s="4" t="n"/>
      <c r="F909" s="4" t="n"/>
      <c r="G909" s="4" t="n"/>
    </row>
    <row r="910" ht="15.75" customHeight="1" s="40">
      <c r="A910" s="4" t="n"/>
      <c r="B910" s="4" t="n"/>
      <c r="C910" s="4" t="n"/>
      <c r="D910" s="4" t="n"/>
      <c r="E910" s="4" t="n"/>
      <c r="F910" s="4" t="n"/>
      <c r="G910" s="4" t="n"/>
    </row>
    <row r="911" ht="15.75" customHeight="1" s="40">
      <c r="A911" s="4" t="n"/>
      <c r="B911" s="4" t="n"/>
      <c r="C911" s="4" t="n"/>
      <c r="D911" s="4" t="n"/>
      <c r="E911" s="4" t="n"/>
      <c r="F911" s="4" t="n"/>
      <c r="G911" s="4" t="n"/>
    </row>
    <row r="912" ht="15.75" customHeight="1" s="40">
      <c r="A912" s="4" t="n"/>
      <c r="B912" s="4" t="n"/>
      <c r="C912" s="4" t="n"/>
      <c r="D912" s="4" t="n"/>
      <c r="E912" s="4" t="n"/>
      <c r="F912" s="4" t="n"/>
      <c r="G912" s="4" t="n"/>
    </row>
    <row r="913" ht="15.75" customHeight="1" s="40">
      <c r="A913" s="4" t="n"/>
      <c r="B913" s="4" t="n"/>
      <c r="C913" s="4" t="n"/>
      <c r="D913" s="4" t="n"/>
      <c r="E913" s="4" t="n"/>
      <c r="F913" s="4" t="n"/>
      <c r="G913" s="4" t="n"/>
    </row>
    <row r="914" ht="15.75" customHeight="1" s="40">
      <c r="A914" s="4" t="n"/>
      <c r="B914" s="4" t="n"/>
      <c r="C914" s="4" t="n"/>
      <c r="D914" s="4" t="n"/>
      <c r="E914" s="4" t="n"/>
      <c r="F914" s="4" t="n"/>
      <c r="G914" s="4" t="n"/>
    </row>
    <row r="915" ht="15.75" customHeight="1" s="40">
      <c r="A915" s="4" t="n"/>
      <c r="B915" s="4" t="n"/>
      <c r="C915" s="4" t="n"/>
      <c r="D915" s="4" t="n"/>
      <c r="E915" s="4" t="n"/>
      <c r="F915" s="4" t="n"/>
      <c r="G915" s="4" t="n"/>
    </row>
    <row r="916" ht="15.75" customHeight="1" s="40">
      <c r="A916" s="4" t="n"/>
      <c r="B916" s="4" t="n"/>
      <c r="C916" s="4" t="n"/>
      <c r="D916" s="4" t="n"/>
      <c r="E916" s="4" t="n"/>
      <c r="F916" s="4" t="n"/>
      <c r="G916" s="4" t="n"/>
    </row>
    <row r="917" ht="15.75" customHeight="1" s="40">
      <c r="A917" s="4" t="n"/>
      <c r="B917" s="4" t="n"/>
      <c r="C917" s="4" t="n"/>
      <c r="D917" s="4" t="n"/>
      <c r="E917" s="4" t="n"/>
      <c r="F917" s="4" t="n"/>
      <c r="G917" s="4" t="n"/>
    </row>
    <row r="918" ht="15.75" customHeight="1" s="40">
      <c r="A918" s="4" t="n"/>
      <c r="B918" s="4" t="n"/>
      <c r="C918" s="4" t="n"/>
      <c r="D918" s="4" t="n"/>
      <c r="E918" s="4" t="n"/>
      <c r="F918" s="4" t="n"/>
      <c r="G918" s="4" t="n"/>
    </row>
    <row r="919" ht="15.75" customHeight="1" s="40">
      <c r="A919" s="4" t="n"/>
      <c r="B919" s="4" t="n"/>
      <c r="C919" s="4" t="n"/>
      <c r="D919" s="4" t="n"/>
      <c r="E919" s="4" t="n"/>
      <c r="F919" s="4" t="n"/>
      <c r="G919" s="4" t="n"/>
    </row>
    <row r="920" ht="15.75" customHeight="1" s="40">
      <c r="A920" s="4" t="n"/>
      <c r="B920" s="4" t="n"/>
      <c r="C920" s="4" t="n"/>
      <c r="D920" s="4" t="n"/>
      <c r="E920" s="4" t="n"/>
      <c r="F920" s="4" t="n"/>
      <c r="G920" s="4" t="n"/>
    </row>
    <row r="921" ht="15.75" customHeight="1" s="40">
      <c r="A921" s="4" t="n"/>
      <c r="B921" s="4" t="n"/>
      <c r="C921" s="4" t="n"/>
      <c r="D921" s="4" t="n"/>
      <c r="E921" s="4" t="n"/>
      <c r="F921" s="4" t="n"/>
      <c r="G921" s="4" t="n"/>
    </row>
    <row r="922" ht="15.75" customHeight="1" s="40">
      <c r="A922" s="4" t="n"/>
      <c r="B922" s="4" t="n"/>
      <c r="C922" s="4" t="n"/>
      <c r="D922" s="4" t="n"/>
      <c r="E922" s="4" t="n"/>
      <c r="F922" s="4" t="n"/>
      <c r="G922" s="4" t="n"/>
    </row>
    <row r="923" ht="15.75" customHeight="1" s="40">
      <c r="A923" s="4" t="n"/>
      <c r="B923" s="4" t="n"/>
      <c r="C923" s="4" t="n"/>
      <c r="D923" s="4" t="n"/>
      <c r="E923" s="4" t="n"/>
      <c r="F923" s="4" t="n"/>
      <c r="G923" s="4" t="n"/>
    </row>
    <row r="924" ht="15.75" customHeight="1" s="40">
      <c r="A924" s="4" t="n"/>
      <c r="B924" s="4" t="n"/>
      <c r="C924" s="4" t="n"/>
      <c r="D924" s="4" t="n"/>
      <c r="E924" s="4" t="n"/>
      <c r="F924" s="4" t="n"/>
      <c r="G924" s="4" t="n"/>
    </row>
    <row r="925" ht="15.75" customHeight="1" s="40">
      <c r="A925" s="4" t="n"/>
      <c r="B925" s="4" t="n"/>
      <c r="C925" s="4" t="n"/>
      <c r="D925" s="4" t="n"/>
      <c r="E925" s="4" t="n"/>
      <c r="F925" s="4" t="n"/>
      <c r="G925" s="4" t="n"/>
    </row>
    <row r="926" ht="15.75" customHeight="1" s="40">
      <c r="A926" s="4" t="n"/>
      <c r="B926" s="4" t="n"/>
      <c r="C926" s="4" t="n"/>
      <c r="D926" s="4" t="n"/>
      <c r="E926" s="4" t="n"/>
      <c r="F926" s="4" t="n"/>
      <c r="G926" s="4" t="n"/>
    </row>
    <row r="927" ht="15.75" customHeight="1" s="40">
      <c r="A927" s="4" t="n"/>
      <c r="B927" s="4" t="n"/>
      <c r="C927" s="4" t="n"/>
      <c r="D927" s="4" t="n"/>
      <c r="E927" s="4" t="n"/>
      <c r="F927" s="4" t="n"/>
      <c r="G927" s="4" t="n"/>
    </row>
    <row r="928" ht="15.75" customHeight="1" s="40">
      <c r="A928" s="4" t="n"/>
      <c r="B928" s="4" t="n"/>
      <c r="C928" s="4" t="n"/>
      <c r="D928" s="4" t="n"/>
      <c r="E928" s="4" t="n"/>
      <c r="F928" s="4" t="n"/>
      <c r="G928" s="4" t="n"/>
    </row>
    <row r="929" ht="15.75" customHeight="1" s="40">
      <c r="A929" s="4" t="n"/>
      <c r="B929" s="4" t="n"/>
      <c r="C929" s="4" t="n"/>
      <c r="D929" s="4" t="n"/>
      <c r="E929" s="4" t="n"/>
      <c r="F929" s="4" t="n"/>
      <c r="G929" s="4" t="n"/>
    </row>
    <row r="930" ht="15.75" customHeight="1" s="40">
      <c r="A930" s="4" t="n"/>
      <c r="B930" s="4" t="n"/>
      <c r="C930" s="4" t="n"/>
      <c r="D930" s="4" t="n"/>
      <c r="E930" s="4" t="n"/>
      <c r="F930" s="4" t="n"/>
      <c r="G930" s="4" t="n"/>
    </row>
    <row r="931" ht="15.75" customHeight="1" s="40">
      <c r="A931" s="4" t="n"/>
      <c r="B931" s="4" t="n"/>
      <c r="C931" s="4" t="n"/>
      <c r="D931" s="4" t="n"/>
      <c r="E931" s="4" t="n"/>
      <c r="F931" s="4" t="n"/>
      <c r="G931" s="4" t="n"/>
    </row>
    <row r="932" ht="15.75" customHeight="1" s="40">
      <c r="A932" s="4" t="n"/>
      <c r="B932" s="4" t="n"/>
      <c r="C932" s="4" t="n"/>
      <c r="D932" s="4" t="n"/>
      <c r="E932" s="4" t="n"/>
      <c r="F932" s="4" t="n"/>
      <c r="G932" s="4" t="n"/>
    </row>
    <row r="933" ht="15.75" customHeight="1" s="40">
      <c r="A933" s="4" t="n"/>
      <c r="B933" s="4" t="n"/>
      <c r="C933" s="4" t="n"/>
      <c r="D933" s="4" t="n"/>
      <c r="E933" s="4" t="n"/>
      <c r="F933" s="4" t="n"/>
      <c r="G933" s="4" t="n"/>
    </row>
    <row r="934" ht="15.75" customHeight="1" s="40">
      <c r="A934" s="4" t="n"/>
      <c r="B934" s="4" t="n"/>
      <c r="C934" s="4" t="n"/>
      <c r="D934" s="4" t="n"/>
      <c r="E934" s="4" t="n"/>
      <c r="F934" s="4" t="n"/>
      <c r="G934" s="4" t="n"/>
    </row>
    <row r="935" ht="15.75" customHeight="1" s="40">
      <c r="A935" s="4" t="n"/>
      <c r="B935" s="4" t="n"/>
      <c r="C935" s="4" t="n"/>
      <c r="D935" s="4" t="n"/>
      <c r="E935" s="4" t="n"/>
      <c r="F935" s="4" t="n"/>
      <c r="G935" s="4" t="n"/>
    </row>
    <row r="936" ht="15.75" customHeight="1" s="40">
      <c r="A936" s="4" t="n"/>
      <c r="B936" s="4" t="n"/>
      <c r="C936" s="4" t="n"/>
      <c r="D936" s="4" t="n"/>
      <c r="E936" s="4" t="n"/>
      <c r="F936" s="4" t="n"/>
      <c r="G936" s="4" t="n"/>
    </row>
    <row r="937" ht="15.75" customHeight="1" s="40">
      <c r="A937" s="4" t="n"/>
      <c r="B937" s="4" t="n"/>
      <c r="C937" s="4" t="n"/>
      <c r="D937" s="4" t="n"/>
      <c r="E937" s="4" t="n"/>
      <c r="F937" s="4" t="n"/>
      <c r="G937" s="4" t="n"/>
    </row>
    <row r="938" ht="15.75" customHeight="1" s="40">
      <c r="A938" s="4" t="n"/>
      <c r="B938" s="4" t="n"/>
      <c r="C938" s="4" t="n"/>
      <c r="D938" s="4" t="n"/>
      <c r="E938" s="4" t="n"/>
      <c r="F938" s="4" t="n"/>
      <c r="G938" s="4" t="n"/>
    </row>
    <row r="939" ht="15.75" customHeight="1" s="40">
      <c r="A939" s="4" t="n"/>
      <c r="B939" s="4" t="n"/>
      <c r="C939" s="4" t="n"/>
      <c r="D939" s="4" t="n"/>
      <c r="E939" s="4" t="n"/>
      <c r="F939" s="4" t="n"/>
      <c r="G939" s="4" t="n"/>
    </row>
    <row r="940" ht="15.75" customHeight="1" s="40">
      <c r="A940" s="4" t="n"/>
      <c r="B940" s="4" t="n"/>
      <c r="C940" s="4" t="n"/>
      <c r="D940" s="4" t="n"/>
      <c r="E940" s="4" t="n"/>
      <c r="F940" s="4" t="n"/>
      <c r="G940" s="4" t="n"/>
    </row>
    <row r="941" ht="15.75" customHeight="1" s="40">
      <c r="A941" s="4" t="n"/>
      <c r="B941" s="4" t="n"/>
      <c r="C941" s="4" t="n"/>
      <c r="D941" s="4" t="n"/>
      <c r="E941" s="4" t="n"/>
      <c r="F941" s="4" t="n"/>
      <c r="G941" s="4" t="n"/>
    </row>
    <row r="942" ht="15.75" customHeight="1" s="40">
      <c r="A942" s="4" t="n"/>
      <c r="B942" s="4" t="n"/>
      <c r="C942" s="4" t="n"/>
      <c r="D942" s="4" t="n"/>
      <c r="E942" s="4" t="n"/>
      <c r="F942" s="4" t="n"/>
      <c r="G942" s="4" t="n"/>
    </row>
    <row r="943" ht="15.75" customHeight="1" s="40">
      <c r="A943" s="4" t="n"/>
      <c r="B943" s="4" t="n"/>
      <c r="C943" s="4" t="n"/>
      <c r="D943" s="4" t="n"/>
      <c r="E943" s="4" t="n"/>
      <c r="F943" s="4" t="n"/>
      <c r="G943" s="4" t="n"/>
    </row>
    <row r="944" ht="15.75" customHeight="1" s="40">
      <c r="A944" s="4" t="n"/>
      <c r="B944" s="4" t="n"/>
      <c r="C944" s="4" t="n"/>
      <c r="D944" s="4" t="n"/>
      <c r="E944" s="4" t="n"/>
      <c r="F944" s="4" t="n"/>
      <c r="G944" s="4" t="n"/>
    </row>
    <row r="945" ht="15.75" customHeight="1" s="40">
      <c r="A945" s="4" t="n"/>
      <c r="B945" s="4" t="n"/>
      <c r="C945" s="4" t="n"/>
      <c r="D945" s="4" t="n"/>
      <c r="E945" s="4" t="n"/>
      <c r="F945" s="4" t="n"/>
      <c r="G945" s="4" t="n"/>
    </row>
    <row r="946" ht="15.75" customHeight="1" s="40">
      <c r="A946" s="4" t="n"/>
      <c r="B946" s="4" t="n"/>
      <c r="C946" s="4" t="n"/>
      <c r="D946" s="4" t="n"/>
      <c r="E946" s="4" t="n"/>
      <c r="F946" s="4" t="n"/>
      <c r="G946" s="4" t="n"/>
    </row>
    <row r="947" ht="15.75" customHeight="1" s="40">
      <c r="A947" s="4" t="n"/>
      <c r="B947" s="4" t="n"/>
      <c r="C947" s="4" t="n"/>
      <c r="D947" s="4" t="n"/>
      <c r="E947" s="4" t="n"/>
      <c r="F947" s="4" t="n"/>
      <c r="G947" s="4" t="n"/>
    </row>
    <row r="948" ht="15.75" customHeight="1" s="40">
      <c r="A948" s="4" t="n"/>
      <c r="B948" s="4" t="n"/>
      <c r="C948" s="4" t="n"/>
      <c r="D948" s="4" t="n"/>
      <c r="E948" s="4" t="n"/>
      <c r="F948" s="4" t="n"/>
      <c r="G948" s="4" t="n"/>
    </row>
    <row r="949" ht="15.75" customHeight="1" s="40">
      <c r="A949" s="4" t="n"/>
      <c r="B949" s="4" t="n"/>
      <c r="C949" s="4" t="n"/>
      <c r="D949" s="4" t="n"/>
      <c r="E949" s="4" t="n"/>
      <c r="F949" s="4" t="n"/>
      <c r="G949" s="4" t="n"/>
    </row>
    <row r="950" ht="15.75" customHeight="1" s="40">
      <c r="A950" s="4" t="n"/>
      <c r="B950" s="4" t="n"/>
      <c r="C950" s="4" t="n"/>
      <c r="D950" s="4" t="n"/>
      <c r="E950" s="4" t="n"/>
      <c r="F950" s="4" t="n"/>
      <c r="G950" s="4" t="n"/>
    </row>
    <row r="951" ht="15.75" customHeight="1" s="40">
      <c r="A951" s="4" t="n"/>
      <c r="B951" s="4" t="n"/>
      <c r="C951" s="4" t="n"/>
      <c r="D951" s="4" t="n"/>
      <c r="E951" s="4" t="n"/>
      <c r="F951" s="4" t="n"/>
      <c r="G951" s="4" t="n"/>
    </row>
    <row r="952" ht="15.75" customHeight="1" s="40">
      <c r="A952" s="4" t="n"/>
      <c r="B952" s="4" t="n"/>
      <c r="C952" s="4" t="n"/>
      <c r="D952" s="4" t="n"/>
      <c r="E952" s="4" t="n"/>
      <c r="F952" s="4" t="n"/>
      <c r="G952" s="4" t="n"/>
    </row>
    <row r="953" ht="15.75" customHeight="1" s="40">
      <c r="A953" s="4" t="n"/>
      <c r="B953" s="4" t="n"/>
      <c r="C953" s="4" t="n"/>
      <c r="D953" s="4" t="n"/>
      <c r="E953" s="4" t="n"/>
      <c r="F953" s="4" t="n"/>
      <c r="G953" s="4" t="n"/>
    </row>
    <row r="954" ht="15.75" customHeight="1" s="40">
      <c r="A954" s="4" t="n"/>
      <c r="B954" s="4" t="n"/>
      <c r="C954" s="4" t="n"/>
      <c r="D954" s="4" t="n"/>
      <c r="E954" s="4" t="n"/>
      <c r="F954" s="4" t="n"/>
      <c r="G954" s="4" t="n"/>
    </row>
    <row r="955" ht="15.75" customHeight="1" s="40">
      <c r="A955" s="4" t="n"/>
      <c r="B955" s="4" t="n"/>
      <c r="C955" s="4" t="n"/>
      <c r="D955" s="4" t="n"/>
      <c r="E955" s="4" t="n"/>
      <c r="F955" s="4" t="n"/>
      <c r="G955" s="4" t="n"/>
    </row>
    <row r="956" ht="15.75" customHeight="1" s="40">
      <c r="A956" s="4" t="n"/>
      <c r="B956" s="4" t="n"/>
      <c r="C956" s="4" t="n"/>
      <c r="D956" s="4" t="n"/>
      <c r="E956" s="4" t="n"/>
      <c r="F956" s="4" t="n"/>
      <c r="G956" s="4" t="n"/>
    </row>
    <row r="957" ht="15.75" customHeight="1" s="40">
      <c r="A957" s="4" t="n"/>
      <c r="B957" s="4" t="n"/>
      <c r="C957" s="4" t="n"/>
      <c r="D957" s="4" t="n"/>
      <c r="E957" s="4" t="n"/>
      <c r="F957" s="4" t="n"/>
      <c r="G957" s="4" t="n"/>
    </row>
    <row r="958" ht="15.75" customHeight="1" s="40">
      <c r="A958" s="4" t="n"/>
      <c r="B958" s="4" t="n"/>
      <c r="C958" s="4" t="n"/>
      <c r="D958" s="4" t="n"/>
      <c r="E958" s="4" t="n"/>
      <c r="F958" s="4" t="n"/>
      <c r="G958" s="4" t="n"/>
    </row>
    <row r="959" ht="15.75" customHeight="1" s="40">
      <c r="A959" s="4" t="n"/>
      <c r="B959" s="4" t="n"/>
      <c r="C959" s="4" t="n"/>
      <c r="D959" s="4" t="n"/>
      <c r="E959" s="4" t="n"/>
      <c r="F959" s="4" t="n"/>
      <c r="G959" s="4" t="n"/>
    </row>
    <row r="960" ht="15.75" customHeight="1" s="40">
      <c r="A960" s="4" t="n"/>
      <c r="B960" s="4" t="n"/>
      <c r="C960" s="4" t="n"/>
      <c r="D960" s="4" t="n"/>
      <c r="E960" s="4" t="n"/>
      <c r="F960" s="4" t="n"/>
      <c r="G960" s="4" t="n"/>
    </row>
    <row r="961" ht="15.75" customHeight="1" s="40">
      <c r="A961" s="4" t="n"/>
      <c r="B961" s="4" t="n"/>
      <c r="C961" s="4" t="n"/>
      <c r="D961" s="4" t="n"/>
      <c r="E961" s="4" t="n"/>
      <c r="F961" s="4" t="n"/>
      <c r="G961" s="4" t="n"/>
    </row>
    <row r="962" ht="15.75" customHeight="1" s="40">
      <c r="A962" s="4" t="n"/>
      <c r="B962" s="4" t="n"/>
      <c r="C962" s="4" t="n"/>
      <c r="D962" s="4" t="n"/>
      <c r="E962" s="4" t="n"/>
      <c r="F962" s="4" t="n"/>
      <c r="G962" s="4" t="n"/>
    </row>
    <row r="963" ht="15.75" customHeight="1" s="40">
      <c r="A963" s="4" t="n"/>
      <c r="B963" s="4" t="n"/>
      <c r="C963" s="4" t="n"/>
      <c r="D963" s="4" t="n"/>
      <c r="E963" s="4" t="n"/>
      <c r="F963" s="4" t="n"/>
      <c r="G963" s="4" t="n"/>
    </row>
    <row r="964" ht="15.75" customHeight="1" s="40">
      <c r="A964" s="4" t="n"/>
      <c r="B964" s="4" t="n"/>
      <c r="C964" s="4" t="n"/>
      <c r="D964" s="4" t="n"/>
      <c r="E964" s="4" t="n"/>
      <c r="F964" s="4" t="n"/>
      <c r="G964" s="4" t="n"/>
    </row>
    <row r="965" ht="15.75" customHeight="1" s="40">
      <c r="A965" s="4" t="n"/>
      <c r="B965" s="4" t="n"/>
      <c r="C965" s="4" t="n"/>
      <c r="D965" s="4" t="n"/>
      <c r="E965" s="4" t="n"/>
      <c r="F965" s="4" t="n"/>
      <c r="G965" s="4" t="n"/>
    </row>
    <row r="966" ht="15.75" customHeight="1" s="40">
      <c r="A966" s="4" t="n"/>
      <c r="B966" s="4" t="n"/>
      <c r="C966" s="4" t="n"/>
      <c r="D966" s="4" t="n"/>
      <c r="E966" s="4" t="n"/>
      <c r="F966" s="4" t="n"/>
      <c r="G966" s="4" t="n"/>
    </row>
    <row r="967" ht="15.75" customHeight="1" s="40">
      <c r="A967" s="4" t="n"/>
      <c r="B967" s="4" t="n"/>
      <c r="C967" s="4" t="n"/>
      <c r="D967" s="4" t="n"/>
      <c r="E967" s="4" t="n"/>
      <c r="F967" s="4" t="n"/>
      <c r="G967" s="4" t="n"/>
    </row>
    <row r="968" ht="15.75" customHeight="1" s="40">
      <c r="A968" s="4" t="n"/>
      <c r="B968" s="4" t="n"/>
      <c r="C968" s="4" t="n"/>
      <c r="D968" s="4" t="n"/>
      <c r="E968" s="4" t="n"/>
      <c r="F968" s="4" t="n"/>
      <c r="G968" s="4" t="n"/>
    </row>
    <row r="969" ht="15.75" customHeight="1" s="40">
      <c r="A969" s="4" t="n"/>
      <c r="B969" s="4" t="n"/>
      <c r="C969" s="4" t="n"/>
      <c r="D969" s="4" t="n"/>
      <c r="E969" s="4" t="n"/>
      <c r="F969" s="4" t="n"/>
      <c r="G969" s="4" t="n"/>
    </row>
    <row r="970" ht="15.75" customHeight="1" s="40">
      <c r="A970" s="4" t="n"/>
      <c r="B970" s="4" t="n"/>
      <c r="C970" s="4" t="n"/>
      <c r="D970" s="4" t="n"/>
      <c r="E970" s="4" t="n"/>
      <c r="F970" s="4" t="n"/>
      <c r="G970" s="4" t="n"/>
    </row>
    <row r="971" ht="15.75" customHeight="1" s="40">
      <c r="A971" s="4" t="n"/>
      <c r="B971" s="4" t="n"/>
      <c r="C971" s="4" t="n"/>
      <c r="D971" s="4" t="n"/>
      <c r="E971" s="4" t="n"/>
      <c r="F971" s="4" t="n"/>
      <c r="G971" s="4" t="n"/>
    </row>
    <row r="972" ht="15.75" customHeight="1" s="40">
      <c r="A972" s="4" t="n"/>
      <c r="B972" s="4" t="n"/>
      <c r="C972" s="4" t="n"/>
      <c r="D972" s="4" t="n"/>
      <c r="E972" s="4" t="n"/>
      <c r="F972" s="4" t="n"/>
      <c r="G972" s="4" t="n"/>
    </row>
    <row r="973" ht="15.75" customHeight="1" s="40">
      <c r="A973" s="4" t="n"/>
      <c r="B973" s="4" t="n"/>
      <c r="C973" s="4" t="n"/>
      <c r="D973" s="4" t="n"/>
      <c r="E973" s="4" t="n"/>
      <c r="F973" s="4" t="n"/>
      <c r="G973" s="4" t="n"/>
    </row>
    <row r="974" ht="15.75" customHeight="1" s="40">
      <c r="A974" s="4" t="n"/>
      <c r="B974" s="4" t="n"/>
      <c r="C974" s="4" t="n"/>
      <c r="D974" s="4" t="n"/>
      <c r="E974" s="4" t="n"/>
      <c r="F974" s="4" t="n"/>
      <c r="G974" s="4" t="n"/>
    </row>
    <row r="975" ht="15.75" customHeight="1" s="40">
      <c r="A975" s="4" t="n"/>
      <c r="B975" s="4" t="n"/>
      <c r="C975" s="4" t="n"/>
      <c r="D975" s="4" t="n"/>
      <c r="E975" s="4" t="n"/>
      <c r="F975" s="4" t="n"/>
      <c r="G975" s="4" t="n"/>
    </row>
    <row r="976" ht="15.75" customHeight="1" s="40">
      <c r="A976" s="4" t="n"/>
      <c r="B976" s="4" t="n"/>
      <c r="C976" s="4" t="n"/>
      <c r="D976" s="4" t="n"/>
      <c r="E976" s="4" t="n"/>
      <c r="F976" s="4" t="n"/>
      <c r="G976" s="4" t="n"/>
    </row>
    <row r="977" ht="15.75" customHeight="1" s="40">
      <c r="A977" s="4" t="n"/>
      <c r="B977" s="4" t="n"/>
      <c r="C977" s="4" t="n"/>
      <c r="D977" s="4" t="n"/>
      <c r="E977" s="4" t="n"/>
      <c r="F977" s="4" t="n"/>
      <c r="G977" s="4" t="n"/>
    </row>
    <row r="978" ht="15.75" customHeight="1" s="40">
      <c r="A978" s="4" t="n"/>
      <c r="B978" s="4" t="n"/>
      <c r="C978" s="4" t="n"/>
      <c r="D978" s="4" t="n"/>
      <c r="E978" s="4" t="n"/>
      <c r="F978" s="4" t="n"/>
      <c r="G978" s="4" t="n"/>
    </row>
    <row r="979" ht="15.75" customHeight="1" s="40">
      <c r="A979" s="4" t="n"/>
      <c r="B979" s="4" t="n"/>
      <c r="C979" s="4" t="n"/>
      <c r="D979" s="4" t="n"/>
      <c r="E979" s="4" t="n"/>
      <c r="F979" s="4" t="n"/>
      <c r="G979" s="4" t="n"/>
    </row>
    <row r="980" ht="15.75" customHeight="1" s="40">
      <c r="A980" s="4" t="n"/>
      <c r="B980" s="4" t="n"/>
      <c r="C980" s="4" t="n"/>
      <c r="D980" s="4" t="n"/>
      <c r="E980" s="4" t="n"/>
      <c r="F980" s="4" t="n"/>
      <c r="G980" s="4" t="n"/>
    </row>
    <row r="981" ht="15.75" customHeight="1" s="40">
      <c r="A981" s="4" t="n"/>
      <c r="B981" s="4" t="n"/>
      <c r="C981" s="4" t="n"/>
      <c r="D981" s="4" t="n"/>
      <c r="E981" s="4" t="n"/>
      <c r="F981" s="4" t="n"/>
      <c r="G981" s="4" t="n"/>
    </row>
    <row r="982" ht="15.75" customHeight="1" s="40">
      <c r="A982" s="4" t="n"/>
      <c r="B982" s="4" t="n"/>
      <c r="C982" s="4" t="n"/>
      <c r="D982" s="4" t="n"/>
      <c r="E982" s="4" t="n"/>
      <c r="F982" s="4" t="n"/>
      <c r="G982" s="4" t="n"/>
    </row>
    <row r="983" ht="15.75" customHeight="1" s="40">
      <c r="A983" s="4" t="n"/>
      <c r="B983" s="4" t="n"/>
      <c r="C983" s="4" t="n"/>
      <c r="D983" s="4" t="n"/>
      <c r="E983" s="4" t="n"/>
      <c r="F983" s="4" t="n"/>
      <c r="G983" s="4" t="n"/>
    </row>
    <row r="984" ht="15.75" customHeight="1" s="40">
      <c r="A984" s="4" t="n"/>
      <c r="B984" s="4" t="n"/>
      <c r="C984" s="4" t="n"/>
      <c r="D984" s="4" t="n"/>
      <c r="E984" s="4" t="n"/>
      <c r="F984" s="4" t="n"/>
      <c r="G984" s="4" t="n"/>
    </row>
    <row r="985" ht="15.75" customHeight="1" s="40">
      <c r="A985" s="4" t="n"/>
      <c r="B985" s="4" t="n"/>
      <c r="C985" s="4" t="n"/>
      <c r="D985" s="4" t="n"/>
      <c r="E985" s="4" t="n"/>
      <c r="F985" s="4" t="n"/>
      <c r="G985" s="4" t="n"/>
    </row>
    <row r="986" ht="15.75" customHeight="1" s="40">
      <c r="A986" s="4" t="n"/>
      <c r="B986" s="4" t="n"/>
      <c r="C986" s="4" t="n"/>
      <c r="D986" s="4" t="n"/>
      <c r="E986" s="4" t="n"/>
      <c r="F986" s="4" t="n"/>
      <c r="G986" s="4" t="n"/>
    </row>
    <row r="987" ht="15.75" customHeight="1" s="40">
      <c r="A987" s="4" t="n"/>
      <c r="B987" s="4" t="n"/>
      <c r="C987" s="4" t="n"/>
      <c r="D987" s="4" t="n"/>
      <c r="E987" s="4" t="n"/>
      <c r="F987" s="4" t="n"/>
      <c r="G987" s="4" t="n"/>
    </row>
    <row r="988" ht="15.75" customHeight="1" s="40">
      <c r="A988" s="4" t="n"/>
      <c r="B988" s="4" t="n"/>
      <c r="C988" s="4" t="n"/>
      <c r="D988" s="4" t="n"/>
      <c r="E988" s="4" t="n"/>
      <c r="F988" s="4" t="n"/>
      <c r="G988" s="4" t="n"/>
    </row>
    <row r="989" ht="15.75" customHeight="1" s="40">
      <c r="A989" s="4" t="n"/>
      <c r="B989" s="4" t="n"/>
      <c r="C989" s="4" t="n"/>
      <c r="D989" s="4" t="n"/>
      <c r="E989" s="4" t="n"/>
      <c r="F989" s="4" t="n"/>
      <c r="G989" s="4" t="n"/>
    </row>
    <row r="990" ht="15.75" customHeight="1" s="40">
      <c r="A990" s="4" t="n"/>
      <c r="B990" s="4" t="n"/>
      <c r="C990" s="4" t="n"/>
      <c r="D990" s="4" t="n"/>
      <c r="E990" s="4" t="n"/>
      <c r="F990" s="4" t="n"/>
      <c r="G990" s="4" t="n"/>
    </row>
    <row r="991" ht="15.75" customHeight="1" s="40">
      <c r="A991" s="4" t="n"/>
      <c r="B991" s="4" t="n"/>
      <c r="C991" s="4" t="n"/>
      <c r="D991" s="4" t="n"/>
      <c r="E991" s="4" t="n"/>
      <c r="F991" s="4" t="n"/>
      <c r="G991" s="4" t="n"/>
    </row>
    <row r="992" ht="15.75" customHeight="1" s="40">
      <c r="A992" s="4" t="n"/>
      <c r="B992" s="4" t="n"/>
      <c r="C992" s="4" t="n"/>
      <c r="D992" s="4" t="n"/>
      <c r="E992" s="4" t="n"/>
      <c r="F992" s="4" t="n"/>
      <c r="G992" s="4" t="n"/>
    </row>
    <row r="993" ht="15.75" customHeight="1" s="40">
      <c r="A993" s="4" t="n"/>
      <c r="B993" s="4" t="n"/>
      <c r="C993" s="4" t="n"/>
      <c r="D993" s="4" t="n"/>
      <c r="E993" s="4" t="n"/>
      <c r="F993" s="4" t="n"/>
      <c r="G993" s="4" t="n"/>
    </row>
    <row r="994" ht="15.75" customHeight="1" s="40">
      <c r="A994" s="4" t="n"/>
      <c r="B994" s="4" t="n"/>
      <c r="C994" s="4" t="n"/>
      <c r="D994" s="4" t="n"/>
      <c r="E994" s="4" t="n"/>
      <c r="F994" s="4" t="n"/>
      <c r="G994" s="4" t="n"/>
    </row>
    <row r="995" ht="15.75" customHeight="1" s="40">
      <c r="A995" s="4" t="n"/>
      <c r="B995" s="4" t="n"/>
      <c r="C995" s="4" t="n"/>
      <c r="D995" s="4" t="n"/>
      <c r="E995" s="4" t="n"/>
      <c r="F995" s="4" t="n"/>
      <c r="G995" s="4" t="n"/>
    </row>
    <row r="996" ht="15.75" customHeight="1" s="40">
      <c r="A996" s="4" t="n"/>
      <c r="B996" s="4" t="n"/>
      <c r="C996" s="4" t="n"/>
      <c r="D996" s="4" t="n"/>
      <c r="E996" s="4" t="n"/>
      <c r="F996" s="4" t="n"/>
      <c r="G996" s="4" t="n"/>
    </row>
    <row r="997" ht="15.75" customHeight="1" s="40">
      <c r="A997" s="4" t="n"/>
      <c r="B997" s="4" t="n"/>
      <c r="C997" s="4" t="n"/>
      <c r="D997" s="4" t="n"/>
      <c r="E997" s="4" t="n"/>
      <c r="F997" s="4" t="n"/>
      <c r="G997" s="4" t="n"/>
    </row>
    <row r="998" ht="15.75" customHeight="1" s="40">
      <c r="A998" s="4" t="n"/>
      <c r="B998" s="4" t="n"/>
      <c r="C998" s="4" t="n"/>
      <c r="D998" s="4" t="n"/>
      <c r="E998" s="4" t="n"/>
      <c r="F998" s="4" t="n"/>
      <c r="G998" s="4" t="n"/>
    </row>
    <row r="999" ht="15.75" customHeight="1" s="40">
      <c r="A999" s="4" t="n"/>
      <c r="B999" s="4" t="n"/>
      <c r="C999" s="4" t="n"/>
      <c r="D999" s="4" t="n"/>
      <c r="E999" s="4" t="n"/>
      <c r="F999" s="4" t="n"/>
      <c r="G999" s="4" t="n"/>
    </row>
    <row r="1000" ht="15.75" customHeight="1" s="40">
      <c r="A1000" s="4" t="n"/>
      <c r="B1000" s="4" t="n"/>
      <c r="C1000" s="4" t="n"/>
      <c r="D1000" s="4" t="n"/>
      <c r="E1000" s="4" t="n"/>
      <c r="F1000" s="4" t="n"/>
      <c r="G1000" s="4" t="n"/>
    </row>
  </sheetData>
  <autoFilter ref="$A$4:$G$55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0" customWidth="1" style="40" min="1" max="1"/>
    <col width="30" customWidth="1" style="40" min="2" max="2"/>
    <col width="48" customWidth="1" style="40" min="3" max="3"/>
    <col width="7" customWidth="1" style="40" min="4" max="4"/>
    <col width="22" customWidth="1" style="40" min="5" max="5"/>
    <col width="72" customWidth="1" style="40" min="6" max="6"/>
    <col width="10" customWidth="1" style="40" min="7" max="8"/>
    <col width="16" customWidth="1" style="40" min="9" max="9"/>
    <col width="8.710000000000001" customWidth="1" style="40" min="10" max="26"/>
  </cols>
  <sheetData>
    <row r="1" ht="17.25" customHeight="1" s="40">
      <c r="A1" s="1" t="inlineStr">
        <is>
          <t>Layer 1 —— 业务事件目录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 ht="15" customHeight="1" s="40">
      <c r="A2" s="5" t="inlineStr">
        <is>
          <t>Src：O = 操作员，M = 入报文，S = 系统自动生成（无人值守触发），B = 批量。每个事件只有一个 movement_type，并至少解析到一行 L2 —— 不变量 I17，由 I 列校验。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 ht="30" customHeight="1" s="40">
      <c r="A4" s="10" t="inlineStr">
        <is>
          <t>方向</t>
        </is>
      </c>
      <c r="B4" s="12" t="inlineStr">
        <is>
          <t>event_code（事件代码）</t>
        </is>
      </c>
      <c r="C4" s="10" t="inlineStr">
        <is>
          <t>触发条件</t>
        </is>
      </c>
      <c r="D4" s="10" t="inlineStr">
        <is>
          <t>来源</t>
        </is>
      </c>
      <c r="E4" s="12" t="inlineStr">
        <is>
          <t>movement_type（变动类型）</t>
        </is>
      </c>
      <c r="F4" s="10" t="inlineStr">
        <is>
          <t>前置条件 / 控制点</t>
        </is>
      </c>
      <c r="G4" s="12" t="inlineStr">
        <is>
          <t>v2 出处</t>
        </is>
      </c>
      <c r="H4" s="12" t="inlineStr">
        <is>
          <t>L2 行数</t>
        </is>
      </c>
      <c r="I4" s="12" t="inlineStr">
        <is>
          <t>I17 校验</t>
        </is>
      </c>
    </row>
    <row r="5" ht="23.25" customHeight="1" s="40">
      <c r="A5" s="14" t="inlineStr">
        <is>
          <t>Import</t>
        </is>
      </c>
      <c r="B5" s="14" t="inlineStr">
        <is>
          <t>LC_ISSUE</t>
        </is>
      </c>
      <c r="C5" s="15" t="inlineStr">
        <is>
          <t>MT700 released</t>
        </is>
      </c>
      <c r="D5" s="14" t="inlineStr">
        <is>
          <t>O</t>
        </is>
      </c>
      <c r="E5" s="14" t="inlineStr">
        <is>
          <t>POST</t>
        </is>
      </c>
      <c r="F5" s="15" t="inlineStr">
        <is>
          <t>Limit approved. max_liability from Art. 30(a) amount tolerance ONLY, never 30(b) quantity.</t>
        </is>
      </c>
      <c r="G5" s="14" t="inlineStr">
        <is>
          <t>§3.1</t>
        </is>
      </c>
      <c r="H5" s="25">
        <f>COUNTIF(L2_Balance_Movement!$B$5:$B$600,$B5)</f>
        <v/>
      </c>
      <c r="I5" s="25">
        <f>IF($H5&gt;0,"OK","MISSING L2")</f>
        <v/>
      </c>
    </row>
    <row r="6" ht="15" customHeight="1" s="40">
      <c r="A6" s="14" t="inlineStr">
        <is>
          <t>Import</t>
        </is>
      </c>
      <c r="B6" s="14" t="inlineStr">
        <is>
          <t>LC_AMD_INC</t>
        </is>
      </c>
      <c r="C6" s="15" t="inlineStr">
        <is>
          <t>MT707 increase</t>
        </is>
      </c>
      <c r="D6" s="14" t="inlineStr">
        <is>
          <t>O</t>
        </is>
      </c>
      <c r="E6" s="14" t="inlineStr">
        <is>
          <t>POST</t>
        </is>
      </c>
      <c r="F6" s="15" t="inlineStr">
        <is>
          <t>Incremental commission deferred over REMAINING tenor.</t>
        </is>
      </c>
      <c r="G6" s="14" t="inlineStr">
        <is>
          <t>§3.2</t>
        </is>
      </c>
      <c r="H6" s="25">
        <f>COUNTIF(L2_Balance_Movement!$B$5:$B$600,$B6)</f>
        <v/>
      </c>
      <c r="I6" s="25">
        <f>IF($H6&gt;0,"OK","MISSING L2")</f>
        <v/>
      </c>
    </row>
    <row r="7" ht="15" customHeight="1" s="40">
      <c r="A7" s="14" t="inlineStr">
        <is>
          <t>Import</t>
        </is>
      </c>
      <c r="B7" s="14" t="inlineStr">
        <is>
          <t>LC_AMD_DEC</t>
        </is>
      </c>
      <c r="C7" s="15" t="inlineStr">
        <is>
          <t>MT707 decrease</t>
        </is>
      </c>
      <c r="D7" s="14" t="inlineStr">
        <is>
          <t>O</t>
        </is>
      </c>
      <c r="E7" s="14" t="inlineStr">
        <is>
          <t>POST</t>
        </is>
      </c>
      <c r="F7" s="15" t="inlineStr">
        <is>
          <t>BLOCKED until beneficiary consent recorded. Art. 10(a)/(c): silence is not acceptance.</t>
        </is>
      </c>
      <c r="G7" s="14" t="inlineStr">
        <is>
          <t>§3.2</t>
        </is>
      </c>
      <c r="H7" s="25">
        <f>COUNTIF(L2_Balance_Movement!$B$5:$B$600,$B7)</f>
        <v/>
      </c>
      <c r="I7" s="25">
        <f>IF($H7&gt;0,"OK","MISSING L2")</f>
        <v/>
      </c>
    </row>
    <row r="8" ht="15" customHeight="1" s="40">
      <c r="A8" s="14" t="inlineStr">
        <is>
          <t>Import</t>
        </is>
      </c>
      <c r="B8" s="14" t="inlineStr">
        <is>
          <t>LC_AMD_TENOR</t>
        </is>
      </c>
      <c r="C8" s="15" t="inlineStr">
        <is>
          <t>Expiry / tenor change</t>
        </is>
      </c>
      <c r="D8" s="14" t="inlineStr">
        <is>
          <t>O</t>
        </is>
      </c>
      <c r="E8" s="14" t="inlineStr">
        <is>
          <t>BATCH_RECALC</t>
        </is>
      </c>
      <c r="F8" s="15" t="inlineStr">
        <is>
          <t>Moves no amount but MUST re-run ECL, CCF bucket and limit expiry. Test T19.</t>
        </is>
      </c>
      <c r="G8" s="14" t="inlineStr">
        <is>
          <t>§3.2</t>
        </is>
      </c>
      <c r="H8" s="25">
        <f>COUNTIF(L2_Balance_Movement!$B$5:$B$600,$B8)</f>
        <v/>
      </c>
      <c r="I8" s="25">
        <f>IF($H8&gt;0,"OK","MISSING L2")</f>
        <v/>
      </c>
    </row>
    <row r="9" ht="15" customHeight="1" s="40">
      <c r="A9" s="14" t="inlineStr">
        <is>
          <t>Import</t>
        </is>
      </c>
      <c r="B9" s="14" t="inlineStr">
        <is>
          <t>LC_DOC_RCV</t>
        </is>
      </c>
      <c r="C9" s="15" t="inlineStr">
        <is>
          <t>Documents received</t>
        </is>
      </c>
      <c r="D9" s="14" t="inlineStr">
        <is>
          <t>O/M</t>
        </is>
      </c>
      <c r="E9" s="14" t="inlineStr">
        <is>
          <t>MEMO_ONLY</t>
        </is>
      </c>
      <c r="F9" s="15" t="inlineStr">
        <is>
          <t>Starts the Art. 16(d) five-banking-day clock.</t>
        </is>
      </c>
      <c r="G9" s="14" t="inlineStr">
        <is>
          <t>§3.4</t>
        </is>
      </c>
      <c r="H9" s="25">
        <f>COUNTIF(L2_Balance_Movement!$B$5:$B$600,$B9)</f>
        <v/>
      </c>
      <c r="I9" s="25">
        <f>IF($H9&gt;0,"OK","MISSING L2")</f>
        <v/>
      </c>
    </row>
    <row r="10" ht="23.25" customHeight="1" s="40">
      <c r="A10" s="14" t="inlineStr">
        <is>
          <t>Import</t>
        </is>
      </c>
      <c r="B10" s="14" t="inlineStr">
        <is>
          <t>LC_DOC_REFUSE</t>
        </is>
      </c>
      <c r="C10" s="15" t="inlineStr">
        <is>
          <t>Refusal notice sent</t>
        </is>
      </c>
      <c r="D10" s="14" t="inlineStr">
        <is>
          <t>O</t>
        </is>
      </c>
      <c r="E10" s="14" t="inlineStr">
        <is>
          <t>MEMO_ONLY</t>
        </is>
      </c>
      <c r="F10" s="15" t="inlineStr">
        <is>
          <t>Conforming notice within 5 banking days. Rejected if LC_DOC_PRECLUDED already fired.</t>
        </is>
      </c>
      <c r="G10" s="14" t="inlineStr">
        <is>
          <t>§3.4</t>
        </is>
      </c>
      <c r="H10" s="25">
        <f>COUNTIF(L2_Balance_Movement!$B$5:$B$600,$B10)</f>
        <v/>
      </c>
      <c r="I10" s="25">
        <f>IF($H10&gt;0,"OK","MISSING L2")</f>
        <v/>
      </c>
    </row>
    <row r="11" ht="15" customHeight="1" s="40">
      <c r="A11" s="14" t="inlineStr">
        <is>
          <t>Import</t>
        </is>
      </c>
      <c r="B11" s="14" t="inlineStr">
        <is>
          <t>LC_DOC_WAIVER</t>
        </is>
      </c>
      <c r="C11" s="15" t="inlineStr">
        <is>
          <t>Applicant waives discrepancies</t>
        </is>
      </c>
      <c r="D11" s="14" t="inlineStr">
        <is>
          <t>O</t>
        </is>
      </c>
      <c r="E11" s="14" t="inlineStr">
        <is>
          <t>NO_BALANCE_EFFECT</t>
        </is>
      </c>
      <c r="F11" s="15" t="inlineStr">
        <is>
          <t>Enables honour. Moves nothing itself.</t>
        </is>
      </c>
      <c r="G11" s="14" t="inlineStr">
        <is>
          <t>§3.4</t>
        </is>
      </c>
      <c r="H11" s="25">
        <f>COUNTIF(L2_Balance_Movement!$B$5:$B$600,$B11)</f>
        <v/>
      </c>
      <c r="I11" s="25">
        <f>IF($H11&gt;0,"OK","MISSING L2")</f>
        <v/>
      </c>
    </row>
    <row r="12" ht="15" customHeight="1" s="40">
      <c r="A12" s="14" t="inlineStr">
        <is>
          <t>Import</t>
        </is>
      </c>
      <c r="B12" s="14" t="inlineStr">
        <is>
          <t>LC_DOC_PRECLUDED</t>
        </is>
      </c>
      <c r="C12" s="15" t="inlineStr">
        <is>
          <t>5 banking days lapse, no conforming refusal</t>
        </is>
      </c>
      <c r="D12" s="26" t="inlineStr">
        <is>
          <t>S</t>
        </is>
      </c>
      <c r="E12" s="14" t="inlineStr">
        <is>
          <t>BATCH_RECALC</t>
        </is>
      </c>
      <c r="F12" s="15" t="inlineStr">
        <is>
          <t>Art. 16(f). SYSTEM-GENERATED, fires unattended. Re-weights to 100%.</t>
        </is>
      </c>
      <c r="G12" s="14" t="inlineStr">
        <is>
          <t>§3.4</t>
        </is>
      </c>
      <c r="H12" s="25">
        <f>COUNTIF(L2_Balance_Movement!$B$5:$B$600,$B12)</f>
        <v/>
      </c>
      <c r="I12" s="25">
        <f>IF($H12&gt;0,"OK","MISSING L2")</f>
        <v/>
      </c>
    </row>
    <row r="13" ht="15" customHeight="1" s="40">
      <c r="A13" s="14" t="inlineStr">
        <is>
          <t>Import</t>
        </is>
      </c>
      <c r="B13" s="14" t="inlineStr">
        <is>
          <t>LC_PAY_RESERVE</t>
        </is>
      </c>
      <c r="C13" s="15" t="inlineStr">
        <is>
          <t>Paid under reserve / against indemnity</t>
        </is>
      </c>
      <c r="D13" s="14" t="inlineStr">
        <is>
          <t>O</t>
        </is>
      </c>
      <c r="E13" s="14" t="inlineStr">
        <is>
          <t>POST</t>
        </is>
      </c>
      <c r="F13" s="15" t="inlineStr">
        <is>
          <t>NOT an honour. Creates a recourse asset on the presenter.</t>
        </is>
      </c>
      <c r="G13" s="14" t="inlineStr">
        <is>
          <t>§3.4</t>
        </is>
      </c>
      <c r="H13" s="25">
        <f>COUNTIF(L2_Balance_Movement!$B$5:$B$600,$B13)</f>
        <v/>
      </c>
      <c r="I13" s="25">
        <f>IF($H13&gt;0,"OK","MISSING L2")</f>
        <v/>
      </c>
    </row>
    <row r="14" ht="15" customHeight="1" s="40">
      <c r="A14" s="14" t="inlineStr">
        <is>
          <t>Import</t>
        </is>
      </c>
      <c r="B14" s="14" t="inlineStr">
        <is>
          <t>LC_RESERVE_CALLED</t>
        </is>
      </c>
      <c r="C14" s="15" t="inlineStr">
        <is>
          <t>Reserve called, presenter refunds</t>
        </is>
      </c>
      <c r="D14" s="14" t="inlineStr">
        <is>
          <t>O</t>
        </is>
      </c>
      <c r="E14" s="14" t="inlineStr">
        <is>
          <t>POST</t>
        </is>
      </c>
      <c r="F14" s="15" t="inlineStr">
        <is>
          <t>Reinstates the contingent if still within validity.</t>
        </is>
      </c>
      <c r="G14" s="14" t="inlineStr">
        <is>
          <t>§3.4</t>
        </is>
      </c>
      <c r="H14" s="25">
        <f>COUNTIF(L2_Balance_Movement!$B$5:$B$600,$B14)</f>
        <v/>
      </c>
      <c r="I14" s="25">
        <f>IF($H14&gt;0,"OK","MISSING L2")</f>
        <v/>
      </c>
    </row>
    <row r="15" ht="15" customHeight="1" s="40">
      <c r="A15" s="14" t="inlineStr">
        <is>
          <t>Import</t>
        </is>
      </c>
      <c r="B15" s="14" t="inlineStr">
        <is>
          <t>LC_HONOUR_SIGHT</t>
        </is>
      </c>
      <c r="C15" s="15" t="inlineStr">
        <is>
          <t>Sight honour</t>
        </is>
      </c>
      <c r="D15" s="14" t="inlineStr">
        <is>
          <t>O</t>
        </is>
      </c>
      <c r="E15" s="14" t="inlineStr">
        <is>
          <t>POST</t>
        </is>
      </c>
      <c r="F15" s="15" t="inlineStr">
        <is>
          <t>Complying, waived, or precluded. Margin applied PRO RATA.</t>
        </is>
      </c>
      <c r="G15" s="14" t="inlineStr">
        <is>
          <t>§3.5</t>
        </is>
      </c>
      <c r="H15" s="25">
        <f>COUNTIF(L2_Balance_Movement!$B$5:$B$600,$B15)</f>
        <v/>
      </c>
      <c r="I15" s="25">
        <f>IF($H15&gt;0,"OK","MISSING L2")</f>
        <v/>
      </c>
    </row>
    <row r="16" ht="15" customHeight="1" s="40">
      <c r="A16" s="14" t="inlineStr">
        <is>
          <t>Import</t>
        </is>
      </c>
      <c r="B16" s="14" t="inlineStr">
        <is>
          <t>LC_HONOUR_BU_A</t>
        </is>
      </c>
      <c r="C16" s="15" t="inlineStr">
        <is>
          <t>BU honour, bank-funded</t>
        </is>
      </c>
      <c r="D16" s="14" t="inlineStr">
        <is>
          <t>O</t>
        </is>
      </c>
      <c r="E16" s="14" t="inlineStr">
        <is>
          <t>POST</t>
        </is>
      </c>
      <c r="F16" s="15" t="inlineStr">
        <is>
          <t>fundingParty = SELF.</t>
        </is>
      </c>
      <c r="G16" s="14" t="inlineStr">
        <is>
          <t>§3.6</t>
        </is>
      </c>
      <c r="H16" s="25">
        <f>COUNTIF(L2_Balance_Movement!$B$5:$B$600,$B16)</f>
        <v/>
      </c>
      <c r="I16" s="25">
        <f>IF($H16&gt;0,"OK","MISSING L2")</f>
        <v/>
      </c>
    </row>
    <row r="17" ht="15" customHeight="1" s="40">
      <c r="A17" s="14" t="inlineStr">
        <is>
          <t>Import</t>
        </is>
      </c>
      <c r="B17" s="14" t="inlineStr">
        <is>
          <t>LC_HONOUR_BU_B</t>
        </is>
      </c>
      <c r="C17" s="15" t="inlineStr">
        <is>
          <t>BU honour, correspondent funds</t>
        </is>
      </c>
      <c r="D17" s="14" t="inlineStr">
        <is>
          <t>O</t>
        </is>
      </c>
      <c r="E17" s="14" t="inlineStr">
        <is>
          <t>POST</t>
        </is>
      </c>
      <c r="F17" s="15" t="inlineStr">
        <is>
          <t>fundingParty = REFINANCING_BANK. Principal only on day 1.</t>
        </is>
      </c>
      <c r="G17" s="14" t="inlineStr">
        <is>
          <t>§3.6</t>
        </is>
      </c>
      <c r="H17" s="25">
        <f>COUNTIF(L2_Balance_Movement!$B$5:$B$600,$B17)</f>
        <v/>
      </c>
      <c r="I17" s="25">
        <f>IF($H17&gt;0,"OK","MISSING L2")</f>
        <v/>
      </c>
    </row>
    <row r="18" ht="15" customHeight="1" s="40">
      <c r="A18" s="14" t="inlineStr">
        <is>
          <t>Import</t>
        </is>
      </c>
      <c r="B18" s="14" t="inlineStr">
        <is>
          <t>LC_ACCEPT</t>
        </is>
      </c>
      <c r="C18" s="15" t="inlineStr">
        <is>
          <t>Draft accepted / DPU incurred</t>
        </is>
      </c>
      <c r="D18" s="14" t="inlineStr">
        <is>
          <t>O</t>
        </is>
      </c>
      <c r="E18" s="14" t="inlineStr">
        <is>
          <t>POST</t>
        </is>
      </c>
      <c r="F18" s="15" t="inlineStr">
        <is>
          <t>NOT on document arrival. Raises on-BS liability AND receivable.</t>
        </is>
      </c>
      <c r="G18" s="14" t="inlineStr">
        <is>
          <t>§3.7</t>
        </is>
      </c>
      <c r="H18" s="25">
        <f>COUNTIF(L2_Balance_Movement!$B$5:$B$600,$B18)</f>
        <v/>
      </c>
      <c r="I18" s="25">
        <f>IF($H18&gt;0,"OK","MISSING L2")</f>
        <v/>
      </c>
    </row>
    <row r="19" ht="15" customHeight="1" s="40">
      <c r="A19" s="14" t="inlineStr">
        <is>
          <t>Import</t>
        </is>
      </c>
      <c r="B19" s="14" t="inlineStr">
        <is>
          <t>ACC_MATURE</t>
        </is>
      </c>
      <c r="C19" s="15" t="inlineStr">
        <is>
          <t>Maturity, applicant funds</t>
        </is>
      </c>
      <c r="D19" s="14" t="inlineStr">
        <is>
          <t>O/B</t>
        </is>
      </c>
      <c r="E19" s="14" t="inlineStr">
        <is>
          <t>POST</t>
        </is>
      </c>
      <c r="F19" s="15" t="inlineStr">
        <is>
          <t>Original instrument presented, or payment to last known holder.</t>
        </is>
      </c>
      <c r="G19" s="14" t="inlineStr">
        <is>
          <t>§3.8</t>
        </is>
      </c>
      <c r="H19" s="25">
        <f>COUNTIF(L2_Balance_Movement!$B$5:$B$600,$B19)</f>
        <v/>
      </c>
      <c r="I19" s="25">
        <f>IF($H19&gt;0,"OK","MISSING L2")</f>
        <v/>
      </c>
    </row>
    <row r="20" ht="15" customHeight="1" s="40">
      <c r="A20" s="14" t="inlineStr">
        <is>
          <t>Import</t>
        </is>
      </c>
      <c r="B20" s="14" t="inlineStr">
        <is>
          <t>ACC_FINANCE</t>
        </is>
      </c>
      <c r="C20" s="15" t="inlineStr">
        <is>
          <t>Financed at maturity</t>
        </is>
      </c>
      <c r="D20" s="14" t="inlineStr">
        <is>
          <t>O</t>
        </is>
      </c>
      <c r="E20" s="14" t="inlineStr">
        <is>
          <t>POST</t>
        </is>
      </c>
      <c r="F20" s="15" t="inlineStr">
        <is>
          <t>Trust receipt / import loan.</t>
        </is>
      </c>
      <c r="G20" s="14" t="inlineStr">
        <is>
          <t>§3.8</t>
        </is>
      </c>
      <c r="H20" s="25">
        <f>COUNTIF(L2_Balance_Movement!$B$5:$B$600,$B20)</f>
        <v/>
      </c>
      <c r="I20" s="25">
        <f>IF($H20&gt;0,"OK","MISSING L2")</f>
        <v/>
      </c>
    </row>
    <row r="21" ht="15" customHeight="1" s="40">
      <c r="A21" s="14" t="inlineStr">
        <is>
          <t>Import</t>
        </is>
      </c>
      <c r="B21" s="14" t="inlineStr">
        <is>
          <t>ACC_FORCED</t>
        </is>
      </c>
      <c r="C21" s="15" t="inlineStr">
        <is>
          <t>Applicant fails to fund</t>
        </is>
      </c>
      <c r="D21" s="14" t="inlineStr">
        <is>
          <t>S/O</t>
        </is>
      </c>
      <c r="E21" s="14" t="inlineStr">
        <is>
          <t>POST</t>
        </is>
      </c>
      <c r="F21" s="15" t="inlineStr">
        <is>
          <t>Stage 3 and day-1 NPL on creation.</t>
        </is>
      </c>
      <c r="G21" s="14" t="inlineStr">
        <is>
          <t>§3.8</t>
        </is>
      </c>
      <c r="H21" s="25">
        <f>COUNTIF(L2_Balance_Movement!$B$5:$B$600,$B21)</f>
        <v/>
      </c>
      <c r="I21" s="25">
        <f>IF($H21&gt;0,"OK","MISSING L2")</f>
        <v/>
      </c>
    </row>
    <row r="22" ht="15" customHeight="1" s="40">
      <c r="A22" s="14" t="inlineStr">
        <is>
          <t>Import</t>
        </is>
      </c>
      <c r="B22" s="14" t="inlineStr">
        <is>
          <t>ACC_DISCOUNT</t>
        </is>
      </c>
      <c r="C22" s="15" t="inlineStr">
        <is>
          <t>Bank discounts its own acceptance</t>
        </is>
      </c>
      <c r="D22" s="14" t="inlineStr">
        <is>
          <t>O</t>
        </is>
      </c>
      <c r="E22" s="14" t="inlineStr">
        <is>
          <t>POST</t>
        </is>
      </c>
      <c r="F22" s="15" t="inlineStr">
        <is>
          <t>Extinguished by merger (confusio), not set-off.</t>
        </is>
      </c>
      <c r="G22" s="14" t="inlineStr">
        <is>
          <t>§5.3</t>
        </is>
      </c>
      <c r="H22" s="25">
        <f>COUNTIF(L2_Balance_Movement!$B$5:$B$600,$B22)</f>
        <v/>
      </c>
      <c r="I22" s="25">
        <f>IF($H22&gt;0,"OK","MISSING L2")</f>
        <v/>
      </c>
    </row>
    <row r="23" ht="15" customHeight="1" s="40">
      <c r="A23" s="14" t="inlineStr">
        <is>
          <t>Import</t>
        </is>
      </c>
      <c r="B23" s="14" t="inlineStr">
        <is>
          <t>ACC_CORRECTION</t>
        </is>
      </c>
      <c r="C23" s="15" t="inlineStr">
        <is>
          <t>Booking error</t>
        </is>
      </c>
      <c r="D23" s="14" t="inlineStr">
        <is>
          <t>O</t>
        </is>
      </c>
      <c r="E23" s="14" t="inlineStr">
        <is>
          <t>MIRROR</t>
        </is>
      </c>
      <c r="F23" s="15" t="inlineStr">
        <is>
          <t>Maker != checker, reversal_of, reason code.</t>
        </is>
      </c>
      <c r="G23" s="14" t="inlineStr">
        <is>
          <t>§5.1</t>
        </is>
      </c>
      <c r="H23" s="25">
        <f>COUNTIF(L2_Balance_Movement!$B$5:$B$600,$B23)</f>
        <v/>
      </c>
      <c r="I23" s="25">
        <f>IF($H23&gt;0,"OK","MISSING L2")</f>
        <v/>
      </c>
    </row>
    <row r="24" ht="15" customHeight="1" s="40">
      <c r="A24" s="14" t="inlineStr">
        <is>
          <t>Import</t>
        </is>
      </c>
      <c r="B24" s="14" t="inlineStr">
        <is>
          <t>ACC_REDUCTION_CONSENTED</t>
        </is>
      </c>
      <c r="C24" s="15" t="inlineStr">
        <is>
          <t>Holder-agreed reduction</t>
        </is>
      </c>
      <c r="D24" s="14" t="inlineStr">
        <is>
          <t>O</t>
        </is>
      </c>
      <c r="E24" s="14" t="inlineStr">
        <is>
          <t>POST</t>
        </is>
      </c>
      <c r="F24" s="15" t="inlineStr">
        <is>
          <t>Written consent. Original instrument returned if a negotiable draft.</t>
        </is>
      </c>
      <c r="G24" s="14" t="inlineStr">
        <is>
          <t>§5.1</t>
        </is>
      </c>
      <c r="H24" s="25">
        <f>COUNTIF(L2_Balance_Movement!$B$5:$B$600,$B24)</f>
        <v/>
      </c>
      <c r="I24" s="25">
        <f>IF($H24&gt;0,"OK","MISSING L2")</f>
        <v/>
      </c>
    </row>
    <row r="25" ht="23.25" customHeight="1" s="40">
      <c r="A25" s="14" t="inlineStr">
        <is>
          <t>Import</t>
        </is>
      </c>
      <c r="B25" s="14" t="inlineStr">
        <is>
          <t>LC_EXPIRE</t>
        </is>
      </c>
      <c r="C25" s="15" t="inlineStr">
        <is>
          <t>expiry_date + mail_float_grace (+ Art. 29)</t>
        </is>
      </c>
      <c r="D25" s="14" t="inlineStr">
        <is>
          <t>B</t>
        </is>
      </c>
      <c r="E25" s="14" t="inlineStr">
        <is>
          <t>POST</t>
        </is>
      </c>
      <c r="F25" s="15" t="inlineStr">
        <is>
          <t>NEVER + 21 days. Releases residual contingent, ECL, limit, margin, unearned commission.</t>
        </is>
      </c>
      <c r="G25" s="14" t="inlineStr">
        <is>
          <t>§3.9</t>
        </is>
      </c>
      <c r="H25" s="25">
        <f>COUNTIF(L2_Balance_Movement!$B$5:$B$600,$B25)</f>
        <v/>
      </c>
      <c r="I25" s="25">
        <f>IF($H25&gt;0,"OK","MISSING L2")</f>
        <v/>
      </c>
    </row>
    <row r="26" ht="15" customHeight="1" s="40">
      <c r="A26" s="14" t="inlineStr">
        <is>
          <t>Import</t>
        </is>
      </c>
      <c r="B26" s="14" t="inlineStr">
        <is>
          <t>LC_CANCEL</t>
        </is>
      </c>
      <c r="C26" s="15" t="inlineStr">
        <is>
          <t>Cancelled before expiry</t>
        </is>
      </c>
      <c r="D26" s="14" t="inlineStr">
        <is>
          <t>O</t>
        </is>
      </c>
      <c r="E26" s="14" t="inlineStr">
        <is>
          <t>POST</t>
        </is>
      </c>
      <c r="F26" s="15" t="inlineStr">
        <is>
          <t>Beneficiary and confirming bank consent.</t>
        </is>
      </c>
      <c r="G26" s="14" t="inlineStr">
        <is>
          <t>§3.9</t>
        </is>
      </c>
      <c r="H26" s="25">
        <f>COUNTIF(L2_Balance_Movement!$B$5:$B$600,$B26)</f>
        <v/>
      </c>
      <c r="I26" s="25">
        <f>IF($H26&gt;0,"OK","MISSING L2")</f>
        <v/>
      </c>
    </row>
    <row r="27" ht="15" customHeight="1" s="40">
      <c r="A27" s="14" t="inlineStr">
        <is>
          <t>Import</t>
        </is>
      </c>
      <c r="B27" s="14" t="inlineStr">
        <is>
          <t>SG_ISSUE</t>
        </is>
      </c>
      <c r="C27" s="15" t="inlineStr">
        <is>
          <t>SG issued</t>
        </is>
      </c>
      <c r="D27" s="14" t="inlineStr">
        <is>
          <t>O</t>
        </is>
      </c>
      <c r="E27" s="14" t="inlineStr">
        <is>
          <t>POST</t>
        </is>
      </c>
      <c r="F27" s="15" t="inlineStr">
        <is>
          <t>linked_lc_id MANDATORY (I5). Policy notional where the carrier form is unlimited.</t>
        </is>
      </c>
      <c r="G27" s="14" t="inlineStr">
        <is>
          <t>§4.2</t>
        </is>
      </c>
      <c r="H27" s="25">
        <f>COUNTIF(L2_Balance_Movement!$B$5:$B$600,$B27)</f>
        <v/>
      </c>
      <c r="I27" s="25">
        <f>IF($H27&gt;0,"OK","MISSING L2")</f>
        <v/>
      </c>
    </row>
    <row r="28" ht="15" customHeight="1" s="40">
      <c r="A28" s="14" t="inlineStr">
        <is>
          <t>Import</t>
        </is>
      </c>
      <c r="B28" s="14" t="inlineStr">
        <is>
          <t>SG_AMD_INC</t>
        </is>
      </c>
      <c r="C28" s="15" t="inlineStr">
        <is>
          <t>SG increase</t>
        </is>
      </c>
      <c r="D28" s="14" t="inlineStr">
        <is>
          <t>O</t>
        </is>
      </c>
      <c r="E28" s="14" t="inlineStr">
        <is>
          <t>POST</t>
        </is>
      </c>
      <c r="F28" s="20" t="n"/>
      <c r="G28" s="14" t="inlineStr">
        <is>
          <t>§4.3</t>
        </is>
      </c>
      <c r="H28" s="25">
        <f>COUNTIF(L2_Balance_Movement!$B$5:$B$600,$B28)</f>
        <v/>
      </c>
      <c r="I28" s="25">
        <f>IF($H28&gt;0,"OK","MISSING L2")</f>
        <v/>
      </c>
    </row>
    <row r="29" ht="15" customHeight="1" s="40">
      <c r="A29" s="14" t="inlineStr">
        <is>
          <t>Import</t>
        </is>
      </c>
      <c r="B29" s="14" t="inlineStr">
        <is>
          <t>SG_AMD_DEC</t>
        </is>
      </c>
      <c r="C29" s="15" t="inlineStr">
        <is>
          <t>SG decrease</t>
        </is>
      </c>
      <c r="D29" s="14" t="inlineStr">
        <is>
          <t>O</t>
        </is>
      </c>
      <c r="E29" s="14" t="inlineStr">
        <is>
          <t>POST</t>
        </is>
      </c>
      <c r="F29" s="15" t="inlineStr">
        <is>
          <t>Requires CARRIER consent, not the applicant's.</t>
        </is>
      </c>
      <c r="G29" s="14" t="inlineStr">
        <is>
          <t>§4.3</t>
        </is>
      </c>
      <c r="H29" s="25">
        <f>COUNTIF(L2_Balance_Movement!$B$5:$B$600,$B29)</f>
        <v/>
      </c>
      <c r="I29" s="25">
        <f>IF($H29&gt;0,"OK","MISSING L2")</f>
        <v/>
      </c>
    </row>
    <row r="30" ht="15" customHeight="1" s="40">
      <c r="A30" s="14" t="inlineStr">
        <is>
          <t>Import</t>
        </is>
      </c>
      <c r="B30" s="14" t="inlineStr">
        <is>
          <t>SG_REDEEMABLE</t>
        </is>
      </c>
      <c r="C30" s="15" t="inlineStr">
        <is>
          <t>Original B/L received</t>
        </is>
      </c>
      <c r="D30" s="14" t="inlineStr">
        <is>
          <t>O</t>
        </is>
      </c>
      <c r="E30" s="14" t="inlineStr">
        <is>
          <t>STATUS_ONLY</t>
        </is>
      </c>
      <c r="F30" s="15" t="inlineStr">
        <is>
          <t>STATUS ONLY. NO GL MOVEMENT. Test T3.</t>
        </is>
      </c>
      <c r="G30" s="14" t="inlineStr">
        <is>
          <t>§4.4</t>
        </is>
      </c>
      <c r="H30" s="25">
        <f>COUNTIF(L2_Balance_Movement!$B$5:$B$600,$B30)</f>
        <v/>
      </c>
      <c r="I30" s="25">
        <f>IF($H30&gt;0,"OK","MISSING L2")</f>
        <v/>
      </c>
    </row>
    <row r="31" ht="15" customHeight="1" s="40">
      <c r="A31" s="14" t="inlineStr">
        <is>
          <t>Import</t>
        </is>
      </c>
      <c r="B31" s="14" t="inlineStr">
        <is>
          <t>SG_RELEASE</t>
        </is>
      </c>
      <c r="C31" s="15" t="inlineStr">
        <is>
          <t>Original SG returned / carrier release / B/L surrendered</t>
        </is>
      </c>
      <c r="D31" s="14" t="inlineStr">
        <is>
          <t>O</t>
        </is>
      </c>
      <c r="E31" s="14" t="inlineStr">
        <is>
          <t>POST</t>
        </is>
      </c>
      <c r="F31" s="15" t="inlineStr">
        <is>
          <t>FULL amount, no residual. Test T4.</t>
        </is>
      </c>
      <c r="G31" s="14" t="inlineStr">
        <is>
          <t>§4.4</t>
        </is>
      </c>
      <c r="H31" s="25">
        <f>COUNTIF(L2_Balance_Movement!$B$5:$B$600,$B31)</f>
        <v/>
      </c>
      <c r="I31" s="25">
        <f>IF($H31&gt;0,"OK","MISSING L2")</f>
        <v/>
      </c>
    </row>
    <row r="32" ht="15" customHeight="1" s="40">
      <c r="A32" s="14" t="inlineStr">
        <is>
          <t>Import</t>
        </is>
      </c>
      <c r="B32" s="14" t="inlineStr">
        <is>
          <t>SG_CLAIM</t>
        </is>
      </c>
      <c r="C32" s="15" t="inlineStr">
        <is>
          <t>Carrier claims under the SG</t>
        </is>
      </c>
      <c r="D32" s="14" t="inlineStr">
        <is>
          <t>O</t>
        </is>
      </c>
      <c r="E32" s="14" t="inlineStr">
        <is>
          <t>POST</t>
        </is>
      </c>
      <c r="F32" s="15" t="inlineStr">
        <is>
          <t>Stage 3. May exceed booked notional if unlimited.</t>
        </is>
      </c>
      <c r="G32" s="14" t="inlineStr">
        <is>
          <t>§4.4</t>
        </is>
      </c>
      <c r="H32" s="25">
        <f>COUNTIF(L2_Balance_Movement!$B$5:$B$600,$B32)</f>
        <v/>
      </c>
      <c r="I32" s="25">
        <f>IF($H32&gt;0,"OK","MISSING L2")</f>
        <v/>
      </c>
    </row>
    <row r="33" ht="15" customHeight="1" s="40">
      <c r="A33" s="14" t="inlineStr">
        <is>
          <t>Import</t>
        </is>
      </c>
      <c r="B33" s="14" t="inlineStr">
        <is>
          <t>AWB_RELEASE</t>
        </is>
      </c>
      <c r="C33" s="15" t="inlineStr">
        <is>
          <t>Air release endorsed</t>
        </is>
      </c>
      <c r="D33" s="14" t="inlineStr">
        <is>
          <t>O</t>
        </is>
      </c>
      <c r="E33" s="14" t="inlineStr">
        <is>
          <t>POST</t>
        </is>
      </c>
      <c r="F33" s="15" t="inlineStr">
        <is>
          <t>Separate product. AWB is not a document of title.</t>
        </is>
      </c>
      <c r="G33" s="14" t="inlineStr">
        <is>
          <t>§11</t>
        </is>
      </c>
      <c r="H33" s="25">
        <f>COUNTIF(L2_Balance_Movement!$B$5:$B$600,$B33)</f>
        <v/>
      </c>
      <c r="I33" s="25">
        <f>IF($H33&gt;0,"OK","MISSING L2")</f>
        <v/>
      </c>
    </row>
    <row r="34" ht="15" customHeight="1" s="40">
      <c r="A34" s="14" t="inlineStr">
        <is>
          <t>Import</t>
        </is>
      </c>
      <c r="B34" s="14" t="inlineStr">
        <is>
          <t>AWB_DISCHARGE</t>
        </is>
      </c>
      <c r="C34" s="15" t="inlineStr">
        <is>
          <t>LC settled + endorsement evidence, or claim period lapsed</t>
        </is>
      </c>
      <c r="D34" s="14" t="inlineStr">
        <is>
          <t>O/B</t>
        </is>
      </c>
      <c r="E34" s="14" t="inlineStr">
        <is>
          <t>POST</t>
        </is>
      </c>
      <c r="F34" s="15" t="inlineStr">
        <is>
          <t>Do NOT reuse SG_RELEASE. Test T22.</t>
        </is>
      </c>
      <c r="G34" s="14" t="inlineStr">
        <is>
          <t>§11</t>
        </is>
      </c>
      <c r="H34" s="25">
        <f>COUNTIF(L2_Balance_Movement!$B$5:$B$600,$B34)</f>
        <v/>
      </c>
      <c r="I34" s="25">
        <f>IF($H34&gt;0,"OK","MISSING L2")</f>
        <v/>
      </c>
    </row>
    <row r="35" ht="15" customHeight="1" s="40">
      <c r="A35" s="19" t="inlineStr">
        <is>
          <t>Export</t>
        </is>
      </c>
      <c r="B35" s="19" t="inlineStr">
        <is>
          <t>EX_ADVISE</t>
        </is>
      </c>
      <c r="C35" s="21" t="inlineStr">
        <is>
          <t>LC advised</t>
        </is>
      </c>
      <c r="D35" s="19" t="inlineStr">
        <is>
          <t>O</t>
        </is>
      </c>
      <c r="E35" s="19" t="inlineStr">
        <is>
          <t>NO_BALANCE_EFFECT</t>
        </is>
      </c>
      <c r="F35" s="21" t="inlineStr">
        <is>
          <t>NO contingent. Art. 9(b) duties are operational. Test T11.</t>
        </is>
      </c>
      <c r="G35" s="19" t="inlineStr">
        <is>
          <t>§6</t>
        </is>
      </c>
      <c r="H35" s="29">
        <f>COUNTIF(L2_Balance_Movement!$B$5:$B$600,$B35)</f>
        <v/>
      </c>
      <c r="I35" s="29">
        <f>IF($H35&gt;0,"OK","MISSING L2")</f>
        <v/>
      </c>
    </row>
    <row r="36" ht="15" customHeight="1" s="40">
      <c r="A36" s="19" t="inlineStr">
        <is>
          <t>Export</t>
        </is>
      </c>
      <c r="B36" s="19" t="inlineStr">
        <is>
          <t>CNF_ADD</t>
        </is>
      </c>
      <c r="C36" s="21" t="inlineStr">
        <is>
          <t>Confirmation actually advised to the beneficiary</t>
        </is>
      </c>
      <c r="D36" s="19" t="inlineStr">
        <is>
          <t>O</t>
        </is>
      </c>
      <c r="E36" s="19" t="inlineStr">
        <is>
          <t>POST</t>
        </is>
      </c>
      <c r="F36" s="21" t="inlineStr">
        <is>
          <t>NEVER triggered by field 49 (I11). Test T10.</t>
        </is>
      </c>
      <c r="G36" s="19" t="inlineStr">
        <is>
          <t>§7.1</t>
        </is>
      </c>
      <c r="H36" s="29">
        <f>COUNTIF(L2_Balance_Movement!$B$5:$B$600,$B36)</f>
        <v/>
      </c>
      <c r="I36" s="29">
        <f>IF($H36&gt;0,"OK","MISSING L2")</f>
        <v/>
      </c>
    </row>
    <row r="37" ht="15" customHeight="1" s="40">
      <c r="A37" s="19" t="inlineStr">
        <is>
          <t>Export</t>
        </is>
      </c>
      <c r="B37" s="19" t="inlineStr">
        <is>
          <t>CNF_ADD_SILENT</t>
        </is>
      </c>
      <c r="C37" s="21" t="inlineStr">
        <is>
          <t>Silent confirmation added</t>
        </is>
      </c>
      <c r="D37" s="19" t="inlineStr">
        <is>
          <t>O</t>
        </is>
      </c>
      <c r="E37" s="19" t="inlineStr">
        <is>
          <t>POST</t>
        </is>
      </c>
      <c r="F37" s="21" t="inlineStr">
        <is>
          <t>confirmation_type = SILENT. LGD uplift keys on is_nominated_bank = FALSE.</t>
        </is>
      </c>
      <c r="G37" s="19" t="inlineStr">
        <is>
          <t>§6</t>
        </is>
      </c>
      <c r="H37" s="29">
        <f>COUNTIF(L2_Balance_Movement!$B$5:$B$600,$B37)</f>
        <v/>
      </c>
      <c r="I37" s="29">
        <f>IF($H37&gt;0,"OK","MISSING L2")</f>
        <v/>
      </c>
    </row>
    <row r="38" ht="15" customHeight="1" s="40">
      <c r="A38" s="19" t="inlineStr">
        <is>
          <t>Export</t>
        </is>
      </c>
      <c r="B38" s="19" t="inlineStr">
        <is>
          <t>CNF_AMD_INC</t>
        </is>
      </c>
      <c r="C38" s="21" t="inlineStr">
        <is>
          <t>Confirmation increase</t>
        </is>
      </c>
      <c r="D38" s="19" t="inlineStr">
        <is>
          <t>O</t>
        </is>
      </c>
      <c r="E38" s="19" t="inlineStr">
        <is>
          <t>POST</t>
        </is>
      </c>
      <c r="F38" s="21" t="inlineStr">
        <is>
          <t>Moves confirmed_amount, which may diverge from lc_amount (Art. 10(b)).</t>
        </is>
      </c>
      <c r="G38" s="19" t="inlineStr">
        <is>
          <t>§7.2</t>
        </is>
      </c>
      <c r="H38" s="29">
        <f>COUNTIF(L2_Balance_Movement!$B$5:$B$600,$B38)</f>
        <v/>
      </c>
      <c r="I38" s="29">
        <f>IF($H38&gt;0,"OK","MISSING L2")</f>
        <v/>
      </c>
    </row>
    <row r="39" ht="15" customHeight="1" s="40">
      <c r="A39" s="19" t="inlineStr">
        <is>
          <t>Export</t>
        </is>
      </c>
      <c r="B39" s="19" t="inlineStr">
        <is>
          <t>CNF_AMD_DEC</t>
        </is>
      </c>
      <c r="C39" s="21" t="inlineStr">
        <is>
          <t>Confirmation decrease</t>
        </is>
      </c>
      <c r="D39" s="19" t="inlineStr">
        <is>
          <t>O</t>
        </is>
      </c>
      <c r="E39" s="19" t="inlineStr">
        <is>
          <t>POST</t>
        </is>
      </c>
      <c r="F39" s="21" t="inlineStr">
        <is>
          <t>As above.</t>
        </is>
      </c>
      <c r="G39" s="19" t="inlineStr">
        <is>
          <t>§7.2</t>
        </is>
      </c>
      <c r="H39" s="29">
        <f>COUNTIF(L2_Balance_Movement!$B$5:$B$600,$B39)</f>
        <v/>
      </c>
      <c r="I39" s="29">
        <f>IF($H39&gt;0,"OK","MISSING L2")</f>
        <v/>
      </c>
    </row>
    <row r="40" ht="15" customHeight="1" s="40">
      <c r="A40" s="19" t="inlineStr">
        <is>
          <t>Export</t>
        </is>
      </c>
      <c r="B40" s="19" t="inlineStr">
        <is>
          <t>EX_DOC_RCV</t>
        </is>
      </c>
      <c r="C40" s="21" t="inlineStr">
        <is>
          <t>Documents presented</t>
        </is>
      </c>
      <c r="D40" s="19" t="inlineStr">
        <is>
          <t>O</t>
        </is>
      </c>
      <c r="E40" s="19" t="inlineStr">
        <is>
          <t>MEMO_ONLY</t>
        </is>
      </c>
      <c r="F40" s="21" t="inlineStr">
        <is>
          <t>Starts the examination clock.</t>
        </is>
      </c>
      <c r="G40" s="19" t="inlineStr">
        <is>
          <t>§7.3</t>
        </is>
      </c>
      <c r="H40" s="29">
        <f>COUNTIF(L2_Balance_Movement!$B$5:$B$600,$B40)</f>
        <v/>
      </c>
      <c r="I40" s="29">
        <f>IF($H40&gt;0,"OK","MISSING L2")</f>
        <v/>
      </c>
    </row>
    <row r="41" ht="15" customHeight="1" s="40">
      <c r="A41" s="19" t="inlineStr">
        <is>
          <t>Export</t>
        </is>
      </c>
      <c r="B41" s="19" t="inlineStr">
        <is>
          <t>EX_DOC_REFUSE</t>
        </is>
      </c>
      <c r="C41" s="21" t="inlineStr">
        <is>
          <t>Refusal notice sent</t>
        </is>
      </c>
      <c r="D41" s="19" t="inlineStr">
        <is>
          <t>O</t>
        </is>
      </c>
      <c r="E41" s="19" t="inlineStr">
        <is>
          <t>MEMO_ONLY</t>
        </is>
      </c>
      <c r="F41" s="21" t="inlineStr">
        <is>
          <t>Conforming, within 5 banking days.</t>
        </is>
      </c>
      <c r="G41" s="19" t="inlineStr">
        <is>
          <t>§7.3</t>
        </is>
      </c>
      <c r="H41" s="29">
        <f>COUNTIF(L2_Balance_Movement!$B$5:$B$600,$B41)</f>
        <v/>
      </c>
      <c r="I41" s="29">
        <f>IF($H41&gt;0,"OK","MISSING L2")</f>
        <v/>
      </c>
    </row>
    <row r="42" ht="15" customHeight="1" s="40">
      <c r="A42" s="19" t="inlineStr">
        <is>
          <t>Export</t>
        </is>
      </c>
      <c r="B42" s="19" t="inlineStr">
        <is>
          <t>EX_DOC_APPROVAL</t>
        </is>
      </c>
      <c r="C42" s="21" t="inlineStr">
        <is>
          <t>Sent on approval basis</t>
        </is>
      </c>
      <c r="D42" s="19" t="inlineStr">
        <is>
          <t>O</t>
        </is>
      </c>
      <c r="E42" s="19" t="inlineStr">
        <is>
          <t>NO_BALANCE_EFFECT</t>
        </is>
      </c>
      <c r="F42" s="21" t="inlineStr">
        <is>
          <t>ONLY valid after a conforming refusal notice. Otherwise EX_DOC_PRECLUDED.</t>
        </is>
      </c>
      <c r="G42" s="19" t="inlineStr">
        <is>
          <t>§7.3</t>
        </is>
      </c>
      <c r="H42" s="29">
        <f>COUNTIF(L2_Balance_Movement!$B$5:$B$600,$B42)</f>
        <v/>
      </c>
      <c r="I42" s="29">
        <f>IF($H42&gt;0,"OK","MISSING L2")</f>
        <v/>
      </c>
    </row>
    <row r="43" ht="15" customHeight="1" s="40">
      <c r="A43" s="19" t="inlineStr">
        <is>
          <t>Export</t>
        </is>
      </c>
      <c r="B43" s="19" t="inlineStr">
        <is>
          <t>EX_DOC_PRECLUDED</t>
        </is>
      </c>
      <c r="C43" s="21" t="inlineStr">
        <is>
          <t>On approval without refusal, or 5 days lapsed</t>
        </is>
      </c>
      <c r="D43" s="28" t="inlineStr">
        <is>
          <t>S</t>
        </is>
      </c>
      <c r="E43" s="19" t="inlineStr">
        <is>
          <t>BATCH_RECALC</t>
        </is>
      </c>
      <c r="F43" s="21" t="inlineStr">
        <is>
          <t>Art. 16(f). System-generated.</t>
        </is>
      </c>
      <c r="G43" s="19" t="inlineStr">
        <is>
          <t>§7.3</t>
        </is>
      </c>
      <c r="H43" s="29">
        <f>COUNTIF(L2_Balance_Movement!$B$5:$B$600,$B43)</f>
        <v/>
      </c>
      <c r="I43" s="29">
        <f>IF($H43&gt;0,"OK","MISSING L2")</f>
        <v/>
      </c>
    </row>
    <row r="44" ht="15" customHeight="1" s="40">
      <c r="A44" s="19" t="inlineStr">
        <is>
          <t>Export</t>
        </is>
      </c>
      <c r="B44" s="19" t="inlineStr">
        <is>
          <t>EX_PAY_RESERVE</t>
        </is>
      </c>
      <c r="C44" s="21" t="inlineStr">
        <is>
          <t>Paid under reserve to the exporter</t>
        </is>
      </c>
      <c r="D44" s="19" t="inlineStr">
        <is>
          <t>O</t>
        </is>
      </c>
      <c r="E44" s="19" t="inlineStr">
        <is>
          <t>POST</t>
        </is>
      </c>
      <c r="F44" s="21" t="inlineStr">
        <is>
          <t>Recourse asset on the EXPORTER.</t>
        </is>
      </c>
      <c r="G44" s="19" t="inlineStr">
        <is>
          <t>§7.3</t>
        </is>
      </c>
      <c r="H44" s="29">
        <f>COUNTIF(L2_Balance_Movement!$B$5:$B$600,$B44)</f>
        <v/>
      </c>
      <c r="I44" s="29">
        <f>IF($H44&gt;0,"OK","MISSING L2")</f>
        <v/>
      </c>
    </row>
    <row r="45" ht="15" customHeight="1" s="40">
      <c r="A45" s="19" t="inlineStr">
        <is>
          <t>Export</t>
        </is>
      </c>
      <c r="B45" s="19" t="inlineStr">
        <is>
          <t>CNF_HONOUR_SIGHT</t>
        </is>
      </c>
      <c r="C45" s="21" t="inlineStr">
        <is>
          <t>Confirmed sight honour</t>
        </is>
      </c>
      <c r="D45" s="19" t="inlineStr">
        <is>
          <t>O</t>
        </is>
      </c>
      <c r="E45" s="19" t="inlineStr">
        <is>
          <t>POST</t>
        </is>
      </c>
      <c r="F45" s="21" t="inlineStr">
        <is>
          <t>Without recourse (Art. 8(a)). Asset = claim on the issuing bank.</t>
        </is>
      </c>
      <c r="G45" s="19" t="inlineStr">
        <is>
          <t>§7.4a</t>
        </is>
      </c>
      <c r="H45" s="29">
        <f>COUNTIF(L2_Balance_Movement!$B$5:$B$600,$B45)</f>
        <v/>
      </c>
      <c r="I45" s="29">
        <f>IF($H45&gt;0,"OK","MISSING L2")</f>
        <v/>
      </c>
    </row>
    <row r="46" ht="15" customHeight="1" s="40">
      <c r="A46" s="19" t="inlineStr">
        <is>
          <t>Export</t>
        </is>
      </c>
      <c r="B46" s="19" t="inlineStr">
        <is>
          <t>CNF_HONOUR_BU</t>
        </is>
      </c>
      <c r="C46" s="21" t="inlineStr">
        <is>
          <t>Confirmed BU honour, available by sight/negotiation</t>
        </is>
      </c>
      <c r="D46" s="19" t="inlineStr">
        <is>
          <t>O</t>
        </is>
      </c>
      <c r="E46" s="19" t="inlineStr">
        <is>
          <t>POST</t>
        </is>
      </c>
      <c r="F46" s="21" t="inlineStr">
        <is>
          <t>Claim at SIGHT. No deferred receivable.</t>
        </is>
      </c>
      <c r="G46" s="19" t="inlineStr">
        <is>
          <t>§7.5</t>
        </is>
      </c>
      <c r="H46" s="29">
        <f>COUNTIF(L2_Balance_Movement!$B$5:$B$600,$B46)</f>
        <v/>
      </c>
      <c r="I46" s="29">
        <f>IF($H46&gt;0,"OK","MISSING L2")</f>
        <v/>
      </c>
    </row>
    <row r="47" ht="15" customHeight="1" s="40">
      <c r="A47" s="19" t="inlineStr">
        <is>
          <t>Export</t>
        </is>
      </c>
      <c r="B47" s="19" t="inlineStr">
        <is>
          <t>EX_NEGOTIATE</t>
        </is>
      </c>
      <c r="C47" s="21" t="inlineStr">
        <is>
          <t>Negotiation under an unconfirmed LC</t>
        </is>
      </c>
      <c r="D47" s="19" t="inlineStr">
        <is>
          <t>O</t>
        </is>
      </c>
      <c r="E47" s="19" t="inlineStr">
        <is>
          <t>POST</t>
        </is>
      </c>
      <c r="F47" s="21" t="inlineStr">
        <is>
          <t>NO contingent existed. Obligor = exporter, recourse = TRUE. Test T12.</t>
        </is>
      </c>
      <c r="G47" s="19" t="inlineStr">
        <is>
          <t>§7.4b</t>
        </is>
      </c>
      <c r="H47" s="29">
        <f>COUNTIF(L2_Balance_Movement!$B$5:$B$600,$B47)</f>
        <v/>
      </c>
      <c r="I47" s="29">
        <f>IF($H47&gt;0,"OK","MISSING L2")</f>
        <v/>
      </c>
    </row>
    <row r="48" ht="15" customHeight="1" s="40">
      <c r="A48" s="19" t="inlineStr">
        <is>
          <t>Export</t>
        </is>
      </c>
      <c r="B48" s="19" t="inlineStr">
        <is>
          <t>EX_RECOURSE</t>
        </is>
      </c>
      <c r="C48" s="21" t="inlineStr">
        <is>
          <t>Issuing bank fails to pay</t>
        </is>
      </c>
      <c r="D48" s="19" t="inlineStr">
        <is>
          <t>O</t>
        </is>
      </c>
      <c r="E48" s="19" t="inlineStr">
        <is>
          <t>POST</t>
        </is>
      </c>
      <c r="F48" s="21" t="inlineStr">
        <is>
          <t>Debit the exporter.</t>
        </is>
      </c>
      <c r="G48" s="19" t="inlineStr">
        <is>
          <t>§7.4b</t>
        </is>
      </c>
      <c r="H48" s="29">
        <f>COUNTIF(L2_Balance_Movement!$B$5:$B$600,$B48)</f>
        <v/>
      </c>
      <c r="I48" s="29">
        <f>IF($H48&gt;0,"OK","MISSING L2")</f>
        <v/>
      </c>
    </row>
    <row r="49" ht="15" customHeight="1" s="40">
      <c r="A49" s="19" t="inlineStr">
        <is>
          <t>Export</t>
        </is>
      </c>
      <c r="B49" s="19" t="inlineStr">
        <is>
          <t>CNF_ACCEPT</t>
        </is>
      </c>
      <c r="C49" s="21" t="inlineStr">
        <is>
          <t>THIS bank accepts / incurs the DPU</t>
        </is>
      </c>
      <c r="D49" s="19" t="inlineStr">
        <is>
          <t>O</t>
        </is>
      </c>
      <c r="E49" s="19" t="inlineStr">
        <is>
          <t>POST</t>
        </is>
      </c>
      <c r="F49" s="21" t="inlineStr">
        <is>
          <t>available_with = THIS_BANK ONLY. Tests T14, T15.</t>
        </is>
      </c>
      <c r="G49" s="19" t="inlineStr">
        <is>
          <t>§7.6</t>
        </is>
      </c>
      <c r="H49" s="29">
        <f>COUNTIF(L2_Balance_Movement!$B$5:$B$600,$B49)</f>
        <v/>
      </c>
      <c r="I49" s="29">
        <f>IF($H49&gt;0,"OK","MISSING L2")</f>
        <v/>
      </c>
    </row>
    <row r="50" ht="15" customHeight="1" s="40">
      <c r="A50" s="19" t="inlineStr">
        <is>
          <t>Export</t>
        </is>
      </c>
      <c r="B50" s="19" t="inlineStr">
        <is>
          <t>CNF_DISCOUNT</t>
        </is>
      </c>
      <c r="C50" s="21" t="inlineStr">
        <is>
          <t>Settles its own liability early</t>
        </is>
      </c>
      <c r="D50" s="19" t="inlineStr">
        <is>
          <t>O</t>
        </is>
      </c>
      <c r="E50" s="19" t="inlineStr">
        <is>
          <t>POST</t>
        </is>
      </c>
      <c r="F50" s="21" t="inlineStr">
        <is>
          <t>Without recourse. Obligor stays the issuing bank.</t>
        </is>
      </c>
      <c r="G50" s="19" t="inlineStr">
        <is>
          <t>§7.6</t>
        </is>
      </c>
      <c r="H50" s="29">
        <f>COUNTIF(L2_Balance_Movement!$B$5:$B$600,$B50)</f>
        <v/>
      </c>
      <c r="I50" s="29">
        <f>IF($H50&gt;0,"OK","MISSING L2")</f>
        <v/>
      </c>
    </row>
    <row r="51" ht="15" customHeight="1" s="40">
      <c r="A51" s="19" t="inlineStr">
        <is>
          <t>Export</t>
        </is>
      </c>
      <c r="B51" s="19" t="inlineStr">
        <is>
          <t>CNF_MATURE</t>
        </is>
      </c>
      <c r="C51" s="21" t="inlineStr">
        <is>
          <t>Confirmed acceptance matures</t>
        </is>
      </c>
      <c r="D51" s="19" t="inlineStr">
        <is>
          <t>O/B</t>
        </is>
      </c>
      <c r="E51" s="19" t="inlineStr">
        <is>
          <t>POST</t>
        </is>
      </c>
      <c r="F51" s="23" t="n"/>
      <c r="G51" s="19" t="inlineStr">
        <is>
          <t>§7.6</t>
        </is>
      </c>
      <c r="H51" s="29">
        <f>COUNTIF(L2_Balance_Movement!$B$5:$B$600,$B51)</f>
        <v/>
      </c>
      <c r="I51" s="29">
        <f>IF($H51&gt;0,"OK","MISSING L2")</f>
        <v/>
      </c>
    </row>
    <row r="52" ht="15" customHeight="1" s="40">
      <c r="A52" s="19" t="inlineStr">
        <is>
          <t>Export</t>
        </is>
      </c>
      <c r="B52" s="19" t="inlineStr">
        <is>
          <t>CNF_REIMB</t>
        </is>
      </c>
      <c r="C52" s="21" t="inlineStr">
        <is>
          <t>Reimbursement received</t>
        </is>
      </c>
      <c r="D52" s="19" t="inlineStr">
        <is>
          <t>M</t>
        </is>
      </c>
      <c r="E52" s="19" t="inlineStr">
        <is>
          <t>POST</t>
        </is>
      </c>
      <c r="F52" s="21" t="inlineStr">
        <is>
          <t>Clears the issuing-bank claim.</t>
        </is>
      </c>
      <c r="G52" s="19" t="inlineStr">
        <is>
          <t>§7.4a</t>
        </is>
      </c>
      <c r="H52" s="29">
        <f>COUNTIF(L2_Balance_Movement!$B$5:$B$600,$B52)</f>
        <v/>
      </c>
      <c r="I52" s="29">
        <f>IF($H52&gt;0,"OK","MISSING L2")</f>
        <v/>
      </c>
    </row>
    <row r="53" ht="15" customHeight="1" s="40">
      <c r="A53" s="19" t="inlineStr">
        <is>
          <t>Export</t>
        </is>
      </c>
      <c r="B53" s="19" t="inlineStr">
        <is>
          <t>CNF_EXPIRE</t>
        </is>
      </c>
      <c r="C53" s="21" t="inlineStr">
        <is>
          <t>expiry_date + mail_float_grace at the PLACE OF EXPIRY</t>
        </is>
      </c>
      <c r="D53" s="19" t="inlineStr">
        <is>
          <t>B</t>
        </is>
      </c>
      <c r="E53" s="19" t="inlineStr">
        <is>
          <t>POST</t>
        </is>
      </c>
      <c r="F53" s="21" t="inlineStr">
        <is>
          <t>Never + 21 days.</t>
        </is>
      </c>
      <c r="G53" s="19" t="inlineStr">
        <is>
          <t>§7.7</t>
        </is>
      </c>
      <c r="H53" s="29">
        <f>COUNTIF(L2_Balance_Movement!$B$5:$B$600,$B53)</f>
        <v/>
      </c>
      <c r="I53" s="29">
        <f>IF($H53&gt;0,"OK","MISSING L2")</f>
        <v/>
      </c>
    </row>
    <row r="54" ht="15" customHeight="1" s="40">
      <c r="A54" s="19" t="inlineStr">
        <is>
          <t>Export</t>
        </is>
      </c>
      <c r="B54" s="19" t="inlineStr">
        <is>
          <t>EX_REFIN</t>
        </is>
      </c>
      <c r="C54" s="21" t="inlineStr">
        <is>
          <t>This bank refinances the issuing bank</t>
        </is>
      </c>
      <c r="D54" s="19" t="inlineStr">
        <is>
          <t>O</t>
        </is>
      </c>
      <c r="E54" s="19" t="inlineStr">
        <is>
          <t>POST</t>
        </is>
      </c>
      <c r="F54" s="21" t="inlineStr">
        <is>
          <t>Separate FI lending product with its own credit approval.</t>
        </is>
      </c>
      <c r="G54" s="19" t="inlineStr">
        <is>
          <t>§7.5</t>
        </is>
      </c>
      <c r="H54" s="29">
        <f>COUNTIF(L2_Balance_Movement!$B$5:$B$600,$B54)</f>
        <v/>
      </c>
      <c r="I54" s="29">
        <f>IF($H54&gt;0,"OK","MISSING L2")</f>
        <v/>
      </c>
    </row>
    <row r="55" ht="15" customHeight="1" s="40">
      <c r="A55" s="19" t="inlineStr">
        <is>
          <t>Export</t>
        </is>
      </c>
      <c r="B55" s="19" t="inlineStr">
        <is>
          <t>RMB_UNDERTAKE</t>
        </is>
      </c>
      <c r="C55" s="21" t="inlineStr">
        <is>
          <t>Reimbursement undertaking issued (URR 725)</t>
        </is>
      </c>
      <c r="D55" s="19" t="inlineStr">
        <is>
          <t>O</t>
        </is>
      </c>
      <c r="E55" s="19" t="inlineStr">
        <is>
          <t>POST</t>
        </is>
      </c>
      <c r="F55" s="21" t="inlineStr">
        <is>
          <t>Agency-only reimbursing creates NOTHING.</t>
        </is>
      </c>
      <c r="G55" s="19" t="inlineStr">
        <is>
          <t>§7.7</t>
        </is>
      </c>
      <c r="H55" s="29">
        <f>COUNTIF(L2_Balance_Movement!$B$5:$B$600,$B55)</f>
        <v/>
      </c>
      <c r="I55" s="29">
        <f>IF($H55&gt;0,"OK","MISSING L2")</f>
        <v/>
      </c>
    </row>
    <row r="56" ht="15" customHeight="1" s="40">
      <c r="A56" s="14" t="inlineStr">
        <is>
          <t>Cross</t>
        </is>
      </c>
      <c r="B56" s="14" t="inlineStr">
        <is>
          <t>FEE_ACCRUE</t>
        </is>
      </c>
      <c r="C56" s="15" t="inlineStr">
        <is>
          <t>Period end</t>
        </is>
      </c>
      <c r="D56" s="14" t="inlineStr">
        <is>
          <t>B</t>
        </is>
      </c>
      <c r="E56" s="14" t="inlineStr">
        <is>
          <t>POST</t>
        </is>
      </c>
      <c r="F56" s="20" t="n"/>
      <c r="G56" s="14" t="inlineStr">
        <is>
          <t>§9.2</t>
        </is>
      </c>
      <c r="H56" s="25">
        <f>COUNTIF(L2_Balance_Movement!$B$5:$B$600,$B56)</f>
        <v/>
      </c>
      <c r="I56" s="25">
        <f>IF($H56&gt;0,"OK","MISSING L2")</f>
        <v/>
      </c>
    </row>
    <row r="57" ht="15" customHeight="1" s="40">
      <c r="A57" s="14" t="inlineStr">
        <is>
          <t>Cross</t>
        </is>
      </c>
      <c r="B57" s="14" t="inlineStr">
        <is>
          <t>ECL_ASSESS</t>
        </is>
      </c>
      <c r="C57" s="15" t="inlineStr">
        <is>
          <t>Any balance-moving event, period end, rating change</t>
        </is>
      </c>
      <c r="D57" s="14" t="inlineStr">
        <is>
          <t>S/B</t>
        </is>
      </c>
      <c r="E57" s="14" t="inlineStr">
        <is>
          <t>POST</t>
        </is>
      </c>
      <c r="F57" s="15" t="inlineStr">
        <is>
          <t>MUST fire on LC_AMD_TENOR even though it moves no amount.</t>
        </is>
      </c>
      <c r="G57" s="14" t="inlineStr">
        <is>
          <t>§9.3</t>
        </is>
      </c>
      <c r="H57" s="25">
        <f>COUNTIF(L2_Balance_Movement!$B$5:$B$600,$B57)</f>
        <v/>
      </c>
      <c r="I57" s="25">
        <f>IF($H57&gt;0,"OK","MISSING L2")</f>
        <v/>
      </c>
    </row>
    <row r="58" ht="15" customHeight="1" s="40">
      <c r="A58" s="14" t="inlineStr">
        <is>
          <t>Cross</t>
        </is>
      </c>
      <c r="B58" s="14" t="inlineStr">
        <is>
          <t>INT_ACCRUE</t>
        </is>
      </c>
      <c r="C58" s="15" t="inlineStr">
        <is>
          <t>Period end, effective interest</t>
        </is>
      </c>
      <c r="D58" s="14" t="inlineStr">
        <is>
          <t>B</t>
        </is>
      </c>
      <c r="E58" s="14" t="inlineStr">
        <is>
          <t>POST</t>
        </is>
      </c>
      <c r="F58" s="15" t="inlineStr">
        <is>
          <t>Suspend on Stage 3 / non-accrual.</t>
        </is>
      </c>
      <c r="G58" s="14" t="inlineStr">
        <is>
          <t>§9.4</t>
        </is>
      </c>
      <c r="H58" s="25">
        <f>COUNTIF(L2_Balance_Movement!$B$5:$B$600,$B58)</f>
        <v/>
      </c>
      <c r="I58" s="25">
        <f>IF($H58&gt;0,"OK","MISSING L2")</f>
        <v/>
      </c>
    </row>
    <row r="59" ht="15" customHeight="1" s="40">
      <c r="A59" s="14" t="inlineStr">
        <is>
          <t>Cross</t>
        </is>
      </c>
      <c r="B59" s="14" t="inlineStr">
        <is>
          <t>DISC_ACCRETE</t>
        </is>
      </c>
      <c r="C59" s="15" t="inlineStr">
        <is>
          <t>Period end, unearned discount</t>
        </is>
      </c>
      <c r="D59" s="14" t="inlineStr">
        <is>
          <t>B</t>
        </is>
      </c>
      <c r="E59" s="14" t="inlineStr">
        <is>
          <t>POST</t>
        </is>
      </c>
      <c r="F59" s="20" t="n"/>
      <c r="G59" s="14" t="inlineStr">
        <is>
          <t>§9.4</t>
        </is>
      </c>
      <c r="H59" s="25">
        <f>COUNTIF(L2_Balance_Movement!$B$5:$B$600,$B59)</f>
        <v/>
      </c>
      <c r="I59" s="25">
        <f>IF($H59&gt;0,"OK","MISSING L2")</f>
        <v/>
      </c>
    </row>
    <row r="60" ht="15" customHeight="1" s="40">
      <c r="A60" s="14" t="inlineStr">
        <is>
          <t>Cross</t>
        </is>
      </c>
      <c r="B60" s="14" t="inlineStr">
        <is>
          <t>FX_REVAL</t>
        </is>
      </c>
      <c r="C60" s="15" t="inlineStr">
        <is>
          <t>Period end</t>
        </is>
      </c>
      <c r="D60" s="14" t="inlineStr">
        <is>
          <t>B</t>
        </is>
      </c>
      <c r="E60" s="14" t="inlineStr">
        <is>
          <t>POST</t>
        </is>
      </c>
      <c r="F60" s="15" t="inlineStr">
        <is>
          <t>Contingent pairs revalue in tandem: nil P&amp;L by construction.</t>
        </is>
      </c>
      <c r="G60" s="14" t="inlineStr">
        <is>
          <t>§9.5</t>
        </is>
      </c>
      <c r="H60" s="25">
        <f>COUNTIF(L2_Balance_Movement!$B$5:$B$600,$B60)</f>
        <v/>
      </c>
      <c r="I60" s="25">
        <f>IF($H60&gt;0,"OK","MISSING L2")</f>
        <v/>
      </c>
    </row>
    <row r="61" ht="15" customHeight="1" s="40">
      <c r="A61" s="14" t="inlineStr">
        <is>
          <t>Cross</t>
        </is>
      </c>
      <c r="B61" s="14" t="inlineStr">
        <is>
          <t>EVT_REVERSE</t>
        </is>
      </c>
      <c r="C61" s="15" t="inlineStr">
        <is>
          <t>Correction</t>
        </is>
      </c>
      <c r="D61" s="14" t="inlineStr">
        <is>
          <t>O</t>
        </is>
      </c>
      <c r="E61" s="14" t="inlineStr">
        <is>
          <t>MIRROR</t>
        </is>
      </c>
      <c r="F61" s="15" t="inlineStr">
        <is>
          <t>Signed reversal. Re-runs fee amortisation and ECL from value date.</t>
        </is>
      </c>
      <c r="G61" s="14" t="inlineStr">
        <is>
          <t>§9.6</t>
        </is>
      </c>
      <c r="H61" s="25">
        <f>COUNTIF(L2_Balance_Movement!$B$5:$B$600,$B61)</f>
        <v/>
      </c>
      <c r="I61" s="25">
        <f>IF($H61&gt;0,"OK","MISSING L2")</f>
        <v/>
      </c>
    </row>
    <row r="62" ht="15.75" customHeight="1" s="4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 ht="15.75" customHeight="1" s="4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 ht="15.75" customHeight="1" s="4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 ht="15.75" customHeight="1" s="4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 ht="15.75" customHeight="1" s="4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 ht="15.75" customHeight="1" s="4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 ht="15.75" customHeight="1" s="4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 ht="15.75" customHeight="1" s="4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 ht="15.75" customHeight="1" s="4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 ht="15.75" customHeight="1" s="4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 ht="15.75" customHeight="1" s="4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 ht="15.75" customHeight="1" s="4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 ht="15.75" customHeight="1" s="4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 ht="15.75" customHeight="1" s="4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 ht="15.75" customHeight="1" s="4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 ht="15.75" customHeight="1" s="4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 ht="15.75" customHeight="1" s="4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 ht="15.75" customHeight="1" s="4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 ht="15.75" customHeight="1" s="4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 ht="15.75" customHeight="1" s="4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 ht="15.75" customHeight="1" s="4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 ht="15.75" customHeight="1" s="4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 ht="15.75" customHeight="1" s="4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 ht="15.75" customHeight="1" s="4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 ht="15.75" customHeight="1" s="4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 ht="15.75" customHeight="1" s="4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 ht="15.75" customHeight="1" s="4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 ht="15.75" customHeight="1" s="4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 ht="15.75" customHeight="1" s="4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 ht="15.75" customHeight="1" s="4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 ht="15.75" customHeight="1" s="4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 ht="15.75" customHeight="1" s="4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 ht="15.75" customHeight="1" s="4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 ht="15.75" customHeight="1" s="4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 ht="15.75" customHeight="1" s="4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 ht="15.75" customHeight="1" s="4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 ht="15.75" customHeight="1" s="4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 ht="15.75" customHeight="1" s="4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 ht="15.75" customHeight="1" s="4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 ht="15.75" customHeight="1" s="4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 ht="15.75" customHeight="1" s="4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 ht="15.75" customHeight="1" s="4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 ht="15.75" customHeight="1" s="4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 ht="15.75" customHeight="1" s="4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 ht="15.75" customHeight="1" s="4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 ht="15.75" customHeight="1" s="4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 ht="15.75" customHeight="1" s="4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 ht="15.75" customHeight="1" s="4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 ht="15.75" customHeight="1" s="4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 ht="15.75" customHeight="1" s="4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 ht="15.75" customHeight="1" s="4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 ht="15.75" customHeight="1" s="4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 ht="15.75" customHeight="1" s="4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 ht="15.75" customHeight="1" s="4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 ht="15.75" customHeight="1" s="4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 ht="15.75" customHeight="1" s="4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 ht="15.75" customHeight="1" s="4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 ht="15.75" customHeight="1" s="4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 ht="15.75" customHeight="1" s="4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 ht="15.75" customHeight="1" s="4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 ht="15.75" customHeight="1" s="4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 ht="15.75" customHeight="1" s="4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 ht="15.75" customHeight="1" s="4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 ht="15.75" customHeight="1" s="4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 ht="15.75" customHeight="1" s="4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 ht="15.75" customHeight="1" s="4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 ht="15.75" customHeight="1" s="4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 ht="15.75" customHeight="1" s="4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 ht="15.75" customHeight="1" s="4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 ht="15.75" customHeight="1" s="4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 ht="15.75" customHeight="1" s="4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 ht="15.75" customHeight="1" s="4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 ht="15.75" customHeight="1" s="4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 ht="15.75" customHeight="1" s="4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 ht="15.75" customHeight="1" s="4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 ht="15.75" customHeight="1" s="4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 ht="15.75" customHeight="1" s="4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 ht="15.75" customHeight="1" s="4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 ht="15.75" customHeight="1" s="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 ht="15.75" customHeight="1" s="4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 ht="15.75" customHeight="1" s="4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 ht="15.75" customHeight="1" s="4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 ht="15.75" customHeight="1" s="4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 ht="15.75" customHeight="1" s="4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 ht="15.75" customHeight="1" s="4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 ht="15.75" customHeight="1" s="4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 ht="15.75" customHeight="1" s="4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 ht="15.75" customHeight="1" s="4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 ht="15.75" customHeight="1" s="4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 ht="15.75" customHeight="1" s="4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 ht="15.75" customHeight="1" s="4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 ht="15.75" customHeight="1" s="4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 ht="15.75" customHeight="1" s="4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 ht="15.75" customHeight="1" s="4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 ht="15.75" customHeight="1" s="4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 ht="15.75" customHeight="1" s="4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 ht="15.75" customHeight="1" s="4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 ht="15.75" customHeight="1" s="4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 ht="15.75" customHeight="1" s="4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 ht="15.75" customHeight="1" s="4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 ht="15.75" customHeight="1" s="4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 ht="15.75" customHeight="1" s="4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 ht="15.75" customHeight="1" s="4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 ht="15.75" customHeight="1" s="4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 ht="15.75" customHeight="1" s="4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 ht="15.75" customHeight="1" s="4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 ht="15.75" customHeight="1" s="4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 ht="15.75" customHeight="1" s="4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 ht="15.75" customHeight="1" s="4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 ht="15.75" customHeight="1" s="4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 ht="15.75" customHeight="1" s="4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 ht="15.75" customHeight="1" s="4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 ht="15.75" customHeight="1" s="4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 ht="15.75" customHeight="1" s="4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 ht="15.75" customHeight="1" s="4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 ht="15.75" customHeight="1" s="4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 ht="15.75" customHeight="1" s="4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 ht="15.75" customHeight="1" s="4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 ht="15.75" customHeight="1" s="4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 ht="15.75" customHeight="1" s="4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 ht="15.75" customHeight="1" s="4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 ht="15.75" customHeight="1" s="4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 ht="15.75" customHeight="1" s="4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 ht="15.75" customHeight="1" s="4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 ht="15.75" customHeight="1" s="4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 ht="15.75" customHeight="1" s="4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 ht="15.75" customHeight="1" s="4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 ht="15.75" customHeight="1" s="4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 ht="15.75" customHeight="1" s="4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 ht="15.75" customHeight="1" s="4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 ht="15.75" customHeight="1" s="4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 ht="15.75" customHeight="1" s="4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 ht="15.75" customHeight="1" s="4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 ht="15.75" customHeight="1" s="4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 ht="15.75" customHeight="1" s="4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 ht="15.75" customHeight="1" s="4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 ht="15.75" customHeight="1" s="4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 ht="15.75" customHeight="1" s="4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 ht="15.75" customHeight="1" s="4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 ht="15.75" customHeight="1" s="4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</row>
    <row r="202" ht="15.75" customHeight="1" s="4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</row>
    <row r="203" ht="15.75" customHeight="1" s="4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</row>
    <row r="204" ht="15.75" customHeight="1" s="4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</row>
    <row r="205" ht="15.75" customHeight="1" s="4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</row>
    <row r="206" ht="15.75" customHeight="1" s="4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</row>
    <row r="207" ht="15.75" customHeight="1" s="4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</row>
    <row r="208" ht="15.75" customHeight="1" s="4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</row>
    <row r="209" ht="15.75" customHeight="1" s="4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</row>
    <row r="210" ht="15.75" customHeight="1" s="4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</row>
    <row r="211" ht="15.75" customHeight="1" s="4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</row>
    <row r="212" ht="15.75" customHeight="1" s="4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</row>
    <row r="213" ht="15.75" customHeight="1" s="4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</row>
    <row r="214" ht="15.75" customHeight="1" s="4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</row>
    <row r="215" ht="15.75" customHeight="1" s="4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</row>
    <row r="216" ht="15.75" customHeight="1" s="4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</row>
    <row r="217" ht="15.75" customHeight="1" s="4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</row>
    <row r="218" ht="15.75" customHeight="1" s="4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</row>
    <row r="219" ht="15.75" customHeight="1" s="4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</row>
    <row r="220" ht="15.75" customHeight="1" s="4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</row>
    <row r="221" ht="15.75" customHeight="1" s="4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</row>
    <row r="222" ht="15.75" customHeight="1" s="4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</row>
    <row r="223" ht="15.75" customHeight="1" s="4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</row>
    <row r="224" ht="15.75" customHeight="1" s="4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</row>
    <row r="225" ht="15.75" customHeight="1" s="4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</row>
    <row r="226" ht="15.75" customHeight="1" s="4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</row>
    <row r="227" ht="15.75" customHeight="1" s="4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</row>
    <row r="228" ht="15.75" customHeight="1" s="4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</row>
    <row r="229" ht="15.75" customHeight="1" s="4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</row>
    <row r="230" ht="15.75" customHeight="1" s="4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</row>
    <row r="231" ht="15.75" customHeight="1" s="4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</row>
    <row r="232" ht="15.75" customHeight="1" s="4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</row>
    <row r="233" ht="15.75" customHeight="1" s="40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</row>
    <row r="234" ht="15.75" customHeight="1" s="40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</row>
    <row r="235" ht="15.75" customHeight="1" s="40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</row>
    <row r="236" ht="15.75" customHeight="1" s="40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</row>
    <row r="237" ht="15.75" customHeight="1" s="40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</row>
    <row r="238" ht="15.75" customHeight="1" s="40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</row>
    <row r="239" ht="15.75" customHeight="1" s="40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</row>
    <row r="240" ht="15.75" customHeight="1" s="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</row>
    <row r="241" ht="15.75" customHeight="1" s="40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</row>
    <row r="242" ht="15.75" customHeight="1" s="40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</row>
    <row r="243" ht="15.75" customHeight="1" s="40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</row>
    <row r="244" ht="15.75" customHeight="1" s="40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</row>
    <row r="245" ht="15.75" customHeight="1" s="40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</row>
    <row r="246" ht="15.75" customHeight="1" s="40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</row>
    <row r="247" ht="15.75" customHeight="1" s="40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</row>
    <row r="248" ht="15.75" customHeight="1" s="40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</row>
    <row r="249" ht="15.75" customHeight="1" s="40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</row>
    <row r="250" ht="15.75" customHeight="1" s="4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</row>
    <row r="251" ht="15.75" customHeight="1" s="40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</row>
    <row r="252" ht="15.75" customHeight="1" s="40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</row>
    <row r="253" ht="15.75" customHeight="1" s="40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</row>
    <row r="254" ht="15.75" customHeight="1" s="40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</row>
    <row r="255" ht="15.75" customHeight="1" s="40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</row>
    <row r="256" ht="15.75" customHeight="1" s="40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</row>
    <row r="257" ht="15.75" customHeight="1" s="40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</row>
    <row r="258" ht="15.75" customHeight="1" s="40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</row>
    <row r="259" ht="15.75" customHeight="1" s="40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</row>
    <row r="260" ht="15.75" customHeight="1" s="4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</row>
    <row r="261" ht="15.75" customHeight="1" s="40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</row>
    <row r="262" ht="15.75" customHeight="1" s="40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</row>
    <row r="263" ht="15.75" customHeight="1" s="40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</row>
    <row r="264" ht="15.75" customHeight="1" s="40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</row>
    <row r="265" ht="15.75" customHeight="1" s="40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</row>
    <row r="266" ht="15.75" customHeight="1" s="40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</row>
    <row r="267" ht="15.75" customHeight="1" s="40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</row>
    <row r="268" ht="15.75" customHeight="1" s="40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</row>
    <row r="269" ht="15.75" customHeight="1" s="40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</row>
    <row r="270" ht="15.75" customHeight="1" s="4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</row>
    <row r="271" ht="15.75" customHeight="1" s="40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</row>
    <row r="272" ht="15.75" customHeight="1" s="40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</row>
    <row r="273" ht="15.75" customHeight="1" s="40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</row>
    <row r="274" ht="15.75" customHeight="1" s="40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</row>
    <row r="275" ht="15.75" customHeight="1" s="40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</row>
    <row r="276" ht="15.75" customHeight="1" s="40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</row>
    <row r="277" ht="15.75" customHeight="1" s="40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</row>
    <row r="278" ht="15.75" customHeight="1" s="40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</row>
    <row r="279" ht="15.75" customHeight="1" s="40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</row>
    <row r="280" ht="15.75" customHeight="1" s="4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</row>
    <row r="281" ht="15.75" customHeight="1" s="40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</row>
    <row r="282" ht="15.75" customHeight="1" s="40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</row>
    <row r="283" ht="15.75" customHeight="1" s="40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</row>
    <row r="284" ht="15.75" customHeight="1" s="40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</row>
    <row r="285" ht="15.75" customHeight="1" s="40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</row>
    <row r="286" ht="15.75" customHeight="1" s="40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</row>
    <row r="287" ht="15.75" customHeight="1" s="40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</row>
    <row r="288" ht="15.75" customHeight="1" s="40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</row>
    <row r="289" ht="15.75" customHeight="1" s="40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</row>
    <row r="290" ht="15.75" customHeight="1" s="4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</row>
    <row r="291" ht="15.75" customHeight="1" s="40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</row>
    <row r="292" ht="15.75" customHeight="1" s="40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</row>
    <row r="293" ht="15.75" customHeight="1" s="40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</row>
    <row r="294" ht="15.75" customHeight="1" s="40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</row>
    <row r="295" ht="15.75" customHeight="1" s="40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</row>
    <row r="296" ht="15.75" customHeight="1" s="40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</row>
    <row r="297" ht="15.75" customHeight="1" s="40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</row>
    <row r="298" ht="15.75" customHeight="1" s="40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</row>
    <row r="299" ht="15.75" customHeight="1" s="40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</row>
    <row r="300" ht="15.75" customHeight="1" s="4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</row>
    <row r="301" ht="15.75" customHeight="1" s="40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</row>
    <row r="302" ht="15.75" customHeight="1" s="40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</row>
    <row r="303" ht="15.75" customHeight="1" s="40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</row>
    <row r="304" ht="15.75" customHeight="1" s="40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</row>
    <row r="305" ht="15.75" customHeight="1" s="40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</row>
    <row r="306" ht="15.75" customHeight="1" s="40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</row>
    <row r="307" ht="15.75" customHeight="1" s="40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</row>
    <row r="308" ht="15.75" customHeight="1" s="40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</row>
    <row r="309" ht="15.75" customHeight="1" s="40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</row>
    <row r="310" ht="15.75" customHeight="1" s="4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</row>
    <row r="311" ht="15.75" customHeight="1" s="40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</row>
    <row r="312" ht="15.75" customHeight="1" s="40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</row>
    <row r="313" ht="15.75" customHeight="1" s="40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</row>
    <row r="314" ht="15.75" customHeight="1" s="40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</row>
    <row r="315" ht="15.75" customHeight="1" s="40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</row>
    <row r="316" ht="15.75" customHeight="1" s="40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</row>
    <row r="317" ht="15.75" customHeight="1" s="40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</row>
    <row r="318" ht="15.75" customHeight="1" s="40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</row>
    <row r="319" ht="15.75" customHeight="1" s="40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</row>
    <row r="320" ht="15.75" customHeight="1" s="4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</row>
    <row r="321" ht="15.75" customHeight="1" s="40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</row>
    <row r="322" ht="15.75" customHeight="1" s="40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</row>
    <row r="323" ht="15.75" customHeight="1" s="40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</row>
    <row r="324" ht="15.75" customHeight="1" s="40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</row>
    <row r="325" ht="15.75" customHeight="1" s="40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40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40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40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40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4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40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40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40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40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40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40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40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40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40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40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40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40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40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40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40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40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40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40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4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40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40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40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40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40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40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40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40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40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4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40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40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40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40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40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40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40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40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40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4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40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40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40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40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40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40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40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40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40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4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40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40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40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40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40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40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40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40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40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4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40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40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40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40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40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40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40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40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40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4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40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40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40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40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40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40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40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40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40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4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40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40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40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40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40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40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40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40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40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4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40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40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40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40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40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40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40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40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40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4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40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40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40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40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40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40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40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40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40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40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40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40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40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40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40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40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40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40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4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40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40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40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40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40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40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40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40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40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4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40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40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40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40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40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40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40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40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40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4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40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40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40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40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40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40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40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40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40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4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40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40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40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40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40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40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40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40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40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4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40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40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40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40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40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40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40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40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40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4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40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40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40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40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40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40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40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40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40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4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40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40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40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40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40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40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40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40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40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4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40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40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40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40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40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40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40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40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40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4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40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40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40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40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40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40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40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40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40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40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40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40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40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40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40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40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40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40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4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40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40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40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40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40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40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40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40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40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4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40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40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40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40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40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40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40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40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40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4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40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40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40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40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40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40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40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40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40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4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40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40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40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40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40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40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40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40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40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4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40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40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40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40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40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40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40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40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40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4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40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40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40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40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40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40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40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40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40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4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40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40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40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40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40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40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40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40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40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4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40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40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40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40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40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40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40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40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40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4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40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40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40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40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40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40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40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40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40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40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40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40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40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40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40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40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40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40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4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40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40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40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40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40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40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40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40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40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4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40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40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40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40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40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40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40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40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40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4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40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40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40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40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40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40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40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40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40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4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40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40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40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40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40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40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40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40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40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4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40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40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40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40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40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40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40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40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40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4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40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40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40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40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40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40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40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40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40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4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40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40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40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40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40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40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40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40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40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4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40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40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40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40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40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40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40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40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40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4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40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40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40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40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40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40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40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40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40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40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40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40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40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40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40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40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40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40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4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40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40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40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40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40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40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40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40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40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4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40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40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40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40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40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40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40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40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40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4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40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40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40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40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40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40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40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40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40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4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40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40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40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40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40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40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40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40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40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4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40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40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40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40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40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40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40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40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40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4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40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40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40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40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40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40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40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40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40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4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40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40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40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40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40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40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40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40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40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4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40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40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40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40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40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40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40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40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40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4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40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40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40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40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40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40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40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40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40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40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40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40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40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40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40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40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40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40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4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40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40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40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40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40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40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40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40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40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4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40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40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40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40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40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40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40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40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40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4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40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40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40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40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40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40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40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40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40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4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40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40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40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40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40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40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40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40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40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4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40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40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40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40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40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40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40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40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40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4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40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40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40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40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40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40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40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40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40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4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40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40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40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40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40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40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40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40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40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4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40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40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40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40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40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40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40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40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40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4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40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40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40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40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40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40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40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40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40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40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40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40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40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40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40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40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40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40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4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40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40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40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40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40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40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40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40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40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4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40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40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40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40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40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40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40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40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40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4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40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40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40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40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40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40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40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40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40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4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40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40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40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40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40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40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40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40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40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4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40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40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40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40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40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40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40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40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40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4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autoFilter ref="$A$4:$I$61"/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9" customWidth="1" style="40" min="1" max="1"/>
    <col width="26" customWidth="1" style="40" min="2" max="3"/>
    <col width="9" customWidth="1" style="40" min="4" max="4"/>
    <col width="44" customWidth="1" style="40" min="5" max="5"/>
    <col width="20" customWidth="1" style="40" min="6" max="7"/>
    <col width="30" customWidth="1" style="40" min="8" max="8"/>
    <col width="40" customWidth="1" style="40" min="9" max="9"/>
    <col width="20" customWidth="1" style="40" min="10" max="10"/>
    <col width="18" customWidth="1" style="40" min="11" max="12"/>
    <col width="26" customWidth="1" style="40" min="13" max="13"/>
    <col width="32" customWidth="1" style="40" min="14" max="14"/>
    <col width="9" customWidth="1" style="40" min="15" max="15"/>
    <col width="8.710000000000001" customWidth="1" style="40" min="16" max="26"/>
  </cols>
  <sheetData>
    <row r="1" ht="17.25" customHeight="1" s="40">
      <c r="A1" s="1" t="inlineStr">
        <is>
          <t>Layer 2 —— 余额变动拓扑（可机读长表）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 ht="15" customHeight="1" s="40">
      <c r="A2" s="9" t="inlineStr">
        <is>
          <t>每行对应一个 event_code × posting_step × balance_type。无合并代码，无伪行。posting_side 由 Balance_Taxonomy 的 natural_side 推导（绿色公式），绝不硬编码 —— 因为 memo_pair_direction 是法人机构级可配置项。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 ht="30" customHeight="1" s="40">
      <c r="A4" s="10" t="inlineStr">
        <is>
          <t>方向</t>
        </is>
      </c>
      <c r="B4" s="12" t="inlineStr">
        <is>
          <t>event_code（事件代码）</t>
        </is>
      </c>
      <c r="C4" s="12" t="inlineStr">
        <is>
          <t>posting_step（记账步骤）</t>
        </is>
      </c>
      <c r="D4" s="12" t="inlineStr">
        <is>
          <t>step_seq（步骤序号）</t>
        </is>
      </c>
      <c r="E4" s="12" t="inlineStr">
        <is>
          <t>balance_type（余额类型）</t>
        </is>
      </c>
      <c r="F4" s="12" t="inlineStr">
        <is>
          <t>movement（增减）</t>
        </is>
      </c>
      <c r="G4" s="12" t="inlineStr">
        <is>
          <t>posting_side（推导得出）</t>
        </is>
      </c>
      <c r="H4" s="12" t="inlineStr">
        <is>
          <t>amount_basis_code（金额基准代码）</t>
        </is>
      </c>
      <c r="I4" s="12" t="inlineStr">
        <is>
          <t>amount_basis（中文释义）</t>
        </is>
      </c>
      <c r="J4" s="12" t="inlineStr">
        <is>
          <t>movement_type（变动类型）</t>
        </is>
      </c>
      <c r="K4" s="12" t="inlineStr">
        <is>
          <t>balance_type 是否有效</t>
        </is>
      </c>
      <c r="L4" s="10" t="inlineStr">
        <is>
          <t>基准代码是否有效</t>
        </is>
      </c>
      <c r="M4" s="10" t="inlineStr">
        <is>
          <t>记账方向完整性（G2B）</t>
        </is>
      </c>
      <c r="N4" s="10" t="inlineStr">
        <is>
          <t>金额方向完整性（G13）</t>
        </is>
      </c>
      <c r="O4" s="12" t="inlineStr">
        <is>
          <t>v2 出处</t>
        </is>
      </c>
    </row>
    <row r="5" ht="15" customHeight="1" s="40">
      <c r="A5" s="14" t="inlineStr">
        <is>
          <t>Import</t>
        </is>
      </c>
      <c r="B5" s="14" t="inlineStr">
        <is>
          <t>LC_ISSUE</t>
        </is>
      </c>
      <c r="C5" s="14" t="inlineStr">
        <is>
          <t>RAISE_CONTINGENT</t>
        </is>
      </c>
      <c r="D5" s="14" t="n">
        <v>1</v>
      </c>
      <c r="E5" s="15" t="inlineStr">
        <is>
          <t>LC_CUSTOMER_LIABILITY</t>
        </is>
      </c>
      <c r="F5" s="14" t="inlineStr">
        <is>
          <t>INCREASE</t>
        </is>
      </c>
      <c r="G5" s="25">
        <f t="array" ref="G5">IF(OR($F5="DERIVED_FROM_SIGN",$F5="MIRRORED"),"runtime",IFERROR(IF(INDEX(Balance_Taxonomy!$C$5:$C$400,MATCH($E5,Balance_Taxonomy!$B$5:$B$400,0))="Dr",IF($F5="INCREASE","Dr","Cr"),IF($F5="INCREASE","Cr","Dr")),"n/a"))</f>
        <v/>
      </c>
      <c r="H5" s="14" t="inlineStr">
        <is>
          <t>MAX_LIABILITY</t>
        </is>
      </c>
      <c r="I5" s="15" t="inlineStr">
        <is>
          <t>max_liability</t>
        </is>
      </c>
      <c r="J5" s="14" t="inlineStr">
        <is>
          <t>POST</t>
        </is>
      </c>
      <c r="K5" s="25">
        <f>IF(OR($E5="—",LEFT($E5,1)="("),"n/a",IF(COUNTIF(Balance_Taxonomy!$B$5:$B$400,$E5)&gt;0,"OK","UNKNOWN TYPE"))</f>
        <v/>
      </c>
      <c r="L5" s="25">
        <f>IF(COUNTIF(Amount_Basis!$A$5:$A$100,$H5)&gt;0,"OK","UNKNOWN CODE")</f>
        <v/>
      </c>
      <c r="M5" s="25">
        <f>IF($F5="DERIVED_FROM_SIGN",IF($G5="runtime","OK","INVALID - must be runtime"),IF(OR($J5="POST",$J5="MEMO_ONLY"),IF(OR($G5="Dr",$G5="Cr"),"OK","INVALID - must derive"),IF(OR($G5="n/a",$G5="runtime"),"OK","INVALID - must be n/a")))</f>
        <v/>
      </c>
      <c r="N5" s="25">
        <f t="array" ref="N5">IF($J5="MIRROR",IF($F5="MIRRORED","OK","INVALID - MIRROR needs MIRRORED"),IF(IFERROR(INDEX(Amount_Basis!$D$5:$D$100,MATCH($H5,Amount_Basis!$A$5:$A$100,0)),"")="SIGNED",IF($F5="DERIVED_FROM_SIGN","OK","INVALID - SIGNED basis needs DERIVED_FROM_SIGN"),IF(OR($F5="INCREASE",$F5="DECREASE",$F5="—"),"OK","INVALID - static direction required")))</f>
        <v/>
      </c>
      <c r="O5" s="14" t="inlineStr">
        <is>
          <t>§3.1</t>
        </is>
      </c>
    </row>
    <row r="6" ht="15" customHeight="1" s="40">
      <c r="A6" s="14" t="inlineStr">
        <is>
          <t>Import</t>
        </is>
      </c>
      <c r="B6" s="14" t="inlineStr">
        <is>
          <t>LC_ISSUE</t>
        </is>
      </c>
      <c r="C6" s="14" t="inlineStr">
        <is>
          <t>RAISE_CONTINGENT</t>
        </is>
      </c>
      <c r="D6" s="14" t="n">
        <v>1</v>
      </c>
      <c r="E6" s="15" t="inlineStr">
        <is>
          <t>LC_OUTSTANDING</t>
        </is>
      </c>
      <c r="F6" s="14" t="inlineStr">
        <is>
          <t>INCREASE</t>
        </is>
      </c>
      <c r="G6" s="25">
        <f t="array" ref="G6">IF(OR($F6="DERIVED_FROM_SIGN",$F6="MIRRORED"),"runtime",IFERROR(IF(INDEX(Balance_Taxonomy!$C$5:$C$400,MATCH($E6,Balance_Taxonomy!$B$5:$B$400,0))="Dr",IF($F6="INCREASE","Dr","Cr"),IF($F6="INCREASE","Cr","Dr")),"n/a"))</f>
        <v/>
      </c>
      <c r="H6" s="14" t="inlineStr">
        <is>
          <t>MAX_LIABILITY</t>
        </is>
      </c>
      <c r="I6" s="15" t="inlineStr">
        <is>
          <t>max_liability</t>
        </is>
      </c>
      <c r="J6" s="14" t="inlineStr">
        <is>
          <t>POST</t>
        </is>
      </c>
      <c r="K6" s="25">
        <f>IF(OR($E6="—",LEFT($E6,1)="("),"n/a",IF(COUNTIF(Balance_Taxonomy!$B$5:$B$400,$E6)&gt;0,"OK","UNKNOWN TYPE"))</f>
        <v/>
      </c>
      <c r="L6" s="25">
        <f>IF(COUNTIF(Amount_Basis!$A$5:$A$100,$H6)&gt;0,"OK","UNKNOWN CODE")</f>
        <v/>
      </c>
      <c r="M6" s="25">
        <f>IF($F6="DERIVED_FROM_SIGN",IF($G6="runtime","OK","INVALID - must be runtime"),IF(OR($J6="POST",$J6="MEMO_ONLY"),IF(OR($G6="Dr",$G6="Cr"),"OK","INVALID - must derive"),IF(OR($G6="n/a",$G6="runtime"),"OK","INVALID - must be n/a")))</f>
        <v/>
      </c>
      <c r="N6" s="25">
        <f t="array" ref="N6">IF($J6="MIRROR",IF($F6="MIRRORED","OK","INVALID - MIRROR needs MIRRORED"),IF(IFERROR(INDEX(Amount_Basis!$D$5:$D$100,MATCH($H6,Amount_Basis!$A$5:$A$100,0)),"")="SIGNED",IF($F6="DERIVED_FROM_SIGN","OK","INVALID - SIGNED basis needs DERIVED_FROM_SIGN"),IF(OR($F6="INCREASE",$F6="DECREASE",$F6="—"),"OK","INVALID - static direction required")))</f>
        <v/>
      </c>
      <c r="O6" s="14" t="inlineStr">
        <is>
          <t>§3.1</t>
        </is>
      </c>
    </row>
    <row r="7" ht="15" customHeight="1" s="40">
      <c r="A7" s="14" t="inlineStr">
        <is>
          <t>Import</t>
        </is>
      </c>
      <c r="B7" s="14" t="inlineStr">
        <is>
          <t>LC_ISSUE</t>
        </is>
      </c>
      <c r="C7" s="14" t="inlineStr">
        <is>
          <t>TAKE_MARGIN</t>
        </is>
      </c>
      <c r="D7" s="14" t="n">
        <v>2</v>
      </c>
      <c r="E7" s="15" t="inlineStr">
        <is>
          <t>CUSTOMER_CURRENT_ACCOUNT</t>
        </is>
      </c>
      <c r="F7" s="14" t="inlineStr">
        <is>
          <t>DECREASE</t>
        </is>
      </c>
      <c r="G7" s="25">
        <f t="array" ref="G7">IF(OR($F7="DERIVED_FROM_SIGN",$F7="MIRRORED"),"runtime",IFERROR(IF(INDEX(Balance_Taxonomy!$C$5:$C$400,MATCH($E7,Balance_Taxonomy!$B$5:$B$400,0))="Dr",IF($F7="INCREASE","Dr","Cr"),IF($F7="INCREASE","Cr","Dr")),"n/a"))</f>
        <v/>
      </c>
      <c r="H7" s="14" t="inlineStr">
        <is>
          <t>MARGIN_TAKEN</t>
        </is>
      </c>
      <c r="I7" s="15" t="inlineStr">
        <is>
          <t>face x margin_pct</t>
        </is>
      </c>
      <c r="J7" s="14" t="inlineStr">
        <is>
          <t>POST</t>
        </is>
      </c>
      <c r="K7" s="25">
        <f>IF(OR($E7="—",LEFT($E7,1)="("),"n/a",IF(COUNTIF(Balance_Taxonomy!$B$5:$B$400,$E7)&gt;0,"OK","UNKNOWN TYPE"))</f>
        <v/>
      </c>
      <c r="L7" s="25">
        <f>IF(COUNTIF(Amount_Basis!$A$5:$A$100,$H7)&gt;0,"OK","UNKNOWN CODE")</f>
        <v/>
      </c>
      <c r="M7" s="25">
        <f>IF($F7="DERIVED_FROM_SIGN",IF($G7="runtime","OK","INVALID - must be runtime"),IF(OR($J7="POST",$J7="MEMO_ONLY"),IF(OR($G7="Dr",$G7="Cr"),"OK","INVALID - must derive"),IF(OR($G7="n/a",$G7="runtime"),"OK","INVALID - must be n/a")))</f>
        <v/>
      </c>
      <c r="N7" s="25">
        <f t="array" ref="N7">IF($J7="MIRROR",IF($F7="MIRRORED","OK","INVALID - MIRROR needs MIRRORED"),IF(IFERROR(INDEX(Amount_Basis!$D$5:$D$100,MATCH($H7,Amount_Basis!$A$5:$A$100,0)),"")="SIGNED",IF($F7="DERIVED_FROM_SIGN","OK","INVALID - SIGNED basis needs DERIVED_FROM_SIGN"),IF(OR($F7="INCREASE",$F7="DECREASE",$F7="—"),"OK","INVALID - static direction required")))</f>
        <v/>
      </c>
      <c r="O7" s="14" t="inlineStr">
        <is>
          <t>§3.1</t>
        </is>
      </c>
    </row>
    <row r="8" ht="15" customHeight="1" s="40">
      <c r="A8" s="14" t="inlineStr">
        <is>
          <t>Import</t>
        </is>
      </c>
      <c r="B8" s="14" t="inlineStr">
        <is>
          <t>LC_ISSUE</t>
        </is>
      </c>
      <c r="C8" s="14" t="inlineStr">
        <is>
          <t>TAKE_MARGIN</t>
        </is>
      </c>
      <c r="D8" s="14" t="n">
        <v>2</v>
      </c>
      <c r="E8" s="15" t="inlineStr">
        <is>
          <t>LC_CASH_MARGIN_DEPOSIT</t>
        </is>
      </c>
      <c r="F8" s="14" t="inlineStr">
        <is>
          <t>INCREASE</t>
        </is>
      </c>
      <c r="G8" s="25">
        <f t="array" ref="G8">IF(OR($F8="DERIVED_FROM_SIGN",$F8="MIRRORED"),"runtime",IFERROR(IF(INDEX(Balance_Taxonomy!$C$5:$C$400,MATCH($E8,Balance_Taxonomy!$B$5:$B$400,0))="Dr",IF($F8="INCREASE","Dr","Cr"),IF($F8="INCREASE","Cr","Dr")),"n/a"))</f>
        <v/>
      </c>
      <c r="H8" s="14" t="inlineStr">
        <is>
          <t>MARGIN_TAKEN</t>
        </is>
      </c>
      <c r="I8" s="15" t="inlineStr">
        <is>
          <t>face x margin_pct</t>
        </is>
      </c>
      <c r="J8" s="14" t="inlineStr">
        <is>
          <t>POST</t>
        </is>
      </c>
      <c r="K8" s="25">
        <f>IF(OR($E8="—",LEFT($E8,1)="("),"n/a",IF(COUNTIF(Balance_Taxonomy!$B$5:$B$400,$E8)&gt;0,"OK","UNKNOWN TYPE"))</f>
        <v/>
      </c>
      <c r="L8" s="25">
        <f>IF(COUNTIF(Amount_Basis!$A$5:$A$100,$H8)&gt;0,"OK","UNKNOWN CODE")</f>
        <v/>
      </c>
      <c r="M8" s="25">
        <f>IF($F8="DERIVED_FROM_SIGN",IF($G8="runtime","OK","INVALID - must be runtime"),IF(OR($J8="POST",$J8="MEMO_ONLY"),IF(OR($G8="Dr",$G8="Cr"),"OK","INVALID - must derive"),IF(OR($G8="n/a",$G8="runtime"),"OK","INVALID - must be n/a")))</f>
        <v/>
      </c>
      <c r="N8" s="25">
        <f t="array" ref="N8">IF($J8="MIRROR",IF($F8="MIRRORED","OK","INVALID - MIRROR needs MIRRORED"),IF(IFERROR(INDEX(Amount_Basis!$D$5:$D$100,MATCH($H8,Amount_Basis!$A$5:$A$100,0)),"")="SIGNED",IF($F8="DERIVED_FROM_SIGN","OK","INVALID - SIGNED basis needs DERIVED_FROM_SIGN"),IF(OR($F8="INCREASE",$F8="DECREASE",$F8="—"),"OK","INVALID - static direction required")))</f>
        <v/>
      </c>
      <c r="O8" s="14" t="inlineStr">
        <is>
          <t>§3.1</t>
        </is>
      </c>
    </row>
    <row r="9" ht="15" customHeight="1" s="40">
      <c r="A9" s="14" t="inlineStr">
        <is>
          <t>Import</t>
        </is>
      </c>
      <c r="B9" s="14" t="inlineStr">
        <is>
          <t>LC_ISSUE</t>
        </is>
      </c>
      <c r="C9" s="14" t="inlineStr">
        <is>
          <t>DEFER_COMMISSION</t>
        </is>
      </c>
      <c r="D9" s="14" t="n">
        <v>3</v>
      </c>
      <c r="E9" s="15" t="inlineStr">
        <is>
          <t>CUSTOMER_CURRENT_ACCOUNT</t>
        </is>
      </c>
      <c r="F9" s="14" t="inlineStr">
        <is>
          <t>DECREASE</t>
        </is>
      </c>
      <c r="G9" s="25">
        <f t="array" ref="G9">IF(OR($F9="DERIVED_FROM_SIGN",$F9="MIRRORED"),"runtime",IFERROR(IF(INDEX(Balance_Taxonomy!$C$5:$C$400,MATCH($E9,Balance_Taxonomy!$B$5:$B$400,0))="Dr",IF($F9="INCREASE","Dr","Cr"),IF($F9="INCREASE","Cr","Dr")),"n/a"))</f>
        <v/>
      </c>
      <c r="H9" s="14" t="inlineStr">
        <is>
          <t>COMMISSION_AMOUNT</t>
        </is>
      </c>
      <c r="I9" s="15" t="inlineStr">
        <is>
          <t>issuance commission</t>
        </is>
      </c>
      <c r="J9" s="14" t="inlineStr">
        <is>
          <t>POST</t>
        </is>
      </c>
      <c r="K9" s="25">
        <f>IF(OR($E9="—",LEFT($E9,1)="("),"n/a",IF(COUNTIF(Balance_Taxonomy!$B$5:$B$400,$E9)&gt;0,"OK","UNKNOWN TYPE"))</f>
        <v/>
      </c>
      <c r="L9" s="25">
        <f>IF(COUNTIF(Amount_Basis!$A$5:$A$100,$H9)&gt;0,"OK","UNKNOWN CODE")</f>
        <v/>
      </c>
      <c r="M9" s="25">
        <f>IF($F9="DERIVED_FROM_SIGN",IF($G9="runtime","OK","INVALID - must be runtime"),IF(OR($J9="POST",$J9="MEMO_ONLY"),IF(OR($G9="Dr",$G9="Cr"),"OK","INVALID - must derive"),IF(OR($G9="n/a",$G9="runtime"),"OK","INVALID - must be n/a")))</f>
        <v/>
      </c>
      <c r="N9" s="25">
        <f t="array" ref="N9">IF($J9="MIRROR",IF($F9="MIRRORED","OK","INVALID - MIRROR needs MIRRORED"),IF(IFERROR(INDEX(Amount_Basis!$D$5:$D$100,MATCH($H9,Amount_Basis!$A$5:$A$100,0)),"")="SIGNED",IF($F9="DERIVED_FROM_SIGN","OK","INVALID - SIGNED basis needs DERIVED_FROM_SIGN"),IF(OR($F9="INCREASE",$F9="DECREASE",$F9="—"),"OK","INVALID - static direction required")))</f>
        <v/>
      </c>
      <c r="O9" s="14" t="inlineStr">
        <is>
          <t>§3.1</t>
        </is>
      </c>
    </row>
    <row r="10" ht="15" customHeight="1" s="40">
      <c r="A10" s="14" t="inlineStr">
        <is>
          <t>Import</t>
        </is>
      </c>
      <c r="B10" s="14" t="inlineStr">
        <is>
          <t>LC_ISSUE</t>
        </is>
      </c>
      <c r="C10" s="14" t="inlineStr">
        <is>
          <t>DEFER_COMMISSION</t>
        </is>
      </c>
      <c r="D10" s="14" t="n">
        <v>3</v>
      </c>
      <c r="E10" s="15" t="inlineStr">
        <is>
          <t>UNEARNED_COMMISSION_INCOME</t>
        </is>
      </c>
      <c r="F10" s="14" t="inlineStr">
        <is>
          <t>INCREASE</t>
        </is>
      </c>
      <c r="G10" s="25">
        <f t="array" ref="G10">IF(OR($F10="DERIVED_FROM_SIGN",$F10="MIRRORED"),"runtime",IFERROR(IF(INDEX(Balance_Taxonomy!$C$5:$C$400,MATCH($E10,Balance_Taxonomy!$B$5:$B$400,0))="Dr",IF($F10="INCREASE","Dr","Cr"),IF($F10="INCREASE","Cr","Dr")),"n/a"))</f>
        <v/>
      </c>
      <c r="H10" s="14" t="inlineStr">
        <is>
          <t>COMMISSION_AMOUNT</t>
        </is>
      </c>
      <c r="I10" s="15" t="inlineStr">
        <is>
          <t>issuance commission</t>
        </is>
      </c>
      <c r="J10" s="14" t="inlineStr">
        <is>
          <t>POST</t>
        </is>
      </c>
      <c r="K10" s="25">
        <f>IF(OR($E10="—",LEFT($E10,1)="("),"n/a",IF(COUNTIF(Balance_Taxonomy!$B$5:$B$400,$E10)&gt;0,"OK","UNKNOWN TYPE"))</f>
        <v/>
      </c>
      <c r="L10" s="25">
        <f>IF(COUNTIF(Amount_Basis!$A$5:$A$100,$H10)&gt;0,"OK","UNKNOWN CODE")</f>
        <v/>
      </c>
      <c r="M10" s="25">
        <f>IF($F10="DERIVED_FROM_SIGN",IF($G10="runtime","OK","INVALID - must be runtime"),IF(OR($J10="POST",$J10="MEMO_ONLY"),IF(OR($G10="Dr",$G10="Cr"),"OK","INVALID - must derive"),IF(OR($G10="n/a",$G10="runtime"),"OK","INVALID - must be n/a")))</f>
        <v/>
      </c>
      <c r="N10" s="25">
        <f t="array" ref="N10">IF($J10="MIRROR",IF($F10="MIRRORED","OK","INVALID - MIRROR needs MIRRORED"),IF(IFERROR(INDEX(Amount_Basis!$D$5:$D$100,MATCH($H10,Amount_Basis!$A$5:$A$100,0)),"")="SIGNED",IF($F10="DERIVED_FROM_SIGN","OK","INVALID - SIGNED basis needs DERIVED_FROM_SIGN"),IF(OR($F10="INCREASE",$F10="DECREASE",$F10="—"),"OK","INVALID - static direction required")))</f>
        <v/>
      </c>
      <c r="O10" s="14" t="inlineStr">
        <is>
          <t>§3.1</t>
        </is>
      </c>
    </row>
    <row r="11" ht="15" customHeight="1" s="40">
      <c r="A11" s="14" t="inlineStr">
        <is>
          <t>Import</t>
        </is>
      </c>
      <c r="B11" s="14" t="inlineStr">
        <is>
          <t>LC_ISSUE</t>
        </is>
      </c>
      <c r="C11" s="14" t="inlineStr">
        <is>
          <t>RAISE_ECL</t>
        </is>
      </c>
      <c r="D11" s="14" t="n">
        <v>4</v>
      </c>
      <c r="E11" s="15" t="inlineStr">
        <is>
          <t>IMPAIRMENT_CHARGE_OFFBS</t>
        </is>
      </c>
      <c r="F11" s="14" t="inlineStr">
        <is>
          <t>INCREASE</t>
        </is>
      </c>
      <c r="G11" s="25">
        <f t="array" ref="G11">IF(OR($F11="DERIVED_FROM_SIGN",$F11="MIRRORED"),"runtime",IFERROR(IF(INDEX(Balance_Taxonomy!$C$5:$C$400,MATCH($E11,Balance_Taxonomy!$B$5:$B$400,0))="Dr",IF($F11="INCREASE","Dr","Cr"),IF($F11="INCREASE","Cr","Dr")),"n/a"))</f>
        <v/>
      </c>
      <c r="H11" s="14" t="inlineStr">
        <is>
          <t>ECL_AMOUNT</t>
        </is>
      </c>
      <c r="I11" s="15" t="inlineStr">
        <is>
          <t>ECL</t>
        </is>
      </c>
      <c r="J11" s="14" t="inlineStr">
        <is>
          <t>POST</t>
        </is>
      </c>
      <c r="K11" s="25">
        <f>IF(OR($E11="—",LEFT($E11,1)="("),"n/a",IF(COUNTIF(Balance_Taxonomy!$B$5:$B$400,$E11)&gt;0,"OK","UNKNOWN TYPE"))</f>
        <v/>
      </c>
      <c r="L11" s="25">
        <f>IF(COUNTIF(Amount_Basis!$A$5:$A$100,$H11)&gt;0,"OK","UNKNOWN CODE")</f>
        <v/>
      </c>
      <c r="M11" s="25">
        <f>IF($F11="DERIVED_FROM_SIGN",IF($G11="runtime","OK","INVALID - must be runtime"),IF(OR($J11="POST",$J11="MEMO_ONLY"),IF(OR($G11="Dr",$G11="Cr"),"OK","INVALID - must derive"),IF(OR($G11="n/a",$G11="runtime"),"OK","INVALID - must be n/a")))</f>
        <v/>
      </c>
      <c r="N11" s="25">
        <f t="array" ref="N11">IF($J11="MIRROR",IF($F11="MIRRORED","OK","INVALID - MIRROR needs MIRRORED"),IF(IFERROR(INDEX(Amount_Basis!$D$5:$D$100,MATCH($H11,Amount_Basis!$A$5:$A$100,0)),"")="SIGNED",IF($F11="DERIVED_FROM_SIGN","OK","INVALID - SIGNED basis needs DERIVED_FROM_SIGN"),IF(OR($F11="INCREASE",$F11="DECREASE",$F11="—"),"OK","INVALID - static direction required")))</f>
        <v/>
      </c>
      <c r="O11" s="14" t="inlineStr">
        <is>
          <t>§3.1</t>
        </is>
      </c>
    </row>
    <row r="12" ht="15" customHeight="1" s="40">
      <c r="A12" s="14" t="inlineStr">
        <is>
          <t>Import</t>
        </is>
      </c>
      <c r="B12" s="14" t="inlineStr">
        <is>
          <t>LC_ISSUE</t>
        </is>
      </c>
      <c r="C12" s="14" t="inlineStr">
        <is>
          <t>RAISE_ECL</t>
        </is>
      </c>
      <c r="D12" s="14" t="n">
        <v>4</v>
      </c>
      <c r="E12" s="15" t="inlineStr">
        <is>
          <t>PROVISION_OFFBS</t>
        </is>
      </c>
      <c r="F12" s="14" t="inlineStr">
        <is>
          <t>INCREASE</t>
        </is>
      </c>
      <c r="G12" s="25">
        <f t="array" ref="G12">IF(OR($F12="DERIVED_FROM_SIGN",$F12="MIRRORED"),"runtime",IFERROR(IF(INDEX(Balance_Taxonomy!$C$5:$C$400,MATCH($E12,Balance_Taxonomy!$B$5:$B$400,0))="Dr",IF($F12="INCREASE","Dr","Cr"),IF($F12="INCREASE","Cr","Dr")),"n/a"))</f>
        <v/>
      </c>
      <c r="H12" s="14" t="inlineStr">
        <is>
          <t>ECL_AMOUNT</t>
        </is>
      </c>
      <c r="I12" s="15" t="inlineStr">
        <is>
          <t>ECL</t>
        </is>
      </c>
      <c r="J12" s="14" t="inlineStr">
        <is>
          <t>POST</t>
        </is>
      </c>
      <c r="K12" s="25">
        <f>IF(OR($E12="—",LEFT($E12,1)="("),"n/a",IF(COUNTIF(Balance_Taxonomy!$B$5:$B$400,$E12)&gt;0,"OK","UNKNOWN TYPE"))</f>
        <v/>
      </c>
      <c r="L12" s="25">
        <f>IF(COUNTIF(Amount_Basis!$A$5:$A$100,$H12)&gt;0,"OK","UNKNOWN CODE")</f>
        <v/>
      </c>
      <c r="M12" s="25">
        <f>IF($F12="DERIVED_FROM_SIGN",IF($G12="runtime","OK","INVALID - must be runtime"),IF(OR($J12="POST",$J12="MEMO_ONLY"),IF(OR($G12="Dr",$G12="Cr"),"OK","INVALID - must derive"),IF(OR($G12="n/a",$G12="runtime"),"OK","INVALID - must be n/a")))</f>
        <v/>
      </c>
      <c r="N12" s="25">
        <f t="array" ref="N12">IF($J12="MIRROR",IF($F12="MIRRORED","OK","INVALID - MIRROR needs MIRRORED"),IF(IFERROR(INDEX(Amount_Basis!$D$5:$D$100,MATCH($H12,Amount_Basis!$A$5:$A$100,0)),"")="SIGNED",IF($F12="DERIVED_FROM_SIGN","OK","INVALID - SIGNED basis needs DERIVED_FROM_SIGN"),IF(OR($F12="INCREASE",$F12="DECREASE",$F12="—"),"OK","INVALID - static direction required")))</f>
        <v/>
      </c>
      <c r="O12" s="14" t="inlineStr">
        <is>
          <t>§3.1</t>
        </is>
      </c>
    </row>
    <row r="13" ht="15" customHeight="1" s="40">
      <c r="A13" s="19" t="inlineStr">
        <is>
          <t>Import</t>
        </is>
      </c>
      <c r="B13" s="19" t="inlineStr">
        <is>
          <t>LC_AMD_INC</t>
        </is>
      </c>
      <c r="C13" s="19" t="inlineStr">
        <is>
          <t>RAISE_CONTINGENT</t>
        </is>
      </c>
      <c r="D13" s="19" t="n">
        <v>1</v>
      </c>
      <c r="E13" s="21" t="inlineStr">
        <is>
          <t>LC_CUSTOMER_LIABILITY</t>
        </is>
      </c>
      <c r="F13" s="19" t="inlineStr">
        <is>
          <t>INCREASE</t>
        </is>
      </c>
      <c r="G13" s="29">
        <f t="array" ref="G13">IF(OR($F13="DERIVED_FROM_SIGN",$F13="MIRRORED"),"runtime",IFERROR(IF(INDEX(Balance_Taxonomy!$C$5:$C$400,MATCH($E13,Balance_Taxonomy!$B$5:$B$400,0))="Dr",IF($F13="INCREASE","Dr","Cr"),IF($F13="INCREASE","Cr","Dr")),"n/a"))</f>
        <v/>
      </c>
      <c r="H13" s="19" t="inlineStr">
        <is>
          <t>AMENDMENT_DELTA</t>
        </is>
      </c>
      <c r="I13" s="21" t="inlineStr">
        <is>
          <t>delta</t>
        </is>
      </c>
      <c r="J13" s="19" t="inlineStr">
        <is>
          <t>POST</t>
        </is>
      </c>
      <c r="K13" s="29">
        <f>IF(OR($E13="—",LEFT($E13,1)="("),"n/a",IF(COUNTIF(Balance_Taxonomy!$B$5:$B$400,$E13)&gt;0,"OK","UNKNOWN TYPE"))</f>
        <v/>
      </c>
      <c r="L13" s="29">
        <f>IF(COUNTIF(Amount_Basis!$A$5:$A$100,$H13)&gt;0,"OK","UNKNOWN CODE")</f>
        <v/>
      </c>
      <c r="M13" s="29">
        <f>IF($F13="DERIVED_FROM_SIGN",IF($G13="runtime","OK","INVALID - must be runtime"),IF(OR($J13="POST",$J13="MEMO_ONLY"),IF(OR($G13="Dr",$G13="Cr"),"OK","INVALID - must derive"),IF(OR($G13="n/a",$G13="runtime"),"OK","INVALID - must be n/a")))</f>
        <v/>
      </c>
      <c r="N13" s="29">
        <f t="array" ref="N13">IF($J13="MIRROR",IF($F13="MIRRORED","OK","INVALID - MIRROR needs MIRRORED"),IF(IFERROR(INDEX(Amount_Basis!$D$5:$D$100,MATCH($H13,Amount_Basis!$A$5:$A$100,0)),"")="SIGNED",IF($F13="DERIVED_FROM_SIGN","OK","INVALID - SIGNED basis needs DERIVED_FROM_SIGN"),IF(OR($F13="INCREASE",$F13="DECREASE",$F13="—"),"OK","INVALID - static direction required")))</f>
        <v/>
      </c>
      <c r="O13" s="19" t="inlineStr">
        <is>
          <t>§3.2</t>
        </is>
      </c>
    </row>
    <row r="14" ht="15" customHeight="1" s="40">
      <c r="A14" s="19" t="inlineStr">
        <is>
          <t>Import</t>
        </is>
      </c>
      <c r="B14" s="19" t="inlineStr">
        <is>
          <t>LC_AMD_INC</t>
        </is>
      </c>
      <c r="C14" s="19" t="inlineStr">
        <is>
          <t>RAISE_CONTINGENT</t>
        </is>
      </c>
      <c r="D14" s="19" t="n">
        <v>1</v>
      </c>
      <c r="E14" s="21" t="inlineStr">
        <is>
          <t>LC_OUTSTANDING</t>
        </is>
      </c>
      <c r="F14" s="19" t="inlineStr">
        <is>
          <t>INCREASE</t>
        </is>
      </c>
      <c r="G14" s="29">
        <f t="array" ref="G14">IF(OR($F14="DERIVED_FROM_SIGN",$F14="MIRRORED"),"runtime",IFERROR(IF(INDEX(Balance_Taxonomy!$C$5:$C$400,MATCH($E14,Balance_Taxonomy!$B$5:$B$400,0))="Dr",IF($F14="INCREASE","Dr","Cr"),IF($F14="INCREASE","Cr","Dr")),"n/a"))</f>
        <v/>
      </c>
      <c r="H14" s="19" t="inlineStr">
        <is>
          <t>AMENDMENT_DELTA</t>
        </is>
      </c>
      <c r="I14" s="21" t="inlineStr">
        <is>
          <t>delta</t>
        </is>
      </c>
      <c r="J14" s="19" t="inlineStr">
        <is>
          <t>POST</t>
        </is>
      </c>
      <c r="K14" s="29">
        <f>IF(OR($E14="—",LEFT($E14,1)="("),"n/a",IF(COUNTIF(Balance_Taxonomy!$B$5:$B$400,$E14)&gt;0,"OK","UNKNOWN TYPE"))</f>
        <v/>
      </c>
      <c r="L14" s="29">
        <f>IF(COUNTIF(Amount_Basis!$A$5:$A$100,$H14)&gt;0,"OK","UNKNOWN CODE")</f>
        <v/>
      </c>
      <c r="M14" s="29">
        <f>IF($F14="DERIVED_FROM_SIGN",IF($G14="runtime","OK","INVALID - must be runtime"),IF(OR($J14="POST",$J14="MEMO_ONLY"),IF(OR($G14="Dr",$G14="Cr"),"OK","INVALID - must derive"),IF(OR($G14="n/a",$G14="runtime"),"OK","INVALID - must be n/a")))</f>
        <v/>
      </c>
      <c r="N14" s="29">
        <f t="array" ref="N14">IF($J14="MIRROR",IF($F14="MIRRORED","OK","INVALID - MIRROR needs MIRRORED"),IF(IFERROR(INDEX(Amount_Basis!$D$5:$D$100,MATCH($H14,Amount_Basis!$A$5:$A$100,0)),"")="SIGNED",IF($F14="DERIVED_FROM_SIGN","OK","INVALID - SIGNED basis needs DERIVED_FROM_SIGN"),IF(OR($F14="INCREASE",$F14="DECREASE",$F14="—"),"OK","INVALID - static direction required")))</f>
        <v/>
      </c>
      <c r="O14" s="19" t="inlineStr">
        <is>
          <t>§3.2</t>
        </is>
      </c>
    </row>
    <row r="15" ht="15" customHeight="1" s="40">
      <c r="A15" s="19" t="inlineStr">
        <is>
          <t>Import</t>
        </is>
      </c>
      <c r="B15" s="19" t="inlineStr">
        <is>
          <t>LC_AMD_INC</t>
        </is>
      </c>
      <c r="C15" s="19" t="inlineStr">
        <is>
          <t>DEFER_COMMISSION</t>
        </is>
      </c>
      <c r="D15" s="19" t="n">
        <v>2</v>
      </c>
      <c r="E15" s="21" t="inlineStr">
        <is>
          <t>CUSTOMER_CURRENT_ACCOUNT</t>
        </is>
      </c>
      <c r="F15" s="19" t="inlineStr">
        <is>
          <t>DECREASE</t>
        </is>
      </c>
      <c r="G15" s="29">
        <f t="array" ref="G15">IF(OR($F15="DERIVED_FROM_SIGN",$F15="MIRRORED"),"runtime",IFERROR(IF(INDEX(Balance_Taxonomy!$C$5:$C$400,MATCH($E15,Balance_Taxonomy!$B$5:$B$400,0))="Dr",IF($F15="INCREASE","Dr","Cr"),IF($F15="INCREASE","Cr","Dr")),"n/a"))</f>
        <v/>
      </c>
      <c r="H15" s="19" t="inlineStr">
        <is>
          <t>COMMISSION_DELTA</t>
        </is>
      </c>
      <c r="I15" s="21" t="inlineStr">
        <is>
          <t>incremental commission</t>
        </is>
      </c>
      <c r="J15" s="19" t="inlineStr">
        <is>
          <t>POST</t>
        </is>
      </c>
      <c r="K15" s="29">
        <f>IF(OR($E15="—",LEFT($E15,1)="("),"n/a",IF(COUNTIF(Balance_Taxonomy!$B$5:$B$400,$E15)&gt;0,"OK","UNKNOWN TYPE"))</f>
        <v/>
      </c>
      <c r="L15" s="29">
        <f>IF(COUNTIF(Amount_Basis!$A$5:$A$100,$H15)&gt;0,"OK","UNKNOWN CODE")</f>
        <v/>
      </c>
      <c r="M15" s="29">
        <f>IF($F15="DERIVED_FROM_SIGN",IF($G15="runtime","OK","INVALID - must be runtime"),IF(OR($J15="POST",$J15="MEMO_ONLY"),IF(OR($G15="Dr",$G15="Cr"),"OK","INVALID - must derive"),IF(OR($G15="n/a",$G15="runtime"),"OK","INVALID - must be n/a")))</f>
        <v/>
      </c>
      <c r="N15" s="29">
        <f t="array" ref="N15">IF($J15="MIRROR",IF($F15="MIRRORED","OK","INVALID - MIRROR needs MIRRORED"),IF(IFERROR(INDEX(Amount_Basis!$D$5:$D$100,MATCH($H15,Amount_Basis!$A$5:$A$100,0)),"")="SIGNED",IF($F15="DERIVED_FROM_SIGN","OK","INVALID - SIGNED basis needs DERIVED_FROM_SIGN"),IF(OR($F15="INCREASE",$F15="DECREASE",$F15="—"),"OK","INVALID - static direction required")))</f>
        <v/>
      </c>
      <c r="O15" s="19" t="inlineStr">
        <is>
          <t>§3.2</t>
        </is>
      </c>
    </row>
    <row r="16" ht="15" customHeight="1" s="40">
      <c r="A16" s="19" t="inlineStr">
        <is>
          <t>Import</t>
        </is>
      </c>
      <c r="B16" s="19" t="inlineStr">
        <is>
          <t>LC_AMD_INC</t>
        </is>
      </c>
      <c r="C16" s="19" t="inlineStr">
        <is>
          <t>DEFER_COMMISSION</t>
        </is>
      </c>
      <c r="D16" s="19" t="n">
        <v>2</v>
      </c>
      <c r="E16" s="21" t="inlineStr">
        <is>
          <t>UNEARNED_COMMISSION_INCOME</t>
        </is>
      </c>
      <c r="F16" s="19" t="inlineStr">
        <is>
          <t>INCREASE</t>
        </is>
      </c>
      <c r="G16" s="29">
        <f t="array" ref="G16">IF(OR($F16="DERIVED_FROM_SIGN",$F16="MIRRORED"),"runtime",IFERROR(IF(INDEX(Balance_Taxonomy!$C$5:$C$400,MATCH($E16,Balance_Taxonomy!$B$5:$B$400,0))="Dr",IF($F16="INCREASE","Dr","Cr"),IF($F16="INCREASE","Cr","Dr")),"n/a"))</f>
        <v/>
      </c>
      <c r="H16" s="19" t="inlineStr">
        <is>
          <t>COMMISSION_DELTA</t>
        </is>
      </c>
      <c r="I16" s="21" t="inlineStr">
        <is>
          <t>incremental commission</t>
        </is>
      </c>
      <c r="J16" s="19" t="inlineStr">
        <is>
          <t>POST</t>
        </is>
      </c>
      <c r="K16" s="29">
        <f>IF(OR($E16="—",LEFT($E16,1)="("),"n/a",IF(COUNTIF(Balance_Taxonomy!$B$5:$B$400,$E16)&gt;0,"OK","UNKNOWN TYPE"))</f>
        <v/>
      </c>
      <c r="L16" s="29">
        <f>IF(COUNTIF(Amount_Basis!$A$5:$A$100,$H16)&gt;0,"OK","UNKNOWN CODE")</f>
        <v/>
      </c>
      <c r="M16" s="29">
        <f>IF($F16="DERIVED_FROM_SIGN",IF($G16="runtime","OK","INVALID - must be runtime"),IF(OR($J16="POST",$J16="MEMO_ONLY"),IF(OR($G16="Dr",$G16="Cr"),"OK","INVALID - must derive"),IF(OR($G16="n/a",$G16="runtime"),"OK","INVALID - must be n/a")))</f>
        <v/>
      </c>
      <c r="N16" s="29">
        <f t="array" ref="N16">IF($J16="MIRROR",IF($F16="MIRRORED","OK","INVALID - MIRROR needs MIRRORED"),IF(IFERROR(INDEX(Amount_Basis!$D$5:$D$100,MATCH($H16,Amount_Basis!$A$5:$A$100,0)),"")="SIGNED",IF($F16="DERIVED_FROM_SIGN","OK","INVALID - SIGNED basis needs DERIVED_FROM_SIGN"),IF(OR($F16="INCREASE",$F16="DECREASE",$F16="—"),"OK","INVALID - static direction required")))</f>
        <v/>
      </c>
      <c r="O16" s="19" t="inlineStr">
        <is>
          <t>§3.2</t>
        </is>
      </c>
    </row>
    <row r="17" ht="15" customHeight="1" s="40">
      <c r="A17" s="14" t="inlineStr">
        <is>
          <t>Import</t>
        </is>
      </c>
      <c r="B17" s="14" t="inlineStr">
        <is>
          <t>LC_AMD_DEC</t>
        </is>
      </c>
      <c r="C17" s="14" t="inlineStr">
        <is>
          <t>RELEASE_CONTINGENT</t>
        </is>
      </c>
      <c r="D17" s="14" t="n">
        <v>1</v>
      </c>
      <c r="E17" s="15" t="inlineStr">
        <is>
          <t>LC_OUTSTANDING</t>
        </is>
      </c>
      <c r="F17" s="14" t="inlineStr">
        <is>
          <t>DECREASE</t>
        </is>
      </c>
      <c r="G17" s="25">
        <f t="array" ref="G17">IF(OR($F17="DERIVED_FROM_SIGN",$F17="MIRRORED"),"runtime",IFERROR(IF(INDEX(Balance_Taxonomy!$C$5:$C$400,MATCH($E17,Balance_Taxonomy!$B$5:$B$400,0))="Dr",IF($F17="INCREASE","Dr","Cr"),IF($F17="INCREASE","Cr","Dr")),"n/a"))</f>
        <v/>
      </c>
      <c r="H17" s="14" t="inlineStr">
        <is>
          <t>AMENDMENT_DELTA</t>
        </is>
      </c>
      <c r="I17" s="15" t="inlineStr">
        <is>
          <t>delta</t>
        </is>
      </c>
      <c r="J17" s="14" t="inlineStr">
        <is>
          <t>POST</t>
        </is>
      </c>
      <c r="K17" s="25">
        <f>IF(OR($E17="—",LEFT($E17,1)="("),"n/a",IF(COUNTIF(Balance_Taxonomy!$B$5:$B$400,$E17)&gt;0,"OK","UNKNOWN TYPE"))</f>
        <v/>
      </c>
      <c r="L17" s="25">
        <f>IF(COUNTIF(Amount_Basis!$A$5:$A$100,$H17)&gt;0,"OK","UNKNOWN CODE")</f>
        <v/>
      </c>
      <c r="M17" s="25">
        <f>IF($F17="DERIVED_FROM_SIGN",IF($G17="runtime","OK","INVALID - must be runtime"),IF(OR($J17="POST",$J17="MEMO_ONLY"),IF(OR($G17="Dr",$G17="Cr"),"OK","INVALID - must derive"),IF(OR($G17="n/a",$G17="runtime"),"OK","INVALID - must be n/a")))</f>
        <v/>
      </c>
      <c r="N17" s="25">
        <f t="array" ref="N17">IF($J17="MIRROR",IF($F17="MIRRORED","OK","INVALID - MIRROR needs MIRRORED"),IF(IFERROR(INDEX(Amount_Basis!$D$5:$D$100,MATCH($H17,Amount_Basis!$A$5:$A$100,0)),"")="SIGNED",IF($F17="DERIVED_FROM_SIGN","OK","INVALID - SIGNED basis needs DERIVED_FROM_SIGN"),IF(OR($F17="INCREASE",$F17="DECREASE",$F17="—"),"OK","INVALID - static direction required")))</f>
        <v/>
      </c>
      <c r="O17" s="14" t="inlineStr">
        <is>
          <t>§3.2</t>
        </is>
      </c>
    </row>
    <row r="18" ht="15" customHeight="1" s="40">
      <c r="A18" s="14" t="inlineStr">
        <is>
          <t>Import</t>
        </is>
      </c>
      <c r="B18" s="14" t="inlineStr">
        <is>
          <t>LC_AMD_DEC</t>
        </is>
      </c>
      <c r="C18" s="14" t="inlineStr">
        <is>
          <t>RELEASE_CONTINGENT</t>
        </is>
      </c>
      <c r="D18" s="14" t="n">
        <v>1</v>
      </c>
      <c r="E18" s="15" t="inlineStr">
        <is>
          <t>LC_CUSTOMER_LIABILITY</t>
        </is>
      </c>
      <c r="F18" s="14" t="inlineStr">
        <is>
          <t>DECREASE</t>
        </is>
      </c>
      <c r="G18" s="25">
        <f t="array" ref="G18">IF(OR($F18="DERIVED_FROM_SIGN",$F18="MIRRORED"),"runtime",IFERROR(IF(INDEX(Balance_Taxonomy!$C$5:$C$400,MATCH($E18,Balance_Taxonomy!$B$5:$B$400,0))="Dr",IF($F18="INCREASE","Dr","Cr"),IF($F18="INCREASE","Cr","Dr")),"n/a"))</f>
        <v/>
      </c>
      <c r="H18" s="14" t="inlineStr">
        <is>
          <t>AMENDMENT_DELTA</t>
        </is>
      </c>
      <c r="I18" s="15" t="inlineStr">
        <is>
          <t>delta</t>
        </is>
      </c>
      <c r="J18" s="14" t="inlineStr">
        <is>
          <t>POST</t>
        </is>
      </c>
      <c r="K18" s="25">
        <f>IF(OR($E18="—",LEFT($E18,1)="("),"n/a",IF(COUNTIF(Balance_Taxonomy!$B$5:$B$400,$E18)&gt;0,"OK","UNKNOWN TYPE"))</f>
        <v/>
      </c>
      <c r="L18" s="25">
        <f>IF(COUNTIF(Amount_Basis!$A$5:$A$100,$H18)&gt;0,"OK","UNKNOWN CODE")</f>
        <v/>
      </c>
      <c r="M18" s="25">
        <f>IF($F18="DERIVED_FROM_SIGN",IF($G18="runtime","OK","INVALID - must be runtime"),IF(OR($J18="POST",$J18="MEMO_ONLY"),IF(OR($G18="Dr",$G18="Cr"),"OK","INVALID - must derive"),IF(OR($G18="n/a",$G18="runtime"),"OK","INVALID - must be n/a")))</f>
        <v/>
      </c>
      <c r="N18" s="25">
        <f t="array" ref="N18">IF($J18="MIRROR",IF($F18="MIRRORED","OK","INVALID - MIRROR needs MIRRORED"),IF(IFERROR(INDEX(Amount_Basis!$D$5:$D$100,MATCH($H18,Amount_Basis!$A$5:$A$100,0)),"")="SIGNED",IF($F18="DERIVED_FROM_SIGN","OK","INVALID - SIGNED basis needs DERIVED_FROM_SIGN"),IF(OR($F18="INCREASE",$F18="DECREASE",$F18="—"),"OK","INVALID - static direction required")))</f>
        <v/>
      </c>
      <c r="O18" s="14" t="inlineStr">
        <is>
          <t>§3.2</t>
        </is>
      </c>
    </row>
    <row r="19" ht="15" customHeight="1" s="40">
      <c r="A19" s="19" t="inlineStr">
        <is>
          <t>Import</t>
        </is>
      </c>
      <c r="B19" s="19" t="inlineStr">
        <is>
          <t>LC_AMD_TENOR</t>
        </is>
      </c>
      <c r="C19" s="19" t="inlineStr">
        <is>
          <t>—</t>
        </is>
      </c>
      <c r="D19" s="19" t="n">
        <v>1</v>
      </c>
      <c r="E19" s="21" t="inlineStr">
        <is>
          <t>—</t>
        </is>
      </c>
      <c r="F19" s="19" t="inlineStr">
        <is>
          <t>—</t>
        </is>
      </c>
      <c r="G19" s="29">
        <f t="array" ref="G19">IF(OR($F19="DERIVED_FROM_SIGN",$F19="MIRRORED"),"runtime",IFERROR(IF(INDEX(Balance_Taxonomy!$C$5:$C$400,MATCH($E19,Balance_Taxonomy!$B$5:$B$400,0))="Dr",IF($F19="INCREASE","Dr","Cr"),IF($F19="INCREASE","Cr","Dr")),"n/a"))</f>
        <v/>
      </c>
      <c r="H19" s="19" t="inlineStr">
        <is>
          <t>ZERO</t>
        </is>
      </c>
      <c r="I19" s="21" t="inlineStr">
        <is>
          <t>0</t>
        </is>
      </c>
      <c r="J19" s="19" t="inlineStr">
        <is>
          <t>BATCH_RECALC</t>
        </is>
      </c>
      <c r="K19" s="29">
        <f>IF(OR($E19="—",LEFT($E19,1)="("),"n/a",IF(COUNTIF(Balance_Taxonomy!$B$5:$B$400,$E19)&gt;0,"OK","UNKNOWN TYPE"))</f>
        <v/>
      </c>
      <c r="L19" s="29">
        <f>IF(COUNTIF(Amount_Basis!$A$5:$A$100,$H19)&gt;0,"OK","UNKNOWN CODE")</f>
        <v/>
      </c>
      <c r="M19" s="29">
        <f>IF($F19="DERIVED_FROM_SIGN",IF($G19="runtime","OK","INVALID - must be runtime"),IF(OR($J19="POST",$J19="MEMO_ONLY"),IF(OR($G19="Dr",$G19="Cr"),"OK","INVALID - must derive"),IF(OR($G19="n/a",$G19="runtime"),"OK","INVALID - must be n/a")))</f>
        <v/>
      </c>
      <c r="N19" s="29">
        <f t="array" ref="N19">IF($J19="MIRROR",IF($F19="MIRRORED","OK","INVALID - MIRROR needs MIRRORED"),IF(IFERROR(INDEX(Amount_Basis!$D$5:$D$100,MATCH($H19,Amount_Basis!$A$5:$A$100,0)),"")="SIGNED",IF($F19="DERIVED_FROM_SIGN","OK","INVALID - SIGNED basis needs DERIVED_FROM_SIGN"),IF(OR($F19="INCREASE",$F19="DECREASE",$F19="—"),"OK","INVALID - static direction required")))</f>
        <v/>
      </c>
      <c r="O19" s="19" t="inlineStr">
        <is>
          <t>§3.2</t>
        </is>
      </c>
    </row>
    <row r="20" ht="15" customHeight="1" s="40">
      <c r="A20" s="14" t="inlineStr">
        <is>
          <t>Import</t>
        </is>
      </c>
      <c r="B20" s="14" t="inlineStr">
        <is>
          <t>LC_DOC_RCV</t>
        </is>
      </c>
      <c r="C20" s="14" t="inlineStr">
        <is>
          <t>RAISE_MEMO</t>
        </is>
      </c>
      <c r="D20" s="14" t="n">
        <v>1</v>
      </c>
      <c r="E20" s="15" t="inlineStr">
        <is>
          <t>DOCUMENT_UNDER_EXAMINATION</t>
        </is>
      </c>
      <c r="F20" s="14" t="inlineStr">
        <is>
          <t>INCREASE</t>
        </is>
      </c>
      <c r="G20" s="25">
        <f t="array" ref="G20">IF(OR($F20="DERIVED_FROM_SIGN",$F20="MIRRORED"),"runtime",IFERROR(IF(INDEX(Balance_Taxonomy!$C$5:$C$400,MATCH($E20,Balance_Taxonomy!$B$5:$B$400,0))="Dr",IF($F20="INCREASE","Dr","Cr"),IF($F20="INCREASE","Cr","Dr")),"n/a"))</f>
        <v/>
      </c>
      <c r="H20" s="14" t="inlineStr">
        <is>
          <t>DOCUMENT_AMOUNT</t>
        </is>
      </c>
      <c r="I20" s="15" t="inlineStr">
        <is>
          <t>document</t>
        </is>
      </c>
      <c r="J20" s="14" t="inlineStr">
        <is>
          <t>MEMO_ONLY</t>
        </is>
      </c>
      <c r="K20" s="25">
        <f>IF(OR($E20="—",LEFT($E20,1)="("),"n/a",IF(COUNTIF(Balance_Taxonomy!$B$5:$B$400,$E20)&gt;0,"OK","UNKNOWN TYPE"))</f>
        <v/>
      </c>
      <c r="L20" s="25">
        <f>IF(COUNTIF(Amount_Basis!$A$5:$A$100,$H20)&gt;0,"OK","UNKNOWN CODE")</f>
        <v/>
      </c>
      <c r="M20" s="25">
        <f>IF($F20="DERIVED_FROM_SIGN",IF($G20="runtime","OK","INVALID - must be runtime"),IF(OR($J20="POST",$J20="MEMO_ONLY"),IF(OR($G20="Dr",$G20="Cr"),"OK","INVALID - must derive"),IF(OR($G20="n/a",$G20="runtime"),"OK","INVALID - must be n/a")))</f>
        <v/>
      </c>
      <c r="N20" s="25">
        <f t="array" ref="N20">IF($J20="MIRROR",IF($F20="MIRRORED","OK","INVALID - MIRROR needs MIRRORED"),IF(IFERROR(INDEX(Amount_Basis!$D$5:$D$100,MATCH($H20,Amount_Basis!$A$5:$A$100,0)),"")="SIGNED",IF($F20="DERIVED_FROM_SIGN","OK","INVALID - SIGNED basis needs DERIVED_FROM_SIGN"),IF(OR($F20="INCREASE",$F20="DECREASE",$F20="—"),"OK","INVALID - static direction required")))</f>
        <v/>
      </c>
      <c r="O20" s="14" t="inlineStr">
        <is>
          <t>§3.4</t>
        </is>
      </c>
    </row>
    <row r="21" ht="15" customHeight="1" s="40">
      <c r="A21" s="14" t="inlineStr">
        <is>
          <t>Import</t>
        </is>
      </c>
      <c r="B21" s="14" t="inlineStr">
        <is>
          <t>LC_DOC_RCV</t>
        </is>
      </c>
      <c r="C21" s="14" t="inlineStr">
        <is>
          <t>RAISE_MEMO</t>
        </is>
      </c>
      <c r="D21" s="14" t="n">
        <v>1</v>
      </c>
      <c r="E21" s="15" t="inlineStr">
        <is>
          <t>DOCUMENT_UNDER_EXAMINATION_CONTRA</t>
        </is>
      </c>
      <c r="F21" s="14" t="inlineStr">
        <is>
          <t>INCREASE</t>
        </is>
      </c>
      <c r="G21" s="25">
        <f t="array" ref="G21">IF(OR($F21="DERIVED_FROM_SIGN",$F21="MIRRORED"),"runtime",IFERROR(IF(INDEX(Balance_Taxonomy!$C$5:$C$400,MATCH($E21,Balance_Taxonomy!$B$5:$B$400,0))="Dr",IF($F21="INCREASE","Dr","Cr"),IF($F21="INCREASE","Cr","Dr")),"n/a"))</f>
        <v/>
      </c>
      <c r="H21" s="14" t="inlineStr">
        <is>
          <t>DOCUMENT_AMOUNT</t>
        </is>
      </c>
      <c r="I21" s="15" t="inlineStr">
        <is>
          <t>document</t>
        </is>
      </c>
      <c r="J21" s="14" t="inlineStr">
        <is>
          <t>MEMO_ONLY</t>
        </is>
      </c>
      <c r="K21" s="25">
        <f>IF(OR($E21="—",LEFT($E21,1)="("),"n/a",IF(COUNTIF(Balance_Taxonomy!$B$5:$B$400,$E21)&gt;0,"OK","UNKNOWN TYPE"))</f>
        <v/>
      </c>
      <c r="L21" s="25">
        <f>IF(COUNTIF(Amount_Basis!$A$5:$A$100,$H21)&gt;0,"OK","UNKNOWN CODE")</f>
        <v/>
      </c>
      <c r="M21" s="25">
        <f>IF($F21="DERIVED_FROM_SIGN",IF($G21="runtime","OK","INVALID - must be runtime"),IF(OR($J21="POST",$J21="MEMO_ONLY"),IF(OR($G21="Dr",$G21="Cr"),"OK","INVALID - must derive"),IF(OR($G21="n/a",$G21="runtime"),"OK","INVALID - must be n/a")))</f>
        <v/>
      </c>
      <c r="N21" s="25">
        <f t="array" ref="N21">IF($J21="MIRROR",IF($F21="MIRRORED","OK","INVALID - MIRROR needs MIRRORED"),IF(IFERROR(INDEX(Amount_Basis!$D$5:$D$100,MATCH($H21,Amount_Basis!$A$5:$A$100,0)),"")="SIGNED",IF($F21="DERIVED_FROM_SIGN","OK","INVALID - SIGNED basis needs DERIVED_FROM_SIGN"),IF(OR($F21="INCREASE",$F21="DECREASE",$F21="—"),"OK","INVALID - static direction required")))</f>
        <v/>
      </c>
      <c r="O21" s="14" t="inlineStr">
        <is>
          <t>§3.4</t>
        </is>
      </c>
    </row>
    <row r="22" ht="15" customHeight="1" s="40">
      <c r="A22" s="19" t="inlineStr">
        <is>
          <t>Import</t>
        </is>
      </c>
      <c r="B22" s="19" t="inlineStr">
        <is>
          <t>LC_DOC_REFUSE</t>
        </is>
      </c>
      <c r="C22" s="19" t="inlineStr">
        <is>
          <t>MOVE_MEMO</t>
        </is>
      </c>
      <c r="D22" s="19" t="n">
        <v>1</v>
      </c>
      <c r="E22" s="21" t="inlineStr">
        <is>
          <t>DOCUMENT_AT_PRESENTER_DISPOSAL</t>
        </is>
      </c>
      <c r="F22" s="19" t="inlineStr">
        <is>
          <t>INCREASE</t>
        </is>
      </c>
      <c r="G22" s="29">
        <f t="array" ref="G22">IF(OR($F22="DERIVED_FROM_SIGN",$F22="MIRRORED"),"runtime",IFERROR(IF(INDEX(Balance_Taxonomy!$C$5:$C$400,MATCH($E22,Balance_Taxonomy!$B$5:$B$400,0))="Dr",IF($F22="INCREASE","Dr","Cr"),IF($F22="INCREASE","Cr","Dr")),"n/a"))</f>
        <v/>
      </c>
      <c r="H22" s="19" t="inlineStr">
        <is>
          <t>DOCUMENT_AMOUNT</t>
        </is>
      </c>
      <c r="I22" s="21" t="inlineStr">
        <is>
          <t>document</t>
        </is>
      </c>
      <c r="J22" s="19" t="inlineStr">
        <is>
          <t>MEMO_ONLY</t>
        </is>
      </c>
      <c r="K22" s="29">
        <f>IF(OR($E22="—",LEFT($E22,1)="("),"n/a",IF(COUNTIF(Balance_Taxonomy!$B$5:$B$400,$E22)&gt;0,"OK","UNKNOWN TYPE"))</f>
        <v/>
      </c>
      <c r="L22" s="29">
        <f>IF(COUNTIF(Amount_Basis!$A$5:$A$100,$H22)&gt;0,"OK","UNKNOWN CODE")</f>
        <v/>
      </c>
      <c r="M22" s="29">
        <f>IF($F22="DERIVED_FROM_SIGN",IF($G22="runtime","OK","INVALID - must be runtime"),IF(OR($J22="POST",$J22="MEMO_ONLY"),IF(OR($G22="Dr",$G22="Cr"),"OK","INVALID - must derive"),IF(OR($G22="n/a",$G22="runtime"),"OK","INVALID - must be n/a")))</f>
        <v/>
      </c>
      <c r="N22" s="29">
        <f t="array" ref="N22">IF($J22="MIRROR",IF($F22="MIRRORED","OK","INVALID - MIRROR needs MIRRORED"),IF(IFERROR(INDEX(Amount_Basis!$D$5:$D$100,MATCH($H22,Amount_Basis!$A$5:$A$100,0)),"")="SIGNED",IF($F22="DERIVED_FROM_SIGN","OK","INVALID - SIGNED basis needs DERIVED_FROM_SIGN"),IF(OR($F22="INCREASE",$F22="DECREASE",$F22="—"),"OK","INVALID - static direction required")))</f>
        <v/>
      </c>
      <c r="O22" s="19" t="inlineStr">
        <is>
          <t>§3.4</t>
        </is>
      </c>
    </row>
    <row r="23" ht="15" customHeight="1" s="40">
      <c r="A23" s="19" t="inlineStr">
        <is>
          <t>Import</t>
        </is>
      </c>
      <c r="B23" s="19" t="inlineStr">
        <is>
          <t>LC_DOC_REFUSE</t>
        </is>
      </c>
      <c r="C23" s="19" t="inlineStr">
        <is>
          <t>MOVE_MEMO</t>
        </is>
      </c>
      <c r="D23" s="19" t="n">
        <v>1</v>
      </c>
      <c r="E23" s="21" t="inlineStr">
        <is>
          <t>DOCUMENT_UNDER_EXAMINATION</t>
        </is>
      </c>
      <c r="F23" s="19" t="inlineStr">
        <is>
          <t>DECREASE</t>
        </is>
      </c>
      <c r="G23" s="29">
        <f t="array" ref="G23">IF(OR($F23="DERIVED_FROM_SIGN",$F23="MIRRORED"),"runtime",IFERROR(IF(INDEX(Balance_Taxonomy!$C$5:$C$400,MATCH($E23,Balance_Taxonomy!$B$5:$B$400,0))="Dr",IF($F23="INCREASE","Dr","Cr"),IF($F23="INCREASE","Cr","Dr")),"n/a"))</f>
        <v/>
      </c>
      <c r="H23" s="19" t="inlineStr">
        <is>
          <t>DOCUMENT_AMOUNT</t>
        </is>
      </c>
      <c r="I23" s="21" t="inlineStr">
        <is>
          <t>document</t>
        </is>
      </c>
      <c r="J23" s="19" t="inlineStr">
        <is>
          <t>MEMO_ONLY</t>
        </is>
      </c>
      <c r="K23" s="29">
        <f>IF(OR($E23="—",LEFT($E23,1)="("),"n/a",IF(COUNTIF(Balance_Taxonomy!$B$5:$B$400,$E23)&gt;0,"OK","UNKNOWN TYPE"))</f>
        <v/>
      </c>
      <c r="L23" s="29">
        <f>IF(COUNTIF(Amount_Basis!$A$5:$A$100,$H23)&gt;0,"OK","UNKNOWN CODE")</f>
        <v/>
      </c>
      <c r="M23" s="29">
        <f>IF($F23="DERIVED_FROM_SIGN",IF($G23="runtime","OK","INVALID - must be runtime"),IF(OR($J23="POST",$J23="MEMO_ONLY"),IF(OR($G23="Dr",$G23="Cr"),"OK","INVALID - must derive"),IF(OR($G23="n/a",$G23="runtime"),"OK","INVALID - must be n/a")))</f>
        <v/>
      </c>
      <c r="N23" s="29">
        <f t="array" ref="N23">IF($J23="MIRROR",IF($F23="MIRRORED","OK","INVALID - MIRROR needs MIRRORED"),IF(IFERROR(INDEX(Amount_Basis!$D$5:$D$100,MATCH($H23,Amount_Basis!$A$5:$A$100,0)),"")="SIGNED",IF($F23="DERIVED_FROM_SIGN","OK","INVALID - SIGNED basis needs DERIVED_FROM_SIGN"),IF(OR($F23="INCREASE",$F23="DECREASE",$F23="—"),"OK","INVALID - static direction required")))</f>
        <v/>
      </c>
      <c r="O23" s="19" t="inlineStr">
        <is>
          <t>§3.4</t>
        </is>
      </c>
    </row>
    <row r="24" ht="15" customHeight="1" s="40">
      <c r="A24" s="14" t="inlineStr">
        <is>
          <t>Import</t>
        </is>
      </c>
      <c r="B24" s="14" t="inlineStr">
        <is>
          <t>LC_DOC_WAIVER</t>
        </is>
      </c>
      <c r="C24" s="14" t="inlineStr">
        <is>
          <t>—</t>
        </is>
      </c>
      <c r="D24" s="14" t="n">
        <v>1</v>
      </c>
      <c r="E24" s="15" t="inlineStr">
        <is>
          <t>—</t>
        </is>
      </c>
      <c r="F24" s="14" t="inlineStr">
        <is>
          <t>—</t>
        </is>
      </c>
      <c r="G24" s="25">
        <f t="array" ref="G24">IF(OR($F24="DERIVED_FROM_SIGN",$F24="MIRRORED"),"runtime",IFERROR(IF(INDEX(Balance_Taxonomy!$C$5:$C$400,MATCH($E24,Balance_Taxonomy!$B$5:$B$400,0))="Dr",IF($F24="INCREASE","Dr","Cr"),IF($F24="INCREASE","Cr","Dr")),"n/a"))</f>
        <v/>
      </c>
      <c r="H24" s="14" t="inlineStr">
        <is>
          <t>ZERO</t>
        </is>
      </c>
      <c r="I24" s="15" t="inlineStr">
        <is>
          <t>0</t>
        </is>
      </c>
      <c r="J24" s="14" t="inlineStr">
        <is>
          <t>NO_BALANCE_EFFECT</t>
        </is>
      </c>
      <c r="K24" s="25">
        <f>IF(OR($E24="—",LEFT($E24,1)="("),"n/a",IF(COUNTIF(Balance_Taxonomy!$B$5:$B$400,$E24)&gt;0,"OK","UNKNOWN TYPE"))</f>
        <v/>
      </c>
      <c r="L24" s="25">
        <f>IF(COUNTIF(Amount_Basis!$A$5:$A$100,$H24)&gt;0,"OK","UNKNOWN CODE")</f>
        <v/>
      </c>
      <c r="M24" s="25">
        <f>IF($F24="DERIVED_FROM_SIGN",IF($G24="runtime","OK","INVALID - must be runtime"),IF(OR($J24="POST",$J24="MEMO_ONLY"),IF(OR($G24="Dr",$G24="Cr"),"OK","INVALID - must derive"),IF(OR($G24="n/a",$G24="runtime"),"OK","INVALID - must be n/a")))</f>
        <v/>
      </c>
      <c r="N24" s="25">
        <f t="array" ref="N24">IF($J24="MIRROR",IF($F24="MIRRORED","OK","INVALID - MIRROR needs MIRRORED"),IF(IFERROR(INDEX(Amount_Basis!$D$5:$D$100,MATCH($H24,Amount_Basis!$A$5:$A$100,0)),"")="SIGNED",IF($F24="DERIVED_FROM_SIGN","OK","INVALID - SIGNED basis needs DERIVED_FROM_SIGN"),IF(OR($F24="INCREASE",$F24="DECREASE",$F24="—"),"OK","INVALID - static direction required")))</f>
        <v/>
      </c>
      <c r="O24" s="14" t="inlineStr">
        <is>
          <t>§3.4</t>
        </is>
      </c>
    </row>
    <row r="25" ht="15" customHeight="1" s="40">
      <c r="A25" s="19" t="inlineStr">
        <is>
          <t>Import</t>
        </is>
      </c>
      <c r="B25" s="19" t="inlineStr">
        <is>
          <t>LC_DOC_PRECLUDED</t>
        </is>
      </c>
      <c r="C25" s="19" t="inlineStr">
        <is>
          <t>—</t>
        </is>
      </c>
      <c r="D25" s="19" t="n">
        <v>1</v>
      </c>
      <c r="E25" s="21" t="inlineStr">
        <is>
          <t>—</t>
        </is>
      </c>
      <c r="F25" s="19" t="inlineStr">
        <is>
          <t>—</t>
        </is>
      </c>
      <c r="G25" s="29">
        <f t="array" ref="G25">IF(OR($F25="DERIVED_FROM_SIGN",$F25="MIRRORED"),"runtime",IFERROR(IF(INDEX(Balance_Taxonomy!$C$5:$C$400,MATCH($E25,Balance_Taxonomy!$B$5:$B$400,0))="Dr",IF($F25="INCREASE","Dr","Cr"),IF($F25="INCREASE","Cr","Dr")),"n/a"))</f>
        <v/>
      </c>
      <c r="H25" s="19" t="inlineStr">
        <is>
          <t>ZERO</t>
        </is>
      </c>
      <c r="I25" s="21" t="inlineStr">
        <is>
          <t>0</t>
        </is>
      </c>
      <c r="J25" s="19" t="inlineStr">
        <is>
          <t>BATCH_RECALC</t>
        </is>
      </c>
      <c r="K25" s="29">
        <f>IF(OR($E25="—",LEFT($E25,1)="("),"n/a",IF(COUNTIF(Balance_Taxonomy!$B$5:$B$400,$E25)&gt;0,"OK","UNKNOWN TYPE"))</f>
        <v/>
      </c>
      <c r="L25" s="29">
        <f>IF(COUNTIF(Amount_Basis!$A$5:$A$100,$H25)&gt;0,"OK","UNKNOWN CODE")</f>
        <v/>
      </c>
      <c r="M25" s="29">
        <f>IF($F25="DERIVED_FROM_SIGN",IF($G25="runtime","OK","INVALID - must be runtime"),IF(OR($J25="POST",$J25="MEMO_ONLY"),IF(OR($G25="Dr",$G25="Cr"),"OK","INVALID - must derive"),IF(OR($G25="n/a",$G25="runtime"),"OK","INVALID - must be n/a")))</f>
        <v/>
      </c>
      <c r="N25" s="29">
        <f t="array" ref="N25">IF($J25="MIRROR",IF($F25="MIRRORED","OK","INVALID - MIRROR needs MIRRORED"),IF(IFERROR(INDEX(Amount_Basis!$D$5:$D$100,MATCH($H25,Amount_Basis!$A$5:$A$100,0)),"")="SIGNED",IF($F25="DERIVED_FROM_SIGN","OK","INVALID - SIGNED basis needs DERIVED_FROM_SIGN"),IF(OR($F25="INCREASE",$F25="DECREASE",$F25="—"),"OK","INVALID - static direction required")))</f>
        <v/>
      </c>
      <c r="O25" s="19" t="inlineStr">
        <is>
          <t>§3.4</t>
        </is>
      </c>
    </row>
    <row r="26" ht="15" customHeight="1" s="40">
      <c r="A26" s="14" t="inlineStr">
        <is>
          <t>Import</t>
        </is>
      </c>
      <c r="B26" s="14" t="inlineStr">
        <is>
          <t>LC_PAY_RESERVE</t>
        </is>
      </c>
      <c r="C26" s="14" t="inlineStr">
        <is>
          <t>RELEASE_CONTINGENT</t>
        </is>
      </c>
      <c r="D26" s="14" t="n">
        <v>1</v>
      </c>
      <c r="E26" s="15" t="inlineStr">
        <is>
          <t>LC_OUTSTANDING</t>
        </is>
      </c>
      <c r="F26" s="14" t="inlineStr">
        <is>
          <t>DECREASE</t>
        </is>
      </c>
      <c r="G26" s="25">
        <f t="array" ref="G26">IF(OR($F26="DERIVED_FROM_SIGN",$F26="MIRRORED"),"runtime",IFERROR(IF(INDEX(Balance_Taxonomy!$C$5:$C$400,MATCH($E26,Balance_Taxonomy!$B$5:$B$400,0))="Dr",IF($F26="INCREASE","Dr","Cr"),IF($F26="INCREASE","Cr","Dr")),"n/a"))</f>
        <v/>
      </c>
      <c r="H26" s="14" t="inlineStr">
        <is>
          <t>DOCUMENT_AMOUNT</t>
        </is>
      </c>
      <c r="I26" s="15" t="inlineStr">
        <is>
          <t>document</t>
        </is>
      </c>
      <c r="J26" s="14" t="inlineStr">
        <is>
          <t>POST</t>
        </is>
      </c>
      <c r="K26" s="25">
        <f>IF(OR($E26="—",LEFT($E26,1)="("),"n/a",IF(COUNTIF(Balance_Taxonomy!$B$5:$B$400,$E26)&gt;0,"OK","UNKNOWN TYPE"))</f>
        <v/>
      </c>
      <c r="L26" s="25">
        <f>IF(COUNTIF(Amount_Basis!$A$5:$A$100,$H26)&gt;0,"OK","UNKNOWN CODE")</f>
        <v/>
      </c>
      <c r="M26" s="25">
        <f>IF($F26="DERIVED_FROM_SIGN",IF($G26="runtime","OK","INVALID - must be runtime"),IF(OR($J26="POST",$J26="MEMO_ONLY"),IF(OR($G26="Dr",$G26="Cr"),"OK","INVALID - must derive"),IF(OR($G26="n/a",$G26="runtime"),"OK","INVALID - must be n/a")))</f>
        <v/>
      </c>
      <c r="N26" s="25">
        <f t="array" ref="N26">IF($J26="MIRROR",IF($F26="MIRRORED","OK","INVALID - MIRROR needs MIRRORED"),IF(IFERROR(INDEX(Amount_Basis!$D$5:$D$100,MATCH($H26,Amount_Basis!$A$5:$A$100,0)),"")="SIGNED",IF($F26="DERIVED_FROM_SIGN","OK","INVALID - SIGNED basis needs DERIVED_FROM_SIGN"),IF(OR($F26="INCREASE",$F26="DECREASE",$F26="—"),"OK","INVALID - static direction required")))</f>
        <v/>
      </c>
      <c r="O26" s="14" t="inlineStr">
        <is>
          <t>§3.4</t>
        </is>
      </c>
    </row>
    <row r="27" ht="15" customHeight="1" s="40">
      <c r="A27" s="14" t="inlineStr">
        <is>
          <t>Import</t>
        </is>
      </c>
      <c r="B27" s="14" t="inlineStr">
        <is>
          <t>LC_PAY_RESERVE</t>
        </is>
      </c>
      <c r="C27" s="14" t="inlineStr">
        <is>
          <t>RELEASE_CONTINGENT</t>
        </is>
      </c>
      <c r="D27" s="14" t="n">
        <v>1</v>
      </c>
      <c r="E27" s="15" t="inlineStr">
        <is>
          <t>LC_CUSTOMER_LIABILITY</t>
        </is>
      </c>
      <c r="F27" s="14" t="inlineStr">
        <is>
          <t>DECREASE</t>
        </is>
      </c>
      <c r="G27" s="25">
        <f t="array" ref="G27">IF(OR($F27="DERIVED_FROM_SIGN",$F27="MIRRORED"),"runtime",IFERROR(IF(INDEX(Balance_Taxonomy!$C$5:$C$400,MATCH($E27,Balance_Taxonomy!$B$5:$B$400,0))="Dr",IF($F27="INCREASE","Dr","Cr"),IF($F27="INCREASE","Cr","Dr")),"n/a"))</f>
        <v/>
      </c>
      <c r="H27" s="14" t="inlineStr">
        <is>
          <t>DOCUMENT_AMOUNT</t>
        </is>
      </c>
      <c r="I27" s="15" t="inlineStr">
        <is>
          <t>document</t>
        </is>
      </c>
      <c r="J27" s="14" t="inlineStr">
        <is>
          <t>POST</t>
        </is>
      </c>
      <c r="K27" s="25">
        <f>IF(OR($E27="—",LEFT($E27,1)="("),"n/a",IF(COUNTIF(Balance_Taxonomy!$B$5:$B$400,$E27)&gt;0,"OK","UNKNOWN TYPE"))</f>
        <v/>
      </c>
      <c r="L27" s="25">
        <f>IF(COUNTIF(Amount_Basis!$A$5:$A$100,$H27)&gt;0,"OK","UNKNOWN CODE")</f>
        <v/>
      </c>
      <c r="M27" s="25">
        <f>IF($F27="DERIVED_FROM_SIGN",IF($G27="runtime","OK","INVALID - must be runtime"),IF(OR($J27="POST",$J27="MEMO_ONLY"),IF(OR($G27="Dr",$G27="Cr"),"OK","INVALID - must derive"),IF(OR($G27="n/a",$G27="runtime"),"OK","INVALID - must be n/a")))</f>
        <v/>
      </c>
      <c r="N27" s="25">
        <f t="array" ref="N27">IF($J27="MIRROR",IF($F27="MIRRORED","OK","INVALID - MIRROR needs MIRRORED"),IF(IFERROR(INDEX(Amount_Basis!$D$5:$D$100,MATCH($H27,Amount_Basis!$A$5:$A$100,0)),"")="SIGNED",IF($F27="DERIVED_FROM_SIGN","OK","INVALID - SIGNED basis needs DERIVED_FROM_SIGN"),IF(OR($F27="INCREASE",$F27="DECREASE",$F27="—"),"OK","INVALID - static direction required")))</f>
        <v/>
      </c>
      <c r="O27" s="14" t="inlineStr">
        <is>
          <t>§3.4</t>
        </is>
      </c>
    </row>
    <row r="28" ht="15" customHeight="1" s="40">
      <c r="A28" s="14" t="inlineStr">
        <is>
          <t>Import</t>
        </is>
      </c>
      <c r="B28" s="14" t="inlineStr">
        <is>
          <t>LC_PAY_RESERVE</t>
        </is>
      </c>
      <c r="C28" s="14" t="inlineStr">
        <is>
          <t>RAISE_ADVANCE</t>
        </is>
      </c>
      <c r="D28" s="14" t="n">
        <v>2</v>
      </c>
      <c r="E28" s="15" t="inlineStr">
        <is>
          <t>ADVANCE_UNDER_RESERVE</t>
        </is>
      </c>
      <c r="F28" s="14" t="inlineStr">
        <is>
          <t>INCREASE</t>
        </is>
      </c>
      <c r="G28" s="25">
        <f t="array" ref="G28">IF(OR($F28="DERIVED_FROM_SIGN",$F28="MIRRORED"),"runtime",IFERROR(IF(INDEX(Balance_Taxonomy!$C$5:$C$400,MATCH($E28,Balance_Taxonomy!$B$5:$B$400,0))="Dr",IF($F28="INCREASE","Dr","Cr"),IF($F28="INCREASE","Cr","Dr")),"n/a"))</f>
        <v/>
      </c>
      <c r="H28" s="14" t="inlineStr">
        <is>
          <t>DOCUMENT_AMOUNT</t>
        </is>
      </c>
      <c r="I28" s="15" t="inlineStr">
        <is>
          <t>document</t>
        </is>
      </c>
      <c r="J28" s="14" t="inlineStr">
        <is>
          <t>POST</t>
        </is>
      </c>
      <c r="K28" s="25">
        <f>IF(OR($E28="—",LEFT($E28,1)="("),"n/a",IF(COUNTIF(Balance_Taxonomy!$B$5:$B$400,$E28)&gt;0,"OK","UNKNOWN TYPE"))</f>
        <v/>
      </c>
      <c r="L28" s="25">
        <f>IF(COUNTIF(Amount_Basis!$A$5:$A$100,$H28)&gt;0,"OK","UNKNOWN CODE")</f>
        <v/>
      </c>
      <c r="M28" s="25">
        <f>IF($F28="DERIVED_FROM_SIGN",IF($G28="runtime","OK","INVALID - must be runtime"),IF(OR($J28="POST",$J28="MEMO_ONLY"),IF(OR($G28="Dr",$G28="Cr"),"OK","INVALID - must derive"),IF(OR($G28="n/a",$G28="runtime"),"OK","INVALID - must be n/a")))</f>
        <v/>
      </c>
      <c r="N28" s="25">
        <f t="array" ref="N28">IF($J28="MIRROR",IF($F28="MIRRORED","OK","INVALID - MIRROR needs MIRRORED"),IF(IFERROR(INDEX(Amount_Basis!$D$5:$D$100,MATCH($H28,Amount_Basis!$A$5:$A$100,0)),"")="SIGNED",IF($F28="DERIVED_FROM_SIGN","OK","INVALID - SIGNED basis needs DERIVED_FROM_SIGN"),IF(OR($F28="INCREASE",$F28="DECREASE",$F28="—"),"OK","INVALID - static direction required")))</f>
        <v/>
      </c>
      <c r="O28" s="14" t="inlineStr">
        <is>
          <t>§3.4</t>
        </is>
      </c>
    </row>
    <row r="29" ht="15" customHeight="1" s="40">
      <c r="A29" s="14" t="inlineStr">
        <is>
          <t>Import</t>
        </is>
      </c>
      <c r="B29" s="14" t="inlineStr">
        <is>
          <t>LC_PAY_RESERVE</t>
        </is>
      </c>
      <c r="C29" s="14" t="inlineStr">
        <is>
          <t>RAISE_ADVANCE</t>
        </is>
      </c>
      <c r="D29" s="14" t="n">
        <v>2</v>
      </c>
      <c r="E29" s="15" t="inlineStr">
        <is>
          <t>LC_SETTLEMENT_PAYABLE</t>
        </is>
      </c>
      <c r="F29" s="14" t="inlineStr">
        <is>
          <t>INCREASE</t>
        </is>
      </c>
      <c r="G29" s="25">
        <f t="array" ref="G29">IF(OR($F29="DERIVED_FROM_SIGN",$F29="MIRRORED"),"runtime",IFERROR(IF(INDEX(Balance_Taxonomy!$C$5:$C$400,MATCH($E29,Balance_Taxonomy!$B$5:$B$400,0))="Dr",IF($F29="INCREASE","Dr","Cr"),IF($F29="INCREASE","Cr","Dr")),"n/a"))</f>
        <v/>
      </c>
      <c r="H29" s="14" t="inlineStr">
        <is>
          <t>DOCUMENT_AMOUNT</t>
        </is>
      </c>
      <c r="I29" s="15" t="inlineStr">
        <is>
          <t>document</t>
        </is>
      </c>
      <c r="J29" s="14" t="inlineStr">
        <is>
          <t>POST</t>
        </is>
      </c>
      <c r="K29" s="25">
        <f>IF(OR($E29="—",LEFT($E29,1)="("),"n/a",IF(COUNTIF(Balance_Taxonomy!$B$5:$B$400,$E29)&gt;0,"OK","UNKNOWN TYPE"))</f>
        <v/>
      </c>
      <c r="L29" s="25">
        <f>IF(COUNTIF(Amount_Basis!$A$5:$A$100,$H29)&gt;0,"OK","UNKNOWN CODE")</f>
        <v/>
      </c>
      <c r="M29" s="25">
        <f>IF($F29="DERIVED_FROM_SIGN",IF($G29="runtime","OK","INVALID - must be runtime"),IF(OR($J29="POST",$J29="MEMO_ONLY"),IF(OR($G29="Dr",$G29="Cr"),"OK","INVALID - must derive"),IF(OR($G29="n/a",$G29="runtime"),"OK","INVALID - must be n/a")))</f>
        <v/>
      </c>
      <c r="N29" s="25">
        <f t="array" ref="N29">IF($J29="MIRROR",IF($F29="MIRRORED","OK","INVALID - MIRROR needs MIRRORED"),IF(IFERROR(INDEX(Amount_Basis!$D$5:$D$100,MATCH($H29,Amount_Basis!$A$5:$A$100,0)),"")="SIGNED",IF($F29="DERIVED_FROM_SIGN","OK","INVALID - SIGNED basis needs DERIVED_FROM_SIGN"),IF(OR($F29="INCREASE",$F29="DECREASE",$F29="—"),"OK","INVALID - static direction required")))</f>
        <v/>
      </c>
      <c r="O29" s="14" t="inlineStr">
        <is>
          <t>§3.4</t>
        </is>
      </c>
    </row>
    <row r="30" ht="15" customHeight="1" s="40">
      <c r="A30" s="19" t="inlineStr">
        <is>
          <t>Import</t>
        </is>
      </c>
      <c r="B30" s="19" t="inlineStr">
        <is>
          <t>LC_RESERVE_CALLED</t>
        </is>
      </c>
      <c r="C30" s="19" t="inlineStr">
        <is>
          <t>REINSTATE_CONTINGENT</t>
        </is>
      </c>
      <c r="D30" s="19" t="n">
        <v>1</v>
      </c>
      <c r="E30" s="21" t="inlineStr">
        <is>
          <t>LC_CUSTOMER_LIABILITY</t>
        </is>
      </c>
      <c r="F30" s="19" t="inlineStr">
        <is>
          <t>INCREASE</t>
        </is>
      </c>
      <c r="G30" s="29">
        <f t="array" ref="G30">IF(OR($F30="DERIVED_FROM_SIGN",$F30="MIRRORED"),"runtime",IFERROR(IF(INDEX(Balance_Taxonomy!$C$5:$C$400,MATCH($E30,Balance_Taxonomy!$B$5:$B$400,0))="Dr",IF($F30="INCREASE","Dr","Cr"),IF($F30="INCREASE","Cr","Dr")),"n/a"))</f>
        <v/>
      </c>
      <c r="H30" s="19" t="inlineStr">
        <is>
          <t>DOCUMENT_AMOUNT</t>
        </is>
      </c>
      <c r="I30" s="21" t="inlineStr">
        <is>
          <t>document</t>
        </is>
      </c>
      <c r="J30" s="19" t="inlineStr">
        <is>
          <t>POST</t>
        </is>
      </c>
      <c r="K30" s="29">
        <f>IF(OR($E30="—",LEFT($E30,1)="("),"n/a",IF(COUNTIF(Balance_Taxonomy!$B$5:$B$400,$E30)&gt;0,"OK","UNKNOWN TYPE"))</f>
        <v/>
      </c>
      <c r="L30" s="29">
        <f>IF(COUNTIF(Amount_Basis!$A$5:$A$100,$H30)&gt;0,"OK","UNKNOWN CODE")</f>
        <v/>
      </c>
      <c r="M30" s="29">
        <f>IF($F30="DERIVED_FROM_SIGN",IF($G30="runtime","OK","INVALID - must be runtime"),IF(OR($J30="POST",$J30="MEMO_ONLY"),IF(OR($G30="Dr",$G30="Cr"),"OK","INVALID - must derive"),IF(OR($G30="n/a",$G30="runtime"),"OK","INVALID - must be n/a")))</f>
        <v/>
      </c>
      <c r="N30" s="29">
        <f t="array" ref="N30">IF($J30="MIRROR",IF($F30="MIRRORED","OK","INVALID - MIRROR needs MIRRORED"),IF(IFERROR(INDEX(Amount_Basis!$D$5:$D$100,MATCH($H30,Amount_Basis!$A$5:$A$100,0)),"")="SIGNED",IF($F30="DERIVED_FROM_SIGN","OK","INVALID - SIGNED basis needs DERIVED_FROM_SIGN"),IF(OR($F30="INCREASE",$F30="DECREASE",$F30="—"),"OK","INVALID - static direction required")))</f>
        <v/>
      </c>
      <c r="O30" s="19" t="inlineStr">
        <is>
          <t>§3.4</t>
        </is>
      </c>
    </row>
    <row r="31" ht="15" customHeight="1" s="40">
      <c r="A31" s="19" t="inlineStr">
        <is>
          <t>Import</t>
        </is>
      </c>
      <c r="B31" s="19" t="inlineStr">
        <is>
          <t>LC_RESERVE_CALLED</t>
        </is>
      </c>
      <c r="C31" s="19" t="inlineStr">
        <is>
          <t>REINSTATE_CONTINGENT</t>
        </is>
      </c>
      <c r="D31" s="19" t="n">
        <v>1</v>
      </c>
      <c r="E31" s="21" t="inlineStr">
        <is>
          <t>LC_OUTSTANDING</t>
        </is>
      </c>
      <c r="F31" s="19" t="inlineStr">
        <is>
          <t>INCREASE</t>
        </is>
      </c>
      <c r="G31" s="29">
        <f t="array" ref="G31">IF(OR($F31="DERIVED_FROM_SIGN",$F31="MIRRORED"),"runtime",IFERROR(IF(INDEX(Balance_Taxonomy!$C$5:$C$400,MATCH($E31,Balance_Taxonomy!$B$5:$B$400,0))="Dr",IF($F31="INCREASE","Dr","Cr"),IF($F31="INCREASE","Cr","Dr")),"n/a"))</f>
        <v/>
      </c>
      <c r="H31" s="19" t="inlineStr">
        <is>
          <t>DOCUMENT_AMOUNT</t>
        </is>
      </c>
      <c r="I31" s="21" t="inlineStr">
        <is>
          <t>document</t>
        </is>
      </c>
      <c r="J31" s="19" t="inlineStr">
        <is>
          <t>POST</t>
        </is>
      </c>
      <c r="K31" s="29">
        <f>IF(OR($E31="—",LEFT($E31,1)="("),"n/a",IF(COUNTIF(Balance_Taxonomy!$B$5:$B$400,$E31)&gt;0,"OK","UNKNOWN TYPE"))</f>
        <v/>
      </c>
      <c r="L31" s="29">
        <f>IF(COUNTIF(Amount_Basis!$A$5:$A$100,$H31)&gt;0,"OK","UNKNOWN CODE")</f>
        <v/>
      </c>
      <c r="M31" s="29">
        <f>IF($F31="DERIVED_FROM_SIGN",IF($G31="runtime","OK","INVALID - must be runtime"),IF(OR($J31="POST",$J31="MEMO_ONLY"),IF(OR($G31="Dr",$G31="Cr"),"OK","INVALID - must derive"),IF(OR($G31="n/a",$G31="runtime"),"OK","INVALID - must be n/a")))</f>
        <v/>
      </c>
      <c r="N31" s="29">
        <f t="array" ref="N31">IF($J31="MIRROR",IF($F31="MIRRORED","OK","INVALID - MIRROR needs MIRRORED"),IF(IFERROR(INDEX(Amount_Basis!$D$5:$D$100,MATCH($H31,Amount_Basis!$A$5:$A$100,0)),"")="SIGNED",IF($F31="DERIVED_FROM_SIGN","OK","INVALID - SIGNED basis needs DERIVED_FROM_SIGN"),IF(OR($F31="INCREASE",$F31="DECREASE",$F31="—"),"OK","INVALID - static direction required")))</f>
        <v/>
      </c>
      <c r="O31" s="19" t="inlineStr">
        <is>
          <t>§3.4</t>
        </is>
      </c>
    </row>
    <row r="32" ht="15" customHeight="1" s="40">
      <c r="A32" s="19" t="inlineStr">
        <is>
          <t>Import</t>
        </is>
      </c>
      <c r="B32" s="19" t="inlineStr">
        <is>
          <t>LC_RESERVE_CALLED</t>
        </is>
      </c>
      <c r="C32" s="19" t="inlineStr">
        <is>
          <t>RECOVER_CASH</t>
        </is>
      </c>
      <c r="D32" s="19" t="n">
        <v>2</v>
      </c>
      <c r="E32" s="21" t="inlineStr">
        <is>
          <t>NOSTRO</t>
        </is>
      </c>
      <c r="F32" s="19" t="inlineStr">
        <is>
          <t>INCREASE</t>
        </is>
      </c>
      <c r="G32" s="29">
        <f t="array" ref="G32">IF(OR($F32="DERIVED_FROM_SIGN",$F32="MIRRORED"),"runtime",IFERROR(IF(INDEX(Balance_Taxonomy!$C$5:$C$400,MATCH($E32,Balance_Taxonomy!$B$5:$B$400,0))="Dr",IF($F32="INCREASE","Dr","Cr"),IF($F32="INCREASE","Cr","Dr")),"n/a"))</f>
        <v/>
      </c>
      <c r="H32" s="19" t="inlineStr">
        <is>
          <t>DOCUMENT_AMOUNT</t>
        </is>
      </c>
      <c r="I32" s="21" t="inlineStr">
        <is>
          <t>document</t>
        </is>
      </c>
      <c r="J32" s="19" t="inlineStr">
        <is>
          <t>POST</t>
        </is>
      </c>
      <c r="K32" s="29">
        <f>IF(OR($E32="—",LEFT($E32,1)="("),"n/a",IF(COUNTIF(Balance_Taxonomy!$B$5:$B$400,$E32)&gt;0,"OK","UNKNOWN TYPE"))</f>
        <v/>
      </c>
      <c r="L32" s="29">
        <f>IF(COUNTIF(Amount_Basis!$A$5:$A$100,$H32)&gt;0,"OK","UNKNOWN CODE")</f>
        <v/>
      </c>
      <c r="M32" s="29">
        <f>IF($F32="DERIVED_FROM_SIGN",IF($G32="runtime","OK","INVALID - must be runtime"),IF(OR($J32="POST",$J32="MEMO_ONLY"),IF(OR($G32="Dr",$G32="Cr"),"OK","INVALID - must derive"),IF(OR($G32="n/a",$G32="runtime"),"OK","INVALID - must be n/a")))</f>
        <v/>
      </c>
      <c r="N32" s="29">
        <f t="array" ref="N32">IF($J32="MIRROR",IF($F32="MIRRORED","OK","INVALID - MIRROR needs MIRRORED"),IF(IFERROR(INDEX(Amount_Basis!$D$5:$D$100,MATCH($H32,Amount_Basis!$A$5:$A$100,0)),"")="SIGNED",IF($F32="DERIVED_FROM_SIGN","OK","INVALID - SIGNED basis needs DERIVED_FROM_SIGN"),IF(OR($F32="INCREASE",$F32="DECREASE",$F32="—"),"OK","INVALID - static direction required")))</f>
        <v/>
      </c>
      <c r="O32" s="19" t="inlineStr">
        <is>
          <t>§3.4</t>
        </is>
      </c>
    </row>
    <row r="33" ht="15" customHeight="1" s="40">
      <c r="A33" s="19" t="inlineStr">
        <is>
          <t>Import</t>
        </is>
      </c>
      <c r="B33" s="19" t="inlineStr">
        <is>
          <t>LC_RESERVE_CALLED</t>
        </is>
      </c>
      <c r="C33" s="19" t="inlineStr">
        <is>
          <t>RECOVER_CASH</t>
        </is>
      </c>
      <c r="D33" s="19" t="n">
        <v>2</v>
      </c>
      <c r="E33" s="21" t="inlineStr">
        <is>
          <t>ADVANCE_UNDER_RESERVE</t>
        </is>
      </c>
      <c r="F33" s="19" t="inlineStr">
        <is>
          <t>DECREASE</t>
        </is>
      </c>
      <c r="G33" s="29">
        <f t="array" ref="G33">IF(OR($F33="DERIVED_FROM_SIGN",$F33="MIRRORED"),"runtime",IFERROR(IF(INDEX(Balance_Taxonomy!$C$5:$C$400,MATCH($E33,Balance_Taxonomy!$B$5:$B$400,0))="Dr",IF($F33="INCREASE","Dr","Cr"),IF($F33="INCREASE","Cr","Dr")),"n/a"))</f>
        <v/>
      </c>
      <c r="H33" s="19" t="inlineStr">
        <is>
          <t>DOCUMENT_AMOUNT</t>
        </is>
      </c>
      <c r="I33" s="21" t="inlineStr">
        <is>
          <t>document</t>
        </is>
      </c>
      <c r="J33" s="19" t="inlineStr">
        <is>
          <t>POST</t>
        </is>
      </c>
      <c r="K33" s="29">
        <f>IF(OR($E33="—",LEFT($E33,1)="("),"n/a",IF(COUNTIF(Balance_Taxonomy!$B$5:$B$400,$E33)&gt;0,"OK","UNKNOWN TYPE"))</f>
        <v/>
      </c>
      <c r="L33" s="29">
        <f>IF(COUNTIF(Amount_Basis!$A$5:$A$100,$H33)&gt;0,"OK","UNKNOWN CODE")</f>
        <v/>
      </c>
      <c r="M33" s="29">
        <f>IF($F33="DERIVED_FROM_SIGN",IF($G33="runtime","OK","INVALID - must be runtime"),IF(OR($J33="POST",$J33="MEMO_ONLY"),IF(OR($G33="Dr",$G33="Cr"),"OK","INVALID - must derive"),IF(OR($G33="n/a",$G33="runtime"),"OK","INVALID - must be n/a")))</f>
        <v/>
      </c>
      <c r="N33" s="29">
        <f t="array" ref="N33">IF($J33="MIRROR",IF($F33="MIRRORED","OK","INVALID - MIRROR needs MIRRORED"),IF(IFERROR(INDEX(Amount_Basis!$D$5:$D$100,MATCH($H33,Amount_Basis!$A$5:$A$100,0)),"")="SIGNED",IF($F33="DERIVED_FROM_SIGN","OK","INVALID - SIGNED basis needs DERIVED_FROM_SIGN"),IF(OR($F33="INCREASE",$F33="DECREASE",$F33="—"),"OK","INVALID - static direction required")))</f>
        <v/>
      </c>
      <c r="O33" s="19" t="inlineStr">
        <is>
          <t>§3.4</t>
        </is>
      </c>
    </row>
    <row r="34" ht="15" customHeight="1" s="40">
      <c r="A34" s="14" t="inlineStr">
        <is>
          <t>Import</t>
        </is>
      </c>
      <c r="B34" s="14" t="inlineStr">
        <is>
          <t>LC_HONOUR_SIGHT</t>
        </is>
      </c>
      <c r="C34" s="14" t="inlineStr">
        <is>
          <t>RELEASE_CONTINGENT</t>
        </is>
      </c>
      <c r="D34" s="14" t="n">
        <v>1</v>
      </c>
      <c r="E34" s="15" t="inlineStr">
        <is>
          <t>LC_OUTSTANDING</t>
        </is>
      </c>
      <c r="F34" s="14" t="inlineStr">
        <is>
          <t>DECREASE</t>
        </is>
      </c>
      <c r="G34" s="25">
        <f t="array" ref="G34">IF(OR($F34="DERIVED_FROM_SIGN",$F34="MIRRORED"),"runtime",IFERROR(IF(INDEX(Balance_Taxonomy!$C$5:$C$400,MATCH($E34,Balance_Taxonomy!$B$5:$B$400,0))="Dr",IF($F34="INCREASE","Dr","Cr"),IF($F34="INCREASE","Cr","Dr")),"n/a"))</f>
        <v/>
      </c>
      <c r="H34" s="14" t="inlineStr">
        <is>
          <t>DOCUMENT_AMOUNT</t>
        </is>
      </c>
      <c r="I34" s="15" t="inlineStr">
        <is>
          <t>document</t>
        </is>
      </c>
      <c r="J34" s="14" t="inlineStr">
        <is>
          <t>POST</t>
        </is>
      </c>
      <c r="K34" s="25">
        <f>IF(OR($E34="—",LEFT($E34,1)="("),"n/a",IF(COUNTIF(Balance_Taxonomy!$B$5:$B$400,$E34)&gt;0,"OK","UNKNOWN TYPE"))</f>
        <v/>
      </c>
      <c r="L34" s="25">
        <f>IF(COUNTIF(Amount_Basis!$A$5:$A$100,$H34)&gt;0,"OK","UNKNOWN CODE")</f>
        <v/>
      </c>
      <c r="M34" s="25">
        <f>IF($F34="DERIVED_FROM_SIGN",IF($G34="runtime","OK","INVALID - must be runtime"),IF(OR($J34="POST",$J34="MEMO_ONLY"),IF(OR($G34="Dr",$G34="Cr"),"OK","INVALID - must derive"),IF(OR($G34="n/a",$G34="runtime"),"OK","INVALID - must be n/a")))</f>
        <v/>
      </c>
      <c r="N34" s="25">
        <f t="array" ref="N34">IF($J34="MIRROR",IF($F34="MIRRORED","OK","INVALID - MIRROR needs MIRRORED"),IF(IFERROR(INDEX(Amount_Basis!$D$5:$D$100,MATCH($H34,Amount_Basis!$A$5:$A$100,0)),"")="SIGNED",IF($F34="DERIVED_FROM_SIGN","OK","INVALID - SIGNED basis needs DERIVED_FROM_SIGN"),IF(OR($F34="INCREASE",$F34="DECREASE",$F34="—"),"OK","INVALID - static direction required")))</f>
        <v/>
      </c>
      <c r="O34" s="14" t="inlineStr">
        <is>
          <t>§3.5</t>
        </is>
      </c>
    </row>
    <row r="35" ht="15" customHeight="1" s="40">
      <c r="A35" s="14" t="inlineStr">
        <is>
          <t>Import</t>
        </is>
      </c>
      <c r="B35" s="14" t="inlineStr">
        <is>
          <t>LC_HONOUR_SIGHT</t>
        </is>
      </c>
      <c r="C35" s="14" t="inlineStr">
        <is>
          <t>RELEASE_CONTINGENT</t>
        </is>
      </c>
      <c r="D35" s="14" t="n">
        <v>1</v>
      </c>
      <c r="E35" s="15" t="inlineStr">
        <is>
          <t>LC_CUSTOMER_LIABILITY</t>
        </is>
      </c>
      <c r="F35" s="14" t="inlineStr">
        <is>
          <t>DECREASE</t>
        </is>
      </c>
      <c r="G35" s="25">
        <f t="array" ref="G35">IF(OR($F35="DERIVED_FROM_SIGN",$F35="MIRRORED"),"runtime",IFERROR(IF(INDEX(Balance_Taxonomy!$C$5:$C$400,MATCH($E35,Balance_Taxonomy!$B$5:$B$400,0))="Dr",IF($F35="INCREASE","Dr","Cr"),IF($F35="INCREASE","Cr","Dr")),"n/a"))</f>
        <v/>
      </c>
      <c r="H35" s="14" t="inlineStr">
        <is>
          <t>DOCUMENT_AMOUNT</t>
        </is>
      </c>
      <c r="I35" s="15" t="inlineStr">
        <is>
          <t>document</t>
        </is>
      </c>
      <c r="J35" s="14" t="inlineStr">
        <is>
          <t>POST</t>
        </is>
      </c>
      <c r="K35" s="25">
        <f>IF(OR($E35="—",LEFT($E35,1)="("),"n/a",IF(COUNTIF(Balance_Taxonomy!$B$5:$B$400,$E35)&gt;0,"OK","UNKNOWN TYPE"))</f>
        <v/>
      </c>
      <c r="L35" s="25">
        <f>IF(COUNTIF(Amount_Basis!$A$5:$A$100,$H35)&gt;0,"OK","UNKNOWN CODE")</f>
        <v/>
      </c>
      <c r="M35" s="25">
        <f>IF($F35="DERIVED_FROM_SIGN",IF($G35="runtime","OK","INVALID - must be runtime"),IF(OR($J35="POST",$J35="MEMO_ONLY"),IF(OR($G35="Dr",$G35="Cr"),"OK","INVALID - must derive"),IF(OR($G35="n/a",$G35="runtime"),"OK","INVALID - must be n/a")))</f>
        <v/>
      </c>
      <c r="N35" s="25">
        <f t="array" ref="N35">IF($J35="MIRROR",IF($F35="MIRRORED","OK","INVALID - MIRROR needs MIRRORED"),IF(IFERROR(INDEX(Amount_Basis!$D$5:$D$100,MATCH($H35,Amount_Basis!$A$5:$A$100,0)),"")="SIGNED",IF($F35="DERIVED_FROM_SIGN","OK","INVALID - SIGNED basis needs DERIVED_FROM_SIGN"),IF(OR($F35="INCREASE",$F35="DECREASE",$F35="—"),"OK","INVALID - static direction required")))</f>
        <v/>
      </c>
      <c r="O35" s="14" t="inlineStr">
        <is>
          <t>§3.5</t>
        </is>
      </c>
    </row>
    <row r="36" ht="15" customHeight="1" s="40">
      <c r="A36" s="14" t="inlineStr">
        <is>
          <t>Import</t>
        </is>
      </c>
      <c r="B36" s="14" t="inlineStr">
        <is>
          <t>LC_HONOUR_SIGHT</t>
        </is>
      </c>
      <c r="C36" s="14" t="inlineStr">
        <is>
          <t>HONOUR</t>
        </is>
      </c>
      <c r="D36" s="14" t="n">
        <v>2</v>
      </c>
      <c r="E36" s="15" t="inlineStr">
        <is>
          <t>IMPORT_BILLS_RECEIVABLE</t>
        </is>
      </c>
      <c r="F36" s="14" t="inlineStr">
        <is>
          <t>INCREASE</t>
        </is>
      </c>
      <c r="G36" s="25">
        <f t="array" ref="G36">IF(OR($F36="DERIVED_FROM_SIGN",$F36="MIRRORED"),"runtime",IFERROR(IF(INDEX(Balance_Taxonomy!$C$5:$C$400,MATCH($E36,Balance_Taxonomy!$B$5:$B$400,0))="Dr",IF($F36="INCREASE","Dr","Cr"),IF($F36="INCREASE","Cr","Dr")),"n/a"))</f>
        <v/>
      </c>
      <c r="H36" s="14" t="inlineStr">
        <is>
          <t>DOCUMENT_AMOUNT</t>
        </is>
      </c>
      <c r="I36" s="15" t="inlineStr">
        <is>
          <t>document</t>
        </is>
      </c>
      <c r="J36" s="14" t="inlineStr">
        <is>
          <t>POST</t>
        </is>
      </c>
      <c r="K36" s="25">
        <f>IF(OR($E36="—",LEFT($E36,1)="("),"n/a",IF(COUNTIF(Balance_Taxonomy!$B$5:$B$400,$E36)&gt;0,"OK","UNKNOWN TYPE"))</f>
        <v/>
      </c>
      <c r="L36" s="25">
        <f>IF(COUNTIF(Amount_Basis!$A$5:$A$100,$H36)&gt;0,"OK","UNKNOWN CODE")</f>
        <v/>
      </c>
      <c r="M36" s="25">
        <f>IF($F36="DERIVED_FROM_SIGN",IF($G36="runtime","OK","INVALID - must be runtime"),IF(OR($J36="POST",$J36="MEMO_ONLY"),IF(OR($G36="Dr",$G36="Cr"),"OK","INVALID - must derive"),IF(OR($G36="n/a",$G36="runtime"),"OK","INVALID - must be n/a")))</f>
        <v/>
      </c>
      <c r="N36" s="25">
        <f t="array" ref="N36">IF($J36="MIRROR",IF($F36="MIRRORED","OK","INVALID - MIRROR needs MIRRORED"),IF(IFERROR(INDEX(Amount_Basis!$D$5:$D$100,MATCH($H36,Amount_Basis!$A$5:$A$100,0)),"")="SIGNED",IF($F36="DERIVED_FROM_SIGN","OK","INVALID - SIGNED basis needs DERIVED_FROM_SIGN"),IF(OR($F36="INCREASE",$F36="DECREASE",$F36="—"),"OK","INVALID - static direction required")))</f>
        <v/>
      </c>
      <c r="O36" s="14" t="inlineStr">
        <is>
          <t>§3.5</t>
        </is>
      </c>
    </row>
    <row r="37" ht="15" customHeight="1" s="40">
      <c r="A37" s="14" t="inlineStr">
        <is>
          <t>Import</t>
        </is>
      </c>
      <c r="B37" s="14" t="inlineStr">
        <is>
          <t>LC_HONOUR_SIGHT</t>
        </is>
      </c>
      <c r="C37" s="14" t="inlineStr">
        <is>
          <t>HONOUR</t>
        </is>
      </c>
      <c r="D37" s="14" t="n">
        <v>2</v>
      </c>
      <c r="E37" s="15" t="inlineStr">
        <is>
          <t>LC_SETTLEMENT_PAYABLE</t>
        </is>
      </c>
      <c r="F37" s="14" t="inlineStr">
        <is>
          <t>INCREASE</t>
        </is>
      </c>
      <c r="G37" s="25">
        <f t="array" ref="G37">IF(OR($F37="DERIVED_FROM_SIGN",$F37="MIRRORED"),"runtime",IFERROR(IF(INDEX(Balance_Taxonomy!$C$5:$C$400,MATCH($E37,Balance_Taxonomy!$B$5:$B$400,0))="Dr",IF($F37="INCREASE","Dr","Cr"),IF($F37="INCREASE","Cr","Dr")),"n/a"))</f>
        <v/>
      </c>
      <c r="H37" s="14" t="inlineStr">
        <is>
          <t>DOCUMENT_AMOUNT</t>
        </is>
      </c>
      <c r="I37" s="15" t="inlineStr">
        <is>
          <t>document</t>
        </is>
      </c>
      <c r="J37" s="14" t="inlineStr">
        <is>
          <t>POST</t>
        </is>
      </c>
      <c r="K37" s="25">
        <f>IF(OR($E37="—",LEFT($E37,1)="("),"n/a",IF(COUNTIF(Balance_Taxonomy!$B$5:$B$400,$E37)&gt;0,"OK","UNKNOWN TYPE"))</f>
        <v/>
      </c>
      <c r="L37" s="25">
        <f>IF(COUNTIF(Amount_Basis!$A$5:$A$100,$H37)&gt;0,"OK","UNKNOWN CODE")</f>
        <v/>
      </c>
      <c r="M37" s="25">
        <f>IF($F37="DERIVED_FROM_SIGN",IF($G37="runtime","OK","INVALID - must be runtime"),IF(OR($J37="POST",$J37="MEMO_ONLY"),IF(OR($G37="Dr",$G37="Cr"),"OK","INVALID - must derive"),IF(OR($G37="n/a",$G37="runtime"),"OK","INVALID - must be n/a")))</f>
        <v/>
      </c>
      <c r="N37" s="25">
        <f t="array" ref="N37">IF($J37="MIRROR",IF($F37="MIRRORED","OK","INVALID - MIRROR needs MIRRORED"),IF(IFERROR(INDEX(Amount_Basis!$D$5:$D$100,MATCH($H37,Amount_Basis!$A$5:$A$100,0)),"")="SIGNED",IF($F37="DERIVED_FROM_SIGN","OK","INVALID - SIGNED basis needs DERIVED_FROM_SIGN"),IF(OR($F37="INCREASE",$F37="DECREASE",$F37="—"),"OK","INVALID - static direction required")))</f>
        <v/>
      </c>
      <c r="O37" s="14" t="inlineStr">
        <is>
          <t>§3.5</t>
        </is>
      </c>
    </row>
    <row r="38" ht="15" customHeight="1" s="40">
      <c r="A38" s="14" t="inlineStr">
        <is>
          <t>Import</t>
        </is>
      </c>
      <c r="B38" s="14" t="inlineStr">
        <is>
          <t>LC_HONOUR_SIGHT</t>
        </is>
      </c>
      <c r="C38" s="14" t="inlineStr">
        <is>
          <t>APPLY_MARGIN</t>
        </is>
      </c>
      <c r="D38" s="14" t="n">
        <v>3</v>
      </c>
      <c r="E38" s="15" t="inlineStr">
        <is>
          <t>LC_CASH_MARGIN_DEPOSIT</t>
        </is>
      </c>
      <c r="F38" s="14" t="inlineStr">
        <is>
          <t>DECREASE</t>
        </is>
      </c>
      <c r="G38" s="25">
        <f t="array" ref="G38">IF(OR($F38="DERIVED_FROM_SIGN",$F38="MIRRORED"),"runtime",IFERROR(IF(INDEX(Balance_Taxonomy!$C$5:$C$400,MATCH($E38,Balance_Taxonomy!$B$5:$B$400,0))="Dr",IF($F38="INCREASE","Dr","Cr"),IF($F38="INCREASE","Cr","Dr")),"n/a"))</f>
        <v/>
      </c>
      <c r="H38" s="14" t="inlineStr">
        <is>
          <t>MARGIN_APPLIED</t>
        </is>
      </c>
      <c r="I38" s="15" t="inlineStr">
        <is>
          <t>document x margin_pct  (PRO RATA)</t>
        </is>
      </c>
      <c r="J38" s="14" t="inlineStr">
        <is>
          <t>POST</t>
        </is>
      </c>
      <c r="K38" s="25">
        <f>IF(OR($E38="—",LEFT($E38,1)="("),"n/a",IF(COUNTIF(Balance_Taxonomy!$B$5:$B$400,$E38)&gt;0,"OK","UNKNOWN TYPE"))</f>
        <v/>
      </c>
      <c r="L38" s="25">
        <f>IF(COUNTIF(Amount_Basis!$A$5:$A$100,$H38)&gt;0,"OK","UNKNOWN CODE")</f>
        <v/>
      </c>
      <c r="M38" s="25">
        <f>IF($F38="DERIVED_FROM_SIGN",IF($G38="runtime","OK","INVALID - must be runtime"),IF(OR($J38="POST",$J38="MEMO_ONLY"),IF(OR($G38="Dr",$G38="Cr"),"OK","INVALID - must derive"),IF(OR($G38="n/a",$G38="runtime"),"OK","INVALID - must be n/a")))</f>
        <v/>
      </c>
      <c r="N38" s="25">
        <f t="array" ref="N38">IF($J38="MIRROR",IF($F38="MIRRORED","OK","INVALID - MIRROR needs MIRRORED"),IF(IFERROR(INDEX(Amount_Basis!$D$5:$D$100,MATCH($H38,Amount_Basis!$A$5:$A$100,0)),"")="SIGNED",IF($F38="DERIVED_FROM_SIGN","OK","INVALID - SIGNED basis needs DERIVED_FROM_SIGN"),IF(OR($F38="INCREASE",$F38="DECREASE",$F38="—"),"OK","INVALID - static direction required")))</f>
        <v/>
      </c>
      <c r="O38" s="14" t="inlineStr">
        <is>
          <t>§3.5</t>
        </is>
      </c>
    </row>
    <row r="39" ht="15" customHeight="1" s="40">
      <c r="A39" s="14" t="inlineStr">
        <is>
          <t>Import</t>
        </is>
      </c>
      <c r="B39" s="14" t="inlineStr">
        <is>
          <t>LC_HONOUR_SIGHT</t>
        </is>
      </c>
      <c r="C39" s="14" t="inlineStr">
        <is>
          <t>APPLY_MARGIN</t>
        </is>
      </c>
      <c r="D39" s="14" t="n">
        <v>3</v>
      </c>
      <c r="E39" s="15" t="inlineStr">
        <is>
          <t>IMPORT_BILLS_RECEIVABLE</t>
        </is>
      </c>
      <c r="F39" s="14" t="inlineStr">
        <is>
          <t>DECREASE</t>
        </is>
      </c>
      <c r="G39" s="25">
        <f t="array" ref="G39">IF(OR($F39="DERIVED_FROM_SIGN",$F39="MIRRORED"),"runtime",IFERROR(IF(INDEX(Balance_Taxonomy!$C$5:$C$400,MATCH($E39,Balance_Taxonomy!$B$5:$B$400,0))="Dr",IF($F39="INCREASE","Dr","Cr"),IF($F39="INCREASE","Cr","Dr")),"n/a"))</f>
        <v/>
      </c>
      <c r="H39" s="14" t="inlineStr">
        <is>
          <t>MARGIN_APPLIED</t>
        </is>
      </c>
      <c r="I39" s="15" t="inlineStr">
        <is>
          <t>document x margin_pct  (PRO RATA)</t>
        </is>
      </c>
      <c r="J39" s="14" t="inlineStr">
        <is>
          <t>POST</t>
        </is>
      </c>
      <c r="K39" s="25">
        <f>IF(OR($E39="—",LEFT($E39,1)="("),"n/a",IF(COUNTIF(Balance_Taxonomy!$B$5:$B$400,$E39)&gt;0,"OK","UNKNOWN TYPE"))</f>
        <v/>
      </c>
      <c r="L39" s="25">
        <f>IF(COUNTIF(Amount_Basis!$A$5:$A$100,$H39)&gt;0,"OK","UNKNOWN CODE")</f>
        <v/>
      </c>
      <c r="M39" s="25">
        <f>IF($F39="DERIVED_FROM_SIGN",IF($G39="runtime","OK","INVALID - must be runtime"),IF(OR($J39="POST",$J39="MEMO_ONLY"),IF(OR($G39="Dr",$G39="Cr"),"OK","INVALID - must derive"),IF(OR($G39="n/a",$G39="runtime"),"OK","INVALID - must be n/a")))</f>
        <v/>
      </c>
      <c r="N39" s="25">
        <f t="array" ref="N39">IF($J39="MIRROR",IF($F39="MIRRORED","OK","INVALID - MIRROR needs MIRRORED"),IF(IFERROR(INDEX(Amount_Basis!$D$5:$D$100,MATCH($H39,Amount_Basis!$A$5:$A$100,0)),"")="SIGNED",IF($F39="DERIVED_FROM_SIGN","OK","INVALID - SIGNED basis needs DERIVED_FROM_SIGN"),IF(OR($F39="INCREASE",$F39="DECREASE",$F39="—"),"OK","INVALID - static direction required")))</f>
        <v/>
      </c>
      <c r="O39" s="14" t="inlineStr">
        <is>
          <t>§3.5</t>
        </is>
      </c>
    </row>
    <row r="40" ht="15" customHeight="1" s="40">
      <c r="A40" s="14" t="inlineStr">
        <is>
          <t>Import</t>
        </is>
      </c>
      <c r="B40" s="14" t="inlineStr">
        <is>
          <t>LC_HONOUR_SIGHT</t>
        </is>
      </c>
      <c r="C40" s="14" t="inlineStr">
        <is>
          <t>COLLECT_CUSTOMER</t>
        </is>
      </c>
      <c r="D40" s="14" t="n">
        <v>4</v>
      </c>
      <c r="E40" s="15" t="inlineStr">
        <is>
          <t>CUSTOMER_CURRENT_ACCOUNT</t>
        </is>
      </c>
      <c r="F40" s="14" t="inlineStr">
        <is>
          <t>DECREASE</t>
        </is>
      </c>
      <c r="G40" s="25">
        <f t="array" ref="G40">IF(OR($F40="DERIVED_FROM_SIGN",$F40="MIRRORED"),"runtime",IFERROR(IF(INDEX(Balance_Taxonomy!$C$5:$C$400,MATCH($E40,Balance_Taxonomy!$B$5:$B$400,0))="Dr",IF($F40="INCREASE","Dr","Cr"),IF($F40="INCREASE","Cr","Dr")),"n/a"))</f>
        <v/>
      </c>
      <c r="H40" s="14" t="inlineStr">
        <is>
          <t>CUSTOMER_FUNDING_REMAINDER</t>
        </is>
      </c>
      <c r="I40" s="15" t="inlineStr">
        <is>
          <t>document less margin applied</t>
        </is>
      </c>
      <c r="J40" s="14" t="inlineStr">
        <is>
          <t>POST</t>
        </is>
      </c>
      <c r="K40" s="25">
        <f>IF(OR($E40="—",LEFT($E40,1)="("),"n/a",IF(COUNTIF(Balance_Taxonomy!$B$5:$B$400,$E40)&gt;0,"OK","UNKNOWN TYPE"))</f>
        <v/>
      </c>
      <c r="L40" s="25">
        <f>IF(COUNTIF(Amount_Basis!$A$5:$A$100,$H40)&gt;0,"OK","UNKNOWN CODE")</f>
        <v/>
      </c>
      <c r="M40" s="25">
        <f>IF($F40="DERIVED_FROM_SIGN",IF($G40="runtime","OK","INVALID - must be runtime"),IF(OR($J40="POST",$J40="MEMO_ONLY"),IF(OR($G40="Dr",$G40="Cr"),"OK","INVALID - must derive"),IF(OR($G40="n/a",$G40="runtime"),"OK","INVALID - must be n/a")))</f>
        <v/>
      </c>
      <c r="N40" s="25">
        <f t="array" ref="N40">IF($J40="MIRROR",IF($F40="MIRRORED","OK","INVALID - MIRROR needs MIRRORED"),IF(IFERROR(INDEX(Amount_Basis!$D$5:$D$100,MATCH($H40,Amount_Basis!$A$5:$A$100,0)),"")="SIGNED",IF($F40="DERIVED_FROM_SIGN","OK","INVALID - SIGNED basis needs DERIVED_FROM_SIGN"),IF(OR($F40="INCREASE",$F40="DECREASE",$F40="—"),"OK","INVALID - static direction required")))</f>
        <v/>
      </c>
      <c r="O40" s="14" t="inlineStr">
        <is>
          <t>§3.5</t>
        </is>
      </c>
    </row>
    <row r="41" ht="15" customHeight="1" s="40">
      <c r="A41" s="14" t="inlineStr">
        <is>
          <t>Import</t>
        </is>
      </c>
      <c r="B41" s="14" t="inlineStr">
        <is>
          <t>LC_HONOUR_SIGHT</t>
        </is>
      </c>
      <c r="C41" s="14" t="inlineStr">
        <is>
          <t>COLLECT_CUSTOMER</t>
        </is>
      </c>
      <c r="D41" s="14" t="n">
        <v>4</v>
      </c>
      <c r="E41" s="15" t="inlineStr">
        <is>
          <t>IMPORT_BILLS_RECEIVABLE</t>
        </is>
      </c>
      <c r="F41" s="14" t="inlineStr">
        <is>
          <t>DECREASE</t>
        </is>
      </c>
      <c r="G41" s="25">
        <f t="array" ref="G41">IF(OR($F41="DERIVED_FROM_SIGN",$F41="MIRRORED"),"runtime",IFERROR(IF(INDEX(Balance_Taxonomy!$C$5:$C$400,MATCH($E41,Balance_Taxonomy!$B$5:$B$400,0))="Dr",IF($F41="INCREASE","Dr","Cr"),IF($F41="INCREASE","Cr","Dr")),"n/a"))</f>
        <v/>
      </c>
      <c r="H41" s="14" t="inlineStr">
        <is>
          <t>CUSTOMER_FUNDING_REMAINDER</t>
        </is>
      </c>
      <c r="I41" s="15" t="inlineStr">
        <is>
          <t>document less margin applied</t>
        </is>
      </c>
      <c r="J41" s="14" t="inlineStr">
        <is>
          <t>POST</t>
        </is>
      </c>
      <c r="K41" s="25">
        <f>IF(OR($E41="—",LEFT($E41,1)="("),"n/a",IF(COUNTIF(Balance_Taxonomy!$B$5:$B$400,$E41)&gt;0,"OK","UNKNOWN TYPE"))</f>
        <v/>
      </c>
      <c r="L41" s="25">
        <f>IF(COUNTIF(Amount_Basis!$A$5:$A$100,$H41)&gt;0,"OK","UNKNOWN CODE")</f>
        <v/>
      </c>
      <c r="M41" s="25">
        <f>IF($F41="DERIVED_FROM_SIGN",IF($G41="runtime","OK","INVALID - must be runtime"),IF(OR($J41="POST",$J41="MEMO_ONLY"),IF(OR($G41="Dr",$G41="Cr"),"OK","INVALID - must derive"),IF(OR($G41="n/a",$G41="runtime"),"OK","INVALID - must be n/a")))</f>
        <v/>
      </c>
      <c r="N41" s="25">
        <f t="array" ref="N41">IF($J41="MIRROR",IF($F41="MIRRORED","OK","INVALID - MIRROR needs MIRRORED"),IF(IFERROR(INDEX(Amount_Basis!$D$5:$D$100,MATCH($H41,Amount_Basis!$A$5:$A$100,0)),"")="SIGNED",IF($F41="DERIVED_FROM_SIGN","OK","INVALID - SIGNED basis needs DERIVED_FROM_SIGN"),IF(OR($F41="INCREASE",$F41="DECREASE",$F41="—"),"OK","INVALID - static direction required")))</f>
        <v/>
      </c>
      <c r="O41" s="14" t="inlineStr">
        <is>
          <t>§3.5</t>
        </is>
      </c>
    </row>
    <row r="42" ht="15" customHeight="1" s="40">
      <c r="A42" s="14" t="inlineStr">
        <is>
          <t>Import</t>
        </is>
      </c>
      <c r="B42" s="14" t="inlineStr">
        <is>
          <t>LC_HONOUR_SIGHT</t>
        </is>
      </c>
      <c r="C42" s="14" t="inlineStr">
        <is>
          <t>SETTLE_NOSTRO</t>
        </is>
      </c>
      <c r="D42" s="14" t="n">
        <v>5</v>
      </c>
      <c r="E42" s="15" t="inlineStr">
        <is>
          <t>LC_SETTLEMENT_PAYABLE</t>
        </is>
      </c>
      <c r="F42" s="14" t="inlineStr">
        <is>
          <t>DECREASE</t>
        </is>
      </c>
      <c r="G42" s="25">
        <f t="array" ref="G42">IF(OR($F42="DERIVED_FROM_SIGN",$F42="MIRRORED"),"runtime",IFERROR(IF(INDEX(Balance_Taxonomy!$C$5:$C$400,MATCH($E42,Balance_Taxonomy!$B$5:$B$400,0))="Dr",IF($F42="INCREASE","Dr","Cr"),IF($F42="INCREASE","Cr","Dr")),"n/a"))</f>
        <v/>
      </c>
      <c r="H42" s="14" t="inlineStr">
        <is>
          <t>DOCUMENT_AMOUNT</t>
        </is>
      </c>
      <c r="I42" s="15" t="inlineStr">
        <is>
          <t>document</t>
        </is>
      </c>
      <c r="J42" s="14" t="inlineStr">
        <is>
          <t>POST</t>
        </is>
      </c>
      <c r="K42" s="25">
        <f>IF(OR($E42="—",LEFT($E42,1)="("),"n/a",IF(COUNTIF(Balance_Taxonomy!$B$5:$B$400,$E42)&gt;0,"OK","UNKNOWN TYPE"))</f>
        <v/>
      </c>
      <c r="L42" s="25">
        <f>IF(COUNTIF(Amount_Basis!$A$5:$A$100,$H42)&gt;0,"OK","UNKNOWN CODE")</f>
        <v/>
      </c>
      <c r="M42" s="25">
        <f>IF($F42="DERIVED_FROM_SIGN",IF($G42="runtime","OK","INVALID - must be runtime"),IF(OR($J42="POST",$J42="MEMO_ONLY"),IF(OR($G42="Dr",$G42="Cr"),"OK","INVALID - must derive"),IF(OR($G42="n/a",$G42="runtime"),"OK","INVALID - must be n/a")))</f>
        <v/>
      </c>
      <c r="N42" s="25">
        <f t="array" ref="N42">IF($J42="MIRROR",IF($F42="MIRRORED","OK","INVALID - MIRROR needs MIRRORED"),IF(IFERROR(INDEX(Amount_Basis!$D$5:$D$100,MATCH($H42,Amount_Basis!$A$5:$A$100,0)),"")="SIGNED",IF($F42="DERIVED_FROM_SIGN","OK","INVALID - SIGNED basis needs DERIVED_FROM_SIGN"),IF(OR($F42="INCREASE",$F42="DECREASE",$F42="—"),"OK","INVALID - static direction required")))</f>
        <v/>
      </c>
      <c r="O42" s="14" t="inlineStr">
        <is>
          <t>§3.5</t>
        </is>
      </c>
    </row>
    <row r="43" ht="15" customHeight="1" s="40">
      <c r="A43" s="14" t="inlineStr">
        <is>
          <t>Import</t>
        </is>
      </c>
      <c r="B43" s="14" t="inlineStr">
        <is>
          <t>LC_HONOUR_SIGHT</t>
        </is>
      </c>
      <c r="C43" s="14" t="inlineStr">
        <is>
          <t>SETTLE_NOSTRO</t>
        </is>
      </c>
      <c r="D43" s="14" t="n">
        <v>5</v>
      </c>
      <c r="E43" s="15" t="inlineStr">
        <is>
          <t>NOSTRO</t>
        </is>
      </c>
      <c r="F43" s="14" t="inlineStr">
        <is>
          <t>DECREASE</t>
        </is>
      </c>
      <c r="G43" s="25">
        <f t="array" ref="G43">IF(OR($F43="DERIVED_FROM_SIGN",$F43="MIRRORED"),"runtime",IFERROR(IF(INDEX(Balance_Taxonomy!$C$5:$C$400,MATCH($E43,Balance_Taxonomy!$B$5:$B$400,0))="Dr",IF($F43="INCREASE","Dr","Cr"),IF($F43="INCREASE","Cr","Dr")),"n/a"))</f>
        <v/>
      </c>
      <c r="H43" s="14" t="inlineStr">
        <is>
          <t>DOCUMENT_AMOUNT</t>
        </is>
      </c>
      <c r="I43" s="15" t="inlineStr">
        <is>
          <t>document</t>
        </is>
      </c>
      <c r="J43" s="14" t="inlineStr">
        <is>
          <t>POST</t>
        </is>
      </c>
      <c r="K43" s="25">
        <f>IF(OR($E43="—",LEFT($E43,1)="("),"n/a",IF(COUNTIF(Balance_Taxonomy!$B$5:$B$400,$E43)&gt;0,"OK","UNKNOWN TYPE"))</f>
        <v/>
      </c>
      <c r="L43" s="25">
        <f>IF(COUNTIF(Amount_Basis!$A$5:$A$100,$H43)&gt;0,"OK","UNKNOWN CODE")</f>
        <v/>
      </c>
      <c r="M43" s="25">
        <f>IF($F43="DERIVED_FROM_SIGN",IF($G43="runtime","OK","INVALID - must be runtime"),IF(OR($J43="POST",$J43="MEMO_ONLY"),IF(OR($G43="Dr",$G43="Cr"),"OK","INVALID - must derive"),IF(OR($G43="n/a",$G43="runtime"),"OK","INVALID - must be n/a")))</f>
        <v/>
      </c>
      <c r="N43" s="25">
        <f t="array" ref="N43">IF($J43="MIRROR",IF($F43="MIRRORED","OK","INVALID - MIRROR needs MIRRORED"),IF(IFERROR(INDEX(Amount_Basis!$D$5:$D$100,MATCH($H43,Amount_Basis!$A$5:$A$100,0)),"")="SIGNED",IF($F43="DERIVED_FROM_SIGN","OK","INVALID - SIGNED basis needs DERIVED_FROM_SIGN"),IF(OR($F43="INCREASE",$F43="DECREASE",$F43="—"),"OK","INVALID - static direction required")))</f>
        <v/>
      </c>
      <c r="O43" s="14" t="inlineStr">
        <is>
          <t>§3.5</t>
        </is>
      </c>
    </row>
    <row r="44" ht="15" customHeight="1" s="40">
      <c r="A44" s="14" t="inlineStr">
        <is>
          <t>Import</t>
        </is>
      </c>
      <c r="B44" s="14" t="inlineStr">
        <is>
          <t>LC_HONOUR_SIGHT</t>
        </is>
      </c>
      <c r="C44" s="14" t="inlineStr">
        <is>
          <t>RELEASE_ECL</t>
        </is>
      </c>
      <c r="D44" s="14" t="n">
        <v>6</v>
      </c>
      <c r="E44" s="15" t="inlineStr">
        <is>
          <t>PROVISION_OFFBS</t>
        </is>
      </c>
      <c r="F44" s="14" t="inlineStr">
        <is>
          <t>DECREASE</t>
        </is>
      </c>
      <c r="G44" s="25">
        <f t="array" ref="G44">IF(OR($F44="DERIVED_FROM_SIGN",$F44="MIRRORED"),"runtime",IFERROR(IF(INDEX(Balance_Taxonomy!$C$5:$C$400,MATCH($E44,Balance_Taxonomy!$B$5:$B$400,0))="Dr",IF($F44="INCREASE","Dr","Cr"),IF($F44="INCREASE","Cr","Dr")),"n/a"))</f>
        <v/>
      </c>
      <c r="H44" s="14" t="inlineStr">
        <is>
          <t>ECL_RELEASED</t>
        </is>
      </c>
      <c r="I44" s="15" t="inlineStr">
        <is>
          <t>ECL on released contingent</t>
        </is>
      </c>
      <c r="J44" s="14" t="inlineStr">
        <is>
          <t>POST</t>
        </is>
      </c>
      <c r="K44" s="25">
        <f>IF(OR($E44="—",LEFT($E44,1)="("),"n/a",IF(COUNTIF(Balance_Taxonomy!$B$5:$B$400,$E44)&gt;0,"OK","UNKNOWN TYPE"))</f>
        <v/>
      </c>
      <c r="L44" s="25">
        <f>IF(COUNTIF(Amount_Basis!$A$5:$A$100,$H44)&gt;0,"OK","UNKNOWN CODE")</f>
        <v/>
      </c>
      <c r="M44" s="25">
        <f>IF($F44="DERIVED_FROM_SIGN",IF($G44="runtime","OK","INVALID - must be runtime"),IF(OR($J44="POST",$J44="MEMO_ONLY"),IF(OR($G44="Dr",$G44="Cr"),"OK","INVALID - must derive"),IF(OR($G44="n/a",$G44="runtime"),"OK","INVALID - must be n/a")))</f>
        <v/>
      </c>
      <c r="N44" s="25">
        <f t="array" ref="N44">IF($J44="MIRROR",IF($F44="MIRRORED","OK","INVALID - MIRROR needs MIRRORED"),IF(IFERROR(INDEX(Amount_Basis!$D$5:$D$100,MATCH($H44,Amount_Basis!$A$5:$A$100,0)),"")="SIGNED",IF($F44="DERIVED_FROM_SIGN","OK","INVALID - SIGNED basis needs DERIVED_FROM_SIGN"),IF(OR($F44="INCREASE",$F44="DECREASE",$F44="—"),"OK","INVALID - static direction required")))</f>
        <v/>
      </c>
      <c r="O44" s="14" t="inlineStr">
        <is>
          <t>§3.5</t>
        </is>
      </c>
    </row>
    <row r="45" ht="15" customHeight="1" s="40">
      <c r="A45" s="14" t="inlineStr">
        <is>
          <t>Import</t>
        </is>
      </c>
      <c r="B45" s="14" t="inlineStr">
        <is>
          <t>LC_HONOUR_SIGHT</t>
        </is>
      </c>
      <c r="C45" s="14" t="inlineStr">
        <is>
          <t>RELEASE_ECL</t>
        </is>
      </c>
      <c r="D45" s="14" t="n">
        <v>6</v>
      </c>
      <c r="E45" s="15" t="inlineStr">
        <is>
          <t>IMPAIRMENT_CHARGE_OFFBS</t>
        </is>
      </c>
      <c r="F45" s="14" t="inlineStr">
        <is>
          <t>DECREASE</t>
        </is>
      </c>
      <c r="G45" s="25">
        <f t="array" ref="G45">IF(OR($F45="DERIVED_FROM_SIGN",$F45="MIRRORED"),"runtime",IFERROR(IF(INDEX(Balance_Taxonomy!$C$5:$C$400,MATCH($E45,Balance_Taxonomy!$B$5:$B$400,0))="Dr",IF($F45="INCREASE","Dr","Cr"),IF($F45="INCREASE","Cr","Dr")),"n/a"))</f>
        <v/>
      </c>
      <c r="H45" s="14" t="inlineStr">
        <is>
          <t>ECL_RELEASED</t>
        </is>
      </c>
      <c r="I45" s="15" t="inlineStr">
        <is>
          <t>ECL on released contingent</t>
        </is>
      </c>
      <c r="J45" s="14" t="inlineStr">
        <is>
          <t>POST</t>
        </is>
      </c>
      <c r="K45" s="25">
        <f>IF(OR($E45="—",LEFT($E45,1)="("),"n/a",IF(COUNTIF(Balance_Taxonomy!$B$5:$B$400,$E45)&gt;0,"OK","UNKNOWN TYPE"))</f>
        <v/>
      </c>
      <c r="L45" s="25">
        <f>IF(COUNTIF(Amount_Basis!$A$5:$A$100,$H45)&gt;0,"OK","UNKNOWN CODE")</f>
        <v/>
      </c>
      <c r="M45" s="25">
        <f>IF($F45="DERIVED_FROM_SIGN",IF($G45="runtime","OK","INVALID - must be runtime"),IF(OR($J45="POST",$J45="MEMO_ONLY"),IF(OR($G45="Dr",$G45="Cr"),"OK","INVALID - must derive"),IF(OR($G45="n/a",$G45="runtime"),"OK","INVALID - must be n/a")))</f>
        <v/>
      </c>
      <c r="N45" s="25">
        <f t="array" ref="N45">IF($J45="MIRROR",IF($F45="MIRRORED","OK","INVALID - MIRROR needs MIRRORED"),IF(IFERROR(INDEX(Amount_Basis!$D$5:$D$100,MATCH($H45,Amount_Basis!$A$5:$A$100,0)),"")="SIGNED",IF($F45="DERIVED_FROM_SIGN","OK","INVALID - SIGNED basis needs DERIVED_FROM_SIGN"),IF(OR($F45="INCREASE",$F45="DECREASE",$F45="—"),"OK","INVALID - static direction required")))</f>
        <v/>
      </c>
      <c r="O45" s="14" t="inlineStr">
        <is>
          <t>§3.5</t>
        </is>
      </c>
    </row>
    <row r="46" ht="15" customHeight="1" s="40">
      <c r="A46" s="19" t="inlineStr">
        <is>
          <t>Import</t>
        </is>
      </c>
      <c r="B46" s="19" t="inlineStr">
        <is>
          <t>LC_HONOUR_BU_A</t>
        </is>
      </c>
      <c r="C46" s="19" t="inlineStr">
        <is>
          <t>RELEASE_CONTINGENT</t>
        </is>
      </c>
      <c r="D46" s="19" t="n">
        <v>1</v>
      </c>
      <c r="E46" s="21" t="inlineStr">
        <is>
          <t>LC_OUTSTANDING</t>
        </is>
      </c>
      <c r="F46" s="19" t="inlineStr">
        <is>
          <t>DECREASE</t>
        </is>
      </c>
      <c r="G46" s="29">
        <f t="array" ref="G46">IF(OR($F46="DERIVED_FROM_SIGN",$F46="MIRRORED"),"runtime",IFERROR(IF(INDEX(Balance_Taxonomy!$C$5:$C$400,MATCH($E46,Balance_Taxonomy!$B$5:$B$400,0))="Dr",IF($F46="INCREASE","Dr","Cr"),IF($F46="INCREASE","Cr","Dr")),"n/a"))</f>
        <v/>
      </c>
      <c r="H46" s="19" t="inlineStr">
        <is>
          <t>DOCUMENT_AMOUNT</t>
        </is>
      </c>
      <c r="I46" s="21" t="inlineStr">
        <is>
          <t>document</t>
        </is>
      </c>
      <c r="J46" s="19" t="inlineStr">
        <is>
          <t>POST</t>
        </is>
      </c>
      <c r="K46" s="29">
        <f>IF(OR($E46="—",LEFT($E46,1)="("),"n/a",IF(COUNTIF(Balance_Taxonomy!$B$5:$B$400,$E46)&gt;0,"OK","UNKNOWN TYPE"))</f>
        <v/>
      </c>
      <c r="L46" s="29">
        <f>IF(COUNTIF(Amount_Basis!$A$5:$A$100,$H46)&gt;0,"OK","UNKNOWN CODE")</f>
        <v/>
      </c>
      <c r="M46" s="29">
        <f>IF($F46="DERIVED_FROM_SIGN",IF($G46="runtime","OK","INVALID - must be runtime"),IF(OR($J46="POST",$J46="MEMO_ONLY"),IF(OR($G46="Dr",$G46="Cr"),"OK","INVALID - must derive"),IF(OR($G46="n/a",$G46="runtime"),"OK","INVALID - must be n/a")))</f>
        <v/>
      </c>
      <c r="N46" s="29">
        <f t="array" ref="N46">IF($J46="MIRROR",IF($F46="MIRRORED","OK","INVALID - MIRROR needs MIRRORED"),IF(IFERROR(INDEX(Amount_Basis!$D$5:$D$100,MATCH($H46,Amount_Basis!$A$5:$A$100,0)),"")="SIGNED",IF($F46="DERIVED_FROM_SIGN","OK","INVALID - SIGNED basis needs DERIVED_FROM_SIGN"),IF(OR($F46="INCREASE",$F46="DECREASE",$F46="—"),"OK","INVALID - static direction required")))</f>
        <v/>
      </c>
      <c r="O46" s="19" t="inlineStr">
        <is>
          <t>§3.6</t>
        </is>
      </c>
    </row>
    <row r="47" ht="15" customHeight="1" s="40">
      <c r="A47" s="19" t="inlineStr">
        <is>
          <t>Import</t>
        </is>
      </c>
      <c r="B47" s="19" t="inlineStr">
        <is>
          <t>LC_HONOUR_BU_A</t>
        </is>
      </c>
      <c r="C47" s="19" t="inlineStr">
        <is>
          <t>RELEASE_CONTINGENT</t>
        </is>
      </c>
      <c r="D47" s="19" t="n">
        <v>1</v>
      </c>
      <c r="E47" s="21" t="inlineStr">
        <is>
          <t>LC_CUSTOMER_LIABILITY</t>
        </is>
      </c>
      <c r="F47" s="19" t="inlineStr">
        <is>
          <t>DECREASE</t>
        </is>
      </c>
      <c r="G47" s="29">
        <f t="array" ref="G47">IF(OR($F47="DERIVED_FROM_SIGN",$F47="MIRRORED"),"runtime",IFERROR(IF(INDEX(Balance_Taxonomy!$C$5:$C$400,MATCH($E47,Balance_Taxonomy!$B$5:$B$400,0))="Dr",IF($F47="INCREASE","Dr","Cr"),IF($F47="INCREASE","Cr","Dr")),"n/a"))</f>
        <v/>
      </c>
      <c r="H47" s="19" t="inlineStr">
        <is>
          <t>DOCUMENT_AMOUNT</t>
        </is>
      </c>
      <c r="I47" s="21" t="inlineStr">
        <is>
          <t>document</t>
        </is>
      </c>
      <c r="J47" s="19" t="inlineStr">
        <is>
          <t>POST</t>
        </is>
      </c>
      <c r="K47" s="29">
        <f>IF(OR($E47="—",LEFT($E47,1)="("),"n/a",IF(COUNTIF(Balance_Taxonomy!$B$5:$B$400,$E47)&gt;0,"OK","UNKNOWN TYPE"))</f>
        <v/>
      </c>
      <c r="L47" s="29">
        <f>IF(COUNTIF(Amount_Basis!$A$5:$A$100,$H47)&gt;0,"OK","UNKNOWN CODE")</f>
        <v/>
      </c>
      <c r="M47" s="29">
        <f>IF($F47="DERIVED_FROM_SIGN",IF($G47="runtime","OK","INVALID - must be runtime"),IF(OR($J47="POST",$J47="MEMO_ONLY"),IF(OR($G47="Dr",$G47="Cr"),"OK","INVALID - must derive"),IF(OR($G47="n/a",$G47="runtime"),"OK","INVALID - must be n/a")))</f>
        <v/>
      </c>
      <c r="N47" s="29">
        <f t="array" ref="N47">IF($J47="MIRROR",IF($F47="MIRRORED","OK","INVALID - MIRROR needs MIRRORED"),IF(IFERROR(INDEX(Amount_Basis!$D$5:$D$100,MATCH($H47,Amount_Basis!$A$5:$A$100,0)),"")="SIGNED",IF($F47="DERIVED_FROM_SIGN","OK","INVALID - SIGNED basis needs DERIVED_FROM_SIGN"),IF(OR($F47="INCREASE",$F47="DECREASE",$F47="—"),"OK","INVALID - static direction required")))</f>
        <v/>
      </c>
      <c r="O47" s="19" t="inlineStr">
        <is>
          <t>§3.6</t>
        </is>
      </c>
    </row>
    <row r="48" ht="15" customHeight="1" s="40">
      <c r="A48" s="19" t="inlineStr">
        <is>
          <t>Import</t>
        </is>
      </c>
      <c r="B48" s="19" t="inlineStr">
        <is>
          <t>LC_HONOUR_BU_A</t>
        </is>
      </c>
      <c r="C48" s="19" t="inlineStr">
        <is>
          <t>FUND_FROM_OWN_BOOK</t>
        </is>
      </c>
      <c r="D48" s="19" t="n">
        <v>2</v>
      </c>
      <c r="E48" s="21" t="inlineStr">
        <is>
          <t>IMPORT_USANCE_FINANCING</t>
        </is>
      </c>
      <c r="F48" s="19" t="inlineStr">
        <is>
          <t>INCREASE</t>
        </is>
      </c>
      <c r="G48" s="29">
        <f t="array" ref="G48">IF(OR($F48="DERIVED_FROM_SIGN",$F48="MIRRORED"),"runtime",IFERROR(IF(INDEX(Balance_Taxonomy!$C$5:$C$400,MATCH($E48,Balance_Taxonomy!$B$5:$B$400,0))="Dr",IF($F48="INCREASE","Dr","Cr"),IF($F48="INCREASE","Cr","Dr")),"n/a"))</f>
        <v/>
      </c>
      <c r="H48" s="19" t="inlineStr">
        <is>
          <t>DOCUMENT_AMOUNT</t>
        </is>
      </c>
      <c r="I48" s="21" t="inlineStr">
        <is>
          <t>document</t>
        </is>
      </c>
      <c r="J48" s="19" t="inlineStr">
        <is>
          <t>POST</t>
        </is>
      </c>
      <c r="K48" s="29">
        <f>IF(OR($E48="—",LEFT($E48,1)="("),"n/a",IF(COUNTIF(Balance_Taxonomy!$B$5:$B$400,$E48)&gt;0,"OK","UNKNOWN TYPE"))</f>
        <v/>
      </c>
      <c r="L48" s="29">
        <f>IF(COUNTIF(Amount_Basis!$A$5:$A$100,$H48)&gt;0,"OK","UNKNOWN CODE")</f>
        <v/>
      </c>
      <c r="M48" s="29">
        <f>IF($F48="DERIVED_FROM_SIGN",IF($G48="runtime","OK","INVALID - must be runtime"),IF(OR($J48="POST",$J48="MEMO_ONLY"),IF(OR($G48="Dr",$G48="Cr"),"OK","INVALID - must derive"),IF(OR($G48="n/a",$G48="runtime"),"OK","INVALID - must be n/a")))</f>
        <v/>
      </c>
      <c r="N48" s="29">
        <f t="array" ref="N48">IF($J48="MIRROR",IF($F48="MIRRORED","OK","INVALID - MIRROR needs MIRRORED"),IF(IFERROR(INDEX(Amount_Basis!$D$5:$D$100,MATCH($H48,Amount_Basis!$A$5:$A$100,0)),"")="SIGNED",IF($F48="DERIVED_FROM_SIGN","OK","INVALID - SIGNED basis needs DERIVED_FROM_SIGN"),IF(OR($F48="INCREASE",$F48="DECREASE",$F48="—"),"OK","INVALID - static direction required")))</f>
        <v/>
      </c>
      <c r="O48" s="19" t="inlineStr">
        <is>
          <t>§3.6</t>
        </is>
      </c>
    </row>
    <row r="49" ht="15" customHeight="1" s="40">
      <c r="A49" s="19" t="inlineStr">
        <is>
          <t>Import</t>
        </is>
      </c>
      <c r="B49" s="19" t="inlineStr">
        <is>
          <t>LC_HONOUR_BU_A</t>
        </is>
      </c>
      <c r="C49" s="19" t="inlineStr">
        <is>
          <t>FUND_FROM_OWN_BOOK</t>
        </is>
      </c>
      <c r="D49" s="19" t="n">
        <v>2</v>
      </c>
      <c r="E49" s="21" t="inlineStr">
        <is>
          <t>LC_SETTLEMENT_PAYABLE</t>
        </is>
      </c>
      <c r="F49" s="19" t="inlineStr">
        <is>
          <t>INCREASE</t>
        </is>
      </c>
      <c r="G49" s="29">
        <f t="array" ref="G49">IF(OR($F49="DERIVED_FROM_SIGN",$F49="MIRRORED"),"runtime",IFERROR(IF(INDEX(Balance_Taxonomy!$C$5:$C$400,MATCH($E49,Balance_Taxonomy!$B$5:$B$400,0))="Dr",IF($F49="INCREASE","Dr","Cr"),IF($F49="INCREASE","Cr","Dr")),"n/a"))</f>
        <v/>
      </c>
      <c r="H49" s="19" t="inlineStr">
        <is>
          <t>DOCUMENT_AMOUNT</t>
        </is>
      </c>
      <c r="I49" s="21" t="inlineStr">
        <is>
          <t>document</t>
        </is>
      </c>
      <c r="J49" s="19" t="inlineStr">
        <is>
          <t>POST</t>
        </is>
      </c>
      <c r="K49" s="29">
        <f>IF(OR($E49="—",LEFT($E49,1)="("),"n/a",IF(COUNTIF(Balance_Taxonomy!$B$5:$B$400,$E49)&gt;0,"OK","UNKNOWN TYPE"))</f>
        <v/>
      </c>
      <c r="L49" s="29">
        <f>IF(COUNTIF(Amount_Basis!$A$5:$A$100,$H49)&gt;0,"OK","UNKNOWN CODE")</f>
        <v/>
      </c>
      <c r="M49" s="29">
        <f>IF($F49="DERIVED_FROM_SIGN",IF($G49="runtime","OK","INVALID - must be runtime"),IF(OR($J49="POST",$J49="MEMO_ONLY"),IF(OR($G49="Dr",$G49="Cr"),"OK","INVALID - must derive"),IF(OR($G49="n/a",$G49="runtime"),"OK","INVALID - must be n/a")))</f>
        <v/>
      </c>
      <c r="N49" s="29">
        <f t="array" ref="N49">IF($J49="MIRROR",IF($F49="MIRRORED","OK","INVALID - MIRROR needs MIRRORED"),IF(IFERROR(INDEX(Amount_Basis!$D$5:$D$100,MATCH($H49,Amount_Basis!$A$5:$A$100,0)),"")="SIGNED",IF($F49="DERIVED_FROM_SIGN","OK","INVALID - SIGNED basis needs DERIVED_FROM_SIGN"),IF(OR($F49="INCREASE",$F49="DECREASE",$F49="—"),"OK","INVALID - static direction required")))</f>
        <v/>
      </c>
      <c r="O49" s="19" t="inlineStr">
        <is>
          <t>§3.6</t>
        </is>
      </c>
    </row>
    <row r="50" ht="15" customHeight="1" s="40">
      <c r="A50" s="19" t="inlineStr">
        <is>
          <t>Import</t>
        </is>
      </c>
      <c r="B50" s="19" t="inlineStr">
        <is>
          <t>LC_HONOUR_BU_A</t>
        </is>
      </c>
      <c r="C50" s="19" t="inlineStr">
        <is>
          <t>SETTLE_NOSTRO</t>
        </is>
      </c>
      <c r="D50" s="19" t="n">
        <v>3</v>
      </c>
      <c r="E50" s="21" t="inlineStr">
        <is>
          <t>LC_SETTLEMENT_PAYABLE</t>
        </is>
      </c>
      <c r="F50" s="19" t="inlineStr">
        <is>
          <t>DECREASE</t>
        </is>
      </c>
      <c r="G50" s="29">
        <f t="array" ref="G50">IF(OR($F50="DERIVED_FROM_SIGN",$F50="MIRRORED"),"runtime",IFERROR(IF(INDEX(Balance_Taxonomy!$C$5:$C$400,MATCH($E50,Balance_Taxonomy!$B$5:$B$400,0))="Dr",IF($F50="INCREASE","Dr","Cr"),IF($F50="INCREASE","Cr","Dr")),"n/a"))</f>
        <v/>
      </c>
      <c r="H50" s="19" t="inlineStr">
        <is>
          <t>DOCUMENT_AMOUNT</t>
        </is>
      </c>
      <c r="I50" s="21" t="inlineStr">
        <is>
          <t>document</t>
        </is>
      </c>
      <c r="J50" s="19" t="inlineStr">
        <is>
          <t>POST</t>
        </is>
      </c>
      <c r="K50" s="29">
        <f>IF(OR($E50="—",LEFT($E50,1)="("),"n/a",IF(COUNTIF(Balance_Taxonomy!$B$5:$B$400,$E50)&gt;0,"OK","UNKNOWN TYPE"))</f>
        <v/>
      </c>
      <c r="L50" s="29">
        <f>IF(COUNTIF(Amount_Basis!$A$5:$A$100,$H50)&gt;0,"OK","UNKNOWN CODE")</f>
        <v/>
      </c>
      <c r="M50" s="29">
        <f>IF($F50="DERIVED_FROM_SIGN",IF($G50="runtime","OK","INVALID - must be runtime"),IF(OR($J50="POST",$J50="MEMO_ONLY"),IF(OR($G50="Dr",$G50="Cr"),"OK","INVALID - must derive"),IF(OR($G50="n/a",$G50="runtime"),"OK","INVALID - must be n/a")))</f>
        <v/>
      </c>
      <c r="N50" s="29">
        <f t="array" ref="N50">IF($J50="MIRROR",IF($F50="MIRRORED","OK","INVALID - MIRROR needs MIRRORED"),IF(IFERROR(INDEX(Amount_Basis!$D$5:$D$100,MATCH($H50,Amount_Basis!$A$5:$A$100,0)),"")="SIGNED",IF($F50="DERIVED_FROM_SIGN","OK","INVALID - SIGNED basis needs DERIVED_FROM_SIGN"),IF(OR($F50="INCREASE",$F50="DECREASE",$F50="—"),"OK","INVALID - static direction required")))</f>
        <v/>
      </c>
      <c r="O50" s="19" t="inlineStr">
        <is>
          <t>§3.6</t>
        </is>
      </c>
    </row>
    <row r="51" ht="15" customHeight="1" s="40">
      <c r="A51" s="19" t="inlineStr">
        <is>
          <t>Import</t>
        </is>
      </c>
      <c r="B51" s="19" t="inlineStr">
        <is>
          <t>LC_HONOUR_BU_A</t>
        </is>
      </c>
      <c r="C51" s="19" t="inlineStr">
        <is>
          <t>SETTLE_NOSTRO</t>
        </is>
      </c>
      <c r="D51" s="19" t="n">
        <v>3</v>
      </c>
      <c r="E51" s="21" t="inlineStr">
        <is>
          <t>NOSTRO</t>
        </is>
      </c>
      <c r="F51" s="19" t="inlineStr">
        <is>
          <t>DECREASE</t>
        </is>
      </c>
      <c r="G51" s="29">
        <f t="array" ref="G51">IF(OR($F51="DERIVED_FROM_SIGN",$F51="MIRRORED"),"runtime",IFERROR(IF(INDEX(Balance_Taxonomy!$C$5:$C$400,MATCH($E51,Balance_Taxonomy!$B$5:$B$400,0))="Dr",IF($F51="INCREASE","Dr","Cr"),IF($F51="INCREASE","Cr","Dr")),"n/a"))</f>
        <v/>
      </c>
      <c r="H51" s="19" t="inlineStr">
        <is>
          <t>DOCUMENT_AMOUNT</t>
        </is>
      </c>
      <c r="I51" s="21" t="inlineStr">
        <is>
          <t>document</t>
        </is>
      </c>
      <c r="J51" s="19" t="inlineStr">
        <is>
          <t>POST</t>
        </is>
      </c>
      <c r="K51" s="29">
        <f>IF(OR($E51="—",LEFT($E51,1)="("),"n/a",IF(COUNTIF(Balance_Taxonomy!$B$5:$B$400,$E51)&gt;0,"OK","UNKNOWN TYPE"))</f>
        <v/>
      </c>
      <c r="L51" s="29">
        <f>IF(COUNTIF(Amount_Basis!$A$5:$A$100,$H51)&gt;0,"OK","UNKNOWN CODE")</f>
        <v/>
      </c>
      <c r="M51" s="29">
        <f>IF($F51="DERIVED_FROM_SIGN",IF($G51="runtime","OK","INVALID - must be runtime"),IF(OR($J51="POST",$J51="MEMO_ONLY"),IF(OR($G51="Dr",$G51="Cr"),"OK","INVALID - must derive"),IF(OR($G51="n/a",$G51="runtime"),"OK","INVALID - must be n/a")))</f>
        <v/>
      </c>
      <c r="N51" s="29">
        <f t="array" ref="N51">IF($J51="MIRROR",IF($F51="MIRRORED","OK","INVALID - MIRROR needs MIRRORED"),IF(IFERROR(INDEX(Amount_Basis!$D$5:$D$100,MATCH($H51,Amount_Basis!$A$5:$A$100,0)),"")="SIGNED",IF($F51="DERIVED_FROM_SIGN","OK","INVALID - SIGNED basis needs DERIVED_FROM_SIGN"),IF(OR($F51="INCREASE",$F51="DECREASE",$F51="—"),"OK","INVALID - static direction required")))</f>
        <v/>
      </c>
      <c r="O51" s="19" t="inlineStr">
        <is>
          <t>§3.6</t>
        </is>
      </c>
    </row>
    <row r="52" ht="15" customHeight="1" s="40">
      <c r="A52" s="14" t="inlineStr">
        <is>
          <t>Import</t>
        </is>
      </c>
      <c r="B52" s="14" t="inlineStr">
        <is>
          <t>LC_HONOUR_BU_B</t>
        </is>
      </c>
      <c r="C52" s="14" t="inlineStr">
        <is>
          <t>RELEASE_CONTINGENT</t>
        </is>
      </c>
      <c r="D52" s="14" t="n">
        <v>1</v>
      </c>
      <c r="E52" s="15" t="inlineStr">
        <is>
          <t>LC_OUTSTANDING</t>
        </is>
      </c>
      <c r="F52" s="14" t="inlineStr">
        <is>
          <t>DECREASE</t>
        </is>
      </c>
      <c r="G52" s="25">
        <f t="array" ref="G52">IF(OR($F52="DERIVED_FROM_SIGN",$F52="MIRRORED"),"runtime",IFERROR(IF(INDEX(Balance_Taxonomy!$C$5:$C$400,MATCH($E52,Balance_Taxonomy!$B$5:$B$400,0))="Dr",IF($F52="INCREASE","Dr","Cr"),IF($F52="INCREASE","Cr","Dr")),"n/a"))</f>
        <v/>
      </c>
      <c r="H52" s="14" t="inlineStr">
        <is>
          <t>DOCUMENT_AMOUNT</t>
        </is>
      </c>
      <c r="I52" s="15" t="inlineStr">
        <is>
          <t>document</t>
        </is>
      </c>
      <c r="J52" s="14" t="inlineStr">
        <is>
          <t>POST</t>
        </is>
      </c>
      <c r="K52" s="25">
        <f>IF(OR($E52="—",LEFT($E52,1)="("),"n/a",IF(COUNTIF(Balance_Taxonomy!$B$5:$B$400,$E52)&gt;0,"OK","UNKNOWN TYPE"))</f>
        <v/>
      </c>
      <c r="L52" s="25">
        <f>IF(COUNTIF(Amount_Basis!$A$5:$A$100,$H52)&gt;0,"OK","UNKNOWN CODE")</f>
        <v/>
      </c>
      <c r="M52" s="25">
        <f>IF($F52="DERIVED_FROM_SIGN",IF($G52="runtime","OK","INVALID - must be runtime"),IF(OR($J52="POST",$J52="MEMO_ONLY"),IF(OR($G52="Dr",$G52="Cr"),"OK","INVALID - must derive"),IF(OR($G52="n/a",$G52="runtime"),"OK","INVALID - must be n/a")))</f>
        <v/>
      </c>
      <c r="N52" s="25">
        <f t="array" ref="N52">IF($J52="MIRROR",IF($F52="MIRRORED","OK","INVALID - MIRROR needs MIRRORED"),IF(IFERROR(INDEX(Amount_Basis!$D$5:$D$100,MATCH($H52,Amount_Basis!$A$5:$A$100,0)),"")="SIGNED",IF($F52="DERIVED_FROM_SIGN","OK","INVALID - SIGNED basis needs DERIVED_FROM_SIGN"),IF(OR($F52="INCREASE",$F52="DECREASE",$F52="—"),"OK","INVALID - static direction required")))</f>
        <v/>
      </c>
      <c r="O52" s="14" t="inlineStr">
        <is>
          <t>§3.6</t>
        </is>
      </c>
    </row>
    <row r="53" ht="15" customHeight="1" s="40">
      <c r="A53" s="14" t="inlineStr">
        <is>
          <t>Import</t>
        </is>
      </c>
      <c r="B53" s="14" t="inlineStr">
        <is>
          <t>LC_HONOUR_BU_B</t>
        </is>
      </c>
      <c r="C53" s="14" t="inlineStr">
        <is>
          <t>RELEASE_CONTINGENT</t>
        </is>
      </c>
      <c r="D53" s="14" t="n">
        <v>1</v>
      </c>
      <c r="E53" s="15" t="inlineStr">
        <is>
          <t>LC_CUSTOMER_LIABILITY</t>
        </is>
      </c>
      <c r="F53" s="14" t="inlineStr">
        <is>
          <t>DECREASE</t>
        </is>
      </c>
      <c r="G53" s="25">
        <f t="array" ref="G53">IF(OR($F53="DERIVED_FROM_SIGN",$F53="MIRRORED"),"runtime",IFERROR(IF(INDEX(Balance_Taxonomy!$C$5:$C$400,MATCH($E53,Balance_Taxonomy!$B$5:$B$400,0))="Dr",IF($F53="INCREASE","Dr","Cr"),IF($F53="INCREASE","Cr","Dr")),"n/a"))</f>
        <v/>
      </c>
      <c r="H53" s="14" t="inlineStr">
        <is>
          <t>DOCUMENT_AMOUNT</t>
        </is>
      </c>
      <c r="I53" s="15" t="inlineStr">
        <is>
          <t>document</t>
        </is>
      </c>
      <c r="J53" s="14" t="inlineStr">
        <is>
          <t>POST</t>
        </is>
      </c>
      <c r="K53" s="25">
        <f>IF(OR($E53="—",LEFT($E53,1)="("),"n/a",IF(COUNTIF(Balance_Taxonomy!$B$5:$B$400,$E53)&gt;0,"OK","UNKNOWN TYPE"))</f>
        <v/>
      </c>
      <c r="L53" s="25">
        <f>IF(COUNTIF(Amount_Basis!$A$5:$A$100,$H53)&gt;0,"OK","UNKNOWN CODE")</f>
        <v/>
      </c>
      <c r="M53" s="25">
        <f>IF($F53="DERIVED_FROM_SIGN",IF($G53="runtime","OK","INVALID - must be runtime"),IF(OR($J53="POST",$J53="MEMO_ONLY"),IF(OR($G53="Dr",$G53="Cr"),"OK","INVALID - must derive"),IF(OR($G53="n/a",$G53="runtime"),"OK","INVALID - must be n/a")))</f>
        <v/>
      </c>
      <c r="N53" s="25">
        <f t="array" ref="N53">IF($J53="MIRROR",IF($F53="MIRRORED","OK","INVALID - MIRROR needs MIRRORED"),IF(IFERROR(INDEX(Amount_Basis!$D$5:$D$100,MATCH($H53,Amount_Basis!$A$5:$A$100,0)),"")="SIGNED",IF($F53="DERIVED_FROM_SIGN","OK","INVALID - SIGNED basis needs DERIVED_FROM_SIGN"),IF(OR($F53="INCREASE",$F53="DECREASE",$F53="—"),"OK","INVALID - static direction required")))</f>
        <v/>
      </c>
      <c r="O53" s="14" t="inlineStr">
        <is>
          <t>§3.6</t>
        </is>
      </c>
    </row>
    <row r="54" ht="15" customHeight="1" s="40">
      <c r="A54" s="14" t="inlineStr">
        <is>
          <t>Import</t>
        </is>
      </c>
      <c r="B54" s="14" t="inlineStr">
        <is>
          <t>LC_HONOUR_BU_B</t>
        </is>
      </c>
      <c r="C54" s="14" t="inlineStr">
        <is>
          <t>GROSS_UP</t>
        </is>
      </c>
      <c r="D54" s="14" t="n">
        <v>2</v>
      </c>
      <c r="E54" s="15" t="inlineStr">
        <is>
          <t>IMPORT_USANCE_RECEIVABLE_APPLICANT</t>
        </is>
      </c>
      <c r="F54" s="14" t="inlineStr">
        <is>
          <t>INCREASE</t>
        </is>
      </c>
      <c r="G54" s="25">
        <f t="array" ref="G54">IF(OR($F54="DERIVED_FROM_SIGN",$F54="MIRRORED"),"runtime",IFERROR(IF(INDEX(Balance_Taxonomy!$C$5:$C$400,MATCH($E54,Balance_Taxonomy!$B$5:$B$400,0))="Dr",IF($F54="INCREASE","Dr","Cr"),IF($F54="INCREASE","Cr","Dr")),"n/a"))</f>
        <v/>
      </c>
      <c r="H54" s="14" t="inlineStr">
        <is>
          <t>DOCUMENT_AMOUNT</t>
        </is>
      </c>
      <c r="I54" s="15" t="inlineStr">
        <is>
          <t>document — PRINCIPAL ONLY</t>
        </is>
      </c>
      <c r="J54" s="14" t="inlineStr">
        <is>
          <t>POST</t>
        </is>
      </c>
      <c r="K54" s="25">
        <f>IF(OR($E54="—",LEFT($E54,1)="("),"n/a",IF(COUNTIF(Balance_Taxonomy!$B$5:$B$400,$E54)&gt;0,"OK","UNKNOWN TYPE"))</f>
        <v/>
      </c>
      <c r="L54" s="25">
        <f>IF(COUNTIF(Amount_Basis!$A$5:$A$100,$H54)&gt;0,"OK","UNKNOWN CODE")</f>
        <v/>
      </c>
      <c r="M54" s="25">
        <f>IF($F54="DERIVED_FROM_SIGN",IF($G54="runtime","OK","INVALID - must be runtime"),IF(OR($J54="POST",$J54="MEMO_ONLY"),IF(OR($G54="Dr",$G54="Cr"),"OK","INVALID - must derive"),IF(OR($G54="n/a",$G54="runtime"),"OK","INVALID - must be n/a")))</f>
        <v/>
      </c>
      <c r="N54" s="25">
        <f t="array" ref="N54">IF($J54="MIRROR",IF($F54="MIRRORED","OK","INVALID - MIRROR needs MIRRORED"),IF(IFERROR(INDEX(Amount_Basis!$D$5:$D$100,MATCH($H54,Amount_Basis!$A$5:$A$100,0)),"")="SIGNED",IF($F54="DERIVED_FROM_SIGN","OK","INVALID - SIGNED basis needs DERIVED_FROM_SIGN"),IF(OR($F54="INCREASE",$F54="DECREASE",$F54="—"),"OK","INVALID - static direction required")))</f>
        <v/>
      </c>
      <c r="O54" s="14" t="inlineStr">
        <is>
          <t>§3.6</t>
        </is>
      </c>
    </row>
    <row r="55" ht="15" customHeight="1" s="40">
      <c r="A55" s="14" t="inlineStr">
        <is>
          <t>Import</t>
        </is>
      </c>
      <c r="B55" s="14" t="inlineStr">
        <is>
          <t>LC_HONOUR_BU_B</t>
        </is>
      </c>
      <c r="C55" s="14" t="inlineStr">
        <is>
          <t>GROSS_UP</t>
        </is>
      </c>
      <c r="D55" s="14" t="n">
        <v>2</v>
      </c>
      <c r="E55" s="15" t="inlineStr">
        <is>
          <t>DUE_TO_REFINANCING_BANK</t>
        </is>
      </c>
      <c r="F55" s="14" t="inlineStr">
        <is>
          <t>INCREASE</t>
        </is>
      </c>
      <c r="G55" s="25">
        <f t="array" ref="G55">IF(OR($F55="DERIVED_FROM_SIGN",$F55="MIRRORED"),"runtime",IFERROR(IF(INDEX(Balance_Taxonomy!$C$5:$C$400,MATCH($E55,Balance_Taxonomy!$B$5:$B$400,0))="Dr",IF($F55="INCREASE","Dr","Cr"),IF($F55="INCREASE","Cr","Dr")),"n/a"))</f>
        <v/>
      </c>
      <c r="H55" s="14" t="inlineStr">
        <is>
          <t>DOCUMENT_AMOUNT</t>
        </is>
      </c>
      <c r="I55" s="15" t="inlineStr">
        <is>
          <t>document — PRINCIPAL ONLY</t>
        </is>
      </c>
      <c r="J55" s="14" t="inlineStr">
        <is>
          <t>POST</t>
        </is>
      </c>
      <c r="K55" s="25">
        <f>IF(OR($E55="—",LEFT($E55,1)="("),"n/a",IF(COUNTIF(Balance_Taxonomy!$B$5:$B$400,$E55)&gt;0,"OK","UNKNOWN TYPE"))</f>
        <v/>
      </c>
      <c r="L55" s="25">
        <f>IF(COUNTIF(Amount_Basis!$A$5:$A$100,$H55)&gt;0,"OK","UNKNOWN CODE")</f>
        <v/>
      </c>
      <c r="M55" s="25">
        <f>IF($F55="DERIVED_FROM_SIGN",IF($G55="runtime","OK","INVALID - must be runtime"),IF(OR($J55="POST",$J55="MEMO_ONLY"),IF(OR($G55="Dr",$G55="Cr"),"OK","INVALID - must derive"),IF(OR($G55="n/a",$G55="runtime"),"OK","INVALID - must be n/a")))</f>
        <v/>
      </c>
      <c r="N55" s="25">
        <f t="array" ref="N55">IF($J55="MIRROR",IF($F55="MIRRORED","OK","INVALID - MIRROR needs MIRRORED"),IF(IFERROR(INDEX(Amount_Basis!$D$5:$D$100,MATCH($H55,Amount_Basis!$A$5:$A$100,0)),"")="SIGNED",IF($F55="DERIVED_FROM_SIGN","OK","INVALID - SIGNED basis needs DERIVED_FROM_SIGN"),IF(OR($F55="INCREASE",$F55="DECREASE",$F55="—"),"OK","INVALID - static direction required")))</f>
        <v/>
      </c>
      <c r="O55" s="14" t="inlineStr">
        <is>
          <t>§3.6</t>
        </is>
      </c>
    </row>
    <row r="56" ht="15" customHeight="1" s="40">
      <c r="A56" s="19" t="inlineStr">
        <is>
          <t>Import</t>
        </is>
      </c>
      <c r="B56" s="19" t="inlineStr">
        <is>
          <t>LC_ACCEPT</t>
        </is>
      </c>
      <c r="C56" s="19" t="inlineStr">
        <is>
          <t>RELEASE_CONTINGENT</t>
        </is>
      </c>
      <c r="D56" s="19" t="n">
        <v>1</v>
      </c>
      <c r="E56" s="21" t="inlineStr">
        <is>
          <t>LC_OUTSTANDING</t>
        </is>
      </c>
      <c r="F56" s="19" t="inlineStr">
        <is>
          <t>DECREASE</t>
        </is>
      </c>
      <c r="G56" s="29">
        <f t="array" ref="G56">IF(OR($F56="DERIVED_FROM_SIGN",$F56="MIRRORED"),"runtime",IFERROR(IF(INDEX(Balance_Taxonomy!$C$5:$C$400,MATCH($E56,Balance_Taxonomy!$B$5:$B$400,0))="Dr",IF($F56="INCREASE","Dr","Cr"),IF($F56="INCREASE","Cr","Dr")),"n/a"))</f>
        <v/>
      </c>
      <c r="H56" s="19" t="inlineStr">
        <is>
          <t>DOCUMENT_AMOUNT</t>
        </is>
      </c>
      <c r="I56" s="21" t="inlineStr">
        <is>
          <t>document</t>
        </is>
      </c>
      <c r="J56" s="19" t="inlineStr">
        <is>
          <t>POST</t>
        </is>
      </c>
      <c r="K56" s="29">
        <f>IF(OR($E56="—",LEFT($E56,1)="("),"n/a",IF(COUNTIF(Balance_Taxonomy!$B$5:$B$400,$E56)&gt;0,"OK","UNKNOWN TYPE"))</f>
        <v/>
      </c>
      <c r="L56" s="29">
        <f>IF(COUNTIF(Amount_Basis!$A$5:$A$100,$H56)&gt;0,"OK","UNKNOWN CODE")</f>
        <v/>
      </c>
      <c r="M56" s="29">
        <f>IF($F56="DERIVED_FROM_SIGN",IF($G56="runtime","OK","INVALID - must be runtime"),IF(OR($J56="POST",$J56="MEMO_ONLY"),IF(OR($G56="Dr",$G56="Cr"),"OK","INVALID - must derive"),IF(OR($G56="n/a",$G56="runtime"),"OK","INVALID - must be n/a")))</f>
        <v/>
      </c>
      <c r="N56" s="29">
        <f t="array" ref="N56">IF($J56="MIRROR",IF($F56="MIRRORED","OK","INVALID - MIRROR needs MIRRORED"),IF(IFERROR(INDEX(Amount_Basis!$D$5:$D$100,MATCH($H56,Amount_Basis!$A$5:$A$100,0)),"")="SIGNED",IF($F56="DERIVED_FROM_SIGN","OK","INVALID - SIGNED basis needs DERIVED_FROM_SIGN"),IF(OR($F56="INCREASE",$F56="DECREASE",$F56="—"),"OK","INVALID - static direction required")))</f>
        <v/>
      </c>
      <c r="O56" s="19" t="inlineStr">
        <is>
          <t>§3.7</t>
        </is>
      </c>
    </row>
    <row r="57" ht="15" customHeight="1" s="40">
      <c r="A57" s="19" t="inlineStr">
        <is>
          <t>Import</t>
        </is>
      </c>
      <c r="B57" s="19" t="inlineStr">
        <is>
          <t>LC_ACCEPT</t>
        </is>
      </c>
      <c r="C57" s="19" t="inlineStr">
        <is>
          <t>RELEASE_CONTINGENT</t>
        </is>
      </c>
      <c r="D57" s="19" t="n">
        <v>1</v>
      </c>
      <c r="E57" s="21" t="inlineStr">
        <is>
          <t>LC_CUSTOMER_LIABILITY</t>
        </is>
      </c>
      <c r="F57" s="19" t="inlineStr">
        <is>
          <t>DECREASE</t>
        </is>
      </c>
      <c r="G57" s="29">
        <f t="array" ref="G57">IF(OR($F57="DERIVED_FROM_SIGN",$F57="MIRRORED"),"runtime",IFERROR(IF(INDEX(Balance_Taxonomy!$C$5:$C$400,MATCH($E57,Balance_Taxonomy!$B$5:$B$400,0))="Dr",IF($F57="INCREASE","Dr","Cr"),IF($F57="INCREASE","Cr","Dr")),"n/a"))</f>
        <v/>
      </c>
      <c r="H57" s="19" t="inlineStr">
        <is>
          <t>DOCUMENT_AMOUNT</t>
        </is>
      </c>
      <c r="I57" s="21" t="inlineStr">
        <is>
          <t>document</t>
        </is>
      </c>
      <c r="J57" s="19" t="inlineStr">
        <is>
          <t>POST</t>
        </is>
      </c>
      <c r="K57" s="29">
        <f>IF(OR($E57="—",LEFT($E57,1)="("),"n/a",IF(COUNTIF(Balance_Taxonomy!$B$5:$B$400,$E57)&gt;0,"OK","UNKNOWN TYPE"))</f>
        <v/>
      </c>
      <c r="L57" s="29">
        <f>IF(COUNTIF(Amount_Basis!$A$5:$A$100,$H57)&gt;0,"OK","UNKNOWN CODE")</f>
        <v/>
      </c>
      <c r="M57" s="29">
        <f>IF($F57="DERIVED_FROM_SIGN",IF($G57="runtime","OK","INVALID - must be runtime"),IF(OR($J57="POST",$J57="MEMO_ONLY"),IF(OR($G57="Dr",$G57="Cr"),"OK","INVALID - must derive"),IF(OR($G57="n/a",$G57="runtime"),"OK","INVALID - must be n/a")))</f>
        <v/>
      </c>
      <c r="N57" s="29">
        <f t="array" ref="N57">IF($J57="MIRROR",IF($F57="MIRRORED","OK","INVALID - MIRROR needs MIRRORED"),IF(IFERROR(INDEX(Amount_Basis!$D$5:$D$100,MATCH($H57,Amount_Basis!$A$5:$A$100,0)),"")="SIGNED",IF($F57="DERIVED_FROM_SIGN","OK","INVALID - SIGNED basis needs DERIVED_FROM_SIGN"),IF(OR($F57="INCREASE",$F57="DECREASE",$F57="—"),"OK","INVALID - static direction required")))</f>
        <v/>
      </c>
      <c r="O57" s="19" t="inlineStr">
        <is>
          <t>§3.7</t>
        </is>
      </c>
    </row>
    <row r="58" ht="15" customHeight="1" s="40">
      <c r="A58" s="19" t="inlineStr">
        <is>
          <t>Import</t>
        </is>
      </c>
      <c r="B58" s="19" t="inlineStr">
        <is>
          <t>LC_ACCEPT</t>
        </is>
      </c>
      <c r="C58" s="19" t="inlineStr">
        <is>
          <t>RECOGNISE_ONBS</t>
        </is>
      </c>
      <c r="D58" s="19" t="n">
        <v>2</v>
      </c>
      <c r="E58" s="21" t="inlineStr">
        <is>
          <t>ACCEPTANCE_REIMB_RECEIVABLE_APPLICANT</t>
        </is>
      </c>
      <c r="F58" s="19" t="inlineStr">
        <is>
          <t>INCREASE</t>
        </is>
      </c>
      <c r="G58" s="29">
        <f t="array" ref="G58">IF(OR($F58="DERIVED_FROM_SIGN",$F58="MIRRORED"),"runtime",IFERROR(IF(INDEX(Balance_Taxonomy!$C$5:$C$400,MATCH($E58,Balance_Taxonomy!$B$5:$B$400,0))="Dr",IF($F58="INCREASE","Dr","Cr"),IF($F58="INCREASE","Cr","Dr")),"n/a"))</f>
        <v/>
      </c>
      <c r="H58" s="19" t="inlineStr">
        <is>
          <t>DOCUMENT_AMOUNT</t>
        </is>
      </c>
      <c r="I58" s="21" t="inlineStr">
        <is>
          <t>document</t>
        </is>
      </c>
      <c r="J58" s="19" t="inlineStr">
        <is>
          <t>POST</t>
        </is>
      </c>
      <c r="K58" s="29">
        <f>IF(OR($E58="—",LEFT($E58,1)="("),"n/a",IF(COUNTIF(Balance_Taxonomy!$B$5:$B$400,$E58)&gt;0,"OK","UNKNOWN TYPE"))</f>
        <v/>
      </c>
      <c r="L58" s="29">
        <f>IF(COUNTIF(Amount_Basis!$A$5:$A$100,$H58)&gt;0,"OK","UNKNOWN CODE")</f>
        <v/>
      </c>
      <c r="M58" s="29">
        <f>IF($F58="DERIVED_FROM_SIGN",IF($G58="runtime","OK","INVALID - must be runtime"),IF(OR($J58="POST",$J58="MEMO_ONLY"),IF(OR($G58="Dr",$G58="Cr"),"OK","INVALID - must derive"),IF(OR($G58="n/a",$G58="runtime"),"OK","INVALID - must be n/a")))</f>
        <v/>
      </c>
      <c r="N58" s="29">
        <f t="array" ref="N58">IF($J58="MIRROR",IF($F58="MIRRORED","OK","INVALID - MIRROR needs MIRRORED"),IF(IFERROR(INDEX(Amount_Basis!$D$5:$D$100,MATCH($H58,Amount_Basis!$A$5:$A$100,0)),"")="SIGNED",IF($F58="DERIVED_FROM_SIGN","OK","INVALID - SIGNED basis needs DERIVED_FROM_SIGN"),IF(OR($F58="INCREASE",$F58="DECREASE",$F58="—"),"OK","INVALID - static direction required")))</f>
        <v/>
      </c>
      <c r="O58" s="19" t="inlineStr">
        <is>
          <t>§3.7</t>
        </is>
      </c>
    </row>
    <row r="59" ht="15" customHeight="1" s="40">
      <c r="A59" s="19" t="inlineStr">
        <is>
          <t>Import</t>
        </is>
      </c>
      <c r="B59" s="19" t="inlineStr">
        <is>
          <t>LC_ACCEPT</t>
        </is>
      </c>
      <c r="C59" s="19" t="inlineStr">
        <is>
          <t>RECOGNISE_ONBS</t>
        </is>
      </c>
      <c r="D59" s="19" t="n">
        <v>2</v>
      </c>
      <c r="E59" s="21" t="inlineStr">
        <is>
          <t>ACCEPTANCE_DPU_OUTSTANDING</t>
        </is>
      </c>
      <c r="F59" s="19" t="inlineStr">
        <is>
          <t>INCREASE</t>
        </is>
      </c>
      <c r="G59" s="29">
        <f t="array" ref="G59">IF(OR($F59="DERIVED_FROM_SIGN",$F59="MIRRORED"),"runtime",IFERROR(IF(INDEX(Balance_Taxonomy!$C$5:$C$400,MATCH($E59,Balance_Taxonomy!$B$5:$B$400,0))="Dr",IF($F59="INCREASE","Dr","Cr"),IF($F59="INCREASE","Cr","Dr")),"n/a"))</f>
        <v/>
      </c>
      <c r="H59" s="19" t="inlineStr">
        <is>
          <t>DOCUMENT_AMOUNT</t>
        </is>
      </c>
      <c r="I59" s="21" t="inlineStr">
        <is>
          <t>document</t>
        </is>
      </c>
      <c r="J59" s="19" t="inlineStr">
        <is>
          <t>POST</t>
        </is>
      </c>
      <c r="K59" s="29">
        <f>IF(OR($E59="—",LEFT($E59,1)="("),"n/a",IF(COUNTIF(Balance_Taxonomy!$B$5:$B$400,$E59)&gt;0,"OK","UNKNOWN TYPE"))</f>
        <v/>
      </c>
      <c r="L59" s="29">
        <f>IF(COUNTIF(Amount_Basis!$A$5:$A$100,$H59)&gt;0,"OK","UNKNOWN CODE")</f>
        <v/>
      </c>
      <c r="M59" s="29">
        <f>IF($F59="DERIVED_FROM_SIGN",IF($G59="runtime","OK","INVALID - must be runtime"),IF(OR($J59="POST",$J59="MEMO_ONLY"),IF(OR($G59="Dr",$G59="Cr"),"OK","INVALID - must derive"),IF(OR($G59="n/a",$G59="runtime"),"OK","INVALID - must be n/a")))</f>
        <v/>
      </c>
      <c r="N59" s="29">
        <f t="array" ref="N59">IF($J59="MIRROR",IF($F59="MIRRORED","OK","INVALID - MIRROR needs MIRRORED"),IF(IFERROR(INDEX(Amount_Basis!$D$5:$D$100,MATCH($H59,Amount_Basis!$A$5:$A$100,0)),"")="SIGNED",IF($F59="DERIVED_FROM_SIGN","OK","INVALID - SIGNED basis needs DERIVED_FROM_SIGN"),IF(OR($F59="INCREASE",$F59="DECREASE",$F59="—"),"OK","INVALID - static direction required")))</f>
        <v/>
      </c>
      <c r="O59" s="19" t="inlineStr">
        <is>
          <t>§3.7</t>
        </is>
      </c>
    </row>
    <row r="60" ht="15" customHeight="1" s="40">
      <c r="A60" s="19" t="inlineStr">
        <is>
          <t>Import</t>
        </is>
      </c>
      <c r="B60" s="19" t="inlineStr">
        <is>
          <t>LC_ACCEPT</t>
        </is>
      </c>
      <c r="C60" s="19" t="inlineStr">
        <is>
          <t>RAISE_SHADOW</t>
        </is>
      </c>
      <c r="D60" s="19" t="n">
        <v>3</v>
      </c>
      <c r="E60" s="21" t="inlineStr">
        <is>
          <t>ACCEPTANCE_SHADOW_DR</t>
        </is>
      </c>
      <c r="F60" s="19" t="inlineStr">
        <is>
          <t>INCREASE</t>
        </is>
      </c>
      <c r="G60" s="29">
        <f t="array" ref="G60">IF(OR($F60="DERIVED_FROM_SIGN",$F60="MIRRORED"),"runtime",IFERROR(IF(INDEX(Balance_Taxonomy!$C$5:$C$400,MATCH($E60,Balance_Taxonomy!$B$5:$B$400,0))="Dr",IF($F60="INCREASE","Dr","Cr"),IF($F60="INCREASE","Cr","Dr")),"n/a"))</f>
        <v/>
      </c>
      <c r="H60" s="19" t="inlineStr">
        <is>
          <t>DOCUMENT_AMOUNT</t>
        </is>
      </c>
      <c r="I60" s="21" t="inlineStr">
        <is>
          <t>document</t>
        </is>
      </c>
      <c r="J60" s="19" t="inlineStr">
        <is>
          <t>POST</t>
        </is>
      </c>
      <c r="K60" s="29">
        <f>IF(OR($E60="—",LEFT($E60,1)="("),"n/a",IF(COUNTIF(Balance_Taxonomy!$B$5:$B$400,$E60)&gt;0,"OK","UNKNOWN TYPE"))</f>
        <v/>
      </c>
      <c r="L60" s="29">
        <f>IF(COUNTIF(Amount_Basis!$A$5:$A$100,$H60)&gt;0,"OK","UNKNOWN CODE")</f>
        <v/>
      </c>
      <c r="M60" s="29">
        <f>IF($F60="DERIVED_FROM_SIGN",IF($G60="runtime","OK","INVALID - must be runtime"),IF(OR($J60="POST",$J60="MEMO_ONLY"),IF(OR($G60="Dr",$G60="Cr"),"OK","INVALID - must derive"),IF(OR($G60="n/a",$G60="runtime"),"OK","INVALID - must be n/a")))</f>
        <v/>
      </c>
      <c r="N60" s="29">
        <f t="array" ref="N60">IF($J60="MIRROR",IF($F60="MIRRORED","OK","INVALID - MIRROR needs MIRRORED"),IF(IFERROR(INDEX(Amount_Basis!$D$5:$D$100,MATCH($H60,Amount_Basis!$A$5:$A$100,0)),"")="SIGNED",IF($F60="DERIVED_FROM_SIGN","OK","INVALID - SIGNED basis needs DERIVED_FROM_SIGN"),IF(OR($F60="INCREASE",$F60="DECREASE",$F60="—"),"OK","INVALID - static direction required")))</f>
        <v/>
      </c>
      <c r="O60" s="19" t="inlineStr">
        <is>
          <t>§3.7</t>
        </is>
      </c>
    </row>
    <row r="61" ht="15" customHeight="1" s="40">
      <c r="A61" s="19" t="inlineStr">
        <is>
          <t>Import</t>
        </is>
      </c>
      <c r="B61" s="19" t="inlineStr">
        <is>
          <t>LC_ACCEPT</t>
        </is>
      </c>
      <c r="C61" s="19" t="inlineStr">
        <is>
          <t>RAISE_SHADOW</t>
        </is>
      </c>
      <c r="D61" s="19" t="n">
        <v>3</v>
      </c>
      <c r="E61" s="21" t="inlineStr">
        <is>
          <t>ACCEPTANCE_SHADOW_CR</t>
        </is>
      </c>
      <c r="F61" s="19" t="inlineStr">
        <is>
          <t>INCREASE</t>
        </is>
      </c>
      <c r="G61" s="29">
        <f t="array" ref="G61">IF(OR($F61="DERIVED_FROM_SIGN",$F61="MIRRORED"),"runtime",IFERROR(IF(INDEX(Balance_Taxonomy!$C$5:$C$400,MATCH($E61,Balance_Taxonomy!$B$5:$B$400,0))="Dr",IF($F61="INCREASE","Dr","Cr"),IF($F61="INCREASE","Cr","Dr")),"n/a"))</f>
        <v/>
      </c>
      <c r="H61" s="19" t="inlineStr">
        <is>
          <t>DOCUMENT_AMOUNT</t>
        </is>
      </c>
      <c r="I61" s="21" t="inlineStr">
        <is>
          <t>document</t>
        </is>
      </c>
      <c r="J61" s="19" t="inlineStr">
        <is>
          <t>POST</t>
        </is>
      </c>
      <c r="K61" s="29">
        <f>IF(OR($E61="—",LEFT($E61,1)="("),"n/a",IF(COUNTIF(Balance_Taxonomy!$B$5:$B$400,$E61)&gt;0,"OK","UNKNOWN TYPE"))</f>
        <v/>
      </c>
      <c r="L61" s="29">
        <f>IF(COUNTIF(Amount_Basis!$A$5:$A$100,$H61)&gt;0,"OK","UNKNOWN CODE")</f>
        <v/>
      </c>
      <c r="M61" s="29">
        <f>IF($F61="DERIVED_FROM_SIGN",IF($G61="runtime","OK","INVALID - must be runtime"),IF(OR($J61="POST",$J61="MEMO_ONLY"),IF(OR($G61="Dr",$G61="Cr"),"OK","INVALID - must derive"),IF(OR($G61="n/a",$G61="runtime"),"OK","INVALID - must be n/a")))</f>
        <v/>
      </c>
      <c r="N61" s="29">
        <f t="array" ref="N61">IF($J61="MIRROR",IF($F61="MIRRORED","OK","INVALID - MIRROR needs MIRRORED"),IF(IFERROR(INDEX(Amount_Basis!$D$5:$D$100,MATCH($H61,Amount_Basis!$A$5:$A$100,0)),"")="SIGNED",IF($F61="DERIVED_FROM_SIGN","OK","INVALID - SIGNED basis needs DERIVED_FROM_SIGN"),IF(OR($F61="INCREASE",$F61="DECREASE",$F61="—"),"OK","INVALID - static direction required")))</f>
        <v/>
      </c>
      <c r="O61" s="19" t="inlineStr">
        <is>
          <t>§3.7</t>
        </is>
      </c>
    </row>
    <row r="62" ht="15" customHeight="1" s="40">
      <c r="A62" s="19" t="inlineStr">
        <is>
          <t>Import</t>
        </is>
      </c>
      <c r="B62" s="19" t="inlineStr">
        <is>
          <t>LC_ACCEPT</t>
        </is>
      </c>
      <c r="C62" s="19" t="inlineStr">
        <is>
          <t>DEFER_COMMISSION</t>
        </is>
      </c>
      <c r="D62" s="19" t="n">
        <v>4</v>
      </c>
      <c r="E62" s="21" t="inlineStr">
        <is>
          <t>CUSTOMER_CURRENT_ACCOUNT</t>
        </is>
      </c>
      <c r="F62" s="19" t="inlineStr">
        <is>
          <t>DECREASE</t>
        </is>
      </c>
      <c r="G62" s="29">
        <f t="array" ref="G62">IF(OR($F62="DERIVED_FROM_SIGN",$F62="MIRRORED"),"runtime",IFERROR(IF(INDEX(Balance_Taxonomy!$C$5:$C$400,MATCH($E62,Balance_Taxonomy!$B$5:$B$400,0))="Dr",IF($F62="INCREASE","Dr","Cr"),IF($F62="INCREASE","Cr","Dr")),"n/a"))</f>
        <v/>
      </c>
      <c r="H62" s="19" t="inlineStr">
        <is>
          <t>COMMISSION_AMOUNT</t>
        </is>
      </c>
      <c r="I62" s="21" t="inlineStr">
        <is>
          <t>acceptance commission</t>
        </is>
      </c>
      <c r="J62" s="19" t="inlineStr">
        <is>
          <t>POST</t>
        </is>
      </c>
      <c r="K62" s="29">
        <f>IF(OR($E62="—",LEFT($E62,1)="("),"n/a",IF(COUNTIF(Balance_Taxonomy!$B$5:$B$400,$E62)&gt;0,"OK","UNKNOWN TYPE"))</f>
        <v/>
      </c>
      <c r="L62" s="29">
        <f>IF(COUNTIF(Amount_Basis!$A$5:$A$100,$H62)&gt;0,"OK","UNKNOWN CODE")</f>
        <v/>
      </c>
      <c r="M62" s="29">
        <f>IF($F62="DERIVED_FROM_SIGN",IF($G62="runtime","OK","INVALID - must be runtime"),IF(OR($J62="POST",$J62="MEMO_ONLY"),IF(OR($G62="Dr",$G62="Cr"),"OK","INVALID - must derive"),IF(OR($G62="n/a",$G62="runtime"),"OK","INVALID - must be n/a")))</f>
        <v/>
      </c>
      <c r="N62" s="29">
        <f t="array" ref="N62">IF($J62="MIRROR",IF($F62="MIRRORED","OK","INVALID - MIRROR needs MIRRORED"),IF(IFERROR(INDEX(Amount_Basis!$D$5:$D$100,MATCH($H62,Amount_Basis!$A$5:$A$100,0)),"")="SIGNED",IF($F62="DERIVED_FROM_SIGN","OK","INVALID - SIGNED basis needs DERIVED_FROM_SIGN"),IF(OR($F62="INCREASE",$F62="DECREASE",$F62="—"),"OK","INVALID - static direction required")))</f>
        <v/>
      </c>
      <c r="O62" s="19" t="inlineStr">
        <is>
          <t>§3.7</t>
        </is>
      </c>
    </row>
    <row r="63" ht="15" customHeight="1" s="40">
      <c r="A63" s="19" t="inlineStr">
        <is>
          <t>Import</t>
        </is>
      </c>
      <c r="B63" s="19" t="inlineStr">
        <is>
          <t>LC_ACCEPT</t>
        </is>
      </c>
      <c r="C63" s="19" t="inlineStr">
        <is>
          <t>DEFER_COMMISSION</t>
        </is>
      </c>
      <c r="D63" s="19" t="n">
        <v>4</v>
      </c>
      <c r="E63" s="21" t="inlineStr">
        <is>
          <t>UNEARNED_COMMISSION_INCOME</t>
        </is>
      </c>
      <c r="F63" s="19" t="inlineStr">
        <is>
          <t>INCREASE</t>
        </is>
      </c>
      <c r="G63" s="29">
        <f t="array" ref="G63">IF(OR($F63="DERIVED_FROM_SIGN",$F63="MIRRORED"),"runtime",IFERROR(IF(INDEX(Balance_Taxonomy!$C$5:$C$400,MATCH($E63,Balance_Taxonomy!$B$5:$B$400,0))="Dr",IF($F63="INCREASE","Dr","Cr"),IF($F63="INCREASE","Cr","Dr")),"n/a"))</f>
        <v/>
      </c>
      <c r="H63" s="19" t="inlineStr">
        <is>
          <t>COMMISSION_AMOUNT</t>
        </is>
      </c>
      <c r="I63" s="21" t="inlineStr">
        <is>
          <t>acceptance commission</t>
        </is>
      </c>
      <c r="J63" s="19" t="inlineStr">
        <is>
          <t>POST</t>
        </is>
      </c>
      <c r="K63" s="29">
        <f>IF(OR($E63="—",LEFT($E63,1)="("),"n/a",IF(COUNTIF(Balance_Taxonomy!$B$5:$B$400,$E63)&gt;0,"OK","UNKNOWN TYPE"))</f>
        <v/>
      </c>
      <c r="L63" s="29">
        <f>IF(COUNTIF(Amount_Basis!$A$5:$A$100,$H63)&gt;0,"OK","UNKNOWN CODE")</f>
        <v/>
      </c>
      <c r="M63" s="29">
        <f>IF($F63="DERIVED_FROM_SIGN",IF($G63="runtime","OK","INVALID - must be runtime"),IF(OR($J63="POST",$J63="MEMO_ONLY"),IF(OR($G63="Dr",$G63="Cr"),"OK","INVALID - must derive"),IF(OR($G63="n/a",$G63="runtime"),"OK","INVALID - must be n/a")))</f>
        <v/>
      </c>
      <c r="N63" s="29">
        <f t="array" ref="N63">IF($J63="MIRROR",IF($F63="MIRRORED","OK","INVALID - MIRROR needs MIRRORED"),IF(IFERROR(INDEX(Amount_Basis!$D$5:$D$100,MATCH($H63,Amount_Basis!$A$5:$A$100,0)),"")="SIGNED",IF($F63="DERIVED_FROM_SIGN","OK","INVALID - SIGNED basis needs DERIVED_FROM_SIGN"),IF(OR($F63="INCREASE",$F63="DECREASE",$F63="—"),"OK","INVALID - static direction required")))</f>
        <v/>
      </c>
      <c r="O63" s="19" t="inlineStr">
        <is>
          <t>§3.7</t>
        </is>
      </c>
    </row>
    <row r="64" ht="15" customHeight="1" s="40">
      <c r="A64" s="14" t="inlineStr">
        <is>
          <t>Import</t>
        </is>
      </c>
      <c r="B64" s="14" t="inlineStr">
        <is>
          <t>ACC_MATURE</t>
        </is>
      </c>
      <c r="C64" s="14" t="inlineStr">
        <is>
          <t>DERECOGNISE_LIABILITY</t>
        </is>
      </c>
      <c r="D64" s="14" t="n">
        <v>1</v>
      </c>
      <c r="E64" s="15" t="inlineStr">
        <is>
          <t>ACCEPTANCE_DPU_OUTSTANDING</t>
        </is>
      </c>
      <c r="F64" s="14" t="inlineStr">
        <is>
          <t>DECREASE</t>
        </is>
      </c>
      <c r="G64" s="25">
        <f t="array" ref="G64">IF(OR($F64="DERIVED_FROM_SIGN",$F64="MIRRORED"),"runtime",IFERROR(IF(INDEX(Balance_Taxonomy!$C$5:$C$400,MATCH($E64,Balance_Taxonomy!$B$5:$B$400,0))="Dr",IF($F64="INCREASE","Dr","Cr"),IF($F64="INCREASE","Cr","Dr")),"n/a"))</f>
        <v/>
      </c>
      <c r="H64" s="14" t="inlineStr">
        <is>
          <t>ACCEPTANCE_AMOUNT</t>
        </is>
      </c>
      <c r="I64" s="15" t="inlineStr">
        <is>
          <t>acceptance</t>
        </is>
      </c>
      <c r="J64" s="14" t="inlineStr">
        <is>
          <t>POST</t>
        </is>
      </c>
      <c r="K64" s="25">
        <f>IF(OR($E64="—",LEFT($E64,1)="("),"n/a",IF(COUNTIF(Balance_Taxonomy!$B$5:$B$400,$E64)&gt;0,"OK","UNKNOWN TYPE"))</f>
        <v/>
      </c>
      <c r="L64" s="25">
        <f>IF(COUNTIF(Amount_Basis!$A$5:$A$100,$H64)&gt;0,"OK","UNKNOWN CODE")</f>
        <v/>
      </c>
      <c r="M64" s="25">
        <f>IF($F64="DERIVED_FROM_SIGN",IF($G64="runtime","OK","INVALID - must be runtime"),IF(OR($J64="POST",$J64="MEMO_ONLY"),IF(OR($G64="Dr",$G64="Cr"),"OK","INVALID - must derive"),IF(OR($G64="n/a",$G64="runtime"),"OK","INVALID - must be n/a")))</f>
        <v/>
      </c>
      <c r="N64" s="25">
        <f t="array" ref="N64">IF($J64="MIRROR",IF($F64="MIRRORED","OK","INVALID - MIRROR needs MIRRORED"),IF(IFERROR(INDEX(Amount_Basis!$D$5:$D$100,MATCH($H64,Amount_Basis!$A$5:$A$100,0)),"")="SIGNED",IF($F64="DERIVED_FROM_SIGN","OK","INVALID - SIGNED basis needs DERIVED_FROM_SIGN"),IF(OR($F64="INCREASE",$F64="DECREASE",$F64="—"),"OK","INVALID - static direction required")))</f>
        <v/>
      </c>
      <c r="O64" s="14" t="inlineStr">
        <is>
          <t>§3.8</t>
        </is>
      </c>
    </row>
    <row r="65" ht="15" customHeight="1" s="40">
      <c r="A65" s="14" t="inlineStr">
        <is>
          <t>Import</t>
        </is>
      </c>
      <c r="B65" s="14" t="inlineStr">
        <is>
          <t>ACC_MATURE</t>
        </is>
      </c>
      <c r="C65" s="14" t="inlineStr">
        <is>
          <t>DERECOGNISE_LIABILITY</t>
        </is>
      </c>
      <c r="D65" s="14" t="n">
        <v>1</v>
      </c>
      <c r="E65" s="15" t="inlineStr">
        <is>
          <t>LC_SETTLEMENT_PAYABLE</t>
        </is>
      </c>
      <c r="F65" s="14" t="inlineStr">
        <is>
          <t>INCREASE</t>
        </is>
      </c>
      <c r="G65" s="25">
        <f t="array" ref="G65">IF(OR($F65="DERIVED_FROM_SIGN",$F65="MIRRORED"),"runtime",IFERROR(IF(INDEX(Balance_Taxonomy!$C$5:$C$400,MATCH($E65,Balance_Taxonomy!$B$5:$B$400,0))="Dr",IF($F65="INCREASE","Dr","Cr"),IF($F65="INCREASE","Cr","Dr")),"n/a"))</f>
        <v/>
      </c>
      <c r="H65" s="14" t="inlineStr">
        <is>
          <t>ACCEPTANCE_AMOUNT</t>
        </is>
      </c>
      <c r="I65" s="15" t="inlineStr">
        <is>
          <t>acceptance</t>
        </is>
      </c>
      <c r="J65" s="14" t="inlineStr">
        <is>
          <t>POST</t>
        </is>
      </c>
      <c r="K65" s="25">
        <f>IF(OR($E65="—",LEFT($E65,1)="("),"n/a",IF(COUNTIF(Balance_Taxonomy!$B$5:$B$400,$E65)&gt;0,"OK","UNKNOWN TYPE"))</f>
        <v/>
      </c>
      <c r="L65" s="25">
        <f>IF(COUNTIF(Amount_Basis!$A$5:$A$100,$H65)&gt;0,"OK","UNKNOWN CODE")</f>
        <v/>
      </c>
      <c r="M65" s="25">
        <f>IF($F65="DERIVED_FROM_SIGN",IF($G65="runtime","OK","INVALID - must be runtime"),IF(OR($J65="POST",$J65="MEMO_ONLY"),IF(OR($G65="Dr",$G65="Cr"),"OK","INVALID - must derive"),IF(OR($G65="n/a",$G65="runtime"),"OK","INVALID - must be n/a")))</f>
        <v/>
      </c>
      <c r="N65" s="25">
        <f t="array" ref="N65">IF($J65="MIRROR",IF($F65="MIRRORED","OK","INVALID - MIRROR needs MIRRORED"),IF(IFERROR(INDEX(Amount_Basis!$D$5:$D$100,MATCH($H65,Amount_Basis!$A$5:$A$100,0)),"")="SIGNED",IF($F65="DERIVED_FROM_SIGN","OK","INVALID - SIGNED basis needs DERIVED_FROM_SIGN"),IF(OR($F65="INCREASE",$F65="DECREASE",$F65="—"),"OK","INVALID - static direction required")))</f>
        <v/>
      </c>
      <c r="O65" s="14" t="inlineStr">
        <is>
          <t>§3.8</t>
        </is>
      </c>
    </row>
    <row r="66" ht="15" customHeight="1" s="40">
      <c r="A66" s="14" t="inlineStr">
        <is>
          <t>Import</t>
        </is>
      </c>
      <c r="B66" s="14" t="inlineStr">
        <is>
          <t>ACC_MATURE</t>
        </is>
      </c>
      <c r="C66" s="14" t="inlineStr">
        <is>
          <t>COLLECT_CUSTOMER</t>
        </is>
      </c>
      <c r="D66" s="14" t="n">
        <v>2</v>
      </c>
      <c r="E66" s="15" t="inlineStr">
        <is>
          <t>CUSTOMER_CURRENT_ACCOUNT</t>
        </is>
      </c>
      <c r="F66" s="14" t="inlineStr">
        <is>
          <t>DECREASE</t>
        </is>
      </c>
      <c r="G66" s="25">
        <f t="array" ref="G66">IF(OR($F66="DERIVED_FROM_SIGN",$F66="MIRRORED"),"runtime",IFERROR(IF(INDEX(Balance_Taxonomy!$C$5:$C$400,MATCH($E66,Balance_Taxonomy!$B$5:$B$400,0))="Dr",IF($F66="INCREASE","Dr","Cr"),IF($F66="INCREASE","Cr","Dr")),"n/a"))</f>
        <v/>
      </c>
      <c r="H66" s="14" t="inlineStr">
        <is>
          <t>ACCEPTANCE_AMOUNT</t>
        </is>
      </c>
      <c r="I66" s="15" t="inlineStr">
        <is>
          <t>acceptance</t>
        </is>
      </c>
      <c r="J66" s="14" t="inlineStr">
        <is>
          <t>POST</t>
        </is>
      </c>
      <c r="K66" s="25">
        <f>IF(OR($E66="—",LEFT($E66,1)="("),"n/a",IF(COUNTIF(Balance_Taxonomy!$B$5:$B$400,$E66)&gt;0,"OK","UNKNOWN TYPE"))</f>
        <v/>
      </c>
      <c r="L66" s="25">
        <f>IF(COUNTIF(Amount_Basis!$A$5:$A$100,$H66)&gt;0,"OK","UNKNOWN CODE")</f>
        <v/>
      </c>
      <c r="M66" s="25">
        <f>IF($F66="DERIVED_FROM_SIGN",IF($G66="runtime","OK","INVALID - must be runtime"),IF(OR($J66="POST",$J66="MEMO_ONLY"),IF(OR($G66="Dr",$G66="Cr"),"OK","INVALID - must derive"),IF(OR($G66="n/a",$G66="runtime"),"OK","INVALID - must be n/a")))</f>
        <v/>
      </c>
      <c r="N66" s="25">
        <f t="array" ref="N66">IF($J66="MIRROR",IF($F66="MIRRORED","OK","INVALID - MIRROR needs MIRRORED"),IF(IFERROR(INDEX(Amount_Basis!$D$5:$D$100,MATCH($H66,Amount_Basis!$A$5:$A$100,0)),"")="SIGNED",IF($F66="DERIVED_FROM_SIGN","OK","INVALID - SIGNED basis needs DERIVED_FROM_SIGN"),IF(OR($F66="INCREASE",$F66="DECREASE",$F66="—"),"OK","INVALID - static direction required")))</f>
        <v/>
      </c>
      <c r="O66" s="14" t="inlineStr">
        <is>
          <t>§3.8</t>
        </is>
      </c>
    </row>
    <row r="67" ht="15" customHeight="1" s="40">
      <c r="A67" s="14" t="inlineStr">
        <is>
          <t>Import</t>
        </is>
      </c>
      <c r="B67" s="14" t="inlineStr">
        <is>
          <t>ACC_MATURE</t>
        </is>
      </c>
      <c r="C67" s="14" t="inlineStr">
        <is>
          <t>COLLECT_CUSTOMER</t>
        </is>
      </c>
      <c r="D67" s="14" t="n">
        <v>2</v>
      </c>
      <c r="E67" s="15" t="inlineStr">
        <is>
          <t>ACCEPTANCE_REIMB_RECEIVABLE_APPLICANT</t>
        </is>
      </c>
      <c r="F67" s="14" t="inlineStr">
        <is>
          <t>DECREASE</t>
        </is>
      </c>
      <c r="G67" s="25">
        <f t="array" ref="G67">IF(OR($F67="DERIVED_FROM_SIGN",$F67="MIRRORED"),"runtime",IFERROR(IF(INDEX(Balance_Taxonomy!$C$5:$C$400,MATCH($E67,Balance_Taxonomy!$B$5:$B$400,0))="Dr",IF($F67="INCREASE","Dr","Cr"),IF($F67="INCREASE","Cr","Dr")),"n/a"))</f>
        <v/>
      </c>
      <c r="H67" s="14" t="inlineStr">
        <is>
          <t>ACCEPTANCE_AMOUNT</t>
        </is>
      </c>
      <c r="I67" s="15" t="inlineStr">
        <is>
          <t>acceptance</t>
        </is>
      </c>
      <c r="J67" s="14" t="inlineStr">
        <is>
          <t>POST</t>
        </is>
      </c>
      <c r="K67" s="25">
        <f>IF(OR($E67="—",LEFT($E67,1)="("),"n/a",IF(COUNTIF(Balance_Taxonomy!$B$5:$B$400,$E67)&gt;0,"OK","UNKNOWN TYPE"))</f>
        <v/>
      </c>
      <c r="L67" s="25">
        <f>IF(COUNTIF(Amount_Basis!$A$5:$A$100,$H67)&gt;0,"OK","UNKNOWN CODE")</f>
        <v/>
      </c>
      <c r="M67" s="25">
        <f>IF($F67="DERIVED_FROM_SIGN",IF($G67="runtime","OK","INVALID - must be runtime"),IF(OR($J67="POST",$J67="MEMO_ONLY"),IF(OR($G67="Dr",$G67="Cr"),"OK","INVALID - must derive"),IF(OR($G67="n/a",$G67="runtime"),"OK","INVALID - must be n/a")))</f>
        <v/>
      </c>
      <c r="N67" s="25">
        <f t="array" ref="N67">IF($J67="MIRROR",IF($F67="MIRRORED","OK","INVALID - MIRROR needs MIRRORED"),IF(IFERROR(INDEX(Amount_Basis!$D$5:$D$100,MATCH($H67,Amount_Basis!$A$5:$A$100,0)),"")="SIGNED",IF($F67="DERIVED_FROM_SIGN","OK","INVALID - SIGNED basis needs DERIVED_FROM_SIGN"),IF(OR($F67="INCREASE",$F67="DECREASE",$F67="—"),"OK","INVALID - static direction required")))</f>
        <v/>
      </c>
      <c r="O67" s="14" t="inlineStr">
        <is>
          <t>§3.8</t>
        </is>
      </c>
    </row>
    <row r="68" ht="15" customHeight="1" s="40">
      <c r="A68" s="14" t="inlineStr">
        <is>
          <t>Import</t>
        </is>
      </c>
      <c r="B68" s="14" t="inlineStr">
        <is>
          <t>ACC_MATURE</t>
        </is>
      </c>
      <c r="C68" s="14" t="inlineStr">
        <is>
          <t>SETTLE_NOSTRO</t>
        </is>
      </c>
      <c r="D68" s="14" t="n">
        <v>3</v>
      </c>
      <c r="E68" s="15" t="inlineStr">
        <is>
          <t>LC_SETTLEMENT_PAYABLE</t>
        </is>
      </c>
      <c r="F68" s="14" t="inlineStr">
        <is>
          <t>DECREASE</t>
        </is>
      </c>
      <c r="G68" s="25">
        <f t="array" ref="G68">IF(OR($F68="DERIVED_FROM_SIGN",$F68="MIRRORED"),"runtime",IFERROR(IF(INDEX(Balance_Taxonomy!$C$5:$C$400,MATCH($E68,Balance_Taxonomy!$B$5:$B$400,0))="Dr",IF($F68="INCREASE","Dr","Cr"),IF($F68="INCREASE","Cr","Dr")),"n/a"))</f>
        <v/>
      </c>
      <c r="H68" s="14" t="inlineStr">
        <is>
          <t>ACCEPTANCE_AMOUNT</t>
        </is>
      </c>
      <c r="I68" s="15" t="inlineStr">
        <is>
          <t>acceptance</t>
        </is>
      </c>
      <c r="J68" s="14" t="inlineStr">
        <is>
          <t>POST</t>
        </is>
      </c>
      <c r="K68" s="25">
        <f>IF(OR($E68="—",LEFT($E68,1)="("),"n/a",IF(COUNTIF(Balance_Taxonomy!$B$5:$B$400,$E68)&gt;0,"OK","UNKNOWN TYPE"))</f>
        <v/>
      </c>
      <c r="L68" s="25">
        <f>IF(COUNTIF(Amount_Basis!$A$5:$A$100,$H68)&gt;0,"OK","UNKNOWN CODE")</f>
        <v/>
      </c>
      <c r="M68" s="25">
        <f>IF($F68="DERIVED_FROM_SIGN",IF($G68="runtime","OK","INVALID - must be runtime"),IF(OR($J68="POST",$J68="MEMO_ONLY"),IF(OR($G68="Dr",$G68="Cr"),"OK","INVALID - must derive"),IF(OR($G68="n/a",$G68="runtime"),"OK","INVALID - must be n/a")))</f>
        <v/>
      </c>
      <c r="N68" s="25">
        <f t="array" ref="N68">IF($J68="MIRROR",IF($F68="MIRRORED","OK","INVALID - MIRROR needs MIRRORED"),IF(IFERROR(INDEX(Amount_Basis!$D$5:$D$100,MATCH($H68,Amount_Basis!$A$5:$A$100,0)),"")="SIGNED",IF($F68="DERIVED_FROM_SIGN","OK","INVALID - SIGNED basis needs DERIVED_FROM_SIGN"),IF(OR($F68="INCREASE",$F68="DECREASE",$F68="—"),"OK","INVALID - static direction required")))</f>
        <v/>
      </c>
      <c r="O68" s="14" t="inlineStr">
        <is>
          <t>§3.8</t>
        </is>
      </c>
    </row>
    <row r="69" ht="15" customHeight="1" s="40">
      <c r="A69" s="14" t="inlineStr">
        <is>
          <t>Import</t>
        </is>
      </c>
      <c r="B69" s="14" t="inlineStr">
        <is>
          <t>ACC_MATURE</t>
        </is>
      </c>
      <c r="C69" s="14" t="inlineStr">
        <is>
          <t>SETTLE_NOSTRO</t>
        </is>
      </c>
      <c r="D69" s="14" t="n">
        <v>3</v>
      </c>
      <c r="E69" s="15" t="inlineStr">
        <is>
          <t>NOSTRO</t>
        </is>
      </c>
      <c r="F69" s="14" t="inlineStr">
        <is>
          <t>DECREASE</t>
        </is>
      </c>
      <c r="G69" s="25">
        <f t="array" ref="G69">IF(OR($F69="DERIVED_FROM_SIGN",$F69="MIRRORED"),"runtime",IFERROR(IF(INDEX(Balance_Taxonomy!$C$5:$C$400,MATCH($E69,Balance_Taxonomy!$B$5:$B$400,0))="Dr",IF($F69="INCREASE","Dr","Cr"),IF($F69="INCREASE","Cr","Dr")),"n/a"))</f>
        <v/>
      </c>
      <c r="H69" s="14" t="inlineStr">
        <is>
          <t>ACCEPTANCE_AMOUNT</t>
        </is>
      </c>
      <c r="I69" s="15" t="inlineStr">
        <is>
          <t>acceptance</t>
        </is>
      </c>
      <c r="J69" s="14" t="inlineStr">
        <is>
          <t>POST</t>
        </is>
      </c>
      <c r="K69" s="25">
        <f>IF(OR($E69="—",LEFT($E69,1)="("),"n/a",IF(COUNTIF(Balance_Taxonomy!$B$5:$B$400,$E69)&gt;0,"OK","UNKNOWN TYPE"))</f>
        <v/>
      </c>
      <c r="L69" s="25">
        <f>IF(COUNTIF(Amount_Basis!$A$5:$A$100,$H69)&gt;0,"OK","UNKNOWN CODE")</f>
        <v/>
      </c>
      <c r="M69" s="25">
        <f>IF($F69="DERIVED_FROM_SIGN",IF($G69="runtime","OK","INVALID - must be runtime"),IF(OR($J69="POST",$J69="MEMO_ONLY"),IF(OR($G69="Dr",$G69="Cr"),"OK","INVALID - must derive"),IF(OR($G69="n/a",$G69="runtime"),"OK","INVALID - must be n/a")))</f>
        <v/>
      </c>
      <c r="N69" s="25">
        <f t="array" ref="N69">IF($J69="MIRROR",IF($F69="MIRRORED","OK","INVALID - MIRROR needs MIRRORED"),IF(IFERROR(INDEX(Amount_Basis!$D$5:$D$100,MATCH($H69,Amount_Basis!$A$5:$A$100,0)),"")="SIGNED",IF($F69="DERIVED_FROM_SIGN","OK","INVALID - SIGNED basis needs DERIVED_FROM_SIGN"),IF(OR($F69="INCREASE",$F69="DECREASE",$F69="—"),"OK","INVALID - static direction required")))</f>
        <v/>
      </c>
      <c r="O69" s="14" t="inlineStr">
        <is>
          <t>§3.8</t>
        </is>
      </c>
    </row>
    <row r="70" ht="15" customHeight="1" s="40">
      <c r="A70" s="14" t="inlineStr">
        <is>
          <t>Import</t>
        </is>
      </c>
      <c r="B70" s="14" t="inlineStr">
        <is>
          <t>ACC_MATURE</t>
        </is>
      </c>
      <c r="C70" s="14" t="inlineStr">
        <is>
          <t>REVERSE_SHADOW</t>
        </is>
      </c>
      <c r="D70" s="14" t="n">
        <v>4</v>
      </c>
      <c r="E70" s="15" t="inlineStr">
        <is>
          <t>ACCEPTANCE_SHADOW_CR</t>
        </is>
      </c>
      <c r="F70" s="14" t="inlineStr">
        <is>
          <t>DECREASE</t>
        </is>
      </c>
      <c r="G70" s="25">
        <f t="array" ref="G70">IF(OR($F70="DERIVED_FROM_SIGN",$F70="MIRRORED"),"runtime",IFERROR(IF(INDEX(Balance_Taxonomy!$C$5:$C$400,MATCH($E70,Balance_Taxonomy!$B$5:$B$400,0))="Dr",IF($F70="INCREASE","Dr","Cr"),IF($F70="INCREASE","Cr","Dr")),"n/a"))</f>
        <v/>
      </c>
      <c r="H70" s="14" t="inlineStr">
        <is>
          <t>ACCEPTANCE_AMOUNT</t>
        </is>
      </c>
      <c r="I70" s="15" t="inlineStr">
        <is>
          <t>acceptance</t>
        </is>
      </c>
      <c r="J70" s="14" t="inlineStr">
        <is>
          <t>POST</t>
        </is>
      </c>
      <c r="K70" s="25">
        <f>IF(OR($E70="—",LEFT($E70,1)="("),"n/a",IF(COUNTIF(Balance_Taxonomy!$B$5:$B$400,$E70)&gt;0,"OK","UNKNOWN TYPE"))</f>
        <v/>
      </c>
      <c r="L70" s="25">
        <f>IF(COUNTIF(Amount_Basis!$A$5:$A$100,$H70)&gt;0,"OK","UNKNOWN CODE")</f>
        <v/>
      </c>
      <c r="M70" s="25">
        <f>IF($F70="DERIVED_FROM_SIGN",IF($G70="runtime","OK","INVALID - must be runtime"),IF(OR($J70="POST",$J70="MEMO_ONLY"),IF(OR($G70="Dr",$G70="Cr"),"OK","INVALID - must derive"),IF(OR($G70="n/a",$G70="runtime"),"OK","INVALID - must be n/a")))</f>
        <v/>
      </c>
      <c r="N70" s="25">
        <f t="array" ref="N70">IF($J70="MIRROR",IF($F70="MIRRORED","OK","INVALID - MIRROR needs MIRRORED"),IF(IFERROR(INDEX(Amount_Basis!$D$5:$D$100,MATCH($H70,Amount_Basis!$A$5:$A$100,0)),"")="SIGNED",IF($F70="DERIVED_FROM_SIGN","OK","INVALID - SIGNED basis needs DERIVED_FROM_SIGN"),IF(OR($F70="INCREASE",$F70="DECREASE",$F70="—"),"OK","INVALID - static direction required")))</f>
        <v/>
      </c>
      <c r="O70" s="14" t="inlineStr">
        <is>
          <t>§3.8</t>
        </is>
      </c>
    </row>
    <row r="71" ht="15" customHeight="1" s="40">
      <c r="A71" s="14" t="inlineStr">
        <is>
          <t>Import</t>
        </is>
      </c>
      <c r="B71" s="14" t="inlineStr">
        <is>
          <t>ACC_MATURE</t>
        </is>
      </c>
      <c r="C71" s="14" t="inlineStr">
        <is>
          <t>REVERSE_SHADOW</t>
        </is>
      </c>
      <c r="D71" s="14" t="n">
        <v>4</v>
      </c>
      <c r="E71" s="15" t="inlineStr">
        <is>
          <t>ACCEPTANCE_SHADOW_DR</t>
        </is>
      </c>
      <c r="F71" s="14" t="inlineStr">
        <is>
          <t>DECREASE</t>
        </is>
      </c>
      <c r="G71" s="25">
        <f t="array" ref="G71">IF(OR($F71="DERIVED_FROM_SIGN",$F71="MIRRORED"),"runtime",IFERROR(IF(INDEX(Balance_Taxonomy!$C$5:$C$400,MATCH($E71,Balance_Taxonomy!$B$5:$B$400,0))="Dr",IF($F71="INCREASE","Dr","Cr"),IF($F71="INCREASE","Cr","Dr")),"n/a"))</f>
        <v/>
      </c>
      <c r="H71" s="14" t="inlineStr">
        <is>
          <t>ACCEPTANCE_AMOUNT</t>
        </is>
      </c>
      <c r="I71" s="15" t="inlineStr">
        <is>
          <t>acceptance</t>
        </is>
      </c>
      <c r="J71" s="14" t="inlineStr">
        <is>
          <t>POST</t>
        </is>
      </c>
      <c r="K71" s="25">
        <f>IF(OR($E71="—",LEFT($E71,1)="("),"n/a",IF(COUNTIF(Balance_Taxonomy!$B$5:$B$400,$E71)&gt;0,"OK","UNKNOWN TYPE"))</f>
        <v/>
      </c>
      <c r="L71" s="25">
        <f>IF(COUNTIF(Amount_Basis!$A$5:$A$100,$H71)&gt;0,"OK","UNKNOWN CODE")</f>
        <v/>
      </c>
      <c r="M71" s="25">
        <f>IF($F71="DERIVED_FROM_SIGN",IF($G71="runtime","OK","INVALID - must be runtime"),IF(OR($J71="POST",$J71="MEMO_ONLY"),IF(OR($G71="Dr",$G71="Cr"),"OK","INVALID - must derive"),IF(OR($G71="n/a",$G71="runtime"),"OK","INVALID - must be n/a")))</f>
        <v/>
      </c>
      <c r="N71" s="25">
        <f t="array" ref="N71">IF($J71="MIRROR",IF($F71="MIRRORED","OK","INVALID - MIRROR needs MIRRORED"),IF(IFERROR(INDEX(Amount_Basis!$D$5:$D$100,MATCH($H71,Amount_Basis!$A$5:$A$100,0)),"")="SIGNED",IF($F71="DERIVED_FROM_SIGN","OK","INVALID - SIGNED basis needs DERIVED_FROM_SIGN"),IF(OR($F71="INCREASE",$F71="DECREASE",$F71="—"),"OK","INVALID - static direction required")))</f>
        <v/>
      </c>
      <c r="O71" s="14" t="inlineStr">
        <is>
          <t>§3.8</t>
        </is>
      </c>
    </row>
    <row r="72" ht="15" customHeight="1" s="40">
      <c r="A72" s="19" t="inlineStr">
        <is>
          <t>Import</t>
        </is>
      </c>
      <c r="B72" s="19" t="inlineStr">
        <is>
          <t>ACC_FINANCE</t>
        </is>
      </c>
      <c r="C72" s="19" t="inlineStr">
        <is>
          <t>RECLASS_TO_LOAN</t>
        </is>
      </c>
      <c r="D72" s="19" t="n">
        <v>1</v>
      </c>
      <c r="E72" s="21" t="inlineStr">
        <is>
          <t>TRUST_RECEIPT_LOAN</t>
        </is>
      </c>
      <c r="F72" s="19" t="inlineStr">
        <is>
          <t>INCREASE</t>
        </is>
      </c>
      <c r="G72" s="29">
        <f t="array" ref="G72">IF(OR($F72="DERIVED_FROM_SIGN",$F72="MIRRORED"),"runtime",IFERROR(IF(INDEX(Balance_Taxonomy!$C$5:$C$400,MATCH($E72,Balance_Taxonomy!$B$5:$B$400,0))="Dr",IF($F72="INCREASE","Dr","Cr"),IF($F72="INCREASE","Cr","Dr")),"n/a"))</f>
        <v/>
      </c>
      <c r="H72" s="19" t="inlineStr">
        <is>
          <t>ACCEPTANCE_AMOUNT</t>
        </is>
      </c>
      <c r="I72" s="21" t="inlineStr">
        <is>
          <t>acceptance</t>
        </is>
      </c>
      <c r="J72" s="19" t="inlineStr">
        <is>
          <t>POST</t>
        </is>
      </c>
      <c r="K72" s="29">
        <f>IF(OR($E72="—",LEFT($E72,1)="("),"n/a",IF(COUNTIF(Balance_Taxonomy!$B$5:$B$400,$E72)&gt;0,"OK","UNKNOWN TYPE"))</f>
        <v/>
      </c>
      <c r="L72" s="29">
        <f>IF(COUNTIF(Amount_Basis!$A$5:$A$100,$H72)&gt;0,"OK","UNKNOWN CODE")</f>
        <v/>
      </c>
      <c r="M72" s="29">
        <f>IF($F72="DERIVED_FROM_SIGN",IF($G72="runtime","OK","INVALID - must be runtime"),IF(OR($J72="POST",$J72="MEMO_ONLY"),IF(OR($G72="Dr",$G72="Cr"),"OK","INVALID - must derive"),IF(OR($G72="n/a",$G72="runtime"),"OK","INVALID - must be n/a")))</f>
        <v/>
      </c>
      <c r="N72" s="29">
        <f t="array" ref="N72">IF($J72="MIRROR",IF($F72="MIRRORED","OK","INVALID - MIRROR needs MIRRORED"),IF(IFERROR(INDEX(Amount_Basis!$D$5:$D$100,MATCH($H72,Amount_Basis!$A$5:$A$100,0)),"")="SIGNED",IF($F72="DERIVED_FROM_SIGN","OK","INVALID - SIGNED basis needs DERIVED_FROM_SIGN"),IF(OR($F72="INCREASE",$F72="DECREASE",$F72="—"),"OK","INVALID - static direction required")))</f>
        <v/>
      </c>
      <c r="O72" s="19" t="inlineStr">
        <is>
          <t>§3.8</t>
        </is>
      </c>
    </row>
    <row r="73" ht="15" customHeight="1" s="40">
      <c r="A73" s="19" t="inlineStr">
        <is>
          <t>Import</t>
        </is>
      </c>
      <c r="B73" s="19" t="inlineStr">
        <is>
          <t>ACC_FINANCE</t>
        </is>
      </c>
      <c r="C73" s="19" t="inlineStr">
        <is>
          <t>RECLASS_TO_LOAN</t>
        </is>
      </c>
      <c r="D73" s="19" t="n">
        <v>1</v>
      </c>
      <c r="E73" s="21" t="inlineStr">
        <is>
          <t>ACCEPTANCE_REIMB_RECEIVABLE_APPLICANT</t>
        </is>
      </c>
      <c r="F73" s="19" t="inlineStr">
        <is>
          <t>DECREASE</t>
        </is>
      </c>
      <c r="G73" s="29">
        <f t="array" ref="G73">IF(OR($F73="DERIVED_FROM_SIGN",$F73="MIRRORED"),"runtime",IFERROR(IF(INDEX(Balance_Taxonomy!$C$5:$C$400,MATCH($E73,Balance_Taxonomy!$B$5:$B$400,0))="Dr",IF($F73="INCREASE","Dr","Cr"),IF($F73="INCREASE","Cr","Dr")),"n/a"))</f>
        <v/>
      </c>
      <c r="H73" s="19" t="inlineStr">
        <is>
          <t>ACCEPTANCE_AMOUNT</t>
        </is>
      </c>
      <c r="I73" s="21" t="inlineStr">
        <is>
          <t>acceptance</t>
        </is>
      </c>
      <c r="J73" s="19" t="inlineStr">
        <is>
          <t>POST</t>
        </is>
      </c>
      <c r="K73" s="29">
        <f>IF(OR($E73="—",LEFT($E73,1)="("),"n/a",IF(COUNTIF(Balance_Taxonomy!$B$5:$B$400,$E73)&gt;0,"OK","UNKNOWN TYPE"))</f>
        <v/>
      </c>
      <c r="L73" s="29">
        <f>IF(COUNTIF(Amount_Basis!$A$5:$A$100,$H73)&gt;0,"OK","UNKNOWN CODE")</f>
        <v/>
      </c>
      <c r="M73" s="29">
        <f>IF($F73="DERIVED_FROM_SIGN",IF($G73="runtime","OK","INVALID - must be runtime"),IF(OR($J73="POST",$J73="MEMO_ONLY"),IF(OR($G73="Dr",$G73="Cr"),"OK","INVALID - must derive"),IF(OR($G73="n/a",$G73="runtime"),"OK","INVALID - must be n/a")))</f>
        <v/>
      </c>
      <c r="N73" s="29">
        <f t="array" ref="N73">IF($J73="MIRROR",IF($F73="MIRRORED","OK","INVALID - MIRROR needs MIRRORED"),IF(IFERROR(INDEX(Amount_Basis!$D$5:$D$100,MATCH($H73,Amount_Basis!$A$5:$A$100,0)),"")="SIGNED",IF($F73="DERIVED_FROM_SIGN","OK","INVALID - SIGNED basis needs DERIVED_FROM_SIGN"),IF(OR($F73="INCREASE",$F73="DECREASE",$F73="—"),"OK","INVALID - static direction required")))</f>
        <v/>
      </c>
      <c r="O73" s="19" t="inlineStr">
        <is>
          <t>§3.8</t>
        </is>
      </c>
    </row>
    <row r="74" ht="15" customHeight="1" s="40">
      <c r="A74" s="14" t="inlineStr">
        <is>
          <t>Import</t>
        </is>
      </c>
      <c r="B74" s="14" t="inlineStr">
        <is>
          <t>ACC_FORCED</t>
        </is>
      </c>
      <c r="C74" s="14" t="inlineStr">
        <is>
          <t>DERECOGNISE_LIABILITY</t>
        </is>
      </c>
      <c r="D74" s="14" t="n">
        <v>1</v>
      </c>
      <c r="E74" s="15" t="inlineStr">
        <is>
          <t>ACCEPTANCE_DPU_OUTSTANDING</t>
        </is>
      </c>
      <c r="F74" s="14" t="inlineStr">
        <is>
          <t>DECREASE</t>
        </is>
      </c>
      <c r="G74" s="25">
        <f t="array" ref="G74">IF(OR($F74="DERIVED_FROM_SIGN",$F74="MIRRORED"),"runtime",IFERROR(IF(INDEX(Balance_Taxonomy!$C$5:$C$400,MATCH($E74,Balance_Taxonomy!$B$5:$B$400,0))="Dr",IF($F74="INCREASE","Dr","Cr"),IF($F74="INCREASE","Cr","Dr")),"n/a"))</f>
        <v/>
      </c>
      <c r="H74" s="14" t="inlineStr">
        <is>
          <t>ACCEPTANCE_AMOUNT</t>
        </is>
      </c>
      <c r="I74" s="15" t="inlineStr">
        <is>
          <t>acceptance</t>
        </is>
      </c>
      <c r="J74" s="14" t="inlineStr">
        <is>
          <t>POST</t>
        </is>
      </c>
      <c r="K74" s="25">
        <f>IF(OR($E74="—",LEFT($E74,1)="("),"n/a",IF(COUNTIF(Balance_Taxonomy!$B$5:$B$400,$E74)&gt;0,"OK","UNKNOWN TYPE"))</f>
        <v/>
      </c>
      <c r="L74" s="25">
        <f>IF(COUNTIF(Amount_Basis!$A$5:$A$100,$H74)&gt;0,"OK","UNKNOWN CODE")</f>
        <v/>
      </c>
      <c r="M74" s="25">
        <f>IF($F74="DERIVED_FROM_SIGN",IF($G74="runtime","OK","INVALID - must be runtime"),IF(OR($J74="POST",$J74="MEMO_ONLY"),IF(OR($G74="Dr",$G74="Cr"),"OK","INVALID - must derive"),IF(OR($G74="n/a",$G74="runtime"),"OK","INVALID - must be n/a")))</f>
        <v/>
      </c>
      <c r="N74" s="25">
        <f t="array" ref="N74">IF($J74="MIRROR",IF($F74="MIRRORED","OK","INVALID - MIRROR needs MIRRORED"),IF(IFERROR(INDEX(Amount_Basis!$D$5:$D$100,MATCH($H74,Amount_Basis!$A$5:$A$100,0)),"")="SIGNED",IF($F74="DERIVED_FROM_SIGN","OK","INVALID - SIGNED basis needs DERIVED_FROM_SIGN"),IF(OR($F74="INCREASE",$F74="DECREASE",$F74="—"),"OK","INVALID - static direction required")))</f>
        <v/>
      </c>
      <c r="O74" s="14" t="inlineStr">
        <is>
          <t>§3.8</t>
        </is>
      </c>
    </row>
    <row r="75" ht="15" customHeight="1" s="40">
      <c r="A75" s="14" t="inlineStr">
        <is>
          <t>Import</t>
        </is>
      </c>
      <c r="B75" s="14" t="inlineStr">
        <is>
          <t>ACC_FORCED</t>
        </is>
      </c>
      <c r="C75" s="14" t="inlineStr">
        <is>
          <t>DERECOGNISE_LIABILITY</t>
        </is>
      </c>
      <c r="D75" s="14" t="n">
        <v>1</v>
      </c>
      <c r="E75" s="15" t="inlineStr">
        <is>
          <t>LC_SETTLEMENT_PAYABLE</t>
        </is>
      </c>
      <c r="F75" s="14" t="inlineStr">
        <is>
          <t>INCREASE</t>
        </is>
      </c>
      <c r="G75" s="25">
        <f t="array" ref="G75">IF(OR($F75="DERIVED_FROM_SIGN",$F75="MIRRORED"),"runtime",IFERROR(IF(INDEX(Balance_Taxonomy!$C$5:$C$400,MATCH($E75,Balance_Taxonomy!$B$5:$B$400,0))="Dr",IF($F75="INCREASE","Dr","Cr"),IF($F75="INCREASE","Cr","Dr")),"n/a"))</f>
        <v/>
      </c>
      <c r="H75" s="14" t="inlineStr">
        <is>
          <t>ACCEPTANCE_AMOUNT</t>
        </is>
      </c>
      <c r="I75" s="15" t="inlineStr">
        <is>
          <t>acceptance</t>
        </is>
      </c>
      <c r="J75" s="14" t="inlineStr">
        <is>
          <t>POST</t>
        </is>
      </c>
      <c r="K75" s="25">
        <f>IF(OR($E75="—",LEFT($E75,1)="("),"n/a",IF(COUNTIF(Balance_Taxonomy!$B$5:$B$400,$E75)&gt;0,"OK","UNKNOWN TYPE"))</f>
        <v/>
      </c>
      <c r="L75" s="25">
        <f>IF(COUNTIF(Amount_Basis!$A$5:$A$100,$H75)&gt;0,"OK","UNKNOWN CODE")</f>
        <v/>
      </c>
      <c r="M75" s="25">
        <f>IF($F75="DERIVED_FROM_SIGN",IF($G75="runtime","OK","INVALID - must be runtime"),IF(OR($J75="POST",$J75="MEMO_ONLY"),IF(OR($G75="Dr",$G75="Cr"),"OK","INVALID - must derive"),IF(OR($G75="n/a",$G75="runtime"),"OK","INVALID - must be n/a")))</f>
        <v/>
      </c>
      <c r="N75" s="25">
        <f t="array" ref="N75">IF($J75="MIRROR",IF($F75="MIRRORED","OK","INVALID - MIRROR needs MIRRORED"),IF(IFERROR(INDEX(Amount_Basis!$D$5:$D$100,MATCH($H75,Amount_Basis!$A$5:$A$100,0)),"")="SIGNED",IF($F75="DERIVED_FROM_SIGN","OK","INVALID - SIGNED basis needs DERIVED_FROM_SIGN"),IF(OR($F75="INCREASE",$F75="DECREASE",$F75="—"),"OK","INVALID - static direction required")))</f>
        <v/>
      </c>
      <c r="O75" s="14" t="inlineStr">
        <is>
          <t>§3.8</t>
        </is>
      </c>
    </row>
    <row r="76" ht="15" customHeight="1" s="40">
      <c r="A76" s="14" t="inlineStr">
        <is>
          <t>Import</t>
        </is>
      </c>
      <c r="B76" s="14" t="inlineStr">
        <is>
          <t>ACC_FORCED</t>
        </is>
      </c>
      <c r="C76" s="14" t="inlineStr">
        <is>
          <t>RAISE_FORCED_ADVANCE</t>
        </is>
      </c>
      <c r="D76" s="14" t="n">
        <v>2</v>
      </c>
      <c r="E76" s="15" t="inlineStr">
        <is>
          <t>IMPORT_ADVANCE_FORCED</t>
        </is>
      </c>
      <c r="F76" s="14" t="inlineStr">
        <is>
          <t>INCREASE</t>
        </is>
      </c>
      <c r="G76" s="25">
        <f t="array" ref="G76">IF(OR($F76="DERIVED_FROM_SIGN",$F76="MIRRORED"),"runtime",IFERROR(IF(INDEX(Balance_Taxonomy!$C$5:$C$400,MATCH($E76,Balance_Taxonomy!$B$5:$B$400,0))="Dr",IF($F76="INCREASE","Dr","Cr"),IF($F76="INCREASE","Cr","Dr")),"n/a"))</f>
        <v/>
      </c>
      <c r="H76" s="14" t="inlineStr">
        <is>
          <t>ACCEPTANCE_AMOUNT</t>
        </is>
      </c>
      <c r="I76" s="15" t="inlineStr">
        <is>
          <t>acceptance</t>
        </is>
      </c>
      <c r="J76" s="14" t="inlineStr">
        <is>
          <t>POST</t>
        </is>
      </c>
      <c r="K76" s="25">
        <f>IF(OR($E76="—",LEFT($E76,1)="("),"n/a",IF(COUNTIF(Balance_Taxonomy!$B$5:$B$400,$E76)&gt;0,"OK","UNKNOWN TYPE"))</f>
        <v/>
      </c>
      <c r="L76" s="25">
        <f>IF(COUNTIF(Amount_Basis!$A$5:$A$100,$H76)&gt;0,"OK","UNKNOWN CODE")</f>
        <v/>
      </c>
      <c r="M76" s="25">
        <f>IF($F76="DERIVED_FROM_SIGN",IF($G76="runtime","OK","INVALID - must be runtime"),IF(OR($J76="POST",$J76="MEMO_ONLY"),IF(OR($G76="Dr",$G76="Cr"),"OK","INVALID - must derive"),IF(OR($G76="n/a",$G76="runtime"),"OK","INVALID - must be n/a")))</f>
        <v/>
      </c>
      <c r="N76" s="25">
        <f t="array" ref="N76">IF($J76="MIRROR",IF($F76="MIRRORED","OK","INVALID - MIRROR needs MIRRORED"),IF(IFERROR(INDEX(Amount_Basis!$D$5:$D$100,MATCH($H76,Amount_Basis!$A$5:$A$100,0)),"")="SIGNED",IF($F76="DERIVED_FROM_SIGN","OK","INVALID - SIGNED basis needs DERIVED_FROM_SIGN"),IF(OR($F76="INCREASE",$F76="DECREASE",$F76="—"),"OK","INVALID - static direction required")))</f>
        <v/>
      </c>
      <c r="O76" s="14" t="inlineStr">
        <is>
          <t>§3.8</t>
        </is>
      </c>
    </row>
    <row r="77" ht="15" customHeight="1" s="40">
      <c r="A77" s="14" t="inlineStr">
        <is>
          <t>Import</t>
        </is>
      </c>
      <c r="B77" s="14" t="inlineStr">
        <is>
          <t>ACC_FORCED</t>
        </is>
      </c>
      <c r="C77" s="14" t="inlineStr">
        <is>
          <t>RAISE_FORCED_ADVANCE</t>
        </is>
      </c>
      <c r="D77" s="14" t="n">
        <v>2</v>
      </c>
      <c r="E77" s="15" t="inlineStr">
        <is>
          <t>ACCEPTANCE_REIMB_RECEIVABLE_APPLICANT</t>
        </is>
      </c>
      <c r="F77" s="14" t="inlineStr">
        <is>
          <t>DECREASE</t>
        </is>
      </c>
      <c r="G77" s="25">
        <f t="array" ref="G77">IF(OR($F77="DERIVED_FROM_SIGN",$F77="MIRRORED"),"runtime",IFERROR(IF(INDEX(Balance_Taxonomy!$C$5:$C$400,MATCH($E77,Balance_Taxonomy!$B$5:$B$400,0))="Dr",IF($F77="INCREASE","Dr","Cr"),IF($F77="INCREASE","Cr","Dr")),"n/a"))</f>
        <v/>
      </c>
      <c r="H77" s="14" t="inlineStr">
        <is>
          <t>ACCEPTANCE_AMOUNT</t>
        </is>
      </c>
      <c r="I77" s="15" t="inlineStr">
        <is>
          <t>acceptance</t>
        </is>
      </c>
      <c r="J77" s="14" t="inlineStr">
        <is>
          <t>POST</t>
        </is>
      </c>
      <c r="K77" s="25">
        <f>IF(OR($E77="—",LEFT($E77,1)="("),"n/a",IF(COUNTIF(Balance_Taxonomy!$B$5:$B$400,$E77)&gt;0,"OK","UNKNOWN TYPE"))</f>
        <v/>
      </c>
      <c r="L77" s="25">
        <f>IF(COUNTIF(Amount_Basis!$A$5:$A$100,$H77)&gt;0,"OK","UNKNOWN CODE")</f>
        <v/>
      </c>
      <c r="M77" s="25">
        <f>IF($F77="DERIVED_FROM_SIGN",IF($G77="runtime","OK","INVALID - must be runtime"),IF(OR($J77="POST",$J77="MEMO_ONLY"),IF(OR($G77="Dr",$G77="Cr"),"OK","INVALID - must derive"),IF(OR($G77="n/a",$G77="runtime"),"OK","INVALID - must be n/a")))</f>
        <v/>
      </c>
      <c r="N77" s="25">
        <f t="array" ref="N77">IF($J77="MIRROR",IF($F77="MIRRORED","OK","INVALID - MIRROR needs MIRRORED"),IF(IFERROR(INDEX(Amount_Basis!$D$5:$D$100,MATCH($H77,Amount_Basis!$A$5:$A$100,0)),"")="SIGNED",IF($F77="DERIVED_FROM_SIGN","OK","INVALID - SIGNED basis needs DERIVED_FROM_SIGN"),IF(OR($F77="INCREASE",$F77="DECREASE",$F77="—"),"OK","INVALID - static direction required")))</f>
        <v/>
      </c>
      <c r="O77" s="14" t="inlineStr">
        <is>
          <t>§3.8</t>
        </is>
      </c>
    </row>
    <row r="78" ht="15" customHeight="1" s="40">
      <c r="A78" s="14" t="inlineStr">
        <is>
          <t>Import</t>
        </is>
      </c>
      <c r="B78" s="14" t="inlineStr">
        <is>
          <t>ACC_FORCED</t>
        </is>
      </c>
      <c r="C78" s="14" t="inlineStr">
        <is>
          <t>SETTLE_NOSTRO</t>
        </is>
      </c>
      <c r="D78" s="14" t="n">
        <v>3</v>
      </c>
      <c r="E78" s="15" t="inlineStr">
        <is>
          <t>LC_SETTLEMENT_PAYABLE</t>
        </is>
      </c>
      <c r="F78" s="14" t="inlineStr">
        <is>
          <t>DECREASE</t>
        </is>
      </c>
      <c r="G78" s="25">
        <f t="array" ref="G78">IF(OR($F78="DERIVED_FROM_SIGN",$F78="MIRRORED"),"runtime",IFERROR(IF(INDEX(Balance_Taxonomy!$C$5:$C$400,MATCH($E78,Balance_Taxonomy!$B$5:$B$400,0))="Dr",IF($F78="INCREASE","Dr","Cr"),IF($F78="INCREASE","Cr","Dr")),"n/a"))</f>
        <v/>
      </c>
      <c r="H78" s="14" t="inlineStr">
        <is>
          <t>ACCEPTANCE_AMOUNT</t>
        </is>
      </c>
      <c r="I78" s="15" t="inlineStr">
        <is>
          <t>acceptance</t>
        </is>
      </c>
      <c r="J78" s="14" t="inlineStr">
        <is>
          <t>POST</t>
        </is>
      </c>
      <c r="K78" s="25">
        <f>IF(OR($E78="—",LEFT($E78,1)="("),"n/a",IF(COUNTIF(Balance_Taxonomy!$B$5:$B$400,$E78)&gt;0,"OK","UNKNOWN TYPE"))</f>
        <v/>
      </c>
      <c r="L78" s="25">
        <f>IF(COUNTIF(Amount_Basis!$A$5:$A$100,$H78)&gt;0,"OK","UNKNOWN CODE")</f>
        <v/>
      </c>
      <c r="M78" s="25">
        <f>IF($F78="DERIVED_FROM_SIGN",IF($G78="runtime","OK","INVALID - must be runtime"),IF(OR($J78="POST",$J78="MEMO_ONLY"),IF(OR($G78="Dr",$G78="Cr"),"OK","INVALID - must derive"),IF(OR($G78="n/a",$G78="runtime"),"OK","INVALID - must be n/a")))</f>
        <v/>
      </c>
      <c r="N78" s="25">
        <f t="array" ref="N78">IF($J78="MIRROR",IF($F78="MIRRORED","OK","INVALID - MIRROR needs MIRRORED"),IF(IFERROR(INDEX(Amount_Basis!$D$5:$D$100,MATCH($H78,Amount_Basis!$A$5:$A$100,0)),"")="SIGNED",IF($F78="DERIVED_FROM_SIGN","OK","INVALID - SIGNED basis needs DERIVED_FROM_SIGN"),IF(OR($F78="INCREASE",$F78="DECREASE",$F78="—"),"OK","INVALID - static direction required")))</f>
        <v/>
      </c>
      <c r="O78" s="14" t="inlineStr">
        <is>
          <t>§3.8</t>
        </is>
      </c>
    </row>
    <row r="79" ht="15" customHeight="1" s="40">
      <c r="A79" s="14" t="inlineStr">
        <is>
          <t>Import</t>
        </is>
      </c>
      <c r="B79" s="14" t="inlineStr">
        <is>
          <t>ACC_FORCED</t>
        </is>
      </c>
      <c r="C79" s="14" t="inlineStr">
        <is>
          <t>SETTLE_NOSTRO</t>
        </is>
      </c>
      <c r="D79" s="14" t="n">
        <v>3</v>
      </c>
      <c r="E79" s="15" t="inlineStr">
        <is>
          <t>NOSTRO</t>
        </is>
      </c>
      <c r="F79" s="14" t="inlineStr">
        <is>
          <t>DECREASE</t>
        </is>
      </c>
      <c r="G79" s="25">
        <f t="array" ref="G79">IF(OR($F79="DERIVED_FROM_SIGN",$F79="MIRRORED"),"runtime",IFERROR(IF(INDEX(Balance_Taxonomy!$C$5:$C$400,MATCH($E79,Balance_Taxonomy!$B$5:$B$400,0))="Dr",IF($F79="INCREASE","Dr","Cr"),IF($F79="INCREASE","Cr","Dr")),"n/a"))</f>
        <v/>
      </c>
      <c r="H79" s="14" t="inlineStr">
        <is>
          <t>ACCEPTANCE_AMOUNT</t>
        </is>
      </c>
      <c r="I79" s="15" t="inlineStr">
        <is>
          <t>acceptance</t>
        </is>
      </c>
      <c r="J79" s="14" t="inlineStr">
        <is>
          <t>POST</t>
        </is>
      </c>
      <c r="K79" s="25">
        <f>IF(OR($E79="—",LEFT($E79,1)="("),"n/a",IF(COUNTIF(Balance_Taxonomy!$B$5:$B$400,$E79)&gt;0,"OK","UNKNOWN TYPE"))</f>
        <v/>
      </c>
      <c r="L79" s="25">
        <f>IF(COUNTIF(Amount_Basis!$A$5:$A$100,$H79)&gt;0,"OK","UNKNOWN CODE")</f>
        <v/>
      </c>
      <c r="M79" s="25">
        <f>IF($F79="DERIVED_FROM_SIGN",IF($G79="runtime","OK","INVALID - must be runtime"),IF(OR($J79="POST",$J79="MEMO_ONLY"),IF(OR($G79="Dr",$G79="Cr"),"OK","INVALID - must derive"),IF(OR($G79="n/a",$G79="runtime"),"OK","INVALID - must be n/a")))</f>
        <v/>
      </c>
      <c r="N79" s="25">
        <f t="array" ref="N79">IF($J79="MIRROR",IF($F79="MIRRORED","OK","INVALID - MIRROR needs MIRRORED"),IF(IFERROR(INDEX(Amount_Basis!$D$5:$D$100,MATCH($H79,Amount_Basis!$A$5:$A$100,0)),"")="SIGNED",IF($F79="DERIVED_FROM_SIGN","OK","INVALID - SIGNED basis needs DERIVED_FROM_SIGN"),IF(OR($F79="INCREASE",$F79="DECREASE",$F79="—"),"OK","INVALID - static direction required")))</f>
        <v/>
      </c>
      <c r="O79" s="14" t="inlineStr">
        <is>
          <t>§3.8</t>
        </is>
      </c>
    </row>
    <row r="80" ht="15" customHeight="1" s="40">
      <c r="A80" s="14" t="inlineStr">
        <is>
          <t>Import</t>
        </is>
      </c>
      <c r="B80" s="14" t="inlineStr">
        <is>
          <t>ACC_FORCED</t>
        </is>
      </c>
      <c r="C80" s="14" t="inlineStr">
        <is>
          <t>REVERSE_SHADOW</t>
        </is>
      </c>
      <c r="D80" s="14" t="n">
        <v>4</v>
      </c>
      <c r="E80" s="15" t="inlineStr">
        <is>
          <t>ACCEPTANCE_SHADOW_CR</t>
        </is>
      </c>
      <c r="F80" s="14" t="inlineStr">
        <is>
          <t>DECREASE</t>
        </is>
      </c>
      <c r="G80" s="25">
        <f t="array" ref="G80">IF(OR($F80="DERIVED_FROM_SIGN",$F80="MIRRORED"),"runtime",IFERROR(IF(INDEX(Balance_Taxonomy!$C$5:$C$400,MATCH($E80,Balance_Taxonomy!$B$5:$B$400,0))="Dr",IF($F80="INCREASE","Dr","Cr"),IF($F80="INCREASE","Cr","Dr")),"n/a"))</f>
        <v/>
      </c>
      <c r="H80" s="14" t="inlineStr">
        <is>
          <t>ACCEPTANCE_AMOUNT</t>
        </is>
      </c>
      <c r="I80" s="15" t="inlineStr">
        <is>
          <t>acceptance</t>
        </is>
      </c>
      <c r="J80" s="14" t="inlineStr">
        <is>
          <t>POST</t>
        </is>
      </c>
      <c r="K80" s="25">
        <f>IF(OR($E80="—",LEFT($E80,1)="("),"n/a",IF(COUNTIF(Balance_Taxonomy!$B$5:$B$400,$E80)&gt;0,"OK","UNKNOWN TYPE"))</f>
        <v/>
      </c>
      <c r="L80" s="25">
        <f>IF(COUNTIF(Amount_Basis!$A$5:$A$100,$H80)&gt;0,"OK","UNKNOWN CODE")</f>
        <v/>
      </c>
      <c r="M80" s="25">
        <f>IF($F80="DERIVED_FROM_SIGN",IF($G80="runtime","OK","INVALID - must be runtime"),IF(OR($J80="POST",$J80="MEMO_ONLY"),IF(OR($G80="Dr",$G80="Cr"),"OK","INVALID - must derive"),IF(OR($G80="n/a",$G80="runtime"),"OK","INVALID - must be n/a")))</f>
        <v/>
      </c>
      <c r="N80" s="25">
        <f t="array" ref="N80">IF($J80="MIRROR",IF($F80="MIRRORED","OK","INVALID - MIRROR needs MIRRORED"),IF(IFERROR(INDEX(Amount_Basis!$D$5:$D$100,MATCH($H80,Amount_Basis!$A$5:$A$100,0)),"")="SIGNED",IF($F80="DERIVED_FROM_SIGN","OK","INVALID - SIGNED basis needs DERIVED_FROM_SIGN"),IF(OR($F80="INCREASE",$F80="DECREASE",$F80="—"),"OK","INVALID - static direction required")))</f>
        <v/>
      </c>
      <c r="O80" s="14" t="inlineStr">
        <is>
          <t>§3.8</t>
        </is>
      </c>
    </row>
    <row r="81" ht="15" customHeight="1" s="40">
      <c r="A81" s="14" t="inlineStr">
        <is>
          <t>Import</t>
        </is>
      </c>
      <c r="B81" s="14" t="inlineStr">
        <is>
          <t>ACC_FORCED</t>
        </is>
      </c>
      <c r="C81" s="14" t="inlineStr">
        <is>
          <t>REVERSE_SHADOW</t>
        </is>
      </c>
      <c r="D81" s="14" t="n">
        <v>4</v>
      </c>
      <c r="E81" s="15" t="inlineStr">
        <is>
          <t>ACCEPTANCE_SHADOW_DR</t>
        </is>
      </c>
      <c r="F81" s="14" t="inlineStr">
        <is>
          <t>DECREASE</t>
        </is>
      </c>
      <c r="G81" s="25">
        <f t="array" ref="G81">IF(OR($F81="DERIVED_FROM_SIGN",$F81="MIRRORED"),"runtime",IFERROR(IF(INDEX(Balance_Taxonomy!$C$5:$C$400,MATCH($E81,Balance_Taxonomy!$B$5:$B$400,0))="Dr",IF($F81="INCREASE","Dr","Cr"),IF($F81="INCREASE","Cr","Dr")),"n/a"))</f>
        <v/>
      </c>
      <c r="H81" s="14" t="inlineStr">
        <is>
          <t>ACCEPTANCE_AMOUNT</t>
        </is>
      </c>
      <c r="I81" s="15" t="inlineStr">
        <is>
          <t>acceptance</t>
        </is>
      </c>
      <c r="J81" s="14" t="inlineStr">
        <is>
          <t>POST</t>
        </is>
      </c>
      <c r="K81" s="25">
        <f>IF(OR($E81="—",LEFT($E81,1)="("),"n/a",IF(COUNTIF(Balance_Taxonomy!$B$5:$B$400,$E81)&gt;0,"OK","UNKNOWN TYPE"))</f>
        <v/>
      </c>
      <c r="L81" s="25">
        <f>IF(COUNTIF(Amount_Basis!$A$5:$A$100,$H81)&gt;0,"OK","UNKNOWN CODE")</f>
        <v/>
      </c>
      <c r="M81" s="25">
        <f>IF($F81="DERIVED_FROM_SIGN",IF($G81="runtime","OK","INVALID - must be runtime"),IF(OR($J81="POST",$J81="MEMO_ONLY"),IF(OR($G81="Dr",$G81="Cr"),"OK","INVALID - must derive"),IF(OR($G81="n/a",$G81="runtime"),"OK","INVALID - must be n/a")))</f>
        <v/>
      </c>
      <c r="N81" s="25">
        <f t="array" ref="N81">IF($J81="MIRROR",IF($F81="MIRRORED","OK","INVALID - MIRROR needs MIRRORED"),IF(IFERROR(INDEX(Amount_Basis!$D$5:$D$100,MATCH($H81,Amount_Basis!$A$5:$A$100,0)),"")="SIGNED",IF($F81="DERIVED_FROM_SIGN","OK","INVALID - SIGNED basis needs DERIVED_FROM_SIGN"),IF(OR($F81="INCREASE",$F81="DECREASE",$F81="—"),"OK","INVALID - static direction required")))</f>
        <v/>
      </c>
      <c r="O81" s="14" t="inlineStr">
        <is>
          <t>§3.8</t>
        </is>
      </c>
    </row>
    <row r="82" ht="15" customHeight="1" s="40">
      <c r="A82" s="19" t="inlineStr">
        <is>
          <t>Import</t>
        </is>
      </c>
      <c r="B82" s="19" t="inlineStr">
        <is>
          <t>ACC_DISCOUNT</t>
        </is>
      </c>
      <c r="C82" s="19" t="inlineStr">
        <is>
          <t>EXTINGUISH_BY_MERGER</t>
        </is>
      </c>
      <c r="D82" s="19" t="n">
        <v>1</v>
      </c>
      <c r="E82" s="21" t="inlineStr">
        <is>
          <t>ACCEPTANCE_DPU_OUTSTANDING</t>
        </is>
      </c>
      <c r="F82" s="19" t="inlineStr">
        <is>
          <t>DECREASE</t>
        </is>
      </c>
      <c r="G82" s="29">
        <f t="array" ref="G82">IF(OR($F82="DERIVED_FROM_SIGN",$F82="MIRRORED"),"runtime",IFERROR(IF(INDEX(Balance_Taxonomy!$C$5:$C$400,MATCH($E82,Balance_Taxonomy!$B$5:$B$400,0))="Dr",IF($F82="INCREASE","Dr","Cr"),IF($F82="INCREASE","Cr","Dr")),"n/a"))</f>
        <v/>
      </c>
      <c r="H82" s="19" t="inlineStr">
        <is>
          <t>ACCEPTANCE_AMOUNT</t>
        </is>
      </c>
      <c r="I82" s="21" t="inlineStr">
        <is>
          <t>acceptance</t>
        </is>
      </c>
      <c r="J82" s="19" t="inlineStr">
        <is>
          <t>POST</t>
        </is>
      </c>
      <c r="K82" s="29">
        <f>IF(OR($E82="—",LEFT($E82,1)="("),"n/a",IF(COUNTIF(Balance_Taxonomy!$B$5:$B$400,$E82)&gt;0,"OK","UNKNOWN TYPE"))</f>
        <v/>
      </c>
      <c r="L82" s="29">
        <f>IF(COUNTIF(Amount_Basis!$A$5:$A$100,$H82)&gt;0,"OK","UNKNOWN CODE")</f>
        <v/>
      </c>
      <c r="M82" s="29">
        <f>IF($F82="DERIVED_FROM_SIGN",IF($G82="runtime","OK","INVALID - must be runtime"),IF(OR($J82="POST",$J82="MEMO_ONLY"),IF(OR($G82="Dr",$G82="Cr"),"OK","INVALID - must derive"),IF(OR($G82="n/a",$G82="runtime"),"OK","INVALID - must be n/a")))</f>
        <v/>
      </c>
      <c r="N82" s="29">
        <f t="array" ref="N82">IF($J82="MIRROR",IF($F82="MIRRORED","OK","INVALID - MIRROR needs MIRRORED"),IF(IFERROR(INDEX(Amount_Basis!$D$5:$D$100,MATCH($H82,Amount_Basis!$A$5:$A$100,0)),"")="SIGNED",IF($F82="DERIVED_FROM_SIGN","OK","INVALID - SIGNED basis needs DERIVED_FROM_SIGN"),IF(OR($F82="INCREASE",$F82="DECREASE",$F82="—"),"OK","INVALID - static direction required")))</f>
        <v/>
      </c>
      <c r="O82" s="19" t="inlineStr">
        <is>
          <t>§5.3</t>
        </is>
      </c>
    </row>
    <row r="83" ht="15" customHeight="1" s="40">
      <c r="A83" s="19" t="inlineStr">
        <is>
          <t>Import</t>
        </is>
      </c>
      <c r="B83" s="19" t="inlineStr">
        <is>
          <t>ACC_DISCOUNT</t>
        </is>
      </c>
      <c r="C83" s="19" t="inlineStr">
        <is>
          <t>EXTINGUISH_BY_MERGER</t>
        </is>
      </c>
      <c r="D83" s="19" t="n">
        <v>1</v>
      </c>
      <c r="E83" s="21" t="inlineStr">
        <is>
          <t>ACCEPTANCE_REIMB_RECEIVABLE_APPLICANT</t>
        </is>
      </c>
      <c r="F83" s="19" t="inlineStr">
        <is>
          <t>DECREASE</t>
        </is>
      </c>
      <c r="G83" s="29">
        <f t="array" ref="G83">IF(OR($F83="DERIVED_FROM_SIGN",$F83="MIRRORED"),"runtime",IFERROR(IF(INDEX(Balance_Taxonomy!$C$5:$C$400,MATCH($E83,Balance_Taxonomy!$B$5:$B$400,0))="Dr",IF($F83="INCREASE","Dr","Cr"),IF($F83="INCREASE","Cr","Dr")),"n/a"))</f>
        <v/>
      </c>
      <c r="H83" s="19" t="inlineStr">
        <is>
          <t>ACCEPTANCE_AMOUNT</t>
        </is>
      </c>
      <c r="I83" s="21" t="inlineStr">
        <is>
          <t>acceptance</t>
        </is>
      </c>
      <c r="J83" s="19" t="inlineStr">
        <is>
          <t>POST</t>
        </is>
      </c>
      <c r="K83" s="29">
        <f>IF(OR($E83="—",LEFT($E83,1)="("),"n/a",IF(COUNTIF(Balance_Taxonomy!$B$5:$B$400,$E83)&gt;0,"OK","UNKNOWN TYPE"))</f>
        <v/>
      </c>
      <c r="L83" s="29">
        <f>IF(COUNTIF(Amount_Basis!$A$5:$A$100,$H83)&gt;0,"OK","UNKNOWN CODE")</f>
        <v/>
      </c>
      <c r="M83" s="29">
        <f>IF($F83="DERIVED_FROM_SIGN",IF($G83="runtime","OK","INVALID - must be runtime"),IF(OR($J83="POST",$J83="MEMO_ONLY"),IF(OR($G83="Dr",$G83="Cr"),"OK","INVALID - must derive"),IF(OR($G83="n/a",$G83="runtime"),"OK","INVALID - must be n/a")))</f>
        <v/>
      </c>
      <c r="N83" s="29">
        <f t="array" ref="N83">IF($J83="MIRROR",IF($F83="MIRRORED","OK","INVALID - MIRROR needs MIRRORED"),IF(IFERROR(INDEX(Amount_Basis!$D$5:$D$100,MATCH($H83,Amount_Basis!$A$5:$A$100,0)),"")="SIGNED",IF($F83="DERIVED_FROM_SIGN","OK","INVALID - SIGNED basis needs DERIVED_FROM_SIGN"),IF(OR($F83="INCREASE",$F83="DECREASE",$F83="—"),"OK","INVALID - static direction required")))</f>
        <v/>
      </c>
      <c r="O83" s="19" t="inlineStr">
        <is>
          <t>§5.3</t>
        </is>
      </c>
    </row>
    <row r="84" ht="15" customHeight="1" s="40">
      <c r="A84" s="19" t="inlineStr">
        <is>
          <t>Import</t>
        </is>
      </c>
      <c r="B84" s="19" t="inlineStr">
        <is>
          <t>ACC_DISCOUNT</t>
        </is>
      </c>
      <c r="C84" s="19" t="inlineStr">
        <is>
          <t>FUND_DISCOUNT</t>
        </is>
      </c>
      <c r="D84" s="19" t="n">
        <v>2</v>
      </c>
      <c r="E84" s="21" t="inlineStr">
        <is>
          <t>IMPORT_USANCE_FINANCING</t>
        </is>
      </c>
      <c r="F84" s="19" t="inlineStr">
        <is>
          <t>INCREASE</t>
        </is>
      </c>
      <c r="G84" s="29">
        <f t="array" ref="G84">IF(OR($F84="DERIVED_FROM_SIGN",$F84="MIRRORED"),"runtime",IFERROR(IF(INDEX(Balance_Taxonomy!$C$5:$C$400,MATCH($E84,Balance_Taxonomy!$B$5:$B$400,0))="Dr",IF($F84="INCREASE","Dr","Cr"),IF($F84="INCREASE","Cr","Dr")),"n/a"))</f>
        <v/>
      </c>
      <c r="H84" s="19" t="inlineStr">
        <is>
          <t>ACCEPTANCE_AMOUNT</t>
        </is>
      </c>
      <c r="I84" s="21" t="inlineStr">
        <is>
          <t>acceptance</t>
        </is>
      </c>
      <c r="J84" s="19" t="inlineStr">
        <is>
          <t>POST</t>
        </is>
      </c>
      <c r="K84" s="29">
        <f>IF(OR($E84="—",LEFT($E84,1)="("),"n/a",IF(COUNTIF(Balance_Taxonomy!$B$5:$B$400,$E84)&gt;0,"OK","UNKNOWN TYPE"))</f>
        <v/>
      </c>
      <c r="L84" s="29">
        <f>IF(COUNTIF(Amount_Basis!$A$5:$A$100,$H84)&gt;0,"OK","UNKNOWN CODE")</f>
        <v/>
      </c>
      <c r="M84" s="29">
        <f>IF($F84="DERIVED_FROM_SIGN",IF($G84="runtime","OK","INVALID - must be runtime"),IF(OR($J84="POST",$J84="MEMO_ONLY"),IF(OR($G84="Dr",$G84="Cr"),"OK","INVALID - must derive"),IF(OR($G84="n/a",$G84="runtime"),"OK","INVALID - must be n/a")))</f>
        <v/>
      </c>
      <c r="N84" s="29">
        <f t="array" ref="N84">IF($J84="MIRROR",IF($F84="MIRRORED","OK","INVALID - MIRROR needs MIRRORED"),IF(IFERROR(INDEX(Amount_Basis!$D$5:$D$100,MATCH($H84,Amount_Basis!$A$5:$A$100,0)),"")="SIGNED",IF($F84="DERIVED_FROM_SIGN","OK","INVALID - SIGNED basis needs DERIVED_FROM_SIGN"),IF(OR($F84="INCREASE",$F84="DECREASE",$F84="—"),"OK","INVALID - static direction required")))</f>
        <v/>
      </c>
      <c r="O84" s="19" t="inlineStr">
        <is>
          <t>§5.3</t>
        </is>
      </c>
    </row>
    <row r="85" ht="15" customHeight="1" s="40">
      <c r="A85" s="19" t="inlineStr">
        <is>
          <t>Import</t>
        </is>
      </c>
      <c r="B85" s="19" t="inlineStr">
        <is>
          <t>ACC_DISCOUNT</t>
        </is>
      </c>
      <c r="C85" s="19" t="inlineStr">
        <is>
          <t>FUND_DISCOUNT</t>
        </is>
      </c>
      <c r="D85" s="19" t="n">
        <v>2</v>
      </c>
      <c r="E85" s="21" t="inlineStr">
        <is>
          <t>UNEARNED_DISCOUNT</t>
        </is>
      </c>
      <c r="F85" s="19" t="inlineStr">
        <is>
          <t>INCREASE</t>
        </is>
      </c>
      <c r="G85" s="29">
        <f t="array" ref="G85">IF(OR($F85="DERIVED_FROM_SIGN",$F85="MIRRORED"),"runtime",IFERROR(IF(INDEX(Balance_Taxonomy!$C$5:$C$400,MATCH($E85,Balance_Taxonomy!$B$5:$B$400,0))="Dr",IF($F85="INCREASE","Dr","Cr"),IF($F85="INCREASE","Cr","Dr")),"n/a"))</f>
        <v/>
      </c>
      <c r="H85" s="19" t="inlineStr">
        <is>
          <t>DISCOUNT_AMOUNT</t>
        </is>
      </c>
      <c r="I85" s="21" t="inlineStr">
        <is>
          <t>discount</t>
        </is>
      </c>
      <c r="J85" s="19" t="inlineStr">
        <is>
          <t>POST</t>
        </is>
      </c>
      <c r="K85" s="29">
        <f>IF(OR($E85="—",LEFT($E85,1)="("),"n/a",IF(COUNTIF(Balance_Taxonomy!$B$5:$B$400,$E85)&gt;0,"OK","UNKNOWN TYPE"))</f>
        <v/>
      </c>
      <c r="L85" s="29">
        <f>IF(COUNTIF(Amount_Basis!$A$5:$A$100,$H85)&gt;0,"OK","UNKNOWN CODE")</f>
        <v/>
      </c>
      <c r="M85" s="29">
        <f>IF($F85="DERIVED_FROM_SIGN",IF($G85="runtime","OK","INVALID - must be runtime"),IF(OR($J85="POST",$J85="MEMO_ONLY"),IF(OR($G85="Dr",$G85="Cr"),"OK","INVALID - must derive"),IF(OR($G85="n/a",$G85="runtime"),"OK","INVALID - must be n/a")))</f>
        <v/>
      </c>
      <c r="N85" s="29">
        <f t="array" ref="N85">IF($J85="MIRROR",IF($F85="MIRRORED","OK","INVALID - MIRROR needs MIRRORED"),IF(IFERROR(INDEX(Amount_Basis!$D$5:$D$100,MATCH($H85,Amount_Basis!$A$5:$A$100,0)),"")="SIGNED",IF($F85="DERIVED_FROM_SIGN","OK","INVALID - SIGNED basis needs DERIVED_FROM_SIGN"),IF(OR($F85="INCREASE",$F85="DECREASE",$F85="—"),"OK","INVALID - static direction required")))</f>
        <v/>
      </c>
      <c r="O85" s="19" t="inlineStr">
        <is>
          <t>§5.3</t>
        </is>
      </c>
    </row>
    <row r="86" ht="15" customHeight="1" s="40">
      <c r="A86" s="19" t="inlineStr">
        <is>
          <t>Import</t>
        </is>
      </c>
      <c r="B86" s="19" t="inlineStr">
        <is>
          <t>ACC_DISCOUNT</t>
        </is>
      </c>
      <c r="C86" s="19" t="inlineStr">
        <is>
          <t>FUND_DISCOUNT</t>
        </is>
      </c>
      <c r="D86" s="19" t="n">
        <v>2</v>
      </c>
      <c r="E86" s="21" t="inlineStr">
        <is>
          <t>NOSTRO</t>
        </is>
      </c>
      <c r="F86" s="19" t="inlineStr">
        <is>
          <t>DECREASE</t>
        </is>
      </c>
      <c r="G86" s="29">
        <f t="array" ref="G86">IF(OR($F86="DERIVED_FROM_SIGN",$F86="MIRRORED"),"runtime",IFERROR(IF(INDEX(Balance_Taxonomy!$C$5:$C$400,MATCH($E86,Balance_Taxonomy!$B$5:$B$400,0))="Dr",IF($F86="INCREASE","Dr","Cr"),IF($F86="INCREASE","Cr","Dr")),"n/a"))</f>
        <v/>
      </c>
      <c r="H86" s="19" t="inlineStr">
        <is>
          <t>NET_PROCEEDS</t>
        </is>
      </c>
      <c r="I86" s="21" t="inlineStr">
        <is>
          <t>acceptance less discount</t>
        </is>
      </c>
      <c r="J86" s="19" t="inlineStr">
        <is>
          <t>POST</t>
        </is>
      </c>
      <c r="K86" s="29">
        <f>IF(OR($E86="—",LEFT($E86,1)="("),"n/a",IF(COUNTIF(Balance_Taxonomy!$B$5:$B$400,$E86)&gt;0,"OK","UNKNOWN TYPE"))</f>
        <v/>
      </c>
      <c r="L86" s="29">
        <f>IF(COUNTIF(Amount_Basis!$A$5:$A$100,$H86)&gt;0,"OK","UNKNOWN CODE")</f>
        <v/>
      </c>
      <c r="M86" s="29">
        <f>IF($F86="DERIVED_FROM_SIGN",IF($G86="runtime","OK","INVALID - must be runtime"),IF(OR($J86="POST",$J86="MEMO_ONLY"),IF(OR($G86="Dr",$G86="Cr"),"OK","INVALID - must derive"),IF(OR($G86="n/a",$G86="runtime"),"OK","INVALID - must be n/a")))</f>
        <v/>
      </c>
      <c r="N86" s="29">
        <f t="array" ref="N86">IF($J86="MIRROR",IF($F86="MIRRORED","OK","INVALID - MIRROR needs MIRRORED"),IF(IFERROR(INDEX(Amount_Basis!$D$5:$D$100,MATCH($H86,Amount_Basis!$A$5:$A$100,0)),"")="SIGNED",IF($F86="DERIVED_FROM_SIGN","OK","INVALID - SIGNED basis needs DERIVED_FROM_SIGN"),IF(OR($F86="INCREASE",$F86="DECREASE",$F86="—"),"OK","INVALID - static direction required")))</f>
        <v/>
      </c>
      <c r="O86" s="19" t="inlineStr">
        <is>
          <t>§5.3</t>
        </is>
      </c>
    </row>
    <row r="87" ht="15" customHeight="1" s="40">
      <c r="A87" s="19" t="inlineStr">
        <is>
          <t>Import</t>
        </is>
      </c>
      <c r="B87" s="19" t="inlineStr">
        <is>
          <t>ACC_DISCOUNT</t>
        </is>
      </c>
      <c r="C87" s="19" t="inlineStr">
        <is>
          <t>REVERSE_SHADOW</t>
        </is>
      </c>
      <c r="D87" s="19" t="n">
        <v>3</v>
      </c>
      <c r="E87" s="21" t="inlineStr">
        <is>
          <t>ACCEPTANCE_SHADOW_CR</t>
        </is>
      </c>
      <c r="F87" s="19" t="inlineStr">
        <is>
          <t>DECREASE</t>
        </is>
      </c>
      <c r="G87" s="29">
        <f t="array" ref="G87">IF(OR($F87="DERIVED_FROM_SIGN",$F87="MIRRORED"),"runtime",IFERROR(IF(INDEX(Balance_Taxonomy!$C$5:$C$400,MATCH($E87,Balance_Taxonomy!$B$5:$B$400,0))="Dr",IF($F87="INCREASE","Dr","Cr"),IF($F87="INCREASE","Cr","Dr")),"n/a"))</f>
        <v/>
      </c>
      <c r="H87" s="19" t="inlineStr">
        <is>
          <t>ACCEPTANCE_AMOUNT</t>
        </is>
      </c>
      <c r="I87" s="21" t="inlineStr">
        <is>
          <t>acceptance</t>
        </is>
      </c>
      <c r="J87" s="19" t="inlineStr">
        <is>
          <t>POST</t>
        </is>
      </c>
      <c r="K87" s="29">
        <f>IF(OR($E87="—",LEFT($E87,1)="("),"n/a",IF(COUNTIF(Balance_Taxonomy!$B$5:$B$400,$E87)&gt;0,"OK","UNKNOWN TYPE"))</f>
        <v/>
      </c>
      <c r="L87" s="29">
        <f>IF(COUNTIF(Amount_Basis!$A$5:$A$100,$H87)&gt;0,"OK","UNKNOWN CODE")</f>
        <v/>
      </c>
      <c r="M87" s="29">
        <f>IF($F87="DERIVED_FROM_SIGN",IF($G87="runtime","OK","INVALID - must be runtime"),IF(OR($J87="POST",$J87="MEMO_ONLY"),IF(OR($G87="Dr",$G87="Cr"),"OK","INVALID - must derive"),IF(OR($G87="n/a",$G87="runtime"),"OK","INVALID - must be n/a")))</f>
        <v/>
      </c>
      <c r="N87" s="29">
        <f t="array" ref="N87">IF($J87="MIRROR",IF($F87="MIRRORED","OK","INVALID - MIRROR needs MIRRORED"),IF(IFERROR(INDEX(Amount_Basis!$D$5:$D$100,MATCH($H87,Amount_Basis!$A$5:$A$100,0)),"")="SIGNED",IF($F87="DERIVED_FROM_SIGN","OK","INVALID - SIGNED basis needs DERIVED_FROM_SIGN"),IF(OR($F87="INCREASE",$F87="DECREASE",$F87="—"),"OK","INVALID - static direction required")))</f>
        <v/>
      </c>
      <c r="O87" s="19" t="inlineStr">
        <is>
          <t>§5.3</t>
        </is>
      </c>
    </row>
    <row r="88" ht="15" customHeight="1" s="40">
      <c r="A88" s="19" t="inlineStr">
        <is>
          <t>Import</t>
        </is>
      </c>
      <c r="B88" s="19" t="inlineStr">
        <is>
          <t>ACC_DISCOUNT</t>
        </is>
      </c>
      <c r="C88" s="19" t="inlineStr">
        <is>
          <t>REVERSE_SHADOW</t>
        </is>
      </c>
      <c r="D88" s="19" t="n">
        <v>3</v>
      </c>
      <c r="E88" s="21" t="inlineStr">
        <is>
          <t>ACCEPTANCE_SHADOW_DR</t>
        </is>
      </c>
      <c r="F88" s="19" t="inlineStr">
        <is>
          <t>DECREASE</t>
        </is>
      </c>
      <c r="G88" s="29">
        <f t="array" ref="G88">IF(OR($F88="DERIVED_FROM_SIGN",$F88="MIRRORED"),"runtime",IFERROR(IF(INDEX(Balance_Taxonomy!$C$5:$C$400,MATCH($E88,Balance_Taxonomy!$B$5:$B$400,0))="Dr",IF($F88="INCREASE","Dr","Cr"),IF($F88="INCREASE","Cr","Dr")),"n/a"))</f>
        <v/>
      </c>
      <c r="H88" s="19" t="inlineStr">
        <is>
          <t>ACCEPTANCE_AMOUNT</t>
        </is>
      </c>
      <c r="I88" s="21" t="inlineStr">
        <is>
          <t>acceptance</t>
        </is>
      </c>
      <c r="J88" s="19" t="inlineStr">
        <is>
          <t>POST</t>
        </is>
      </c>
      <c r="K88" s="29">
        <f>IF(OR($E88="—",LEFT($E88,1)="("),"n/a",IF(COUNTIF(Balance_Taxonomy!$B$5:$B$400,$E88)&gt;0,"OK","UNKNOWN TYPE"))</f>
        <v/>
      </c>
      <c r="L88" s="29">
        <f>IF(COUNTIF(Amount_Basis!$A$5:$A$100,$H88)&gt;0,"OK","UNKNOWN CODE")</f>
        <v/>
      </c>
      <c r="M88" s="29">
        <f>IF($F88="DERIVED_FROM_SIGN",IF($G88="runtime","OK","INVALID - must be runtime"),IF(OR($J88="POST",$J88="MEMO_ONLY"),IF(OR($G88="Dr",$G88="Cr"),"OK","INVALID - must derive"),IF(OR($G88="n/a",$G88="runtime"),"OK","INVALID - must be n/a")))</f>
        <v/>
      </c>
      <c r="N88" s="29">
        <f t="array" ref="N88">IF($J88="MIRROR",IF($F88="MIRRORED","OK","INVALID - MIRROR needs MIRRORED"),IF(IFERROR(INDEX(Amount_Basis!$D$5:$D$100,MATCH($H88,Amount_Basis!$A$5:$A$100,0)),"")="SIGNED",IF($F88="DERIVED_FROM_SIGN","OK","INVALID - SIGNED basis needs DERIVED_FROM_SIGN"),IF(OR($F88="INCREASE",$F88="DECREASE",$F88="—"),"OK","INVALID - static direction required")))</f>
        <v/>
      </c>
      <c r="O88" s="19" t="inlineStr">
        <is>
          <t>§5.3</t>
        </is>
      </c>
    </row>
    <row r="89" ht="15" customHeight="1" s="40">
      <c r="A89" s="14" t="inlineStr">
        <is>
          <t>Import</t>
        </is>
      </c>
      <c r="B89" s="14" t="inlineStr">
        <is>
          <t>ACC_CORRECTION</t>
        </is>
      </c>
      <c r="C89" s="14" t="inlineStr">
        <is>
          <t>SIGNED_REVERSAL</t>
        </is>
      </c>
      <c r="D89" s="14" t="n">
        <v>1</v>
      </c>
      <c r="E89" s="15" t="inlineStr">
        <is>
          <t>(mirror of the corrected event)</t>
        </is>
      </c>
      <c r="F89" s="14" t="inlineStr">
        <is>
          <t>MIRRORED</t>
        </is>
      </c>
      <c r="G89" s="25">
        <f t="array" ref="G89">IF(OR($F89="DERIVED_FROM_SIGN",$F89="MIRRORED"),"runtime",IFERROR(IF(INDEX(Balance_Taxonomy!$C$5:$C$400,MATCH($E89,Balance_Taxonomy!$B$5:$B$400,0))="Dr",IF($F89="INCREASE","Dr","Cr"),IF($F89="INCREASE","Cr","Dr")),"n/a"))</f>
        <v/>
      </c>
      <c r="H89" s="14" t="inlineStr">
        <is>
          <t>ORIGINAL_AMOUNT_SIGNED</t>
        </is>
      </c>
      <c r="I89" s="15" t="inlineStr">
        <is>
          <t>original amount, signed</t>
        </is>
      </c>
      <c r="J89" s="14" t="inlineStr">
        <is>
          <t>MIRROR</t>
        </is>
      </c>
      <c r="K89" s="25">
        <f>IF(OR($E89="—",LEFT($E89,1)="("),"n/a",IF(COUNTIF(Balance_Taxonomy!$B$5:$B$400,$E89)&gt;0,"OK","UNKNOWN TYPE"))</f>
        <v/>
      </c>
      <c r="L89" s="25">
        <f>IF(COUNTIF(Amount_Basis!$A$5:$A$100,$H89)&gt;0,"OK","UNKNOWN CODE")</f>
        <v/>
      </c>
      <c r="M89" s="25">
        <f>IF($F89="DERIVED_FROM_SIGN",IF($G89="runtime","OK","INVALID - must be runtime"),IF(OR($J89="POST",$J89="MEMO_ONLY"),IF(OR($G89="Dr",$G89="Cr"),"OK","INVALID - must derive"),IF(OR($G89="n/a",$G89="runtime"),"OK","INVALID - must be n/a")))</f>
        <v/>
      </c>
      <c r="N89" s="25">
        <f t="array" ref="N89">IF($J89="MIRROR",IF($F89="MIRRORED","OK","INVALID - MIRROR needs MIRRORED"),IF(IFERROR(INDEX(Amount_Basis!$D$5:$D$100,MATCH($H89,Amount_Basis!$A$5:$A$100,0)),"")="SIGNED",IF($F89="DERIVED_FROM_SIGN","OK","INVALID - SIGNED basis needs DERIVED_FROM_SIGN"),IF(OR($F89="INCREASE",$F89="DECREASE",$F89="—"),"OK","INVALID - static direction required")))</f>
        <v/>
      </c>
      <c r="O89" s="14" t="inlineStr">
        <is>
          <t>§5.1</t>
        </is>
      </c>
    </row>
    <row r="90" ht="15" customHeight="1" s="40">
      <c r="A90" s="14" t="inlineStr">
        <is>
          <t>Import</t>
        </is>
      </c>
      <c r="B90" s="14" t="inlineStr">
        <is>
          <t>ACC_CORRECTION</t>
        </is>
      </c>
      <c r="C90" s="14" t="inlineStr">
        <is>
          <t>REBOOK</t>
        </is>
      </c>
      <c r="D90" s="14" t="n">
        <v>2</v>
      </c>
      <c r="E90" s="15" t="inlineStr">
        <is>
          <t>(mirror of the corrected event)</t>
        </is>
      </c>
      <c r="F90" s="14" t="inlineStr">
        <is>
          <t>MIRRORED</t>
        </is>
      </c>
      <c r="G90" s="25">
        <f t="array" ref="G90">IF(OR($F90="DERIVED_FROM_SIGN",$F90="MIRRORED"),"runtime",IFERROR(IF(INDEX(Balance_Taxonomy!$C$5:$C$400,MATCH($E90,Balance_Taxonomy!$B$5:$B$400,0))="Dr",IF($F90="INCREASE","Dr","Cr"),IF($F90="INCREASE","Cr","Dr")),"n/a"))</f>
        <v/>
      </c>
      <c r="H90" s="14" t="inlineStr">
        <is>
          <t>CORRECTED_AMOUNT</t>
        </is>
      </c>
      <c r="I90" s="15" t="inlineStr">
        <is>
          <t>corrected amount</t>
        </is>
      </c>
      <c r="J90" s="14" t="inlineStr">
        <is>
          <t>MIRROR</t>
        </is>
      </c>
      <c r="K90" s="25">
        <f>IF(OR($E90="—",LEFT($E90,1)="("),"n/a",IF(COUNTIF(Balance_Taxonomy!$B$5:$B$400,$E90)&gt;0,"OK","UNKNOWN TYPE"))</f>
        <v/>
      </c>
      <c r="L90" s="25">
        <f>IF(COUNTIF(Amount_Basis!$A$5:$A$100,$H90)&gt;0,"OK","UNKNOWN CODE")</f>
        <v/>
      </c>
      <c r="M90" s="25">
        <f>IF($F90="DERIVED_FROM_SIGN",IF($G90="runtime","OK","INVALID - must be runtime"),IF(OR($J90="POST",$J90="MEMO_ONLY"),IF(OR($G90="Dr",$G90="Cr"),"OK","INVALID - must derive"),IF(OR($G90="n/a",$G90="runtime"),"OK","INVALID - must be n/a")))</f>
        <v/>
      </c>
      <c r="N90" s="25">
        <f t="array" ref="N90">IF($J90="MIRROR",IF($F90="MIRRORED","OK","INVALID - MIRROR needs MIRRORED"),IF(IFERROR(INDEX(Amount_Basis!$D$5:$D$100,MATCH($H90,Amount_Basis!$A$5:$A$100,0)),"")="SIGNED",IF($F90="DERIVED_FROM_SIGN","OK","INVALID - SIGNED basis needs DERIVED_FROM_SIGN"),IF(OR($F90="INCREASE",$F90="DECREASE",$F90="—"),"OK","INVALID - static direction required")))</f>
        <v/>
      </c>
      <c r="O90" s="14" t="inlineStr">
        <is>
          <t>§5.1</t>
        </is>
      </c>
    </row>
    <row r="91" ht="15" customHeight="1" s="40">
      <c r="A91" s="19" t="inlineStr">
        <is>
          <t>Import</t>
        </is>
      </c>
      <c r="B91" s="19" t="inlineStr">
        <is>
          <t>ACC_REDUCTION_CONSENTED</t>
        </is>
      </c>
      <c r="C91" s="19" t="inlineStr">
        <is>
          <t>REDUCE_LIABILITY</t>
        </is>
      </c>
      <c r="D91" s="19" t="n">
        <v>1</v>
      </c>
      <c r="E91" s="21" t="inlineStr">
        <is>
          <t>ACCEPTANCE_DPU_OUTSTANDING</t>
        </is>
      </c>
      <c r="F91" s="19" t="inlineStr">
        <is>
          <t>DECREASE</t>
        </is>
      </c>
      <c r="G91" s="29">
        <f t="array" ref="G91">IF(OR($F91="DERIVED_FROM_SIGN",$F91="MIRRORED"),"runtime",IFERROR(IF(INDEX(Balance_Taxonomy!$C$5:$C$400,MATCH($E91,Balance_Taxonomy!$B$5:$B$400,0))="Dr",IF($F91="INCREASE","Dr","Cr"),IF($F91="INCREASE","Cr","Dr")),"n/a"))</f>
        <v/>
      </c>
      <c r="H91" s="19" t="inlineStr">
        <is>
          <t>CONSENTED_AMOUNT</t>
        </is>
      </c>
      <c r="I91" s="21" t="inlineStr">
        <is>
          <t>consented amount</t>
        </is>
      </c>
      <c r="J91" s="19" t="inlineStr">
        <is>
          <t>POST</t>
        </is>
      </c>
      <c r="K91" s="29">
        <f>IF(OR($E91="—",LEFT($E91,1)="("),"n/a",IF(COUNTIF(Balance_Taxonomy!$B$5:$B$400,$E91)&gt;0,"OK","UNKNOWN TYPE"))</f>
        <v/>
      </c>
      <c r="L91" s="29">
        <f>IF(COUNTIF(Amount_Basis!$A$5:$A$100,$H91)&gt;0,"OK","UNKNOWN CODE")</f>
        <v/>
      </c>
      <c r="M91" s="29">
        <f>IF($F91="DERIVED_FROM_SIGN",IF($G91="runtime","OK","INVALID - must be runtime"),IF(OR($J91="POST",$J91="MEMO_ONLY"),IF(OR($G91="Dr",$G91="Cr"),"OK","INVALID - must derive"),IF(OR($G91="n/a",$G91="runtime"),"OK","INVALID - must be n/a")))</f>
        <v/>
      </c>
      <c r="N91" s="29">
        <f t="array" ref="N91">IF($J91="MIRROR",IF($F91="MIRRORED","OK","INVALID - MIRROR needs MIRRORED"),IF(IFERROR(INDEX(Amount_Basis!$D$5:$D$100,MATCH($H91,Amount_Basis!$A$5:$A$100,0)),"")="SIGNED",IF($F91="DERIVED_FROM_SIGN","OK","INVALID - SIGNED basis needs DERIVED_FROM_SIGN"),IF(OR($F91="INCREASE",$F91="DECREASE",$F91="—"),"OK","INVALID - static direction required")))</f>
        <v/>
      </c>
      <c r="O91" s="19" t="inlineStr">
        <is>
          <t>§5.1</t>
        </is>
      </c>
    </row>
    <row r="92" ht="15" customHeight="1" s="40">
      <c r="A92" s="19" t="inlineStr">
        <is>
          <t>Import</t>
        </is>
      </c>
      <c r="B92" s="19" t="inlineStr">
        <is>
          <t>ACC_REDUCTION_CONSENTED</t>
        </is>
      </c>
      <c r="C92" s="19" t="inlineStr">
        <is>
          <t>REDUCE_LIABILITY</t>
        </is>
      </c>
      <c r="D92" s="19" t="n">
        <v>1</v>
      </c>
      <c r="E92" s="21" t="inlineStr">
        <is>
          <t>ACCEPTANCE_REIMB_RECEIVABLE_APPLICANT</t>
        </is>
      </c>
      <c r="F92" s="19" t="inlineStr">
        <is>
          <t>DECREASE</t>
        </is>
      </c>
      <c r="G92" s="29">
        <f t="array" ref="G92">IF(OR($F92="DERIVED_FROM_SIGN",$F92="MIRRORED"),"runtime",IFERROR(IF(INDEX(Balance_Taxonomy!$C$5:$C$400,MATCH($E92,Balance_Taxonomy!$B$5:$B$400,0))="Dr",IF($F92="INCREASE","Dr","Cr"),IF($F92="INCREASE","Cr","Dr")),"n/a"))</f>
        <v/>
      </c>
      <c r="H92" s="19" t="inlineStr">
        <is>
          <t>CONSENTED_AMOUNT</t>
        </is>
      </c>
      <c r="I92" s="21" t="inlineStr">
        <is>
          <t>consented amount</t>
        </is>
      </c>
      <c r="J92" s="19" t="inlineStr">
        <is>
          <t>POST</t>
        </is>
      </c>
      <c r="K92" s="29">
        <f>IF(OR($E92="—",LEFT($E92,1)="("),"n/a",IF(COUNTIF(Balance_Taxonomy!$B$5:$B$400,$E92)&gt;0,"OK","UNKNOWN TYPE"))</f>
        <v/>
      </c>
      <c r="L92" s="29">
        <f>IF(COUNTIF(Amount_Basis!$A$5:$A$100,$H92)&gt;0,"OK","UNKNOWN CODE")</f>
        <v/>
      </c>
      <c r="M92" s="29">
        <f>IF($F92="DERIVED_FROM_SIGN",IF($G92="runtime","OK","INVALID - must be runtime"),IF(OR($J92="POST",$J92="MEMO_ONLY"),IF(OR($G92="Dr",$G92="Cr"),"OK","INVALID - must derive"),IF(OR($G92="n/a",$G92="runtime"),"OK","INVALID - must be n/a")))</f>
        <v/>
      </c>
      <c r="N92" s="29">
        <f t="array" ref="N92">IF($J92="MIRROR",IF($F92="MIRRORED","OK","INVALID - MIRROR needs MIRRORED"),IF(IFERROR(INDEX(Amount_Basis!$D$5:$D$100,MATCH($H92,Amount_Basis!$A$5:$A$100,0)),"")="SIGNED",IF($F92="DERIVED_FROM_SIGN","OK","INVALID - SIGNED basis needs DERIVED_FROM_SIGN"),IF(OR($F92="INCREASE",$F92="DECREASE",$F92="—"),"OK","INVALID - static direction required")))</f>
        <v/>
      </c>
      <c r="O92" s="19" t="inlineStr">
        <is>
          <t>§5.1</t>
        </is>
      </c>
    </row>
    <row r="93" ht="15" customHeight="1" s="40">
      <c r="A93" s="19" t="inlineStr">
        <is>
          <t>Import</t>
        </is>
      </c>
      <c r="B93" s="19" t="inlineStr">
        <is>
          <t>ACC_REDUCTION_CONSENTED</t>
        </is>
      </c>
      <c r="C93" s="19" t="inlineStr">
        <is>
          <t>REVERSE_SHADOW</t>
        </is>
      </c>
      <c r="D93" s="19" t="n">
        <v>2</v>
      </c>
      <c r="E93" s="21" t="inlineStr">
        <is>
          <t>ACCEPTANCE_SHADOW_CR</t>
        </is>
      </c>
      <c r="F93" s="19" t="inlineStr">
        <is>
          <t>DECREASE</t>
        </is>
      </c>
      <c r="G93" s="29">
        <f t="array" ref="G93">IF(OR($F93="DERIVED_FROM_SIGN",$F93="MIRRORED"),"runtime",IFERROR(IF(INDEX(Balance_Taxonomy!$C$5:$C$400,MATCH($E93,Balance_Taxonomy!$B$5:$B$400,0))="Dr",IF($F93="INCREASE","Dr","Cr"),IF($F93="INCREASE","Cr","Dr")),"n/a"))</f>
        <v/>
      </c>
      <c r="H93" s="19" t="inlineStr">
        <is>
          <t>CONSENTED_AMOUNT</t>
        </is>
      </c>
      <c r="I93" s="21" t="inlineStr">
        <is>
          <t>consented amount</t>
        </is>
      </c>
      <c r="J93" s="19" t="inlineStr">
        <is>
          <t>POST</t>
        </is>
      </c>
      <c r="K93" s="29">
        <f>IF(OR($E93="—",LEFT($E93,1)="("),"n/a",IF(COUNTIF(Balance_Taxonomy!$B$5:$B$400,$E93)&gt;0,"OK","UNKNOWN TYPE"))</f>
        <v/>
      </c>
      <c r="L93" s="29">
        <f>IF(COUNTIF(Amount_Basis!$A$5:$A$100,$H93)&gt;0,"OK","UNKNOWN CODE")</f>
        <v/>
      </c>
      <c r="M93" s="29">
        <f>IF($F93="DERIVED_FROM_SIGN",IF($G93="runtime","OK","INVALID - must be runtime"),IF(OR($J93="POST",$J93="MEMO_ONLY"),IF(OR($G93="Dr",$G93="Cr"),"OK","INVALID - must derive"),IF(OR($G93="n/a",$G93="runtime"),"OK","INVALID - must be n/a")))</f>
        <v/>
      </c>
      <c r="N93" s="29">
        <f t="array" ref="N93">IF($J93="MIRROR",IF($F93="MIRRORED","OK","INVALID - MIRROR needs MIRRORED"),IF(IFERROR(INDEX(Amount_Basis!$D$5:$D$100,MATCH($H93,Amount_Basis!$A$5:$A$100,0)),"")="SIGNED",IF($F93="DERIVED_FROM_SIGN","OK","INVALID - SIGNED basis needs DERIVED_FROM_SIGN"),IF(OR($F93="INCREASE",$F93="DECREASE",$F93="—"),"OK","INVALID - static direction required")))</f>
        <v/>
      </c>
      <c r="O93" s="19" t="inlineStr">
        <is>
          <t>§5.1</t>
        </is>
      </c>
    </row>
    <row r="94" ht="15" customHeight="1" s="40">
      <c r="A94" s="19" t="inlineStr">
        <is>
          <t>Import</t>
        </is>
      </c>
      <c r="B94" s="19" t="inlineStr">
        <is>
          <t>ACC_REDUCTION_CONSENTED</t>
        </is>
      </c>
      <c r="C94" s="19" t="inlineStr">
        <is>
          <t>REVERSE_SHADOW</t>
        </is>
      </c>
      <c r="D94" s="19" t="n">
        <v>2</v>
      </c>
      <c r="E94" s="21" t="inlineStr">
        <is>
          <t>ACCEPTANCE_SHADOW_DR</t>
        </is>
      </c>
      <c r="F94" s="19" t="inlineStr">
        <is>
          <t>DECREASE</t>
        </is>
      </c>
      <c r="G94" s="29">
        <f t="array" ref="G94">IF(OR($F94="DERIVED_FROM_SIGN",$F94="MIRRORED"),"runtime",IFERROR(IF(INDEX(Balance_Taxonomy!$C$5:$C$400,MATCH($E94,Balance_Taxonomy!$B$5:$B$400,0))="Dr",IF($F94="INCREASE","Dr","Cr"),IF($F94="INCREASE","Cr","Dr")),"n/a"))</f>
        <v/>
      </c>
      <c r="H94" s="19" t="inlineStr">
        <is>
          <t>CONSENTED_AMOUNT</t>
        </is>
      </c>
      <c r="I94" s="21" t="inlineStr">
        <is>
          <t>consented amount</t>
        </is>
      </c>
      <c r="J94" s="19" t="inlineStr">
        <is>
          <t>POST</t>
        </is>
      </c>
      <c r="K94" s="29">
        <f>IF(OR($E94="—",LEFT($E94,1)="("),"n/a",IF(COUNTIF(Balance_Taxonomy!$B$5:$B$400,$E94)&gt;0,"OK","UNKNOWN TYPE"))</f>
        <v/>
      </c>
      <c r="L94" s="29">
        <f>IF(COUNTIF(Amount_Basis!$A$5:$A$100,$H94)&gt;0,"OK","UNKNOWN CODE")</f>
        <v/>
      </c>
      <c r="M94" s="29">
        <f>IF($F94="DERIVED_FROM_SIGN",IF($G94="runtime","OK","INVALID - must be runtime"),IF(OR($J94="POST",$J94="MEMO_ONLY"),IF(OR($G94="Dr",$G94="Cr"),"OK","INVALID - must derive"),IF(OR($G94="n/a",$G94="runtime"),"OK","INVALID - must be n/a")))</f>
        <v/>
      </c>
      <c r="N94" s="29">
        <f t="array" ref="N94">IF($J94="MIRROR",IF($F94="MIRRORED","OK","INVALID - MIRROR needs MIRRORED"),IF(IFERROR(INDEX(Amount_Basis!$D$5:$D$100,MATCH($H94,Amount_Basis!$A$5:$A$100,0)),"")="SIGNED",IF($F94="DERIVED_FROM_SIGN","OK","INVALID - SIGNED basis needs DERIVED_FROM_SIGN"),IF(OR($F94="INCREASE",$F94="DECREASE",$F94="—"),"OK","INVALID - static direction required")))</f>
        <v/>
      </c>
      <c r="O94" s="19" t="inlineStr">
        <is>
          <t>§5.1</t>
        </is>
      </c>
    </row>
    <row r="95" ht="15" customHeight="1" s="40">
      <c r="A95" s="14" t="inlineStr">
        <is>
          <t>Import</t>
        </is>
      </c>
      <c r="B95" s="14" t="inlineStr">
        <is>
          <t>LC_EXPIRE</t>
        </is>
      </c>
      <c r="C95" s="14" t="inlineStr">
        <is>
          <t>RELEASE_CONTINGENT</t>
        </is>
      </c>
      <c r="D95" s="14" t="n">
        <v>1</v>
      </c>
      <c r="E95" s="15" t="inlineStr">
        <is>
          <t>LC_OUTSTANDING</t>
        </is>
      </c>
      <c r="F95" s="14" t="inlineStr">
        <is>
          <t>DECREASE</t>
        </is>
      </c>
      <c r="G95" s="25">
        <f t="array" ref="G95">IF(OR($F95="DERIVED_FROM_SIGN",$F95="MIRRORED"),"runtime",IFERROR(IF(INDEX(Balance_Taxonomy!$C$5:$C$400,MATCH($E95,Balance_Taxonomy!$B$5:$B$400,0))="Dr",IF($F95="INCREASE","Dr","Cr"),IF($F95="INCREASE","Cr","Dr")),"n/a"))</f>
        <v/>
      </c>
      <c r="H95" s="14" t="inlineStr">
        <is>
          <t>RESIDUAL_OUTSTANDING</t>
        </is>
      </c>
      <c r="I95" s="15" t="inlineStr">
        <is>
          <t>RESIDUAL</t>
        </is>
      </c>
      <c r="J95" s="14" t="inlineStr">
        <is>
          <t>POST</t>
        </is>
      </c>
      <c r="K95" s="25">
        <f>IF(OR($E95="—",LEFT($E95,1)="("),"n/a",IF(COUNTIF(Balance_Taxonomy!$B$5:$B$400,$E95)&gt;0,"OK","UNKNOWN TYPE"))</f>
        <v/>
      </c>
      <c r="L95" s="25">
        <f>IF(COUNTIF(Amount_Basis!$A$5:$A$100,$H95)&gt;0,"OK","UNKNOWN CODE")</f>
        <v/>
      </c>
      <c r="M95" s="25">
        <f>IF($F95="DERIVED_FROM_SIGN",IF($G95="runtime","OK","INVALID - must be runtime"),IF(OR($J95="POST",$J95="MEMO_ONLY"),IF(OR($G95="Dr",$G95="Cr"),"OK","INVALID - must derive"),IF(OR($G95="n/a",$G95="runtime"),"OK","INVALID - must be n/a")))</f>
        <v/>
      </c>
      <c r="N95" s="25">
        <f t="array" ref="N95">IF($J95="MIRROR",IF($F95="MIRRORED","OK","INVALID - MIRROR needs MIRRORED"),IF(IFERROR(INDEX(Amount_Basis!$D$5:$D$100,MATCH($H95,Amount_Basis!$A$5:$A$100,0)),"")="SIGNED",IF($F95="DERIVED_FROM_SIGN","OK","INVALID - SIGNED basis needs DERIVED_FROM_SIGN"),IF(OR($F95="INCREASE",$F95="DECREASE",$F95="—"),"OK","INVALID - static direction required")))</f>
        <v/>
      </c>
      <c r="O95" s="14" t="inlineStr">
        <is>
          <t>§3.9</t>
        </is>
      </c>
    </row>
    <row r="96" ht="15" customHeight="1" s="40">
      <c r="A96" s="14" t="inlineStr">
        <is>
          <t>Import</t>
        </is>
      </c>
      <c r="B96" s="14" t="inlineStr">
        <is>
          <t>LC_EXPIRE</t>
        </is>
      </c>
      <c r="C96" s="14" t="inlineStr">
        <is>
          <t>RELEASE_CONTINGENT</t>
        </is>
      </c>
      <c r="D96" s="14" t="n">
        <v>1</v>
      </c>
      <c r="E96" s="15" t="inlineStr">
        <is>
          <t>LC_CUSTOMER_LIABILITY</t>
        </is>
      </c>
      <c r="F96" s="14" t="inlineStr">
        <is>
          <t>DECREASE</t>
        </is>
      </c>
      <c r="G96" s="25">
        <f t="array" ref="G96">IF(OR($F96="DERIVED_FROM_SIGN",$F96="MIRRORED"),"runtime",IFERROR(IF(INDEX(Balance_Taxonomy!$C$5:$C$400,MATCH($E96,Balance_Taxonomy!$B$5:$B$400,0))="Dr",IF($F96="INCREASE","Dr","Cr"),IF($F96="INCREASE","Cr","Dr")),"n/a"))</f>
        <v/>
      </c>
      <c r="H96" s="14" t="inlineStr">
        <is>
          <t>RESIDUAL_OUTSTANDING</t>
        </is>
      </c>
      <c r="I96" s="15" t="inlineStr">
        <is>
          <t>RESIDUAL</t>
        </is>
      </c>
      <c r="J96" s="14" t="inlineStr">
        <is>
          <t>POST</t>
        </is>
      </c>
      <c r="K96" s="25">
        <f>IF(OR($E96="—",LEFT($E96,1)="("),"n/a",IF(COUNTIF(Balance_Taxonomy!$B$5:$B$400,$E96)&gt;0,"OK","UNKNOWN TYPE"))</f>
        <v/>
      </c>
      <c r="L96" s="25">
        <f>IF(COUNTIF(Amount_Basis!$A$5:$A$100,$H96)&gt;0,"OK","UNKNOWN CODE")</f>
        <v/>
      </c>
      <c r="M96" s="25">
        <f>IF($F96="DERIVED_FROM_SIGN",IF($G96="runtime","OK","INVALID - must be runtime"),IF(OR($J96="POST",$J96="MEMO_ONLY"),IF(OR($G96="Dr",$G96="Cr"),"OK","INVALID - must derive"),IF(OR($G96="n/a",$G96="runtime"),"OK","INVALID - must be n/a")))</f>
        <v/>
      </c>
      <c r="N96" s="25">
        <f t="array" ref="N96">IF($J96="MIRROR",IF($F96="MIRRORED","OK","INVALID - MIRROR needs MIRRORED"),IF(IFERROR(INDEX(Amount_Basis!$D$5:$D$100,MATCH($H96,Amount_Basis!$A$5:$A$100,0)),"")="SIGNED",IF($F96="DERIVED_FROM_SIGN","OK","INVALID - SIGNED basis needs DERIVED_FROM_SIGN"),IF(OR($F96="INCREASE",$F96="DECREASE",$F96="—"),"OK","INVALID - static direction required")))</f>
        <v/>
      </c>
      <c r="O96" s="14" t="inlineStr">
        <is>
          <t>§3.9</t>
        </is>
      </c>
    </row>
    <row r="97" ht="15" customHeight="1" s="40">
      <c r="A97" s="14" t="inlineStr">
        <is>
          <t>Import</t>
        </is>
      </c>
      <c r="B97" s="14" t="inlineStr">
        <is>
          <t>LC_EXPIRE</t>
        </is>
      </c>
      <c r="C97" s="14" t="inlineStr">
        <is>
          <t>RELEASE_ECL</t>
        </is>
      </c>
      <c r="D97" s="14" t="n">
        <v>2</v>
      </c>
      <c r="E97" s="15" t="inlineStr">
        <is>
          <t>PROVISION_OFFBS</t>
        </is>
      </c>
      <c r="F97" s="14" t="inlineStr">
        <is>
          <t>DECREASE</t>
        </is>
      </c>
      <c r="G97" s="25">
        <f t="array" ref="G97">IF(OR($F97="DERIVED_FROM_SIGN",$F97="MIRRORED"),"runtime",IFERROR(IF(INDEX(Balance_Taxonomy!$C$5:$C$400,MATCH($E97,Balance_Taxonomy!$B$5:$B$400,0))="Dr",IF($F97="INCREASE","Dr","Cr"),IF($F97="INCREASE","Cr","Dr")),"n/a"))</f>
        <v/>
      </c>
      <c r="H97" s="14" t="inlineStr">
        <is>
          <t>ECL_RELEASED</t>
        </is>
      </c>
      <c r="I97" s="15" t="inlineStr">
        <is>
          <t>residual ECL</t>
        </is>
      </c>
      <c r="J97" s="14" t="inlineStr">
        <is>
          <t>POST</t>
        </is>
      </c>
      <c r="K97" s="25">
        <f>IF(OR($E97="—",LEFT($E97,1)="("),"n/a",IF(COUNTIF(Balance_Taxonomy!$B$5:$B$400,$E97)&gt;0,"OK","UNKNOWN TYPE"))</f>
        <v/>
      </c>
      <c r="L97" s="25">
        <f>IF(COUNTIF(Amount_Basis!$A$5:$A$100,$H97)&gt;0,"OK","UNKNOWN CODE")</f>
        <v/>
      </c>
      <c r="M97" s="25">
        <f>IF($F97="DERIVED_FROM_SIGN",IF($G97="runtime","OK","INVALID - must be runtime"),IF(OR($J97="POST",$J97="MEMO_ONLY"),IF(OR($G97="Dr",$G97="Cr"),"OK","INVALID - must derive"),IF(OR($G97="n/a",$G97="runtime"),"OK","INVALID - must be n/a")))</f>
        <v/>
      </c>
      <c r="N97" s="25">
        <f t="array" ref="N97">IF($J97="MIRROR",IF($F97="MIRRORED","OK","INVALID - MIRROR needs MIRRORED"),IF(IFERROR(INDEX(Amount_Basis!$D$5:$D$100,MATCH($H97,Amount_Basis!$A$5:$A$100,0)),"")="SIGNED",IF($F97="DERIVED_FROM_SIGN","OK","INVALID - SIGNED basis needs DERIVED_FROM_SIGN"),IF(OR($F97="INCREASE",$F97="DECREASE",$F97="—"),"OK","INVALID - static direction required")))</f>
        <v/>
      </c>
      <c r="O97" s="14" t="inlineStr">
        <is>
          <t>§3.9</t>
        </is>
      </c>
    </row>
    <row r="98" ht="15" customHeight="1" s="40">
      <c r="A98" s="14" t="inlineStr">
        <is>
          <t>Import</t>
        </is>
      </c>
      <c r="B98" s="14" t="inlineStr">
        <is>
          <t>LC_EXPIRE</t>
        </is>
      </c>
      <c r="C98" s="14" t="inlineStr">
        <is>
          <t>RELEASE_ECL</t>
        </is>
      </c>
      <c r="D98" s="14" t="n">
        <v>2</v>
      </c>
      <c r="E98" s="15" t="inlineStr">
        <is>
          <t>IMPAIRMENT_CHARGE_OFFBS</t>
        </is>
      </c>
      <c r="F98" s="14" t="inlineStr">
        <is>
          <t>DECREASE</t>
        </is>
      </c>
      <c r="G98" s="25">
        <f t="array" ref="G98">IF(OR($F98="DERIVED_FROM_SIGN",$F98="MIRRORED"),"runtime",IFERROR(IF(INDEX(Balance_Taxonomy!$C$5:$C$400,MATCH($E98,Balance_Taxonomy!$B$5:$B$400,0))="Dr",IF($F98="INCREASE","Dr","Cr"),IF($F98="INCREASE","Cr","Dr")),"n/a"))</f>
        <v/>
      </c>
      <c r="H98" s="14" t="inlineStr">
        <is>
          <t>ECL_RELEASED</t>
        </is>
      </c>
      <c r="I98" s="15" t="inlineStr">
        <is>
          <t>residual ECL</t>
        </is>
      </c>
      <c r="J98" s="14" t="inlineStr">
        <is>
          <t>POST</t>
        </is>
      </c>
      <c r="K98" s="25">
        <f>IF(OR($E98="—",LEFT($E98,1)="("),"n/a",IF(COUNTIF(Balance_Taxonomy!$B$5:$B$400,$E98)&gt;0,"OK","UNKNOWN TYPE"))</f>
        <v/>
      </c>
      <c r="L98" s="25">
        <f>IF(COUNTIF(Amount_Basis!$A$5:$A$100,$H98)&gt;0,"OK","UNKNOWN CODE")</f>
        <v/>
      </c>
      <c r="M98" s="25">
        <f>IF($F98="DERIVED_FROM_SIGN",IF($G98="runtime","OK","INVALID - must be runtime"),IF(OR($J98="POST",$J98="MEMO_ONLY"),IF(OR($G98="Dr",$G98="Cr"),"OK","INVALID - must derive"),IF(OR($G98="n/a",$G98="runtime"),"OK","INVALID - must be n/a")))</f>
        <v/>
      </c>
      <c r="N98" s="25">
        <f t="array" ref="N98">IF($J98="MIRROR",IF($F98="MIRRORED","OK","INVALID - MIRROR needs MIRRORED"),IF(IFERROR(INDEX(Amount_Basis!$D$5:$D$100,MATCH($H98,Amount_Basis!$A$5:$A$100,0)),"")="SIGNED",IF($F98="DERIVED_FROM_SIGN","OK","INVALID - SIGNED basis needs DERIVED_FROM_SIGN"),IF(OR($F98="INCREASE",$F98="DECREASE",$F98="—"),"OK","INVALID - static direction required")))</f>
        <v/>
      </c>
      <c r="O98" s="14" t="inlineStr">
        <is>
          <t>§3.9</t>
        </is>
      </c>
    </row>
    <row r="99" ht="15" customHeight="1" s="40">
      <c r="A99" s="14" t="inlineStr">
        <is>
          <t>Import</t>
        </is>
      </c>
      <c r="B99" s="14" t="inlineStr">
        <is>
          <t>LC_EXPIRE</t>
        </is>
      </c>
      <c r="C99" s="14" t="inlineStr">
        <is>
          <t>RECOGNISE_FEE</t>
        </is>
      </c>
      <c r="D99" s="14" t="n">
        <v>3</v>
      </c>
      <c r="E99" s="15" t="inlineStr">
        <is>
          <t>UNEARNED_COMMISSION_INCOME</t>
        </is>
      </c>
      <c r="F99" s="14" t="inlineStr">
        <is>
          <t>DECREASE</t>
        </is>
      </c>
      <c r="G99" s="25">
        <f t="array" ref="G99">IF(OR($F99="DERIVED_FROM_SIGN",$F99="MIRRORED"),"runtime",IFERROR(IF(INDEX(Balance_Taxonomy!$C$5:$C$400,MATCH($E99,Balance_Taxonomy!$B$5:$B$400,0))="Dr",IF($F99="INCREASE","Dr","Cr"),IF($F99="INCREASE","Cr","Dr")),"n/a"))</f>
        <v/>
      </c>
      <c r="H99" s="14" t="inlineStr">
        <is>
          <t>COMMISSION_UNAMORTISED</t>
        </is>
      </c>
      <c r="I99" s="15" t="inlineStr">
        <is>
          <t>unamortised commission</t>
        </is>
      </c>
      <c r="J99" s="14" t="inlineStr">
        <is>
          <t>POST</t>
        </is>
      </c>
      <c r="K99" s="25">
        <f>IF(OR($E99="—",LEFT($E99,1)="("),"n/a",IF(COUNTIF(Balance_Taxonomy!$B$5:$B$400,$E99)&gt;0,"OK","UNKNOWN TYPE"))</f>
        <v/>
      </c>
      <c r="L99" s="25">
        <f>IF(COUNTIF(Amount_Basis!$A$5:$A$100,$H99)&gt;0,"OK","UNKNOWN CODE")</f>
        <v/>
      </c>
      <c r="M99" s="25">
        <f>IF($F99="DERIVED_FROM_SIGN",IF($G99="runtime","OK","INVALID - must be runtime"),IF(OR($J99="POST",$J99="MEMO_ONLY"),IF(OR($G99="Dr",$G99="Cr"),"OK","INVALID - must derive"),IF(OR($G99="n/a",$G99="runtime"),"OK","INVALID - must be n/a")))</f>
        <v/>
      </c>
      <c r="N99" s="25">
        <f t="array" ref="N99">IF($J99="MIRROR",IF($F99="MIRRORED","OK","INVALID - MIRROR needs MIRRORED"),IF(IFERROR(INDEX(Amount_Basis!$D$5:$D$100,MATCH($H99,Amount_Basis!$A$5:$A$100,0)),"")="SIGNED",IF($F99="DERIVED_FROM_SIGN","OK","INVALID - SIGNED basis needs DERIVED_FROM_SIGN"),IF(OR($F99="INCREASE",$F99="DECREASE",$F99="—"),"OK","INVALID - static direction required")))</f>
        <v/>
      </c>
      <c r="O99" s="14" t="inlineStr">
        <is>
          <t>§3.9</t>
        </is>
      </c>
    </row>
    <row r="100" ht="15" customHeight="1" s="40">
      <c r="A100" s="14" t="inlineStr">
        <is>
          <t>Import</t>
        </is>
      </c>
      <c r="B100" s="14" t="inlineStr">
        <is>
          <t>LC_EXPIRE</t>
        </is>
      </c>
      <c r="C100" s="14" t="inlineStr">
        <is>
          <t>RECOGNISE_FEE</t>
        </is>
      </c>
      <c r="D100" s="14" t="n">
        <v>3</v>
      </c>
      <c r="E100" s="15" t="inlineStr">
        <is>
          <t>FEE_COMMISSION_INCOME</t>
        </is>
      </c>
      <c r="F100" s="14" t="inlineStr">
        <is>
          <t>INCREASE</t>
        </is>
      </c>
      <c r="G100" s="25">
        <f t="array" ref="G100">IF(OR($F100="DERIVED_FROM_SIGN",$F100="MIRRORED"),"runtime",IFERROR(IF(INDEX(Balance_Taxonomy!$C$5:$C$400,MATCH($E100,Balance_Taxonomy!$B$5:$B$400,0))="Dr",IF($F100="INCREASE","Dr","Cr"),IF($F100="INCREASE","Cr","Dr")),"n/a"))</f>
        <v/>
      </c>
      <c r="H100" s="14" t="inlineStr">
        <is>
          <t>COMMISSION_UNAMORTISED</t>
        </is>
      </c>
      <c r="I100" s="15" t="inlineStr">
        <is>
          <t>unamortised commission</t>
        </is>
      </c>
      <c r="J100" s="14" t="inlineStr">
        <is>
          <t>POST</t>
        </is>
      </c>
      <c r="K100" s="25">
        <f>IF(OR($E100="—",LEFT($E100,1)="("),"n/a",IF(COUNTIF(Balance_Taxonomy!$B$5:$B$400,$E100)&gt;0,"OK","UNKNOWN TYPE"))</f>
        <v/>
      </c>
      <c r="L100" s="25">
        <f>IF(COUNTIF(Amount_Basis!$A$5:$A$100,$H100)&gt;0,"OK","UNKNOWN CODE")</f>
        <v/>
      </c>
      <c r="M100" s="25">
        <f>IF($F100="DERIVED_FROM_SIGN",IF($G100="runtime","OK","INVALID - must be runtime"),IF(OR($J100="POST",$J100="MEMO_ONLY"),IF(OR($G100="Dr",$G100="Cr"),"OK","INVALID - must derive"),IF(OR($G100="n/a",$G100="runtime"),"OK","INVALID - must be n/a")))</f>
        <v/>
      </c>
      <c r="N100" s="25">
        <f t="array" ref="N100">IF($J100="MIRROR",IF($F100="MIRRORED","OK","INVALID - MIRROR needs MIRRORED"),IF(IFERROR(INDEX(Amount_Basis!$D$5:$D$100,MATCH($H100,Amount_Basis!$A$5:$A$100,0)),"")="SIGNED",IF($F100="DERIVED_FROM_SIGN","OK","INVALID - SIGNED basis needs DERIVED_FROM_SIGN"),IF(OR($F100="INCREASE",$F100="DECREASE",$F100="—"),"OK","INVALID - static direction required")))</f>
        <v/>
      </c>
      <c r="O100" s="14" t="inlineStr">
        <is>
          <t>§3.9</t>
        </is>
      </c>
    </row>
    <row r="101" ht="15" customHeight="1" s="40">
      <c r="A101" s="14" t="inlineStr">
        <is>
          <t>Import</t>
        </is>
      </c>
      <c r="B101" s="14" t="inlineStr">
        <is>
          <t>LC_EXPIRE</t>
        </is>
      </c>
      <c r="C101" s="14" t="inlineStr">
        <is>
          <t>RELEASE_MARGIN</t>
        </is>
      </c>
      <c r="D101" s="14" t="n">
        <v>4</v>
      </c>
      <c r="E101" s="15" t="inlineStr">
        <is>
          <t>LC_CASH_MARGIN_DEPOSIT</t>
        </is>
      </c>
      <c r="F101" s="14" t="inlineStr">
        <is>
          <t>DECREASE</t>
        </is>
      </c>
      <c r="G101" s="25">
        <f t="array" ref="G101">IF(OR($F101="DERIVED_FROM_SIGN",$F101="MIRRORED"),"runtime",IFERROR(IF(INDEX(Balance_Taxonomy!$C$5:$C$400,MATCH($E101,Balance_Taxonomy!$B$5:$B$400,0))="Dr",IF($F101="INCREASE","Dr","Cr"),IF($F101="INCREASE","Cr","Dr")),"n/a"))</f>
        <v/>
      </c>
      <c r="H101" s="14" t="inlineStr">
        <is>
          <t>MARGIN_RESIDUAL</t>
        </is>
      </c>
      <c r="I101" s="15" t="inlineStr">
        <is>
          <t>residual margin</t>
        </is>
      </c>
      <c r="J101" s="14" t="inlineStr">
        <is>
          <t>POST</t>
        </is>
      </c>
      <c r="K101" s="25">
        <f>IF(OR($E101="—",LEFT($E101,1)="("),"n/a",IF(COUNTIF(Balance_Taxonomy!$B$5:$B$400,$E101)&gt;0,"OK","UNKNOWN TYPE"))</f>
        <v/>
      </c>
      <c r="L101" s="25">
        <f>IF(COUNTIF(Amount_Basis!$A$5:$A$100,$H101)&gt;0,"OK","UNKNOWN CODE")</f>
        <v/>
      </c>
      <c r="M101" s="25">
        <f>IF($F101="DERIVED_FROM_SIGN",IF($G101="runtime","OK","INVALID - must be runtime"),IF(OR($J101="POST",$J101="MEMO_ONLY"),IF(OR($G101="Dr",$G101="Cr"),"OK","INVALID - must derive"),IF(OR($G101="n/a",$G101="runtime"),"OK","INVALID - must be n/a")))</f>
        <v/>
      </c>
      <c r="N101" s="25">
        <f t="array" ref="N101">IF($J101="MIRROR",IF($F101="MIRRORED","OK","INVALID - MIRROR needs MIRRORED"),IF(IFERROR(INDEX(Amount_Basis!$D$5:$D$100,MATCH($H101,Amount_Basis!$A$5:$A$100,0)),"")="SIGNED",IF($F101="DERIVED_FROM_SIGN","OK","INVALID - SIGNED basis needs DERIVED_FROM_SIGN"),IF(OR($F101="INCREASE",$F101="DECREASE",$F101="—"),"OK","INVALID - static direction required")))</f>
        <v/>
      </c>
      <c r="O101" s="14" t="inlineStr">
        <is>
          <t>§3.9</t>
        </is>
      </c>
    </row>
    <row r="102" ht="15" customHeight="1" s="40">
      <c r="A102" s="14" t="inlineStr">
        <is>
          <t>Import</t>
        </is>
      </c>
      <c r="B102" s="14" t="inlineStr">
        <is>
          <t>LC_EXPIRE</t>
        </is>
      </c>
      <c r="C102" s="14" t="inlineStr">
        <is>
          <t>RELEASE_MARGIN</t>
        </is>
      </c>
      <c r="D102" s="14" t="n">
        <v>4</v>
      </c>
      <c r="E102" s="15" t="inlineStr">
        <is>
          <t>CUSTOMER_CURRENT_ACCOUNT</t>
        </is>
      </c>
      <c r="F102" s="14" t="inlineStr">
        <is>
          <t>INCREASE</t>
        </is>
      </c>
      <c r="G102" s="25">
        <f t="array" ref="G102">IF(OR($F102="DERIVED_FROM_SIGN",$F102="MIRRORED"),"runtime",IFERROR(IF(INDEX(Balance_Taxonomy!$C$5:$C$400,MATCH($E102,Balance_Taxonomy!$B$5:$B$400,0))="Dr",IF($F102="INCREASE","Dr","Cr"),IF($F102="INCREASE","Cr","Dr")),"n/a"))</f>
        <v/>
      </c>
      <c r="H102" s="14" t="inlineStr">
        <is>
          <t>MARGIN_RESIDUAL</t>
        </is>
      </c>
      <c r="I102" s="15" t="inlineStr">
        <is>
          <t>residual margin</t>
        </is>
      </c>
      <c r="J102" s="14" t="inlineStr">
        <is>
          <t>POST</t>
        </is>
      </c>
      <c r="K102" s="25">
        <f>IF(OR($E102="—",LEFT($E102,1)="("),"n/a",IF(COUNTIF(Balance_Taxonomy!$B$5:$B$400,$E102)&gt;0,"OK","UNKNOWN TYPE"))</f>
        <v/>
      </c>
      <c r="L102" s="25">
        <f>IF(COUNTIF(Amount_Basis!$A$5:$A$100,$H102)&gt;0,"OK","UNKNOWN CODE")</f>
        <v/>
      </c>
      <c r="M102" s="25">
        <f>IF($F102="DERIVED_FROM_SIGN",IF($G102="runtime","OK","INVALID - must be runtime"),IF(OR($J102="POST",$J102="MEMO_ONLY"),IF(OR($G102="Dr",$G102="Cr"),"OK","INVALID - must derive"),IF(OR($G102="n/a",$G102="runtime"),"OK","INVALID - must be n/a")))</f>
        <v/>
      </c>
      <c r="N102" s="25">
        <f t="array" ref="N102">IF($J102="MIRROR",IF($F102="MIRRORED","OK","INVALID - MIRROR needs MIRRORED"),IF(IFERROR(INDEX(Amount_Basis!$D$5:$D$100,MATCH($H102,Amount_Basis!$A$5:$A$100,0)),"")="SIGNED",IF($F102="DERIVED_FROM_SIGN","OK","INVALID - SIGNED basis needs DERIVED_FROM_SIGN"),IF(OR($F102="INCREASE",$F102="DECREASE",$F102="—"),"OK","INVALID - static direction required")))</f>
        <v/>
      </c>
      <c r="O102" s="14" t="inlineStr">
        <is>
          <t>§3.9</t>
        </is>
      </c>
    </row>
    <row r="103" ht="15" customHeight="1" s="40">
      <c r="A103" s="19" t="inlineStr">
        <is>
          <t>Import</t>
        </is>
      </c>
      <c r="B103" s="19" t="inlineStr">
        <is>
          <t>LC_CANCEL</t>
        </is>
      </c>
      <c r="C103" s="19" t="inlineStr">
        <is>
          <t>RELEASE_CONTINGENT</t>
        </is>
      </c>
      <c r="D103" s="19" t="n">
        <v>1</v>
      </c>
      <c r="E103" s="21" t="inlineStr">
        <is>
          <t>LC_OUTSTANDING</t>
        </is>
      </c>
      <c r="F103" s="19" t="inlineStr">
        <is>
          <t>DECREASE</t>
        </is>
      </c>
      <c r="G103" s="29">
        <f t="array" ref="G103">IF(OR($F103="DERIVED_FROM_SIGN",$F103="MIRRORED"),"runtime",IFERROR(IF(INDEX(Balance_Taxonomy!$C$5:$C$400,MATCH($E103,Balance_Taxonomy!$B$5:$B$400,0))="Dr",IF($F103="INCREASE","Dr","Cr"),IF($F103="INCREASE","Cr","Dr")),"n/a"))</f>
        <v/>
      </c>
      <c r="H103" s="19" t="inlineStr">
        <is>
          <t>RESIDUAL_OUTSTANDING</t>
        </is>
      </c>
      <c r="I103" s="21" t="inlineStr">
        <is>
          <t>outstanding at cancellation</t>
        </is>
      </c>
      <c r="J103" s="19" t="inlineStr">
        <is>
          <t>POST</t>
        </is>
      </c>
      <c r="K103" s="29">
        <f>IF(OR($E103="—",LEFT($E103,1)="("),"n/a",IF(COUNTIF(Balance_Taxonomy!$B$5:$B$400,$E103)&gt;0,"OK","UNKNOWN TYPE"))</f>
        <v/>
      </c>
      <c r="L103" s="29">
        <f>IF(COUNTIF(Amount_Basis!$A$5:$A$100,$H103)&gt;0,"OK","UNKNOWN CODE")</f>
        <v/>
      </c>
      <c r="M103" s="29">
        <f>IF($F103="DERIVED_FROM_SIGN",IF($G103="runtime","OK","INVALID - must be runtime"),IF(OR($J103="POST",$J103="MEMO_ONLY"),IF(OR($G103="Dr",$G103="Cr"),"OK","INVALID - must derive"),IF(OR($G103="n/a",$G103="runtime"),"OK","INVALID - must be n/a")))</f>
        <v/>
      </c>
      <c r="N103" s="29">
        <f t="array" ref="N103">IF($J103="MIRROR",IF($F103="MIRRORED","OK","INVALID - MIRROR needs MIRRORED"),IF(IFERROR(INDEX(Amount_Basis!$D$5:$D$100,MATCH($H103,Amount_Basis!$A$5:$A$100,0)),"")="SIGNED",IF($F103="DERIVED_FROM_SIGN","OK","INVALID - SIGNED basis needs DERIVED_FROM_SIGN"),IF(OR($F103="INCREASE",$F103="DECREASE",$F103="—"),"OK","INVALID - static direction required")))</f>
        <v/>
      </c>
      <c r="O103" s="19" t="inlineStr">
        <is>
          <t>§3.9</t>
        </is>
      </c>
    </row>
    <row r="104" ht="15" customHeight="1" s="40">
      <c r="A104" s="19" t="inlineStr">
        <is>
          <t>Import</t>
        </is>
      </c>
      <c r="B104" s="19" t="inlineStr">
        <is>
          <t>LC_CANCEL</t>
        </is>
      </c>
      <c r="C104" s="19" t="inlineStr">
        <is>
          <t>RELEASE_CONTINGENT</t>
        </is>
      </c>
      <c r="D104" s="19" t="n">
        <v>1</v>
      </c>
      <c r="E104" s="21" t="inlineStr">
        <is>
          <t>LC_CUSTOMER_LIABILITY</t>
        </is>
      </c>
      <c r="F104" s="19" t="inlineStr">
        <is>
          <t>DECREASE</t>
        </is>
      </c>
      <c r="G104" s="29">
        <f t="array" ref="G104">IF(OR($F104="DERIVED_FROM_SIGN",$F104="MIRRORED"),"runtime",IFERROR(IF(INDEX(Balance_Taxonomy!$C$5:$C$400,MATCH($E104,Balance_Taxonomy!$B$5:$B$400,0))="Dr",IF($F104="INCREASE","Dr","Cr"),IF($F104="INCREASE","Cr","Dr")),"n/a"))</f>
        <v/>
      </c>
      <c r="H104" s="19" t="inlineStr">
        <is>
          <t>RESIDUAL_OUTSTANDING</t>
        </is>
      </c>
      <c r="I104" s="21" t="inlineStr">
        <is>
          <t>outstanding at cancellation</t>
        </is>
      </c>
      <c r="J104" s="19" t="inlineStr">
        <is>
          <t>POST</t>
        </is>
      </c>
      <c r="K104" s="29">
        <f>IF(OR($E104="—",LEFT($E104,1)="("),"n/a",IF(COUNTIF(Balance_Taxonomy!$B$5:$B$400,$E104)&gt;0,"OK","UNKNOWN TYPE"))</f>
        <v/>
      </c>
      <c r="L104" s="29">
        <f>IF(COUNTIF(Amount_Basis!$A$5:$A$100,$H104)&gt;0,"OK","UNKNOWN CODE")</f>
        <v/>
      </c>
      <c r="M104" s="29">
        <f>IF($F104="DERIVED_FROM_SIGN",IF($G104="runtime","OK","INVALID - must be runtime"),IF(OR($J104="POST",$J104="MEMO_ONLY"),IF(OR($G104="Dr",$G104="Cr"),"OK","INVALID - must derive"),IF(OR($G104="n/a",$G104="runtime"),"OK","INVALID - must be n/a")))</f>
        <v/>
      </c>
      <c r="N104" s="29">
        <f t="array" ref="N104">IF($J104="MIRROR",IF($F104="MIRRORED","OK","INVALID - MIRROR needs MIRRORED"),IF(IFERROR(INDEX(Amount_Basis!$D$5:$D$100,MATCH($H104,Amount_Basis!$A$5:$A$100,0)),"")="SIGNED",IF($F104="DERIVED_FROM_SIGN","OK","INVALID - SIGNED basis needs DERIVED_FROM_SIGN"),IF(OR($F104="INCREASE",$F104="DECREASE",$F104="—"),"OK","INVALID - static direction required")))</f>
        <v/>
      </c>
      <c r="O104" s="19" t="inlineStr">
        <is>
          <t>§3.9</t>
        </is>
      </c>
    </row>
    <row r="105" ht="15" customHeight="1" s="40">
      <c r="A105" s="19" t="inlineStr">
        <is>
          <t>Import</t>
        </is>
      </c>
      <c r="B105" s="19" t="inlineStr">
        <is>
          <t>LC_CANCEL</t>
        </is>
      </c>
      <c r="C105" s="19" t="inlineStr">
        <is>
          <t>RELEASE_ECL</t>
        </is>
      </c>
      <c r="D105" s="19" t="n">
        <v>2</v>
      </c>
      <c r="E105" s="21" t="inlineStr">
        <is>
          <t>PROVISION_OFFBS</t>
        </is>
      </c>
      <c r="F105" s="19" t="inlineStr">
        <is>
          <t>DECREASE</t>
        </is>
      </c>
      <c r="G105" s="29">
        <f t="array" ref="G105">IF(OR($F105="DERIVED_FROM_SIGN",$F105="MIRRORED"),"runtime",IFERROR(IF(INDEX(Balance_Taxonomy!$C$5:$C$400,MATCH($E105,Balance_Taxonomy!$B$5:$B$400,0))="Dr",IF($F105="INCREASE","Dr","Cr"),IF($F105="INCREASE","Cr","Dr")),"n/a"))</f>
        <v/>
      </c>
      <c r="H105" s="19" t="inlineStr">
        <is>
          <t>ECL_RELEASED</t>
        </is>
      </c>
      <c r="I105" s="21" t="inlineStr">
        <is>
          <t>residual ECL</t>
        </is>
      </c>
      <c r="J105" s="19" t="inlineStr">
        <is>
          <t>POST</t>
        </is>
      </c>
      <c r="K105" s="29">
        <f>IF(OR($E105="—",LEFT($E105,1)="("),"n/a",IF(COUNTIF(Balance_Taxonomy!$B$5:$B$400,$E105)&gt;0,"OK","UNKNOWN TYPE"))</f>
        <v/>
      </c>
      <c r="L105" s="29">
        <f>IF(COUNTIF(Amount_Basis!$A$5:$A$100,$H105)&gt;0,"OK","UNKNOWN CODE")</f>
        <v/>
      </c>
      <c r="M105" s="29">
        <f>IF($F105="DERIVED_FROM_SIGN",IF($G105="runtime","OK","INVALID - must be runtime"),IF(OR($J105="POST",$J105="MEMO_ONLY"),IF(OR($G105="Dr",$G105="Cr"),"OK","INVALID - must derive"),IF(OR($G105="n/a",$G105="runtime"),"OK","INVALID - must be n/a")))</f>
        <v/>
      </c>
      <c r="N105" s="29">
        <f t="array" ref="N105">IF($J105="MIRROR",IF($F105="MIRRORED","OK","INVALID - MIRROR needs MIRRORED"),IF(IFERROR(INDEX(Amount_Basis!$D$5:$D$100,MATCH($H105,Amount_Basis!$A$5:$A$100,0)),"")="SIGNED",IF($F105="DERIVED_FROM_SIGN","OK","INVALID - SIGNED basis needs DERIVED_FROM_SIGN"),IF(OR($F105="INCREASE",$F105="DECREASE",$F105="—"),"OK","INVALID - static direction required")))</f>
        <v/>
      </c>
      <c r="O105" s="19" t="inlineStr">
        <is>
          <t>§3.9</t>
        </is>
      </c>
    </row>
    <row r="106" ht="15" customHeight="1" s="40">
      <c r="A106" s="19" t="inlineStr">
        <is>
          <t>Import</t>
        </is>
      </c>
      <c r="B106" s="19" t="inlineStr">
        <is>
          <t>LC_CANCEL</t>
        </is>
      </c>
      <c r="C106" s="19" t="inlineStr">
        <is>
          <t>RELEASE_ECL</t>
        </is>
      </c>
      <c r="D106" s="19" t="n">
        <v>2</v>
      </c>
      <c r="E106" s="21" t="inlineStr">
        <is>
          <t>IMPAIRMENT_CHARGE_OFFBS</t>
        </is>
      </c>
      <c r="F106" s="19" t="inlineStr">
        <is>
          <t>DECREASE</t>
        </is>
      </c>
      <c r="G106" s="29">
        <f t="array" ref="G106">IF(OR($F106="DERIVED_FROM_SIGN",$F106="MIRRORED"),"runtime",IFERROR(IF(INDEX(Balance_Taxonomy!$C$5:$C$400,MATCH($E106,Balance_Taxonomy!$B$5:$B$400,0))="Dr",IF($F106="INCREASE","Dr","Cr"),IF($F106="INCREASE","Cr","Dr")),"n/a"))</f>
        <v/>
      </c>
      <c r="H106" s="19" t="inlineStr">
        <is>
          <t>ECL_RELEASED</t>
        </is>
      </c>
      <c r="I106" s="21" t="inlineStr">
        <is>
          <t>residual ECL</t>
        </is>
      </c>
      <c r="J106" s="19" t="inlineStr">
        <is>
          <t>POST</t>
        </is>
      </c>
      <c r="K106" s="29">
        <f>IF(OR($E106="—",LEFT($E106,1)="("),"n/a",IF(COUNTIF(Balance_Taxonomy!$B$5:$B$400,$E106)&gt;0,"OK","UNKNOWN TYPE"))</f>
        <v/>
      </c>
      <c r="L106" s="29">
        <f>IF(COUNTIF(Amount_Basis!$A$5:$A$100,$H106)&gt;0,"OK","UNKNOWN CODE")</f>
        <v/>
      </c>
      <c r="M106" s="29">
        <f>IF($F106="DERIVED_FROM_SIGN",IF($G106="runtime","OK","INVALID - must be runtime"),IF(OR($J106="POST",$J106="MEMO_ONLY"),IF(OR($G106="Dr",$G106="Cr"),"OK","INVALID - must derive"),IF(OR($G106="n/a",$G106="runtime"),"OK","INVALID - must be n/a")))</f>
        <v/>
      </c>
      <c r="N106" s="29">
        <f t="array" ref="N106">IF($J106="MIRROR",IF($F106="MIRRORED","OK","INVALID - MIRROR needs MIRRORED"),IF(IFERROR(INDEX(Amount_Basis!$D$5:$D$100,MATCH($H106,Amount_Basis!$A$5:$A$100,0)),"")="SIGNED",IF($F106="DERIVED_FROM_SIGN","OK","INVALID - SIGNED basis needs DERIVED_FROM_SIGN"),IF(OR($F106="INCREASE",$F106="DECREASE",$F106="—"),"OK","INVALID - static direction required")))</f>
        <v/>
      </c>
      <c r="O106" s="19" t="inlineStr">
        <is>
          <t>§3.9</t>
        </is>
      </c>
    </row>
    <row r="107" ht="15" customHeight="1" s="40">
      <c r="A107" s="19" t="inlineStr">
        <is>
          <t>Import</t>
        </is>
      </c>
      <c r="B107" s="19" t="inlineStr">
        <is>
          <t>LC_CANCEL</t>
        </is>
      </c>
      <c r="C107" s="19" t="inlineStr">
        <is>
          <t>RECOGNISE_FEE</t>
        </is>
      </c>
      <c r="D107" s="19" t="n">
        <v>3</v>
      </c>
      <c r="E107" s="21" t="inlineStr">
        <is>
          <t>UNEARNED_COMMISSION_INCOME</t>
        </is>
      </c>
      <c r="F107" s="19" t="inlineStr">
        <is>
          <t>DECREASE</t>
        </is>
      </c>
      <c r="G107" s="29">
        <f t="array" ref="G107">IF(OR($F107="DERIVED_FROM_SIGN",$F107="MIRRORED"),"runtime",IFERROR(IF(INDEX(Balance_Taxonomy!$C$5:$C$400,MATCH($E107,Balance_Taxonomy!$B$5:$B$400,0))="Dr",IF($F107="INCREASE","Dr","Cr"),IF($F107="INCREASE","Cr","Dr")),"n/a"))</f>
        <v/>
      </c>
      <c r="H107" s="19" t="inlineStr">
        <is>
          <t>COMMISSION_UNAMORTISED</t>
        </is>
      </c>
      <c r="I107" s="21" t="inlineStr">
        <is>
          <t>unamortised commission</t>
        </is>
      </c>
      <c r="J107" s="19" t="inlineStr">
        <is>
          <t>POST</t>
        </is>
      </c>
      <c r="K107" s="29">
        <f>IF(OR($E107="—",LEFT($E107,1)="("),"n/a",IF(COUNTIF(Balance_Taxonomy!$B$5:$B$400,$E107)&gt;0,"OK","UNKNOWN TYPE"))</f>
        <v/>
      </c>
      <c r="L107" s="29">
        <f>IF(COUNTIF(Amount_Basis!$A$5:$A$100,$H107)&gt;0,"OK","UNKNOWN CODE")</f>
        <v/>
      </c>
      <c r="M107" s="29">
        <f>IF($F107="DERIVED_FROM_SIGN",IF($G107="runtime","OK","INVALID - must be runtime"),IF(OR($J107="POST",$J107="MEMO_ONLY"),IF(OR($G107="Dr",$G107="Cr"),"OK","INVALID - must derive"),IF(OR($G107="n/a",$G107="runtime"),"OK","INVALID - must be n/a")))</f>
        <v/>
      </c>
      <c r="N107" s="29">
        <f t="array" ref="N107">IF($J107="MIRROR",IF($F107="MIRRORED","OK","INVALID - MIRROR needs MIRRORED"),IF(IFERROR(INDEX(Amount_Basis!$D$5:$D$100,MATCH($H107,Amount_Basis!$A$5:$A$100,0)),"")="SIGNED",IF($F107="DERIVED_FROM_SIGN","OK","INVALID - SIGNED basis needs DERIVED_FROM_SIGN"),IF(OR($F107="INCREASE",$F107="DECREASE",$F107="—"),"OK","INVALID - static direction required")))</f>
        <v/>
      </c>
      <c r="O107" s="19" t="inlineStr">
        <is>
          <t>§3.9</t>
        </is>
      </c>
    </row>
    <row r="108" ht="15" customHeight="1" s="40">
      <c r="A108" s="19" t="inlineStr">
        <is>
          <t>Import</t>
        </is>
      </c>
      <c r="B108" s="19" t="inlineStr">
        <is>
          <t>LC_CANCEL</t>
        </is>
      </c>
      <c r="C108" s="19" t="inlineStr">
        <is>
          <t>RECOGNISE_FEE</t>
        </is>
      </c>
      <c r="D108" s="19" t="n">
        <v>3</v>
      </c>
      <c r="E108" s="21" t="inlineStr">
        <is>
          <t>FEE_COMMISSION_INCOME</t>
        </is>
      </c>
      <c r="F108" s="19" t="inlineStr">
        <is>
          <t>INCREASE</t>
        </is>
      </c>
      <c r="G108" s="29">
        <f t="array" ref="G108">IF(OR($F108="DERIVED_FROM_SIGN",$F108="MIRRORED"),"runtime",IFERROR(IF(INDEX(Balance_Taxonomy!$C$5:$C$400,MATCH($E108,Balance_Taxonomy!$B$5:$B$400,0))="Dr",IF($F108="INCREASE","Dr","Cr"),IF($F108="INCREASE","Cr","Dr")),"n/a"))</f>
        <v/>
      </c>
      <c r="H108" s="19" t="inlineStr">
        <is>
          <t>COMMISSION_UNAMORTISED</t>
        </is>
      </c>
      <c r="I108" s="21" t="inlineStr">
        <is>
          <t>unamortised commission</t>
        </is>
      </c>
      <c r="J108" s="19" t="inlineStr">
        <is>
          <t>POST</t>
        </is>
      </c>
      <c r="K108" s="29">
        <f>IF(OR($E108="—",LEFT($E108,1)="("),"n/a",IF(COUNTIF(Balance_Taxonomy!$B$5:$B$400,$E108)&gt;0,"OK","UNKNOWN TYPE"))</f>
        <v/>
      </c>
      <c r="L108" s="29">
        <f>IF(COUNTIF(Amount_Basis!$A$5:$A$100,$H108)&gt;0,"OK","UNKNOWN CODE")</f>
        <v/>
      </c>
      <c r="M108" s="29">
        <f>IF($F108="DERIVED_FROM_SIGN",IF($G108="runtime","OK","INVALID - must be runtime"),IF(OR($J108="POST",$J108="MEMO_ONLY"),IF(OR($G108="Dr",$G108="Cr"),"OK","INVALID - must derive"),IF(OR($G108="n/a",$G108="runtime"),"OK","INVALID - must be n/a")))</f>
        <v/>
      </c>
      <c r="N108" s="29">
        <f t="array" ref="N108">IF($J108="MIRROR",IF($F108="MIRRORED","OK","INVALID - MIRROR needs MIRRORED"),IF(IFERROR(INDEX(Amount_Basis!$D$5:$D$100,MATCH($H108,Amount_Basis!$A$5:$A$100,0)),"")="SIGNED",IF($F108="DERIVED_FROM_SIGN","OK","INVALID - SIGNED basis needs DERIVED_FROM_SIGN"),IF(OR($F108="INCREASE",$F108="DECREASE",$F108="—"),"OK","INVALID - static direction required")))</f>
        <v/>
      </c>
      <c r="O108" s="19" t="inlineStr">
        <is>
          <t>§3.9</t>
        </is>
      </c>
    </row>
    <row r="109" ht="15" customHeight="1" s="40">
      <c r="A109" s="19" t="inlineStr">
        <is>
          <t>Import</t>
        </is>
      </c>
      <c r="B109" s="19" t="inlineStr">
        <is>
          <t>LC_CANCEL</t>
        </is>
      </c>
      <c r="C109" s="19" t="inlineStr">
        <is>
          <t>RELEASE_MARGIN</t>
        </is>
      </c>
      <c r="D109" s="19" t="n">
        <v>4</v>
      </c>
      <c r="E109" s="21" t="inlineStr">
        <is>
          <t>LC_CASH_MARGIN_DEPOSIT</t>
        </is>
      </c>
      <c r="F109" s="19" t="inlineStr">
        <is>
          <t>DECREASE</t>
        </is>
      </c>
      <c r="G109" s="29">
        <f t="array" ref="G109">IF(OR($F109="DERIVED_FROM_SIGN",$F109="MIRRORED"),"runtime",IFERROR(IF(INDEX(Balance_Taxonomy!$C$5:$C$400,MATCH($E109,Balance_Taxonomy!$B$5:$B$400,0))="Dr",IF($F109="INCREASE","Dr","Cr"),IF($F109="INCREASE","Cr","Dr")),"n/a"))</f>
        <v/>
      </c>
      <c r="H109" s="19" t="inlineStr">
        <is>
          <t>MARGIN_RESIDUAL</t>
        </is>
      </c>
      <c r="I109" s="21" t="inlineStr">
        <is>
          <t>residual margin</t>
        </is>
      </c>
      <c r="J109" s="19" t="inlineStr">
        <is>
          <t>POST</t>
        </is>
      </c>
      <c r="K109" s="29">
        <f>IF(OR($E109="—",LEFT($E109,1)="("),"n/a",IF(COUNTIF(Balance_Taxonomy!$B$5:$B$400,$E109)&gt;0,"OK","UNKNOWN TYPE"))</f>
        <v/>
      </c>
      <c r="L109" s="29">
        <f>IF(COUNTIF(Amount_Basis!$A$5:$A$100,$H109)&gt;0,"OK","UNKNOWN CODE")</f>
        <v/>
      </c>
      <c r="M109" s="29">
        <f>IF($F109="DERIVED_FROM_SIGN",IF($G109="runtime","OK","INVALID - must be runtime"),IF(OR($J109="POST",$J109="MEMO_ONLY"),IF(OR($G109="Dr",$G109="Cr"),"OK","INVALID - must derive"),IF(OR($G109="n/a",$G109="runtime"),"OK","INVALID - must be n/a")))</f>
        <v/>
      </c>
      <c r="N109" s="29">
        <f t="array" ref="N109">IF($J109="MIRROR",IF($F109="MIRRORED","OK","INVALID - MIRROR needs MIRRORED"),IF(IFERROR(INDEX(Amount_Basis!$D$5:$D$100,MATCH($H109,Amount_Basis!$A$5:$A$100,0)),"")="SIGNED",IF($F109="DERIVED_FROM_SIGN","OK","INVALID - SIGNED basis needs DERIVED_FROM_SIGN"),IF(OR($F109="INCREASE",$F109="DECREASE",$F109="—"),"OK","INVALID - static direction required")))</f>
        <v/>
      </c>
      <c r="O109" s="19" t="inlineStr">
        <is>
          <t>§3.9</t>
        </is>
      </c>
    </row>
    <row r="110" ht="15" customHeight="1" s="40">
      <c r="A110" s="19" t="inlineStr">
        <is>
          <t>Import</t>
        </is>
      </c>
      <c r="B110" s="19" t="inlineStr">
        <is>
          <t>LC_CANCEL</t>
        </is>
      </c>
      <c r="C110" s="19" t="inlineStr">
        <is>
          <t>RELEASE_MARGIN</t>
        </is>
      </c>
      <c r="D110" s="19" t="n">
        <v>4</v>
      </c>
      <c r="E110" s="21" t="inlineStr">
        <is>
          <t>CUSTOMER_CURRENT_ACCOUNT</t>
        </is>
      </c>
      <c r="F110" s="19" t="inlineStr">
        <is>
          <t>INCREASE</t>
        </is>
      </c>
      <c r="G110" s="29">
        <f t="array" ref="G110">IF(OR($F110="DERIVED_FROM_SIGN",$F110="MIRRORED"),"runtime",IFERROR(IF(INDEX(Balance_Taxonomy!$C$5:$C$400,MATCH($E110,Balance_Taxonomy!$B$5:$B$400,0))="Dr",IF($F110="INCREASE","Dr","Cr"),IF($F110="INCREASE","Cr","Dr")),"n/a"))</f>
        <v/>
      </c>
      <c r="H110" s="19" t="inlineStr">
        <is>
          <t>MARGIN_RESIDUAL</t>
        </is>
      </c>
      <c r="I110" s="21" t="inlineStr">
        <is>
          <t>residual margin</t>
        </is>
      </c>
      <c r="J110" s="19" t="inlineStr">
        <is>
          <t>POST</t>
        </is>
      </c>
      <c r="K110" s="29">
        <f>IF(OR($E110="—",LEFT($E110,1)="("),"n/a",IF(COUNTIF(Balance_Taxonomy!$B$5:$B$400,$E110)&gt;0,"OK","UNKNOWN TYPE"))</f>
        <v/>
      </c>
      <c r="L110" s="29">
        <f>IF(COUNTIF(Amount_Basis!$A$5:$A$100,$H110)&gt;0,"OK","UNKNOWN CODE")</f>
        <v/>
      </c>
      <c r="M110" s="29">
        <f>IF($F110="DERIVED_FROM_SIGN",IF($G110="runtime","OK","INVALID - must be runtime"),IF(OR($J110="POST",$J110="MEMO_ONLY"),IF(OR($G110="Dr",$G110="Cr"),"OK","INVALID - must derive"),IF(OR($G110="n/a",$G110="runtime"),"OK","INVALID - must be n/a")))</f>
        <v/>
      </c>
      <c r="N110" s="29">
        <f t="array" ref="N110">IF($J110="MIRROR",IF($F110="MIRRORED","OK","INVALID - MIRROR needs MIRRORED"),IF(IFERROR(INDEX(Amount_Basis!$D$5:$D$100,MATCH($H110,Amount_Basis!$A$5:$A$100,0)),"")="SIGNED",IF($F110="DERIVED_FROM_SIGN","OK","INVALID - SIGNED basis needs DERIVED_FROM_SIGN"),IF(OR($F110="INCREASE",$F110="DECREASE",$F110="—"),"OK","INVALID - static direction required")))</f>
        <v/>
      </c>
      <c r="O110" s="19" t="inlineStr">
        <is>
          <t>§3.9</t>
        </is>
      </c>
    </row>
    <row r="111" ht="15" customHeight="1" s="40">
      <c r="A111" s="14" t="inlineStr">
        <is>
          <t>Import</t>
        </is>
      </c>
      <c r="B111" s="14" t="inlineStr">
        <is>
          <t>SG_ISSUE</t>
        </is>
      </c>
      <c r="C111" s="14" t="inlineStr">
        <is>
          <t>RAISE_CONTINGENT</t>
        </is>
      </c>
      <c r="D111" s="14" t="n">
        <v>1</v>
      </c>
      <c r="E111" s="15" t="inlineStr">
        <is>
          <t>SG_CUSTOMER_LIABILITY</t>
        </is>
      </c>
      <c r="F111" s="14" t="inlineStr">
        <is>
          <t>INCREASE</t>
        </is>
      </c>
      <c r="G111" s="25">
        <f t="array" ref="G111">IF(OR($F111="DERIVED_FROM_SIGN",$F111="MIRRORED"),"runtime",IFERROR(IF(INDEX(Balance_Taxonomy!$C$5:$C$400,MATCH($E111,Balance_Taxonomy!$B$5:$B$400,0))="Dr",IF($F111="INCREASE","Dr","Cr"),IF($F111="INCREASE","Cr","Dr")),"n/a"))</f>
        <v/>
      </c>
      <c r="H111" s="14" t="inlineStr">
        <is>
          <t>POLICY_NOTIONAL</t>
        </is>
      </c>
      <c r="I111" s="15" t="inlineStr">
        <is>
          <t>policy notional</t>
        </is>
      </c>
      <c r="J111" s="14" t="inlineStr">
        <is>
          <t>POST</t>
        </is>
      </c>
      <c r="K111" s="25">
        <f>IF(OR($E111="—",LEFT($E111,1)="("),"n/a",IF(COUNTIF(Balance_Taxonomy!$B$5:$B$400,$E111)&gt;0,"OK","UNKNOWN TYPE"))</f>
        <v/>
      </c>
      <c r="L111" s="25">
        <f>IF(COUNTIF(Amount_Basis!$A$5:$A$100,$H111)&gt;0,"OK","UNKNOWN CODE")</f>
        <v/>
      </c>
      <c r="M111" s="25">
        <f>IF($F111="DERIVED_FROM_SIGN",IF($G111="runtime","OK","INVALID - must be runtime"),IF(OR($J111="POST",$J111="MEMO_ONLY"),IF(OR($G111="Dr",$G111="Cr"),"OK","INVALID - must derive"),IF(OR($G111="n/a",$G111="runtime"),"OK","INVALID - must be n/a")))</f>
        <v/>
      </c>
      <c r="N111" s="25">
        <f t="array" ref="N111">IF($J111="MIRROR",IF($F111="MIRRORED","OK","INVALID - MIRROR needs MIRRORED"),IF(IFERROR(INDEX(Amount_Basis!$D$5:$D$100,MATCH($H111,Amount_Basis!$A$5:$A$100,0)),"")="SIGNED",IF($F111="DERIVED_FROM_SIGN","OK","INVALID - SIGNED basis needs DERIVED_FROM_SIGN"),IF(OR($F111="INCREASE",$F111="DECREASE",$F111="—"),"OK","INVALID - static direction required")))</f>
        <v/>
      </c>
      <c r="O111" s="14" t="inlineStr">
        <is>
          <t>§4.2</t>
        </is>
      </c>
    </row>
    <row r="112" ht="15" customHeight="1" s="40">
      <c r="A112" s="14" t="inlineStr">
        <is>
          <t>Import</t>
        </is>
      </c>
      <c r="B112" s="14" t="inlineStr">
        <is>
          <t>SG_ISSUE</t>
        </is>
      </c>
      <c r="C112" s="14" t="inlineStr">
        <is>
          <t>RAISE_CONTINGENT</t>
        </is>
      </c>
      <c r="D112" s="14" t="n">
        <v>1</v>
      </c>
      <c r="E112" s="15" t="inlineStr">
        <is>
          <t>SG_OUTSTANDING</t>
        </is>
      </c>
      <c r="F112" s="14" t="inlineStr">
        <is>
          <t>INCREASE</t>
        </is>
      </c>
      <c r="G112" s="25">
        <f t="array" ref="G112">IF(OR($F112="DERIVED_FROM_SIGN",$F112="MIRRORED"),"runtime",IFERROR(IF(INDEX(Balance_Taxonomy!$C$5:$C$400,MATCH($E112,Balance_Taxonomy!$B$5:$B$400,0))="Dr",IF($F112="INCREASE","Dr","Cr"),IF($F112="INCREASE","Cr","Dr")),"n/a"))</f>
        <v/>
      </c>
      <c r="H112" s="14" t="inlineStr">
        <is>
          <t>POLICY_NOTIONAL</t>
        </is>
      </c>
      <c r="I112" s="15" t="inlineStr">
        <is>
          <t>policy notional</t>
        </is>
      </c>
      <c r="J112" s="14" t="inlineStr">
        <is>
          <t>POST</t>
        </is>
      </c>
      <c r="K112" s="25">
        <f>IF(OR($E112="—",LEFT($E112,1)="("),"n/a",IF(COUNTIF(Balance_Taxonomy!$B$5:$B$400,$E112)&gt;0,"OK","UNKNOWN TYPE"))</f>
        <v/>
      </c>
      <c r="L112" s="25">
        <f>IF(COUNTIF(Amount_Basis!$A$5:$A$100,$H112)&gt;0,"OK","UNKNOWN CODE")</f>
        <v/>
      </c>
      <c r="M112" s="25">
        <f>IF($F112="DERIVED_FROM_SIGN",IF($G112="runtime","OK","INVALID - must be runtime"),IF(OR($J112="POST",$J112="MEMO_ONLY"),IF(OR($G112="Dr",$G112="Cr"),"OK","INVALID - must derive"),IF(OR($G112="n/a",$G112="runtime"),"OK","INVALID - must be n/a")))</f>
        <v/>
      </c>
      <c r="N112" s="25">
        <f t="array" ref="N112">IF($J112="MIRROR",IF($F112="MIRRORED","OK","INVALID - MIRROR needs MIRRORED"),IF(IFERROR(INDEX(Amount_Basis!$D$5:$D$100,MATCH($H112,Amount_Basis!$A$5:$A$100,0)),"")="SIGNED",IF($F112="DERIVED_FROM_SIGN","OK","INVALID - SIGNED basis needs DERIVED_FROM_SIGN"),IF(OR($F112="INCREASE",$F112="DECREASE",$F112="—"),"OK","INVALID - static direction required")))</f>
        <v/>
      </c>
      <c r="O112" s="14" t="inlineStr">
        <is>
          <t>§4.2</t>
        </is>
      </c>
    </row>
    <row r="113" ht="15" customHeight="1" s="40">
      <c r="A113" s="14" t="inlineStr">
        <is>
          <t>Import</t>
        </is>
      </c>
      <c r="B113" s="14" t="inlineStr">
        <is>
          <t>SG_ISSUE</t>
        </is>
      </c>
      <c r="C113" s="14" t="inlineStr">
        <is>
          <t>DEFER_COMMISSION</t>
        </is>
      </c>
      <c r="D113" s="14" t="n">
        <v>2</v>
      </c>
      <c r="E113" s="15" t="inlineStr">
        <is>
          <t>CUSTOMER_CURRENT_ACCOUNT</t>
        </is>
      </c>
      <c r="F113" s="14" t="inlineStr">
        <is>
          <t>DECREASE</t>
        </is>
      </c>
      <c r="G113" s="25">
        <f t="array" ref="G113">IF(OR($F113="DERIVED_FROM_SIGN",$F113="MIRRORED"),"runtime",IFERROR(IF(INDEX(Balance_Taxonomy!$C$5:$C$400,MATCH($E113,Balance_Taxonomy!$B$5:$B$400,0))="Dr",IF($F113="INCREASE","Dr","Cr"),IF($F113="INCREASE","Cr","Dr")),"n/a"))</f>
        <v/>
      </c>
      <c r="H113" s="14" t="inlineStr">
        <is>
          <t>COMMISSION_AMOUNT</t>
        </is>
      </c>
      <c r="I113" s="15" t="inlineStr">
        <is>
          <t>SG commission</t>
        </is>
      </c>
      <c r="J113" s="14" t="inlineStr">
        <is>
          <t>POST</t>
        </is>
      </c>
      <c r="K113" s="25">
        <f>IF(OR($E113="—",LEFT($E113,1)="("),"n/a",IF(COUNTIF(Balance_Taxonomy!$B$5:$B$400,$E113)&gt;0,"OK","UNKNOWN TYPE"))</f>
        <v/>
      </c>
      <c r="L113" s="25">
        <f>IF(COUNTIF(Amount_Basis!$A$5:$A$100,$H113)&gt;0,"OK","UNKNOWN CODE")</f>
        <v/>
      </c>
      <c r="M113" s="25">
        <f>IF($F113="DERIVED_FROM_SIGN",IF($G113="runtime","OK","INVALID - must be runtime"),IF(OR($J113="POST",$J113="MEMO_ONLY"),IF(OR($G113="Dr",$G113="Cr"),"OK","INVALID - must derive"),IF(OR($G113="n/a",$G113="runtime"),"OK","INVALID - must be n/a")))</f>
        <v/>
      </c>
      <c r="N113" s="25">
        <f t="array" ref="N113">IF($J113="MIRROR",IF($F113="MIRRORED","OK","INVALID - MIRROR needs MIRRORED"),IF(IFERROR(INDEX(Amount_Basis!$D$5:$D$100,MATCH($H113,Amount_Basis!$A$5:$A$100,0)),"")="SIGNED",IF($F113="DERIVED_FROM_SIGN","OK","INVALID - SIGNED basis needs DERIVED_FROM_SIGN"),IF(OR($F113="INCREASE",$F113="DECREASE",$F113="—"),"OK","INVALID - static direction required")))</f>
        <v/>
      </c>
      <c r="O113" s="14" t="inlineStr">
        <is>
          <t>§4.2</t>
        </is>
      </c>
    </row>
    <row r="114" ht="15" customHeight="1" s="40">
      <c r="A114" s="14" t="inlineStr">
        <is>
          <t>Import</t>
        </is>
      </c>
      <c r="B114" s="14" t="inlineStr">
        <is>
          <t>SG_ISSUE</t>
        </is>
      </c>
      <c r="C114" s="14" t="inlineStr">
        <is>
          <t>DEFER_COMMISSION</t>
        </is>
      </c>
      <c r="D114" s="14" t="n">
        <v>2</v>
      </c>
      <c r="E114" s="15" t="inlineStr">
        <is>
          <t>UNEARNED_COMMISSION_INCOME</t>
        </is>
      </c>
      <c r="F114" s="14" t="inlineStr">
        <is>
          <t>INCREASE</t>
        </is>
      </c>
      <c r="G114" s="25">
        <f t="array" ref="G114">IF(OR($F114="DERIVED_FROM_SIGN",$F114="MIRRORED"),"runtime",IFERROR(IF(INDEX(Balance_Taxonomy!$C$5:$C$400,MATCH($E114,Balance_Taxonomy!$B$5:$B$400,0))="Dr",IF($F114="INCREASE","Dr","Cr"),IF($F114="INCREASE","Cr","Dr")),"n/a"))</f>
        <v/>
      </c>
      <c r="H114" s="14" t="inlineStr">
        <is>
          <t>COMMISSION_AMOUNT</t>
        </is>
      </c>
      <c r="I114" s="15" t="inlineStr">
        <is>
          <t>SG commission</t>
        </is>
      </c>
      <c r="J114" s="14" t="inlineStr">
        <is>
          <t>POST</t>
        </is>
      </c>
      <c r="K114" s="25">
        <f>IF(OR($E114="—",LEFT($E114,1)="("),"n/a",IF(COUNTIF(Balance_Taxonomy!$B$5:$B$400,$E114)&gt;0,"OK","UNKNOWN TYPE"))</f>
        <v/>
      </c>
      <c r="L114" s="25">
        <f>IF(COUNTIF(Amount_Basis!$A$5:$A$100,$H114)&gt;0,"OK","UNKNOWN CODE")</f>
        <v/>
      </c>
      <c r="M114" s="25">
        <f>IF($F114="DERIVED_FROM_SIGN",IF($G114="runtime","OK","INVALID - must be runtime"),IF(OR($J114="POST",$J114="MEMO_ONLY"),IF(OR($G114="Dr",$G114="Cr"),"OK","INVALID - must derive"),IF(OR($G114="n/a",$G114="runtime"),"OK","INVALID - must be n/a")))</f>
        <v/>
      </c>
      <c r="N114" s="25">
        <f t="array" ref="N114">IF($J114="MIRROR",IF($F114="MIRRORED","OK","INVALID - MIRROR needs MIRRORED"),IF(IFERROR(INDEX(Amount_Basis!$D$5:$D$100,MATCH($H114,Amount_Basis!$A$5:$A$100,0)),"")="SIGNED",IF($F114="DERIVED_FROM_SIGN","OK","INVALID - SIGNED basis needs DERIVED_FROM_SIGN"),IF(OR($F114="INCREASE",$F114="DECREASE",$F114="—"),"OK","INVALID - static direction required")))</f>
        <v/>
      </c>
      <c r="O114" s="14" t="inlineStr">
        <is>
          <t>§4.2</t>
        </is>
      </c>
    </row>
    <row r="115" ht="15" customHeight="1" s="40">
      <c r="A115" s="14" t="inlineStr">
        <is>
          <t>Import</t>
        </is>
      </c>
      <c r="B115" s="14" t="inlineStr">
        <is>
          <t>SG_ISSUE</t>
        </is>
      </c>
      <c r="C115" s="14" t="inlineStr">
        <is>
          <t>RAISE_ECL</t>
        </is>
      </c>
      <c r="D115" s="14" t="n">
        <v>3</v>
      </c>
      <c r="E115" s="15" t="inlineStr">
        <is>
          <t>IMPAIRMENT_CHARGE_OFFBS</t>
        </is>
      </c>
      <c r="F115" s="14" t="inlineStr">
        <is>
          <t>INCREASE</t>
        </is>
      </c>
      <c r="G115" s="25">
        <f t="array" ref="G115">IF(OR($F115="DERIVED_FROM_SIGN",$F115="MIRRORED"),"runtime",IFERROR(IF(INDEX(Balance_Taxonomy!$C$5:$C$400,MATCH($E115,Balance_Taxonomy!$B$5:$B$400,0))="Dr",IF($F115="INCREASE","Dr","Cr"),IF($F115="INCREASE","Cr","Dr")),"n/a"))</f>
        <v/>
      </c>
      <c r="H115" s="14" t="inlineStr">
        <is>
          <t>ECL_AMOUNT</t>
        </is>
      </c>
      <c r="I115" s="15" t="inlineStr">
        <is>
          <t>ECL</t>
        </is>
      </c>
      <c r="J115" s="14" t="inlineStr">
        <is>
          <t>POST</t>
        </is>
      </c>
      <c r="K115" s="25">
        <f>IF(OR($E115="—",LEFT($E115,1)="("),"n/a",IF(COUNTIF(Balance_Taxonomy!$B$5:$B$400,$E115)&gt;0,"OK","UNKNOWN TYPE"))</f>
        <v/>
      </c>
      <c r="L115" s="25">
        <f>IF(COUNTIF(Amount_Basis!$A$5:$A$100,$H115)&gt;0,"OK","UNKNOWN CODE")</f>
        <v/>
      </c>
      <c r="M115" s="25">
        <f>IF($F115="DERIVED_FROM_SIGN",IF($G115="runtime","OK","INVALID - must be runtime"),IF(OR($J115="POST",$J115="MEMO_ONLY"),IF(OR($G115="Dr",$G115="Cr"),"OK","INVALID - must derive"),IF(OR($G115="n/a",$G115="runtime"),"OK","INVALID - must be n/a")))</f>
        <v/>
      </c>
      <c r="N115" s="25">
        <f t="array" ref="N115">IF($J115="MIRROR",IF($F115="MIRRORED","OK","INVALID - MIRROR needs MIRRORED"),IF(IFERROR(INDEX(Amount_Basis!$D$5:$D$100,MATCH($H115,Amount_Basis!$A$5:$A$100,0)),"")="SIGNED",IF($F115="DERIVED_FROM_SIGN","OK","INVALID - SIGNED basis needs DERIVED_FROM_SIGN"),IF(OR($F115="INCREASE",$F115="DECREASE",$F115="—"),"OK","INVALID - static direction required")))</f>
        <v/>
      </c>
      <c r="O115" s="14" t="inlineStr">
        <is>
          <t>§4.2</t>
        </is>
      </c>
    </row>
    <row r="116" ht="15" customHeight="1" s="40">
      <c r="A116" s="14" t="inlineStr">
        <is>
          <t>Import</t>
        </is>
      </c>
      <c r="B116" s="14" t="inlineStr">
        <is>
          <t>SG_ISSUE</t>
        </is>
      </c>
      <c r="C116" s="14" t="inlineStr">
        <is>
          <t>RAISE_ECL</t>
        </is>
      </c>
      <c r="D116" s="14" t="n">
        <v>3</v>
      </c>
      <c r="E116" s="15" t="inlineStr">
        <is>
          <t>PROVISION_OFFBS</t>
        </is>
      </c>
      <c r="F116" s="14" t="inlineStr">
        <is>
          <t>INCREASE</t>
        </is>
      </c>
      <c r="G116" s="25">
        <f t="array" ref="G116">IF(OR($F116="DERIVED_FROM_SIGN",$F116="MIRRORED"),"runtime",IFERROR(IF(INDEX(Balance_Taxonomy!$C$5:$C$400,MATCH($E116,Balance_Taxonomy!$B$5:$B$400,0))="Dr",IF($F116="INCREASE","Dr","Cr"),IF($F116="INCREASE","Cr","Dr")),"n/a"))</f>
        <v/>
      </c>
      <c r="H116" s="14" t="inlineStr">
        <is>
          <t>ECL_AMOUNT</t>
        </is>
      </c>
      <c r="I116" s="15" t="inlineStr">
        <is>
          <t>ECL</t>
        </is>
      </c>
      <c r="J116" s="14" t="inlineStr">
        <is>
          <t>POST</t>
        </is>
      </c>
      <c r="K116" s="25">
        <f>IF(OR($E116="—",LEFT($E116,1)="("),"n/a",IF(COUNTIF(Balance_Taxonomy!$B$5:$B$400,$E116)&gt;0,"OK","UNKNOWN TYPE"))</f>
        <v/>
      </c>
      <c r="L116" s="25">
        <f>IF(COUNTIF(Amount_Basis!$A$5:$A$100,$H116)&gt;0,"OK","UNKNOWN CODE")</f>
        <v/>
      </c>
      <c r="M116" s="25">
        <f>IF($F116="DERIVED_FROM_SIGN",IF($G116="runtime","OK","INVALID - must be runtime"),IF(OR($J116="POST",$J116="MEMO_ONLY"),IF(OR($G116="Dr",$G116="Cr"),"OK","INVALID - must derive"),IF(OR($G116="n/a",$G116="runtime"),"OK","INVALID - must be n/a")))</f>
        <v/>
      </c>
      <c r="N116" s="25">
        <f t="array" ref="N116">IF($J116="MIRROR",IF($F116="MIRRORED","OK","INVALID - MIRROR needs MIRRORED"),IF(IFERROR(INDEX(Amount_Basis!$D$5:$D$100,MATCH($H116,Amount_Basis!$A$5:$A$100,0)),"")="SIGNED",IF($F116="DERIVED_FROM_SIGN","OK","INVALID - SIGNED basis needs DERIVED_FROM_SIGN"),IF(OR($F116="INCREASE",$F116="DECREASE",$F116="—"),"OK","INVALID - static direction required")))</f>
        <v/>
      </c>
      <c r="O116" s="14" t="inlineStr">
        <is>
          <t>§4.2</t>
        </is>
      </c>
    </row>
    <row r="117" ht="15" customHeight="1" s="40">
      <c r="A117" s="19" t="inlineStr">
        <is>
          <t>Import</t>
        </is>
      </c>
      <c r="B117" s="19" t="inlineStr">
        <is>
          <t>SG_AMD_INC</t>
        </is>
      </c>
      <c r="C117" s="19" t="inlineStr">
        <is>
          <t>RAISE_CONTINGENT</t>
        </is>
      </c>
      <c r="D117" s="19" t="n">
        <v>1</v>
      </c>
      <c r="E117" s="21" t="inlineStr">
        <is>
          <t>SG_CUSTOMER_LIABILITY</t>
        </is>
      </c>
      <c r="F117" s="19" t="inlineStr">
        <is>
          <t>INCREASE</t>
        </is>
      </c>
      <c r="G117" s="29">
        <f t="array" ref="G117">IF(OR($F117="DERIVED_FROM_SIGN",$F117="MIRRORED"),"runtime",IFERROR(IF(INDEX(Balance_Taxonomy!$C$5:$C$400,MATCH($E117,Balance_Taxonomy!$B$5:$B$400,0))="Dr",IF($F117="INCREASE","Dr","Cr"),IF($F117="INCREASE","Cr","Dr")),"n/a"))</f>
        <v/>
      </c>
      <c r="H117" s="19" t="inlineStr">
        <is>
          <t>AMENDMENT_DELTA</t>
        </is>
      </c>
      <c r="I117" s="21" t="inlineStr">
        <is>
          <t>delta</t>
        </is>
      </c>
      <c r="J117" s="19" t="inlineStr">
        <is>
          <t>POST</t>
        </is>
      </c>
      <c r="K117" s="29">
        <f>IF(OR($E117="—",LEFT($E117,1)="("),"n/a",IF(COUNTIF(Balance_Taxonomy!$B$5:$B$400,$E117)&gt;0,"OK","UNKNOWN TYPE"))</f>
        <v/>
      </c>
      <c r="L117" s="29">
        <f>IF(COUNTIF(Amount_Basis!$A$5:$A$100,$H117)&gt;0,"OK","UNKNOWN CODE")</f>
        <v/>
      </c>
      <c r="M117" s="29">
        <f>IF($F117="DERIVED_FROM_SIGN",IF($G117="runtime","OK","INVALID - must be runtime"),IF(OR($J117="POST",$J117="MEMO_ONLY"),IF(OR($G117="Dr",$G117="Cr"),"OK","INVALID - must derive"),IF(OR($G117="n/a",$G117="runtime"),"OK","INVALID - must be n/a")))</f>
        <v/>
      </c>
      <c r="N117" s="29">
        <f t="array" ref="N117">IF($J117="MIRROR",IF($F117="MIRRORED","OK","INVALID - MIRROR needs MIRRORED"),IF(IFERROR(INDEX(Amount_Basis!$D$5:$D$100,MATCH($H117,Amount_Basis!$A$5:$A$100,0)),"")="SIGNED",IF($F117="DERIVED_FROM_SIGN","OK","INVALID - SIGNED basis needs DERIVED_FROM_SIGN"),IF(OR($F117="INCREASE",$F117="DECREASE",$F117="—"),"OK","INVALID - static direction required")))</f>
        <v/>
      </c>
      <c r="O117" s="19" t="inlineStr">
        <is>
          <t>§4.3</t>
        </is>
      </c>
    </row>
    <row r="118" ht="15" customHeight="1" s="40">
      <c r="A118" s="19" t="inlineStr">
        <is>
          <t>Import</t>
        </is>
      </c>
      <c r="B118" s="19" t="inlineStr">
        <is>
          <t>SG_AMD_INC</t>
        </is>
      </c>
      <c r="C118" s="19" t="inlineStr">
        <is>
          <t>RAISE_CONTINGENT</t>
        </is>
      </c>
      <c r="D118" s="19" t="n">
        <v>1</v>
      </c>
      <c r="E118" s="21" t="inlineStr">
        <is>
          <t>SG_OUTSTANDING</t>
        </is>
      </c>
      <c r="F118" s="19" t="inlineStr">
        <is>
          <t>INCREASE</t>
        </is>
      </c>
      <c r="G118" s="29">
        <f t="array" ref="G118">IF(OR($F118="DERIVED_FROM_SIGN",$F118="MIRRORED"),"runtime",IFERROR(IF(INDEX(Balance_Taxonomy!$C$5:$C$400,MATCH($E118,Balance_Taxonomy!$B$5:$B$400,0))="Dr",IF($F118="INCREASE","Dr","Cr"),IF($F118="INCREASE","Cr","Dr")),"n/a"))</f>
        <v/>
      </c>
      <c r="H118" s="19" t="inlineStr">
        <is>
          <t>AMENDMENT_DELTA</t>
        </is>
      </c>
      <c r="I118" s="21" t="inlineStr">
        <is>
          <t>delta</t>
        </is>
      </c>
      <c r="J118" s="19" t="inlineStr">
        <is>
          <t>POST</t>
        </is>
      </c>
      <c r="K118" s="29">
        <f>IF(OR($E118="—",LEFT($E118,1)="("),"n/a",IF(COUNTIF(Balance_Taxonomy!$B$5:$B$400,$E118)&gt;0,"OK","UNKNOWN TYPE"))</f>
        <v/>
      </c>
      <c r="L118" s="29">
        <f>IF(COUNTIF(Amount_Basis!$A$5:$A$100,$H118)&gt;0,"OK","UNKNOWN CODE")</f>
        <v/>
      </c>
      <c r="M118" s="29">
        <f>IF($F118="DERIVED_FROM_SIGN",IF($G118="runtime","OK","INVALID - must be runtime"),IF(OR($J118="POST",$J118="MEMO_ONLY"),IF(OR($G118="Dr",$G118="Cr"),"OK","INVALID - must derive"),IF(OR($G118="n/a",$G118="runtime"),"OK","INVALID - must be n/a")))</f>
        <v/>
      </c>
      <c r="N118" s="29">
        <f t="array" ref="N118">IF($J118="MIRROR",IF($F118="MIRRORED","OK","INVALID - MIRROR needs MIRRORED"),IF(IFERROR(INDEX(Amount_Basis!$D$5:$D$100,MATCH($H118,Amount_Basis!$A$5:$A$100,0)),"")="SIGNED",IF($F118="DERIVED_FROM_SIGN","OK","INVALID - SIGNED basis needs DERIVED_FROM_SIGN"),IF(OR($F118="INCREASE",$F118="DECREASE",$F118="—"),"OK","INVALID - static direction required")))</f>
        <v/>
      </c>
      <c r="O118" s="19" t="inlineStr">
        <is>
          <t>§4.3</t>
        </is>
      </c>
    </row>
    <row r="119" ht="15" customHeight="1" s="40">
      <c r="A119" s="14" t="inlineStr">
        <is>
          <t>Import</t>
        </is>
      </c>
      <c r="B119" s="14" t="inlineStr">
        <is>
          <t>SG_AMD_DEC</t>
        </is>
      </c>
      <c r="C119" s="14" t="inlineStr">
        <is>
          <t>RELEASE_CONTINGENT</t>
        </is>
      </c>
      <c r="D119" s="14" t="n">
        <v>1</v>
      </c>
      <c r="E119" s="15" t="inlineStr">
        <is>
          <t>SG_OUTSTANDING</t>
        </is>
      </c>
      <c r="F119" s="14" t="inlineStr">
        <is>
          <t>DECREASE</t>
        </is>
      </c>
      <c r="G119" s="25">
        <f t="array" ref="G119">IF(OR($F119="DERIVED_FROM_SIGN",$F119="MIRRORED"),"runtime",IFERROR(IF(INDEX(Balance_Taxonomy!$C$5:$C$400,MATCH($E119,Balance_Taxonomy!$B$5:$B$400,0))="Dr",IF($F119="INCREASE","Dr","Cr"),IF($F119="INCREASE","Cr","Dr")),"n/a"))</f>
        <v/>
      </c>
      <c r="H119" s="14" t="inlineStr">
        <is>
          <t>AMENDMENT_DELTA</t>
        </is>
      </c>
      <c r="I119" s="15" t="inlineStr">
        <is>
          <t>delta — CARRIER consent required</t>
        </is>
      </c>
      <c r="J119" s="14" t="inlineStr">
        <is>
          <t>POST</t>
        </is>
      </c>
      <c r="K119" s="25">
        <f>IF(OR($E119="—",LEFT($E119,1)="("),"n/a",IF(COUNTIF(Balance_Taxonomy!$B$5:$B$400,$E119)&gt;0,"OK","UNKNOWN TYPE"))</f>
        <v/>
      </c>
      <c r="L119" s="25">
        <f>IF(COUNTIF(Amount_Basis!$A$5:$A$100,$H119)&gt;0,"OK","UNKNOWN CODE")</f>
        <v/>
      </c>
      <c r="M119" s="25">
        <f>IF($F119="DERIVED_FROM_SIGN",IF($G119="runtime","OK","INVALID - must be runtime"),IF(OR($J119="POST",$J119="MEMO_ONLY"),IF(OR($G119="Dr",$G119="Cr"),"OK","INVALID - must derive"),IF(OR($G119="n/a",$G119="runtime"),"OK","INVALID - must be n/a")))</f>
        <v/>
      </c>
      <c r="N119" s="25">
        <f t="array" ref="N119">IF($J119="MIRROR",IF($F119="MIRRORED","OK","INVALID - MIRROR needs MIRRORED"),IF(IFERROR(INDEX(Amount_Basis!$D$5:$D$100,MATCH($H119,Amount_Basis!$A$5:$A$100,0)),"")="SIGNED",IF($F119="DERIVED_FROM_SIGN","OK","INVALID - SIGNED basis needs DERIVED_FROM_SIGN"),IF(OR($F119="INCREASE",$F119="DECREASE",$F119="—"),"OK","INVALID - static direction required")))</f>
        <v/>
      </c>
      <c r="O119" s="14" t="inlineStr">
        <is>
          <t>§4.3</t>
        </is>
      </c>
    </row>
    <row r="120" ht="15" customHeight="1" s="40">
      <c r="A120" s="14" t="inlineStr">
        <is>
          <t>Import</t>
        </is>
      </c>
      <c r="B120" s="14" t="inlineStr">
        <is>
          <t>SG_AMD_DEC</t>
        </is>
      </c>
      <c r="C120" s="14" t="inlineStr">
        <is>
          <t>RELEASE_CONTINGENT</t>
        </is>
      </c>
      <c r="D120" s="14" t="n">
        <v>1</v>
      </c>
      <c r="E120" s="15" t="inlineStr">
        <is>
          <t>SG_CUSTOMER_LIABILITY</t>
        </is>
      </c>
      <c r="F120" s="14" t="inlineStr">
        <is>
          <t>DECREASE</t>
        </is>
      </c>
      <c r="G120" s="25">
        <f t="array" ref="G120">IF(OR($F120="DERIVED_FROM_SIGN",$F120="MIRRORED"),"runtime",IFERROR(IF(INDEX(Balance_Taxonomy!$C$5:$C$400,MATCH($E120,Balance_Taxonomy!$B$5:$B$400,0))="Dr",IF($F120="INCREASE","Dr","Cr"),IF($F120="INCREASE","Cr","Dr")),"n/a"))</f>
        <v/>
      </c>
      <c r="H120" s="14" t="inlineStr">
        <is>
          <t>AMENDMENT_DELTA</t>
        </is>
      </c>
      <c r="I120" s="15" t="inlineStr">
        <is>
          <t>delta — CARRIER consent required</t>
        </is>
      </c>
      <c r="J120" s="14" t="inlineStr">
        <is>
          <t>POST</t>
        </is>
      </c>
      <c r="K120" s="25">
        <f>IF(OR($E120="—",LEFT($E120,1)="("),"n/a",IF(COUNTIF(Balance_Taxonomy!$B$5:$B$400,$E120)&gt;0,"OK","UNKNOWN TYPE"))</f>
        <v/>
      </c>
      <c r="L120" s="25">
        <f>IF(COUNTIF(Amount_Basis!$A$5:$A$100,$H120)&gt;0,"OK","UNKNOWN CODE")</f>
        <v/>
      </c>
      <c r="M120" s="25">
        <f>IF($F120="DERIVED_FROM_SIGN",IF($G120="runtime","OK","INVALID - must be runtime"),IF(OR($J120="POST",$J120="MEMO_ONLY"),IF(OR($G120="Dr",$G120="Cr"),"OK","INVALID - must derive"),IF(OR($G120="n/a",$G120="runtime"),"OK","INVALID - must be n/a")))</f>
        <v/>
      </c>
      <c r="N120" s="25">
        <f t="array" ref="N120">IF($J120="MIRROR",IF($F120="MIRRORED","OK","INVALID - MIRROR needs MIRRORED"),IF(IFERROR(INDEX(Amount_Basis!$D$5:$D$100,MATCH($H120,Amount_Basis!$A$5:$A$100,0)),"")="SIGNED",IF($F120="DERIVED_FROM_SIGN","OK","INVALID - SIGNED basis needs DERIVED_FROM_SIGN"),IF(OR($F120="INCREASE",$F120="DECREASE",$F120="—"),"OK","INVALID - static direction required")))</f>
        <v/>
      </c>
      <c r="O120" s="14" t="inlineStr">
        <is>
          <t>§4.3</t>
        </is>
      </c>
    </row>
    <row r="121" ht="15" customHeight="1" s="40">
      <c r="A121" s="19" t="inlineStr">
        <is>
          <t>Import</t>
        </is>
      </c>
      <c r="B121" s="19" t="inlineStr">
        <is>
          <t>SG_REDEEMABLE</t>
        </is>
      </c>
      <c r="C121" s="19" t="inlineStr">
        <is>
          <t>—</t>
        </is>
      </c>
      <c r="D121" s="19" t="n">
        <v>1</v>
      </c>
      <c r="E121" s="21" t="inlineStr">
        <is>
          <t>—</t>
        </is>
      </c>
      <c r="F121" s="19" t="inlineStr">
        <is>
          <t>—</t>
        </is>
      </c>
      <c r="G121" s="29">
        <f t="array" ref="G121">IF(OR($F121="DERIVED_FROM_SIGN",$F121="MIRRORED"),"runtime",IFERROR(IF(INDEX(Balance_Taxonomy!$C$5:$C$400,MATCH($E121,Balance_Taxonomy!$B$5:$B$400,0))="Dr",IF($F121="INCREASE","Dr","Cr"),IF($F121="INCREASE","Cr","Dr")),"n/a"))</f>
        <v/>
      </c>
      <c r="H121" s="19" t="inlineStr">
        <is>
          <t>ZERO</t>
        </is>
      </c>
      <c r="I121" s="21" t="inlineStr">
        <is>
          <t>0</t>
        </is>
      </c>
      <c r="J121" s="19" t="inlineStr">
        <is>
          <t>STATUS_ONLY</t>
        </is>
      </c>
      <c r="K121" s="29">
        <f>IF(OR($E121="—",LEFT($E121,1)="("),"n/a",IF(COUNTIF(Balance_Taxonomy!$B$5:$B$400,$E121)&gt;0,"OK","UNKNOWN TYPE"))</f>
        <v/>
      </c>
      <c r="L121" s="29">
        <f>IF(COUNTIF(Amount_Basis!$A$5:$A$100,$H121)&gt;0,"OK","UNKNOWN CODE")</f>
        <v/>
      </c>
      <c r="M121" s="29">
        <f>IF($F121="DERIVED_FROM_SIGN",IF($G121="runtime","OK","INVALID - must be runtime"),IF(OR($J121="POST",$J121="MEMO_ONLY"),IF(OR($G121="Dr",$G121="Cr"),"OK","INVALID - must derive"),IF(OR($G121="n/a",$G121="runtime"),"OK","INVALID - must be n/a")))</f>
        <v/>
      </c>
      <c r="N121" s="29">
        <f t="array" ref="N121">IF($J121="MIRROR",IF($F121="MIRRORED","OK","INVALID - MIRROR needs MIRRORED"),IF(IFERROR(INDEX(Amount_Basis!$D$5:$D$100,MATCH($H121,Amount_Basis!$A$5:$A$100,0)),"")="SIGNED",IF($F121="DERIVED_FROM_SIGN","OK","INVALID - SIGNED basis needs DERIVED_FROM_SIGN"),IF(OR($F121="INCREASE",$F121="DECREASE",$F121="—"),"OK","INVALID - static direction required")))</f>
        <v/>
      </c>
      <c r="O121" s="19" t="inlineStr">
        <is>
          <t>§4.4</t>
        </is>
      </c>
    </row>
    <row r="122" ht="15" customHeight="1" s="40">
      <c r="A122" s="14" t="inlineStr">
        <is>
          <t>Import</t>
        </is>
      </c>
      <c r="B122" s="14" t="inlineStr">
        <is>
          <t>SG_RELEASE</t>
        </is>
      </c>
      <c r="C122" s="14" t="inlineStr">
        <is>
          <t>RELEASE_CONTINGENT</t>
        </is>
      </c>
      <c r="D122" s="14" t="n">
        <v>1</v>
      </c>
      <c r="E122" s="15" t="inlineStr">
        <is>
          <t>SG_OUTSTANDING</t>
        </is>
      </c>
      <c r="F122" s="14" t="inlineStr">
        <is>
          <t>DECREASE</t>
        </is>
      </c>
      <c r="G122" s="25">
        <f t="array" ref="G122">IF(OR($F122="DERIVED_FROM_SIGN",$F122="MIRRORED"),"runtime",IFERROR(IF(INDEX(Balance_Taxonomy!$C$5:$C$400,MATCH($E122,Balance_Taxonomy!$B$5:$B$400,0))="Dr",IF($F122="INCREASE","Dr","Cr"),IF($F122="INCREASE","Cr","Dr")),"n/a"))</f>
        <v/>
      </c>
      <c r="H122" s="14" t="inlineStr">
        <is>
          <t>SG_FULL_OUTSTANDING</t>
        </is>
      </c>
      <c r="I122" s="15" t="inlineStr">
        <is>
          <t>FULL SG amount — no residual</t>
        </is>
      </c>
      <c r="J122" s="14" t="inlineStr">
        <is>
          <t>POST</t>
        </is>
      </c>
      <c r="K122" s="25">
        <f>IF(OR($E122="—",LEFT($E122,1)="("),"n/a",IF(COUNTIF(Balance_Taxonomy!$B$5:$B$400,$E122)&gt;0,"OK","UNKNOWN TYPE"))</f>
        <v/>
      </c>
      <c r="L122" s="25">
        <f>IF(COUNTIF(Amount_Basis!$A$5:$A$100,$H122)&gt;0,"OK","UNKNOWN CODE")</f>
        <v/>
      </c>
      <c r="M122" s="25">
        <f>IF($F122="DERIVED_FROM_SIGN",IF($G122="runtime","OK","INVALID - must be runtime"),IF(OR($J122="POST",$J122="MEMO_ONLY"),IF(OR($G122="Dr",$G122="Cr"),"OK","INVALID - must derive"),IF(OR($G122="n/a",$G122="runtime"),"OK","INVALID - must be n/a")))</f>
        <v/>
      </c>
      <c r="N122" s="25">
        <f t="array" ref="N122">IF($J122="MIRROR",IF($F122="MIRRORED","OK","INVALID - MIRROR needs MIRRORED"),IF(IFERROR(INDEX(Amount_Basis!$D$5:$D$100,MATCH($H122,Amount_Basis!$A$5:$A$100,0)),"")="SIGNED",IF($F122="DERIVED_FROM_SIGN","OK","INVALID - SIGNED basis needs DERIVED_FROM_SIGN"),IF(OR($F122="INCREASE",$F122="DECREASE",$F122="—"),"OK","INVALID - static direction required")))</f>
        <v/>
      </c>
      <c r="O122" s="14" t="inlineStr">
        <is>
          <t>§4.4</t>
        </is>
      </c>
    </row>
    <row r="123" ht="15" customHeight="1" s="40">
      <c r="A123" s="14" t="inlineStr">
        <is>
          <t>Import</t>
        </is>
      </c>
      <c r="B123" s="14" t="inlineStr">
        <is>
          <t>SG_RELEASE</t>
        </is>
      </c>
      <c r="C123" s="14" t="inlineStr">
        <is>
          <t>RELEASE_CONTINGENT</t>
        </is>
      </c>
      <c r="D123" s="14" t="n">
        <v>1</v>
      </c>
      <c r="E123" s="15" t="inlineStr">
        <is>
          <t>SG_CUSTOMER_LIABILITY</t>
        </is>
      </c>
      <c r="F123" s="14" t="inlineStr">
        <is>
          <t>DECREASE</t>
        </is>
      </c>
      <c r="G123" s="25">
        <f t="array" ref="G123">IF(OR($F123="DERIVED_FROM_SIGN",$F123="MIRRORED"),"runtime",IFERROR(IF(INDEX(Balance_Taxonomy!$C$5:$C$400,MATCH($E123,Balance_Taxonomy!$B$5:$B$400,0))="Dr",IF($F123="INCREASE","Dr","Cr"),IF($F123="INCREASE","Cr","Dr")),"n/a"))</f>
        <v/>
      </c>
      <c r="H123" s="14" t="inlineStr">
        <is>
          <t>SG_FULL_OUTSTANDING</t>
        </is>
      </c>
      <c r="I123" s="15" t="inlineStr">
        <is>
          <t>FULL SG amount — no residual</t>
        </is>
      </c>
      <c r="J123" s="14" t="inlineStr">
        <is>
          <t>POST</t>
        </is>
      </c>
      <c r="K123" s="25">
        <f>IF(OR($E123="—",LEFT($E123,1)="("),"n/a",IF(COUNTIF(Balance_Taxonomy!$B$5:$B$400,$E123)&gt;0,"OK","UNKNOWN TYPE"))</f>
        <v/>
      </c>
      <c r="L123" s="25">
        <f>IF(COUNTIF(Amount_Basis!$A$5:$A$100,$H123)&gt;0,"OK","UNKNOWN CODE")</f>
        <v/>
      </c>
      <c r="M123" s="25">
        <f>IF($F123="DERIVED_FROM_SIGN",IF($G123="runtime","OK","INVALID - must be runtime"),IF(OR($J123="POST",$J123="MEMO_ONLY"),IF(OR($G123="Dr",$G123="Cr"),"OK","INVALID - must derive"),IF(OR($G123="n/a",$G123="runtime"),"OK","INVALID - must be n/a")))</f>
        <v/>
      </c>
      <c r="N123" s="25">
        <f t="array" ref="N123">IF($J123="MIRROR",IF($F123="MIRRORED","OK","INVALID - MIRROR needs MIRRORED"),IF(IFERROR(INDEX(Amount_Basis!$D$5:$D$100,MATCH($H123,Amount_Basis!$A$5:$A$100,0)),"")="SIGNED",IF($F123="DERIVED_FROM_SIGN","OK","INVALID - SIGNED basis needs DERIVED_FROM_SIGN"),IF(OR($F123="INCREASE",$F123="DECREASE",$F123="—"),"OK","INVALID - static direction required")))</f>
        <v/>
      </c>
      <c r="O123" s="14" t="inlineStr">
        <is>
          <t>§4.4</t>
        </is>
      </c>
    </row>
    <row r="124" ht="15" customHeight="1" s="40">
      <c r="A124" s="14" t="inlineStr">
        <is>
          <t>Import</t>
        </is>
      </c>
      <c r="B124" s="14" t="inlineStr">
        <is>
          <t>SG_RELEASE</t>
        </is>
      </c>
      <c r="C124" s="14" t="inlineStr">
        <is>
          <t>RELEASE_ECL</t>
        </is>
      </c>
      <c r="D124" s="14" t="n">
        <v>2</v>
      </c>
      <c r="E124" s="15" t="inlineStr">
        <is>
          <t>PROVISION_OFFBS</t>
        </is>
      </c>
      <c r="F124" s="14" t="inlineStr">
        <is>
          <t>DECREASE</t>
        </is>
      </c>
      <c r="G124" s="25">
        <f t="array" ref="G124">IF(OR($F124="DERIVED_FROM_SIGN",$F124="MIRRORED"),"runtime",IFERROR(IF(INDEX(Balance_Taxonomy!$C$5:$C$400,MATCH($E124,Balance_Taxonomy!$B$5:$B$400,0))="Dr",IF($F124="INCREASE","Dr","Cr"),IF($F124="INCREASE","Cr","Dr")),"n/a"))</f>
        <v/>
      </c>
      <c r="H124" s="14" t="inlineStr">
        <is>
          <t>ECL_RELEASED</t>
        </is>
      </c>
      <c r="I124" s="15" t="inlineStr">
        <is>
          <t>SG ECL</t>
        </is>
      </c>
      <c r="J124" s="14" t="inlineStr">
        <is>
          <t>POST</t>
        </is>
      </c>
      <c r="K124" s="25">
        <f>IF(OR($E124="—",LEFT($E124,1)="("),"n/a",IF(COUNTIF(Balance_Taxonomy!$B$5:$B$400,$E124)&gt;0,"OK","UNKNOWN TYPE"))</f>
        <v/>
      </c>
      <c r="L124" s="25">
        <f>IF(COUNTIF(Amount_Basis!$A$5:$A$100,$H124)&gt;0,"OK","UNKNOWN CODE")</f>
        <v/>
      </c>
      <c r="M124" s="25">
        <f>IF($F124="DERIVED_FROM_SIGN",IF($G124="runtime","OK","INVALID - must be runtime"),IF(OR($J124="POST",$J124="MEMO_ONLY"),IF(OR($G124="Dr",$G124="Cr"),"OK","INVALID - must derive"),IF(OR($G124="n/a",$G124="runtime"),"OK","INVALID - must be n/a")))</f>
        <v/>
      </c>
      <c r="N124" s="25">
        <f t="array" ref="N124">IF($J124="MIRROR",IF($F124="MIRRORED","OK","INVALID - MIRROR needs MIRRORED"),IF(IFERROR(INDEX(Amount_Basis!$D$5:$D$100,MATCH($H124,Amount_Basis!$A$5:$A$100,0)),"")="SIGNED",IF($F124="DERIVED_FROM_SIGN","OK","INVALID - SIGNED basis needs DERIVED_FROM_SIGN"),IF(OR($F124="INCREASE",$F124="DECREASE",$F124="—"),"OK","INVALID - static direction required")))</f>
        <v/>
      </c>
      <c r="O124" s="14" t="inlineStr">
        <is>
          <t>§4.4</t>
        </is>
      </c>
    </row>
    <row r="125" ht="15" customHeight="1" s="40">
      <c r="A125" s="14" t="inlineStr">
        <is>
          <t>Import</t>
        </is>
      </c>
      <c r="B125" s="14" t="inlineStr">
        <is>
          <t>SG_RELEASE</t>
        </is>
      </c>
      <c r="C125" s="14" t="inlineStr">
        <is>
          <t>RELEASE_ECL</t>
        </is>
      </c>
      <c r="D125" s="14" t="n">
        <v>2</v>
      </c>
      <c r="E125" s="15" t="inlineStr">
        <is>
          <t>IMPAIRMENT_CHARGE_OFFBS</t>
        </is>
      </c>
      <c r="F125" s="14" t="inlineStr">
        <is>
          <t>DECREASE</t>
        </is>
      </c>
      <c r="G125" s="25">
        <f t="array" ref="G125">IF(OR($F125="DERIVED_FROM_SIGN",$F125="MIRRORED"),"runtime",IFERROR(IF(INDEX(Balance_Taxonomy!$C$5:$C$400,MATCH($E125,Balance_Taxonomy!$B$5:$B$400,0))="Dr",IF($F125="INCREASE","Dr","Cr"),IF($F125="INCREASE","Cr","Dr")),"n/a"))</f>
        <v/>
      </c>
      <c r="H125" s="14" t="inlineStr">
        <is>
          <t>ECL_RELEASED</t>
        </is>
      </c>
      <c r="I125" s="15" t="inlineStr">
        <is>
          <t>SG ECL</t>
        </is>
      </c>
      <c r="J125" s="14" t="inlineStr">
        <is>
          <t>POST</t>
        </is>
      </c>
      <c r="K125" s="25">
        <f>IF(OR($E125="—",LEFT($E125,1)="("),"n/a",IF(COUNTIF(Balance_Taxonomy!$B$5:$B$400,$E125)&gt;0,"OK","UNKNOWN TYPE"))</f>
        <v/>
      </c>
      <c r="L125" s="25">
        <f>IF(COUNTIF(Amount_Basis!$A$5:$A$100,$H125)&gt;0,"OK","UNKNOWN CODE")</f>
        <v/>
      </c>
      <c r="M125" s="25">
        <f>IF($F125="DERIVED_FROM_SIGN",IF($G125="runtime","OK","INVALID - must be runtime"),IF(OR($J125="POST",$J125="MEMO_ONLY"),IF(OR($G125="Dr",$G125="Cr"),"OK","INVALID - must derive"),IF(OR($G125="n/a",$G125="runtime"),"OK","INVALID - must be n/a")))</f>
        <v/>
      </c>
      <c r="N125" s="25">
        <f t="array" ref="N125">IF($J125="MIRROR",IF($F125="MIRRORED","OK","INVALID - MIRROR needs MIRRORED"),IF(IFERROR(INDEX(Amount_Basis!$D$5:$D$100,MATCH($H125,Amount_Basis!$A$5:$A$100,0)),"")="SIGNED",IF($F125="DERIVED_FROM_SIGN","OK","INVALID - SIGNED basis needs DERIVED_FROM_SIGN"),IF(OR($F125="INCREASE",$F125="DECREASE",$F125="—"),"OK","INVALID - static direction required")))</f>
        <v/>
      </c>
      <c r="O125" s="14" t="inlineStr">
        <is>
          <t>§4.4</t>
        </is>
      </c>
    </row>
    <row r="126" ht="15" customHeight="1" s="40">
      <c r="A126" s="19" t="inlineStr">
        <is>
          <t>Import</t>
        </is>
      </c>
      <c r="B126" s="19" t="inlineStr">
        <is>
          <t>SG_CLAIM</t>
        </is>
      </c>
      <c r="C126" s="19" t="inlineStr">
        <is>
          <t>RELEASE_CONTINGENT</t>
        </is>
      </c>
      <c r="D126" s="19" t="n">
        <v>1</v>
      </c>
      <c r="E126" s="21" t="inlineStr">
        <is>
          <t>SG_OUTSTANDING</t>
        </is>
      </c>
      <c r="F126" s="19" t="inlineStr">
        <is>
          <t>DECREASE</t>
        </is>
      </c>
      <c r="G126" s="29">
        <f t="array" ref="G126">IF(OR($F126="DERIVED_FROM_SIGN",$F126="MIRRORED"),"runtime",IFERROR(IF(INDEX(Balance_Taxonomy!$C$5:$C$400,MATCH($E126,Balance_Taxonomy!$B$5:$B$400,0))="Dr",IF($F126="INCREASE","Dr","Cr"),IF($F126="INCREASE","Cr","Dr")),"n/a"))</f>
        <v/>
      </c>
      <c r="H126" s="19" t="inlineStr">
        <is>
          <t>SG_FULL_OUTSTANDING</t>
        </is>
      </c>
      <c r="I126" s="21" t="inlineStr">
        <is>
          <t>SG amount</t>
        </is>
      </c>
      <c r="J126" s="19" t="inlineStr">
        <is>
          <t>POST</t>
        </is>
      </c>
      <c r="K126" s="29">
        <f>IF(OR($E126="—",LEFT($E126,1)="("),"n/a",IF(COUNTIF(Balance_Taxonomy!$B$5:$B$400,$E126)&gt;0,"OK","UNKNOWN TYPE"))</f>
        <v/>
      </c>
      <c r="L126" s="29">
        <f>IF(COUNTIF(Amount_Basis!$A$5:$A$100,$H126)&gt;0,"OK","UNKNOWN CODE")</f>
        <v/>
      </c>
      <c r="M126" s="29">
        <f>IF($F126="DERIVED_FROM_SIGN",IF($G126="runtime","OK","INVALID - must be runtime"),IF(OR($J126="POST",$J126="MEMO_ONLY"),IF(OR($G126="Dr",$G126="Cr"),"OK","INVALID - must derive"),IF(OR($G126="n/a",$G126="runtime"),"OK","INVALID - must be n/a")))</f>
        <v/>
      </c>
      <c r="N126" s="29">
        <f t="array" ref="N126">IF($J126="MIRROR",IF($F126="MIRRORED","OK","INVALID - MIRROR needs MIRRORED"),IF(IFERROR(INDEX(Amount_Basis!$D$5:$D$100,MATCH($H126,Amount_Basis!$A$5:$A$100,0)),"")="SIGNED",IF($F126="DERIVED_FROM_SIGN","OK","INVALID - SIGNED basis needs DERIVED_FROM_SIGN"),IF(OR($F126="INCREASE",$F126="DECREASE",$F126="—"),"OK","INVALID - static direction required")))</f>
        <v/>
      </c>
      <c r="O126" s="19" t="inlineStr">
        <is>
          <t>§4.4</t>
        </is>
      </c>
    </row>
    <row r="127" ht="15" customHeight="1" s="40">
      <c r="A127" s="19" t="inlineStr">
        <is>
          <t>Import</t>
        </is>
      </c>
      <c r="B127" s="19" t="inlineStr">
        <is>
          <t>SG_CLAIM</t>
        </is>
      </c>
      <c r="C127" s="19" t="inlineStr">
        <is>
          <t>RELEASE_CONTINGENT</t>
        </is>
      </c>
      <c r="D127" s="19" t="n">
        <v>1</v>
      </c>
      <c r="E127" s="21" t="inlineStr">
        <is>
          <t>SG_CUSTOMER_LIABILITY</t>
        </is>
      </c>
      <c r="F127" s="19" t="inlineStr">
        <is>
          <t>DECREASE</t>
        </is>
      </c>
      <c r="G127" s="29">
        <f t="array" ref="G127">IF(OR($F127="DERIVED_FROM_SIGN",$F127="MIRRORED"),"runtime",IFERROR(IF(INDEX(Balance_Taxonomy!$C$5:$C$400,MATCH($E127,Balance_Taxonomy!$B$5:$B$400,0))="Dr",IF($F127="INCREASE","Dr","Cr"),IF($F127="INCREASE","Cr","Dr")),"n/a"))</f>
        <v/>
      </c>
      <c r="H127" s="19" t="inlineStr">
        <is>
          <t>SG_FULL_OUTSTANDING</t>
        </is>
      </c>
      <c r="I127" s="21" t="inlineStr">
        <is>
          <t>SG amount</t>
        </is>
      </c>
      <c r="J127" s="19" t="inlineStr">
        <is>
          <t>POST</t>
        </is>
      </c>
      <c r="K127" s="29">
        <f>IF(OR($E127="—",LEFT($E127,1)="("),"n/a",IF(COUNTIF(Balance_Taxonomy!$B$5:$B$400,$E127)&gt;0,"OK","UNKNOWN TYPE"))</f>
        <v/>
      </c>
      <c r="L127" s="29">
        <f>IF(COUNTIF(Amount_Basis!$A$5:$A$100,$H127)&gt;0,"OK","UNKNOWN CODE")</f>
        <v/>
      </c>
      <c r="M127" s="29">
        <f>IF($F127="DERIVED_FROM_SIGN",IF($G127="runtime","OK","INVALID - must be runtime"),IF(OR($J127="POST",$J127="MEMO_ONLY"),IF(OR($G127="Dr",$G127="Cr"),"OK","INVALID - must derive"),IF(OR($G127="n/a",$G127="runtime"),"OK","INVALID - must be n/a")))</f>
        <v/>
      </c>
      <c r="N127" s="29">
        <f t="array" ref="N127">IF($J127="MIRROR",IF($F127="MIRRORED","OK","INVALID - MIRROR needs MIRRORED"),IF(IFERROR(INDEX(Amount_Basis!$D$5:$D$100,MATCH($H127,Amount_Basis!$A$5:$A$100,0)),"")="SIGNED",IF($F127="DERIVED_FROM_SIGN","OK","INVALID - SIGNED basis needs DERIVED_FROM_SIGN"),IF(OR($F127="INCREASE",$F127="DECREASE",$F127="—"),"OK","INVALID - static direction required")))</f>
        <v/>
      </c>
      <c r="O127" s="19" t="inlineStr">
        <is>
          <t>§4.4</t>
        </is>
      </c>
    </row>
    <row r="128" ht="15" customHeight="1" s="40">
      <c r="A128" s="19" t="inlineStr">
        <is>
          <t>Import</t>
        </is>
      </c>
      <c r="B128" s="19" t="inlineStr">
        <is>
          <t>SG_CLAIM</t>
        </is>
      </c>
      <c r="C128" s="19" t="inlineStr">
        <is>
          <t>PAY_CARRIER</t>
        </is>
      </c>
      <c r="D128" s="19" t="n">
        <v>2</v>
      </c>
      <c r="E128" s="21" t="inlineStr">
        <is>
          <t>SG_CLAIM_RECEIVABLE</t>
        </is>
      </c>
      <c r="F128" s="19" t="inlineStr">
        <is>
          <t>INCREASE</t>
        </is>
      </c>
      <c r="G128" s="29">
        <f t="array" ref="G128">IF(OR($F128="DERIVED_FROM_SIGN",$F128="MIRRORED"),"runtime",IFERROR(IF(INDEX(Balance_Taxonomy!$C$5:$C$400,MATCH($E128,Balance_Taxonomy!$B$5:$B$400,0))="Dr",IF($F128="INCREASE","Dr","Cr"),IF($F128="INCREASE","Cr","Dr")),"n/a"))</f>
        <v/>
      </c>
      <c r="H128" s="19" t="inlineStr">
        <is>
          <t>CLAIM_AMOUNT</t>
        </is>
      </c>
      <c r="I128" s="21" t="inlineStr">
        <is>
          <t>claim — may exceed notional</t>
        </is>
      </c>
      <c r="J128" s="19" t="inlineStr">
        <is>
          <t>POST</t>
        </is>
      </c>
      <c r="K128" s="29">
        <f>IF(OR($E128="—",LEFT($E128,1)="("),"n/a",IF(COUNTIF(Balance_Taxonomy!$B$5:$B$400,$E128)&gt;0,"OK","UNKNOWN TYPE"))</f>
        <v/>
      </c>
      <c r="L128" s="29">
        <f>IF(COUNTIF(Amount_Basis!$A$5:$A$100,$H128)&gt;0,"OK","UNKNOWN CODE")</f>
        <v/>
      </c>
      <c r="M128" s="29">
        <f>IF($F128="DERIVED_FROM_SIGN",IF($G128="runtime","OK","INVALID - must be runtime"),IF(OR($J128="POST",$J128="MEMO_ONLY"),IF(OR($G128="Dr",$G128="Cr"),"OK","INVALID - must derive"),IF(OR($G128="n/a",$G128="runtime"),"OK","INVALID - must be n/a")))</f>
        <v/>
      </c>
      <c r="N128" s="29">
        <f t="array" ref="N128">IF($J128="MIRROR",IF($F128="MIRRORED","OK","INVALID - MIRROR needs MIRRORED"),IF(IFERROR(INDEX(Amount_Basis!$D$5:$D$100,MATCH($H128,Amount_Basis!$A$5:$A$100,0)),"")="SIGNED",IF($F128="DERIVED_FROM_SIGN","OK","INVALID - SIGNED basis needs DERIVED_FROM_SIGN"),IF(OR($F128="INCREASE",$F128="DECREASE",$F128="—"),"OK","INVALID - static direction required")))</f>
        <v/>
      </c>
      <c r="O128" s="19" t="inlineStr">
        <is>
          <t>§4.4</t>
        </is>
      </c>
    </row>
    <row r="129" ht="15" customHeight="1" s="40">
      <c r="A129" s="19" t="inlineStr">
        <is>
          <t>Import</t>
        </is>
      </c>
      <c r="B129" s="19" t="inlineStr">
        <is>
          <t>SG_CLAIM</t>
        </is>
      </c>
      <c r="C129" s="19" t="inlineStr">
        <is>
          <t>PAY_CARRIER</t>
        </is>
      </c>
      <c r="D129" s="19" t="n">
        <v>2</v>
      </c>
      <c r="E129" s="21" t="inlineStr">
        <is>
          <t>NOSTRO</t>
        </is>
      </c>
      <c r="F129" s="19" t="inlineStr">
        <is>
          <t>DECREASE</t>
        </is>
      </c>
      <c r="G129" s="29">
        <f t="array" ref="G129">IF(OR($F129="DERIVED_FROM_SIGN",$F129="MIRRORED"),"runtime",IFERROR(IF(INDEX(Balance_Taxonomy!$C$5:$C$400,MATCH($E129,Balance_Taxonomy!$B$5:$B$400,0))="Dr",IF($F129="INCREASE","Dr","Cr"),IF($F129="INCREASE","Cr","Dr")),"n/a"))</f>
        <v/>
      </c>
      <c r="H129" s="19" t="inlineStr">
        <is>
          <t>CLAIM_AMOUNT</t>
        </is>
      </c>
      <c r="I129" s="21" t="inlineStr">
        <is>
          <t>claim</t>
        </is>
      </c>
      <c r="J129" s="19" t="inlineStr">
        <is>
          <t>POST</t>
        </is>
      </c>
      <c r="K129" s="29">
        <f>IF(OR($E129="—",LEFT($E129,1)="("),"n/a",IF(COUNTIF(Balance_Taxonomy!$B$5:$B$400,$E129)&gt;0,"OK","UNKNOWN TYPE"))</f>
        <v/>
      </c>
      <c r="L129" s="29">
        <f>IF(COUNTIF(Amount_Basis!$A$5:$A$100,$H129)&gt;0,"OK","UNKNOWN CODE")</f>
        <v/>
      </c>
      <c r="M129" s="29">
        <f>IF($F129="DERIVED_FROM_SIGN",IF($G129="runtime","OK","INVALID - must be runtime"),IF(OR($J129="POST",$J129="MEMO_ONLY"),IF(OR($G129="Dr",$G129="Cr"),"OK","INVALID - must derive"),IF(OR($G129="n/a",$G129="runtime"),"OK","INVALID - must be n/a")))</f>
        <v/>
      </c>
      <c r="N129" s="29">
        <f t="array" ref="N129">IF($J129="MIRROR",IF($F129="MIRRORED","OK","INVALID - MIRROR needs MIRRORED"),IF(IFERROR(INDEX(Amount_Basis!$D$5:$D$100,MATCH($H129,Amount_Basis!$A$5:$A$100,0)),"")="SIGNED",IF($F129="DERIVED_FROM_SIGN","OK","INVALID - SIGNED basis needs DERIVED_FROM_SIGN"),IF(OR($F129="INCREASE",$F129="DECREASE",$F129="—"),"OK","INVALID - static direction required")))</f>
        <v/>
      </c>
      <c r="O129" s="19" t="inlineStr">
        <is>
          <t>§4.4</t>
        </is>
      </c>
    </row>
    <row r="130" ht="15" customHeight="1" s="40">
      <c r="A130" s="14" t="inlineStr">
        <is>
          <t>Import</t>
        </is>
      </c>
      <c r="B130" s="14" t="inlineStr">
        <is>
          <t>AWB_RELEASE</t>
        </is>
      </c>
      <c r="C130" s="14" t="inlineStr">
        <is>
          <t>RAISE_CONTINGENT</t>
        </is>
      </c>
      <c r="D130" s="14" t="n">
        <v>1</v>
      </c>
      <c r="E130" s="15" t="inlineStr">
        <is>
          <t>AWB_CUSTOMER_LIABILITY</t>
        </is>
      </c>
      <c r="F130" s="14" t="inlineStr">
        <is>
          <t>INCREASE</t>
        </is>
      </c>
      <c r="G130" s="25">
        <f t="array" ref="G130">IF(OR($F130="DERIVED_FROM_SIGN",$F130="MIRRORED"),"runtime",IFERROR(IF(INDEX(Balance_Taxonomy!$C$5:$C$400,MATCH($E130,Balance_Taxonomy!$B$5:$B$400,0))="Dr",IF($F130="INCREASE","Dr","Cr"),IF($F130="INCREASE","Cr","Dr")),"n/a"))</f>
        <v/>
      </c>
      <c r="H130" s="14" t="inlineStr">
        <is>
          <t>POLICY_NOTIONAL</t>
        </is>
      </c>
      <c r="I130" s="15" t="inlineStr">
        <is>
          <t>policy notional</t>
        </is>
      </c>
      <c r="J130" s="14" t="inlineStr">
        <is>
          <t>POST</t>
        </is>
      </c>
      <c r="K130" s="25">
        <f>IF(OR($E130="—",LEFT($E130,1)="("),"n/a",IF(COUNTIF(Balance_Taxonomy!$B$5:$B$400,$E130)&gt;0,"OK","UNKNOWN TYPE"))</f>
        <v/>
      </c>
      <c r="L130" s="25">
        <f>IF(COUNTIF(Amount_Basis!$A$5:$A$100,$H130)&gt;0,"OK","UNKNOWN CODE")</f>
        <v/>
      </c>
      <c r="M130" s="25">
        <f>IF($F130="DERIVED_FROM_SIGN",IF($G130="runtime","OK","INVALID - must be runtime"),IF(OR($J130="POST",$J130="MEMO_ONLY"),IF(OR($G130="Dr",$G130="Cr"),"OK","INVALID - must derive"),IF(OR($G130="n/a",$G130="runtime"),"OK","INVALID - must be n/a")))</f>
        <v/>
      </c>
      <c r="N130" s="25">
        <f t="array" ref="N130">IF($J130="MIRROR",IF($F130="MIRRORED","OK","INVALID - MIRROR needs MIRRORED"),IF(IFERROR(INDEX(Amount_Basis!$D$5:$D$100,MATCH($H130,Amount_Basis!$A$5:$A$100,0)),"")="SIGNED",IF($F130="DERIVED_FROM_SIGN","OK","INVALID - SIGNED basis needs DERIVED_FROM_SIGN"),IF(OR($F130="INCREASE",$F130="DECREASE",$F130="—"),"OK","INVALID - static direction required")))</f>
        <v/>
      </c>
      <c r="O130" s="14" t="inlineStr">
        <is>
          <t>§11</t>
        </is>
      </c>
    </row>
    <row r="131" ht="15" customHeight="1" s="40">
      <c r="A131" s="14" t="inlineStr">
        <is>
          <t>Import</t>
        </is>
      </c>
      <c r="B131" s="14" t="inlineStr">
        <is>
          <t>AWB_RELEASE</t>
        </is>
      </c>
      <c r="C131" s="14" t="inlineStr">
        <is>
          <t>RAISE_CONTINGENT</t>
        </is>
      </c>
      <c r="D131" s="14" t="n">
        <v>1</v>
      </c>
      <c r="E131" s="15" t="inlineStr">
        <is>
          <t>AWB_OUTSTANDING</t>
        </is>
      </c>
      <c r="F131" s="14" t="inlineStr">
        <is>
          <t>INCREASE</t>
        </is>
      </c>
      <c r="G131" s="25">
        <f t="array" ref="G131">IF(OR($F131="DERIVED_FROM_SIGN",$F131="MIRRORED"),"runtime",IFERROR(IF(INDEX(Balance_Taxonomy!$C$5:$C$400,MATCH($E131,Balance_Taxonomy!$B$5:$B$400,0))="Dr",IF($F131="INCREASE","Dr","Cr"),IF($F131="INCREASE","Cr","Dr")),"n/a"))</f>
        <v/>
      </c>
      <c r="H131" s="14" t="inlineStr">
        <is>
          <t>POLICY_NOTIONAL</t>
        </is>
      </c>
      <c r="I131" s="15" t="inlineStr">
        <is>
          <t>policy notional</t>
        </is>
      </c>
      <c r="J131" s="14" t="inlineStr">
        <is>
          <t>POST</t>
        </is>
      </c>
      <c r="K131" s="25">
        <f>IF(OR($E131="—",LEFT($E131,1)="("),"n/a",IF(COUNTIF(Balance_Taxonomy!$B$5:$B$400,$E131)&gt;0,"OK","UNKNOWN TYPE"))</f>
        <v/>
      </c>
      <c r="L131" s="25">
        <f>IF(COUNTIF(Amount_Basis!$A$5:$A$100,$H131)&gt;0,"OK","UNKNOWN CODE")</f>
        <v/>
      </c>
      <c r="M131" s="25">
        <f>IF($F131="DERIVED_FROM_SIGN",IF($G131="runtime","OK","INVALID - must be runtime"),IF(OR($J131="POST",$J131="MEMO_ONLY"),IF(OR($G131="Dr",$G131="Cr"),"OK","INVALID - must derive"),IF(OR($G131="n/a",$G131="runtime"),"OK","INVALID - must be n/a")))</f>
        <v/>
      </c>
      <c r="N131" s="25">
        <f t="array" ref="N131">IF($J131="MIRROR",IF($F131="MIRRORED","OK","INVALID - MIRROR needs MIRRORED"),IF(IFERROR(INDEX(Amount_Basis!$D$5:$D$100,MATCH($H131,Amount_Basis!$A$5:$A$100,0)),"")="SIGNED",IF($F131="DERIVED_FROM_SIGN","OK","INVALID - SIGNED basis needs DERIVED_FROM_SIGN"),IF(OR($F131="INCREASE",$F131="DECREASE",$F131="—"),"OK","INVALID - static direction required")))</f>
        <v/>
      </c>
      <c r="O131" s="14" t="inlineStr">
        <is>
          <t>§11</t>
        </is>
      </c>
    </row>
    <row r="132" ht="15" customHeight="1" s="40">
      <c r="A132" s="19" t="inlineStr">
        <is>
          <t>Import</t>
        </is>
      </c>
      <c r="B132" s="19" t="inlineStr">
        <is>
          <t>AWB_DISCHARGE</t>
        </is>
      </c>
      <c r="C132" s="19" t="inlineStr">
        <is>
          <t>RELEASE_CONTINGENT</t>
        </is>
      </c>
      <c r="D132" s="19" t="n">
        <v>1</v>
      </c>
      <c r="E132" s="21" t="inlineStr">
        <is>
          <t>AWB_OUTSTANDING</t>
        </is>
      </c>
      <c r="F132" s="19" t="inlineStr">
        <is>
          <t>DECREASE</t>
        </is>
      </c>
      <c r="G132" s="29">
        <f t="array" ref="G132">IF(OR($F132="DERIVED_FROM_SIGN",$F132="MIRRORED"),"runtime",IFERROR(IF(INDEX(Balance_Taxonomy!$C$5:$C$400,MATCH($E132,Balance_Taxonomy!$B$5:$B$400,0))="Dr",IF($F132="INCREASE","Dr","Cr"),IF($F132="INCREASE","Cr","Dr")),"n/a"))</f>
        <v/>
      </c>
      <c r="H132" s="19" t="inlineStr">
        <is>
          <t>AWB_FULL_OUTSTANDING</t>
        </is>
      </c>
      <c r="I132" s="21" t="inlineStr">
        <is>
          <t>FULL — never via SG_RELEASE</t>
        </is>
      </c>
      <c r="J132" s="19" t="inlineStr">
        <is>
          <t>POST</t>
        </is>
      </c>
      <c r="K132" s="29">
        <f>IF(OR($E132="—",LEFT($E132,1)="("),"n/a",IF(COUNTIF(Balance_Taxonomy!$B$5:$B$400,$E132)&gt;0,"OK","UNKNOWN TYPE"))</f>
        <v/>
      </c>
      <c r="L132" s="29">
        <f>IF(COUNTIF(Amount_Basis!$A$5:$A$100,$H132)&gt;0,"OK","UNKNOWN CODE")</f>
        <v/>
      </c>
      <c r="M132" s="29">
        <f>IF($F132="DERIVED_FROM_SIGN",IF($G132="runtime","OK","INVALID - must be runtime"),IF(OR($J132="POST",$J132="MEMO_ONLY"),IF(OR($G132="Dr",$G132="Cr"),"OK","INVALID - must derive"),IF(OR($G132="n/a",$G132="runtime"),"OK","INVALID - must be n/a")))</f>
        <v/>
      </c>
      <c r="N132" s="29">
        <f t="array" ref="N132">IF($J132="MIRROR",IF($F132="MIRRORED","OK","INVALID - MIRROR needs MIRRORED"),IF(IFERROR(INDEX(Amount_Basis!$D$5:$D$100,MATCH($H132,Amount_Basis!$A$5:$A$100,0)),"")="SIGNED",IF($F132="DERIVED_FROM_SIGN","OK","INVALID - SIGNED basis needs DERIVED_FROM_SIGN"),IF(OR($F132="INCREASE",$F132="DECREASE",$F132="—"),"OK","INVALID - static direction required")))</f>
        <v/>
      </c>
      <c r="O132" s="19" t="inlineStr">
        <is>
          <t>§11</t>
        </is>
      </c>
    </row>
    <row r="133" ht="15" customHeight="1" s="40">
      <c r="A133" s="19" t="inlineStr">
        <is>
          <t>Import</t>
        </is>
      </c>
      <c r="B133" s="19" t="inlineStr">
        <is>
          <t>AWB_DISCHARGE</t>
        </is>
      </c>
      <c r="C133" s="19" t="inlineStr">
        <is>
          <t>RELEASE_CONTINGENT</t>
        </is>
      </c>
      <c r="D133" s="19" t="n">
        <v>1</v>
      </c>
      <c r="E133" s="21" t="inlineStr">
        <is>
          <t>AWB_CUSTOMER_LIABILITY</t>
        </is>
      </c>
      <c r="F133" s="19" t="inlineStr">
        <is>
          <t>DECREASE</t>
        </is>
      </c>
      <c r="G133" s="29">
        <f t="array" ref="G133">IF(OR($F133="DERIVED_FROM_SIGN",$F133="MIRRORED"),"runtime",IFERROR(IF(INDEX(Balance_Taxonomy!$C$5:$C$400,MATCH($E133,Balance_Taxonomy!$B$5:$B$400,0))="Dr",IF($F133="INCREASE","Dr","Cr"),IF($F133="INCREASE","Cr","Dr")),"n/a"))</f>
        <v/>
      </c>
      <c r="H133" s="19" t="inlineStr">
        <is>
          <t>AWB_FULL_OUTSTANDING</t>
        </is>
      </c>
      <c r="I133" s="21" t="inlineStr">
        <is>
          <t>FULL — never via SG_RELEASE</t>
        </is>
      </c>
      <c r="J133" s="19" t="inlineStr">
        <is>
          <t>POST</t>
        </is>
      </c>
      <c r="K133" s="29">
        <f>IF(OR($E133="—",LEFT($E133,1)="("),"n/a",IF(COUNTIF(Balance_Taxonomy!$B$5:$B$400,$E133)&gt;0,"OK","UNKNOWN TYPE"))</f>
        <v/>
      </c>
      <c r="L133" s="29">
        <f>IF(COUNTIF(Amount_Basis!$A$5:$A$100,$H133)&gt;0,"OK","UNKNOWN CODE")</f>
        <v/>
      </c>
      <c r="M133" s="29">
        <f>IF($F133="DERIVED_FROM_SIGN",IF($G133="runtime","OK","INVALID - must be runtime"),IF(OR($J133="POST",$J133="MEMO_ONLY"),IF(OR($G133="Dr",$G133="Cr"),"OK","INVALID - must derive"),IF(OR($G133="n/a",$G133="runtime"),"OK","INVALID - must be n/a")))</f>
        <v/>
      </c>
      <c r="N133" s="29">
        <f t="array" ref="N133">IF($J133="MIRROR",IF($F133="MIRRORED","OK","INVALID - MIRROR needs MIRRORED"),IF(IFERROR(INDEX(Amount_Basis!$D$5:$D$100,MATCH($H133,Amount_Basis!$A$5:$A$100,0)),"")="SIGNED",IF($F133="DERIVED_FROM_SIGN","OK","INVALID - SIGNED basis needs DERIVED_FROM_SIGN"),IF(OR($F133="INCREASE",$F133="DECREASE",$F133="—"),"OK","INVALID - static direction required")))</f>
        <v/>
      </c>
      <c r="O133" s="19" t="inlineStr">
        <is>
          <t>§11</t>
        </is>
      </c>
    </row>
    <row r="134" ht="15" customHeight="1" s="40">
      <c r="A134" s="14" t="inlineStr">
        <is>
          <t>Export</t>
        </is>
      </c>
      <c r="B134" s="14" t="inlineStr">
        <is>
          <t>EX_ADVISE</t>
        </is>
      </c>
      <c r="C134" s="14" t="inlineStr">
        <is>
          <t>—</t>
        </is>
      </c>
      <c r="D134" s="14" t="n">
        <v>1</v>
      </c>
      <c r="E134" s="15" t="inlineStr">
        <is>
          <t>—</t>
        </is>
      </c>
      <c r="F134" s="14" t="inlineStr">
        <is>
          <t>—</t>
        </is>
      </c>
      <c r="G134" s="25">
        <f t="array" ref="G134">IF(OR($F134="DERIVED_FROM_SIGN",$F134="MIRRORED"),"runtime",IFERROR(IF(INDEX(Balance_Taxonomy!$C$5:$C$400,MATCH($E134,Balance_Taxonomy!$B$5:$B$400,0))="Dr",IF($F134="INCREASE","Dr","Cr"),IF($F134="INCREASE","Cr","Dr")),"n/a"))</f>
        <v/>
      </c>
      <c r="H134" s="14" t="inlineStr">
        <is>
          <t>ZERO</t>
        </is>
      </c>
      <c r="I134" s="15" t="inlineStr">
        <is>
          <t>0</t>
        </is>
      </c>
      <c r="J134" s="14" t="inlineStr">
        <is>
          <t>NO_BALANCE_EFFECT</t>
        </is>
      </c>
      <c r="K134" s="25">
        <f>IF(OR($E134="—",LEFT($E134,1)="("),"n/a",IF(COUNTIF(Balance_Taxonomy!$B$5:$B$400,$E134)&gt;0,"OK","UNKNOWN TYPE"))</f>
        <v/>
      </c>
      <c r="L134" s="25">
        <f>IF(COUNTIF(Amount_Basis!$A$5:$A$100,$H134)&gt;0,"OK","UNKNOWN CODE")</f>
        <v/>
      </c>
      <c r="M134" s="25">
        <f>IF($F134="DERIVED_FROM_SIGN",IF($G134="runtime","OK","INVALID - must be runtime"),IF(OR($J134="POST",$J134="MEMO_ONLY"),IF(OR($G134="Dr",$G134="Cr"),"OK","INVALID - must derive"),IF(OR($G134="n/a",$G134="runtime"),"OK","INVALID - must be n/a")))</f>
        <v/>
      </c>
      <c r="N134" s="25">
        <f t="array" ref="N134">IF($J134="MIRROR",IF($F134="MIRRORED","OK","INVALID - MIRROR needs MIRRORED"),IF(IFERROR(INDEX(Amount_Basis!$D$5:$D$100,MATCH($H134,Amount_Basis!$A$5:$A$100,0)),"")="SIGNED",IF($F134="DERIVED_FROM_SIGN","OK","INVALID - SIGNED basis needs DERIVED_FROM_SIGN"),IF(OR($F134="INCREASE",$F134="DECREASE",$F134="—"),"OK","INVALID - static direction required")))</f>
        <v/>
      </c>
      <c r="O134" s="14" t="inlineStr">
        <is>
          <t>§6</t>
        </is>
      </c>
    </row>
    <row r="135" ht="15" customHeight="1" s="40">
      <c r="A135" s="19" t="inlineStr">
        <is>
          <t>Export</t>
        </is>
      </c>
      <c r="B135" s="19" t="inlineStr">
        <is>
          <t>CNF_ADD</t>
        </is>
      </c>
      <c r="C135" s="19" t="inlineStr">
        <is>
          <t>RAISE_CONTINGENT</t>
        </is>
      </c>
      <c r="D135" s="19" t="n">
        <v>1</v>
      </c>
      <c r="E135" s="21" t="inlineStr">
        <is>
          <t>CONFIRMATION_EXPOSURE</t>
        </is>
      </c>
      <c r="F135" s="19" t="inlineStr">
        <is>
          <t>INCREASE</t>
        </is>
      </c>
      <c r="G135" s="29">
        <f t="array" ref="G135">IF(OR($F135="DERIVED_FROM_SIGN",$F135="MIRRORED"),"runtime",IFERROR(IF(INDEX(Balance_Taxonomy!$C$5:$C$400,MATCH($E135,Balance_Taxonomy!$B$5:$B$400,0))="Dr",IF($F135="INCREASE","Dr","Cr"),IF($F135="INCREASE","Cr","Dr")),"n/a"))</f>
        <v/>
      </c>
      <c r="H135" s="19" t="inlineStr">
        <is>
          <t>CONFIRMED_AMOUNT</t>
        </is>
      </c>
      <c r="I135" s="21" t="inlineStr">
        <is>
          <t>confirmed_amount</t>
        </is>
      </c>
      <c r="J135" s="19" t="inlineStr">
        <is>
          <t>POST</t>
        </is>
      </c>
      <c r="K135" s="29">
        <f>IF(OR($E135="—",LEFT($E135,1)="("),"n/a",IF(COUNTIF(Balance_Taxonomy!$B$5:$B$400,$E135)&gt;0,"OK","UNKNOWN TYPE"))</f>
        <v/>
      </c>
      <c r="L135" s="29">
        <f>IF(COUNTIF(Amount_Basis!$A$5:$A$100,$H135)&gt;0,"OK","UNKNOWN CODE")</f>
        <v/>
      </c>
      <c r="M135" s="29">
        <f>IF($F135="DERIVED_FROM_SIGN",IF($G135="runtime","OK","INVALID - must be runtime"),IF(OR($J135="POST",$J135="MEMO_ONLY"),IF(OR($G135="Dr",$G135="Cr"),"OK","INVALID - must derive"),IF(OR($G135="n/a",$G135="runtime"),"OK","INVALID - must be n/a")))</f>
        <v/>
      </c>
      <c r="N135" s="29">
        <f t="array" ref="N135">IF($J135="MIRROR",IF($F135="MIRRORED","OK","INVALID - MIRROR needs MIRRORED"),IF(IFERROR(INDEX(Amount_Basis!$D$5:$D$100,MATCH($H135,Amount_Basis!$A$5:$A$100,0)),"")="SIGNED",IF($F135="DERIVED_FROM_SIGN","OK","INVALID - SIGNED basis needs DERIVED_FROM_SIGN"),IF(OR($F135="INCREASE",$F135="DECREASE",$F135="—"),"OK","INVALID - static direction required")))</f>
        <v/>
      </c>
      <c r="O135" s="19" t="inlineStr">
        <is>
          <t>§7.1</t>
        </is>
      </c>
    </row>
    <row r="136" ht="15" customHeight="1" s="40">
      <c r="A136" s="19" t="inlineStr">
        <is>
          <t>Export</t>
        </is>
      </c>
      <c r="B136" s="19" t="inlineStr">
        <is>
          <t>CNF_ADD</t>
        </is>
      </c>
      <c r="C136" s="19" t="inlineStr">
        <is>
          <t>RAISE_CONTINGENT</t>
        </is>
      </c>
      <c r="D136" s="19" t="n">
        <v>1</v>
      </c>
      <c r="E136" s="21" t="inlineStr">
        <is>
          <t>CONFIRMATION_OUTSTANDING</t>
        </is>
      </c>
      <c r="F136" s="19" t="inlineStr">
        <is>
          <t>INCREASE</t>
        </is>
      </c>
      <c r="G136" s="29">
        <f t="array" ref="G136">IF(OR($F136="DERIVED_FROM_SIGN",$F136="MIRRORED"),"runtime",IFERROR(IF(INDEX(Balance_Taxonomy!$C$5:$C$400,MATCH($E136,Balance_Taxonomy!$B$5:$B$400,0))="Dr",IF($F136="INCREASE","Dr","Cr"),IF($F136="INCREASE","Cr","Dr")),"n/a"))</f>
        <v/>
      </c>
      <c r="H136" s="19" t="inlineStr">
        <is>
          <t>CONFIRMED_AMOUNT</t>
        </is>
      </c>
      <c r="I136" s="21" t="inlineStr">
        <is>
          <t>confirmed_amount</t>
        </is>
      </c>
      <c r="J136" s="19" t="inlineStr">
        <is>
          <t>POST</t>
        </is>
      </c>
      <c r="K136" s="29">
        <f>IF(OR($E136="—",LEFT($E136,1)="("),"n/a",IF(COUNTIF(Balance_Taxonomy!$B$5:$B$400,$E136)&gt;0,"OK","UNKNOWN TYPE"))</f>
        <v/>
      </c>
      <c r="L136" s="29">
        <f>IF(COUNTIF(Amount_Basis!$A$5:$A$100,$H136)&gt;0,"OK","UNKNOWN CODE")</f>
        <v/>
      </c>
      <c r="M136" s="29">
        <f>IF($F136="DERIVED_FROM_SIGN",IF($G136="runtime","OK","INVALID - must be runtime"),IF(OR($J136="POST",$J136="MEMO_ONLY"),IF(OR($G136="Dr",$G136="Cr"),"OK","INVALID - must derive"),IF(OR($G136="n/a",$G136="runtime"),"OK","INVALID - must be n/a")))</f>
        <v/>
      </c>
      <c r="N136" s="29">
        <f t="array" ref="N136">IF($J136="MIRROR",IF($F136="MIRRORED","OK","INVALID - MIRROR needs MIRRORED"),IF(IFERROR(INDEX(Amount_Basis!$D$5:$D$100,MATCH($H136,Amount_Basis!$A$5:$A$100,0)),"")="SIGNED",IF($F136="DERIVED_FROM_SIGN","OK","INVALID - SIGNED basis needs DERIVED_FROM_SIGN"),IF(OR($F136="INCREASE",$F136="DECREASE",$F136="—"),"OK","INVALID - static direction required")))</f>
        <v/>
      </c>
      <c r="O136" s="19" t="inlineStr">
        <is>
          <t>§7.1</t>
        </is>
      </c>
    </row>
    <row r="137" ht="15" customHeight="1" s="40">
      <c r="A137" s="19" t="inlineStr">
        <is>
          <t>Export</t>
        </is>
      </c>
      <c r="B137" s="19" t="inlineStr">
        <is>
          <t>CNF_ADD</t>
        </is>
      </c>
      <c r="C137" s="19" t="inlineStr">
        <is>
          <t>DEFER_COMMISSION</t>
        </is>
      </c>
      <c r="D137" s="19" t="n">
        <v>2</v>
      </c>
      <c r="E137" s="21" t="inlineStr">
        <is>
          <t>BENEFICIARY_ACCOUNT</t>
        </is>
      </c>
      <c r="F137" s="19" t="inlineStr">
        <is>
          <t>DECREASE</t>
        </is>
      </c>
      <c r="G137" s="29">
        <f t="array" ref="G137">IF(OR($F137="DERIVED_FROM_SIGN",$F137="MIRRORED"),"runtime",IFERROR(IF(INDEX(Balance_Taxonomy!$C$5:$C$400,MATCH($E137,Balance_Taxonomy!$B$5:$B$400,0))="Dr",IF($F137="INCREASE","Dr","Cr"),IF($F137="INCREASE","Cr","Dr")),"n/a"))</f>
        <v/>
      </c>
      <c r="H137" s="19" t="inlineStr">
        <is>
          <t>COMMISSION_AMOUNT</t>
        </is>
      </c>
      <c r="I137" s="21" t="inlineStr">
        <is>
          <t>confirmation commission</t>
        </is>
      </c>
      <c r="J137" s="19" t="inlineStr">
        <is>
          <t>POST</t>
        </is>
      </c>
      <c r="K137" s="29">
        <f>IF(OR($E137="—",LEFT($E137,1)="("),"n/a",IF(COUNTIF(Balance_Taxonomy!$B$5:$B$400,$E137)&gt;0,"OK","UNKNOWN TYPE"))</f>
        <v/>
      </c>
      <c r="L137" s="29">
        <f>IF(COUNTIF(Amount_Basis!$A$5:$A$100,$H137)&gt;0,"OK","UNKNOWN CODE")</f>
        <v/>
      </c>
      <c r="M137" s="29">
        <f>IF($F137="DERIVED_FROM_SIGN",IF($G137="runtime","OK","INVALID - must be runtime"),IF(OR($J137="POST",$J137="MEMO_ONLY"),IF(OR($G137="Dr",$G137="Cr"),"OK","INVALID - must derive"),IF(OR($G137="n/a",$G137="runtime"),"OK","INVALID - must be n/a")))</f>
        <v/>
      </c>
      <c r="N137" s="29">
        <f t="array" ref="N137">IF($J137="MIRROR",IF($F137="MIRRORED","OK","INVALID - MIRROR needs MIRRORED"),IF(IFERROR(INDEX(Amount_Basis!$D$5:$D$100,MATCH($H137,Amount_Basis!$A$5:$A$100,0)),"")="SIGNED",IF($F137="DERIVED_FROM_SIGN","OK","INVALID - SIGNED basis needs DERIVED_FROM_SIGN"),IF(OR($F137="INCREASE",$F137="DECREASE",$F137="—"),"OK","INVALID - static direction required")))</f>
        <v/>
      </c>
      <c r="O137" s="19" t="inlineStr">
        <is>
          <t>§7.1</t>
        </is>
      </c>
    </row>
    <row r="138" ht="15" customHeight="1" s="40">
      <c r="A138" s="19" t="inlineStr">
        <is>
          <t>Export</t>
        </is>
      </c>
      <c r="B138" s="19" t="inlineStr">
        <is>
          <t>CNF_ADD</t>
        </is>
      </c>
      <c r="C138" s="19" t="inlineStr">
        <is>
          <t>DEFER_COMMISSION</t>
        </is>
      </c>
      <c r="D138" s="19" t="n">
        <v>2</v>
      </c>
      <c r="E138" s="21" t="inlineStr">
        <is>
          <t>UNEARNED_COMMISSION_INCOME</t>
        </is>
      </c>
      <c r="F138" s="19" t="inlineStr">
        <is>
          <t>INCREASE</t>
        </is>
      </c>
      <c r="G138" s="29">
        <f t="array" ref="G138">IF(OR($F138="DERIVED_FROM_SIGN",$F138="MIRRORED"),"runtime",IFERROR(IF(INDEX(Balance_Taxonomy!$C$5:$C$400,MATCH($E138,Balance_Taxonomy!$B$5:$B$400,0))="Dr",IF($F138="INCREASE","Dr","Cr"),IF($F138="INCREASE","Cr","Dr")),"n/a"))</f>
        <v/>
      </c>
      <c r="H138" s="19" t="inlineStr">
        <is>
          <t>COMMISSION_AMOUNT</t>
        </is>
      </c>
      <c r="I138" s="21" t="inlineStr">
        <is>
          <t>confirmation commission</t>
        </is>
      </c>
      <c r="J138" s="19" t="inlineStr">
        <is>
          <t>POST</t>
        </is>
      </c>
      <c r="K138" s="29">
        <f>IF(OR($E138="—",LEFT($E138,1)="("),"n/a",IF(COUNTIF(Balance_Taxonomy!$B$5:$B$400,$E138)&gt;0,"OK","UNKNOWN TYPE"))</f>
        <v/>
      </c>
      <c r="L138" s="29">
        <f>IF(COUNTIF(Amount_Basis!$A$5:$A$100,$H138)&gt;0,"OK","UNKNOWN CODE")</f>
        <v/>
      </c>
      <c r="M138" s="29">
        <f>IF($F138="DERIVED_FROM_SIGN",IF($G138="runtime","OK","INVALID - must be runtime"),IF(OR($J138="POST",$J138="MEMO_ONLY"),IF(OR($G138="Dr",$G138="Cr"),"OK","INVALID - must derive"),IF(OR($G138="n/a",$G138="runtime"),"OK","INVALID - must be n/a")))</f>
        <v/>
      </c>
      <c r="N138" s="29">
        <f t="array" ref="N138">IF($J138="MIRROR",IF($F138="MIRRORED","OK","INVALID - MIRROR needs MIRRORED"),IF(IFERROR(INDEX(Amount_Basis!$D$5:$D$100,MATCH($H138,Amount_Basis!$A$5:$A$100,0)),"")="SIGNED",IF($F138="DERIVED_FROM_SIGN","OK","INVALID - SIGNED basis needs DERIVED_FROM_SIGN"),IF(OR($F138="INCREASE",$F138="DECREASE",$F138="—"),"OK","INVALID - static direction required")))</f>
        <v/>
      </c>
      <c r="O138" s="19" t="inlineStr">
        <is>
          <t>§7.1</t>
        </is>
      </c>
    </row>
    <row r="139" ht="15" customHeight="1" s="40">
      <c r="A139" s="19" t="inlineStr">
        <is>
          <t>Export</t>
        </is>
      </c>
      <c r="B139" s="19" t="inlineStr">
        <is>
          <t>CNF_ADD</t>
        </is>
      </c>
      <c r="C139" s="19" t="inlineStr">
        <is>
          <t>RAISE_ECL</t>
        </is>
      </c>
      <c r="D139" s="19" t="n">
        <v>3</v>
      </c>
      <c r="E139" s="21" t="inlineStr">
        <is>
          <t>IMPAIRMENT_CHARGE_OFFBS</t>
        </is>
      </c>
      <c r="F139" s="19" t="inlineStr">
        <is>
          <t>INCREASE</t>
        </is>
      </c>
      <c r="G139" s="29">
        <f t="array" ref="G139">IF(OR($F139="DERIVED_FROM_SIGN",$F139="MIRRORED"),"runtime",IFERROR(IF(INDEX(Balance_Taxonomy!$C$5:$C$400,MATCH($E139,Balance_Taxonomy!$B$5:$B$400,0))="Dr",IF($F139="INCREASE","Dr","Cr"),IF($F139="INCREASE","Cr","Dr")),"n/a"))</f>
        <v/>
      </c>
      <c r="H139" s="19" t="inlineStr">
        <is>
          <t>ECL_AMOUNT</t>
        </is>
      </c>
      <c r="I139" s="21" t="inlineStr">
        <is>
          <t>ECL — FI + country</t>
        </is>
      </c>
      <c r="J139" s="19" t="inlineStr">
        <is>
          <t>POST</t>
        </is>
      </c>
      <c r="K139" s="29">
        <f>IF(OR($E139="—",LEFT($E139,1)="("),"n/a",IF(COUNTIF(Balance_Taxonomy!$B$5:$B$400,$E139)&gt;0,"OK","UNKNOWN TYPE"))</f>
        <v/>
      </c>
      <c r="L139" s="29">
        <f>IF(COUNTIF(Amount_Basis!$A$5:$A$100,$H139)&gt;0,"OK","UNKNOWN CODE")</f>
        <v/>
      </c>
      <c r="M139" s="29">
        <f>IF($F139="DERIVED_FROM_SIGN",IF($G139="runtime","OK","INVALID - must be runtime"),IF(OR($J139="POST",$J139="MEMO_ONLY"),IF(OR($G139="Dr",$G139="Cr"),"OK","INVALID - must derive"),IF(OR($G139="n/a",$G139="runtime"),"OK","INVALID - must be n/a")))</f>
        <v/>
      </c>
      <c r="N139" s="29">
        <f t="array" ref="N139">IF($J139="MIRROR",IF($F139="MIRRORED","OK","INVALID - MIRROR needs MIRRORED"),IF(IFERROR(INDEX(Amount_Basis!$D$5:$D$100,MATCH($H139,Amount_Basis!$A$5:$A$100,0)),"")="SIGNED",IF($F139="DERIVED_FROM_SIGN","OK","INVALID - SIGNED basis needs DERIVED_FROM_SIGN"),IF(OR($F139="INCREASE",$F139="DECREASE",$F139="—"),"OK","INVALID - static direction required")))</f>
        <v/>
      </c>
      <c r="O139" s="19" t="inlineStr">
        <is>
          <t>§7.1</t>
        </is>
      </c>
    </row>
    <row r="140" ht="15" customHeight="1" s="40">
      <c r="A140" s="19" t="inlineStr">
        <is>
          <t>Export</t>
        </is>
      </c>
      <c r="B140" s="19" t="inlineStr">
        <is>
          <t>CNF_ADD</t>
        </is>
      </c>
      <c r="C140" s="19" t="inlineStr">
        <is>
          <t>RAISE_ECL</t>
        </is>
      </c>
      <c r="D140" s="19" t="n">
        <v>3</v>
      </c>
      <c r="E140" s="21" t="inlineStr">
        <is>
          <t>PROVISION_OFFBS</t>
        </is>
      </c>
      <c r="F140" s="19" t="inlineStr">
        <is>
          <t>INCREASE</t>
        </is>
      </c>
      <c r="G140" s="29">
        <f t="array" ref="G140">IF(OR($F140="DERIVED_FROM_SIGN",$F140="MIRRORED"),"runtime",IFERROR(IF(INDEX(Balance_Taxonomy!$C$5:$C$400,MATCH($E140,Balance_Taxonomy!$B$5:$B$400,0))="Dr",IF($F140="INCREASE","Dr","Cr"),IF($F140="INCREASE","Cr","Dr")),"n/a"))</f>
        <v/>
      </c>
      <c r="H140" s="19" t="inlineStr">
        <is>
          <t>ECL_AMOUNT</t>
        </is>
      </c>
      <c r="I140" s="21" t="inlineStr">
        <is>
          <t>ECL — FI + country</t>
        </is>
      </c>
      <c r="J140" s="19" t="inlineStr">
        <is>
          <t>POST</t>
        </is>
      </c>
      <c r="K140" s="29">
        <f>IF(OR($E140="—",LEFT($E140,1)="("),"n/a",IF(COUNTIF(Balance_Taxonomy!$B$5:$B$400,$E140)&gt;0,"OK","UNKNOWN TYPE"))</f>
        <v/>
      </c>
      <c r="L140" s="29">
        <f>IF(COUNTIF(Amount_Basis!$A$5:$A$100,$H140)&gt;0,"OK","UNKNOWN CODE")</f>
        <v/>
      </c>
      <c r="M140" s="29">
        <f>IF($F140="DERIVED_FROM_SIGN",IF($G140="runtime","OK","INVALID - must be runtime"),IF(OR($J140="POST",$J140="MEMO_ONLY"),IF(OR($G140="Dr",$G140="Cr"),"OK","INVALID - must derive"),IF(OR($G140="n/a",$G140="runtime"),"OK","INVALID - must be n/a")))</f>
        <v/>
      </c>
      <c r="N140" s="29">
        <f t="array" ref="N140">IF($J140="MIRROR",IF($F140="MIRRORED","OK","INVALID - MIRROR needs MIRRORED"),IF(IFERROR(INDEX(Amount_Basis!$D$5:$D$100,MATCH($H140,Amount_Basis!$A$5:$A$100,0)),"")="SIGNED",IF($F140="DERIVED_FROM_SIGN","OK","INVALID - SIGNED basis needs DERIVED_FROM_SIGN"),IF(OR($F140="INCREASE",$F140="DECREASE",$F140="—"),"OK","INVALID - static direction required")))</f>
        <v/>
      </c>
      <c r="O140" s="19" t="inlineStr">
        <is>
          <t>§7.1</t>
        </is>
      </c>
    </row>
    <row r="141" ht="15" customHeight="1" s="40">
      <c r="A141" s="14" t="inlineStr">
        <is>
          <t>Export</t>
        </is>
      </c>
      <c r="B141" s="14" t="inlineStr">
        <is>
          <t>CNF_ADD_SILENT</t>
        </is>
      </c>
      <c r="C141" s="14" t="inlineStr">
        <is>
          <t>RAISE_CONTINGENT</t>
        </is>
      </c>
      <c r="D141" s="14" t="n">
        <v>1</v>
      </c>
      <c r="E141" s="15" t="inlineStr">
        <is>
          <t>CONFIRMATION_EXPOSURE</t>
        </is>
      </c>
      <c r="F141" s="14" t="inlineStr">
        <is>
          <t>INCREASE</t>
        </is>
      </c>
      <c r="G141" s="25">
        <f t="array" ref="G141">IF(OR($F141="DERIVED_FROM_SIGN",$F141="MIRRORED"),"runtime",IFERROR(IF(INDEX(Balance_Taxonomy!$C$5:$C$400,MATCH($E141,Balance_Taxonomy!$B$5:$B$400,0))="Dr",IF($F141="INCREASE","Dr","Cr"),IF($F141="INCREASE","Cr","Dr")),"n/a"))</f>
        <v/>
      </c>
      <c r="H141" s="14" t="inlineStr">
        <is>
          <t>CONFIRMED_AMOUNT</t>
        </is>
      </c>
      <c r="I141" s="15" t="inlineStr">
        <is>
          <t>confirmed_amount</t>
        </is>
      </c>
      <c r="J141" s="14" t="inlineStr">
        <is>
          <t>POST</t>
        </is>
      </c>
      <c r="K141" s="25">
        <f>IF(OR($E141="—",LEFT($E141,1)="("),"n/a",IF(COUNTIF(Balance_Taxonomy!$B$5:$B$400,$E141)&gt;0,"OK","UNKNOWN TYPE"))</f>
        <v/>
      </c>
      <c r="L141" s="25">
        <f>IF(COUNTIF(Amount_Basis!$A$5:$A$100,$H141)&gt;0,"OK","UNKNOWN CODE")</f>
        <v/>
      </c>
      <c r="M141" s="25">
        <f>IF($F141="DERIVED_FROM_SIGN",IF($G141="runtime","OK","INVALID - must be runtime"),IF(OR($J141="POST",$J141="MEMO_ONLY"),IF(OR($G141="Dr",$G141="Cr"),"OK","INVALID - must derive"),IF(OR($G141="n/a",$G141="runtime"),"OK","INVALID - must be n/a")))</f>
        <v/>
      </c>
      <c r="N141" s="25">
        <f t="array" ref="N141">IF($J141="MIRROR",IF($F141="MIRRORED","OK","INVALID - MIRROR needs MIRRORED"),IF(IFERROR(INDEX(Amount_Basis!$D$5:$D$100,MATCH($H141,Amount_Basis!$A$5:$A$100,0)),"")="SIGNED",IF($F141="DERIVED_FROM_SIGN","OK","INVALID - SIGNED basis needs DERIVED_FROM_SIGN"),IF(OR($F141="INCREASE",$F141="DECREASE",$F141="—"),"OK","INVALID - static direction required")))</f>
        <v/>
      </c>
      <c r="O141" s="14" t="inlineStr">
        <is>
          <t>§6</t>
        </is>
      </c>
    </row>
    <row r="142" ht="15" customHeight="1" s="40">
      <c r="A142" s="14" t="inlineStr">
        <is>
          <t>Export</t>
        </is>
      </c>
      <c r="B142" s="14" t="inlineStr">
        <is>
          <t>CNF_ADD_SILENT</t>
        </is>
      </c>
      <c r="C142" s="14" t="inlineStr">
        <is>
          <t>RAISE_CONTINGENT</t>
        </is>
      </c>
      <c r="D142" s="14" t="n">
        <v>1</v>
      </c>
      <c r="E142" s="15" t="inlineStr">
        <is>
          <t>CONFIRMATION_OUTSTANDING</t>
        </is>
      </c>
      <c r="F142" s="14" t="inlineStr">
        <is>
          <t>INCREASE</t>
        </is>
      </c>
      <c r="G142" s="25">
        <f t="array" ref="G142">IF(OR($F142="DERIVED_FROM_SIGN",$F142="MIRRORED"),"runtime",IFERROR(IF(INDEX(Balance_Taxonomy!$C$5:$C$400,MATCH($E142,Balance_Taxonomy!$B$5:$B$400,0))="Dr",IF($F142="INCREASE","Dr","Cr"),IF($F142="INCREASE","Cr","Dr")),"n/a"))</f>
        <v/>
      </c>
      <c r="H142" s="14" t="inlineStr">
        <is>
          <t>CONFIRMED_AMOUNT</t>
        </is>
      </c>
      <c r="I142" s="15" t="inlineStr">
        <is>
          <t>confirmed_amount</t>
        </is>
      </c>
      <c r="J142" s="14" t="inlineStr">
        <is>
          <t>POST</t>
        </is>
      </c>
      <c r="K142" s="25">
        <f>IF(OR($E142="—",LEFT($E142,1)="("),"n/a",IF(COUNTIF(Balance_Taxonomy!$B$5:$B$400,$E142)&gt;0,"OK","UNKNOWN TYPE"))</f>
        <v/>
      </c>
      <c r="L142" s="25">
        <f>IF(COUNTIF(Amount_Basis!$A$5:$A$100,$H142)&gt;0,"OK","UNKNOWN CODE")</f>
        <v/>
      </c>
      <c r="M142" s="25">
        <f>IF($F142="DERIVED_FROM_SIGN",IF($G142="runtime","OK","INVALID - must be runtime"),IF(OR($J142="POST",$J142="MEMO_ONLY"),IF(OR($G142="Dr",$G142="Cr"),"OK","INVALID - must derive"),IF(OR($G142="n/a",$G142="runtime"),"OK","INVALID - must be n/a")))</f>
        <v/>
      </c>
      <c r="N142" s="25">
        <f t="array" ref="N142">IF($J142="MIRROR",IF($F142="MIRRORED","OK","INVALID - MIRROR needs MIRRORED"),IF(IFERROR(INDEX(Amount_Basis!$D$5:$D$100,MATCH($H142,Amount_Basis!$A$5:$A$100,0)),"")="SIGNED",IF($F142="DERIVED_FROM_SIGN","OK","INVALID - SIGNED basis needs DERIVED_FROM_SIGN"),IF(OR($F142="INCREASE",$F142="DECREASE",$F142="—"),"OK","INVALID - static direction required")))</f>
        <v/>
      </c>
      <c r="O142" s="14" t="inlineStr">
        <is>
          <t>§6</t>
        </is>
      </c>
    </row>
    <row r="143" ht="15" customHeight="1" s="40">
      <c r="A143" s="14" t="inlineStr">
        <is>
          <t>Export</t>
        </is>
      </c>
      <c r="B143" s="14" t="inlineStr">
        <is>
          <t>CNF_ADD_SILENT</t>
        </is>
      </c>
      <c r="C143" s="14" t="inlineStr">
        <is>
          <t>DEFER_COMMISSION</t>
        </is>
      </c>
      <c r="D143" s="14" t="n">
        <v>2</v>
      </c>
      <c r="E143" s="15" t="inlineStr">
        <is>
          <t>BENEFICIARY_ACCOUNT</t>
        </is>
      </c>
      <c r="F143" s="14" t="inlineStr">
        <is>
          <t>DECREASE</t>
        </is>
      </c>
      <c r="G143" s="25">
        <f t="array" ref="G143">IF(OR($F143="DERIVED_FROM_SIGN",$F143="MIRRORED"),"runtime",IFERROR(IF(INDEX(Balance_Taxonomy!$C$5:$C$400,MATCH($E143,Balance_Taxonomy!$B$5:$B$400,0))="Dr",IF($F143="INCREASE","Dr","Cr"),IF($F143="INCREASE","Cr","Dr")),"n/a"))</f>
        <v/>
      </c>
      <c r="H143" s="14" t="inlineStr">
        <is>
          <t>COMMISSION_AMOUNT</t>
        </is>
      </c>
      <c r="I143" s="15" t="inlineStr">
        <is>
          <t>confirmation commission</t>
        </is>
      </c>
      <c r="J143" s="14" t="inlineStr">
        <is>
          <t>POST</t>
        </is>
      </c>
      <c r="K143" s="25">
        <f>IF(OR($E143="—",LEFT($E143,1)="("),"n/a",IF(COUNTIF(Balance_Taxonomy!$B$5:$B$400,$E143)&gt;0,"OK","UNKNOWN TYPE"))</f>
        <v/>
      </c>
      <c r="L143" s="25">
        <f>IF(COUNTIF(Amount_Basis!$A$5:$A$100,$H143)&gt;0,"OK","UNKNOWN CODE")</f>
        <v/>
      </c>
      <c r="M143" s="25">
        <f>IF($F143="DERIVED_FROM_SIGN",IF($G143="runtime","OK","INVALID - must be runtime"),IF(OR($J143="POST",$J143="MEMO_ONLY"),IF(OR($G143="Dr",$G143="Cr"),"OK","INVALID - must derive"),IF(OR($G143="n/a",$G143="runtime"),"OK","INVALID - must be n/a")))</f>
        <v/>
      </c>
      <c r="N143" s="25">
        <f t="array" ref="N143">IF($J143="MIRROR",IF($F143="MIRRORED","OK","INVALID - MIRROR needs MIRRORED"),IF(IFERROR(INDEX(Amount_Basis!$D$5:$D$100,MATCH($H143,Amount_Basis!$A$5:$A$100,0)),"")="SIGNED",IF($F143="DERIVED_FROM_SIGN","OK","INVALID - SIGNED basis needs DERIVED_FROM_SIGN"),IF(OR($F143="INCREASE",$F143="DECREASE",$F143="—"),"OK","INVALID - static direction required")))</f>
        <v/>
      </c>
      <c r="O143" s="14" t="inlineStr">
        <is>
          <t>§6</t>
        </is>
      </c>
    </row>
    <row r="144" ht="15" customHeight="1" s="40">
      <c r="A144" s="14" t="inlineStr">
        <is>
          <t>Export</t>
        </is>
      </c>
      <c r="B144" s="14" t="inlineStr">
        <is>
          <t>CNF_ADD_SILENT</t>
        </is>
      </c>
      <c r="C144" s="14" t="inlineStr">
        <is>
          <t>DEFER_COMMISSION</t>
        </is>
      </c>
      <c r="D144" s="14" t="n">
        <v>2</v>
      </c>
      <c r="E144" s="15" t="inlineStr">
        <is>
          <t>UNEARNED_COMMISSION_INCOME</t>
        </is>
      </c>
      <c r="F144" s="14" t="inlineStr">
        <is>
          <t>INCREASE</t>
        </is>
      </c>
      <c r="G144" s="25">
        <f t="array" ref="G144">IF(OR($F144="DERIVED_FROM_SIGN",$F144="MIRRORED"),"runtime",IFERROR(IF(INDEX(Balance_Taxonomy!$C$5:$C$400,MATCH($E144,Balance_Taxonomy!$B$5:$B$400,0))="Dr",IF($F144="INCREASE","Dr","Cr"),IF($F144="INCREASE","Cr","Dr")),"n/a"))</f>
        <v/>
      </c>
      <c r="H144" s="14" t="inlineStr">
        <is>
          <t>COMMISSION_AMOUNT</t>
        </is>
      </c>
      <c r="I144" s="15" t="inlineStr">
        <is>
          <t>confirmation commission</t>
        </is>
      </c>
      <c r="J144" s="14" t="inlineStr">
        <is>
          <t>POST</t>
        </is>
      </c>
      <c r="K144" s="25">
        <f>IF(OR($E144="—",LEFT($E144,1)="("),"n/a",IF(COUNTIF(Balance_Taxonomy!$B$5:$B$400,$E144)&gt;0,"OK","UNKNOWN TYPE"))</f>
        <v/>
      </c>
      <c r="L144" s="25">
        <f>IF(COUNTIF(Amount_Basis!$A$5:$A$100,$H144)&gt;0,"OK","UNKNOWN CODE")</f>
        <v/>
      </c>
      <c r="M144" s="25">
        <f>IF($F144="DERIVED_FROM_SIGN",IF($G144="runtime","OK","INVALID - must be runtime"),IF(OR($J144="POST",$J144="MEMO_ONLY"),IF(OR($G144="Dr",$G144="Cr"),"OK","INVALID - must derive"),IF(OR($G144="n/a",$G144="runtime"),"OK","INVALID - must be n/a")))</f>
        <v/>
      </c>
      <c r="N144" s="25">
        <f t="array" ref="N144">IF($J144="MIRROR",IF($F144="MIRRORED","OK","INVALID - MIRROR needs MIRRORED"),IF(IFERROR(INDEX(Amount_Basis!$D$5:$D$100,MATCH($H144,Amount_Basis!$A$5:$A$100,0)),"")="SIGNED",IF($F144="DERIVED_FROM_SIGN","OK","INVALID - SIGNED basis needs DERIVED_FROM_SIGN"),IF(OR($F144="INCREASE",$F144="DECREASE",$F144="—"),"OK","INVALID - static direction required")))</f>
        <v/>
      </c>
      <c r="O144" s="14" t="inlineStr">
        <is>
          <t>§6</t>
        </is>
      </c>
    </row>
    <row r="145" ht="15" customHeight="1" s="40">
      <c r="A145" s="14" t="inlineStr">
        <is>
          <t>Export</t>
        </is>
      </c>
      <c r="B145" s="14" t="inlineStr">
        <is>
          <t>CNF_ADD_SILENT</t>
        </is>
      </c>
      <c r="C145" s="14" t="inlineStr">
        <is>
          <t>RAISE_ECL</t>
        </is>
      </c>
      <c r="D145" s="14" t="n">
        <v>3</v>
      </c>
      <c r="E145" s="15" t="inlineStr">
        <is>
          <t>IMPAIRMENT_CHARGE_OFFBS</t>
        </is>
      </c>
      <c r="F145" s="14" t="inlineStr">
        <is>
          <t>INCREASE</t>
        </is>
      </c>
      <c r="G145" s="25">
        <f t="array" ref="G145">IF(OR($F145="DERIVED_FROM_SIGN",$F145="MIRRORED"),"runtime",IFERROR(IF(INDEX(Balance_Taxonomy!$C$5:$C$400,MATCH($E145,Balance_Taxonomy!$B$5:$B$400,0))="Dr",IF($F145="INCREASE","Dr","Cr"),IF($F145="INCREASE","Cr","Dr")),"n/a"))</f>
        <v/>
      </c>
      <c r="H145" s="14" t="inlineStr">
        <is>
          <t>ECL_AMOUNT</t>
        </is>
      </c>
      <c r="I145" s="15" t="inlineStr">
        <is>
          <t>ECL — FI + country</t>
        </is>
      </c>
      <c r="J145" s="14" t="inlineStr">
        <is>
          <t>POST</t>
        </is>
      </c>
      <c r="K145" s="25">
        <f>IF(OR($E145="—",LEFT($E145,1)="("),"n/a",IF(COUNTIF(Balance_Taxonomy!$B$5:$B$400,$E145)&gt;0,"OK","UNKNOWN TYPE"))</f>
        <v/>
      </c>
      <c r="L145" s="25">
        <f>IF(COUNTIF(Amount_Basis!$A$5:$A$100,$H145)&gt;0,"OK","UNKNOWN CODE")</f>
        <v/>
      </c>
      <c r="M145" s="25">
        <f>IF($F145="DERIVED_FROM_SIGN",IF($G145="runtime","OK","INVALID - must be runtime"),IF(OR($J145="POST",$J145="MEMO_ONLY"),IF(OR($G145="Dr",$G145="Cr"),"OK","INVALID - must derive"),IF(OR($G145="n/a",$G145="runtime"),"OK","INVALID - must be n/a")))</f>
        <v/>
      </c>
      <c r="N145" s="25">
        <f t="array" ref="N145">IF($J145="MIRROR",IF($F145="MIRRORED","OK","INVALID - MIRROR needs MIRRORED"),IF(IFERROR(INDEX(Amount_Basis!$D$5:$D$100,MATCH($H145,Amount_Basis!$A$5:$A$100,0)),"")="SIGNED",IF($F145="DERIVED_FROM_SIGN","OK","INVALID - SIGNED basis needs DERIVED_FROM_SIGN"),IF(OR($F145="INCREASE",$F145="DECREASE",$F145="—"),"OK","INVALID - static direction required")))</f>
        <v/>
      </c>
      <c r="O145" s="14" t="inlineStr">
        <is>
          <t>§6</t>
        </is>
      </c>
    </row>
    <row r="146" ht="15" customHeight="1" s="40">
      <c r="A146" s="14" t="inlineStr">
        <is>
          <t>Export</t>
        </is>
      </c>
      <c r="B146" s="14" t="inlineStr">
        <is>
          <t>CNF_ADD_SILENT</t>
        </is>
      </c>
      <c r="C146" s="14" t="inlineStr">
        <is>
          <t>RAISE_ECL</t>
        </is>
      </c>
      <c r="D146" s="14" t="n">
        <v>3</v>
      </c>
      <c r="E146" s="15" t="inlineStr">
        <is>
          <t>PROVISION_OFFBS</t>
        </is>
      </c>
      <c r="F146" s="14" t="inlineStr">
        <is>
          <t>INCREASE</t>
        </is>
      </c>
      <c r="G146" s="25">
        <f t="array" ref="G146">IF(OR($F146="DERIVED_FROM_SIGN",$F146="MIRRORED"),"runtime",IFERROR(IF(INDEX(Balance_Taxonomy!$C$5:$C$400,MATCH($E146,Balance_Taxonomy!$B$5:$B$400,0))="Dr",IF($F146="INCREASE","Dr","Cr"),IF($F146="INCREASE","Cr","Dr")),"n/a"))</f>
        <v/>
      </c>
      <c r="H146" s="14" t="inlineStr">
        <is>
          <t>ECL_AMOUNT</t>
        </is>
      </c>
      <c r="I146" s="15" t="inlineStr">
        <is>
          <t>ECL — FI + country</t>
        </is>
      </c>
      <c r="J146" s="14" t="inlineStr">
        <is>
          <t>POST</t>
        </is>
      </c>
      <c r="K146" s="25">
        <f>IF(OR($E146="—",LEFT($E146,1)="("),"n/a",IF(COUNTIF(Balance_Taxonomy!$B$5:$B$400,$E146)&gt;0,"OK","UNKNOWN TYPE"))</f>
        <v/>
      </c>
      <c r="L146" s="25">
        <f>IF(COUNTIF(Amount_Basis!$A$5:$A$100,$H146)&gt;0,"OK","UNKNOWN CODE")</f>
        <v/>
      </c>
      <c r="M146" s="25">
        <f>IF($F146="DERIVED_FROM_SIGN",IF($G146="runtime","OK","INVALID - must be runtime"),IF(OR($J146="POST",$J146="MEMO_ONLY"),IF(OR($G146="Dr",$G146="Cr"),"OK","INVALID - must derive"),IF(OR($G146="n/a",$G146="runtime"),"OK","INVALID - must be n/a")))</f>
        <v/>
      </c>
      <c r="N146" s="25">
        <f t="array" ref="N146">IF($J146="MIRROR",IF($F146="MIRRORED","OK","INVALID - MIRROR needs MIRRORED"),IF(IFERROR(INDEX(Amount_Basis!$D$5:$D$100,MATCH($H146,Amount_Basis!$A$5:$A$100,0)),"")="SIGNED",IF($F146="DERIVED_FROM_SIGN","OK","INVALID - SIGNED basis needs DERIVED_FROM_SIGN"),IF(OR($F146="INCREASE",$F146="DECREASE",$F146="—"),"OK","INVALID - static direction required")))</f>
        <v/>
      </c>
      <c r="O146" s="14" t="inlineStr">
        <is>
          <t>§6</t>
        </is>
      </c>
    </row>
    <row r="147" ht="15" customHeight="1" s="40">
      <c r="A147" s="19" t="inlineStr">
        <is>
          <t>Export</t>
        </is>
      </c>
      <c r="B147" s="19" t="inlineStr">
        <is>
          <t>CNF_AMD_INC</t>
        </is>
      </c>
      <c r="C147" s="19" t="inlineStr">
        <is>
          <t>RAISE_CONTINGENT</t>
        </is>
      </c>
      <c r="D147" s="19" t="n">
        <v>1</v>
      </c>
      <c r="E147" s="21" t="inlineStr">
        <is>
          <t>CONFIRMATION_EXPOSURE</t>
        </is>
      </c>
      <c r="F147" s="19" t="inlineStr">
        <is>
          <t>INCREASE</t>
        </is>
      </c>
      <c r="G147" s="29">
        <f t="array" ref="G147">IF(OR($F147="DERIVED_FROM_SIGN",$F147="MIRRORED"),"runtime",IFERROR(IF(INDEX(Balance_Taxonomy!$C$5:$C$400,MATCH($E147,Balance_Taxonomy!$B$5:$B$400,0))="Dr",IF($F147="INCREASE","Dr","Cr"),IF($F147="INCREASE","Cr","Dr")),"n/a"))</f>
        <v/>
      </c>
      <c r="H147" s="19" t="inlineStr">
        <is>
          <t>AMENDMENT_DELTA</t>
        </is>
      </c>
      <c r="I147" s="21" t="inlineStr">
        <is>
          <t>delta of confirmed_amount</t>
        </is>
      </c>
      <c r="J147" s="19" t="inlineStr">
        <is>
          <t>POST</t>
        </is>
      </c>
      <c r="K147" s="29">
        <f>IF(OR($E147="—",LEFT($E147,1)="("),"n/a",IF(COUNTIF(Balance_Taxonomy!$B$5:$B$400,$E147)&gt;0,"OK","UNKNOWN TYPE"))</f>
        <v/>
      </c>
      <c r="L147" s="29">
        <f>IF(COUNTIF(Amount_Basis!$A$5:$A$100,$H147)&gt;0,"OK","UNKNOWN CODE")</f>
        <v/>
      </c>
      <c r="M147" s="29">
        <f>IF($F147="DERIVED_FROM_SIGN",IF($G147="runtime","OK","INVALID - must be runtime"),IF(OR($J147="POST",$J147="MEMO_ONLY"),IF(OR($G147="Dr",$G147="Cr"),"OK","INVALID - must derive"),IF(OR($G147="n/a",$G147="runtime"),"OK","INVALID - must be n/a")))</f>
        <v/>
      </c>
      <c r="N147" s="29">
        <f t="array" ref="N147">IF($J147="MIRROR",IF($F147="MIRRORED","OK","INVALID - MIRROR needs MIRRORED"),IF(IFERROR(INDEX(Amount_Basis!$D$5:$D$100,MATCH($H147,Amount_Basis!$A$5:$A$100,0)),"")="SIGNED",IF($F147="DERIVED_FROM_SIGN","OK","INVALID - SIGNED basis needs DERIVED_FROM_SIGN"),IF(OR($F147="INCREASE",$F147="DECREASE",$F147="—"),"OK","INVALID - static direction required")))</f>
        <v/>
      </c>
      <c r="O147" s="19" t="inlineStr">
        <is>
          <t>§7.2</t>
        </is>
      </c>
    </row>
    <row r="148" ht="15" customHeight="1" s="40">
      <c r="A148" s="19" t="inlineStr">
        <is>
          <t>Export</t>
        </is>
      </c>
      <c r="B148" s="19" t="inlineStr">
        <is>
          <t>CNF_AMD_INC</t>
        </is>
      </c>
      <c r="C148" s="19" t="inlineStr">
        <is>
          <t>RAISE_CONTINGENT</t>
        </is>
      </c>
      <c r="D148" s="19" t="n">
        <v>1</v>
      </c>
      <c r="E148" s="21" t="inlineStr">
        <is>
          <t>CONFIRMATION_OUTSTANDING</t>
        </is>
      </c>
      <c r="F148" s="19" t="inlineStr">
        <is>
          <t>INCREASE</t>
        </is>
      </c>
      <c r="G148" s="29">
        <f t="array" ref="G148">IF(OR($F148="DERIVED_FROM_SIGN",$F148="MIRRORED"),"runtime",IFERROR(IF(INDEX(Balance_Taxonomy!$C$5:$C$400,MATCH($E148,Balance_Taxonomy!$B$5:$B$400,0))="Dr",IF($F148="INCREASE","Dr","Cr"),IF($F148="INCREASE","Cr","Dr")),"n/a"))</f>
        <v/>
      </c>
      <c r="H148" s="19" t="inlineStr">
        <is>
          <t>AMENDMENT_DELTA</t>
        </is>
      </c>
      <c r="I148" s="21" t="inlineStr">
        <is>
          <t>delta of confirmed_amount</t>
        </is>
      </c>
      <c r="J148" s="19" t="inlineStr">
        <is>
          <t>POST</t>
        </is>
      </c>
      <c r="K148" s="29">
        <f>IF(OR($E148="—",LEFT($E148,1)="("),"n/a",IF(COUNTIF(Balance_Taxonomy!$B$5:$B$400,$E148)&gt;0,"OK","UNKNOWN TYPE"))</f>
        <v/>
      </c>
      <c r="L148" s="29">
        <f>IF(COUNTIF(Amount_Basis!$A$5:$A$100,$H148)&gt;0,"OK","UNKNOWN CODE")</f>
        <v/>
      </c>
      <c r="M148" s="29">
        <f>IF($F148="DERIVED_FROM_SIGN",IF($G148="runtime","OK","INVALID - must be runtime"),IF(OR($J148="POST",$J148="MEMO_ONLY"),IF(OR($G148="Dr",$G148="Cr"),"OK","INVALID - must derive"),IF(OR($G148="n/a",$G148="runtime"),"OK","INVALID - must be n/a")))</f>
        <v/>
      </c>
      <c r="N148" s="29">
        <f t="array" ref="N148">IF($J148="MIRROR",IF($F148="MIRRORED","OK","INVALID - MIRROR needs MIRRORED"),IF(IFERROR(INDEX(Amount_Basis!$D$5:$D$100,MATCH($H148,Amount_Basis!$A$5:$A$100,0)),"")="SIGNED",IF($F148="DERIVED_FROM_SIGN","OK","INVALID - SIGNED basis needs DERIVED_FROM_SIGN"),IF(OR($F148="INCREASE",$F148="DECREASE",$F148="—"),"OK","INVALID - static direction required")))</f>
        <v/>
      </c>
      <c r="O148" s="19" t="inlineStr">
        <is>
          <t>§7.2</t>
        </is>
      </c>
    </row>
    <row r="149" ht="15" customHeight="1" s="40">
      <c r="A149" s="14" t="inlineStr">
        <is>
          <t>Export</t>
        </is>
      </c>
      <c r="B149" s="14" t="inlineStr">
        <is>
          <t>CNF_AMD_DEC</t>
        </is>
      </c>
      <c r="C149" s="14" t="inlineStr">
        <is>
          <t>RELEASE_CONTINGENT</t>
        </is>
      </c>
      <c r="D149" s="14" t="n">
        <v>1</v>
      </c>
      <c r="E149" s="15" t="inlineStr">
        <is>
          <t>CONFIRMATION_OUTSTANDING</t>
        </is>
      </c>
      <c r="F149" s="14" t="inlineStr">
        <is>
          <t>DECREASE</t>
        </is>
      </c>
      <c r="G149" s="25">
        <f t="array" ref="G149">IF(OR($F149="DERIVED_FROM_SIGN",$F149="MIRRORED"),"runtime",IFERROR(IF(INDEX(Balance_Taxonomy!$C$5:$C$400,MATCH($E149,Balance_Taxonomy!$B$5:$B$400,0))="Dr",IF($F149="INCREASE","Dr","Cr"),IF($F149="INCREASE","Cr","Dr")),"n/a"))</f>
        <v/>
      </c>
      <c r="H149" s="14" t="inlineStr">
        <is>
          <t>AMENDMENT_DELTA</t>
        </is>
      </c>
      <c r="I149" s="15" t="inlineStr">
        <is>
          <t>delta of confirmed_amount</t>
        </is>
      </c>
      <c r="J149" s="14" t="inlineStr">
        <is>
          <t>POST</t>
        </is>
      </c>
      <c r="K149" s="25">
        <f>IF(OR($E149="—",LEFT($E149,1)="("),"n/a",IF(COUNTIF(Balance_Taxonomy!$B$5:$B$400,$E149)&gt;0,"OK","UNKNOWN TYPE"))</f>
        <v/>
      </c>
      <c r="L149" s="25">
        <f>IF(COUNTIF(Amount_Basis!$A$5:$A$100,$H149)&gt;0,"OK","UNKNOWN CODE")</f>
        <v/>
      </c>
      <c r="M149" s="25">
        <f>IF($F149="DERIVED_FROM_SIGN",IF($G149="runtime","OK","INVALID - must be runtime"),IF(OR($J149="POST",$J149="MEMO_ONLY"),IF(OR($G149="Dr",$G149="Cr"),"OK","INVALID - must derive"),IF(OR($G149="n/a",$G149="runtime"),"OK","INVALID - must be n/a")))</f>
        <v/>
      </c>
      <c r="N149" s="25">
        <f t="array" ref="N149">IF($J149="MIRROR",IF($F149="MIRRORED","OK","INVALID - MIRROR needs MIRRORED"),IF(IFERROR(INDEX(Amount_Basis!$D$5:$D$100,MATCH($H149,Amount_Basis!$A$5:$A$100,0)),"")="SIGNED",IF($F149="DERIVED_FROM_SIGN","OK","INVALID - SIGNED basis needs DERIVED_FROM_SIGN"),IF(OR($F149="INCREASE",$F149="DECREASE",$F149="—"),"OK","INVALID - static direction required")))</f>
        <v/>
      </c>
      <c r="O149" s="14" t="inlineStr">
        <is>
          <t>§7.2</t>
        </is>
      </c>
    </row>
    <row r="150" ht="15" customHeight="1" s="40">
      <c r="A150" s="14" t="inlineStr">
        <is>
          <t>Export</t>
        </is>
      </c>
      <c r="B150" s="14" t="inlineStr">
        <is>
          <t>CNF_AMD_DEC</t>
        </is>
      </c>
      <c r="C150" s="14" t="inlineStr">
        <is>
          <t>RELEASE_CONTINGENT</t>
        </is>
      </c>
      <c r="D150" s="14" t="n">
        <v>1</v>
      </c>
      <c r="E150" s="15" t="inlineStr">
        <is>
          <t>CONFIRMATION_EXPOSURE</t>
        </is>
      </c>
      <c r="F150" s="14" t="inlineStr">
        <is>
          <t>DECREASE</t>
        </is>
      </c>
      <c r="G150" s="25">
        <f t="array" ref="G150">IF(OR($F150="DERIVED_FROM_SIGN",$F150="MIRRORED"),"runtime",IFERROR(IF(INDEX(Balance_Taxonomy!$C$5:$C$400,MATCH($E150,Balance_Taxonomy!$B$5:$B$400,0))="Dr",IF($F150="INCREASE","Dr","Cr"),IF($F150="INCREASE","Cr","Dr")),"n/a"))</f>
        <v/>
      </c>
      <c r="H150" s="14" t="inlineStr">
        <is>
          <t>AMENDMENT_DELTA</t>
        </is>
      </c>
      <c r="I150" s="15" t="inlineStr">
        <is>
          <t>delta of confirmed_amount</t>
        </is>
      </c>
      <c r="J150" s="14" t="inlineStr">
        <is>
          <t>POST</t>
        </is>
      </c>
      <c r="K150" s="25">
        <f>IF(OR($E150="—",LEFT($E150,1)="("),"n/a",IF(COUNTIF(Balance_Taxonomy!$B$5:$B$400,$E150)&gt;0,"OK","UNKNOWN TYPE"))</f>
        <v/>
      </c>
      <c r="L150" s="25">
        <f>IF(COUNTIF(Amount_Basis!$A$5:$A$100,$H150)&gt;0,"OK","UNKNOWN CODE")</f>
        <v/>
      </c>
      <c r="M150" s="25">
        <f>IF($F150="DERIVED_FROM_SIGN",IF($G150="runtime","OK","INVALID - must be runtime"),IF(OR($J150="POST",$J150="MEMO_ONLY"),IF(OR($G150="Dr",$G150="Cr"),"OK","INVALID - must derive"),IF(OR($G150="n/a",$G150="runtime"),"OK","INVALID - must be n/a")))</f>
        <v/>
      </c>
      <c r="N150" s="25">
        <f t="array" ref="N150">IF($J150="MIRROR",IF($F150="MIRRORED","OK","INVALID - MIRROR needs MIRRORED"),IF(IFERROR(INDEX(Amount_Basis!$D$5:$D$100,MATCH($H150,Amount_Basis!$A$5:$A$100,0)),"")="SIGNED",IF($F150="DERIVED_FROM_SIGN","OK","INVALID - SIGNED basis needs DERIVED_FROM_SIGN"),IF(OR($F150="INCREASE",$F150="DECREASE",$F150="—"),"OK","INVALID - static direction required")))</f>
        <v/>
      </c>
      <c r="O150" s="14" t="inlineStr">
        <is>
          <t>§7.2</t>
        </is>
      </c>
    </row>
    <row r="151" ht="15" customHeight="1" s="40">
      <c r="A151" s="19" t="inlineStr">
        <is>
          <t>Export</t>
        </is>
      </c>
      <c r="B151" s="19" t="inlineStr">
        <is>
          <t>EX_DOC_RCV</t>
        </is>
      </c>
      <c r="C151" s="19" t="inlineStr">
        <is>
          <t>RAISE_MEMO</t>
        </is>
      </c>
      <c r="D151" s="19" t="n">
        <v>1</v>
      </c>
      <c r="E151" s="21" t="inlineStr">
        <is>
          <t>EXPORT_BILLS_UNDER_EXAMINATION</t>
        </is>
      </c>
      <c r="F151" s="19" t="inlineStr">
        <is>
          <t>INCREASE</t>
        </is>
      </c>
      <c r="G151" s="29">
        <f t="array" ref="G151">IF(OR($F151="DERIVED_FROM_SIGN",$F151="MIRRORED"),"runtime",IFERROR(IF(INDEX(Balance_Taxonomy!$C$5:$C$400,MATCH($E151,Balance_Taxonomy!$B$5:$B$400,0))="Dr",IF($F151="INCREASE","Dr","Cr"),IF($F151="INCREASE","Cr","Dr")),"n/a"))</f>
        <v/>
      </c>
      <c r="H151" s="19" t="inlineStr">
        <is>
          <t>DOCUMENT_AMOUNT</t>
        </is>
      </c>
      <c r="I151" s="21" t="inlineStr">
        <is>
          <t>presentation</t>
        </is>
      </c>
      <c r="J151" s="19" t="inlineStr">
        <is>
          <t>MEMO_ONLY</t>
        </is>
      </c>
      <c r="K151" s="29">
        <f>IF(OR($E151="—",LEFT($E151,1)="("),"n/a",IF(COUNTIF(Balance_Taxonomy!$B$5:$B$400,$E151)&gt;0,"OK","UNKNOWN TYPE"))</f>
        <v/>
      </c>
      <c r="L151" s="29">
        <f>IF(COUNTIF(Amount_Basis!$A$5:$A$100,$H151)&gt;0,"OK","UNKNOWN CODE")</f>
        <v/>
      </c>
      <c r="M151" s="29">
        <f>IF($F151="DERIVED_FROM_SIGN",IF($G151="runtime","OK","INVALID - must be runtime"),IF(OR($J151="POST",$J151="MEMO_ONLY"),IF(OR($G151="Dr",$G151="Cr"),"OK","INVALID - must derive"),IF(OR($G151="n/a",$G151="runtime"),"OK","INVALID - must be n/a")))</f>
        <v/>
      </c>
      <c r="N151" s="29">
        <f t="array" ref="N151">IF($J151="MIRROR",IF($F151="MIRRORED","OK","INVALID - MIRROR needs MIRRORED"),IF(IFERROR(INDEX(Amount_Basis!$D$5:$D$100,MATCH($H151,Amount_Basis!$A$5:$A$100,0)),"")="SIGNED",IF($F151="DERIVED_FROM_SIGN","OK","INVALID - SIGNED basis needs DERIVED_FROM_SIGN"),IF(OR($F151="INCREASE",$F151="DECREASE",$F151="—"),"OK","INVALID - static direction required")))</f>
        <v/>
      </c>
      <c r="O151" s="19" t="inlineStr">
        <is>
          <t>§7.3</t>
        </is>
      </c>
    </row>
    <row r="152" ht="15" customHeight="1" s="40">
      <c r="A152" s="19" t="inlineStr">
        <is>
          <t>Export</t>
        </is>
      </c>
      <c r="B152" s="19" t="inlineStr">
        <is>
          <t>EX_DOC_RCV</t>
        </is>
      </c>
      <c r="C152" s="19" t="inlineStr">
        <is>
          <t>RAISE_MEMO</t>
        </is>
      </c>
      <c r="D152" s="19" t="n">
        <v>1</v>
      </c>
      <c r="E152" s="21" t="inlineStr">
        <is>
          <t>EXPORT_BILLS_UNDER_EXAMINATION_CONTRA</t>
        </is>
      </c>
      <c r="F152" s="19" t="inlineStr">
        <is>
          <t>INCREASE</t>
        </is>
      </c>
      <c r="G152" s="29">
        <f t="array" ref="G152">IF(OR($F152="DERIVED_FROM_SIGN",$F152="MIRRORED"),"runtime",IFERROR(IF(INDEX(Balance_Taxonomy!$C$5:$C$400,MATCH($E152,Balance_Taxonomy!$B$5:$B$400,0))="Dr",IF($F152="INCREASE","Dr","Cr"),IF($F152="INCREASE","Cr","Dr")),"n/a"))</f>
        <v/>
      </c>
      <c r="H152" s="19" t="inlineStr">
        <is>
          <t>DOCUMENT_AMOUNT</t>
        </is>
      </c>
      <c r="I152" s="21" t="inlineStr">
        <is>
          <t>presentation</t>
        </is>
      </c>
      <c r="J152" s="19" t="inlineStr">
        <is>
          <t>MEMO_ONLY</t>
        </is>
      </c>
      <c r="K152" s="29">
        <f>IF(OR($E152="—",LEFT($E152,1)="("),"n/a",IF(COUNTIF(Balance_Taxonomy!$B$5:$B$400,$E152)&gt;0,"OK","UNKNOWN TYPE"))</f>
        <v/>
      </c>
      <c r="L152" s="29">
        <f>IF(COUNTIF(Amount_Basis!$A$5:$A$100,$H152)&gt;0,"OK","UNKNOWN CODE")</f>
        <v/>
      </c>
      <c r="M152" s="29">
        <f>IF($F152="DERIVED_FROM_SIGN",IF($G152="runtime","OK","INVALID - must be runtime"),IF(OR($J152="POST",$J152="MEMO_ONLY"),IF(OR($G152="Dr",$G152="Cr"),"OK","INVALID - must derive"),IF(OR($G152="n/a",$G152="runtime"),"OK","INVALID - must be n/a")))</f>
        <v/>
      </c>
      <c r="N152" s="29">
        <f t="array" ref="N152">IF($J152="MIRROR",IF($F152="MIRRORED","OK","INVALID - MIRROR needs MIRRORED"),IF(IFERROR(INDEX(Amount_Basis!$D$5:$D$100,MATCH($H152,Amount_Basis!$A$5:$A$100,0)),"")="SIGNED",IF($F152="DERIVED_FROM_SIGN","OK","INVALID - SIGNED basis needs DERIVED_FROM_SIGN"),IF(OR($F152="INCREASE",$F152="DECREASE",$F152="—"),"OK","INVALID - static direction required")))</f>
        <v/>
      </c>
      <c r="O152" s="19" t="inlineStr">
        <is>
          <t>§7.3</t>
        </is>
      </c>
    </row>
    <row r="153" ht="15" customHeight="1" s="40">
      <c r="A153" s="14" t="inlineStr">
        <is>
          <t>Export</t>
        </is>
      </c>
      <c r="B153" s="14" t="inlineStr">
        <is>
          <t>EX_DOC_REFUSE</t>
        </is>
      </c>
      <c r="C153" s="14" t="inlineStr">
        <is>
          <t>MOVE_MEMO</t>
        </is>
      </c>
      <c r="D153" s="14" t="n">
        <v>1</v>
      </c>
      <c r="E153" s="15" t="inlineStr">
        <is>
          <t>DOCUMENT_AT_PRESENTER_DISPOSAL</t>
        </is>
      </c>
      <c r="F153" s="14" t="inlineStr">
        <is>
          <t>INCREASE</t>
        </is>
      </c>
      <c r="G153" s="25">
        <f t="array" ref="G153">IF(OR($F153="DERIVED_FROM_SIGN",$F153="MIRRORED"),"runtime",IFERROR(IF(INDEX(Balance_Taxonomy!$C$5:$C$400,MATCH($E153,Balance_Taxonomy!$B$5:$B$400,0))="Dr",IF($F153="INCREASE","Dr","Cr"),IF($F153="INCREASE","Cr","Dr")),"n/a"))</f>
        <v/>
      </c>
      <c r="H153" s="14" t="inlineStr">
        <is>
          <t>DOCUMENT_AMOUNT</t>
        </is>
      </c>
      <c r="I153" s="15" t="inlineStr">
        <is>
          <t>presentation</t>
        </is>
      </c>
      <c r="J153" s="14" t="inlineStr">
        <is>
          <t>MEMO_ONLY</t>
        </is>
      </c>
      <c r="K153" s="25">
        <f>IF(OR($E153="—",LEFT($E153,1)="("),"n/a",IF(COUNTIF(Balance_Taxonomy!$B$5:$B$400,$E153)&gt;0,"OK","UNKNOWN TYPE"))</f>
        <v/>
      </c>
      <c r="L153" s="25">
        <f>IF(COUNTIF(Amount_Basis!$A$5:$A$100,$H153)&gt;0,"OK","UNKNOWN CODE")</f>
        <v/>
      </c>
      <c r="M153" s="25">
        <f>IF($F153="DERIVED_FROM_SIGN",IF($G153="runtime","OK","INVALID - must be runtime"),IF(OR($J153="POST",$J153="MEMO_ONLY"),IF(OR($G153="Dr",$G153="Cr"),"OK","INVALID - must derive"),IF(OR($G153="n/a",$G153="runtime"),"OK","INVALID - must be n/a")))</f>
        <v/>
      </c>
      <c r="N153" s="25">
        <f t="array" ref="N153">IF($J153="MIRROR",IF($F153="MIRRORED","OK","INVALID - MIRROR needs MIRRORED"),IF(IFERROR(INDEX(Amount_Basis!$D$5:$D$100,MATCH($H153,Amount_Basis!$A$5:$A$100,0)),"")="SIGNED",IF($F153="DERIVED_FROM_SIGN","OK","INVALID - SIGNED basis needs DERIVED_FROM_SIGN"),IF(OR($F153="INCREASE",$F153="DECREASE",$F153="—"),"OK","INVALID - static direction required")))</f>
        <v/>
      </c>
      <c r="O153" s="14" t="inlineStr">
        <is>
          <t>§7.3</t>
        </is>
      </c>
    </row>
    <row r="154" ht="15" customHeight="1" s="40">
      <c r="A154" s="14" t="inlineStr">
        <is>
          <t>Export</t>
        </is>
      </c>
      <c r="B154" s="14" t="inlineStr">
        <is>
          <t>EX_DOC_REFUSE</t>
        </is>
      </c>
      <c r="C154" s="14" t="inlineStr">
        <is>
          <t>MOVE_MEMO</t>
        </is>
      </c>
      <c r="D154" s="14" t="n">
        <v>1</v>
      </c>
      <c r="E154" s="15" t="inlineStr">
        <is>
          <t>EXPORT_BILLS_UNDER_EXAMINATION</t>
        </is>
      </c>
      <c r="F154" s="14" t="inlineStr">
        <is>
          <t>DECREASE</t>
        </is>
      </c>
      <c r="G154" s="25">
        <f t="array" ref="G154">IF(OR($F154="DERIVED_FROM_SIGN",$F154="MIRRORED"),"runtime",IFERROR(IF(INDEX(Balance_Taxonomy!$C$5:$C$400,MATCH($E154,Balance_Taxonomy!$B$5:$B$400,0))="Dr",IF($F154="INCREASE","Dr","Cr"),IF($F154="INCREASE","Cr","Dr")),"n/a"))</f>
        <v/>
      </c>
      <c r="H154" s="14" t="inlineStr">
        <is>
          <t>DOCUMENT_AMOUNT</t>
        </is>
      </c>
      <c r="I154" s="15" t="inlineStr">
        <is>
          <t>presentation</t>
        </is>
      </c>
      <c r="J154" s="14" t="inlineStr">
        <is>
          <t>MEMO_ONLY</t>
        </is>
      </c>
      <c r="K154" s="25">
        <f>IF(OR($E154="—",LEFT($E154,1)="("),"n/a",IF(COUNTIF(Balance_Taxonomy!$B$5:$B$400,$E154)&gt;0,"OK","UNKNOWN TYPE"))</f>
        <v/>
      </c>
      <c r="L154" s="25">
        <f>IF(COUNTIF(Amount_Basis!$A$5:$A$100,$H154)&gt;0,"OK","UNKNOWN CODE")</f>
        <v/>
      </c>
      <c r="M154" s="25">
        <f>IF($F154="DERIVED_FROM_SIGN",IF($G154="runtime","OK","INVALID - must be runtime"),IF(OR($J154="POST",$J154="MEMO_ONLY"),IF(OR($G154="Dr",$G154="Cr"),"OK","INVALID - must derive"),IF(OR($G154="n/a",$G154="runtime"),"OK","INVALID - must be n/a")))</f>
        <v/>
      </c>
      <c r="N154" s="25">
        <f t="array" ref="N154">IF($J154="MIRROR",IF($F154="MIRRORED","OK","INVALID - MIRROR needs MIRRORED"),IF(IFERROR(INDEX(Amount_Basis!$D$5:$D$100,MATCH($H154,Amount_Basis!$A$5:$A$100,0)),"")="SIGNED",IF($F154="DERIVED_FROM_SIGN","OK","INVALID - SIGNED basis needs DERIVED_FROM_SIGN"),IF(OR($F154="INCREASE",$F154="DECREASE",$F154="—"),"OK","INVALID - static direction required")))</f>
        <v/>
      </c>
      <c r="O154" s="14" t="inlineStr">
        <is>
          <t>§7.3</t>
        </is>
      </c>
    </row>
    <row r="155" ht="15" customHeight="1" s="40">
      <c r="A155" s="19" t="inlineStr">
        <is>
          <t>Export</t>
        </is>
      </c>
      <c r="B155" s="19" t="inlineStr">
        <is>
          <t>EX_DOC_APPROVAL</t>
        </is>
      </c>
      <c r="C155" s="19" t="inlineStr">
        <is>
          <t>—</t>
        </is>
      </c>
      <c r="D155" s="19" t="n">
        <v>1</v>
      </c>
      <c r="E155" s="21" t="inlineStr">
        <is>
          <t>—</t>
        </is>
      </c>
      <c r="F155" s="19" t="inlineStr">
        <is>
          <t>—</t>
        </is>
      </c>
      <c r="G155" s="29">
        <f t="array" ref="G155">IF(OR($F155="DERIVED_FROM_SIGN",$F155="MIRRORED"),"runtime",IFERROR(IF(INDEX(Balance_Taxonomy!$C$5:$C$400,MATCH($E155,Balance_Taxonomy!$B$5:$B$400,0))="Dr",IF($F155="INCREASE","Dr","Cr"),IF($F155="INCREASE","Cr","Dr")),"n/a"))</f>
        <v/>
      </c>
      <c r="H155" s="19" t="inlineStr">
        <is>
          <t>ZERO</t>
        </is>
      </c>
      <c r="I155" s="21" t="inlineStr">
        <is>
          <t>0</t>
        </is>
      </c>
      <c r="J155" s="19" t="inlineStr">
        <is>
          <t>NO_BALANCE_EFFECT</t>
        </is>
      </c>
      <c r="K155" s="29">
        <f>IF(OR($E155="—",LEFT($E155,1)="("),"n/a",IF(COUNTIF(Balance_Taxonomy!$B$5:$B$400,$E155)&gt;0,"OK","UNKNOWN TYPE"))</f>
        <v/>
      </c>
      <c r="L155" s="29">
        <f>IF(COUNTIF(Amount_Basis!$A$5:$A$100,$H155)&gt;0,"OK","UNKNOWN CODE")</f>
        <v/>
      </c>
      <c r="M155" s="29">
        <f>IF($F155="DERIVED_FROM_SIGN",IF($G155="runtime","OK","INVALID - must be runtime"),IF(OR($J155="POST",$J155="MEMO_ONLY"),IF(OR($G155="Dr",$G155="Cr"),"OK","INVALID - must derive"),IF(OR($G155="n/a",$G155="runtime"),"OK","INVALID - must be n/a")))</f>
        <v/>
      </c>
      <c r="N155" s="29">
        <f t="array" ref="N155">IF($J155="MIRROR",IF($F155="MIRRORED","OK","INVALID - MIRROR needs MIRRORED"),IF(IFERROR(INDEX(Amount_Basis!$D$5:$D$100,MATCH($H155,Amount_Basis!$A$5:$A$100,0)),"")="SIGNED",IF($F155="DERIVED_FROM_SIGN","OK","INVALID - SIGNED basis needs DERIVED_FROM_SIGN"),IF(OR($F155="INCREASE",$F155="DECREASE",$F155="—"),"OK","INVALID - static direction required")))</f>
        <v/>
      </c>
      <c r="O155" s="19" t="inlineStr">
        <is>
          <t>§7.3</t>
        </is>
      </c>
    </row>
    <row r="156" ht="15" customHeight="1" s="40">
      <c r="A156" s="14" t="inlineStr">
        <is>
          <t>Export</t>
        </is>
      </c>
      <c r="B156" s="14" t="inlineStr">
        <is>
          <t>EX_DOC_PRECLUDED</t>
        </is>
      </c>
      <c r="C156" s="14" t="inlineStr">
        <is>
          <t>—</t>
        </is>
      </c>
      <c r="D156" s="14" t="n">
        <v>1</v>
      </c>
      <c r="E156" s="15" t="inlineStr">
        <is>
          <t>—</t>
        </is>
      </c>
      <c r="F156" s="14" t="inlineStr">
        <is>
          <t>—</t>
        </is>
      </c>
      <c r="G156" s="25">
        <f t="array" ref="G156">IF(OR($F156="DERIVED_FROM_SIGN",$F156="MIRRORED"),"runtime",IFERROR(IF(INDEX(Balance_Taxonomy!$C$5:$C$400,MATCH($E156,Balance_Taxonomy!$B$5:$B$400,0))="Dr",IF($F156="INCREASE","Dr","Cr"),IF($F156="INCREASE","Cr","Dr")),"n/a"))</f>
        <v/>
      </c>
      <c r="H156" s="14" t="inlineStr">
        <is>
          <t>ZERO</t>
        </is>
      </c>
      <c r="I156" s="15" t="inlineStr">
        <is>
          <t>0</t>
        </is>
      </c>
      <c r="J156" s="14" t="inlineStr">
        <is>
          <t>BATCH_RECALC</t>
        </is>
      </c>
      <c r="K156" s="25">
        <f>IF(OR($E156="—",LEFT($E156,1)="("),"n/a",IF(COUNTIF(Balance_Taxonomy!$B$5:$B$400,$E156)&gt;0,"OK","UNKNOWN TYPE"))</f>
        <v/>
      </c>
      <c r="L156" s="25">
        <f>IF(COUNTIF(Amount_Basis!$A$5:$A$100,$H156)&gt;0,"OK","UNKNOWN CODE")</f>
        <v/>
      </c>
      <c r="M156" s="25">
        <f>IF($F156="DERIVED_FROM_SIGN",IF($G156="runtime","OK","INVALID - must be runtime"),IF(OR($J156="POST",$J156="MEMO_ONLY"),IF(OR($G156="Dr",$G156="Cr"),"OK","INVALID - must derive"),IF(OR($G156="n/a",$G156="runtime"),"OK","INVALID - must be n/a")))</f>
        <v/>
      </c>
      <c r="N156" s="25">
        <f t="array" ref="N156">IF($J156="MIRROR",IF($F156="MIRRORED","OK","INVALID - MIRROR needs MIRRORED"),IF(IFERROR(INDEX(Amount_Basis!$D$5:$D$100,MATCH($H156,Amount_Basis!$A$5:$A$100,0)),"")="SIGNED",IF($F156="DERIVED_FROM_SIGN","OK","INVALID - SIGNED basis needs DERIVED_FROM_SIGN"),IF(OR($F156="INCREASE",$F156="DECREASE",$F156="—"),"OK","INVALID - static direction required")))</f>
        <v/>
      </c>
      <c r="O156" s="14" t="inlineStr">
        <is>
          <t>§7.3</t>
        </is>
      </c>
    </row>
    <row r="157" ht="15" customHeight="1" s="40">
      <c r="A157" s="19" t="inlineStr">
        <is>
          <t>Export</t>
        </is>
      </c>
      <c r="B157" s="19" t="inlineStr">
        <is>
          <t>EX_PAY_RESERVE</t>
        </is>
      </c>
      <c r="C157" s="19" t="inlineStr">
        <is>
          <t>RELEASE_CONTINGENT</t>
        </is>
      </c>
      <c r="D157" s="19" t="n">
        <v>1</v>
      </c>
      <c r="E157" s="21" t="inlineStr">
        <is>
          <t>CONFIRMATION_OUTSTANDING</t>
        </is>
      </c>
      <c r="F157" s="19" t="inlineStr">
        <is>
          <t>DECREASE</t>
        </is>
      </c>
      <c r="G157" s="29">
        <f t="array" ref="G157">IF(OR($F157="DERIVED_FROM_SIGN",$F157="MIRRORED"),"runtime",IFERROR(IF(INDEX(Balance_Taxonomy!$C$5:$C$400,MATCH($E157,Balance_Taxonomy!$B$5:$B$400,0))="Dr",IF($F157="INCREASE","Dr","Cr"),IF($F157="INCREASE","Cr","Dr")),"n/a"))</f>
        <v/>
      </c>
      <c r="H157" s="19" t="inlineStr">
        <is>
          <t>DOCUMENT_AMOUNT</t>
        </is>
      </c>
      <c r="I157" s="21" t="inlineStr">
        <is>
          <t>presentation</t>
        </is>
      </c>
      <c r="J157" s="19" t="inlineStr">
        <is>
          <t>POST</t>
        </is>
      </c>
      <c r="K157" s="29">
        <f>IF(OR($E157="—",LEFT($E157,1)="("),"n/a",IF(COUNTIF(Balance_Taxonomy!$B$5:$B$400,$E157)&gt;0,"OK","UNKNOWN TYPE"))</f>
        <v/>
      </c>
      <c r="L157" s="29">
        <f>IF(COUNTIF(Amount_Basis!$A$5:$A$100,$H157)&gt;0,"OK","UNKNOWN CODE")</f>
        <v/>
      </c>
      <c r="M157" s="29">
        <f>IF($F157="DERIVED_FROM_SIGN",IF($G157="runtime","OK","INVALID - must be runtime"),IF(OR($J157="POST",$J157="MEMO_ONLY"),IF(OR($G157="Dr",$G157="Cr"),"OK","INVALID - must derive"),IF(OR($G157="n/a",$G157="runtime"),"OK","INVALID - must be n/a")))</f>
        <v/>
      </c>
      <c r="N157" s="29">
        <f t="array" ref="N157">IF($J157="MIRROR",IF($F157="MIRRORED","OK","INVALID - MIRROR needs MIRRORED"),IF(IFERROR(INDEX(Amount_Basis!$D$5:$D$100,MATCH($H157,Amount_Basis!$A$5:$A$100,0)),"")="SIGNED",IF($F157="DERIVED_FROM_SIGN","OK","INVALID - SIGNED basis needs DERIVED_FROM_SIGN"),IF(OR($F157="INCREASE",$F157="DECREASE",$F157="—"),"OK","INVALID - static direction required")))</f>
        <v/>
      </c>
      <c r="O157" s="19" t="inlineStr">
        <is>
          <t>§7.3</t>
        </is>
      </c>
    </row>
    <row r="158" ht="15" customHeight="1" s="40">
      <c r="A158" s="19" t="inlineStr">
        <is>
          <t>Export</t>
        </is>
      </c>
      <c r="B158" s="19" t="inlineStr">
        <is>
          <t>EX_PAY_RESERVE</t>
        </is>
      </c>
      <c r="C158" s="19" t="inlineStr">
        <is>
          <t>RELEASE_CONTINGENT</t>
        </is>
      </c>
      <c r="D158" s="19" t="n">
        <v>1</v>
      </c>
      <c r="E158" s="21" t="inlineStr">
        <is>
          <t>CONFIRMATION_EXPOSURE</t>
        </is>
      </c>
      <c r="F158" s="19" t="inlineStr">
        <is>
          <t>DECREASE</t>
        </is>
      </c>
      <c r="G158" s="29">
        <f t="array" ref="G158">IF(OR($F158="DERIVED_FROM_SIGN",$F158="MIRRORED"),"runtime",IFERROR(IF(INDEX(Balance_Taxonomy!$C$5:$C$400,MATCH($E158,Balance_Taxonomy!$B$5:$B$400,0))="Dr",IF($F158="INCREASE","Dr","Cr"),IF($F158="INCREASE","Cr","Dr")),"n/a"))</f>
        <v/>
      </c>
      <c r="H158" s="19" t="inlineStr">
        <is>
          <t>DOCUMENT_AMOUNT</t>
        </is>
      </c>
      <c r="I158" s="21" t="inlineStr">
        <is>
          <t>presentation</t>
        </is>
      </c>
      <c r="J158" s="19" t="inlineStr">
        <is>
          <t>POST</t>
        </is>
      </c>
      <c r="K158" s="29">
        <f>IF(OR($E158="—",LEFT($E158,1)="("),"n/a",IF(COUNTIF(Balance_Taxonomy!$B$5:$B$400,$E158)&gt;0,"OK","UNKNOWN TYPE"))</f>
        <v/>
      </c>
      <c r="L158" s="29">
        <f>IF(COUNTIF(Amount_Basis!$A$5:$A$100,$H158)&gt;0,"OK","UNKNOWN CODE")</f>
        <v/>
      </c>
      <c r="M158" s="29">
        <f>IF($F158="DERIVED_FROM_SIGN",IF($G158="runtime","OK","INVALID - must be runtime"),IF(OR($J158="POST",$J158="MEMO_ONLY"),IF(OR($G158="Dr",$G158="Cr"),"OK","INVALID - must derive"),IF(OR($G158="n/a",$G158="runtime"),"OK","INVALID - must be n/a")))</f>
        <v/>
      </c>
      <c r="N158" s="29">
        <f t="array" ref="N158">IF($J158="MIRROR",IF($F158="MIRRORED","OK","INVALID - MIRROR needs MIRRORED"),IF(IFERROR(INDEX(Amount_Basis!$D$5:$D$100,MATCH($H158,Amount_Basis!$A$5:$A$100,0)),"")="SIGNED",IF($F158="DERIVED_FROM_SIGN","OK","INVALID - SIGNED basis needs DERIVED_FROM_SIGN"),IF(OR($F158="INCREASE",$F158="DECREASE",$F158="—"),"OK","INVALID - static direction required")))</f>
        <v/>
      </c>
      <c r="O158" s="19" t="inlineStr">
        <is>
          <t>§7.3</t>
        </is>
      </c>
    </row>
    <row r="159" ht="15" customHeight="1" s="40">
      <c r="A159" s="19" t="inlineStr">
        <is>
          <t>Export</t>
        </is>
      </c>
      <c r="B159" s="19" t="inlineStr">
        <is>
          <t>EX_PAY_RESERVE</t>
        </is>
      </c>
      <c r="C159" s="19" t="inlineStr">
        <is>
          <t>RAISE_ADVANCE</t>
        </is>
      </c>
      <c r="D159" s="19" t="n">
        <v>2</v>
      </c>
      <c r="E159" s="21" t="inlineStr">
        <is>
          <t>ADVANCE_UNDER_RESERVE</t>
        </is>
      </c>
      <c r="F159" s="19" t="inlineStr">
        <is>
          <t>INCREASE</t>
        </is>
      </c>
      <c r="G159" s="29">
        <f t="array" ref="G159">IF(OR($F159="DERIVED_FROM_SIGN",$F159="MIRRORED"),"runtime",IFERROR(IF(INDEX(Balance_Taxonomy!$C$5:$C$400,MATCH($E159,Balance_Taxonomy!$B$5:$B$400,0))="Dr",IF($F159="INCREASE","Dr","Cr"),IF($F159="INCREASE","Cr","Dr")),"n/a"))</f>
        <v/>
      </c>
      <c r="H159" s="19" t="inlineStr">
        <is>
          <t>DOCUMENT_AMOUNT</t>
        </is>
      </c>
      <c r="I159" s="21" t="inlineStr">
        <is>
          <t>presentation — obligor = EXPORTER</t>
        </is>
      </c>
      <c r="J159" s="19" t="inlineStr">
        <is>
          <t>POST</t>
        </is>
      </c>
      <c r="K159" s="29">
        <f>IF(OR($E159="—",LEFT($E159,1)="("),"n/a",IF(COUNTIF(Balance_Taxonomy!$B$5:$B$400,$E159)&gt;0,"OK","UNKNOWN TYPE"))</f>
        <v/>
      </c>
      <c r="L159" s="29">
        <f>IF(COUNTIF(Amount_Basis!$A$5:$A$100,$H159)&gt;0,"OK","UNKNOWN CODE")</f>
        <v/>
      </c>
      <c r="M159" s="29">
        <f>IF($F159="DERIVED_FROM_SIGN",IF($G159="runtime","OK","INVALID - must be runtime"),IF(OR($J159="POST",$J159="MEMO_ONLY"),IF(OR($G159="Dr",$G159="Cr"),"OK","INVALID - must derive"),IF(OR($G159="n/a",$G159="runtime"),"OK","INVALID - must be n/a")))</f>
        <v/>
      </c>
      <c r="N159" s="29">
        <f t="array" ref="N159">IF($J159="MIRROR",IF($F159="MIRRORED","OK","INVALID - MIRROR needs MIRRORED"),IF(IFERROR(INDEX(Amount_Basis!$D$5:$D$100,MATCH($H159,Amount_Basis!$A$5:$A$100,0)),"")="SIGNED",IF($F159="DERIVED_FROM_SIGN","OK","INVALID - SIGNED basis needs DERIVED_FROM_SIGN"),IF(OR($F159="INCREASE",$F159="DECREASE",$F159="—"),"OK","INVALID - static direction required")))</f>
        <v/>
      </c>
      <c r="O159" s="19" t="inlineStr">
        <is>
          <t>§7.3</t>
        </is>
      </c>
    </row>
    <row r="160" ht="15" customHeight="1" s="40">
      <c r="A160" s="19" t="inlineStr">
        <is>
          <t>Export</t>
        </is>
      </c>
      <c r="B160" s="19" t="inlineStr">
        <is>
          <t>EX_PAY_RESERVE</t>
        </is>
      </c>
      <c r="C160" s="19" t="inlineStr">
        <is>
          <t>RAISE_ADVANCE</t>
        </is>
      </c>
      <c r="D160" s="19" t="n">
        <v>2</v>
      </c>
      <c r="E160" s="21" t="inlineStr">
        <is>
          <t>BENEFICIARY_ACCOUNT</t>
        </is>
      </c>
      <c r="F160" s="19" t="inlineStr">
        <is>
          <t>INCREASE</t>
        </is>
      </c>
      <c r="G160" s="29">
        <f t="array" ref="G160">IF(OR($F160="DERIVED_FROM_SIGN",$F160="MIRRORED"),"runtime",IFERROR(IF(INDEX(Balance_Taxonomy!$C$5:$C$400,MATCH($E160,Balance_Taxonomy!$B$5:$B$400,0))="Dr",IF($F160="INCREASE","Dr","Cr"),IF($F160="INCREASE","Cr","Dr")),"n/a"))</f>
        <v/>
      </c>
      <c r="H160" s="19" t="inlineStr">
        <is>
          <t>DOCUMENT_AMOUNT</t>
        </is>
      </c>
      <c r="I160" s="21" t="inlineStr">
        <is>
          <t>presentation</t>
        </is>
      </c>
      <c r="J160" s="19" t="inlineStr">
        <is>
          <t>POST</t>
        </is>
      </c>
      <c r="K160" s="29">
        <f>IF(OR($E160="—",LEFT($E160,1)="("),"n/a",IF(COUNTIF(Balance_Taxonomy!$B$5:$B$400,$E160)&gt;0,"OK","UNKNOWN TYPE"))</f>
        <v/>
      </c>
      <c r="L160" s="29">
        <f>IF(COUNTIF(Amount_Basis!$A$5:$A$100,$H160)&gt;0,"OK","UNKNOWN CODE")</f>
        <v/>
      </c>
      <c r="M160" s="29">
        <f>IF($F160="DERIVED_FROM_SIGN",IF($G160="runtime","OK","INVALID - must be runtime"),IF(OR($J160="POST",$J160="MEMO_ONLY"),IF(OR($G160="Dr",$G160="Cr"),"OK","INVALID - must derive"),IF(OR($G160="n/a",$G160="runtime"),"OK","INVALID - must be n/a")))</f>
        <v/>
      </c>
      <c r="N160" s="29">
        <f t="array" ref="N160">IF($J160="MIRROR",IF($F160="MIRRORED","OK","INVALID - MIRROR needs MIRRORED"),IF(IFERROR(INDEX(Amount_Basis!$D$5:$D$100,MATCH($H160,Amount_Basis!$A$5:$A$100,0)),"")="SIGNED",IF($F160="DERIVED_FROM_SIGN","OK","INVALID - SIGNED basis needs DERIVED_FROM_SIGN"),IF(OR($F160="INCREASE",$F160="DECREASE",$F160="—"),"OK","INVALID - static direction required")))</f>
        <v/>
      </c>
      <c r="O160" s="19" t="inlineStr">
        <is>
          <t>§7.3</t>
        </is>
      </c>
    </row>
    <row r="161" ht="15" customHeight="1" s="40">
      <c r="A161" s="14" t="inlineStr">
        <is>
          <t>Export</t>
        </is>
      </c>
      <c r="B161" s="14" t="inlineStr">
        <is>
          <t>CNF_HONOUR_SIGHT</t>
        </is>
      </c>
      <c r="C161" s="14" t="inlineStr">
        <is>
          <t>RELEASE_CONTINGENT</t>
        </is>
      </c>
      <c r="D161" s="14" t="n">
        <v>1</v>
      </c>
      <c r="E161" s="15" t="inlineStr">
        <is>
          <t>CONFIRMATION_OUTSTANDING</t>
        </is>
      </c>
      <c r="F161" s="14" t="inlineStr">
        <is>
          <t>DECREASE</t>
        </is>
      </c>
      <c r="G161" s="25">
        <f t="array" ref="G161">IF(OR($F161="DERIVED_FROM_SIGN",$F161="MIRRORED"),"runtime",IFERROR(IF(INDEX(Balance_Taxonomy!$C$5:$C$400,MATCH($E161,Balance_Taxonomy!$B$5:$B$400,0))="Dr",IF($F161="INCREASE","Dr","Cr"),IF($F161="INCREASE","Cr","Dr")),"n/a"))</f>
        <v/>
      </c>
      <c r="H161" s="14" t="inlineStr">
        <is>
          <t>DOCUMENT_AMOUNT</t>
        </is>
      </c>
      <c r="I161" s="15" t="inlineStr">
        <is>
          <t>presentation</t>
        </is>
      </c>
      <c r="J161" s="14" t="inlineStr">
        <is>
          <t>POST</t>
        </is>
      </c>
      <c r="K161" s="25">
        <f>IF(OR($E161="—",LEFT($E161,1)="("),"n/a",IF(COUNTIF(Balance_Taxonomy!$B$5:$B$400,$E161)&gt;0,"OK","UNKNOWN TYPE"))</f>
        <v/>
      </c>
      <c r="L161" s="25">
        <f>IF(COUNTIF(Amount_Basis!$A$5:$A$100,$H161)&gt;0,"OK","UNKNOWN CODE")</f>
        <v/>
      </c>
      <c r="M161" s="25">
        <f>IF($F161="DERIVED_FROM_SIGN",IF($G161="runtime","OK","INVALID - must be runtime"),IF(OR($J161="POST",$J161="MEMO_ONLY"),IF(OR($G161="Dr",$G161="Cr"),"OK","INVALID - must derive"),IF(OR($G161="n/a",$G161="runtime"),"OK","INVALID - must be n/a")))</f>
        <v/>
      </c>
      <c r="N161" s="25">
        <f t="array" ref="N161">IF($J161="MIRROR",IF($F161="MIRRORED","OK","INVALID - MIRROR needs MIRRORED"),IF(IFERROR(INDEX(Amount_Basis!$D$5:$D$100,MATCH($H161,Amount_Basis!$A$5:$A$100,0)),"")="SIGNED",IF($F161="DERIVED_FROM_SIGN","OK","INVALID - SIGNED basis needs DERIVED_FROM_SIGN"),IF(OR($F161="INCREASE",$F161="DECREASE",$F161="—"),"OK","INVALID - static direction required")))</f>
        <v/>
      </c>
      <c r="O161" s="14" t="inlineStr">
        <is>
          <t>§7.4a</t>
        </is>
      </c>
    </row>
    <row r="162" ht="15" customHeight="1" s="40">
      <c r="A162" s="14" t="inlineStr">
        <is>
          <t>Export</t>
        </is>
      </c>
      <c r="B162" s="14" t="inlineStr">
        <is>
          <t>CNF_HONOUR_SIGHT</t>
        </is>
      </c>
      <c r="C162" s="14" t="inlineStr">
        <is>
          <t>RELEASE_CONTINGENT</t>
        </is>
      </c>
      <c r="D162" s="14" t="n">
        <v>1</v>
      </c>
      <c r="E162" s="15" t="inlineStr">
        <is>
          <t>CONFIRMATION_EXPOSURE</t>
        </is>
      </c>
      <c r="F162" s="14" t="inlineStr">
        <is>
          <t>DECREASE</t>
        </is>
      </c>
      <c r="G162" s="25">
        <f t="array" ref="G162">IF(OR($F162="DERIVED_FROM_SIGN",$F162="MIRRORED"),"runtime",IFERROR(IF(INDEX(Balance_Taxonomy!$C$5:$C$400,MATCH($E162,Balance_Taxonomy!$B$5:$B$400,0))="Dr",IF($F162="INCREASE","Dr","Cr"),IF($F162="INCREASE","Cr","Dr")),"n/a"))</f>
        <v/>
      </c>
      <c r="H162" s="14" t="inlineStr">
        <is>
          <t>DOCUMENT_AMOUNT</t>
        </is>
      </c>
      <c r="I162" s="15" t="inlineStr">
        <is>
          <t>presentation</t>
        </is>
      </c>
      <c r="J162" s="14" t="inlineStr">
        <is>
          <t>POST</t>
        </is>
      </c>
      <c r="K162" s="25">
        <f>IF(OR($E162="—",LEFT($E162,1)="("),"n/a",IF(COUNTIF(Balance_Taxonomy!$B$5:$B$400,$E162)&gt;0,"OK","UNKNOWN TYPE"))</f>
        <v/>
      </c>
      <c r="L162" s="25">
        <f>IF(COUNTIF(Amount_Basis!$A$5:$A$100,$H162)&gt;0,"OK","UNKNOWN CODE")</f>
        <v/>
      </c>
      <c r="M162" s="25">
        <f>IF($F162="DERIVED_FROM_SIGN",IF($G162="runtime","OK","INVALID - must be runtime"),IF(OR($J162="POST",$J162="MEMO_ONLY"),IF(OR($G162="Dr",$G162="Cr"),"OK","INVALID - must derive"),IF(OR($G162="n/a",$G162="runtime"),"OK","INVALID - must be n/a")))</f>
        <v/>
      </c>
      <c r="N162" s="25">
        <f t="array" ref="N162">IF($J162="MIRROR",IF($F162="MIRRORED","OK","INVALID - MIRROR needs MIRRORED"),IF(IFERROR(INDEX(Amount_Basis!$D$5:$D$100,MATCH($H162,Amount_Basis!$A$5:$A$100,0)),"")="SIGNED",IF($F162="DERIVED_FROM_SIGN","OK","INVALID - SIGNED basis needs DERIVED_FROM_SIGN"),IF(OR($F162="INCREASE",$F162="DECREASE",$F162="—"),"OK","INVALID - static direction required")))</f>
        <v/>
      </c>
      <c r="O162" s="14" t="inlineStr">
        <is>
          <t>§7.4a</t>
        </is>
      </c>
    </row>
    <row r="163" ht="15" customHeight="1" s="40">
      <c r="A163" s="14" t="inlineStr">
        <is>
          <t>Export</t>
        </is>
      </c>
      <c r="B163" s="14" t="inlineStr">
        <is>
          <t>CNF_HONOUR_SIGHT</t>
        </is>
      </c>
      <c r="C163" s="14" t="inlineStr">
        <is>
          <t>HONOUR</t>
        </is>
      </c>
      <c r="D163" s="14" t="n">
        <v>2</v>
      </c>
      <c r="E163" s="15" t="inlineStr">
        <is>
          <t>DUE_FROM_ISSUING_BANK</t>
        </is>
      </c>
      <c r="F163" s="14" t="inlineStr">
        <is>
          <t>INCREASE</t>
        </is>
      </c>
      <c r="G163" s="25">
        <f t="array" ref="G163">IF(OR($F163="DERIVED_FROM_SIGN",$F163="MIRRORED"),"runtime",IFERROR(IF(INDEX(Balance_Taxonomy!$C$5:$C$400,MATCH($E163,Balance_Taxonomy!$B$5:$B$400,0))="Dr",IF($F163="INCREASE","Dr","Cr"),IF($F163="INCREASE","Cr","Dr")),"n/a"))</f>
        <v/>
      </c>
      <c r="H163" s="14" t="inlineStr">
        <is>
          <t>DOCUMENT_AMOUNT</t>
        </is>
      </c>
      <c r="I163" s="15" t="inlineStr">
        <is>
          <t>presentation — claim AT SIGHT</t>
        </is>
      </c>
      <c r="J163" s="14" t="inlineStr">
        <is>
          <t>POST</t>
        </is>
      </c>
      <c r="K163" s="25">
        <f>IF(OR($E163="—",LEFT($E163,1)="("),"n/a",IF(COUNTIF(Balance_Taxonomy!$B$5:$B$400,$E163)&gt;0,"OK","UNKNOWN TYPE"))</f>
        <v/>
      </c>
      <c r="L163" s="25">
        <f>IF(COUNTIF(Amount_Basis!$A$5:$A$100,$H163)&gt;0,"OK","UNKNOWN CODE")</f>
        <v/>
      </c>
      <c r="M163" s="25">
        <f>IF($F163="DERIVED_FROM_SIGN",IF($G163="runtime","OK","INVALID - must be runtime"),IF(OR($J163="POST",$J163="MEMO_ONLY"),IF(OR($G163="Dr",$G163="Cr"),"OK","INVALID - must derive"),IF(OR($G163="n/a",$G163="runtime"),"OK","INVALID - must be n/a")))</f>
        <v/>
      </c>
      <c r="N163" s="25">
        <f t="array" ref="N163">IF($J163="MIRROR",IF($F163="MIRRORED","OK","INVALID - MIRROR needs MIRRORED"),IF(IFERROR(INDEX(Amount_Basis!$D$5:$D$100,MATCH($H163,Amount_Basis!$A$5:$A$100,0)),"")="SIGNED",IF($F163="DERIVED_FROM_SIGN","OK","INVALID - SIGNED basis needs DERIVED_FROM_SIGN"),IF(OR($F163="INCREASE",$F163="DECREASE",$F163="—"),"OK","INVALID - static direction required")))</f>
        <v/>
      </c>
      <c r="O163" s="14" t="inlineStr">
        <is>
          <t>§7.4a</t>
        </is>
      </c>
    </row>
    <row r="164" ht="15" customHeight="1" s="40">
      <c r="A164" s="14" t="inlineStr">
        <is>
          <t>Export</t>
        </is>
      </c>
      <c r="B164" s="14" t="inlineStr">
        <is>
          <t>CNF_HONOUR_SIGHT</t>
        </is>
      </c>
      <c r="C164" s="14" t="inlineStr">
        <is>
          <t>HONOUR</t>
        </is>
      </c>
      <c r="D164" s="14" t="n">
        <v>2</v>
      </c>
      <c r="E164" s="15" t="inlineStr">
        <is>
          <t>BENEFICIARY_ACCOUNT</t>
        </is>
      </c>
      <c r="F164" s="14" t="inlineStr">
        <is>
          <t>INCREASE</t>
        </is>
      </c>
      <c r="G164" s="25">
        <f t="array" ref="G164">IF(OR($F164="DERIVED_FROM_SIGN",$F164="MIRRORED"),"runtime",IFERROR(IF(INDEX(Balance_Taxonomy!$C$5:$C$400,MATCH($E164,Balance_Taxonomy!$B$5:$B$400,0))="Dr",IF($F164="INCREASE","Dr","Cr"),IF($F164="INCREASE","Cr","Dr")),"n/a"))</f>
        <v/>
      </c>
      <c r="H164" s="14" t="inlineStr">
        <is>
          <t>DOCUMENT_AMOUNT</t>
        </is>
      </c>
      <c r="I164" s="15" t="inlineStr">
        <is>
          <t>presentation</t>
        </is>
      </c>
      <c r="J164" s="14" t="inlineStr">
        <is>
          <t>POST</t>
        </is>
      </c>
      <c r="K164" s="25">
        <f>IF(OR($E164="—",LEFT($E164,1)="("),"n/a",IF(COUNTIF(Balance_Taxonomy!$B$5:$B$400,$E164)&gt;0,"OK","UNKNOWN TYPE"))</f>
        <v/>
      </c>
      <c r="L164" s="25">
        <f>IF(COUNTIF(Amount_Basis!$A$5:$A$100,$H164)&gt;0,"OK","UNKNOWN CODE")</f>
        <v/>
      </c>
      <c r="M164" s="25">
        <f>IF($F164="DERIVED_FROM_SIGN",IF($G164="runtime","OK","INVALID - must be runtime"),IF(OR($J164="POST",$J164="MEMO_ONLY"),IF(OR($G164="Dr",$G164="Cr"),"OK","INVALID - must derive"),IF(OR($G164="n/a",$G164="runtime"),"OK","INVALID - must be n/a")))</f>
        <v/>
      </c>
      <c r="N164" s="25">
        <f t="array" ref="N164">IF($J164="MIRROR",IF($F164="MIRRORED","OK","INVALID - MIRROR needs MIRRORED"),IF(IFERROR(INDEX(Amount_Basis!$D$5:$D$100,MATCH($H164,Amount_Basis!$A$5:$A$100,0)),"")="SIGNED",IF($F164="DERIVED_FROM_SIGN","OK","INVALID - SIGNED basis needs DERIVED_FROM_SIGN"),IF(OR($F164="INCREASE",$F164="DECREASE",$F164="—"),"OK","INVALID - static direction required")))</f>
        <v/>
      </c>
      <c r="O164" s="14" t="inlineStr">
        <is>
          <t>§7.4a</t>
        </is>
      </c>
    </row>
    <row r="165" ht="15" customHeight="1" s="40">
      <c r="A165" s="14" t="inlineStr">
        <is>
          <t>Export</t>
        </is>
      </c>
      <c r="B165" s="14" t="inlineStr">
        <is>
          <t>CNF_HONOUR_SIGHT</t>
        </is>
      </c>
      <c r="C165" s="14" t="inlineStr">
        <is>
          <t>RELEASE_ECL</t>
        </is>
      </c>
      <c r="D165" s="14" t="n">
        <v>3</v>
      </c>
      <c r="E165" s="15" t="inlineStr">
        <is>
          <t>PROVISION_OFFBS</t>
        </is>
      </c>
      <c r="F165" s="14" t="inlineStr">
        <is>
          <t>DECREASE</t>
        </is>
      </c>
      <c r="G165" s="25">
        <f t="array" ref="G165">IF(OR($F165="DERIVED_FROM_SIGN",$F165="MIRRORED"),"runtime",IFERROR(IF(INDEX(Balance_Taxonomy!$C$5:$C$400,MATCH($E165,Balance_Taxonomy!$B$5:$B$400,0))="Dr",IF($F165="INCREASE","Dr","Cr"),IF($F165="INCREASE","Cr","Dr")),"n/a"))</f>
        <v/>
      </c>
      <c r="H165" s="14" t="inlineStr">
        <is>
          <t>ECL_RELEASED</t>
        </is>
      </c>
      <c r="I165" s="15" t="inlineStr">
        <is>
          <t>ECL on released contingent</t>
        </is>
      </c>
      <c r="J165" s="14" t="inlineStr">
        <is>
          <t>POST</t>
        </is>
      </c>
      <c r="K165" s="25">
        <f>IF(OR($E165="—",LEFT($E165,1)="("),"n/a",IF(COUNTIF(Balance_Taxonomy!$B$5:$B$400,$E165)&gt;0,"OK","UNKNOWN TYPE"))</f>
        <v/>
      </c>
      <c r="L165" s="25">
        <f>IF(COUNTIF(Amount_Basis!$A$5:$A$100,$H165)&gt;0,"OK","UNKNOWN CODE")</f>
        <v/>
      </c>
      <c r="M165" s="25">
        <f>IF($F165="DERIVED_FROM_SIGN",IF($G165="runtime","OK","INVALID - must be runtime"),IF(OR($J165="POST",$J165="MEMO_ONLY"),IF(OR($G165="Dr",$G165="Cr"),"OK","INVALID - must derive"),IF(OR($G165="n/a",$G165="runtime"),"OK","INVALID - must be n/a")))</f>
        <v/>
      </c>
      <c r="N165" s="25">
        <f t="array" ref="N165">IF($J165="MIRROR",IF($F165="MIRRORED","OK","INVALID - MIRROR needs MIRRORED"),IF(IFERROR(INDEX(Amount_Basis!$D$5:$D$100,MATCH($H165,Amount_Basis!$A$5:$A$100,0)),"")="SIGNED",IF($F165="DERIVED_FROM_SIGN","OK","INVALID - SIGNED basis needs DERIVED_FROM_SIGN"),IF(OR($F165="INCREASE",$F165="DECREASE",$F165="—"),"OK","INVALID - static direction required")))</f>
        <v/>
      </c>
      <c r="O165" s="14" t="inlineStr">
        <is>
          <t>§7.4a</t>
        </is>
      </c>
    </row>
    <row r="166" ht="15" customHeight="1" s="40">
      <c r="A166" s="14" t="inlineStr">
        <is>
          <t>Export</t>
        </is>
      </c>
      <c r="B166" s="14" t="inlineStr">
        <is>
          <t>CNF_HONOUR_SIGHT</t>
        </is>
      </c>
      <c r="C166" s="14" t="inlineStr">
        <is>
          <t>RELEASE_ECL</t>
        </is>
      </c>
      <c r="D166" s="14" t="n">
        <v>3</v>
      </c>
      <c r="E166" s="15" t="inlineStr">
        <is>
          <t>IMPAIRMENT_CHARGE_OFFBS</t>
        </is>
      </c>
      <c r="F166" s="14" t="inlineStr">
        <is>
          <t>DECREASE</t>
        </is>
      </c>
      <c r="G166" s="25">
        <f t="array" ref="G166">IF(OR($F166="DERIVED_FROM_SIGN",$F166="MIRRORED"),"runtime",IFERROR(IF(INDEX(Balance_Taxonomy!$C$5:$C$400,MATCH($E166,Balance_Taxonomy!$B$5:$B$400,0))="Dr",IF($F166="INCREASE","Dr","Cr"),IF($F166="INCREASE","Cr","Dr")),"n/a"))</f>
        <v/>
      </c>
      <c r="H166" s="14" t="inlineStr">
        <is>
          <t>ECL_RELEASED</t>
        </is>
      </c>
      <c r="I166" s="15" t="inlineStr">
        <is>
          <t>ECL on released contingent</t>
        </is>
      </c>
      <c r="J166" s="14" t="inlineStr">
        <is>
          <t>POST</t>
        </is>
      </c>
      <c r="K166" s="25">
        <f>IF(OR($E166="—",LEFT($E166,1)="("),"n/a",IF(COUNTIF(Balance_Taxonomy!$B$5:$B$400,$E166)&gt;0,"OK","UNKNOWN TYPE"))</f>
        <v/>
      </c>
      <c r="L166" s="25">
        <f>IF(COUNTIF(Amount_Basis!$A$5:$A$100,$H166)&gt;0,"OK","UNKNOWN CODE")</f>
        <v/>
      </c>
      <c r="M166" s="25">
        <f>IF($F166="DERIVED_FROM_SIGN",IF($G166="runtime","OK","INVALID - must be runtime"),IF(OR($J166="POST",$J166="MEMO_ONLY"),IF(OR($G166="Dr",$G166="Cr"),"OK","INVALID - must derive"),IF(OR($G166="n/a",$G166="runtime"),"OK","INVALID - must be n/a")))</f>
        <v/>
      </c>
      <c r="N166" s="25">
        <f t="array" ref="N166">IF($J166="MIRROR",IF($F166="MIRRORED","OK","INVALID - MIRROR needs MIRRORED"),IF(IFERROR(INDEX(Amount_Basis!$D$5:$D$100,MATCH($H166,Amount_Basis!$A$5:$A$100,0)),"")="SIGNED",IF($F166="DERIVED_FROM_SIGN","OK","INVALID - SIGNED basis needs DERIVED_FROM_SIGN"),IF(OR($F166="INCREASE",$F166="DECREASE",$F166="—"),"OK","INVALID - static direction required")))</f>
        <v/>
      </c>
      <c r="O166" s="14" t="inlineStr">
        <is>
          <t>§7.4a</t>
        </is>
      </c>
    </row>
    <row r="167" ht="15" customHeight="1" s="40">
      <c r="A167" s="19" t="inlineStr">
        <is>
          <t>Export</t>
        </is>
      </c>
      <c r="B167" s="19" t="inlineStr">
        <is>
          <t>CNF_HONOUR_BU</t>
        </is>
      </c>
      <c r="C167" s="19" t="inlineStr">
        <is>
          <t>RELEASE_CONTINGENT</t>
        </is>
      </c>
      <c r="D167" s="19" t="n">
        <v>1</v>
      </c>
      <c r="E167" s="21" t="inlineStr">
        <is>
          <t>CONFIRMATION_OUTSTANDING</t>
        </is>
      </c>
      <c r="F167" s="19" t="inlineStr">
        <is>
          <t>DECREASE</t>
        </is>
      </c>
      <c r="G167" s="29">
        <f t="array" ref="G167">IF(OR($F167="DERIVED_FROM_SIGN",$F167="MIRRORED"),"runtime",IFERROR(IF(INDEX(Balance_Taxonomy!$C$5:$C$400,MATCH($E167,Balance_Taxonomy!$B$5:$B$400,0))="Dr",IF($F167="INCREASE","Dr","Cr"),IF($F167="INCREASE","Cr","Dr")),"n/a"))</f>
        <v/>
      </c>
      <c r="H167" s="19" t="inlineStr">
        <is>
          <t>DOCUMENT_AMOUNT</t>
        </is>
      </c>
      <c r="I167" s="21" t="inlineStr">
        <is>
          <t>presentation</t>
        </is>
      </c>
      <c r="J167" s="19" t="inlineStr">
        <is>
          <t>POST</t>
        </is>
      </c>
      <c r="K167" s="29">
        <f>IF(OR($E167="—",LEFT($E167,1)="("),"n/a",IF(COUNTIF(Balance_Taxonomy!$B$5:$B$400,$E167)&gt;0,"OK","UNKNOWN TYPE"))</f>
        <v/>
      </c>
      <c r="L167" s="29">
        <f>IF(COUNTIF(Amount_Basis!$A$5:$A$100,$H167)&gt;0,"OK","UNKNOWN CODE")</f>
        <v/>
      </c>
      <c r="M167" s="29">
        <f>IF($F167="DERIVED_FROM_SIGN",IF($G167="runtime","OK","INVALID - must be runtime"),IF(OR($J167="POST",$J167="MEMO_ONLY"),IF(OR($G167="Dr",$G167="Cr"),"OK","INVALID - must derive"),IF(OR($G167="n/a",$G167="runtime"),"OK","INVALID - must be n/a")))</f>
        <v/>
      </c>
      <c r="N167" s="29">
        <f t="array" ref="N167">IF($J167="MIRROR",IF($F167="MIRRORED","OK","INVALID - MIRROR needs MIRRORED"),IF(IFERROR(INDEX(Amount_Basis!$D$5:$D$100,MATCH($H167,Amount_Basis!$A$5:$A$100,0)),"")="SIGNED",IF($F167="DERIVED_FROM_SIGN","OK","INVALID - SIGNED basis needs DERIVED_FROM_SIGN"),IF(OR($F167="INCREASE",$F167="DECREASE",$F167="—"),"OK","INVALID - static direction required")))</f>
        <v/>
      </c>
      <c r="O167" s="19" t="inlineStr">
        <is>
          <t>§7.5</t>
        </is>
      </c>
    </row>
    <row r="168" ht="15" customHeight="1" s="40">
      <c r="A168" s="19" t="inlineStr">
        <is>
          <t>Export</t>
        </is>
      </c>
      <c r="B168" s="19" t="inlineStr">
        <is>
          <t>CNF_HONOUR_BU</t>
        </is>
      </c>
      <c r="C168" s="19" t="inlineStr">
        <is>
          <t>RELEASE_CONTINGENT</t>
        </is>
      </c>
      <c r="D168" s="19" t="n">
        <v>1</v>
      </c>
      <c r="E168" s="21" t="inlineStr">
        <is>
          <t>CONFIRMATION_EXPOSURE</t>
        </is>
      </c>
      <c r="F168" s="19" t="inlineStr">
        <is>
          <t>DECREASE</t>
        </is>
      </c>
      <c r="G168" s="29">
        <f t="array" ref="G168">IF(OR($F168="DERIVED_FROM_SIGN",$F168="MIRRORED"),"runtime",IFERROR(IF(INDEX(Balance_Taxonomy!$C$5:$C$400,MATCH($E168,Balance_Taxonomy!$B$5:$B$400,0))="Dr",IF($F168="INCREASE","Dr","Cr"),IF($F168="INCREASE","Cr","Dr")),"n/a"))</f>
        <v/>
      </c>
      <c r="H168" s="19" t="inlineStr">
        <is>
          <t>DOCUMENT_AMOUNT</t>
        </is>
      </c>
      <c r="I168" s="21" t="inlineStr">
        <is>
          <t>presentation</t>
        </is>
      </c>
      <c r="J168" s="19" t="inlineStr">
        <is>
          <t>POST</t>
        </is>
      </c>
      <c r="K168" s="29">
        <f>IF(OR($E168="—",LEFT($E168,1)="("),"n/a",IF(COUNTIF(Balance_Taxonomy!$B$5:$B$400,$E168)&gt;0,"OK","UNKNOWN TYPE"))</f>
        <v/>
      </c>
      <c r="L168" s="29">
        <f>IF(COUNTIF(Amount_Basis!$A$5:$A$100,$H168)&gt;0,"OK","UNKNOWN CODE")</f>
        <v/>
      </c>
      <c r="M168" s="29">
        <f>IF($F168="DERIVED_FROM_SIGN",IF($G168="runtime","OK","INVALID - must be runtime"),IF(OR($J168="POST",$J168="MEMO_ONLY"),IF(OR($G168="Dr",$G168="Cr"),"OK","INVALID - must derive"),IF(OR($G168="n/a",$G168="runtime"),"OK","INVALID - must be n/a")))</f>
        <v/>
      </c>
      <c r="N168" s="29">
        <f t="array" ref="N168">IF($J168="MIRROR",IF($F168="MIRRORED","OK","INVALID - MIRROR needs MIRRORED"),IF(IFERROR(INDEX(Amount_Basis!$D$5:$D$100,MATCH($H168,Amount_Basis!$A$5:$A$100,0)),"")="SIGNED",IF($F168="DERIVED_FROM_SIGN","OK","INVALID - SIGNED basis needs DERIVED_FROM_SIGN"),IF(OR($F168="INCREASE",$F168="DECREASE",$F168="—"),"OK","INVALID - static direction required")))</f>
        <v/>
      </c>
      <c r="O168" s="19" t="inlineStr">
        <is>
          <t>§7.5</t>
        </is>
      </c>
    </row>
    <row r="169" ht="15" customHeight="1" s="40">
      <c r="A169" s="19" t="inlineStr">
        <is>
          <t>Export</t>
        </is>
      </c>
      <c r="B169" s="19" t="inlineStr">
        <is>
          <t>CNF_HONOUR_BU</t>
        </is>
      </c>
      <c r="C169" s="19" t="inlineStr">
        <is>
          <t>HONOUR</t>
        </is>
      </c>
      <c r="D169" s="19" t="n">
        <v>2</v>
      </c>
      <c r="E169" s="21" t="inlineStr">
        <is>
          <t>DUE_FROM_ISSUING_BANK</t>
        </is>
      </c>
      <c r="F169" s="19" t="inlineStr">
        <is>
          <t>INCREASE</t>
        </is>
      </c>
      <c r="G169" s="29">
        <f t="array" ref="G169">IF(OR($F169="DERIVED_FROM_SIGN",$F169="MIRRORED"),"runtime",IFERROR(IF(INDEX(Balance_Taxonomy!$C$5:$C$400,MATCH($E169,Balance_Taxonomy!$B$5:$B$400,0))="Dr",IF($F169="INCREASE","Dr","Cr"),IF($F169="INCREASE","Cr","Dr")),"n/a"))</f>
        <v/>
      </c>
      <c r="H169" s="19" t="inlineStr">
        <is>
          <t>DOCUMENT_AMOUNT</t>
        </is>
      </c>
      <c r="I169" s="21" t="inlineStr">
        <is>
          <t>presentation — claim AT SIGHT</t>
        </is>
      </c>
      <c r="J169" s="19" t="inlineStr">
        <is>
          <t>POST</t>
        </is>
      </c>
      <c r="K169" s="29">
        <f>IF(OR($E169="—",LEFT($E169,1)="("),"n/a",IF(COUNTIF(Balance_Taxonomy!$B$5:$B$400,$E169)&gt;0,"OK","UNKNOWN TYPE"))</f>
        <v/>
      </c>
      <c r="L169" s="29">
        <f>IF(COUNTIF(Amount_Basis!$A$5:$A$100,$H169)&gt;0,"OK","UNKNOWN CODE")</f>
        <v/>
      </c>
      <c r="M169" s="29">
        <f>IF($F169="DERIVED_FROM_SIGN",IF($G169="runtime","OK","INVALID - must be runtime"),IF(OR($J169="POST",$J169="MEMO_ONLY"),IF(OR($G169="Dr",$G169="Cr"),"OK","INVALID - must derive"),IF(OR($G169="n/a",$G169="runtime"),"OK","INVALID - must be n/a")))</f>
        <v/>
      </c>
      <c r="N169" s="29">
        <f t="array" ref="N169">IF($J169="MIRROR",IF($F169="MIRRORED","OK","INVALID - MIRROR needs MIRRORED"),IF(IFERROR(INDEX(Amount_Basis!$D$5:$D$100,MATCH($H169,Amount_Basis!$A$5:$A$100,0)),"")="SIGNED",IF($F169="DERIVED_FROM_SIGN","OK","INVALID - SIGNED basis needs DERIVED_FROM_SIGN"),IF(OR($F169="INCREASE",$F169="DECREASE",$F169="—"),"OK","INVALID - static direction required")))</f>
        <v/>
      </c>
      <c r="O169" s="19" t="inlineStr">
        <is>
          <t>§7.5</t>
        </is>
      </c>
    </row>
    <row r="170" ht="15" customHeight="1" s="40">
      <c r="A170" s="19" t="inlineStr">
        <is>
          <t>Export</t>
        </is>
      </c>
      <c r="B170" s="19" t="inlineStr">
        <is>
          <t>CNF_HONOUR_BU</t>
        </is>
      </c>
      <c r="C170" s="19" t="inlineStr">
        <is>
          <t>HONOUR</t>
        </is>
      </c>
      <c r="D170" s="19" t="n">
        <v>2</v>
      </c>
      <c r="E170" s="21" t="inlineStr">
        <is>
          <t>BENEFICIARY_ACCOUNT</t>
        </is>
      </c>
      <c r="F170" s="19" t="inlineStr">
        <is>
          <t>INCREASE</t>
        </is>
      </c>
      <c r="G170" s="29">
        <f t="array" ref="G170">IF(OR($F170="DERIVED_FROM_SIGN",$F170="MIRRORED"),"runtime",IFERROR(IF(INDEX(Balance_Taxonomy!$C$5:$C$400,MATCH($E170,Balance_Taxonomy!$B$5:$B$400,0))="Dr",IF($F170="INCREASE","Dr","Cr"),IF($F170="INCREASE","Cr","Dr")),"n/a"))</f>
        <v/>
      </c>
      <c r="H170" s="19" t="inlineStr">
        <is>
          <t>DOCUMENT_AMOUNT</t>
        </is>
      </c>
      <c r="I170" s="21" t="inlineStr">
        <is>
          <t>presentation</t>
        </is>
      </c>
      <c r="J170" s="19" t="inlineStr">
        <is>
          <t>POST</t>
        </is>
      </c>
      <c r="K170" s="29">
        <f>IF(OR($E170="—",LEFT($E170,1)="("),"n/a",IF(COUNTIF(Balance_Taxonomy!$B$5:$B$400,$E170)&gt;0,"OK","UNKNOWN TYPE"))</f>
        <v/>
      </c>
      <c r="L170" s="29">
        <f>IF(COUNTIF(Amount_Basis!$A$5:$A$100,$H170)&gt;0,"OK","UNKNOWN CODE")</f>
        <v/>
      </c>
      <c r="M170" s="29">
        <f>IF($F170="DERIVED_FROM_SIGN",IF($G170="runtime","OK","INVALID - must be runtime"),IF(OR($J170="POST",$J170="MEMO_ONLY"),IF(OR($G170="Dr",$G170="Cr"),"OK","INVALID - must derive"),IF(OR($G170="n/a",$G170="runtime"),"OK","INVALID - must be n/a")))</f>
        <v/>
      </c>
      <c r="N170" s="29">
        <f t="array" ref="N170">IF($J170="MIRROR",IF($F170="MIRRORED","OK","INVALID - MIRROR needs MIRRORED"),IF(IFERROR(INDEX(Amount_Basis!$D$5:$D$100,MATCH($H170,Amount_Basis!$A$5:$A$100,0)),"")="SIGNED",IF($F170="DERIVED_FROM_SIGN","OK","INVALID - SIGNED basis needs DERIVED_FROM_SIGN"),IF(OR($F170="INCREASE",$F170="DECREASE",$F170="—"),"OK","INVALID - static direction required")))</f>
        <v/>
      </c>
      <c r="O170" s="19" t="inlineStr">
        <is>
          <t>§7.5</t>
        </is>
      </c>
    </row>
    <row r="171" ht="15" customHeight="1" s="40">
      <c r="A171" s="19" t="inlineStr">
        <is>
          <t>Export</t>
        </is>
      </c>
      <c r="B171" s="19" t="inlineStr">
        <is>
          <t>CNF_HONOUR_BU</t>
        </is>
      </c>
      <c r="C171" s="19" t="inlineStr">
        <is>
          <t>RELEASE_ECL</t>
        </is>
      </c>
      <c r="D171" s="19" t="n">
        <v>3</v>
      </c>
      <c r="E171" s="21" t="inlineStr">
        <is>
          <t>PROVISION_OFFBS</t>
        </is>
      </c>
      <c r="F171" s="19" t="inlineStr">
        <is>
          <t>DECREASE</t>
        </is>
      </c>
      <c r="G171" s="29">
        <f t="array" ref="G171">IF(OR($F171="DERIVED_FROM_SIGN",$F171="MIRRORED"),"runtime",IFERROR(IF(INDEX(Balance_Taxonomy!$C$5:$C$400,MATCH($E171,Balance_Taxonomy!$B$5:$B$400,0))="Dr",IF($F171="INCREASE","Dr","Cr"),IF($F171="INCREASE","Cr","Dr")),"n/a"))</f>
        <v/>
      </c>
      <c r="H171" s="19" t="inlineStr">
        <is>
          <t>ECL_RELEASED</t>
        </is>
      </c>
      <c r="I171" s="21" t="inlineStr">
        <is>
          <t>ECL on released contingent</t>
        </is>
      </c>
      <c r="J171" s="19" t="inlineStr">
        <is>
          <t>POST</t>
        </is>
      </c>
      <c r="K171" s="29">
        <f>IF(OR($E171="—",LEFT($E171,1)="("),"n/a",IF(COUNTIF(Balance_Taxonomy!$B$5:$B$400,$E171)&gt;0,"OK","UNKNOWN TYPE"))</f>
        <v/>
      </c>
      <c r="L171" s="29">
        <f>IF(COUNTIF(Amount_Basis!$A$5:$A$100,$H171)&gt;0,"OK","UNKNOWN CODE")</f>
        <v/>
      </c>
      <c r="M171" s="29">
        <f>IF($F171="DERIVED_FROM_SIGN",IF($G171="runtime","OK","INVALID - must be runtime"),IF(OR($J171="POST",$J171="MEMO_ONLY"),IF(OR($G171="Dr",$G171="Cr"),"OK","INVALID - must derive"),IF(OR($G171="n/a",$G171="runtime"),"OK","INVALID - must be n/a")))</f>
        <v/>
      </c>
      <c r="N171" s="29">
        <f t="array" ref="N171">IF($J171="MIRROR",IF($F171="MIRRORED","OK","INVALID - MIRROR needs MIRRORED"),IF(IFERROR(INDEX(Amount_Basis!$D$5:$D$100,MATCH($H171,Amount_Basis!$A$5:$A$100,0)),"")="SIGNED",IF($F171="DERIVED_FROM_SIGN","OK","INVALID - SIGNED basis needs DERIVED_FROM_SIGN"),IF(OR($F171="INCREASE",$F171="DECREASE",$F171="—"),"OK","INVALID - static direction required")))</f>
        <v/>
      </c>
      <c r="O171" s="19" t="inlineStr">
        <is>
          <t>§7.5</t>
        </is>
      </c>
    </row>
    <row r="172" ht="15" customHeight="1" s="40">
      <c r="A172" s="19" t="inlineStr">
        <is>
          <t>Export</t>
        </is>
      </c>
      <c r="B172" s="19" t="inlineStr">
        <is>
          <t>CNF_HONOUR_BU</t>
        </is>
      </c>
      <c r="C172" s="19" t="inlineStr">
        <is>
          <t>RELEASE_ECL</t>
        </is>
      </c>
      <c r="D172" s="19" t="n">
        <v>3</v>
      </c>
      <c r="E172" s="21" t="inlineStr">
        <is>
          <t>IMPAIRMENT_CHARGE_OFFBS</t>
        </is>
      </c>
      <c r="F172" s="19" t="inlineStr">
        <is>
          <t>DECREASE</t>
        </is>
      </c>
      <c r="G172" s="29">
        <f t="array" ref="G172">IF(OR($F172="DERIVED_FROM_SIGN",$F172="MIRRORED"),"runtime",IFERROR(IF(INDEX(Balance_Taxonomy!$C$5:$C$400,MATCH($E172,Balance_Taxonomy!$B$5:$B$400,0))="Dr",IF($F172="INCREASE","Dr","Cr"),IF($F172="INCREASE","Cr","Dr")),"n/a"))</f>
        <v/>
      </c>
      <c r="H172" s="19" t="inlineStr">
        <is>
          <t>ECL_RELEASED</t>
        </is>
      </c>
      <c r="I172" s="21" t="inlineStr">
        <is>
          <t>ECL on released contingent</t>
        </is>
      </c>
      <c r="J172" s="19" t="inlineStr">
        <is>
          <t>POST</t>
        </is>
      </c>
      <c r="K172" s="29">
        <f>IF(OR($E172="—",LEFT($E172,1)="("),"n/a",IF(COUNTIF(Balance_Taxonomy!$B$5:$B$400,$E172)&gt;0,"OK","UNKNOWN TYPE"))</f>
        <v/>
      </c>
      <c r="L172" s="29">
        <f>IF(COUNTIF(Amount_Basis!$A$5:$A$100,$H172)&gt;0,"OK","UNKNOWN CODE")</f>
        <v/>
      </c>
      <c r="M172" s="29">
        <f>IF($F172="DERIVED_FROM_SIGN",IF($G172="runtime","OK","INVALID - must be runtime"),IF(OR($J172="POST",$J172="MEMO_ONLY"),IF(OR($G172="Dr",$G172="Cr"),"OK","INVALID - must derive"),IF(OR($G172="n/a",$G172="runtime"),"OK","INVALID - must be n/a")))</f>
        <v/>
      </c>
      <c r="N172" s="29">
        <f t="array" ref="N172">IF($J172="MIRROR",IF($F172="MIRRORED","OK","INVALID - MIRROR needs MIRRORED"),IF(IFERROR(INDEX(Amount_Basis!$D$5:$D$100,MATCH($H172,Amount_Basis!$A$5:$A$100,0)),"")="SIGNED",IF($F172="DERIVED_FROM_SIGN","OK","INVALID - SIGNED basis needs DERIVED_FROM_SIGN"),IF(OR($F172="INCREASE",$F172="DECREASE",$F172="—"),"OK","INVALID - static direction required")))</f>
        <v/>
      </c>
      <c r="O172" s="19" t="inlineStr">
        <is>
          <t>§7.5</t>
        </is>
      </c>
    </row>
    <row r="173" ht="15" customHeight="1" s="40">
      <c r="A173" s="14" t="inlineStr">
        <is>
          <t>Export</t>
        </is>
      </c>
      <c r="B173" s="14" t="inlineStr">
        <is>
          <t>EX_NEGOTIATE</t>
        </is>
      </c>
      <c r="C173" s="14" t="inlineStr">
        <is>
          <t>PURCHASE</t>
        </is>
      </c>
      <c r="D173" s="14" t="n">
        <v>1</v>
      </c>
      <c r="E173" s="15" t="inlineStr">
        <is>
          <t>EXPORT_BILLS_NEGOTIATED_RECOURSE</t>
        </is>
      </c>
      <c r="F173" s="14" t="inlineStr">
        <is>
          <t>INCREASE</t>
        </is>
      </c>
      <c r="G173" s="25">
        <f t="array" ref="G173">IF(OR($F173="DERIVED_FROM_SIGN",$F173="MIRRORED"),"runtime",IFERROR(IF(INDEX(Balance_Taxonomy!$C$5:$C$400,MATCH($E173,Balance_Taxonomy!$B$5:$B$400,0))="Dr",IF($F173="INCREASE","Dr","Cr"),IF($F173="INCREASE","Cr","Dr")),"n/a"))</f>
        <v/>
      </c>
      <c r="H173" s="14" t="inlineStr">
        <is>
          <t>DOCUMENT_AMOUNT</t>
        </is>
      </c>
      <c r="I173" s="15" t="inlineStr">
        <is>
          <t>presentation — obligor = EXPORTER</t>
        </is>
      </c>
      <c r="J173" s="14" t="inlineStr">
        <is>
          <t>POST</t>
        </is>
      </c>
      <c r="K173" s="25">
        <f>IF(OR($E173="—",LEFT($E173,1)="("),"n/a",IF(COUNTIF(Balance_Taxonomy!$B$5:$B$400,$E173)&gt;0,"OK","UNKNOWN TYPE"))</f>
        <v/>
      </c>
      <c r="L173" s="25">
        <f>IF(COUNTIF(Amount_Basis!$A$5:$A$100,$H173)&gt;0,"OK","UNKNOWN CODE")</f>
        <v/>
      </c>
      <c r="M173" s="25">
        <f>IF($F173="DERIVED_FROM_SIGN",IF($G173="runtime","OK","INVALID - must be runtime"),IF(OR($J173="POST",$J173="MEMO_ONLY"),IF(OR($G173="Dr",$G173="Cr"),"OK","INVALID - must derive"),IF(OR($G173="n/a",$G173="runtime"),"OK","INVALID - must be n/a")))</f>
        <v/>
      </c>
      <c r="N173" s="25">
        <f t="array" ref="N173">IF($J173="MIRROR",IF($F173="MIRRORED","OK","INVALID - MIRROR needs MIRRORED"),IF(IFERROR(INDEX(Amount_Basis!$D$5:$D$100,MATCH($H173,Amount_Basis!$A$5:$A$100,0)),"")="SIGNED",IF($F173="DERIVED_FROM_SIGN","OK","INVALID - SIGNED basis needs DERIVED_FROM_SIGN"),IF(OR($F173="INCREASE",$F173="DECREASE",$F173="—"),"OK","INVALID - static direction required")))</f>
        <v/>
      </c>
      <c r="O173" s="14" t="inlineStr">
        <is>
          <t>§7.4b</t>
        </is>
      </c>
    </row>
    <row r="174" ht="15" customHeight="1" s="40">
      <c r="A174" s="14" t="inlineStr">
        <is>
          <t>Export</t>
        </is>
      </c>
      <c r="B174" s="14" t="inlineStr">
        <is>
          <t>EX_NEGOTIATE</t>
        </is>
      </c>
      <c r="C174" s="14" t="inlineStr">
        <is>
          <t>PURCHASE</t>
        </is>
      </c>
      <c r="D174" s="14" t="n">
        <v>1</v>
      </c>
      <c r="E174" s="15" t="inlineStr">
        <is>
          <t>UNEARNED_DISCOUNT</t>
        </is>
      </c>
      <c r="F174" s="14" t="inlineStr">
        <is>
          <t>INCREASE</t>
        </is>
      </c>
      <c r="G174" s="25">
        <f t="array" ref="G174">IF(OR($F174="DERIVED_FROM_SIGN",$F174="MIRRORED"),"runtime",IFERROR(IF(INDEX(Balance_Taxonomy!$C$5:$C$400,MATCH($E174,Balance_Taxonomy!$B$5:$B$400,0))="Dr",IF($F174="INCREASE","Dr","Cr"),IF($F174="INCREASE","Cr","Dr")),"n/a"))</f>
        <v/>
      </c>
      <c r="H174" s="14" t="inlineStr">
        <is>
          <t>DISCOUNT_AMOUNT</t>
        </is>
      </c>
      <c r="I174" s="15" t="inlineStr">
        <is>
          <t>discount</t>
        </is>
      </c>
      <c r="J174" s="14" t="inlineStr">
        <is>
          <t>POST</t>
        </is>
      </c>
      <c r="K174" s="25">
        <f>IF(OR($E174="—",LEFT($E174,1)="("),"n/a",IF(COUNTIF(Balance_Taxonomy!$B$5:$B$400,$E174)&gt;0,"OK","UNKNOWN TYPE"))</f>
        <v/>
      </c>
      <c r="L174" s="25">
        <f>IF(COUNTIF(Amount_Basis!$A$5:$A$100,$H174)&gt;0,"OK","UNKNOWN CODE")</f>
        <v/>
      </c>
      <c r="M174" s="25">
        <f>IF($F174="DERIVED_FROM_SIGN",IF($G174="runtime","OK","INVALID - must be runtime"),IF(OR($J174="POST",$J174="MEMO_ONLY"),IF(OR($G174="Dr",$G174="Cr"),"OK","INVALID - must derive"),IF(OR($G174="n/a",$G174="runtime"),"OK","INVALID - must be n/a")))</f>
        <v/>
      </c>
      <c r="N174" s="25">
        <f t="array" ref="N174">IF($J174="MIRROR",IF($F174="MIRRORED","OK","INVALID - MIRROR needs MIRRORED"),IF(IFERROR(INDEX(Amount_Basis!$D$5:$D$100,MATCH($H174,Amount_Basis!$A$5:$A$100,0)),"")="SIGNED",IF($F174="DERIVED_FROM_SIGN","OK","INVALID - SIGNED basis needs DERIVED_FROM_SIGN"),IF(OR($F174="INCREASE",$F174="DECREASE",$F174="—"),"OK","INVALID - static direction required")))</f>
        <v/>
      </c>
      <c r="O174" s="14" t="inlineStr">
        <is>
          <t>§7.4b</t>
        </is>
      </c>
    </row>
    <row r="175" ht="15" customHeight="1" s="40">
      <c r="A175" s="14" t="inlineStr">
        <is>
          <t>Export</t>
        </is>
      </c>
      <c r="B175" s="14" t="inlineStr">
        <is>
          <t>EX_NEGOTIATE</t>
        </is>
      </c>
      <c r="C175" s="14" t="inlineStr">
        <is>
          <t>PURCHASE</t>
        </is>
      </c>
      <c r="D175" s="14" t="n">
        <v>1</v>
      </c>
      <c r="E175" s="15" t="inlineStr">
        <is>
          <t>BENEFICIARY_ACCOUNT</t>
        </is>
      </c>
      <c r="F175" s="14" t="inlineStr">
        <is>
          <t>INCREASE</t>
        </is>
      </c>
      <c r="G175" s="25">
        <f t="array" ref="G175">IF(OR($F175="DERIVED_FROM_SIGN",$F175="MIRRORED"),"runtime",IFERROR(IF(INDEX(Balance_Taxonomy!$C$5:$C$400,MATCH($E175,Balance_Taxonomy!$B$5:$B$400,0))="Dr",IF($F175="INCREASE","Dr","Cr"),IF($F175="INCREASE","Cr","Dr")),"n/a"))</f>
        <v/>
      </c>
      <c r="H175" s="14" t="inlineStr">
        <is>
          <t>NET_PROCEEDS</t>
        </is>
      </c>
      <c r="I175" s="15" t="inlineStr">
        <is>
          <t>presentation less discount</t>
        </is>
      </c>
      <c r="J175" s="14" t="inlineStr">
        <is>
          <t>POST</t>
        </is>
      </c>
      <c r="K175" s="25">
        <f>IF(OR($E175="—",LEFT($E175,1)="("),"n/a",IF(COUNTIF(Balance_Taxonomy!$B$5:$B$400,$E175)&gt;0,"OK","UNKNOWN TYPE"))</f>
        <v/>
      </c>
      <c r="L175" s="25">
        <f>IF(COUNTIF(Amount_Basis!$A$5:$A$100,$H175)&gt;0,"OK","UNKNOWN CODE")</f>
        <v/>
      </c>
      <c r="M175" s="25">
        <f>IF($F175="DERIVED_FROM_SIGN",IF($G175="runtime","OK","INVALID - must be runtime"),IF(OR($J175="POST",$J175="MEMO_ONLY"),IF(OR($G175="Dr",$G175="Cr"),"OK","INVALID - must derive"),IF(OR($G175="n/a",$G175="runtime"),"OK","INVALID - must be n/a")))</f>
        <v/>
      </c>
      <c r="N175" s="25">
        <f t="array" ref="N175">IF($J175="MIRROR",IF($F175="MIRRORED","OK","INVALID - MIRROR needs MIRRORED"),IF(IFERROR(INDEX(Amount_Basis!$D$5:$D$100,MATCH($H175,Amount_Basis!$A$5:$A$100,0)),"")="SIGNED",IF($F175="DERIVED_FROM_SIGN","OK","INVALID - SIGNED basis needs DERIVED_FROM_SIGN"),IF(OR($F175="INCREASE",$F175="DECREASE",$F175="—"),"OK","INVALID - static direction required")))</f>
        <v/>
      </c>
      <c r="O175" s="14" t="inlineStr">
        <is>
          <t>§7.4b</t>
        </is>
      </c>
    </row>
    <row r="176" ht="15" customHeight="1" s="40">
      <c r="A176" s="19" t="inlineStr">
        <is>
          <t>Export</t>
        </is>
      </c>
      <c r="B176" s="19" t="inlineStr">
        <is>
          <t>EX_RECOURSE</t>
        </is>
      </c>
      <c r="C176" s="19" t="inlineStr">
        <is>
          <t>EXERCISE_RECOURSE</t>
        </is>
      </c>
      <c r="D176" s="19" t="n">
        <v>1</v>
      </c>
      <c r="E176" s="21" t="inlineStr">
        <is>
          <t>CUSTOMER_CURRENT_ACCOUNT</t>
        </is>
      </c>
      <c r="F176" s="19" t="inlineStr">
        <is>
          <t>DECREASE</t>
        </is>
      </c>
      <c r="G176" s="29">
        <f t="array" ref="G176">IF(OR($F176="DERIVED_FROM_SIGN",$F176="MIRRORED"),"runtime",IFERROR(IF(INDEX(Balance_Taxonomy!$C$5:$C$400,MATCH($E176,Balance_Taxonomy!$B$5:$B$400,0))="Dr",IF($F176="INCREASE","Dr","Cr"),IF($F176="INCREASE","Cr","Dr")),"n/a"))</f>
        <v/>
      </c>
      <c r="H176" s="19" t="inlineStr">
        <is>
          <t>RESIDUAL_OUTSTANDING</t>
        </is>
      </c>
      <c r="I176" s="21" t="inlineStr">
        <is>
          <t>outstanding — exporter</t>
        </is>
      </c>
      <c r="J176" s="19" t="inlineStr">
        <is>
          <t>POST</t>
        </is>
      </c>
      <c r="K176" s="29">
        <f>IF(OR($E176="—",LEFT($E176,1)="("),"n/a",IF(COUNTIF(Balance_Taxonomy!$B$5:$B$400,$E176)&gt;0,"OK","UNKNOWN TYPE"))</f>
        <v/>
      </c>
      <c r="L176" s="29">
        <f>IF(COUNTIF(Amount_Basis!$A$5:$A$100,$H176)&gt;0,"OK","UNKNOWN CODE")</f>
        <v/>
      </c>
      <c r="M176" s="29">
        <f>IF($F176="DERIVED_FROM_SIGN",IF($G176="runtime","OK","INVALID - must be runtime"),IF(OR($J176="POST",$J176="MEMO_ONLY"),IF(OR($G176="Dr",$G176="Cr"),"OK","INVALID - must derive"),IF(OR($G176="n/a",$G176="runtime"),"OK","INVALID - must be n/a")))</f>
        <v/>
      </c>
      <c r="N176" s="29">
        <f t="array" ref="N176">IF($J176="MIRROR",IF($F176="MIRRORED","OK","INVALID - MIRROR needs MIRRORED"),IF(IFERROR(INDEX(Amount_Basis!$D$5:$D$100,MATCH($H176,Amount_Basis!$A$5:$A$100,0)),"")="SIGNED",IF($F176="DERIVED_FROM_SIGN","OK","INVALID - SIGNED basis needs DERIVED_FROM_SIGN"),IF(OR($F176="INCREASE",$F176="DECREASE",$F176="—"),"OK","INVALID - static direction required")))</f>
        <v/>
      </c>
      <c r="O176" s="19" t="inlineStr">
        <is>
          <t>§7.4b</t>
        </is>
      </c>
    </row>
    <row r="177" ht="15" customHeight="1" s="40">
      <c r="A177" s="19" t="inlineStr">
        <is>
          <t>Export</t>
        </is>
      </c>
      <c r="B177" s="19" t="inlineStr">
        <is>
          <t>EX_RECOURSE</t>
        </is>
      </c>
      <c r="C177" s="19" t="inlineStr">
        <is>
          <t>EXERCISE_RECOURSE</t>
        </is>
      </c>
      <c r="D177" s="19" t="n">
        <v>1</v>
      </c>
      <c r="E177" s="21" t="inlineStr">
        <is>
          <t>EXPORT_BILLS_NEGOTIATED_RECOURSE</t>
        </is>
      </c>
      <c r="F177" s="19" t="inlineStr">
        <is>
          <t>DECREASE</t>
        </is>
      </c>
      <c r="G177" s="29">
        <f t="array" ref="G177">IF(OR($F177="DERIVED_FROM_SIGN",$F177="MIRRORED"),"runtime",IFERROR(IF(INDEX(Balance_Taxonomy!$C$5:$C$400,MATCH($E177,Balance_Taxonomy!$B$5:$B$400,0))="Dr",IF($F177="INCREASE","Dr","Cr"),IF($F177="INCREASE","Cr","Dr")),"n/a"))</f>
        <v/>
      </c>
      <c r="H177" s="19" t="inlineStr">
        <is>
          <t>RESIDUAL_OUTSTANDING</t>
        </is>
      </c>
      <c r="I177" s="21" t="inlineStr">
        <is>
          <t>outstanding</t>
        </is>
      </c>
      <c r="J177" s="19" t="inlineStr">
        <is>
          <t>POST</t>
        </is>
      </c>
      <c r="K177" s="29">
        <f>IF(OR($E177="—",LEFT($E177,1)="("),"n/a",IF(COUNTIF(Balance_Taxonomy!$B$5:$B$400,$E177)&gt;0,"OK","UNKNOWN TYPE"))</f>
        <v/>
      </c>
      <c r="L177" s="29">
        <f>IF(COUNTIF(Amount_Basis!$A$5:$A$100,$H177)&gt;0,"OK","UNKNOWN CODE")</f>
        <v/>
      </c>
      <c r="M177" s="29">
        <f>IF($F177="DERIVED_FROM_SIGN",IF($G177="runtime","OK","INVALID - must be runtime"),IF(OR($J177="POST",$J177="MEMO_ONLY"),IF(OR($G177="Dr",$G177="Cr"),"OK","INVALID - must derive"),IF(OR($G177="n/a",$G177="runtime"),"OK","INVALID - must be n/a")))</f>
        <v/>
      </c>
      <c r="N177" s="29">
        <f t="array" ref="N177">IF($J177="MIRROR",IF($F177="MIRRORED","OK","INVALID - MIRROR needs MIRRORED"),IF(IFERROR(INDEX(Amount_Basis!$D$5:$D$100,MATCH($H177,Amount_Basis!$A$5:$A$100,0)),"")="SIGNED",IF($F177="DERIVED_FROM_SIGN","OK","INVALID - SIGNED basis needs DERIVED_FROM_SIGN"),IF(OR($F177="INCREASE",$F177="DECREASE",$F177="—"),"OK","INVALID - static direction required")))</f>
        <v/>
      </c>
      <c r="O177" s="19" t="inlineStr">
        <is>
          <t>§7.4b</t>
        </is>
      </c>
    </row>
    <row r="178" ht="15" customHeight="1" s="40">
      <c r="A178" s="14" t="inlineStr">
        <is>
          <t>Export</t>
        </is>
      </c>
      <c r="B178" s="14" t="inlineStr">
        <is>
          <t>CNF_ACCEPT</t>
        </is>
      </c>
      <c r="C178" s="14" t="inlineStr">
        <is>
          <t>RELEASE_CONTINGENT</t>
        </is>
      </c>
      <c r="D178" s="14" t="n">
        <v>1</v>
      </c>
      <c r="E178" s="15" t="inlineStr">
        <is>
          <t>CONFIRMATION_OUTSTANDING</t>
        </is>
      </c>
      <c r="F178" s="14" t="inlineStr">
        <is>
          <t>DECREASE</t>
        </is>
      </c>
      <c r="G178" s="25">
        <f t="array" ref="G178">IF(OR($F178="DERIVED_FROM_SIGN",$F178="MIRRORED"),"runtime",IFERROR(IF(INDEX(Balance_Taxonomy!$C$5:$C$400,MATCH($E178,Balance_Taxonomy!$B$5:$B$400,0))="Dr",IF($F178="INCREASE","Dr","Cr"),IF($F178="INCREASE","Cr","Dr")),"n/a"))</f>
        <v/>
      </c>
      <c r="H178" s="14" t="inlineStr">
        <is>
          <t>DOCUMENT_AMOUNT</t>
        </is>
      </c>
      <c r="I178" s="15" t="inlineStr">
        <is>
          <t>presentation</t>
        </is>
      </c>
      <c r="J178" s="14" t="inlineStr">
        <is>
          <t>POST</t>
        </is>
      </c>
      <c r="K178" s="25">
        <f>IF(OR($E178="—",LEFT($E178,1)="("),"n/a",IF(COUNTIF(Balance_Taxonomy!$B$5:$B$400,$E178)&gt;0,"OK","UNKNOWN TYPE"))</f>
        <v/>
      </c>
      <c r="L178" s="25">
        <f>IF(COUNTIF(Amount_Basis!$A$5:$A$100,$H178)&gt;0,"OK","UNKNOWN CODE")</f>
        <v/>
      </c>
      <c r="M178" s="25">
        <f>IF($F178="DERIVED_FROM_SIGN",IF($G178="runtime","OK","INVALID - must be runtime"),IF(OR($J178="POST",$J178="MEMO_ONLY"),IF(OR($G178="Dr",$G178="Cr"),"OK","INVALID - must derive"),IF(OR($G178="n/a",$G178="runtime"),"OK","INVALID - must be n/a")))</f>
        <v/>
      </c>
      <c r="N178" s="25">
        <f t="array" ref="N178">IF($J178="MIRROR",IF($F178="MIRRORED","OK","INVALID - MIRROR needs MIRRORED"),IF(IFERROR(INDEX(Amount_Basis!$D$5:$D$100,MATCH($H178,Amount_Basis!$A$5:$A$100,0)),"")="SIGNED",IF($F178="DERIVED_FROM_SIGN","OK","INVALID - SIGNED basis needs DERIVED_FROM_SIGN"),IF(OR($F178="INCREASE",$F178="DECREASE",$F178="—"),"OK","INVALID - static direction required")))</f>
        <v/>
      </c>
      <c r="O178" s="14" t="inlineStr">
        <is>
          <t>§7.6</t>
        </is>
      </c>
    </row>
    <row r="179" ht="15" customHeight="1" s="40">
      <c r="A179" s="14" t="inlineStr">
        <is>
          <t>Export</t>
        </is>
      </c>
      <c r="B179" s="14" t="inlineStr">
        <is>
          <t>CNF_ACCEPT</t>
        </is>
      </c>
      <c r="C179" s="14" t="inlineStr">
        <is>
          <t>RELEASE_CONTINGENT</t>
        </is>
      </c>
      <c r="D179" s="14" t="n">
        <v>1</v>
      </c>
      <c r="E179" s="15" t="inlineStr">
        <is>
          <t>CONFIRMATION_EXPOSURE</t>
        </is>
      </c>
      <c r="F179" s="14" t="inlineStr">
        <is>
          <t>DECREASE</t>
        </is>
      </c>
      <c r="G179" s="25">
        <f t="array" ref="G179">IF(OR($F179="DERIVED_FROM_SIGN",$F179="MIRRORED"),"runtime",IFERROR(IF(INDEX(Balance_Taxonomy!$C$5:$C$400,MATCH($E179,Balance_Taxonomy!$B$5:$B$400,0))="Dr",IF($F179="INCREASE","Dr","Cr"),IF($F179="INCREASE","Cr","Dr")),"n/a"))</f>
        <v/>
      </c>
      <c r="H179" s="14" t="inlineStr">
        <is>
          <t>DOCUMENT_AMOUNT</t>
        </is>
      </c>
      <c r="I179" s="15" t="inlineStr">
        <is>
          <t>presentation</t>
        </is>
      </c>
      <c r="J179" s="14" t="inlineStr">
        <is>
          <t>POST</t>
        </is>
      </c>
      <c r="K179" s="25">
        <f>IF(OR($E179="—",LEFT($E179,1)="("),"n/a",IF(COUNTIF(Balance_Taxonomy!$B$5:$B$400,$E179)&gt;0,"OK","UNKNOWN TYPE"))</f>
        <v/>
      </c>
      <c r="L179" s="25">
        <f>IF(COUNTIF(Amount_Basis!$A$5:$A$100,$H179)&gt;0,"OK","UNKNOWN CODE")</f>
        <v/>
      </c>
      <c r="M179" s="25">
        <f>IF($F179="DERIVED_FROM_SIGN",IF($G179="runtime","OK","INVALID - must be runtime"),IF(OR($J179="POST",$J179="MEMO_ONLY"),IF(OR($G179="Dr",$G179="Cr"),"OK","INVALID - must derive"),IF(OR($G179="n/a",$G179="runtime"),"OK","INVALID - must be n/a")))</f>
        <v/>
      </c>
      <c r="N179" s="25">
        <f t="array" ref="N179">IF($J179="MIRROR",IF($F179="MIRRORED","OK","INVALID - MIRROR needs MIRRORED"),IF(IFERROR(INDEX(Amount_Basis!$D$5:$D$100,MATCH($H179,Amount_Basis!$A$5:$A$100,0)),"")="SIGNED",IF($F179="DERIVED_FROM_SIGN","OK","INVALID - SIGNED basis needs DERIVED_FROM_SIGN"),IF(OR($F179="INCREASE",$F179="DECREASE",$F179="—"),"OK","INVALID - static direction required")))</f>
        <v/>
      </c>
      <c r="O179" s="14" t="inlineStr">
        <is>
          <t>§7.6</t>
        </is>
      </c>
    </row>
    <row r="180" ht="23.25" customHeight="1" s="40">
      <c r="A180" s="14" t="inlineStr">
        <is>
          <t>Export</t>
        </is>
      </c>
      <c r="B180" s="14" t="inlineStr">
        <is>
          <t>CNF_ACCEPT</t>
        </is>
      </c>
      <c r="C180" s="14" t="inlineStr">
        <is>
          <t>RECOGNISE_ONBS</t>
        </is>
      </c>
      <c r="D180" s="14" t="n">
        <v>2</v>
      </c>
      <c r="E180" s="15" t="inlineStr">
        <is>
          <t>ACCEPTANCE_REIMB_RECEIVABLE_ISSUING_BANK</t>
        </is>
      </c>
      <c r="F180" s="14" t="inlineStr">
        <is>
          <t>INCREASE</t>
        </is>
      </c>
      <c r="G180" s="25">
        <f t="array" ref="G180">IF(OR($F180="DERIVED_FROM_SIGN",$F180="MIRRORED"),"runtime",IFERROR(IF(INDEX(Balance_Taxonomy!$C$5:$C$400,MATCH($E180,Balance_Taxonomy!$B$5:$B$400,0))="Dr",IF($F180="INCREASE","Dr","Cr"),IF($F180="INCREASE","Cr","Dr")),"n/a"))</f>
        <v/>
      </c>
      <c r="H180" s="14" t="inlineStr">
        <is>
          <t>DOCUMENT_AMOUNT</t>
        </is>
      </c>
      <c r="I180" s="15" t="inlineStr">
        <is>
          <t>presentation</t>
        </is>
      </c>
      <c r="J180" s="14" t="inlineStr">
        <is>
          <t>POST</t>
        </is>
      </c>
      <c r="K180" s="25">
        <f>IF(OR($E180="—",LEFT($E180,1)="("),"n/a",IF(COUNTIF(Balance_Taxonomy!$B$5:$B$400,$E180)&gt;0,"OK","UNKNOWN TYPE"))</f>
        <v/>
      </c>
      <c r="L180" s="25">
        <f>IF(COUNTIF(Amount_Basis!$A$5:$A$100,$H180)&gt;0,"OK","UNKNOWN CODE")</f>
        <v/>
      </c>
      <c r="M180" s="25">
        <f>IF($F180="DERIVED_FROM_SIGN",IF($G180="runtime","OK","INVALID - must be runtime"),IF(OR($J180="POST",$J180="MEMO_ONLY"),IF(OR($G180="Dr",$G180="Cr"),"OK","INVALID - must derive"),IF(OR($G180="n/a",$G180="runtime"),"OK","INVALID - must be n/a")))</f>
        <v/>
      </c>
      <c r="N180" s="25">
        <f t="array" ref="N180">IF($J180="MIRROR",IF($F180="MIRRORED","OK","INVALID - MIRROR needs MIRRORED"),IF(IFERROR(INDEX(Amount_Basis!$D$5:$D$100,MATCH($H180,Amount_Basis!$A$5:$A$100,0)),"")="SIGNED",IF($F180="DERIVED_FROM_SIGN","OK","INVALID - SIGNED basis needs DERIVED_FROM_SIGN"),IF(OR($F180="INCREASE",$F180="DECREASE",$F180="—"),"OK","INVALID - static direction required")))</f>
        <v/>
      </c>
      <c r="O180" s="14" t="inlineStr">
        <is>
          <t>§7.6</t>
        </is>
      </c>
    </row>
    <row r="181" ht="15" customHeight="1" s="40">
      <c r="A181" s="14" t="inlineStr">
        <is>
          <t>Export</t>
        </is>
      </c>
      <c r="B181" s="14" t="inlineStr">
        <is>
          <t>CNF_ACCEPT</t>
        </is>
      </c>
      <c r="C181" s="14" t="inlineStr">
        <is>
          <t>RECOGNISE_ONBS</t>
        </is>
      </c>
      <c r="D181" s="14" t="n">
        <v>2</v>
      </c>
      <c r="E181" s="15" t="inlineStr">
        <is>
          <t>CONFIRMED_ACCEPTANCE_DPU_OUTSTANDING</t>
        </is>
      </c>
      <c r="F181" s="14" t="inlineStr">
        <is>
          <t>INCREASE</t>
        </is>
      </c>
      <c r="G181" s="25">
        <f t="array" ref="G181">IF(OR($F181="DERIVED_FROM_SIGN",$F181="MIRRORED"),"runtime",IFERROR(IF(INDEX(Balance_Taxonomy!$C$5:$C$400,MATCH($E181,Balance_Taxonomy!$B$5:$B$400,0))="Dr",IF($F181="INCREASE","Dr","Cr"),IF($F181="INCREASE","Cr","Dr")),"n/a"))</f>
        <v/>
      </c>
      <c r="H181" s="14" t="inlineStr">
        <is>
          <t>DOCUMENT_AMOUNT</t>
        </is>
      </c>
      <c r="I181" s="15" t="inlineStr">
        <is>
          <t>presentation</t>
        </is>
      </c>
      <c r="J181" s="14" t="inlineStr">
        <is>
          <t>POST</t>
        </is>
      </c>
      <c r="K181" s="25">
        <f>IF(OR($E181="—",LEFT($E181,1)="("),"n/a",IF(COUNTIF(Balance_Taxonomy!$B$5:$B$400,$E181)&gt;0,"OK","UNKNOWN TYPE"))</f>
        <v/>
      </c>
      <c r="L181" s="25">
        <f>IF(COUNTIF(Amount_Basis!$A$5:$A$100,$H181)&gt;0,"OK","UNKNOWN CODE")</f>
        <v/>
      </c>
      <c r="M181" s="25">
        <f>IF($F181="DERIVED_FROM_SIGN",IF($G181="runtime","OK","INVALID - must be runtime"),IF(OR($J181="POST",$J181="MEMO_ONLY"),IF(OR($G181="Dr",$G181="Cr"),"OK","INVALID - must derive"),IF(OR($G181="n/a",$G181="runtime"),"OK","INVALID - must be n/a")))</f>
        <v/>
      </c>
      <c r="N181" s="25">
        <f t="array" ref="N181">IF($J181="MIRROR",IF($F181="MIRRORED","OK","INVALID - MIRROR needs MIRRORED"),IF(IFERROR(INDEX(Amount_Basis!$D$5:$D$100,MATCH($H181,Amount_Basis!$A$5:$A$100,0)),"")="SIGNED",IF($F181="DERIVED_FROM_SIGN","OK","INVALID - SIGNED basis needs DERIVED_FROM_SIGN"),IF(OR($F181="INCREASE",$F181="DECREASE",$F181="—"),"OK","INVALID - static direction required")))</f>
        <v/>
      </c>
      <c r="O181" s="14" t="inlineStr">
        <is>
          <t>§7.6</t>
        </is>
      </c>
    </row>
    <row r="182" ht="15" customHeight="1" s="40">
      <c r="A182" s="14" t="inlineStr">
        <is>
          <t>Export</t>
        </is>
      </c>
      <c r="B182" s="14" t="inlineStr">
        <is>
          <t>CNF_ACCEPT</t>
        </is>
      </c>
      <c r="C182" s="14" t="inlineStr">
        <is>
          <t>RAISE_SHADOW</t>
        </is>
      </c>
      <c r="D182" s="14" t="n">
        <v>3</v>
      </c>
      <c r="E182" s="15" t="inlineStr">
        <is>
          <t>CONFIRMED_ACCEPTANCE_SHADOW_DR</t>
        </is>
      </c>
      <c r="F182" s="14" t="inlineStr">
        <is>
          <t>INCREASE</t>
        </is>
      </c>
      <c r="G182" s="25">
        <f t="array" ref="G182">IF(OR($F182="DERIVED_FROM_SIGN",$F182="MIRRORED"),"runtime",IFERROR(IF(INDEX(Balance_Taxonomy!$C$5:$C$400,MATCH($E182,Balance_Taxonomy!$B$5:$B$400,0))="Dr",IF($F182="INCREASE","Dr","Cr"),IF($F182="INCREASE","Cr","Dr")),"n/a"))</f>
        <v/>
      </c>
      <c r="H182" s="14" t="inlineStr">
        <is>
          <t>DOCUMENT_AMOUNT</t>
        </is>
      </c>
      <c r="I182" s="15" t="inlineStr">
        <is>
          <t>presentation</t>
        </is>
      </c>
      <c r="J182" s="14" t="inlineStr">
        <is>
          <t>POST</t>
        </is>
      </c>
      <c r="K182" s="25">
        <f>IF(OR($E182="—",LEFT($E182,1)="("),"n/a",IF(COUNTIF(Balance_Taxonomy!$B$5:$B$400,$E182)&gt;0,"OK","UNKNOWN TYPE"))</f>
        <v/>
      </c>
      <c r="L182" s="25">
        <f>IF(COUNTIF(Amount_Basis!$A$5:$A$100,$H182)&gt;0,"OK","UNKNOWN CODE")</f>
        <v/>
      </c>
      <c r="M182" s="25">
        <f>IF($F182="DERIVED_FROM_SIGN",IF($G182="runtime","OK","INVALID - must be runtime"),IF(OR($J182="POST",$J182="MEMO_ONLY"),IF(OR($G182="Dr",$G182="Cr"),"OK","INVALID - must derive"),IF(OR($G182="n/a",$G182="runtime"),"OK","INVALID - must be n/a")))</f>
        <v/>
      </c>
      <c r="N182" s="25">
        <f t="array" ref="N182">IF($J182="MIRROR",IF($F182="MIRRORED","OK","INVALID - MIRROR needs MIRRORED"),IF(IFERROR(INDEX(Amount_Basis!$D$5:$D$100,MATCH($H182,Amount_Basis!$A$5:$A$100,0)),"")="SIGNED",IF($F182="DERIVED_FROM_SIGN","OK","INVALID - SIGNED basis needs DERIVED_FROM_SIGN"),IF(OR($F182="INCREASE",$F182="DECREASE",$F182="—"),"OK","INVALID - static direction required")))</f>
        <v/>
      </c>
      <c r="O182" s="14" t="inlineStr">
        <is>
          <t>§7.6</t>
        </is>
      </c>
    </row>
    <row r="183" ht="15" customHeight="1" s="40">
      <c r="A183" s="14" t="inlineStr">
        <is>
          <t>Export</t>
        </is>
      </c>
      <c r="B183" s="14" t="inlineStr">
        <is>
          <t>CNF_ACCEPT</t>
        </is>
      </c>
      <c r="C183" s="14" t="inlineStr">
        <is>
          <t>RAISE_SHADOW</t>
        </is>
      </c>
      <c r="D183" s="14" t="n">
        <v>3</v>
      </c>
      <c r="E183" s="15" t="inlineStr">
        <is>
          <t>CONFIRMED_ACCEPTANCE_SHADOW_CR</t>
        </is>
      </c>
      <c r="F183" s="14" t="inlineStr">
        <is>
          <t>INCREASE</t>
        </is>
      </c>
      <c r="G183" s="25">
        <f t="array" ref="G183">IF(OR($F183="DERIVED_FROM_SIGN",$F183="MIRRORED"),"runtime",IFERROR(IF(INDEX(Balance_Taxonomy!$C$5:$C$400,MATCH($E183,Balance_Taxonomy!$B$5:$B$400,0))="Dr",IF($F183="INCREASE","Dr","Cr"),IF($F183="INCREASE","Cr","Dr")),"n/a"))</f>
        <v/>
      </c>
      <c r="H183" s="14" t="inlineStr">
        <is>
          <t>DOCUMENT_AMOUNT</t>
        </is>
      </c>
      <c r="I183" s="15" t="inlineStr">
        <is>
          <t>presentation</t>
        </is>
      </c>
      <c r="J183" s="14" t="inlineStr">
        <is>
          <t>POST</t>
        </is>
      </c>
      <c r="K183" s="25">
        <f>IF(OR($E183="—",LEFT($E183,1)="("),"n/a",IF(COUNTIF(Balance_Taxonomy!$B$5:$B$400,$E183)&gt;0,"OK","UNKNOWN TYPE"))</f>
        <v/>
      </c>
      <c r="L183" s="25">
        <f>IF(COUNTIF(Amount_Basis!$A$5:$A$100,$H183)&gt;0,"OK","UNKNOWN CODE")</f>
        <v/>
      </c>
      <c r="M183" s="25">
        <f>IF($F183="DERIVED_FROM_SIGN",IF($G183="runtime","OK","INVALID - must be runtime"),IF(OR($J183="POST",$J183="MEMO_ONLY"),IF(OR($G183="Dr",$G183="Cr"),"OK","INVALID - must derive"),IF(OR($G183="n/a",$G183="runtime"),"OK","INVALID - must be n/a")))</f>
        <v/>
      </c>
      <c r="N183" s="25">
        <f t="array" ref="N183">IF($J183="MIRROR",IF($F183="MIRRORED","OK","INVALID - MIRROR needs MIRRORED"),IF(IFERROR(INDEX(Amount_Basis!$D$5:$D$100,MATCH($H183,Amount_Basis!$A$5:$A$100,0)),"")="SIGNED",IF($F183="DERIVED_FROM_SIGN","OK","INVALID - SIGNED basis needs DERIVED_FROM_SIGN"),IF(OR($F183="INCREASE",$F183="DECREASE",$F183="—"),"OK","INVALID - static direction required")))</f>
        <v/>
      </c>
      <c r="O183" s="14" t="inlineStr">
        <is>
          <t>§7.6</t>
        </is>
      </c>
    </row>
    <row r="184" ht="15" customHeight="1" s="40">
      <c r="A184" s="19" t="inlineStr">
        <is>
          <t>Export</t>
        </is>
      </c>
      <c r="B184" s="19" t="inlineStr">
        <is>
          <t>CNF_DISCOUNT</t>
        </is>
      </c>
      <c r="C184" s="19" t="inlineStr">
        <is>
          <t>SETTLE_EARLY</t>
        </is>
      </c>
      <c r="D184" s="19" t="n">
        <v>1</v>
      </c>
      <c r="E184" s="21" t="inlineStr">
        <is>
          <t>CONFIRMED_ACCEPTANCE_DPU_OUTSTANDING</t>
        </is>
      </c>
      <c r="F184" s="19" t="inlineStr">
        <is>
          <t>DECREASE</t>
        </is>
      </c>
      <c r="G184" s="29">
        <f t="array" ref="G184">IF(OR($F184="DERIVED_FROM_SIGN",$F184="MIRRORED"),"runtime",IFERROR(IF(INDEX(Balance_Taxonomy!$C$5:$C$400,MATCH($E184,Balance_Taxonomy!$B$5:$B$400,0))="Dr",IF($F184="INCREASE","Dr","Cr"),IF($F184="INCREASE","Cr","Dr")),"n/a"))</f>
        <v/>
      </c>
      <c r="H184" s="19" t="inlineStr">
        <is>
          <t>ACCEPTANCE_AMOUNT</t>
        </is>
      </c>
      <c r="I184" s="21" t="inlineStr">
        <is>
          <t>acceptance</t>
        </is>
      </c>
      <c r="J184" s="19" t="inlineStr">
        <is>
          <t>POST</t>
        </is>
      </c>
      <c r="K184" s="29">
        <f>IF(OR($E184="—",LEFT($E184,1)="("),"n/a",IF(COUNTIF(Balance_Taxonomy!$B$5:$B$400,$E184)&gt;0,"OK","UNKNOWN TYPE"))</f>
        <v/>
      </c>
      <c r="L184" s="29">
        <f>IF(COUNTIF(Amount_Basis!$A$5:$A$100,$H184)&gt;0,"OK","UNKNOWN CODE")</f>
        <v/>
      </c>
      <c r="M184" s="29">
        <f>IF($F184="DERIVED_FROM_SIGN",IF($G184="runtime","OK","INVALID - must be runtime"),IF(OR($J184="POST",$J184="MEMO_ONLY"),IF(OR($G184="Dr",$G184="Cr"),"OK","INVALID - must derive"),IF(OR($G184="n/a",$G184="runtime"),"OK","INVALID - must be n/a")))</f>
        <v/>
      </c>
      <c r="N184" s="29">
        <f t="array" ref="N184">IF($J184="MIRROR",IF($F184="MIRRORED","OK","INVALID - MIRROR needs MIRRORED"),IF(IFERROR(INDEX(Amount_Basis!$D$5:$D$100,MATCH($H184,Amount_Basis!$A$5:$A$100,0)),"")="SIGNED",IF($F184="DERIVED_FROM_SIGN","OK","INVALID - SIGNED basis needs DERIVED_FROM_SIGN"),IF(OR($F184="INCREASE",$F184="DECREASE",$F184="—"),"OK","INVALID - static direction required")))</f>
        <v/>
      </c>
      <c r="O184" s="19" t="inlineStr">
        <is>
          <t>§7.6</t>
        </is>
      </c>
    </row>
    <row r="185" ht="15" customHeight="1" s="40">
      <c r="A185" s="19" t="inlineStr">
        <is>
          <t>Export</t>
        </is>
      </c>
      <c r="B185" s="19" t="inlineStr">
        <is>
          <t>CNF_DISCOUNT</t>
        </is>
      </c>
      <c r="C185" s="19" t="inlineStr">
        <is>
          <t>SETTLE_EARLY</t>
        </is>
      </c>
      <c r="D185" s="19" t="n">
        <v>1</v>
      </c>
      <c r="E185" s="21" t="inlineStr">
        <is>
          <t>UNEARNED_DISCOUNT</t>
        </is>
      </c>
      <c r="F185" s="19" t="inlineStr">
        <is>
          <t>INCREASE</t>
        </is>
      </c>
      <c r="G185" s="29">
        <f t="array" ref="G185">IF(OR($F185="DERIVED_FROM_SIGN",$F185="MIRRORED"),"runtime",IFERROR(IF(INDEX(Balance_Taxonomy!$C$5:$C$400,MATCH($E185,Balance_Taxonomy!$B$5:$B$400,0))="Dr",IF($F185="INCREASE","Dr","Cr"),IF($F185="INCREASE","Cr","Dr")),"n/a"))</f>
        <v/>
      </c>
      <c r="H185" s="19" t="inlineStr">
        <is>
          <t>DISCOUNT_AMOUNT</t>
        </is>
      </c>
      <c r="I185" s="21" t="inlineStr">
        <is>
          <t>discount</t>
        </is>
      </c>
      <c r="J185" s="19" t="inlineStr">
        <is>
          <t>POST</t>
        </is>
      </c>
      <c r="K185" s="29">
        <f>IF(OR($E185="—",LEFT($E185,1)="("),"n/a",IF(COUNTIF(Balance_Taxonomy!$B$5:$B$400,$E185)&gt;0,"OK","UNKNOWN TYPE"))</f>
        <v/>
      </c>
      <c r="L185" s="29">
        <f>IF(COUNTIF(Amount_Basis!$A$5:$A$100,$H185)&gt;0,"OK","UNKNOWN CODE")</f>
        <v/>
      </c>
      <c r="M185" s="29">
        <f>IF($F185="DERIVED_FROM_SIGN",IF($G185="runtime","OK","INVALID - must be runtime"),IF(OR($J185="POST",$J185="MEMO_ONLY"),IF(OR($G185="Dr",$G185="Cr"),"OK","INVALID - must derive"),IF(OR($G185="n/a",$G185="runtime"),"OK","INVALID - must be n/a")))</f>
        <v/>
      </c>
      <c r="N185" s="29">
        <f t="array" ref="N185">IF($J185="MIRROR",IF($F185="MIRRORED","OK","INVALID - MIRROR needs MIRRORED"),IF(IFERROR(INDEX(Amount_Basis!$D$5:$D$100,MATCH($H185,Amount_Basis!$A$5:$A$100,0)),"")="SIGNED",IF($F185="DERIVED_FROM_SIGN","OK","INVALID - SIGNED basis needs DERIVED_FROM_SIGN"),IF(OR($F185="INCREASE",$F185="DECREASE",$F185="—"),"OK","INVALID - static direction required")))</f>
        <v/>
      </c>
      <c r="O185" s="19" t="inlineStr">
        <is>
          <t>§7.6</t>
        </is>
      </c>
    </row>
    <row r="186" ht="15" customHeight="1" s="40">
      <c r="A186" s="19" t="inlineStr">
        <is>
          <t>Export</t>
        </is>
      </c>
      <c r="B186" s="19" t="inlineStr">
        <is>
          <t>CNF_DISCOUNT</t>
        </is>
      </c>
      <c r="C186" s="19" t="inlineStr">
        <is>
          <t>SETTLE_EARLY</t>
        </is>
      </c>
      <c r="D186" s="19" t="n">
        <v>1</v>
      </c>
      <c r="E186" s="21" t="inlineStr">
        <is>
          <t>BENEFICIARY_ACCOUNT</t>
        </is>
      </c>
      <c r="F186" s="19" t="inlineStr">
        <is>
          <t>INCREASE</t>
        </is>
      </c>
      <c r="G186" s="29">
        <f t="array" ref="G186">IF(OR($F186="DERIVED_FROM_SIGN",$F186="MIRRORED"),"runtime",IFERROR(IF(INDEX(Balance_Taxonomy!$C$5:$C$400,MATCH($E186,Balance_Taxonomy!$B$5:$B$400,0))="Dr",IF($F186="INCREASE","Dr","Cr"),IF($F186="INCREASE","Cr","Dr")),"n/a"))</f>
        <v/>
      </c>
      <c r="H186" s="19" t="inlineStr">
        <is>
          <t>NET_PROCEEDS</t>
        </is>
      </c>
      <c r="I186" s="21" t="inlineStr">
        <is>
          <t>acceptance less discount</t>
        </is>
      </c>
      <c r="J186" s="19" t="inlineStr">
        <is>
          <t>POST</t>
        </is>
      </c>
      <c r="K186" s="29">
        <f>IF(OR($E186="—",LEFT($E186,1)="("),"n/a",IF(COUNTIF(Balance_Taxonomy!$B$5:$B$400,$E186)&gt;0,"OK","UNKNOWN TYPE"))</f>
        <v/>
      </c>
      <c r="L186" s="29">
        <f>IF(COUNTIF(Amount_Basis!$A$5:$A$100,$H186)&gt;0,"OK","UNKNOWN CODE")</f>
        <v/>
      </c>
      <c r="M186" s="29">
        <f>IF($F186="DERIVED_FROM_SIGN",IF($G186="runtime","OK","INVALID - must be runtime"),IF(OR($J186="POST",$J186="MEMO_ONLY"),IF(OR($G186="Dr",$G186="Cr"),"OK","INVALID - must derive"),IF(OR($G186="n/a",$G186="runtime"),"OK","INVALID - must be n/a")))</f>
        <v/>
      </c>
      <c r="N186" s="29">
        <f t="array" ref="N186">IF($J186="MIRROR",IF($F186="MIRRORED","OK","INVALID - MIRROR needs MIRRORED"),IF(IFERROR(INDEX(Amount_Basis!$D$5:$D$100,MATCH($H186,Amount_Basis!$A$5:$A$100,0)),"")="SIGNED",IF($F186="DERIVED_FROM_SIGN","OK","INVALID - SIGNED basis needs DERIVED_FROM_SIGN"),IF(OR($F186="INCREASE",$F186="DECREASE",$F186="—"),"OK","INVALID - static direction required")))</f>
        <v/>
      </c>
      <c r="O186" s="19" t="inlineStr">
        <is>
          <t>§7.6</t>
        </is>
      </c>
    </row>
    <row r="187" ht="15" customHeight="1" s="40">
      <c r="A187" s="19" t="inlineStr">
        <is>
          <t>Export</t>
        </is>
      </c>
      <c r="B187" s="19" t="inlineStr">
        <is>
          <t>CNF_DISCOUNT</t>
        </is>
      </c>
      <c r="C187" s="19" t="inlineStr">
        <is>
          <t>RECLASS_CLAIM</t>
        </is>
      </c>
      <c r="D187" s="19" t="n">
        <v>2</v>
      </c>
      <c r="E187" s="21" t="inlineStr">
        <is>
          <t>EXPORT_BILLS_DISCOUNTED</t>
        </is>
      </c>
      <c r="F187" s="19" t="inlineStr">
        <is>
          <t>INCREASE</t>
        </is>
      </c>
      <c r="G187" s="29">
        <f t="array" ref="G187">IF(OR($F187="DERIVED_FROM_SIGN",$F187="MIRRORED"),"runtime",IFERROR(IF(INDEX(Balance_Taxonomy!$C$5:$C$400,MATCH($E187,Balance_Taxonomy!$B$5:$B$400,0))="Dr",IF($F187="INCREASE","Dr","Cr"),IF($F187="INCREASE","Cr","Dr")),"n/a"))</f>
        <v/>
      </c>
      <c r="H187" s="19" t="inlineStr">
        <is>
          <t>ACCEPTANCE_AMOUNT</t>
        </is>
      </c>
      <c r="I187" s="21" t="inlineStr">
        <is>
          <t>acceptance</t>
        </is>
      </c>
      <c r="J187" s="19" t="inlineStr">
        <is>
          <t>POST</t>
        </is>
      </c>
      <c r="K187" s="29">
        <f>IF(OR($E187="—",LEFT($E187,1)="("),"n/a",IF(COUNTIF(Balance_Taxonomy!$B$5:$B$400,$E187)&gt;0,"OK","UNKNOWN TYPE"))</f>
        <v/>
      </c>
      <c r="L187" s="29">
        <f>IF(COUNTIF(Amount_Basis!$A$5:$A$100,$H187)&gt;0,"OK","UNKNOWN CODE")</f>
        <v/>
      </c>
      <c r="M187" s="29">
        <f>IF($F187="DERIVED_FROM_SIGN",IF($G187="runtime","OK","INVALID - must be runtime"),IF(OR($J187="POST",$J187="MEMO_ONLY"),IF(OR($G187="Dr",$G187="Cr"),"OK","INVALID - must derive"),IF(OR($G187="n/a",$G187="runtime"),"OK","INVALID - must be n/a")))</f>
        <v/>
      </c>
      <c r="N187" s="29">
        <f t="array" ref="N187">IF($J187="MIRROR",IF($F187="MIRRORED","OK","INVALID - MIRROR needs MIRRORED"),IF(IFERROR(INDEX(Amount_Basis!$D$5:$D$100,MATCH($H187,Amount_Basis!$A$5:$A$100,0)),"")="SIGNED",IF($F187="DERIVED_FROM_SIGN","OK","INVALID - SIGNED basis needs DERIVED_FROM_SIGN"),IF(OR($F187="INCREASE",$F187="DECREASE",$F187="—"),"OK","INVALID - static direction required")))</f>
        <v/>
      </c>
      <c r="O187" s="19" t="inlineStr">
        <is>
          <t>§7.6</t>
        </is>
      </c>
    </row>
    <row r="188" ht="23.25" customHeight="1" s="40">
      <c r="A188" s="19" t="inlineStr">
        <is>
          <t>Export</t>
        </is>
      </c>
      <c r="B188" s="19" t="inlineStr">
        <is>
          <t>CNF_DISCOUNT</t>
        </is>
      </c>
      <c r="C188" s="19" t="inlineStr">
        <is>
          <t>RECLASS_CLAIM</t>
        </is>
      </c>
      <c r="D188" s="19" t="n">
        <v>2</v>
      </c>
      <c r="E188" s="21" t="inlineStr">
        <is>
          <t>ACCEPTANCE_REIMB_RECEIVABLE_ISSUING_BANK</t>
        </is>
      </c>
      <c r="F188" s="19" t="inlineStr">
        <is>
          <t>DECREASE</t>
        </is>
      </c>
      <c r="G188" s="29">
        <f t="array" ref="G188">IF(OR($F188="DERIVED_FROM_SIGN",$F188="MIRRORED"),"runtime",IFERROR(IF(INDEX(Balance_Taxonomy!$C$5:$C$400,MATCH($E188,Balance_Taxonomy!$B$5:$B$400,0))="Dr",IF($F188="INCREASE","Dr","Cr"),IF($F188="INCREASE","Cr","Dr")),"n/a"))</f>
        <v/>
      </c>
      <c r="H188" s="19" t="inlineStr">
        <is>
          <t>ACCEPTANCE_AMOUNT</t>
        </is>
      </c>
      <c r="I188" s="21" t="inlineStr">
        <is>
          <t>acceptance</t>
        </is>
      </c>
      <c r="J188" s="19" t="inlineStr">
        <is>
          <t>POST</t>
        </is>
      </c>
      <c r="K188" s="29">
        <f>IF(OR($E188="—",LEFT($E188,1)="("),"n/a",IF(COUNTIF(Balance_Taxonomy!$B$5:$B$400,$E188)&gt;0,"OK","UNKNOWN TYPE"))</f>
        <v/>
      </c>
      <c r="L188" s="29">
        <f>IF(COUNTIF(Amount_Basis!$A$5:$A$100,$H188)&gt;0,"OK","UNKNOWN CODE")</f>
        <v/>
      </c>
      <c r="M188" s="29">
        <f>IF($F188="DERIVED_FROM_SIGN",IF($G188="runtime","OK","INVALID - must be runtime"),IF(OR($J188="POST",$J188="MEMO_ONLY"),IF(OR($G188="Dr",$G188="Cr"),"OK","INVALID - must derive"),IF(OR($G188="n/a",$G188="runtime"),"OK","INVALID - must be n/a")))</f>
        <v/>
      </c>
      <c r="N188" s="29">
        <f t="array" ref="N188">IF($J188="MIRROR",IF($F188="MIRRORED","OK","INVALID - MIRROR needs MIRRORED"),IF(IFERROR(INDEX(Amount_Basis!$D$5:$D$100,MATCH($H188,Amount_Basis!$A$5:$A$100,0)),"")="SIGNED",IF($F188="DERIVED_FROM_SIGN","OK","INVALID - SIGNED basis needs DERIVED_FROM_SIGN"),IF(OR($F188="INCREASE",$F188="DECREASE",$F188="—"),"OK","INVALID - static direction required")))</f>
        <v/>
      </c>
      <c r="O188" s="19" t="inlineStr">
        <is>
          <t>§7.6</t>
        </is>
      </c>
    </row>
    <row r="189" ht="15" customHeight="1" s="40">
      <c r="A189" s="19" t="inlineStr">
        <is>
          <t>Export</t>
        </is>
      </c>
      <c r="B189" s="19" t="inlineStr">
        <is>
          <t>CNF_DISCOUNT</t>
        </is>
      </c>
      <c r="C189" s="19" t="inlineStr">
        <is>
          <t>REVERSE_SHADOW</t>
        </is>
      </c>
      <c r="D189" s="19" t="n">
        <v>3</v>
      </c>
      <c r="E189" s="21" t="inlineStr">
        <is>
          <t>CONFIRMED_ACCEPTANCE_SHADOW_CR</t>
        </is>
      </c>
      <c r="F189" s="19" t="inlineStr">
        <is>
          <t>DECREASE</t>
        </is>
      </c>
      <c r="G189" s="29">
        <f t="array" ref="G189">IF(OR($F189="DERIVED_FROM_SIGN",$F189="MIRRORED"),"runtime",IFERROR(IF(INDEX(Balance_Taxonomy!$C$5:$C$400,MATCH($E189,Balance_Taxonomy!$B$5:$B$400,0))="Dr",IF($F189="INCREASE","Dr","Cr"),IF($F189="INCREASE","Cr","Dr")),"n/a"))</f>
        <v/>
      </c>
      <c r="H189" s="19" t="inlineStr">
        <is>
          <t>ACCEPTANCE_AMOUNT</t>
        </is>
      </c>
      <c r="I189" s="21" t="inlineStr">
        <is>
          <t>acceptance</t>
        </is>
      </c>
      <c r="J189" s="19" t="inlineStr">
        <is>
          <t>POST</t>
        </is>
      </c>
      <c r="K189" s="29">
        <f>IF(OR($E189="—",LEFT($E189,1)="("),"n/a",IF(COUNTIF(Balance_Taxonomy!$B$5:$B$400,$E189)&gt;0,"OK","UNKNOWN TYPE"))</f>
        <v/>
      </c>
      <c r="L189" s="29">
        <f>IF(COUNTIF(Amount_Basis!$A$5:$A$100,$H189)&gt;0,"OK","UNKNOWN CODE")</f>
        <v/>
      </c>
      <c r="M189" s="29">
        <f>IF($F189="DERIVED_FROM_SIGN",IF($G189="runtime","OK","INVALID - must be runtime"),IF(OR($J189="POST",$J189="MEMO_ONLY"),IF(OR($G189="Dr",$G189="Cr"),"OK","INVALID - must derive"),IF(OR($G189="n/a",$G189="runtime"),"OK","INVALID - must be n/a")))</f>
        <v/>
      </c>
      <c r="N189" s="29">
        <f t="array" ref="N189">IF($J189="MIRROR",IF($F189="MIRRORED","OK","INVALID - MIRROR needs MIRRORED"),IF(IFERROR(INDEX(Amount_Basis!$D$5:$D$100,MATCH($H189,Amount_Basis!$A$5:$A$100,0)),"")="SIGNED",IF($F189="DERIVED_FROM_SIGN","OK","INVALID - SIGNED basis needs DERIVED_FROM_SIGN"),IF(OR($F189="INCREASE",$F189="DECREASE",$F189="—"),"OK","INVALID - static direction required")))</f>
        <v/>
      </c>
      <c r="O189" s="19" t="inlineStr">
        <is>
          <t>§7.6</t>
        </is>
      </c>
    </row>
    <row r="190" ht="15" customHeight="1" s="40">
      <c r="A190" s="19" t="inlineStr">
        <is>
          <t>Export</t>
        </is>
      </c>
      <c r="B190" s="19" t="inlineStr">
        <is>
          <t>CNF_DISCOUNT</t>
        </is>
      </c>
      <c r="C190" s="19" t="inlineStr">
        <is>
          <t>REVERSE_SHADOW</t>
        </is>
      </c>
      <c r="D190" s="19" t="n">
        <v>3</v>
      </c>
      <c r="E190" s="21" t="inlineStr">
        <is>
          <t>CONFIRMED_ACCEPTANCE_SHADOW_DR</t>
        </is>
      </c>
      <c r="F190" s="19" t="inlineStr">
        <is>
          <t>DECREASE</t>
        </is>
      </c>
      <c r="G190" s="29">
        <f t="array" ref="G190">IF(OR($F190="DERIVED_FROM_SIGN",$F190="MIRRORED"),"runtime",IFERROR(IF(INDEX(Balance_Taxonomy!$C$5:$C$400,MATCH($E190,Balance_Taxonomy!$B$5:$B$400,0))="Dr",IF($F190="INCREASE","Dr","Cr"),IF($F190="INCREASE","Cr","Dr")),"n/a"))</f>
        <v/>
      </c>
      <c r="H190" s="19" t="inlineStr">
        <is>
          <t>ACCEPTANCE_AMOUNT</t>
        </is>
      </c>
      <c r="I190" s="21" t="inlineStr">
        <is>
          <t>acceptance</t>
        </is>
      </c>
      <c r="J190" s="19" t="inlineStr">
        <is>
          <t>POST</t>
        </is>
      </c>
      <c r="K190" s="29">
        <f>IF(OR($E190="—",LEFT($E190,1)="("),"n/a",IF(COUNTIF(Balance_Taxonomy!$B$5:$B$400,$E190)&gt;0,"OK","UNKNOWN TYPE"))</f>
        <v/>
      </c>
      <c r="L190" s="29">
        <f>IF(COUNTIF(Amount_Basis!$A$5:$A$100,$H190)&gt;0,"OK","UNKNOWN CODE")</f>
        <v/>
      </c>
      <c r="M190" s="29">
        <f>IF($F190="DERIVED_FROM_SIGN",IF($G190="runtime","OK","INVALID - must be runtime"),IF(OR($J190="POST",$J190="MEMO_ONLY"),IF(OR($G190="Dr",$G190="Cr"),"OK","INVALID - must derive"),IF(OR($G190="n/a",$G190="runtime"),"OK","INVALID - must be n/a")))</f>
        <v/>
      </c>
      <c r="N190" s="29">
        <f t="array" ref="N190">IF($J190="MIRROR",IF($F190="MIRRORED","OK","INVALID - MIRROR needs MIRRORED"),IF(IFERROR(INDEX(Amount_Basis!$D$5:$D$100,MATCH($H190,Amount_Basis!$A$5:$A$100,0)),"")="SIGNED",IF($F190="DERIVED_FROM_SIGN","OK","INVALID - SIGNED basis needs DERIVED_FROM_SIGN"),IF(OR($F190="INCREASE",$F190="DECREASE",$F190="—"),"OK","INVALID - static direction required")))</f>
        <v/>
      </c>
      <c r="O190" s="19" t="inlineStr">
        <is>
          <t>§7.6</t>
        </is>
      </c>
    </row>
    <row r="191" ht="15" customHeight="1" s="40">
      <c r="A191" s="14" t="inlineStr">
        <is>
          <t>Export</t>
        </is>
      </c>
      <c r="B191" s="14" t="inlineStr">
        <is>
          <t>CNF_MATURE</t>
        </is>
      </c>
      <c r="C191" s="14" t="inlineStr">
        <is>
          <t>SETTLE_BENEFICIARY</t>
        </is>
      </c>
      <c r="D191" s="14" t="n">
        <v>1</v>
      </c>
      <c r="E191" s="15" t="inlineStr">
        <is>
          <t>CONFIRMED_ACCEPTANCE_DPU_OUTSTANDING</t>
        </is>
      </c>
      <c r="F191" s="14" t="inlineStr">
        <is>
          <t>DECREASE</t>
        </is>
      </c>
      <c r="G191" s="25">
        <f t="array" ref="G191">IF(OR($F191="DERIVED_FROM_SIGN",$F191="MIRRORED"),"runtime",IFERROR(IF(INDEX(Balance_Taxonomy!$C$5:$C$400,MATCH($E191,Balance_Taxonomy!$B$5:$B$400,0))="Dr",IF($F191="INCREASE","Dr","Cr"),IF($F191="INCREASE","Cr","Dr")),"n/a"))</f>
        <v/>
      </c>
      <c r="H191" s="14" t="inlineStr">
        <is>
          <t>ACCEPTANCE_AMOUNT</t>
        </is>
      </c>
      <c r="I191" s="15" t="inlineStr">
        <is>
          <t>acceptance</t>
        </is>
      </c>
      <c r="J191" s="14" t="inlineStr">
        <is>
          <t>POST</t>
        </is>
      </c>
      <c r="K191" s="25">
        <f>IF(OR($E191="—",LEFT($E191,1)="("),"n/a",IF(COUNTIF(Balance_Taxonomy!$B$5:$B$400,$E191)&gt;0,"OK","UNKNOWN TYPE"))</f>
        <v/>
      </c>
      <c r="L191" s="25">
        <f>IF(COUNTIF(Amount_Basis!$A$5:$A$100,$H191)&gt;0,"OK","UNKNOWN CODE")</f>
        <v/>
      </c>
      <c r="M191" s="25">
        <f>IF($F191="DERIVED_FROM_SIGN",IF($G191="runtime","OK","INVALID - must be runtime"),IF(OR($J191="POST",$J191="MEMO_ONLY"),IF(OR($G191="Dr",$G191="Cr"),"OK","INVALID - must derive"),IF(OR($G191="n/a",$G191="runtime"),"OK","INVALID - must be n/a")))</f>
        <v/>
      </c>
      <c r="N191" s="25">
        <f t="array" ref="N191">IF($J191="MIRROR",IF($F191="MIRRORED","OK","INVALID - MIRROR needs MIRRORED"),IF(IFERROR(INDEX(Amount_Basis!$D$5:$D$100,MATCH($H191,Amount_Basis!$A$5:$A$100,0)),"")="SIGNED",IF($F191="DERIVED_FROM_SIGN","OK","INVALID - SIGNED basis needs DERIVED_FROM_SIGN"),IF(OR($F191="INCREASE",$F191="DECREASE",$F191="—"),"OK","INVALID - static direction required")))</f>
        <v/>
      </c>
      <c r="O191" s="14" t="inlineStr">
        <is>
          <t>§7.6</t>
        </is>
      </c>
    </row>
    <row r="192" ht="15" customHeight="1" s="40">
      <c r="A192" s="14" t="inlineStr">
        <is>
          <t>Export</t>
        </is>
      </c>
      <c r="B192" s="14" t="inlineStr">
        <is>
          <t>CNF_MATURE</t>
        </is>
      </c>
      <c r="C192" s="14" t="inlineStr">
        <is>
          <t>SETTLE_BENEFICIARY</t>
        </is>
      </c>
      <c r="D192" s="14" t="n">
        <v>1</v>
      </c>
      <c r="E192" s="15" t="inlineStr">
        <is>
          <t>BENEFICIARY_ACCOUNT</t>
        </is>
      </c>
      <c r="F192" s="14" t="inlineStr">
        <is>
          <t>INCREASE</t>
        </is>
      </c>
      <c r="G192" s="25">
        <f t="array" ref="G192">IF(OR($F192="DERIVED_FROM_SIGN",$F192="MIRRORED"),"runtime",IFERROR(IF(INDEX(Balance_Taxonomy!$C$5:$C$400,MATCH($E192,Balance_Taxonomy!$B$5:$B$400,0))="Dr",IF($F192="INCREASE","Dr","Cr"),IF($F192="INCREASE","Cr","Dr")),"n/a"))</f>
        <v/>
      </c>
      <c r="H192" s="14" t="inlineStr">
        <is>
          <t>ACCEPTANCE_AMOUNT</t>
        </is>
      </c>
      <c r="I192" s="15" t="inlineStr">
        <is>
          <t>acceptance</t>
        </is>
      </c>
      <c r="J192" s="14" t="inlineStr">
        <is>
          <t>POST</t>
        </is>
      </c>
      <c r="K192" s="25">
        <f>IF(OR($E192="—",LEFT($E192,1)="("),"n/a",IF(COUNTIF(Balance_Taxonomy!$B$5:$B$400,$E192)&gt;0,"OK","UNKNOWN TYPE"))</f>
        <v/>
      </c>
      <c r="L192" s="25">
        <f>IF(COUNTIF(Amount_Basis!$A$5:$A$100,$H192)&gt;0,"OK","UNKNOWN CODE")</f>
        <v/>
      </c>
      <c r="M192" s="25">
        <f>IF($F192="DERIVED_FROM_SIGN",IF($G192="runtime","OK","INVALID - must be runtime"),IF(OR($J192="POST",$J192="MEMO_ONLY"),IF(OR($G192="Dr",$G192="Cr"),"OK","INVALID - must derive"),IF(OR($G192="n/a",$G192="runtime"),"OK","INVALID - must be n/a")))</f>
        <v/>
      </c>
      <c r="N192" s="25">
        <f t="array" ref="N192">IF($J192="MIRROR",IF($F192="MIRRORED","OK","INVALID - MIRROR needs MIRRORED"),IF(IFERROR(INDEX(Amount_Basis!$D$5:$D$100,MATCH($H192,Amount_Basis!$A$5:$A$100,0)),"")="SIGNED",IF($F192="DERIVED_FROM_SIGN","OK","INVALID - SIGNED basis needs DERIVED_FROM_SIGN"),IF(OR($F192="INCREASE",$F192="DECREASE",$F192="—"),"OK","INVALID - static direction required")))</f>
        <v/>
      </c>
      <c r="O192" s="14" t="inlineStr">
        <is>
          <t>§7.6</t>
        </is>
      </c>
    </row>
    <row r="193" ht="15" customHeight="1" s="40">
      <c r="A193" s="14" t="inlineStr">
        <is>
          <t>Export</t>
        </is>
      </c>
      <c r="B193" s="14" t="inlineStr">
        <is>
          <t>CNF_MATURE</t>
        </is>
      </c>
      <c r="C193" s="14" t="inlineStr">
        <is>
          <t>RECEIVE_REIMBURSEMENT</t>
        </is>
      </c>
      <c r="D193" s="14" t="n">
        <v>2</v>
      </c>
      <c r="E193" s="15" t="inlineStr">
        <is>
          <t>NOSTRO</t>
        </is>
      </c>
      <c r="F193" s="14" t="inlineStr">
        <is>
          <t>INCREASE</t>
        </is>
      </c>
      <c r="G193" s="25">
        <f t="array" ref="G193">IF(OR($F193="DERIVED_FROM_SIGN",$F193="MIRRORED"),"runtime",IFERROR(IF(INDEX(Balance_Taxonomy!$C$5:$C$400,MATCH($E193,Balance_Taxonomy!$B$5:$B$400,0))="Dr",IF($F193="INCREASE","Dr","Cr"),IF($F193="INCREASE","Cr","Dr")),"n/a"))</f>
        <v/>
      </c>
      <c r="H193" s="14" t="inlineStr">
        <is>
          <t>ACCEPTANCE_AMOUNT</t>
        </is>
      </c>
      <c r="I193" s="15" t="inlineStr">
        <is>
          <t>acceptance</t>
        </is>
      </c>
      <c r="J193" s="14" t="inlineStr">
        <is>
          <t>POST</t>
        </is>
      </c>
      <c r="K193" s="25">
        <f>IF(OR($E193="—",LEFT($E193,1)="("),"n/a",IF(COUNTIF(Balance_Taxonomy!$B$5:$B$400,$E193)&gt;0,"OK","UNKNOWN TYPE"))</f>
        <v/>
      </c>
      <c r="L193" s="25">
        <f>IF(COUNTIF(Amount_Basis!$A$5:$A$100,$H193)&gt;0,"OK","UNKNOWN CODE")</f>
        <v/>
      </c>
      <c r="M193" s="25">
        <f>IF($F193="DERIVED_FROM_SIGN",IF($G193="runtime","OK","INVALID - must be runtime"),IF(OR($J193="POST",$J193="MEMO_ONLY"),IF(OR($G193="Dr",$G193="Cr"),"OK","INVALID - must derive"),IF(OR($G193="n/a",$G193="runtime"),"OK","INVALID - must be n/a")))</f>
        <v/>
      </c>
      <c r="N193" s="25">
        <f t="array" ref="N193">IF($J193="MIRROR",IF($F193="MIRRORED","OK","INVALID - MIRROR needs MIRRORED"),IF(IFERROR(INDEX(Amount_Basis!$D$5:$D$100,MATCH($H193,Amount_Basis!$A$5:$A$100,0)),"")="SIGNED",IF($F193="DERIVED_FROM_SIGN","OK","INVALID - SIGNED basis needs DERIVED_FROM_SIGN"),IF(OR($F193="INCREASE",$F193="DECREASE",$F193="—"),"OK","INVALID - static direction required")))</f>
        <v/>
      </c>
      <c r="O193" s="14" t="inlineStr">
        <is>
          <t>§7.6</t>
        </is>
      </c>
    </row>
    <row r="194" ht="23.25" customHeight="1" s="40">
      <c r="A194" s="14" t="inlineStr">
        <is>
          <t>Export</t>
        </is>
      </c>
      <c r="B194" s="14" t="inlineStr">
        <is>
          <t>CNF_MATURE</t>
        </is>
      </c>
      <c r="C194" s="14" t="inlineStr">
        <is>
          <t>RECEIVE_REIMBURSEMENT</t>
        </is>
      </c>
      <c r="D194" s="14" t="n">
        <v>2</v>
      </c>
      <c r="E194" s="15" t="inlineStr">
        <is>
          <t>ACCEPTANCE_REIMB_RECEIVABLE_ISSUING_BANK</t>
        </is>
      </c>
      <c r="F194" s="14" t="inlineStr">
        <is>
          <t>DECREASE</t>
        </is>
      </c>
      <c r="G194" s="25">
        <f t="array" ref="G194">IF(OR($F194="DERIVED_FROM_SIGN",$F194="MIRRORED"),"runtime",IFERROR(IF(INDEX(Balance_Taxonomy!$C$5:$C$400,MATCH($E194,Balance_Taxonomy!$B$5:$B$400,0))="Dr",IF($F194="INCREASE","Dr","Cr"),IF($F194="INCREASE","Cr","Dr")),"n/a"))</f>
        <v/>
      </c>
      <c r="H194" s="14" t="inlineStr">
        <is>
          <t>ACCEPTANCE_AMOUNT</t>
        </is>
      </c>
      <c r="I194" s="15" t="inlineStr">
        <is>
          <t>acceptance</t>
        </is>
      </c>
      <c r="J194" s="14" t="inlineStr">
        <is>
          <t>POST</t>
        </is>
      </c>
      <c r="K194" s="25">
        <f>IF(OR($E194="—",LEFT($E194,1)="("),"n/a",IF(COUNTIF(Balance_Taxonomy!$B$5:$B$400,$E194)&gt;0,"OK","UNKNOWN TYPE"))</f>
        <v/>
      </c>
      <c r="L194" s="25">
        <f>IF(COUNTIF(Amount_Basis!$A$5:$A$100,$H194)&gt;0,"OK","UNKNOWN CODE")</f>
        <v/>
      </c>
      <c r="M194" s="25">
        <f>IF($F194="DERIVED_FROM_SIGN",IF($G194="runtime","OK","INVALID - must be runtime"),IF(OR($J194="POST",$J194="MEMO_ONLY"),IF(OR($G194="Dr",$G194="Cr"),"OK","INVALID - must derive"),IF(OR($G194="n/a",$G194="runtime"),"OK","INVALID - must be n/a")))</f>
        <v/>
      </c>
      <c r="N194" s="25">
        <f t="array" ref="N194">IF($J194="MIRROR",IF($F194="MIRRORED","OK","INVALID - MIRROR needs MIRRORED"),IF(IFERROR(INDEX(Amount_Basis!$D$5:$D$100,MATCH($H194,Amount_Basis!$A$5:$A$100,0)),"")="SIGNED",IF($F194="DERIVED_FROM_SIGN","OK","INVALID - SIGNED basis needs DERIVED_FROM_SIGN"),IF(OR($F194="INCREASE",$F194="DECREASE",$F194="—"),"OK","INVALID - static direction required")))</f>
        <v/>
      </c>
      <c r="O194" s="14" t="inlineStr">
        <is>
          <t>§7.6</t>
        </is>
      </c>
    </row>
    <row r="195" ht="15" customHeight="1" s="40">
      <c r="A195" s="14" t="inlineStr">
        <is>
          <t>Export</t>
        </is>
      </c>
      <c r="B195" s="14" t="inlineStr">
        <is>
          <t>CNF_MATURE</t>
        </is>
      </c>
      <c r="C195" s="14" t="inlineStr">
        <is>
          <t>REVERSE_SHADOW</t>
        </is>
      </c>
      <c r="D195" s="14" t="n">
        <v>3</v>
      </c>
      <c r="E195" s="15" t="inlineStr">
        <is>
          <t>CONFIRMED_ACCEPTANCE_SHADOW_CR</t>
        </is>
      </c>
      <c r="F195" s="14" t="inlineStr">
        <is>
          <t>DECREASE</t>
        </is>
      </c>
      <c r="G195" s="25">
        <f t="array" ref="G195">IF(OR($F195="DERIVED_FROM_SIGN",$F195="MIRRORED"),"runtime",IFERROR(IF(INDEX(Balance_Taxonomy!$C$5:$C$400,MATCH($E195,Balance_Taxonomy!$B$5:$B$400,0))="Dr",IF($F195="INCREASE","Dr","Cr"),IF($F195="INCREASE","Cr","Dr")),"n/a"))</f>
        <v/>
      </c>
      <c r="H195" s="14" t="inlineStr">
        <is>
          <t>ACCEPTANCE_AMOUNT</t>
        </is>
      </c>
      <c r="I195" s="15" t="inlineStr">
        <is>
          <t>acceptance</t>
        </is>
      </c>
      <c r="J195" s="14" t="inlineStr">
        <is>
          <t>POST</t>
        </is>
      </c>
      <c r="K195" s="25">
        <f>IF(OR($E195="—",LEFT($E195,1)="("),"n/a",IF(COUNTIF(Balance_Taxonomy!$B$5:$B$400,$E195)&gt;0,"OK","UNKNOWN TYPE"))</f>
        <v/>
      </c>
      <c r="L195" s="25">
        <f>IF(COUNTIF(Amount_Basis!$A$5:$A$100,$H195)&gt;0,"OK","UNKNOWN CODE")</f>
        <v/>
      </c>
      <c r="M195" s="25">
        <f>IF($F195="DERIVED_FROM_SIGN",IF($G195="runtime","OK","INVALID - must be runtime"),IF(OR($J195="POST",$J195="MEMO_ONLY"),IF(OR($G195="Dr",$G195="Cr"),"OK","INVALID - must derive"),IF(OR($G195="n/a",$G195="runtime"),"OK","INVALID - must be n/a")))</f>
        <v/>
      </c>
      <c r="N195" s="25">
        <f t="array" ref="N195">IF($J195="MIRROR",IF($F195="MIRRORED","OK","INVALID - MIRROR needs MIRRORED"),IF(IFERROR(INDEX(Amount_Basis!$D$5:$D$100,MATCH($H195,Amount_Basis!$A$5:$A$100,0)),"")="SIGNED",IF($F195="DERIVED_FROM_SIGN","OK","INVALID - SIGNED basis needs DERIVED_FROM_SIGN"),IF(OR($F195="INCREASE",$F195="DECREASE",$F195="—"),"OK","INVALID - static direction required")))</f>
        <v/>
      </c>
      <c r="O195" s="14" t="inlineStr">
        <is>
          <t>§7.6</t>
        </is>
      </c>
    </row>
    <row r="196" ht="15" customHeight="1" s="40">
      <c r="A196" s="14" t="inlineStr">
        <is>
          <t>Export</t>
        </is>
      </c>
      <c r="B196" s="14" t="inlineStr">
        <is>
          <t>CNF_MATURE</t>
        </is>
      </c>
      <c r="C196" s="14" t="inlineStr">
        <is>
          <t>REVERSE_SHADOW</t>
        </is>
      </c>
      <c r="D196" s="14" t="n">
        <v>3</v>
      </c>
      <c r="E196" s="15" t="inlineStr">
        <is>
          <t>CONFIRMED_ACCEPTANCE_SHADOW_DR</t>
        </is>
      </c>
      <c r="F196" s="14" t="inlineStr">
        <is>
          <t>DECREASE</t>
        </is>
      </c>
      <c r="G196" s="25">
        <f t="array" ref="G196">IF(OR($F196="DERIVED_FROM_SIGN",$F196="MIRRORED"),"runtime",IFERROR(IF(INDEX(Balance_Taxonomy!$C$5:$C$400,MATCH($E196,Balance_Taxonomy!$B$5:$B$400,0))="Dr",IF($F196="INCREASE","Dr","Cr"),IF($F196="INCREASE","Cr","Dr")),"n/a"))</f>
        <v/>
      </c>
      <c r="H196" s="14" t="inlineStr">
        <is>
          <t>ACCEPTANCE_AMOUNT</t>
        </is>
      </c>
      <c r="I196" s="15" t="inlineStr">
        <is>
          <t>acceptance</t>
        </is>
      </c>
      <c r="J196" s="14" t="inlineStr">
        <is>
          <t>POST</t>
        </is>
      </c>
      <c r="K196" s="25">
        <f>IF(OR($E196="—",LEFT($E196,1)="("),"n/a",IF(COUNTIF(Balance_Taxonomy!$B$5:$B$400,$E196)&gt;0,"OK","UNKNOWN TYPE"))</f>
        <v/>
      </c>
      <c r="L196" s="25">
        <f>IF(COUNTIF(Amount_Basis!$A$5:$A$100,$H196)&gt;0,"OK","UNKNOWN CODE")</f>
        <v/>
      </c>
      <c r="M196" s="25">
        <f>IF($F196="DERIVED_FROM_SIGN",IF($G196="runtime","OK","INVALID - must be runtime"),IF(OR($J196="POST",$J196="MEMO_ONLY"),IF(OR($G196="Dr",$G196="Cr"),"OK","INVALID - must derive"),IF(OR($G196="n/a",$G196="runtime"),"OK","INVALID - must be n/a")))</f>
        <v/>
      </c>
      <c r="N196" s="25">
        <f t="array" ref="N196">IF($J196="MIRROR",IF($F196="MIRRORED","OK","INVALID - MIRROR needs MIRRORED"),IF(IFERROR(INDEX(Amount_Basis!$D$5:$D$100,MATCH($H196,Amount_Basis!$A$5:$A$100,0)),"")="SIGNED",IF($F196="DERIVED_FROM_SIGN","OK","INVALID - SIGNED basis needs DERIVED_FROM_SIGN"),IF(OR($F196="INCREASE",$F196="DECREASE",$F196="—"),"OK","INVALID - static direction required")))</f>
        <v/>
      </c>
      <c r="O196" s="14" t="inlineStr">
        <is>
          <t>§7.6</t>
        </is>
      </c>
    </row>
    <row r="197" ht="15" customHeight="1" s="40">
      <c r="A197" s="19" t="inlineStr">
        <is>
          <t>Export</t>
        </is>
      </c>
      <c r="B197" s="19" t="inlineStr">
        <is>
          <t>CNF_REIMB</t>
        </is>
      </c>
      <c r="C197" s="19" t="inlineStr">
        <is>
          <t>RECEIVE_REIMBURSEMENT</t>
        </is>
      </c>
      <c r="D197" s="19" t="n">
        <v>1</v>
      </c>
      <c r="E197" s="21" t="inlineStr">
        <is>
          <t>NOSTRO</t>
        </is>
      </c>
      <c r="F197" s="19" t="inlineStr">
        <is>
          <t>INCREASE</t>
        </is>
      </c>
      <c r="G197" s="29">
        <f t="array" ref="G197">IF(OR($F197="DERIVED_FROM_SIGN",$F197="MIRRORED"),"runtime",IFERROR(IF(INDEX(Balance_Taxonomy!$C$5:$C$400,MATCH($E197,Balance_Taxonomy!$B$5:$B$400,0))="Dr",IF($F197="INCREASE","Dr","Cr"),IF($F197="INCREASE","Cr","Dr")),"n/a"))</f>
        <v/>
      </c>
      <c r="H197" s="19" t="inlineStr">
        <is>
          <t>CLAIM_AMOUNT</t>
        </is>
      </c>
      <c r="I197" s="21" t="inlineStr">
        <is>
          <t>claim</t>
        </is>
      </c>
      <c r="J197" s="19" t="inlineStr">
        <is>
          <t>POST</t>
        </is>
      </c>
      <c r="K197" s="29">
        <f>IF(OR($E197="—",LEFT($E197,1)="("),"n/a",IF(COUNTIF(Balance_Taxonomy!$B$5:$B$400,$E197)&gt;0,"OK","UNKNOWN TYPE"))</f>
        <v/>
      </c>
      <c r="L197" s="29">
        <f>IF(COUNTIF(Amount_Basis!$A$5:$A$100,$H197)&gt;0,"OK","UNKNOWN CODE")</f>
        <v/>
      </c>
      <c r="M197" s="29">
        <f>IF($F197="DERIVED_FROM_SIGN",IF($G197="runtime","OK","INVALID - must be runtime"),IF(OR($J197="POST",$J197="MEMO_ONLY"),IF(OR($G197="Dr",$G197="Cr"),"OK","INVALID - must derive"),IF(OR($G197="n/a",$G197="runtime"),"OK","INVALID - must be n/a")))</f>
        <v/>
      </c>
      <c r="N197" s="29">
        <f t="array" ref="N197">IF($J197="MIRROR",IF($F197="MIRRORED","OK","INVALID - MIRROR needs MIRRORED"),IF(IFERROR(INDEX(Amount_Basis!$D$5:$D$100,MATCH($H197,Amount_Basis!$A$5:$A$100,0)),"")="SIGNED",IF($F197="DERIVED_FROM_SIGN","OK","INVALID - SIGNED basis needs DERIVED_FROM_SIGN"),IF(OR($F197="INCREASE",$F197="DECREASE",$F197="—"),"OK","INVALID - static direction required")))</f>
        <v/>
      </c>
      <c r="O197" s="19" t="inlineStr">
        <is>
          <t>§7.4a</t>
        </is>
      </c>
    </row>
    <row r="198" ht="15" customHeight="1" s="40">
      <c r="A198" s="19" t="inlineStr">
        <is>
          <t>Export</t>
        </is>
      </c>
      <c r="B198" s="19" t="inlineStr">
        <is>
          <t>CNF_REIMB</t>
        </is>
      </c>
      <c r="C198" s="19" t="inlineStr">
        <is>
          <t>RECEIVE_REIMBURSEMENT</t>
        </is>
      </c>
      <c r="D198" s="19" t="n">
        <v>1</v>
      </c>
      <c r="E198" s="21" t="inlineStr">
        <is>
          <t>DUE_FROM_ISSUING_BANK</t>
        </is>
      </c>
      <c r="F198" s="19" t="inlineStr">
        <is>
          <t>DECREASE</t>
        </is>
      </c>
      <c r="G198" s="29">
        <f t="array" ref="G198">IF(OR($F198="DERIVED_FROM_SIGN",$F198="MIRRORED"),"runtime",IFERROR(IF(INDEX(Balance_Taxonomy!$C$5:$C$400,MATCH($E198,Balance_Taxonomy!$B$5:$B$400,0))="Dr",IF($F198="INCREASE","Dr","Cr"),IF($F198="INCREASE","Cr","Dr")),"n/a"))</f>
        <v/>
      </c>
      <c r="H198" s="19" t="inlineStr">
        <is>
          <t>CLAIM_AMOUNT</t>
        </is>
      </c>
      <c r="I198" s="21" t="inlineStr">
        <is>
          <t>claim</t>
        </is>
      </c>
      <c r="J198" s="19" t="inlineStr">
        <is>
          <t>POST</t>
        </is>
      </c>
      <c r="K198" s="29">
        <f>IF(OR($E198="—",LEFT($E198,1)="("),"n/a",IF(COUNTIF(Balance_Taxonomy!$B$5:$B$400,$E198)&gt;0,"OK","UNKNOWN TYPE"))</f>
        <v/>
      </c>
      <c r="L198" s="29">
        <f>IF(COUNTIF(Amount_Basis!$A$5:$A$100,$H198)&gt;0,"OK","UNKNOWN CODE")</f>
        <v/>
      </c>
      <c r="M198" s="29">
        <f>IF($F198="DERIVED_FROM_SIGN",IF($G198="runtime","OK","INVALID - must be runtime"),IF(OR($J198="POST",$J198="MEMO_ONLY"),IF(OR($G198="Dr",$G198="Cr"),"OK","INVALID - must derive"),IF(OR($G198="n/a",$G198="runtime"),"OK","INVALID - must be n/a")))</f>
        <v/>
      </c>
      <c r="N198" s="29">
        <f t="array" ref="N198">IF($J198="MIRROR",IF($F198="MIRRORED","OK","INVALID - MIRROR needs MIRRORED"),IF(IFERROR(INDEX(Amount_Basis!$D$5:$D$100,MATCH($H198,Amount_Basis!$A$5:$A$100,0)),"")="SIGNED",IF($F198="DERIVED_FROM_SIGN","OK","INVALID - SIGNED basis needs DERIVED_FROM_SIGN"),IF(OR($F198="INCREASE",$F198="DECREASE",$F198="—"),"OK","INVALID - static direction required")))</f>
        <v/>
      </c>
      <c r="O198" s="19" t="inlineStr">
        <is>
          <t>§7.4a</t>
        </is>
      </c>
    </row>
    <row r="199" ht="15" customHeight="1" s="40">
      <c r="A199" s="14" t="inlineStr">
        <is>
          <t>Export</t>
        </is>
      </c>
      <c r="B199" s="14" t="inlineStr">
        <is>
          <t>CNF_EXPIRE</t>
        </is>
      </c>
      <c r="C199" s="14" t="inlineStr">
        <is>
          <t>RELEASE_CONTINGENT</t>
        </is>
      </c>
      <c r="D199" s="14" t="n">
        <v>1</v>
      </c>
      <c r="E199" s="15" t="inlineStr">
        <is>
          <t>CONFIRMATION_OUTSTANDING</t>
        </is>
      </c>
      <c r="F199" s="14" t="inlineStr">
        <is>
          <t>DECREASE</t>
        </is>
      </c>
      <c r="G199" s="25">
        <f t="array" ref="G199">IF(OR($F199="DERIVED_FROM_SIGN",$F199="MIRRORED"),"runtime",IFERROR(IF(INDEX(Balance_Taxonomy!$C$5:$C$400,MATCH($E199,Balance_Taxonomy!$B$5:$B$400,0))="Dr",IF($F199="INCREASE","Dr","Cr"),IF($F199="INCREASE","Cr","Dr")),"n/a"))</f>
        <v/>
      </c>
      <c r="H199" s="14" t="inlineStr">
        <is>
          <t>RESIDUAL_OUTSTANDING</t>
        </is>
      </c>
      <c r="I199" s="15" t="inlineStr">
        <is>
          <t>RESIDUAL</t>
        </is>
      </c>
      <c r="J199" s="14" t="inlineStr">
        <is>
          <t>POST</t>
        </is>
      </c>
      <c r="K199" s="25">
        <f>IF(OR($E199="—",LEFT($E199,1)="("),"n/a",IF(COUNTIF(Balance_Taxonomy!$B$5:$B$400,$E199)&gt;0,"OK","UNKNOWN TYPE"))</f>
        <v/>
      </c>
      <c r="L199" s="25">
        <f>IF(COUNTIF(Amount_Basis!$A$5:$A$100,$H199)&gt;0,"OK","UNKNOWN CODE")</f>
        <v/>
      </c>
      <c r="M199" s="25">
        <f>IF($F199="DERIVED_FROM_SIGN",IF($G199="runtime","OK","INVALID - must be runtime"),IF(OR($J199="POST",$J199="MEMO_ONLY"),IF(OR($G199="Dr",$G199="Cr"),"OK","INVALID - must derive"),IF(OR($G199="n/a",$G199="runtime"),"OK","INVALID - must be n/a")))</f>
        <v/>
      </c>
      <c r="N199" s="25">
        <f t="array" ref="N199">IF($J199="MIRROR",IF($F199="MIRRORED","OK","INVALID - MIRROR needs MIRRORED"),IF(IFERROR(INDEX(Amount_Basis!$D$5:$D$100,MATCH($H199,Amount_Basis!$A$5:$A$100,0)),"")="SIGNED",IF($F199="DERIVED_FROM_SIGN","OK","INVALID - SIGNED basis needs DERIVED_FROM_SIGN"),IF(OR($F199="INCREASE",$F199="DECREASE",$F199="—"),"OK","INVALID - static direction required")))</f>
        <v/>
      </c>
      <c r="O199" s="14" t="inlineStr">
        <is>
          <t>§7.7</t>
        </is>
      </c>
    </row>
    <row r="200" ht="15" customHeight="1" s="40">
      <c r="A200" s="14" t="inlineStr">
        <is>
          <t>Export</t>
        </is>
      </c>
      <c r="B200" s="14" t="inlineStr">
        <is>
          <t>CNF_EXPIRE</t>
        </is>
      </c>
      <c r="C200" s="14" t="inlineStr">
        <is>
          <t>RELEASE_CONTINGENT</t>
        </is>
      </c>
      <c r="D200" s="14" t="n">
        <v>1</v>
      </c>
      <c r="E200" s="15" t="inlineStr">
        <is>
          <t>CONFIRMATION_EXPOSURE</t>
        </is>
      </c>
      <c r="F200" s="14" t="inlineStr">
        <is>
          <t>DECREASE</t>
        </is>
      </c>
      <c r="G200" s="25">
        <f t="array" ref="G200">IF(OR($F200="DERIVED_FROM_SIGN",$F200="MIRRORED"),"runtime",IFERROR(IF(INDEX(Balance_Taxonomy!$C$5:$C$400,MATCH($E200,Balance_Taxonomy!$B$5:$B$400,0))="Dr",IF($F200="INCREASE","Dr","Cr"),IF($F200="INCREASE","Cr","Dr")),"n/a"))</f>
        <v/>
      </c>
      <c r="H200" s="14" t="inlineStr">
        <is>
          <t>RESIDUAL_OUTSTANDING</t>
        </is>
      </c>
      <c r="I200" s="15" t="inlineStr">
        <is>
          <t>RESIDUAL</t>
        </is>
      </c>
      <c r="J200" s="14" t="inlineStr">
        <is>
          <t>POST</t>
        </is>
      </c>
      <c r="K200" s="25">
        <f>IF(OR($E200="—",LEFT($E200,1)="("),"n/a",IF(COUNTIF(Balance_Taxonomy!$B$5:$B$400,$E200)&gt;0,"OK","UNKNOWN TYPE"))</f>
        <v/>
      </c>
      <c r="L200" s="25">
        <f>IF(COUNTIF(Amount_Basis!$A$5:$A$100,$H200)&gt;0,"OK","UNKNOWN CODE")</f>
        <v/>
      </c>
      <c r="M200" s="25">
        <f>IF($F200="DERIVED_FROM_SIGN",IF($G200="runtime","OK","INVALID - must be runtime"),IF(OR($J200="POST",$J200="MEMO_ONLY"),IF(OR($G200="Dr",$G200="Cr"),"OK","INVALID - must derive"),IF(OR($G200="n/a",$G200="runtime"),"OK","INVALID - must be n/a")))</f>
        <v/>
      </c>
      <c r="N200" s="25">
        <f t="array" ref="N200">IF($J200="MIRROR",IF($F200="MIRRORED","OK","INVALID - MIRROR needs MIRRORED"),IF(IFERROR(INDEX(Amount_Basis!$D$5:$D$100,MATCH($H200,Amount_Basis!$A$5:$A$100,0)),"")="SIGNED",IF($F200="DERIVED_FROM_SIGN","OK","INVALID - SIGNED basis needs DERIVED_FROM_SIGN"),IF(OR($F200="INCREASE",$F200="DECREASE",$F200="—"),"OK","INVALID - static direction required")))</f>
        <v/>
      </c>
      <c r="O200" s="14" t="inlineStr">
        <is>
          <t>§7.7</t>
        </is>
      </c>
    </row>
    <row r="201" ht="15" customHeight="1" s="40">
      <c r="A201" s="14" t="inlineStr">
        <is>
          <t>Export</t>
        </is>
      </c>
      <c r="B201" s="14" t="inlineStr">
        <is>
          <t>CNF_EXPIRE</t>
        </is>
      </c>
      <c r="C201" s="14" t="inlineStr">
        <is>
          <t>RELEASE_ECL</t>
        </is>
      </c>
      <c r="D201" s="14" t="n">
        <v>2</v>
      </c>
      <c r="E201" s="15" t="inlineStr">
        <is>
          <t>PROVISION_OFFBS</t>
        </is>
      </c>
      <c r="F201" s="14" t="inlineStr">
        <is>
          <t>DECREASE</t>
        </is>
      </c>
      <c r="G201" s="25">
        <f t="array" ref="G201">IF(OR($F201="DERIVED_FROM_SIGN",$F201="MIRRORED"),"runtime",IFERROR(IF(INDEX(Balance_Taxonomy!$C$5:$C$400,MATCH($E201,Balance_Taxonomy!$B$5:$B$400,0))="Dr",IF($F201="INCREASE","Dr","Cr"),IF($F201="INCREASE","Cr","Dr")),"n/a"))</f>
        <v/>
      </c>
      <c r="H201" s="14" t="inlineStr">
        <is>
          <t>ECL_RELEASED</t>
        </is>
      </c>
      <c r="I201" s="15" t="inlineStr">
        <is>
          <t>residual ECL</t>
        </is>
      </c>
      <c r="J201" s="14" t="inlineStr">
        <is>
          <t>POST</t>
        </is>
      </c>
      <c r="K201" s="25">
        <f>IF(OR($E201="—",LEFT($E201,1)="("),"n/a",IF(COUNTIF(Balance_Taxonomy!$B$5:$B$400,$E201)&gt;0,"OK","UNKNOWN TYPE"))</f>
        <v/>
      </c>
      <c r="L201" s="25">
        <f>IF(COUNTIF(Amount_Basis!$A$5:$A$100,$H201)&gt;0,"OK","UNKNOWN CODE")</f>
        <v/>
      </c>
      <c r="M201" s="25">
        <f>IF($F201="DERIVED_FROM_SIGN",IF($G201="runtime","OK","INVALID - must be runtime"),IF(OR($J201="POST",$J201="MEMO_ONLY"),IF(OR($G201="Dr",$G201="Cr"),"OK","INVALID - must derive"),IF(OR($G201="n/a",$G201="runtime"),"OK","INVALID - must be n/a")))</f>
        <v/>
      </c>
      <c r="N201" s="25">
        <f t="array" ref="N201">IF($J201="MIRROR",IF($F201="MIRRORED","OK","INVALID - MIRROR needs MIRRORED"),IF(IFERROR(INDEX(Amount_Basis!$D$5:$D$100,MATCH($H201,Amount_Basis!$A$5:$A$100,0)),"")="SIGNED",IF($F201="DERIVED_FROM_SIGN","OK","INVALID - SIGNED basis needs DERIVED_FROM_SIGN"),IF(OR($F201="INCREASE",$F201="DECREASE",$F201="—"),"OK","INVALID - static direction required")))</f>
        <v/>
      </c>
      <c r="O201" s="14" t="inlineStr">
        <is>
          <t>§7.7</t>
        </is>
      </c>
    </row>
    <row r="202" ht="15" customHeight="1" s="40">
      <c r="A202" s="14" t="inlineStr">
        <is>
          <t>Export</t>
        </is>
      </c>
      <c r="B202" s="14" t="inlineStr">
        <is>
          <t>CNF_EXPIRE</t>
        </is>
      </c>
      <c r="C202" s="14" t="inlineStr">
        <is>
          <t>RELEASE_ECL</t>
        </is>
      </c>
      <c r="D202" s="14" t="n">
        <v>2</v>
      </c>
      <c r="E202" s="15" t="inlineStr">
        <is>
          <t>IMPAIRMENT_CHARGE_OFFBS</t>
        </is>
      </c>
      <c r="F202" s="14" t="inlineStr">
        <is>
          <t>DECREASE</t>
        </is>
      </c>
      <c r="G202" s="25">
        <f t="array" ref="G202">IF(OR($F202="DERIVED_FROM_SIGN",$F202="MIRRORED"),"runtime",IFERROR(IF(INDEX(Balance_Taxonomy!$C$5:$C$400,MATCH($E202,Balance_Taxonomy!$B$5:$B$400,0))="Dr",IF($F202="INCREASE","Dr","Cr"),IF($F202="INCREASE","Cr","Dr")),"n/a"))</f>
        <v/>
      </c>
      <c r="H202" s="14" t="inlineStr">
        <is>
          <t>ECL_RELEASED</t>
        </is>
      </c>
      <c r="I202" s="15" t="inlineStr">
        <is>
          <t>residual ECL</t>
        </is>
      </c>
      <c r="J202" s="14" t="inlineStr">
        <is>
          <t>POST</t>
        </is>
      </c>
      <c r="K202" s="25">
        <f>IF(OR($E202="—",LEFT($E202,1)="("),"n/a",IF(COUNTIF(Balance_Taxonomy!$B$5:$B$400,$E202)&gt;0,"OK","UNKNOWN TYPE"))</f>
        <v/>
      </c>
      <c r="L202" s="25">
        <f>IF(COUNTIF(Amount_Basis!$A$5:$A$100,$H202)&gt;0,"OK","UNKNOWN CODE")</f>
        <v/>
      </c>
      <c r="M202" s="25">
        <f>IF($F202="DERIVED_FROM_SIGN",IF($G202="runtime","OK","INVALID - must be runtime"),IF(OR($J202="POST",$J202="MEMO_ONLY"),IF(OR($G202="Dr",$G202="Cr"),"OK","INVALID - must derive"),IF(OR($G202="n/a",$G202="runtime"),"OK","INVALID - must be n/a")))</f>
        <v/>
      </c>
      <c r="N202" s="25">
        <f t="array" ref="N202">IF($J202="MIRROR",IF($F202="MIRRORED","OK","INVALID - MIRROR needs MIRRORED"),IF(IFERROR(INDEX(Amount_Basis!$D$5:$D$100,MATCH($H202,Amount_Basis!$A$5:$A$100,0)),"")="SIGNED",IF($F202="DERIVED_FROM_SIGN","OK","INVALID - SIGNED basis needs DERIVED_FROM_SIGN"),IF(OR($F202="INCREASE",$F202="DECREASE",$F202="—"),"OK","INVALID - static direction required")))</f>
        <v/>
      </c>
      <c r="O202" s="14" t="inlineStr">
        <is>
          <t>§7.7</t>
        </is>
      </c>
    </row>
    <row r="203" ht="15" customHeight="1" s="40">
      <c r="A203" s="14" t="inlineStr">
        <is>
          <t>Export</t>
        </is>
      </c>
      <c r="B203" s="14" t="inlineStr">
        <is>
          <t>CNF_EXPIRE</t>
        </is>
      </c>
      <c r="C203" s="14" t="inlineStr">
        <is>
          <t>RECOGNISE_FEE</t>
        </is>
      </c>
      <c r="D203" s="14" t="n">
        <v>3</v>
      </c>
      <c r="E203" s="15" t="inlineStr">
        <is>
          <t>UNEARNED_COMMISSION_INCOME</t>
        </is>
      </c>
      <c r="F203" s="14" t="inlineStr">
        <is>
          <t>DECREASE</t>
        </is>
      </c>
      <c r="G203" s="25">
        <f t="array" ref="G203">IF(OR($F203="DERIVED_FROM_SIGN",$F203="MIRRORED"),"runtime",IFERROR(IF(INDEX(Balance_Taxonomy!$C$5:$C$400,MATCH($E203,Balance_Taxonomy!$B$5:$B$400,0))="Dr",IF($F203="INCREASE","Dr","Cr"),IF($F203="INCREASE","Cr","Dr")),"n/a"))</f>
        <v/>
      </c>
      <c r="H203" s="14" t="inlineStr">
        <is>
          <t>COMMISSION_UNAMORTISED</t>
        </is>
      </c>
      <c r="I203" s="15" t="inlineStr">
        <is>
          <t>unamortised commission</t>
        </is>
      </c>
      <c r="J203" s="14" t="inlineStr">
        <is>
          <t>POST</t>
        </is>
      </c>
      <c r="K203" s="25">
        <f>IF(OR($E203="—",LEFT($E203,1)="("),"n/a",IF(COUNTIF(Balance_Taxonomy!$B$5:$B$400,$E203)&gt;0,"OK","UNKNOWN TYPE"))</f>
        <v/>
      </c>
      <c r="L203" s="25">
        <f>IF(COUNTIF(Amount_Basis!$A$5:$A$100,$H203)&gt;0,"OK","UNKNOWN CODE")</f>
        <v/>
      </c>
      <c r="M203" s="25">
        <f>IF($F203="DERIVED_FROM_SIGN",IF($G203="runtime","OK","INVALID - must be runtime"),IF(OR($J203="POST",$J203="MEMO_ONLY"),IF(OR($G203="Dr",$G203="Cr"),"OK","INVALID - must derive"),IF(OR($G203="n/a",$G203="runtime"),"OK","INVALID - must be n/a")))</f>
        <v/>
      </c>
      <c r="N203" s="25">
        <f t="array" ref="N203">IF($J203="MIRROR",IF($F203="MIRRORED","OK","INVALID - MIRROR needs MIRRORED"),IF(IFERROR(INDEX(Amount_Basis!$D$5:$D$100,MATCH($H203,Amount_Basis!$A$5:$A$100,0)),"")="SIGNED",IF($F203="DERIVED_FROM_SIGN","OK","INVALID - SIGNED basis needs DERIVED_FROM_SIGN"),IF(OR($F203="INCREASE",$F203="DECREASE",$F203="—"),"OK","INVALID - static direction required")))</f>
        <v/>
      </c>
      <c r="O203" s="14" t="inlineStr">
        <is>
          <t>§7.7</t>
        </is>
      </c>
    </row>
    <row r="204" ht="15" customHeight="1" s="40">
      <c r="A204" s="14" t="inlineStr">
        <is>
          <t>Export</t>
        </is>
      </c>
      <c r="B204" s="14" t="inlineStr">
        <is>
          <t>CNF_EXPIRE</t>
        </is>
      </c>
      <c r="C204" s="14" t="inlineStr">
        <is>
          <t>RECOGNISE_FEE</t>
        </is>
      </c>
      <c r="D204" s="14" t="n">
        <v>3</v>
      </c>
      <c r="E204" s="15" t="inlineStr">
        <is>
          <t>FEE_COMMISSION_INCOME</t>
        </is>
      </c>
      <c r="F204" s="14" t="inlineStr">
        <is>
          <t>INCREASE</t>
        </is>
      </c>
      <c r="G204" s="25">
        <f t="array" ref="G204">IF(OR($F204="DERIVED_FROM_SIGN",$F204="MIRRORED"),"runtime",IFERROR(IF(INDEX(Balance_Taxonomy!$C$5:$C$400,MATCH($E204,Balance_Taxonomy!$B$5:$B$400,0))="Dr",IF($F204="INCREASE","Dr","Cr"),IF($F204="INCREASE","Cr","Dr")),"n/a"))</f>
        <v/>
      </c>
      <c r="H204" s="14" t="inlineStr">
        <is>
          <t>COMMISSION_UNAMORTISED</t>
        </is>
      </c>
      <c r="I204" s="15" t="inlineStr">
        <is>
          <t>unamortised commission</t>
        </is>
      </c>
      <c r="J204" s="14" t="inlineStr">
        <is>
          <t>POST</t>
        </is>
      </c>
      <c r="K204" s="25">
        <f>IF(OR($E204="—",LEFT($E204,1)="("),"n/a",IF(COUNTIF(Balance_Taxonomy!$B$5:$B$400,$E204)&gt;0,"OK","UNKNOWN TYPE"))</f>
        <v/>
      </c>
      <c r="L204" s="25">
        <f>IF(COUNTIF(Amount_Basis!$A$5:$A$100,$H204)&gt;0,"OK","UNKNOWN CODE")</f>
        <v/>
      </c>
      <c r="M204" s="25">
        <f>IF($F204="DERIVED_FROM_SIGN",IF($G204="runtime","OK","INVALID - must be runtime"),IF(OR($J204="POST",$J204="MEMO_ONLY"),IF(OR($G204="Dr",$G204="Cr"),"OK","INVALID - must derive"),IF(OR($G204="n/a",$G204="runtime"),"OK","INVALID - must be n/a")))</f>
        <v/>
      </c>
      <c r="N204" s="25">
        <f t="array" ref="N204">IF($J204="MIRROR",IF($F204="MIRRORED","OK","INVALID - MIRROR needs MIRRORED"),IF(IFERROR(INDEX(Amount_Basis!$D$5:$D$100,MATCH($H204,Amount_Basis!$A$5:$A$100,0)),"")="SIGNED",IF($F204="DERIVED_FROM_SIGN","OK","INVALID - SIGNED basis needs DERIVED_FROM_SIGN"),IF(OR($F204="INCREASE",$F204="DECREASE",$F204="—"),"OK","INVALID - static direction required")))</f>
        <v/>
      </c>
      <c r="O204" s="14" t="inlineStr">
        <is>
          <t>§7.7</t>
        </is>
      </c>
    </row>
    <row r="205" ht="15" customHeight="1" s="40">
      <c r="A205" s="19" t="inlineStr">
        <is>
          <t>Export</t>
        </is>
      </c>
      <c r="B205" s="19" t="inlineStr">
        <is>
          <t>EX_REFIN</t>
        </is>
      </c>
      <c r="C205" s="19" t="inlineStr">
        <is>
          <t>FUND_ISSUING_BANK</t>
        </is>
      </c>
      <c r="D205" s="19" t="n">
        <v>1</v>
      </c>
      <c r="E205" s="21" t="inlineStr">
        <is>
          <t>REFINANCING_LOAN_TO_ISSUING_BANK</t>
        </is>
      </c>
      <c r="F205" s="19" t="inlineStr">
        <is>
          <t>INCREASE</t>
        </is>
      </c>
      <c r="G205" s="29">
        <f t="array" ref="G205">IF(OR($F205="DERIVED_FROM_SIGN",$F205="MIRRORED"),"runtime",IFERROR(IF(INDEX(Balance_Taxonomy!$C$5:$C$400,MATCH($E205,Balance_Taxonomy!$B$5:$B$400,0))="Dr",IF($F205="INCREASE","Dr","Cr"),IF($F205="INCREASE","Cr","Dr")),"n/a"))</f>
        <v/>
      </c>
      <c r="H205" s="19" t="inlineStr">
        <is>
          <t>FUNDED_AMOUNT</t>
        </is>
      </c>
      <c r="I205" s="21" t="inlineStr">
        <is>
          <t>funded amount</t>
        </is>
      </c>
      <c r="J205" s="19" t="inlineStr">
        <is>
          <t>POST</t>
        </is>
      </c>
      <c r="K205" s="29">
        <f>IF(OR($E205="—",LEFT($E205,1)="("),"n/a",IF(COUNTIF(Balance_Taxonomy!$B$5:$B$400,$E205)&gt;0,"OK","UNKNOWN TYPE"))</f>
        <v/>
      </c>
      <c r="L205" s="29">
        <f>IF(COUNTIF(Amount_Basis!$A$5:$A$100,$H205)&gt;0,"OK","UNKNOWN CODE")</f>
        <v/>
      </c>
      <c r="M205" s="29">
        <f>IF($F205="DERIVED_FROM_SIGN",IF($G205="runtime","OK","INVALID - must be runtime"),IF(OR($J205="POST",$J205="MEMO_ONLY"),IF(OR($G205="Dr",$G205="Cr"),"OK","INVALID - must derive"),IF(OR($G205="n/a",$G205="runtime"),"OK","INVALID - must be n/a")))</f>
        <v/>
      </c>
      <c r="N205" s="29">
        <f t="array" ref="N205">IF($J205="MIRROR",IF($F205="MIRRORED","OK","INVALID - MIRROR needs MIRRORED"),IF(IFERROR(INDEX(Amount_Basis!$D$5:$D$100,MATCH($H205,Amount_Basis!$A$5:$A$100,0)),"")="SIGNED",IF($F205="DERIVED_FROM_SIGN","OK","INVALID - SIGNED basis needs DERIVED_FROM_SIGN"),IF(OR($F205="INCREASE",$F205="DECREASE",$F205="—"),"OK","INVALID - static direction required")))</f>
        <v/>
      </c>
      <c r="O205" s="19" t="inlineStr">
        <is>
          <t>§7.5</t>
        </is>
      </c>
    </row>
    <row r="206" ht="15" customHeight="1" s="40">
      <c r="A206" s="19" t="inlineStr">
        <is>
          <t>Export</t>
        </is>
      </c>
      <c r="B206" s="19" t="inlineStr">
        <is>
          <t>EX_REFIN</t>
        </is>
      </c>
      <c r="C206" s="19" t="inlineStr">
        <is>
          <t>FUND_ISSUING_BANK</t>
        </is>
      </c>
      <c r="D206" s="19" t="n">
        <v>1</v>
      </c>
      <c r="E206" s="21" t="inlineStr">
        <is>
          <t>UNEARNED_DISCOUNT</t>
        </is>
      </c>
      <c r="F206" s="19" t="inlineStr">
        <is>
          <t>INCREASE</t>
        </is>
      </c>
      <c r="G206" s="29">
        <f t="array" ref="G206">IF(OR($F206="DERIVED_FROM_SIGN",$F206="MIRRORED"),"runtime",IFERROR(IF(INDEX(Balance_Taxonomy!$C$5:$C$400,MATCH($E206,Balance_Taxonomy!$B$5:$B$400,0))="Dr",IF($F206="INCREASE","Dr","Cr"),IF($F206="INCREASE","Cr","Dr")),"n/a"))</f>
        <v/>
      </c>
      <c r="H206" s="19" t="inlineStr">
        <is>
          <t>DISCOUNT_AMOUNT</t>
        </is>
      </c>
      <c r="I206" s="21" t="inlineStr">
        <is>
          <t>interest</t>
        </is>
      </c>
      <c r="J206" s="19" t="inlineStr">
        <is>
          <t>POST</t>
        </is>
      </c>
      <c r="K206" s="29">
        <f>IF(OR($E206="—",LEFT($E206,1)="("),"n/a",IF(COUNTIF(Balance_Taxonomy!$B$5:$B$400,$E206)&gt;0,"OK","UNKNOWN TYPE"))</f>
        <v/>
      </c>
      <c r="L206" s="29">
        <f>IF(COUNTIF(Amount_Basis!$A$5:$A$100,$H206)&gt;0,"OK","UNKNOWN CODE")</f>
        <v/>
      </c>
      <c r="M206" s="29">
        <f>IF($F206="DERIVED_FROM_SIGN",IF($G206="runtime","OK","INVALID - must be runtime"),IF(OR($J206="POST",$J206="MEMO_ONLY"),IF(OR($G206="Dr",$G206="Cr"),"OK","INVALID - must derive"),IF(OR($G206="n/a",$G206="runtime"),"OK","INVALID - must be n/a")))</f>
        <v/>
      </c>
      <c r="N206" s="29">
        <f t="array" ref="N206">IF($J206="MIRROR",IF($F206="MIRRORED","OK","INVALID - MIRROR needs MIRRORED"),IF(IFERROR(INDEX(Amount_Basis!$D$5:$D$100,MATCH($H206,Amount_Basis!$A$5:$A$100,0)),"")="SIGNED",IF($F206="DERIVED_FROM_SIGN","OK","INVALID - SIGNED basis needs DERIVED_FROM_SIGN"),IF(OR($F206="INCREASE",$F206="DECREASE",$F206="—"),"OK","INVALID - static direction required")))</f>
        <v/>
      </c>
      <c r="O206" s="19" t="inlineStr">
        <is>
          <t>§7.5</t>
        </is>
      </c>
    </row>
    <row r="207" ht="15" customHeight="1" s="40">
      <c r="A207" s="19" t="inlineStr">
        <is>
          <t>Export</t>
        </is>
      </c>
      <c r="B207" s="19" t="inlineStr">
        <is>
          <t>EX_REFIN</t>
        </is>
      </c>
      <c r="C207" s="19" t="inlineStr">
        <is>
          <t>FUND_ISSUING_BANK</t>
        </is>
      </c>
      <c r="D207" s="19" t="n">
        <v>1</v>
      </c>
      <c r="E207" s="21" t="inlineStr">
        <is>
          <t>BENEFICIARY_ACCOUNT</t>
        </is>
      </c>
      <c r="F207" s="19" t="inlineStr">
        <is>
          <t>INCREASE</t>
        </is>
      </c>
      <c r="G207" s="29">
        <f t="array" ref="G207">IF(OR($F207="DERIVED_FROM_SIGN",$F207="MIRRORED"),"runtime",IFERROR(IF(INDEX(Balance_Taxonomy!$C$5:$C$400,MATCH($E207,Balance_Taxonomy!$B$5:$B$400,0))="Dr",IF($F207="INCREASE","Dr","Cr"),IF($F207="INCREASE","Cr","Dr")),"n/a"))</f>
        <v/>
      </c>
      <c r="H207" s="19" t="inlineStr">
        <is>
          <t>NET_PROCEEDS</t>
        </is>
      </c>
      <c r="I207" s="21" t="inlineStr">
        <is>
          <t>funded less interest</t>
        </is>
      </c>
      <c r="J207" s="19" t="inlineStr">
        <is>
          <t>POST</t>
        </is>
      </c>
      <c r="K207" s="29">
        <f>IF(OR($E207="—",LEFT($E207,1)="("),"n/a",IF(COUNTIF(Balance_Taxonomy!$B$5:$B$400,$E207)&gt;0,"OK","UNKNOWN TYPE"))</f>
        <v/>
      </c>
      <c r="L207" s="29">
        <f>IF(COUNTIF(Amount_Basis!$A$5:$A$100,$H207)&gt;0,"OK","UNKNOWN CODE")</f>
        <v/>
      </c>
      <c r="M207" s="29">
        <f>IF($F207="DERIVED_FROM_SIGN",IF($G207="runtime","OK","INVALID - must be runtime"),IF(OR($J207="POST",$J207="MEMO_ONLY"),IF(OR($G207="Dr",$G207="Cr"),"OK","INVALID - must derive"),IF(OR($G207="n/a",$G207="runtime"),"OK","INVALID - must be n/a")))</f>
        <v/>
      </c>
      <c r="N207" s="29">
        <f t="array" ref="N207">IF($J207="MIRROR",IF($F207="MIRRORED","OK","INVALID - MIRROR needs MIRRORED"),IF(IFERROR(INDEX(Amount_Basis!$D$5:$D$100,MATCH($H207,Amount_Basis!$A$5:$A$100,0)),"")="SIGNED",IF($F207="DERIVED_FROM_SIGN","OK","INVALID - SIGNED basis needs DERIVED_FROM_SIGN"),IF(OR($F207="INCREASE",$F207="DECREASE",$F207="—"),"OK","INVALID - static direction required")))</f>
        <v/>
      </c>
      <c r="O207" s="19" t="inlineStr">
        <is>
          <t>§7.5</t>
        </is>
      </c>
    </row>
    <row r="208" ht="15" customHeight="1" s="40">
      <c r="A208" s="14" t="inlineStr">
        <is>
          <t>Export</t>
        </is>
      </c>
      <c r="B208" s="14" t="inlineStr">
        <is>
          <t>RMB_UNDERTAKE</t>
        </is>
      </c>
      <c r="C208" s="14" t="inlineStr">
        <is>
          <t>RAISE_CONTINGENT</t>
        </is>
      </c>
      <c r="D208" s="14" t="n">
        <v>1</v>
      </c>
      <c r="E208" s="15" t="inlineStr">
        <is>
          <t>REIMB_UNDERTAKING_EXPOSURE</t>
        </is>
      </c>
      <c r="F208" s="14" t="inlineStr">
        <is>
          <t>INCREASE</t>
        </is>
      </c>
      <c r="G208" s="25">
        <f t="array" ref="G208">IF(OR($F208="DERIVED_FROM_SIGN",$F208="MIRRORED"),"runtime",IFERROR(IF(INDEX(Balance_Taxonomy!$C$5:$C$400,MATCH($E208,Balance_Taxonomy!$B$5:$B$400,0))="Dr",IF($F208="INCREASE","Dr","Cr"),IF($F208="INCREASE","Cr","Dr")),"n/a"))</f>
        <v/>
      </c>
      <c r="H208" s="14" t="inlineStr">
        <is>
          <t>UNDERTAKING_AMOUNT</t>
        </is>
      </c>
      <c r="I208" s="15" t="inlineStr">
        <is>
          <t>undertaking</t>
        </is>
      </c>
      <c r="J208" s="14" t="inlineStr">
        <is>
          <t>POST</t>
        </is>
      </c>
      <c r="K208" s="25">
        <f>IF(OR($E208="—",LEFT($E208,1)="("),"n/a",IF(COUNTIF(Balance_Taxonomy!$B$5:$B$400,$E208)&gt;0,"OK","UNKNOWN TYPE"))</f>
        <v/>
      </c>
      <c r="L208" s="25">
        <f>IF(COUNTIF(Amount_Basis!$A$5:$A$100,$H208)&gt;0,"OK","UNKNOWN CODE")</f>
        <v/>
      </c>
      <c r="M208" s="25">
        <f>IF($F208="DERIVED_FROM_SIGN",IF($G208="runtime","OK","INVALID - must be runtime"),IF(OR($J208="POST",$J208="MEMO_ONLY"),IF(OR($G208="Dr",$G208="Cr"),"OK","INVALID - must derive"),IF(OR($G208="n/a",$G208="runtime"),"OK","INVALID - must be n/a")))</f>
        <v/>
      </c>
      <c r="N208" s="25">
        <f t="array" ref="N208">IF($J208="MIRROR",IF($F208="MIRRORED","OK","INVALID - MIRROR needs MIRRORED"),IF(IFERROR(INDEX(Amount_Basis!$D$5:$D$100,MATCH($H208,Amount_Basis!$A$5:$A$100,0)),"")="SIGNED",IF($F208="DERIVED_FROM_SIGN","OK","INVALID - SIGNED basis needs DERIVED_FROM_SIGN"),IF(OR($F208="INCREASE",$F208="DECREASE",$F208="—"),"OK","INVALID - static direction required")))</f>
        <v/>
      </c>
      <c r="O208" s="14" t="inlineStr">
        <is>
          <t>§7.7</t>
        </is>
      </c>
    </row>
    <row r="209" ht="15" customHeight="1" s="40">
      <c r="A209" s="14" t="inlineStr">
        <is>
          <t>Export</t>
        </is>
      </c>
      <c r="B209" s="14" t="inlineStr">
        <is>
          <t>RMB_UNDERTAKE</t>
        </is>
      </c>
      <c r="C209" s="14" t="inlineStr">
        <is>
          <t>RAISE_CONTINGENT</t>
        </is>
      </c>
      <c r="D209" s="14" t="n">
        <v>1</v>
      </c>
      <c r="E209" s="15" t="inlineStr">
        <is>
          <t>REIMB_UNDERTAKING_OUTSTANDING</t>
        </is>
      </c>
      <c r="F209" s="14" t="inlineStr">
        <is>
          <t>INCREASE</t>
        </is>
      </c>
      <c r="G209" s="25">
        <f t="array" ref="G209">IF(OR($F209="DERIVED_FROM_SIGN",$F209="MIRRORED"),"runtime",IFERROR(IF(INDEX(Balance_Taxonomy!$C$5:$C$400,MATCH($E209,Balance_Taxonomy!$B$5:$B$400,0))="Dr",IF($F209="INCREASE","Dr","Cr"),IF($F209="INCREASE","Cr","Dr")),"n/a"))</f>
        <v/>
      </c>
      <c r="H209" s="14" t="inlineStr">
        <is>
          <t>UNDERTAKING_AMOUNT</t>
        </is>
      </c>
      <c r="I209" s="15" t="inlineStr">
        <is>
          <t>undertaking</t>
        </is>
      </c>
      <c r="J209" s="14" t="inlineStr">
        <is>
          <t>POST</t>
        </is>
      </c>
      <c r="K209" s="25">
        <f>IF(OR($E209="—",LEFT($E209,1)="("),"n/a",IF(COUNTIF(Balance_Taxonomy!$B$5:$B$400,$E209)&gt;0,"OK","UNKNOWN TYPE"))</f>
        <v/>
      </c>
      <c r="L209" s="25">
        <f>IF(COUNTIF(Amount_Basis!$A$5:$A$100,$H209)&gt;0,"OK","UNKNOWN CODE")</f>
        <v/>
      </c>
      <c r="M209" s="25">
        <f>IF($F209="DERIVED_FROM_SIGN",IF($G209="runtime","OK","INVALID - must be runtime"),IF(OR($J209="POST",$J209="MEMO_ONLY"),IF(OR($G209="Dr",$G209="Cr"),"OK","INVALID - must derive"),IF(OR($G209="n/a",$G209="runtime"),"OK","INVALID - must be n/a")))</f>
        <v/>
      </c>
      <c r="N209" s="25">
        <f t="array" ref="N209">IF($J209="MIRROR",IF($F209="MIRRORED","OK","INVALID - MIRROR needs MIRRORED"),IF(IFERROR(INDEX(Amount_Basis!$D$5:$D$100,MATCH($H209,Amount_Basis!$A$5:$A$100,0)),"")="SIGNED",IF($F209="DERIVED_FROM_SIGN","OK","INVALID - SIGNED basis needs DERIVED_FROM_SIGN"),IF(OR($F209="INCREASE",$F209="DECREASE",$F209="—"),"OK","INVALID - static direction required")))</f>
        <v/>
      </c>
      <c r="O209" s="14" t="inlineStr">
        <is>
          <t>§7.7</t>
        </is>
      </c>
    </row>
    <row r="210" ht="15" customHeight="1" s="40">
      <c r="A210" s="14" t="inlineStr">
        <is>
          <t>Export</t>
        </is>
      </c>
      <c r="B210" s="14" t="inlineStr">
        <is>
          <t>RMB_UNDERTAKE</t>
        </is>
      </c>
      <c r="C210" s="14" t="inlineStr">
        <is>
          <t>RAISE_ECL</t>
        </is>
      </c>
      <c r="D210" s="14" t="n">
        <v>2</v>
      </c>
      <c r="E210" s="15" t="inlineStr">
        <is>
          <t>IMPAIRMENT_CHARGE_OFFBS</t>
        </is>
      </c>
      <c r="F210" s="14" t="inlineStr">
        <is>
          <t>INCREASE</t>
        </is>
      </c>
      <c r="G210" s="25">
        <f t="array" ref="G210">IF(OR($F210="DERIVED_FROM_SIGN",$F210="MIRRORED"),"runtime",IFERROR(IF(INDEX(Balance_Taxonomy!$C$5:$C$400,MATCH($E210,Balance_Taxonomy!$B$5:$B$400,0))="Dr",IF($F210="INCREASE","Dr","Cr"),IF($F210="INCREASE","Cr","Dr")),"n/a"))</f>
        <v/>
      </c>
      <c r="H210" s="14" t="inlineStr">
        <is>
          <t>ECL_AMOUNT</t>
        </is>
      </c>
      <c r="I210" s="15" t="inlineStr">
        <is>
          <t>ECL — issuing bank</t>
        </is>
      </c>
      <c r="J210" s="14" t="inlineStr">
        <is>
          <t>POST</t>
        </is>
      </c>
      <c r="K210" s="25">
        <f>IF(OR($E210="—",LEFT($E210,1)="("),"n/a",IF(COUNTIF(Balance_Taxonomy!$B$5:$B$400,$E210)&gt;0,"OK","UNKNOWN TYPE"))</f>
        <v/>
      </c>
      <c r="L210" s="25">
        <f>IF(COUNTIF(Amount_Basis!$A$5:$A$100,$H210)&gt;0,"OK","UNKNOWN CODE")</f>
        <v/>
      </c>
      <c r="M210" s="25">
        <f>IF($F210="DERIVED_FROM_SIGN",IF($G210="runtime","OK","INVALID - must be runtime"),IF(OR($J210="POST",$J210="MEMO_ONLY"),IF(OR($G210="Dr",$G210="Cr"),"OK","INVALID - must derive"),IF(OR($G210="n/a",$G210="runtime"),"OK","INVALID - must be n/a")))</f>
        <v/>
      </c>
      <c r="N210" s="25">
        <f t="array" ref="N210">IF($J210="MIRROR",IF($F210="MIRRORED","OK","INVALID - MIRROR needs MIRRORED"),IF(IFERROR(INDEX(Amount_Basis!$D$5:$D$100,MATCH($H210,Amount_Basis!$A$5:$A$100,0)),"")="SIGNED",IF($F210="DERIVED_FROM_SIGN","OK","INVALID - SIGNED basis needs DERIVED_FROM_SIGN"),IF(OR($F210="INCREASE",$F210="DECREASE",$F210="—"),"OK","INVALID - static direction required")))</f>
        <v/>
      </c>
      <c r="O210" s="14" t="inlineStr">
        <is>
          <t>§7.7</t>
        </is>
      </c>
    </row>
    <row r="211" ht="15" customHeight="1" s="40">
      <c r="A211" s="14" t="inlineStr">
        <is>
          <t>Export</t>
        </is>
      </c>
      <c r="B211" s="14" t="inlineStr">
        <is>
          <t>RMB_UNDERTAKE</t>
        </is>
      </c>
      <c r="C211" s="14" t="inlineStr">
        <is>
          <t>RAISE_ECL</t>
        </is>
      </c>
      <c r="D211" s="14" t="n">
        <v>2</v>
      </c>
      <c r="E211" s="15" t="inlineStr">
        <is>
          <t>PROVISION_OFFBS</t>
        </is>
      </c>
      <c r="F211" s="14" t="inlineStr">
        <is>
          <t>INCREASE</t>
        </is>
      </c>
      <c r="G211" s="25">
        <f t="array" ref="G211">IF(OR($F211="DERIVED_FROM_SIGN",$F211="MIRRORED"),"runtime",IFERROR(IF(INDEX(Balance_Taxonomy!$C$5:$C$400,MATCH($E211,Balance_Taxonomy!$B$5:$B$400,0))="Dr",IF($F211="INCREASE","Dr","Cr"),IF($F211="INCREASE","Cr","Dr")),"n/a"))</f>
        <v/>
      </c>
      <c r="H211" s="14" t="inlineStr">
        <is>
          <t>ECL_AMOUNT</t>
        </is>
      </c>
      <c r="I211" s="15" t="inlineStr">
        <is>
          <t>ECL — issuing bank</t>
        </is>
      </c>
      <c r="J211" s="14" t="inlineStr">
        <is>
          <t>POST</t>
        </is>
      </c>
      <c r="K211" s="25">
        <f>IF(OR($E211="—",LEFT($E211,1)="("),"n/a",IF(COUNTIF(Balance_Taxonomy!$B$5:$B$400,$E211)&gt;0,"OK","UNKNOWN TYPE"))</f>
        <v/>
      </c>
      <c r="L211" s="25">
        <f>IF(COUNTIF(Amount_Basis!$A$5:$A$100,$H211)&gt;0,"OK","UNKNOWN CODE")</f>
        <v/>
      </c>
      <c r="M211" s="25">
        <f>IF($F211="DERIVED_FROM_SIGN",IF($G211="runtime","OK","INVALID - must be runtime"),IF(OR($J211="POST",$J211="MEMO_ONLY"),IF(OR($G211="Dr",$G211="Cr"),"OK","INVALID - must derive"),IF(OR($G211="n/a",$G211="runtime"),"OK","INVALID - must be n/a")))</f>
        <v/>
      </c>
      <c r="N211" s="25">
        <f t="array" ref="N211">IF($J211="MIRROR",IF($F211="MIRRORED","OK","INVALID - MIRROR needs MIRRORED"),IF(IFERROR(INDEX(Amount_Basis!$D$5:$D$100,MATCH($H211,Amount_Basis!$A$5:$A$100,0)),"")="SIGNED",IF($F211="DERIVED_FROM_SIGN","OK","INVALID - SIGNED basis needs DERIVED_FROM_SIGN"),IF(OR($F211="INCREASE",$F211="DECREASE",$F211="—"),"OK","INVALID - static direction required")))</f>
        <v/>
      </c>
      <c r="O211" s="14" t="inlineStr">
        <is>
          <t>§7.7</t>
        </is>
      </c>
    </row>
    <row r="212" ht="15" customHeight="1" s="40">
      <c r="A212" s="19" t="inlineStr">
        <is>
          <t>Cross</t>
        </is>
      </c>
      <c r="B212" s="19" t="inlineStr">
        <is>
          <t>FEE_ACCRUE</t>
        </is>
      </c>
      <c r="C212" s="19" t="inlineStr">
        <is>
          <t>AMORTISE</t>
        </is>
      </c>
      <c r="D212" s="19" t="n">
        <v>1</v>
      </c>
      <c r="E212" s="21" t="inlineStr">
        <is>
          <t>UNEARNED_COMMISSION_INCOME</t>
        </is>
      </c>
      <c r="F212" s="19" t="inlineStr">
        <is>
          <t>DECREASE</t>
        </is>
      </c>
      <c r="G212" s="29">
        <f t="array" ref="G212">IF(OR($F212="DERIVED_FROM_SIGN",$F212="MIRRORED"),"runtime",IFERROR(IF(INDEX(Balance_Taxonomy!$C$5:$C$400,MATCH($E212,Balance_Taxonomy!$B$5:$B$400,0))="Dr",IF($F212="INCREASE","Dr","Cr"),IF($F212="INCREASE","Cr","Dr")),"n/a"))</f>
        <v/>
      </c>
      <c r="H212" s="19" t="inlineStr">
        <is>
          <t>COMMISSION_PERIOD_AMORT</t>
        </is>
      </c>
      <c r="I212" s="21" t="inlineStr">
        <is>
          <t>period amortisation</t>
        </is>
      </c>
      <c r="J212" s="19" t="inlineStr">
        <is>
          <t>POST</t>
        </is>
      </c>
      <c r="K212" s="29">
        <f>IF(OR($E212="—",LEFT($E212,1)="("),"n/a",IF(COUNTIF(Balance_Taxonomy!$B$5:$B$400,$E212)&gt;0,"OK","UNKNOWN TYPE"))</f>
        <v/>
      </c>
      <c r="L212" s="29">
        <f>IF(COUNTIF(Amount_Basis!$A$5:$A$100,$H212)&gt;0,"OK","UNKNOWN CODE")</f>
        <v/>
      </c>
      <c r="M212" s="29">
        <f>IF($F212="DERIVED_FROM_SIGN",IF($G212="runtime","OK","INVALID - must be runtime"),IF(OR($J212="POST",$J212="MEMO_ONLY"),IF(OR($G212="Dr",$G212="Cr"),"OK","INVALID - must derive"),IF(OR($G212="n/a",$G212="runtime"),"OK","INVALID - must be n/a")))</f>
        <v/>
      </c>
      <c r="N212" s="29">
        <f t="array" ref="N212">IF($J212="MIRROR",IF($F212="MIRRORED","OK","INVALID - MIRROR needs MIRRORED"),IF(IFERROR(INDEX(Amount_Basis!$D$5:$D$100,MATCH($H212,Amount_Basis!$A$5:$A$100,0)),"")="SIGNED",IF($F212="DERIVED_FROM_SIGN","OK","INVALID - SIGNED basis needs DERIVED_FROM_SIGN"),IF(OR($F212="INCREASE",$F212="DECREASE",$F212="—"),"OK","INVALID - static direction required")))</f>
        <v/>
      </c>
      <c r="O212" s="19" t="inlineStr">
        <is>
          <t>§9.2</t>
        </is>
      </c>
    </row>
    <row r="213" ht="15" customHeight="1" s="40">
      <c r="A213" s="19" t="inlineStr">
        <is>
          <t>Cross</t>
        </is>
      </c>
      <c r="B213" s="19" t="inlineStr">
        <is>
          <t>FEE_ACCRUE</t>
        </is>
      </c>
      <c r="C213" s="19" t="inlineStr">
        <is>
          <t>AMORTISE</t>
        </is>
      </c>
      <c r="D213" s="19" t="n">
        <v>1</v>
      </c>
      <c r="E213" s="21" t="inlineStr">
        <is>
          <t>FEE_COMMISSION_INCOME</t>
        </is>
      </c>
      <c r="F213" s="19" t="inlineStr">
        <is>
          <t>INCREASE</t>
        </is>
      </c>
      <c r="G213" s="29">
        <f t="array" ref="G213">IF(OR($F213="DERIVED_FROM_SIGN",$F213="MIRRORED"),"runtime",IFERROR(IF(INDEX(Balance_Taxonomy!$C$5:$C$400,MATCH($E213,Balance_Taxonomy!$B$5:$B$400,0))="Dr",IF($F213="INCREASE","Dr","Cr"),IF($F213="INCREASE","Cr","Dr")),"n/a"))</f>
        <v/>
      </c>
      <c r="H213" s="19" t="inlineStr">
        <is>
          <t>COMMISSION_PERIOD_AMORT</t>
        </is>
      </c>
      <c r="I213" s="21" t="inlineStr">
        <is>
          <t>period amortisation</t>
        </is>
      </c>
      <c r="J213" s="19" t="inlineStr">
        <is>
          <t>POST</t>
        </is>
      </c>
      <c r="K213" s="29">
        <f>IF(OR($E213="—",LEFT($E213,1)="("),"n/a",IF(COUNTIF(Balance_Taxonomy!$B$5:$B$400,$E213)&gt;0,"OK","UNKNOWN TYPE"))</f>
        <v/>
      </c>
      <c r="L213" s="29">
        <f>IF(COUNTIF(Amount_Basis!$A$5:$A$100,$H213)&gt;0,"OK","UNKNOWN CODE")</f>
        <v/>
      </c>
      <c r="M213" s="29">
        <f>IF($F213="DERIVED_FROM_SIGN",IF($G213="runtime","OK","INVALID - must be runtime"),IF(OR($J213="POST",$J213="MEMO_ONLY"),IF(OR($G213="Dr",$G213="Cr"),"OK","INVALID - must derive"),IF(OR($G213="n/a",$G213="runtime"),"OK","INVALID - must be n/a")))</f>
        <v/>
      </c>
      <c r="N213" s="29">
        <f t="array" ref="N213">IF($J213="MIRROR",IF($F213="MIRRORED","OK","INVALID - MIRROR needs MIRRORED"),IF(IFERROR(INDEX(Amount_Basis!$D$5:$D$100,MATCH($H213,Amount_Basis!$A$5:$A$100,0)),"")="SIGNED",IF($F213="DERIVED_FROM_SIGN","OK","INVALID - SIGNED basis needs DERIVED_FROM_SIGN"),IF(OR($F213="INCREASE",$F213="DECREASE",$F213="—"),"OK","INVALID - static direction required")))</f>
        <v/>
      </c>
      <c r="O213" s="19" t="inlineStr">
        <is>
          <t>§9.2</t>
        </is>
      </c>
    </row>
    <row r="214" ht="15" customHeight="1" s="40">
      <c r="A214" s="14" t="inlineStr">
        <is>
          <t>Cross</t>
        </is>
      </c>
      <c r="B214" s="14" t="inlineStr">
        <is>
          <t>ECL_ASSESS</t>
        </is>
      </c>
      <c r="C214" s="14" t="inlineStr">
        <is>
          <t>ADJUST_PROVISION</t>
        </is>
      </c>
      <c r="D214" s="14" t="n">
        <v>1</v>
      </c>
      <c r="E214" s="15" t="inlineStr">
        <is>
          <t>IMPAIRMENT_CHARGE_OFFBS</t>
        </is>
      </c>
      <c r="F214" s="14" t="inlineStr">
        <is>
          <t>DERIVED_FROM_SIGN</t>
        </is>
      </c>
      <c r="G214" s="25">
        <f t="array" ref="G214">IF(OR($F214="DERIVED_FROM_SIGN",$F214="MIRRORED"),"runtime",IFERROR(IF(INDEX(Balance_Taxonomy!$C$5:$C$400,MATCH($E214,Balance_Taxonomy!$B$5:$B$400,0))="Dr",IF($F214="INCREASE","Dr","Cr"),IF($F214="INCREASE","Cr","Dr")),"n/a"))</f>
        <v/>
      </c>
      <c r="H214" s="14" t="inlineStr">
        <is>
          <t>ECL_DELTA</t>
        </is>
      </c>
      <c r="I214" s="15" t="inlineStr">
        <is>
          <t>ECL delta (signed)</t>
        </is>
      </c>
      <c r="J214" s="14" t="inlineStr">
        <is>
          <t>POST</t>
        </is>
      </c>
      <c r="K214" s="25">
        <f>IF(OR($E214="—",LEFT($E214,1)="("),"n/a",IF(COUNTIF(Balance_Taxonomy!$B$5:$B$400,$E214)&gt;0,"OK","UNKNOWN TYPE"))</f>
        <v/>
      </c>
      <c r="L214" s="25">
        <f>IF(COUNTIF(Amount_Basis!$A$5:$A$100,$H214)&gt;0,"OK","UNKNOWN CODE")</f>
        <v/>
      </c>
      <c r="M214" s="25">
        <f>IF($F214="DERIVED_FROM_SIGN",IF($G214="runtime","OK","INVALID - must be runtime"),IF(OR($J214="POST",$J214="MEMO_ONLY"),IF(OR($G214="Dr",$G214="Cr"),"OK","INVALID - must derive"),IF(OR($G214="n/a",$G214="runtime"),"OK","INVALID - must be n/a")))</f>
        <v/>
      </c>
      <c r="N214" s="25">
        <f t="array" ref="N214">IF($J214="MIRROR",IF($F214="MIRRORED","OK","INVALID - MIRROR needs MIRRORED"),IF(IFERROR(INDEX(Amount_Basis!$D$5:$D$100,MATCH($H214,Amount_Basis!$A$5:$A$100,0)),"")="SIGNED",IF($F214="DERIVED_FROM_SIGN","OK","INVALID - SIGNED basis needs DERIVED_FROM_SIGN"),IF(OR($F214="INCREASE",$F214="DECREASE",$F214="—"),"OK","INVALID - static direction required")))</f>
        <v/>
      </c>
      <c r="O214" s="14" t="inlineStr">
        <is>
          <t>§9.3</t>
        </is>
      </c>
    </row>
    <row r="215" ht="15" customHeight="1" s="40">
      <c r="A215" s="14" t="inlineStr">
        <is>
          <t>Cross</t>
        </is>
      </c>
      <c r="B215" s="14" t="inlineStr">
        <is>
          <t>ECL_ASSESS</t>
        </is>
      </c>
      <c r="C215" s="14" t="inlineStr">
        <is>
          <t>ADJUST_PROVISION</t>
        </is>
      </c>
      <c r="D215" s="14" t="n">
        <v>1</v>
      </c>
      <c r="E215" s="15" t="inlineStr">
        <is>
          <t>PROVISION_OFFBS</t>
        </is>
      </c>
      <c r="F215" s="14" t="inlineStr">
        <is>
          <t>DERIVED_FROM_SIGN</t>
        </is>
      </c>
      <c r="G215" s="25">
        <f t="array" ref="G215">IF(OR($F215="DERIVED_FROM_SIGN",$F215="MIRRORED"),"runtime",IFERROR(IF(INDEX(Balance_Taxonomy!$C$5:$C$400,MATCH($E215,Balance_Taxonomy!$B$5:$B$400,0))="Dr",IF($F215="INCREASE","Dr","Cr"),IF($F215="INCREASE","Cr","Dr")),"n/a"))</f>
        <v/>
      </c>
      <c r="H215" s="14" t="inlineStr">
        <is>
          <t>ECL_DELTA</t>
        </is>
      </c>
      <c r="I215" s="15" t="inlineStr">
        <is>
          <t>ECL delta (signed)</t>
        </is>
      </c>
      <c r="J215" s="14" t="inlineStr">
        <is>
          <t>POST</t>
        </is>
      </c>
      <c r="K215" s="25">
        <f>IF(OR($E215="—",LEFT($E215,1)="("),"n/a",IF(COUNTIF(Balance_Taxonomy!$B$5:$B$400,$E215)&gt;0,"OK","UNKNOWN TYPE"))</f>
        <v/>
      </c>
      <c r="L215" s="25">
        <f>IF(COUNTIF(Amount_Basis!$A$5:$A$100,$H215)&gt;0,"OK","UNKNOWN CODE")</f>
        <v/>
      </c>
      <c r="M215" s="25">
        <f>IF($F215="DERIVED_FROM_SIGN",IF($G215="runtime","OK","INVALID - must be runtime"),IF(OR($J215="POST",$J215="MEMO_ONLY"),IF(OR($G215="Dr",$G215="Cr"),"OK","INVALID - must derive"),IF(OR($G215="n/a",$G215="runtime"),"OK","INVALID - must be n/a")))</f>
        <v/>
      </c>
      <c r="N215" s="25">
        <f t="array" ref="N215">IF($J215="MIRROR",IF($F215="MIRRORED","OK","INVALID - MIRROR needs MIRRORED"),IF(IFERROR(INDEX(Amount_Basis!$D$5:$D$100,MATCH($H215,Amount_Basis!$A$5:$A$100,0)),"")="SIGNED",IF($F215="DERIVED_FROM_SIGN","OK","INVALID - SIGNED basis needs DERIVED_FROM_SIGN"),IF(OR($F215="INCREASE",$F215="DECREASE",$F215="—"),"OK","INVALID - static direction required")))</f>
        <v/>
      </c>
      <c r="O215" s="14" t="inlineStr">
        <is>
          <t>§9.3</t>
        </is>
      </c>
    </row>
    <row r="216" ht="15" customHeight="1" s="40">
      <c r="A216" s="19" t="inlineStr">
        <is>
          <t>Cross</t>
        </is>
      </c>
      <c r="B216" s="19" t="inlineStr">
        <is>
          <t>INT_ACCRUE</t>
        </is>
      </c>
      <c r="C216" s="19" t="inlineStr">
        <is>
          <t>ACCRUE</t>
        </is>
      </c>
      <c r="D216" s="19" t="n">
        <v>1</v>
      </c>
      <c r="E216" s="21" t="inlineStr">
        <is>
          <t>INTEREST_RECEIVABLE</t>
        </is>
      </c>
      <c r="F216" s="19" t="inlineStr">
        <is>
          <t>INCREASE</t>
        </is>
      </c>
      <c r="G216" s="29">
        <f t="array" ref="G216">IF(OR($F216="DERIVED_FROM_SIGN",$F216="MIRRORED"),"runtime",IFERROR(IF(INDEX(Balance_Taxonomy!$C$5:$C$400,MATCH($E216,Balance_Taxonomy!$B$5:$B$400,0))="Dr",IF($F216="INCREASE","Dr","Cr"),IF($F216="INCREASE","Cr","Dr")),"n/a"))</f>
        <v/>
      </c>
      <c r="H216" s="19" t="inlineStr">
        <is>
          <t>INTEREST_PERIOD</t>
        </is>
      </c>
      <c r="I216" s="21" t="inlineStr">
        <is>
          <t>effective interest for the period</t>
        </is>
      </c>
      <c r="J216" s="19" t="inlineStr">
        <is>
          <t>POST</t>
        </is>
      </c>
      <c r="K216" s="29">
        <f>IF(OR($E216="—",LEFT($E216,1)="("),"n/a",IF(COUNTIF(Balance_Taxonomy!$B$5:$B$400,$E216)&gt;0,"OK","UNKNOWN TYPE"))</f>
        <v/>
      </c>
      <c r="L216" s="29">
        <f>IF(COUNTIF(Amount_Basis!$A$5:$A$100,$H216)&gt;0,"OK","UNKNOWN CODE")</f>
        <v/>
      </c>
      <c r="M216" s="29">
        <f>IF($F216="DERIVED_FROM_SIGN",IF($G216="runtime","OK","INVALID - must be runtime"),IF(OR($J216="POST",$J216="MEMO_ONLY"),IF(OR($G216="Dr",$G216="Cr"),"OK","INVALID - must derive"),IF(OR($G216="n/a",$G216="runtime"),"OK","INVALID - must be n/a")))</f>
        <v/>
      </c>
      <c r="N216" s="29">
        <f t="array" ref="N216">IF($J216="MIRROR",IF($F216="MIRRORED","OK","INVALID - MIRROR needs MIRRORED"),IF(IFERROR(INDEX(Amount_Basis!$D$5:$D$100,MATCH($H216,Amount_Basis!$A$5:$A$100,0)),"")="SIGNED",IF($F216="DERIVED_FROM_SIGN","OK","INVALID - SIGNED basis needs DERIVED_FROM_SIGN"),IF(OR($F216="INCREASE",$F216="DECREASE",$F216="—"),"OK","INVALID - static direction required")))</f>
        <v/>
      </c>
      <c r="O216" s="19" t="inlineStr">
        <is>
          <t>§9.4</t>
        </is>
      </c>
    </row>
    <row r="217" ht="15" customHeight="1" s="40">
      <c r="A217" s="19" t="inlineStr">
        <is>
          <t>Cross</t>
        </is>
      </c>
      <c r="B217" s="19" t="inlineStr">
        <is>
          <t>INT_ACCRUE</t>
        </is>
      </c>
      <c r="C217" s="19" t="inlineStr">
        <is>
          <t>ACCRUE</t>
        </is>
      </c>
      <c r="D217" s="19" t="n">
        <v>1</v>
      </c>
      <c r="E217" s="21" t="inlineStr">
        <is>
          <t>INTEREST_INCOME</t>
        </is>
      </c>
      <c r="F217" s="19" t="inlineStr">
        <is>
          <t>INCREASE</t>
        </is>
      </c>
      <c r="G217" s="29">
        <f t="array" ref="G217">IF(OR($F217="DERIVED_FROM_SIGN",$F217="MIRRORED"),"runtime",IFERROR(IF(INDEX(Balance_Taxonomy!$C$5:$C$400,MATCH($E217,Balance_Taxonomy!$B$5:$B$400,0))="Dr",IF($F217="INCREASE","Dr","Cr"),IF($F217="INCREASE","Cr","Dr")),"n/a"))</f>
        <v/>
      </c>
      <c r="H217" s="19" t="inlineStr">
        <is>
          <t>INTEREST_PERIOD</t>
        </is>
      </c>
      <c r="I217" s="21" t="inlineStr">
        <is>
          <t>effective interest for the period</t>
        </is>
      </c>
      <c r="J217" s="19" t="inlineStr">
        <is>
          <t>POST</t>
        </is>
      </c>
      <c r="K217" s="29">
        <f>IF(OR($E217="—",LEFT($E217,1)="("),"n/a",IF(COUNTIF(Balance_Taxonomy!$B$5:$B$400,$E217)&gt;0,"OK","UNKNOWN TYPE"))</f>
        <v/>
      </c>
      <c r="L217" s="29">
        <f>IF(COUNTIF(Amount_Basis!$A$5:$A$100,$H217)&gt;0,"OK","UNKNOWN CODE")</f>
        <v/>
      </c>
      <c r="M217" s="29">
        <f>IF($F217="DERIVED_FROM_SIGN",IF($G217="runtime","OK","INVALID - must be runtime"),IF(OR($J217="POST",$J217="MEMO_ONLY"),IF(OR($G217="Dr",$G217="Cr"),"OK","INVALID - must derive"),IF(OR($G217="n/a",$G217="runtime"),"OK","INVALID - must be n/a")))</f>
        <v/>
      </c>
      <c r="N217" s="29">
        <f t="array" ref="N217">IF($J217="MIRROR",IF($F217="MIRRORED","OK","INVALID - MIRROR needs MIRRORED"),IF(IFERROR(INDEX(Amount_Basis!$D$5:$D$100,MATCH($H217,Amount_Basis!$A$5:$A$100,0)),"")="SIGNED",IF($F217="DERIVED_FROM_SIGN","OK","INVALID - SIGNED basis needs DERIVED_FROM_SIGN"),IF(OR($F217="INCREASE",$F217="DECREASE",$F217="—"),"OK","INVALID - static direction required")))</f>
        <v/>
      </c>
      <c r="O217" s="19" t="inlineStr">
        <is>
          <t>§9.4</t>
        </is>
      </c>
    </row>
    <row r="218" ht="15" customHeight="1" s="40">
      <c r="A218" s="14" t="inlineStr">
        <is>
          <t>Cross</t>
        </is>
      </c>
      <c r="B218" s="14" t="inlineStr">
        <is>
          <t>DISC_ACCRETE</t>
        </is>
      </c>
      <c r="C218" s="14" t="inlineStr">
        <is>
          <t>ACCRETE</t>
        </is>
      </c>
      <c r="D218" s="14" t="n">
        <v>1</v>
      </c>
      <c r="E218" s="15" t="inlineStr">
        <is>
          <t>UNEARNED_DISCOUNT</t>
        </is>
      </c>
      <c r="F218" s="14" t="inlineStr">
        <is>
          <t>DECREASE</t>
        </is>
      </c>
      <c r="G218" s="25">
        <f t="array" ref="G218">IF(OR($F218="DERIVED_FROM_SIGN",$F218="MIRRORED"),"runtime",IFERROR(IF(INDEX(Balance_Taxonomy!$C$5:$C$400,MATCH($E218,Balance_Taxonomy!$B$5:$B$400,0))="Dr",IF($F218="INCREASE","Dr","Cr"),IF($F218="INCREASE","Cr","Dr")),"n/a"))</f>
        <v/>
      </c>
      <c r="H218" s="14" t="inlineStr">
        <is>
          <t>DISCOUNT_ACCRETION</t>
        </is>
      </c>
      <c r="I218" s="15" t="inlineStr">
        <is>
          <t>period accretion</t>
        </is>
      </c>
      <c r="J218" s="14" t="inlineStr">
        <is>
          <t>POST</t>
        </is>
      </c>
      <c r="K218" s="25">
        <f>IF(OR($E218="—",LEFT($E218,1)="("),"n/a",IF(COUNTIF(Balance_Taxonomy!$B$5:$B$400,$E218)&gt;0,"OK","UNKNOWN TYPE"))</f>
        <v/>
      </c>
      <c r="L218" s="25">
        <f>IF(COUNTIF(Amount_Basis!$A$5:$A$100,$H218)&gt;0,"OK","UNKNOWN CODE")</f>
        <v/>
      </c>
      <c r="M218" s="25">
        <f>IF($F218="DERIVED_FROM_SIGN",IF($G218="runtime","OK","INVALID - must be runtime"),IF(OR($J218="POST",$J218="MEMO_ONLY"),IF(OR($G218="Dr",$G218="Cr"),"OK","INVALID - must derive"),IF(OR($G218="n/a",$G218="runtime"),"OK","INVALID - must be n/a")))</f>
        <v/>
      </c>
      <c r="N218" s="25">
        <f t="array" ref="N218">IF($J218="MIRROR",IF($F218="MIRRORED","OK","INVALID - MIRROR needs MIRRORED"),IF(IFERROR(INDEX(Amount_Basis!$D$5:$D$100,MATCH($H218,Amount_Basis!$A$5:$A$100,0)),"")="SIGNED",IF($F218="DERIVED_FROM_SIGN","OK","INVALID - SIGNED basis needs DERIVED_FROM_SIGN"),IF(OR($F218="INCREASE",$F218="DECREASE",$F218="—"),"OK","INVALID - static direction required")))</f>
        <v/>
      </c>
      <c r="O218" s="14" t="inlineStr">
        <is>
          <t>§9.4</t>
        </is>
      </c>
    </row>
    <row r="219" ht="15" customHeight="1" s="40">
      <c r="A219" s="14" t="inlineStr">
        <is>
          <t>Cross</t>
        </is>
      </c>
      <c r="B219" s="14" t="inlineStr">
        <is>
          <t>DISC_ACCRETE</t>
        </is>
      </c>
      <c r="C219" s="14" t="inlineStr">
        <is>
          <t>ACCRETE</t>
        </is>
      </c>
      <c r="D219" s="14" t="n">
        <v>1</v>
      </c>
      <c r="E219" s="15" t="inlineStr">
        <is>
          <t>INTEREST_INCOME</t>
        </is>
      </c>
      <c r="F219" s="14" t="inlineStr">
        <is>
          <t>INCREASE</t>
        </is>
      </c>
      <c r="G219" s="25">
        <f t="array" ref="G219">IF(OR($F219="DERIVED_FROM_SIGN",$F219="MIRRORED"),"runtime",IFERROR(IF(INDEX(Balance_Taxonomy!$C$5:$C$400,MATCH($E219,Balance_Taxonomy!$B$5:$B$400,0))="Dr",IF($F219="INCREASE","Dr","Cr"),IF($F219="INCREASE","Cr","Dr")),"n/a"))</f>
        <v/>
      </c>
      <c r="H219" s="14" t="inlineStr">
        <is>
          <t>DISCOUNT_ACCRETION</t>
        </is>
      </c>
      <c r="I219" s="15" t="inlineStr">
        <is>
          <t>period accretion</t>
        </is>
      </c>
      <c r="J219" s="14" t="inlineStr">
        <is>
          <t>POST</t>
        </is>
      </c>
      <c r="K219" s="25">
        <f>IF(OR($E219="—",LEFT($E219,1)="("),"n/a",IF(COUNTIF(Balance_Taxonomy!$B$5:$B$400,$E219)&gt;0,"OK","UNKNOWN TYPE"))</f>
        <v/>
      </c>
      <c r="L219" s="25">
        <f>IF(COUNTIF(Amount_Basis!$A$5:$A$100,$H219)&gt;0,"OK","UNKNOWN CODE")</f>
        <v/>
      </c>
      <c r="M219" s="25">
        <f>IF($F219="DERIVED_FROM_SIGN",IF($G219="runtime","OK","INVALID - must be runtime"),IF(OR($J219="POST",$J219="MEMO_ONLY"),IF(OR($G219="Dr",$G219="Cr"),"OK","INVALID - must derive"),IF(OR($G219="n/a",$G219="runtime"),"OK","INVALID - must be n/a")))</f>
        <v/>
      </c>
      <c r="N219" s="25">
        <f t="array" ref="N219">IF($J219="MIRROR",IF($F219="MIRRORED","OK","INVALID - MIRROR needs MIRRORED"),IF(IFERROR(INDEX(Amount_Basis!$D$5:$D$100,MATCH($H219,Amount_Basis!$A$5:$A$100,0)),"")="SIGNED",IF($F219="DERIVED_FROM_SIGN","OK","INVALID - SIGNED basis needs DERIVED_FROM_SIGN"),IF(OR($F219="INCREASE",$F219="DECREASE",$F219="—"),"OK","INVALID - static direction required")))</f>
        <v/>
      </c>
      <c r="O219" s="14" t="inlineStr">
        <is>
          <t>§9.4</t>
        </is>
      </c>
    </row>
    <row r="220" ht="15" customHeight="1" s="40">
      <c r="A220" s="19" t="inlineStr">
        <is>
          <t>Cross</t>
        </is>
      </c>
      <c r="B220" s="19" t="inlineStr">
        <is>
          <t>FX_REVAL</t>
        </is>
      </c>
      <c r="C220" s="19" t="inlineStr">
        <is>
          <t>REVALUE</t>
        </is>
      </c>
      <c r="D220" s="19" t="n">
        <v>1</v>
      </c>
      <c r="E220" s="21" t="inlineStr">
        <is>
          <t>FX_POSITION</t>
        </is>
      </c>
      <c r="F220" s="19" t="inlineStr">
        <is>
          <t>DERIVED_FROM_SIGN</t>
        </is>
      </c>
      <c r="G220" s="29">
        <f t="array" ref="G220">IF(OR($F220="DERIVED_FROM_SIGN",$F220="MIRRORED"),"runtime",IFERROR(IF(INDEX(Balance_Taxonomy!$C$5:$C$400,MATCH($E220,Balance_Taxonomy!$B$5:$B$400,0))="Dr",IF($F220="INCREASE","Dr","Cr"),IF($F220="INCREASE","Cr","Dr")),"n/a"))</f>
        <v/>
      </c>
      <c r="H220" s="19" t="inlineStr">
        <is>
          <t>FX_REVAL_DELTA</t>
        </is>
      </c>
      <c r="I220" s="21" t="inlineStr">
        <is>
          <t>revaluation delta (signed)</t>
        </is>
      </c>
      <c r="J220" s="19" t="inlineStr">
        <is>
          <t>POST</t>
        </is>
      </c>
      <c r="K220" s="29">
        <f>IF(OR($E220="—",LEFT($E220,1)="("),"n/a",IF(COUNTIF(Balance_Taxonomy!$B$5:$B$400,$E220)&gt;0,"OK","UNKNOWN TYPE"))</f>
        <v/>
      </c>
      <c r="L220" s="29">
        <f>IF(COUNTIF(Amount_Basis!$A$5:$A$100,$H220)&gt;0,"OK","UNKNOWN CODE")</f>
        <v/>
      </c>
      <c r="M220" s="29">
        <f>IF($F220="DERIVED_FROM_SIGN",IF($G220="runtime","OK","INVALID - must be runtime"),IF(OR($J220="POST",$J220="MEMO_ONLY"),IF(OR($G220="Dr",$G220="Cr"),"OK","INVALID - must derive"),IF(OR($G220="n/a",$G220="runtime"),"OK","INVALID - must be n/a")))</f>
        <v/>
      </c>
      <c r="N220" s="29">
        <f t="array" ref="N220">IF($J220="MIRROR",IF($F220="MIRRORED","OK","INVALID - MIRROR needs MIRRORED"),IF(IFERROR(INDEX(Amount_Basis!$D$5:$D$100,MATCH($H220,Amount_Basis!$A$5:$A$100,0)),"")="SIGNED",IF($F220="DERIVED_FROM_SIGN","OK","INVALID - SIGNED basis needs DERIVED_FROM_SIGN"),IF(OR($F220="INCREASE",$F220="DECREASE",$F220="—"),"OK","INVALID - static direction required")))</f>
        <v/>
      </c>
      <c r="O220" s="19" t="inlineStr">
        <is>
          <t>§9.5</t>
        </is>
      </c>
    </row>
    <row r="221" ht="15" customHeight="1" s="40">
      <c r="A221" s="19" t="inlineStr">
        <is>
          <t>Cross</t>
        </is>
      </c>
      <c r="B221" s="19" t="inlineStr">
        <is>
          <t>FX_REVAL</t>
        </is>
      </c>
      <c r="C221" s="19" t="inlineStr">
        <is>
          <t>REVALUE</t>
        </is>
      </c>
      <c r="D221" s="19" t="n">
        <v>1</v>
      </c>
      <c r="E221" s="21" t="inlineStr">
        <is>
          <t>FX_REVALUATION</t>
        </is>
      </c>
      <c r="F221" s="19" t="inlineStr">
        <is>
          <t>DERIVED_FROM_SIGN</t>
        </is>
      </c>
      <c r="G221" s="29">
        <f t="array" ref="G221">IF(OR($F221="DERIVED_FROM_SIGN",$F221="MIRRORED"),"runtime",IFERROR(IF(INDEX(Balance_Taxonomy!$C$5:$C$400,MATCH($E221,Balance_Taxonomy!$B$5:$B$400,0))="Dr",IF($F221="INCREASE","Dr","Cr"),IF($F221="INCREASE","Cr","Dr")),"n/a"))</f>
        <v/>
      </c>
      <c r="H221" s="19" t="inlineStr">
        <is>
          <t>FX_REVAL_DELTA</t>
        </is>
      </c>
      <c r="I221" s="21" t="inlineStr">
        <is>
          <t>revaluation delta (signed)</t>
        </is>
      </c>
      <c r="J221" s="19" t="inlineStr">
        <is>
          <t>POST</t>
        </is>
      </c>
      <c r="K221" s="29">
        <f>IF(OR($E221="—",LEFT($E221,1)="("),"n/a",IF(COUNTIF(Balance_Taxonomy!$B$5:$B$400,$E221)&gt;0,"OK","UNKNOWN TYPE"))</f>
        <v/>
      </c>
      <c r="L221" s="29">
        <f>IF(COUNTIF(Amount_Basis!$A$5:$A$100,$H221)&gt;0,"OK","UNKNOWN CODE")</f>
        <v/>
      </c>
      <c r="M221" s="29">
        <f>IF($F221="DERIVED_FROM_SIGN",IF($G221="runtime","OK","INVALID - must be runtime"),IF(OR($J221="POST",$J221="MEMO_ONLY"),IF(OR($G221="Dr",$G221="Cr"),"OK","INVALID - must derive"),IF(OR($G221="n/a",$G221="runtime"),"OK","INVALID - must be n/a")))</f>
        <v/>
      </c>
      <c r="N221" s="29">
        <f t="array" ref="N221">IF($J221="MIRROR",IF($F221="MIRRORED","OK","INVALID - MIRROR needs MIRRORED"),IF(IFERROR(INDEX(Amount_Basis!$D$5:$D$100,MATCH($H221,Amount_Basis!$A$5:$A$100,0)),"")="SIGNED",IF($F221="DERIVED_FROM_SIGN","OK","INVALID - SIGNED basis needs DERIVED_FROM_SIGN"),IF(OR($F221="INCREASE",$F221="DECREASE",$F221="—"),"OK","INVALID - static direction required")))</f>
        <v/>
      </c>
      <c r="O221" s="19" t="inlineStr">
        <is>
          <t>§9.5</t>
        </is>
      </c>
    </row>
    <row r="222" ht="15" customHeight="1" s="40">
      <c r="A222" s="14" t="inlineStr">
        <is>
          <t>Cross</t>
        </is>
      </c>
      <c r="B222" s="14" t="inlineStr">
        <is>
          <t>EVT_REVERSE</t>
        </is>
      </c>
      <c r="C222" s="14" t="inlineStr">
        <is>
          <t>SIGNED_REVERSAL</t>
        </is>
      </c>
      <c r="D222" s="14" t="n">
        <v>1</v>
      </c>
      <c r="E222" s="15" t="inlineStr">
        <is>
          <t>(mirror of the reversed event)</t>
        </is>
      </c>
      <c r="F222" s="14" t="inlineStr">
        <is>
          <t>MIRRORED</t>
        </is>
      </c>
      <c r="G222" s="25">
        <f t="array" ref="G222">IF(OR($F222="DERIVED_FROM_SIGN",$F222="MIRRORED"),"runtime",IFERROR(IF(INDEX(Balance_Taxonomy!$C$5:$C$400,MATCH($E222,Balance_Taxonomy!$B$5:$B$400,0))="Dr",IF($F222="INCREASE","Dr","Cr"),IF($F222="INCREASE","Cr","Dr")),"n/a"))</f>
        <v/>
      </c>
      <c r="H222" s="14" t="inlineStr">
        <is>
          <t>ORIGINAL_AMOUNT_SIGNED</t>
        </is>
      </c>
      <c r="I222" s="15" t="inlineStr">
        <is>
          <t>original amount, signed</t>
        </is>
      </c>
      <c r="J222" s="14" t="inlineStr">
        <is>
          <t>MIRROR</t>
        </is>
      </c>
      <c r="K222" s="25">
        <f>IF(OR($E222="—",LEFT($E222,1)="("),"n/a",IF(COUNTIF(Balance_Taxonomy!$B$5:$B$400,$E222)&gt;0,"OK","UNKNOWN TYPE"))</f>
        <v/>
      </c>
      <c r="L222" s="25">
        <f>IF(COUNTIF(Amount_Basis!$A$5:$A$100,$H222)&gt;0,"OK","UNKNOWN CODE")</f>
        <v/>
      </c>
      <c r="M222" s="25">
        <f>IF($F222="DERIVED_FROM_SIGN",IF($G222="runtime","OK","INVALID - must be runtime"),IF(OR($J222="POST",$J222="MEMO_ONLY"),IF(OR($G222="Dr",$G222="Cr"),"OK","INVALID - must derive"),IF(OR($G222="n/a",$G222="runtime"),"OK","INVALID - must be n/a")))</f>
        <v/>
      </c>
      <c r="N222" s="25">
        <f t="array" ref="N222">IF($J222="MIRROR",IF($F222="MIRRORED","OK","INVALID - MIRROR needs MIRRORED"),IF(IFERROR(INDEX(Amount_Basis!$D$5:$D$100,MATCH($H222,Amount_Basis!$A$5:$A$100,0)),"")="SIGNED",IF($F222="DERIVED_FROM_SIGN","OK","INVALID - SIGNED basis needs DERIVED_FROM_SIGN"),IF(OR($F222="INCREASE",$F222="DECREASE",$F222="—"),"OK","INVALID - static direction required")))</f>
        <v/>
      </c>
      <c r="O222" s="14" t="inlineStr">
        <is>
          <t>§9.6</t>
        </is>
      </c>
    </row>
    <row r="223" ht="15.75" customHeight="1" s="4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 ht="15.75" customHeight="1" s="4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 ht="15.75" customHeight="1" s="4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 ht="15.75" customHeight="1" s="4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 ht="15.75" customHeight="1" s="4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 ht="15.75" customHeight="1" s="4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 ht="15.75" customHeight="1" s="4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 ht="15.75" customHeight="1" s="4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 ht="15.75" customHeight="1" s="4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 ht="15.75" customHeight="1" s="4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 ht="15.75" customHeight="1" s="40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 ht="15.75" customHeight="1" s="40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 ht="15.75" customHeight="1" s="40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 ht="15.75" customHeight="1" s="40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 ht="15.75" customHeight="1" s="40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 ht="15.75" customHeight="1" s="40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 ht="15.75" customHeight="1" s="40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 ht="15.75" customHeight="1" s="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 ht="15.75" customHeight="1" s="40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 ht="15.75" customHeight="1" s="40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 ht="15.75" customHeight="1" s="40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 ht="15.75" customHeight="1" s="40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 ht="15.75" customHeight="1" s="40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 ht="15.75" customHeight="1" s="40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 ht="15.75" customHeight="1" s="40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 ht="15.75" customHeight="1" s="40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 ht="15.75" customHeight="1" s="40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 ht="15.75" customHeight="1" s="4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 ht="15.75" customHeight="1" s="40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 ht="15.75" customHeight="1" s="40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 ht="15.75" customHeight="1" s="40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 ht="15.75" customHeight="1" s="40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 ht="15.75" customHeight="1" s="40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 ht="15.75" customHeight="1" s="40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 ht="15.75" customHeight="1" s="40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 ht="15.75" customHeight="1" s="40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 ht="15.75" customHeight="1" s="40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 ht="15.75" customHeight="1" s="4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 ht="15.75" customHeight="1" s="40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 ht="15.75" customHeight="1" s="40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 ht="15.75" customHeight="1" s="40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 ht="15.75" customHeight="1" s="40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 ht="15.75" customHeight="1" s="40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 ht="15.75" customHeight="1" s="40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 ht="15.75" customHeight="1" s="40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 ht="15.75" customHeight="1" s="40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 ht="15.75" customHeight="1" s="40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 ht="15.75" customHeight="1" s="4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 ht="15.75" customHeight="1" s="40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 ht="15.75" customHeight="1" s="40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 ht="15.75" customHeight="1" s="40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 ht="15.75" customHeight="1" s="40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 ht="15.75" customHeight="1" s="40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 ht="15.75" customHeight="1" s="40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 ht="15.75" customHeight="1" s="40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 ht="15.75" customHeight="1" s="40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 ht="15.75" customHeight="1" s="40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 ht="15.75" customHeight="1" s="4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 ht="15.75" customHeight="1" s="40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 ht="15.75" customHeight="1" s="40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 ht="15.75" customHeight="1" s="40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 ht="15.75" customHeight="1" s="40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 ht="15.75" customHeight="1" s="40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 ht="15.75" customHeight="1" s="40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 ht="15.75" customHeight="1" s="40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 ht="15.75" customHeight="1" s="40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 ht="15.75" customHeight="1" s="40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 ht="15.75" customHeight="1" s="4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 ht="15.75" customHeight="1" s="40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 ht="15.75" customHeight="1" s="40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 ht="15.75" customHeight="1" s="40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 ht="15.75" customHeight="1" s="40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 ht="15.75" customHeight="1" s="40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 ht="15.75" customHeight="1" s="40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 ht="15.75" customHeight="1" s="40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 ht="15.75" customHeight="1" s="40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 ht="15.75" customHeight="1" s="40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 ht="15.75" customHeight="1" s="4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 ht="15.75" customHeight="1" s="40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 ht="15.75" customHeight="1" s="40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 ht="15.75" customHeight="1" s="40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 ht="15.75" customHeight="1" s="40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 ht="15.75" customHeight="1" s="40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 ht="15.75" customHeight="1" s="40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 ht="15.75" customHeight="1" s="40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 ht="15.75" customHeight="1" s="40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 ht="15.75" customHeight="1" s="40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 ht="15.75" customHeight="1" s="4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 ht="15.75" customHeight="1" s="40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 ht="15.75" customHeight="1" s="40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 ht="15.75" customHeight="1" s="40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 ht="15.75" customHeight="1" s="40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 ht="15.75" customHeight="1" s="40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 ht="15.75" customHeight="1" s="40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 ht="15.75" customHeight="1" s="40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 ht="15.75" customHeight="1" s="40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 ht="15.75" customHeight="1" s="40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 ht="15.75" customHeight="1" s="4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 ht="15.75" customHeight="1" s="40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 ht="15.75" customHeight="1" s="40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 ht="15.75" customHeight="1" s="40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 ht="15.75" customHeight="1" s="40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 ht="15.75" customHeight="1" s="40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 ht="15.75" customHeight="1" s="40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 ht="15.75" customHeight="1" s="40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 ht="15.75" customHeight="1" s="40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 ht="15.75" customHeight="1" s="40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 ht="15.75" customHeight="1" s="4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 ht="15.75" customHeight="1" s="40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 ht="15.75" customHeight="1" s="40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 ht="15.75" customHeight="1" s="40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 ht="15.75" customHeight="1" s="40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 ht="15.75" customHeight="1" s="40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 ht="15.75" customHeight="1" s="40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 ht="15.75" customHeight="1" s="40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 ht="15.75" customHeight="1" s="40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 ht="15.75" customHeight="1" s="40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 ht="15.75" customHeight="1" s="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 ht="15.75" customHeight="1" s="40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 ht="15.75" customHeight="1" s="40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 ht="15.75" customHeight="1" s="40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 ht="15.75" customHeight="1" s="40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 ht="15.75" customHeight="1" s="40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 ht="15.75" customHeight="1" s="40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 ht="15.75" customHeight="1" s="40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 ht="15.75" customHeight="1" s="40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 ht="15.75" customHeight="1" s="40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 ht="15.75" customHeight="1" s="4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 ht="15.75" customHeight="1" s="40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 ht="15.75" customHeight="1" s="40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 ht="15.75" customHeight="1" s="40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 ht="15.75" customHeight="1" s="40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 ht="15.75" customHeight="1" s="40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 ht="15.75" customHeight="1" s="40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 ht="15.75" customHeight="1" s="40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 ht="15.75" customHeight="1" s="40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 ht="15.75" customHeight="1" s="40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 ht="15.75" customHeight="1" s="4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 ht="15.75" customHeight="1" s="40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 ht="15.75" customHeight="1" s="40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 ht="15.75" customHeight="1" s="40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 ht="15.75" customHeight="1" s="40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 ht="15.75" customHeight="1" s="40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 ht="15.75" customHeight="1" s="40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 ht="15.75" customHeight="1" s="40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 ht="15.75" customHeight="1" s="40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 ht="15.75" customHeight="1" s="40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 ht="15.75" customHeight="1" s="4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 ht="15.75" customHeight="1" s="40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 ht="15.75" customHeight="1" s="40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 ht="15.75" customHeight="1" s="40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 ht="15.75" customHeight="1" s="40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 ht="15.75" customHeight="1" s="40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 ht="15.75" customHeight="1" s="40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 ht="15.75" customHeight="1" s="40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 ht="15.75" customHeight="1" s="40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 ht="15.75" customHeight="1" s="40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 ht="15.75" customHeight="1" s="4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 ht="15.75" customHeight="1" s="40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 ht="15.75" customHeight="1" s="40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 ht="15.75" customHeight="1" s="40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 ht="15.75" customHeight="1" s="40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 ht="15.75" customHeight="1" s="40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 ht="15.75" customHeight="1" s="40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 ht="15.75" customHeight="1" s="40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 ht="15.75" customHeight="1" s="40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 ht="15.75" customHeight="1" s="40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 ht="15.75" customHeight="1" s="4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 ht="15.75" customHeight="1" s="40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 ht="15.75" customHeight="1" s="40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 ht="15.75" customHeight="1" s="40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 ht="15.75" customHeight="1" s="40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 ht="15.75" customHeight="1" s="40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 ht="15.75" customHeight="1" s="40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 ht="15.75" customHeight="1" s="40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 ht="15.75" customHeight="1" s="40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 ht="15.75" customHeight="1" s="40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 ht="15.75" customHeight="1" s="4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 ht="15.75" customHeight="1" s="40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 ht="15.75" customHeight="1" s="40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 ht="15.75" customHeight="1" s="40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 ht="15.75" customHeight="1" s="40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 ht="15.75" customHeight="1" s="40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 ht="15.75" customHeight="1" s="40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 ht="15.75" customHeight="1" s="40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 ht="15.75" customHeight="1" s="40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 ht="15.75" customHeight="1" s="40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 ht="15.75" customHeight="1" s="4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 ht="15.75" customHeight="1" s="40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 ht="15.75" customHeight="1" s="40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 ht="15.75" customHeight="1" s="40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 ht="15.75" customHeight="1" s="40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 ht="15.75" customHeight="1" s="40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 ht="15.75" customHeight="1" s="40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 ht="15.75" customHeight="1" s="40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 ht="15.75" customHeight="1" s="40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 ht="15.75" customHeight="1" s="40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 ht="15.75" customHeight="1" s="4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 ht="15.75" customHeight="1" s="40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 ht="15.75" customHeight="1" s="40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 ht="15.75" customHeight="1" s="40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 ht="15.75" customHeight="1" s="40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 ht="15.75" customHeight="1" s="40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 ht="15.75" customHeight="1" s="40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 ht="15.75" customHeight="1" s="40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 ht="15.75" customHeight="1" s="40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 ht="15.75" customHeight="1" s="40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 ht="15.75" customHeight="1" s="4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 ht="15.75" customHeight="1" s="40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 ht="15.75" customHeight="1" s="40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 ht="15.75" customHeight="1" s="40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 ht="15.75" customHeight="1" s="40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 ht="15.75" customHeight="1" s="40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 ht="15.75" customHeight="1" s="40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 ht="15.75" customHeight="1" s="40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 ht="15.75" customHeight="1" s="40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 ht="15.75" customHeight="1" s="40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 ht="15.75" customHeight="1" s="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 ht="15.75" customHeight="1" s="40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 ht="15.75" customHeight="1" s="40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 ht="15.75" customHeight="1" s="40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 ht="15.75" customHeight="1" s="40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 ht="15.75" customHeight="1" s="40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 ht="15.75" customHeight="1" s="40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 ht="15.75" customHeight="1" s="40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 ht="15.75" customHeight="1" s="40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 ht="15.75" customHeight="1" s="40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 ht="15.75" customHeight="1" s="4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 ht="15.75" customHeight="1" s="40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 ht="15.75" customHeight="1" s="40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 ht="15.75" customHeight="1" s="40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 ht="15.75" customHeight="1" s="40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 ht="15.75" customHeight="1" s="40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 ht="15.75" customHeight="1" s="40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 ht="15.75" customHeight="1" s="40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 ht="15.75" customHeight="1" s="40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 ht="15.75" customHeight="1" s="40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 ht="15.75" customHeight="1" s="4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 ht="15.75" customHeight="1" s="40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 ht="15.75" customHeight="1" s="40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 ht="15.75" customHeight="1" s="40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 ht="15.75" customHeight="1" s="40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 ht="15.75" customHeight="1" s="40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 ht="15.75" customHeight="1" s="40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 ht="15.75" customHeight="1" s="40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 ht="15.75" customHeight="1" s="40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 ht="15.75" customHeight="1" s="40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 ht="15.75" customHeight="1" s="4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 ht="15.75" customHeight="1" s="40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 ht="15.75" customHeight="1" s="40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 ht="15.75" customHeight="1" s="40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 ht="15.75" customHeight="1" s="40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 ht="15.75" customHeight="1" s="40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 ht="15.75" customHeight="1" s="40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 ht="15.75" customHeight="1" s="40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 ht="15.75" customHeight="1" s="40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 ht="15.75" customHeight="1" s="40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 ht="15.75" customHeight="1" s="4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 ht="15.75" customHeight="1" s="40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 ht="15.75" customHeight="1" s="40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 ht="15.75" customHeight="1" s="40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 ht="15.75" customHeight="1" s="40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 ht="15.75" customHeight="1" s="40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 ht="15.75" customHeight="1" s="40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 ht="15.75" customHeight="1" s="40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 ht="15.75" customHeight="1" s="40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 ht="15.75" customHeight="1" s="40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 ht="15.75" customHeight="1" s="4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 ht="15.75" customHeight="1" s="40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 ht="15.75" customHeight="1" s="40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 ht="15.75" customHeight="1" s="40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 ht="15.75" customHeight="1" s="40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 ht="15.75" customHeight="1" s="40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 ht="15.75" customHeight="1" s="40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 ht="15.75" customHeight="1" s="40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 ht="15.75" customHeight="1" s="40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 ht="15.75" customHeight="1" s="40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 ht="15.75" customHeight="1" s="4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 ht="15.75" customHeight="1" s="40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 ht="15.75" customHeight="1" s="40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 ht="15.75" customHeight="1" s="40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 ht="15.75" customHeight="1" s="40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 ht="15.75" customHeight="1" s="40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 ht="15.75" customHeight="1" s="40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 ht="15.75" customHeight="1" s="40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 ht="15.75" customHeight="1" s="40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 ht="15.75" customHeight="1" s="40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 ht="15.75" customHeight="1" s="4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 ht="15.75" customHeight="1" s="40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 ht="15.75" customHeight="1" s="40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 ht="15.75" customHeight="1" s="40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 ht="15.75" customHeight="1" s="40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 ht="15.75" customHeight="1" s="40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 ht="15.75" customHeight="1" s="40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 ht="15.75" customHeight="1" s="40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 ht="15.75" customHeight="1" s="40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 ht="15.75" customHeight="1" s="40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 ht="15.75" customHeight="1" s="4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 ht="15.75" customHeight="1" s="40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 ht="15.75" customHeight="1" s="40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 ht="15.75" customHeight="1" s="40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 ht="15.75" customHeight="1" s="40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 ht="15.75" customHeight="1" s="40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 ht="15.75" customHeight="1" s="40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 ht="15.75" customHeight="1" s="40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 ht="15.75" customHeight="1" s="40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 ht="15.75" customHeight="1" s="40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 ht="15.75" customHeight="1" s="4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 ht="15.75" customHeight="1" s="40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 ht="15.75" customHeight="1" s="40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 ht="15.75" customHeight="1" s="40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 ht="15.75" customHeight="1" s="40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 ht="15.75" customHeight="1" s="40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 ht="15.75" customHeight="1" s="40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 ht="15.75" customHeight="1" s="40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 ht="15.75" customHeight="1" s="40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 ht="15.75" customHeight="1" s="40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 ht="15.75" customHeight="1" s="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 ht="15.75" customHeight="1" s="40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 ht="15.75" customHeight="1" s="40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 ht="15.75" customHeight="1" s="40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 ht="15.75" customHeight="1" s="40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 ht="15.75" customHeight="1" s="40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 ht="15.75" customHeight="1" s="40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 ht="15.75" customHeight="1" s="40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 ht="15.75" customHeight="1" s="40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 ht="15.75" customHeight="1" s="40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 ht="15.75" customHeight="1" s="4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 ht="15.75" customHeight="1" s="40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 ht="15.75" customHeight="1" s="40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 ht="15.75" customHeight="1" s="40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 ht="15.75" customHeight="1" s="40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 ht="15.75" customHeight="1" s="40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 ht="15.75" customHeight="1" s="40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 ht="15.75" customHeight="1" s="40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 ht="15.75" customHeight="1" s="40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 ht="15.75" customHeight="1" s="40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 ht="15.75" customHeight="1" s="4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 ht="15.75" customHeight="1" s="40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 ht="15.75" customHeight="1" s="40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 ht="15.75" customHeight="1" s="40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 ht="15.75" customHeight="1" s="40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 ht="15.75" customHeight="1" s="40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 ht="15.75" customHeight="1" s="40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 ht="15.75" customHeight="1" s="40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 ht="15.75" customHeight="1" s="40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 ht="15.75" customHeight="1" s="40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 ht="15.75" customHeight="1" s="4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 ht="15.75" customHeight="1" s="40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 ht="15.75" customHeight="1" s="40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 ht="15.75" customHeight="1" s="40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 ht="15.75" customHeight="1" s="40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 ht="15.75" customHeight="1" s="40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 ht="15.75" customHeight="1" s="40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 ht="15.75" customHeight="1" s="40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 ht="15.75" customHeight="1" s="40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 ht="15.75" customHeight="1" s="40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 ht="15.75" customHeight="1" s="4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 ht="15.75" customHeight="1" s="40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 ht="15.75" customHeight="1" s="40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 ht="15.75" customHeight="1" s="40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 ht="15.75" customHeight="1" s="40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 ht="15.75" customHeight="1" s="40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 ht="15.75" customHeight="1" s="40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 ht="15.75" customHeight="1" s="40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 ht="15.75" customHeight="1" s="40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 ht="15.75" customHeight="1" s="40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 ht="15.75" customHeight="1" s="4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 ht="15.75" customHeight="1" s="40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 ht="15.75" customHeight="1" s="40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 ht="15.75" customHeight="1" s="40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 ht="15.75" customHeight="1" s="40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 ht="15.75" customHeight="1" s="40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 ht="15.75" customHeight="1" s="40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 ht="15.75" customHeight="1" s="40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 ht="15.75" customHeight="1" s="40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 ht="15.75" customHeight="1" s="40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 ht="15.75" customHeight="1" s="4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 ht="15.75" customHeight="1" s="40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 ht="15.75" customHeight="1" s="40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 ht="15.75" customHeight="1" s="40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 ht="15.75" customHeight="1" s="40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 ht="15.75" customHeight="1" s="40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 ht="15.75" customHeight="1" s="40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 ht="15.75" customHeight="1" s="40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 ht="15.75" customHeight="1" s="40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 ht="15.75" customHeight="1" s="40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 ht="15.75" customHeight="1" s="4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 ht="15.75" customHeight="1" s="40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 ht="15.75" customHeight="1" s="40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 ht="15.75" customHeight="1" s="40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 ht="15.75" customHeight="1" s="40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 ht="15.75" customHeight="1" s="40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 ht="15.75" customHeight="1" s="40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 ht="15.75" customHeight="1" s="40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 ht="15.75" customHeight="1" s="40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 ht="15.75" customHeight="1" s="40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 ht="15.75" customHeight="1" s="4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 ht="15.75" customHeight="1" s="40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 ht="15.75" customHeight="1" s="40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 ht="15.75" customHeight="1" s="40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 ht="15.75" customHeight="1" s="40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 ht="15.75" customHeight="1" s="40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 ht="15.75" customHeight="1" s="40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 ht="15.75" customHeight="1" s="40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 ht="15.75" customHeight="1" s="40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 ht="15.75" customHeight="1" s="40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 ht="15.75" customHeight="1" s="4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 ht="15.75" customHeight="1" s="40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 ht="15.75" customHeight="1" s="40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 ht="15.75" customHeight="1" s="40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 ht="15.75" customHeight="1" s="40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 ht="15.75" customHeight="1" s="40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 ht="15.75" customHeight="1" s="40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 ht="15.75" customHeight="1" s="40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 ht="15.75" customHeight="1" s="40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 ht="15.75" customHeight="1" s="40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 ht="15.75" customHeight="1" s="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 ht="15.75" customHeight="1" s="40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 ht="15.75" customHeight="1" s="40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 ht="15.75" customHeight="1" s="40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 ht="15.75" customHeight="1" s="40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 ht="15.75" customHeight="1" s="40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 ht="15.75" customHeight="1" s="40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 ht="15.75" customHeight="1" s="40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 ht="15.75" customHeight="1" s="40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 ht="15.75" customHeight="1" s="40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 ht="15.75" customHeight="1" s="4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 ht="15.75" customHeight="1" s="40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 ht="15.75" customHeight="1" s="40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 ht="15.75" customHeight="1" s="40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 ht="15.75" customHeight="1" s="40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 ht="15.75" customHeight="1" s="40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 ht="15.75" customHeight="1" s="40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 ht="15.75" customHeight="1" s="40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 ht="15.75" customHeight="1" s="40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 ht="15.75" customHeight="1" s="40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 ht="15.75" customHeight="1" s="4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 ht="15.75" customHeight="1" s="40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 ht="15.75" customHeight="1" s="40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 ht="15.75" customHeight="1" s="40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 ht="15.75" customHeight="1" s="40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 ht="15.75" customHeight="1" s="40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 ht="15.75" customHeight="1" s="40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 ht="15.75" customHeight="1" s="40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 ht="15.75" customHeight="1" s="40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 ht="15.75" customHeight="1" s="40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 ht="15.75" customHeight="1" s="4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 ht="15.75" customHeight="1" s="40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 ht="15.75" customHeight="1" s="40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 ht="15.75" customHeight="1" s="40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 ht="15.75" customHeight="1" s="40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 ht="15.75" customHeight="1" s="40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 ht="15.75" customHeight="1" s="40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 ht="15.75" customHeight="1" s="40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 ht="15.75" customHeight="1" s="40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 ht="15.75" customHeight="1" s="40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 ht="15.75" customHeight="1" s="4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 ht="15.75" customHeight="1" s="40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 ht="15.75" customHeight="1" s="40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 ht="15.75" customHeight="1" s="40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 ht="15.75" customHeight="1" s="40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 ht="15.75" customHeight="1" s="40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 ht="15.75" customHeight="1" s="40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 ht="15.75" customHeight="1" s="40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 ht="15.75" customHeight="1" s="40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 ht="15.75" customHeight="1" s="40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 ht="15.75" customHeight="1" s="4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 ht="15.75" customHeight="1" s="40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 ht="15.75" customHeight="1" s="40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 ht="15.75" customHeight="1" s="40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 ht="15.75" customHeight="1" s="40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 ht="15.75" customHeight="1" s="40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 ht="15.75" customHeight="1" s="40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 ht="15.75" customHeight="1" s="40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 ht="15.75" customHeight="1" s="40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 ht="15.75" customHeight="1" s="40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 ht="15.75" customHeight="1" s="4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 ht="15.75" customHeight="1" s="40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 ht="15.75" customHeight="1" s="40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 ht="15.75" customHeight="1" s="40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 ht="15.75" customHeight="1" s="40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 ht="15.75" customHeight="1" s="40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 ht="15.75" customHeight="1" s="40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 ht="15.75" customHeight="1" s="40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 ht="15.75" customHeight="1" s="40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 ht="15.75" customHeight="1" s="40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 ht="15.75" customHeight="1" s="4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 ht="15.75" customHeight="1" s="40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 ht="15.75" customHeight="1" s="40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 ht="15.75" customHeight="1" s="40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 ht="15.75" customHeight="1" s="40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 ht="15.75" customHeight="1" s="40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 ht="15.75" customHeight="1" s="40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 ht="15.75" customHeight="1" s="40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 ht="15.75" customHeight="1" s="40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 ht="15.75" customHeight="1" s="40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 ht="15.75" customHeight="1" s="4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 ht="15.75" customHeight="1" s="40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 ht="15.75" customHeight="1" s="40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 ht="15.75" customHeight="1" s="40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 ht="15.75" customHeight="1" s="40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 ht="15.75" customHeight="1" s="40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 ht="15.75" customHeight="1" s="40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 ht="15.75" customHeight="1" s="40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 ht="15.75" customHeight="1" s="40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 ht="15.75" customHeight="1" s="40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 ht="15.75" customHeight="1" s="4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 ht="15.75" customHeight="1" s="40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 ht="15.75" customHeight="1" s="40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 ht="15.75" customHeight="1" s="40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 ht="15.75" customHeight="1" s="40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 ht="15.75" customHeight="1" s="40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 ht="15.75" customHeight="1" s="40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 ht="15.75" customHeight="1" s="40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 ht="15.75" customHeight="1" s="40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 ht="15.75" customHeight="1" s="40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 ht="15.75" customHeight="1" s="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 ht="15.75" customHeight="1" s="40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 ht="15.75" customHeight="1" s="40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 ht="15.75" customHeight="1" s="40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 ht="15.75" customHeight="1" s="40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 ht="15.75" customHeight="1" s="40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 ht="15.75" customHeight="1" s="40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 ht="15.75" customHeight="1" s="40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 ht="15.75" customHeight="1" s="40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 ht="15.75" customHeight="1" s="40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 ht="15.75" customHeight="1" s="4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 ht="15.75" customHeight="1" s="40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 ht="15.75" customHeight="1" s="40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 ht="15.75" customHeight="1" s="40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 ht="15.75" customHeight="1" s="40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 ht="15.75" customHeight="1" s="40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 ht="15.75" customHeight="1" s="40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 ht="15.75" customHeight="1" s="40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 ht="15.75" customHeight="1" s="40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 ht="15.75" customHeight="1" s="40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 ht="15.75" customHeight="1" s="4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 ht="15.75" customHeight="1" s="40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 ht="15.75" customHeight="1" s="40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 ht="15.75" customHeight="1" s="40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 ht="15.75" customHeight="1" s="40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 ht="15.75" customHeight="1" s="40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 ht="15.75" customHeight="1" s="40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 ht="15.75" customHeight="1" s="40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 ht="15.75" customHeight="1" s="40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 ht="15.75" customHeight="1" s="40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 ht="15.75" customHeight="1" s="4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 ht="15.75" customHeight="1" s="40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 ht="15.75" customHeight="1" s="40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 ht="15.75" customHeight="1" s="40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 ht="15.75" customHeight="1" s="40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 ht="15.75" customHeight="1" s="40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 ht="15.75" customHeight="1" s="40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 ht="15.75" customHeight="1" s="40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 ht="15.75" customHeight="1" s="40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 ht="15.75" customHeight="1" s="40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 ht="15.75" customHeight="1" s="4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 ht="15.75" customHeight="1" s="40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 ht="15.75" customHeight="1" s="40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 ht="15.75" customHeight="1" s="40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 ht="15.75" customHeight="1" s="40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 ht="15.75" customHeight="1" s="40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 ht="15.75" customHeight="1" s="40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 ht="15.75" customHeight="1" s="40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 ht="15.75" customHeight="1" s="40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 ht="15.75" customHeight="1" s="40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 ht="15.75" customHeight="1" s="4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 ht="15.75" customHeight="1" s="40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 ht="15.75" customHeight="1" s="40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 ht="15.75" customHeight="1" s="40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 ht="15.75" customHeight="1" s="40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 ht="15.75" customHeight="1" s="40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 ht="15.75" customHeight="1" s="40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 ht="15.75" customHeight="1" s="40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 ht="15.75" customHeight="1" s="40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 ht="15.75" customHeight="1" s="40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 ht="15.75" customHeight="1" s="4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 ht="15.75" customHeight="1" s="40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 ht="15.75" customHeight="1" s="40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 ht="15.75" customHeight="1" s="40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 ht="15.75" customHeight="1" s="40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 ht="15.75" customHeight="1" s="40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 ht="15.75" customHeight="1" s="40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 ht="15.75" customHeight="1" s="40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 ht="15.75" customHeight="1" s="40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 ht="15.75" customHeight="1" s="40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 ht="15.75" customHeight="1" s="4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 ht="15.75" customHeight="1" s="40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 ht="15.75" customHeight="1" s="40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 ht="15.75" customHeight="1" s="40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 ht="15.75" customHeight="1" s="40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 ht="15.75" customHeight="1" s="40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 ht="15.75" customHeight="1" s="40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 ht="15.75" customHeight="1" s="40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 ht="15.75" customHeight="1" s="40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 ht="15.75" customHeight="1" s="40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 ht="15.75" customHeight="1" s="4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 ht="15.75" customHeight="1" s="40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 ht="15.75" customHeight="1" s="40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 ht="15.75" customHeight="1" s="40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 ht="15.75" customHeight="1" s="40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 ht="15.75" customHeight="1" s="40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 ht="15.75" customHeight="1" s="40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 ht="15.75" customHeight="1" s="40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 ht="15.75" customHeight="1" s="40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 ht="15.75" customHeight="1" s="40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 ht="15.75" customHeight="1" s="4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 ht="15.75" customHeight="1" s="40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 ht="15.75" customHeight="1" s="40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 ht="15.75" customHeight="1" s="40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 ht="15.75" customHeight="1" s="40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 ht="15.75" customHeight="1" s="40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 ht="15.75" customHeight="1" s="40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 ht="15.75" customHeight="1" s="40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 ht="15.75" customHeight="1" s="40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 ht="15.75" customHeight="1" s="40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 ht="15.75" customHeight="1" s="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 ht="15.75" customHeight="1" s="40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 ht="15.75" customHeight="1" s="40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 ht="15.75" customHeight="1" s="40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 ht="15.75" customHeight="1" s="40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 ht="15.75" customHeight="1" s="40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 ht="15.75" customHeight="1" s="40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 ht="15.75" customHeight="1" s="40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 ht="15.75" customHeight="1" s="40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 ht="15.75" customHeight="1" s="40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 ht="15.75" customHeight="1" s="4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 ht="15.75" customHeight="1" s="40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 ht="15.75" customHeight="1" s="40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 ht="15.75" customHeight="1" s="40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 ht="15.75" customHeight="1" s="40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 ht="15.75" customHeight="1" s="40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 ht="15.75" customHeight="1" s="40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 ht="15.75" customHeight="1" s="40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 ht="15.75" customHeight="1" s="40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 ht="15.75" customHeight="1" s="40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 ht="15.75" customHeight="1" s="4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 ht="15.75" customHeight="1" s="40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 ht="15.75" customHeight="1" s="40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 ht="15.75" customHeight="1" s="40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 ht="15.75" customHeight="1" s="40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 ht="15.75" customHeight="1" s="40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 ht="15.75" customHeight="1" s="40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 ht="15.75" customHeight="1" s="40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 ht="15.75" customHeight="1" s="40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 ht="15.75" customHeight="1" s="40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 ht="15.75" customHeight="1" s="4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 ht="15.75" customHeight="1" s="40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 ht="15.75" customHeight="1" s="40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 ht="15.75" customHeight="1" s="40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 ht="15.75" customHeight="1" s="40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 ht="15.75" customHeight="1" s="40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 ht="15.75" customHeight="1" s="40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 ht="15.75" customHeight="1" s="40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 ht="15.75" customHeight="1" s="40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 ht="15.75" customHeight="1" s="40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 ht="15.75" customHeight="1" s="4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 ht="15.75" customHeight="1" s="40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 ht="15.75" customHeight="1" s="40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 ht="15.75" customHeight="1" s="40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 ht="15.75" customHeight="1" s="40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 ht="15.75" customHeight="1" s="40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 ht="15.75" customHeight="1" s="40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 ht="15.75" customHeight="1" s="40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 ht="15.75" customHeight="1" s="40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 ht="15.75" customHeight="1" s="40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 ht="15.75" customHeight="1" s="4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 ht="15.75" customHeight="1" s="40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 ht="15.75" customHeight="1" s="40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 ht="15.75" customHeight="1" s="40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 ht="15.75" customHeight="1" s="40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 ht="15.75" customHeight="1" s="40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 ht="15.75" customHeight="1" s="40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 ht="15.75" customHeight="1" s="40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 ht="15.75" customHeight="1" s="40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 ht="15.75" customHeight="1" s="40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 ht="15.75" customHeight="1" s="4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 ht="15.75" customHeight="1" s="40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 ht="15.75" customHeight="1" s="40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 ht="15.75" customHeight="1" s="40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 ht="15.75" customHeight="1" s="40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 ht="15.75" customHeight="1" s="40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 ht="15.75" customHeight="1" s="40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 ht="15.75" customHeight="1" s="40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 ht="15.75" customHeight="1" s="40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 ht="15.75" customHeight="1" s="40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 ht="15.75" customHeight="1" s="4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 ht="15.75" customHeight="1" s="40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 ht="15.75" customHeight="1" s="40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 ht="15.75" customHeight="1" s="40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 ht="15.75" customHeight="1" s="40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 ht="15.75" customHeight="1" s="40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 ht="15.75" customHeight="1" s="40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 ht="15.75" customHeight="1" s="40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 ht="15.75" customHeight="1" s="40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 ht="15.75" customHeight="1" s="40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 ht="15.75" customHeight="1" s="4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 ht="15.75" customHeight="1" s="40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 ht="15.75" customHeight="1" s="40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 ht="15.75" customHeight="1" s="40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 ht="15.75" customHeight="1" s="40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 ht="15.75" customHeight="1" s="40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 ht="15.75" customHeight="1" s="40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 ht="15.75" customHeight="1" s="40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 ht="15.75" customHeight="1" s="40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 ht="15.75" customHeight="1" s="40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 ht="15.75" customHeight="1" s="4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 ht="15.75" customHeight="1" s="40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 ht="15.75" customHeight="1" s="40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 ht="15.75" customHeight="1" s="40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 ht="15.75" customHeight="1" s="40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 ht="15.75" customHeight="1" s="40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 ht="15.75" customHeight="1" s="40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 ht="15.75" customHeight="1" s="40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 ht="15.75" customHeight="1" s="40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 ht="15.75" customHeight="1" s="40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 ht="15.75" customHeight="1" s="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 ht="15.75" customHeight="1" s="40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 ht="15.75" customHeight="1" s="40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 ht="15.75" customHeight="1" s="40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 ht="15.75" customHeight="1" s="40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 ht="15.75" customHeight="1" s="40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 ht="15.75" customHeight="1" s="40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 ht="15.75" customHeight="1" s="40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 ht="15.75" customHeight="1" s="40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 ht="15.75" customHeight="1" s="40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 ht="15.75" customHeight="1" s="4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 ht="15.75" customHeight="1" s="40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 ht="15.75" customHeight="1" s="40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 ht="15.75" customHeight="1" s="40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 ht="15.75" customHeight="1" s="40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 ht="15.75" customHeight="1" s="40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 ht="15.75" customHeight="1" s="40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 ht="15.75" customHeight="1" s="40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 ht="15.75" customHeight="1" s="40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 ht="15.75" customHeight="1" s="40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 ht="15.75" customHeight="1" s="4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 ht="15.75" customHeight="1" s="40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 ht="15.75" customHeight="1" s="40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 ht="15.75" customHeight="1" s="40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 ht="15.75" customHeight="1" s="40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 ht="15.75" customHeight="1" s="40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 ht="15.75" customHeight="1" s="40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 ht="15.75" customHeight="1" s="40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 ht="15.75" customHeight="1" s="40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 ht="15.75" customHeight="1" s="40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 ht="15.75" customHeight="1" s="4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 ht="15.75" customHeight="1" s="40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 ht="15.75" customHeight="1" s="40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 ht="15.75" customHeight="1" s="40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 ht="15.75" customHeight="1" s="40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 ht="15.75" customHeight="1" s="40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 ht="15.75" customHeight="1" s="40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 ht="15.75" customHeight="1" s="40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 ht="15.75" customHeight="1" s="40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 ht="15.75" customHeight="1" s="40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 ht="15.75" customHeight="1" s="4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 ht="15.75" customHeight="1" s="40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 ht="15.75" customHeight="1" s="40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 ht="15.75" customHeight="1" s="40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 ht="15.75" customHeight="1" s="40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 ht="15.75" customHeight="1" s="40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 ht="15.75" customHeight="1" s="40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 ht="15.75" customHeight="1" s="40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 ht="15.75" customHeight="1" s="40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 ht="15.75" customHeight="1" s="40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 ht="15.75" customHeight="1" s="4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 ht="15.75" customHeight="1" s="40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 ht="15.75" customHeight="1" s="40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 ht="15.75" customHeight="1" s="40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 ht="15.75" customHeight="1" s="40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 ht="15.75" customHeight="1" s="40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 ht="15.75" customHeight="1" s="40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 ht="15.75" customHeight="1" s="40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 ht="15.75" customHeight="1" s="40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 ht="15.75" customHeight="1" s="40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 ht="15.75" customHeight="1" s="4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</sheetData>
  <autoFilter ref="$A$4:$O$222"/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32" customWidth="1" style="40" min="1" max="1"/>
    <col width="54" customWidth="1" style="40" min="2" max="2"/>
    <col width="22" customWidth="1" style="40" min="3" max="3"/>
    <col width="17" customWidth="1" style="40" min="4" max="4"/>
    <col width="86" customWidth="1" style="40" min="5" max="5"/>
    <col width="8.710000000000001" customWidth="1" style="40" min="6" max="26"/>
  </cols>
  <sheetData>
    <row r="1" ht="17.25" customHeight="1" s="40">
      <c r="A1" s="3" t="inlineStr">
        <is>
          <t>金额基准目录 —— 机器契约</t>
        </is>
      </c>
      <c r="B1" s="4" t="n"/>
      <c r="C1" s="4" t="n"/>
      <c r="D1" s="4" t="n"/>
      <c r="E1" s="4" t="n"/>
    </row>
    <row r="2" ht="15" customHeight="1" s="40">
      <c r="A2" s="5" t="inlineStr">
        <is>
          <t>I22 —— movement 决定「方向」，amount_basis_code 决定「数值」。NON_NEGATIVE 基准配 INCREASE/DECREASE；SIGNED 基准必须使用 movement = DERIVED_FROM_SIGN，且绝不可配静态方向。解析器是 (event, undertaking, config, 事件时点余额) 的纯函数；已声明的依赖关系确定求值顺序。基准代码与 L2 映射一同版本化 —— 变更某个解析器的含义应新增代码，而非修改原代码。</t>
        </is>
      </c>
      <c r="B2" s="4" t="n"/>
      <c r="C2" s="4" t="n"/>
      <c r="D2" s="4" t="n"/>
      <c r="E2" s="4" t="n"/>
    </row>
    <row r="3">
      <c r="A3" s="4" t="n"/>
      <c r="B3" s="4" t="n"/>
      <c r="C3" s="4" t="n"/>
      <c r="D3" s="4" t="n"/>
      <c r="E3" s="4" t="n"/>
    </row>
    <row r="4" ht="30" customHeight="1" s="40">
      <c r="A4" s="12" t="inlineStr">
        <is>
          <t>amount_basis_code（金额基准代码）</t>
        </is>
      </c>
      <c r="B4" s="10" t="inlineStr">
        <is>
          <t>解析器</t>
        </is>
      </c>
      <c r="C4" s="10" t="inlineStr">
        <is>
          <t>输入</t>
        </is>
      </c>
      <c r="D4" s="12" t="inlineStr">
        <is>
          <t>sign_contract（符号约定）</t>
        </is>
      </c>
      <c r="E4" s="10" t="inlineStr">
        <is>
          <t>说明</t>
        </is>
      </c>
    </row>
    <row r="5" ht="15" customHeight="1" s="40">
      <c r="A5" s="19" t="inlineStr">
        <is>
          <t>DOCUMENT_AMOUNT</t>
        </is>
      </c>
      <c r="B5" s="21" t="inlineStr">
        <is>
          <t>event.amount</t>
        </is>
      </c>
      <c r="C5" s="19" t="inlineStr">
        <is>
          <t>event</t>
        </is>
      </c>
      <c r="D5" s="19" t="inlineStr">
        <is>
          <t>NON_NEGATIVE</t>
        </is>
      </c>
      <c r="E5" s="21" t="inlineStr">
        <is>
          <t>Presented/complying document amount. The most-used basis.</t>
        </is>
      </c>
    </row>
    <row r="6" ht="15" customHeight="1" s="40">
      <c r="A6" s="14" t="inlineStr">
        <is>
          <t>MAX_LIABILITY</t>
        </is>
      </c>
      <c r="B6" s="15" t="inlineStr">
        <is>
          <t>undertaking.max_liability</t>
        </is>
      </c>
      <c r="C6" s="14" t="inlineStr">
        <is>
          <t>undertaking</t>
        </is>
      </c>
      <c r="D6" s="14" t="inlineStr">
        <is>
          <t>NON_NEGATIVE</t>
        </is>
      </c>
      <c r="E6" s="15" t="inlineStr">
        <is>
          <t>Art. 30(a) amount tolerance only — never 30(b) quantity.</t>
        </is>
      </c>
    </row>
    <row r="7" ht="15" customHeight="1" s="40">
      <c r="A7" s="19" t="inlineStr">
        <is>
          <t>AMENDMENT_DELTA</t>
        </is>
      </c>
      <c r="B7" s="21" t="inlineStr">
        <is>
          <t>ABS(event.delta_amount)</t>
        </is>
      </c>
      <c r="C7" s="19" t="inlineStr">
        <is>
          <t>event</t>
        </is>
      </c>
      <c r="D7" s="19" t="inlineStr">
        <is>
          <t>NON_NEGATIVE</t>
        </is>
      </c>
      <c r="E7" s="21" t="inlineStr">
        <is>
          <t>MAGNITUDE ONLY (I22). Direction comes from movement — never from the sign. Test T37.</t>
        </is>
      </c>
    </row>
    <row r="8" ht="15" customHeight="1" s="40">
      <c r="A8" s="14" t="inlineStr">
        <is>
          <t>CONFIRMED_AMOUNT</t>
        </is>
      </c>
      <c r="B8" s="15" t="inlineStr">
        <is>
          <t>undertaking.confirmed_amount</t>
        </is>
      </c>
      <c r="C8" s="14" t="inlineStr">
        <is>
          <t>undertaking</t>
        </is>
      </c>
      <c r="D8" s="14" t="inlineStr">
        <is>
          <t>NON_NEGATIVE</t>
        </is>
      </c>
      <c r="E8" s="15" t="inlineStr">
        <is>
          <t>INDEPENDENT of lc_amount (I13).</t>
        </is>
      </c>
    </row>
    <row r="9" ht="15" customHeight="1" s="40">
      <c r="A9" s="19" t="inlineStr">
        <is>
          <t>ACCEPTANCE_AMOUNT</t>
        </is>
      </c>
      <c r="B9" s="21" t="inlineStr">
        <is>
          <t>undertaking.acceptance_amount</t>
        </is>
      </c>
      <c r="C9" s="19" t="inlineStr">
        <is>
          <t>undertaking</t>
        </is>
      </c>
      <c r="D9" s="19" t="inlineStr">
        <is>
          <t>NON_NEGATIVE</t>
        </is>
      </c>
      <c r="E9" s="21" t="inlineStr">
        <is>
          <t>Face of the accepted draft / incurred DPU.</t>
        </is>
      </c>
    </row>
    <row r="10" ht="15" customHeight="1" s="40">
      <c r="A10" s="14" t="inlineStr">
        <is>
          <t>MARGIN_TAKEN</t>
        </is>
      </c>
      <c r="B10" s="15" t="inlineStr">
        <is>
          <t>undertaking.face_amount x config.margin_pct</t>
        </is>
      </c>
      <c r="C10" s="14" t="inlineStr">
        <is>
          <t>undertaking, config</t>
        </is>
      </c>
      <c r="D10" s="14" t="inlineStr">
        <is>
          <t>NON_NEGATIVE</t>
        </is>
      </c>
      <c r="E10" s="15" t="inlineStr">
        <is>
          <t>At issuance.</t>
        </is>
      </c>
    </row>
    <row r="11" ht="15" customHeight="1" s="40">
      <c r="A11" s="19" t="inlineStr">
        <is>
          <t>MARGIN_APPLIED</t>
        </is>
      </c>
      <c r="B11" s="21" t="inlineStr">
        <is>
          <t>DOCUMENT_AMOUNT x config.margin_pct</t>
        </is>
      </c>
      <c r="C11" s="19" t="inlineStr">
        <is>
          <t>event, config</t>
        </is>
      </c>
      <c r="D11" s="19" t="inlineStr">
        <is>
          <t>NON_NEGATIVE</t>
        </is>
      </c>
      <c r="E11" s="21" t="inlineStr">
        <is>
          <t>PRO RATA to utilisation. Never the full margin on a partial drawing (T1).</t>
        </is>
      </c>
    </row>
    <row r="12" ht="15" customHeight="1" s="40">
      <c r="A12" s="14" t="inlineStr">
        <is>
          <t>MARGIN_RESIDUAL</t>
        </is>
      </c>
      <c r="B12" s="15" t="inlineStr">
        <is>
          <t>balance(LC_CASH_MARGIN_DEPOSIT) at event time</t>
        </is>
      </c>
      <c r="C12" s="14" t="inlineStr">
        <is>
          <t>balances</t>
        </is>
      </c>
      <c r="D12" s="14" t="inlineStr">
        <is>
          <t>NON_NEGATIVE</t>
        </is>
      </c>
      <c r="E12" s="15" t="inlineStr">
        <is>
          <t>Released at expiry/cancellation.</t>
        </is>
      </c>
    </row>
    <row r="13" ht="15" customHeight="1" s="40">
      <c r="A13" s="19" t="inlineStr">
        <is>
          <t>CUSTOMER_FUNDING_REMAINDER</t>
        </is>
      </c>
      <c r="B13" s="21" t="inlineStr">
        <is>
          <t>DOCUMENT_AMOUNT - MARGIN_APPLIED</t>
        </is>
      </c>
      <c r="C13" s="19" t="inlineStr">
        <is>
          <t>derived</t>
        </is>
      </c>
      <c r="D13" s="19" t="inlineStr">
        <is>
          <t>NON_NEGATIVE</t>
        </is>
      </c>
      <c r="E13" s="21" t="inlineStr">
        <is>
          <t>DEPENDS ON MARGIN_APPLIED — evaluation order enforced by the engine.</t>
        </is>
      </c>
    </row>
    <row r="14" ht="15" customHeight="1" s="40">
      <c r="A14" s="14" t="inlineStr">
        <is>
          <t>RESIDUAL_OUTSTANDING</t>
        </is>
      </c>
      <c r="B14" s="15" t="inlineStr">
        <is>
          <t>balance(&lt;undertaking outstanding&gt;) at event time</t>
        </is>
      </c>
      <c r="C14" s="14" t="inlineStr">
        <is>
          <t>balances</t>
        </is>
      </c>
      <c r="D14" s="14" t="inlineStr">
        <is>
          <t>NON_NEGATIVE</t>
        </is>
      </c>
      <c r="E14" s="15" t="inlineStr">
        <is>
          <t>Expiry, cancellation, recourse.</t>
        </is>
      </c>
    </row>
    <row r="15" ht="15" customHeight="1" s="40">
      <c r="A15" s="19" t="inlineStr">
        <is>
          <t>POLICY_NOTIONAL</t>
        </is>
      </c>
      <c r="B15" s="21" t="inlineStr">
        <is>
          <t>invoice x config.sg_uplift_pct (or sg_unlimited_policy_notional_pct)</t>
        </is>
      </c>
      <c r="C15" s="19" t="inlineStr">
        <is>
          <t>config</t>
        </is>
      </c>
      <c r="D15" s="19" t="inlineStr">
        <is>
          <t>NON_NEGATIVE</t>
        </is>
      </c>
      <c r="E15" s="21" t="inlineStr">
        <is>
          <t>SG / AWB where the carrier form is unlimited.</t>
        </is>
      </c>
    </row>
    <row r="16" ht="15" customHeight="1" s="40">
      <c r="A16" s="14" t="inlineStr">
        <is>
          <t>SG_FULL_OUTSTANDING</t>
        </is>
      </c>
      <c r="B16" s="15" t="inlineStr">
        <is>
          <t>balance(SG_OUTSTANDING) at event time</t>
        </is>
      </c>
      <c r="C16" s="14" t="inlineStr">
        <is>
          <t>balances</t>
        </is>
      </c>
      <c r="D16" s="14" t="inlineStr">
        <is>
          <t>NON_NEGATIVE</t>
        </is>
      </c>
      <c r="E16" s="15" t="inlineStr">
        <is>
          <t>FULL amount. NEVER MIN(document, SG).</t>
        </is>
      </c>
    </row>
    <row r="17" ht="15" customHeight="1" s="40">
      <c r="A17" s="19" t="inlineStr">
        <is>
          <t>AWB_FULL_OUTSTANDING</t>
        </is>
      </c>
      <c r="B17" s="21" t="inlineStr">
        <is>
          <t>balance(AWB_OUTSTANDING) at event time</t>
        </is>
      </c>
      <c r="C17" s="19" t="inlineStr">
        <is>
          <t>balances</t>
        </is>
      </c>
      <c r="D17" s="19" t="inlineStr">
        <is>
          <t>NON_NEGATIVE</t>
        </is>
      </c>
      <c r="E17" s="21" t="inlineStr">
        <is>
          <t>Air release has no original to return; own discharge trigger.</t>
        </is>
      </c>
    </row>
    <row r="18" ht="15" customHeight="1" s="40">
      <c r="A18" s="14" t="inlineStr">
        <is>
          <t>CLAIM_AMOUNT</t>
        </is>
      </c>
      <c r="B18" s="15" t="inlineStr">
        <is>
          <t>event.amount</t>
        </is>
      </c>
      <c r="C18" s="14" t="inlineStr">
        <is>
          <t>event</t>
        </is>
      </c>
      <c r="D18" s="14" t="inlineStr">
        <is>
          <t>NON_NEGATIVE</t>
        </is>
      </c>
      <c r="E18" s="15" t="inlineStr">
        <is>
          <t>May EXCEED the booked notional where the SG form is unlimited.</t>
        </is>
      </c>
    </row>
    <row r="19" ht="15" customHeight="1" s="40">
      <c r="A19" s="19" t="inlineStr">
        <is>
          <t>UNDERTAKING_AMOUNT</t>
        </is>
      </c>
      <c r="B19" s="21" t="inlineStr">
        <is>
          <t>undertaking.amount</t>
        </is>
      </c>
      <c r="C19" s="19" t="inlineStr">
        <is>
          <t>undertaking</t>
        </is>
      </c>
      <c r="D19" s="19" t="inlineStr">
        <is>
          <t>NON_NEGATIVE</t>
        </is>
      </c>
      <c r="E19" s="21" t="inlineStr">
        <is>
          <t>Reimbursement undertaking (URR 725).</t>
        </is>
      </c>
    </row>
    <row r="20" ht="15" customHeight="1" s="40">
      <c r="A20" s="14" t="inlineStr">
        <is>
          <t>COMMISSION_AMOUNT</t>
        </is>
      </c>
      <c r="B20" s="15" t="inlineStr">
        <is>
          <t>pricing.commission(undertaking, tenor)</t>
        </is>
      </c>
      <c r="C20" s="14" t="inlineStr">
        <is>
          <t>pricing</t>
        </is>
      </c>
      <c r="D20" s="14" t="inlineStr">
        <is>
          <t>NON_NEGATIVE</t>
        </is>
      </c>
      <c r="E20" s="15" t="inlineStr">
        <is>
          <t>Deferred over the undertaking period.</t>
        </is>
      </c>
    </row>
    <row r="21" ht="15" customHeight="1" s="40">
      <c r="A21" s="19" t="inlineStr">
        <is>
          <t>COMMISSION_DELTA</t>
        </is>
      </c>
      <c r="B21" s="21" t="inlineStr">
        <is>
          <t>pricing.commission(delta, REMAINING tenor)</t>
        </is>
      </c>
      <c r="C21" s="19" t="inlineStr">
        <is>
          <t>pricing</t>
        </is>
      </c>
      <c r="D21" s="19" t="inlineStr">
        <is>
          <t>NON_NEGATIVE</t>
        </is>
      </c>
      <c r="E21" s="21" t="inlineStr">
        <is>
          <t>Amendment increase — remaining tenor, not full.</t>
        </is>
      </c>
    </row>
    <row r="22" ht="15" customHeight="1" s="40">
      <c r="A22" s="14" t="inlineStr">
        <is>
          <t>COMMISSION_UNAMORTISED</t>
        </is>
      </c>
      <c r="B22" s="15" t="inlineStr">
        <is>
          <t>balance(UNEARNED_COMMISSION_INCOME) at event time</t>
        </is>
      </c>
      <c r="C22" s="14" t="inlineStr">
        <is>
          <t>balances</t>
        </is>
      </c>
      <c r="D22" s="14" t="inlineStr">
        <is>
          <t>NON_NEGATIVE</t>
        </is>
      </c>
      <c r="E22" s="15" t="inlineStr">
        <is>
          <t>Recognised in full on early termination.</t>
        </is>
      </c>
    </row>
    <row r="23" ht="15" customHeight="1" s="40">
      <c r="A23" s="19" t="inlineStr">
        <is>
          <t>COMMISSION_PERIOD_AMORT</t>
        </is>
      </c>
      <c r="B23" s="21" t="inlineStr">
        <is>
          <t>straight-line over the undertaking period</t>
        </is>
      </c>
      <c r="C23" s="19" t="inlineStr">
        <is>
          <t>config</t>
        </is>
      </c>
      <c r="D23" s="19" t="inlineStr">
        <is>
          <t>NON_NEGATIVE</t>
        </is>
      </c>
      <c r="E23" s="21" t="inlineStr">
        <is>
          <t>Period accrual.</t>
        </is>
      </c>
    </row>
    <row r="24" ht="15" customHeight="1" s="40">
      <c r="A24" s="14" t="inlineStr">
        <is>
          <t>ECL_AMOUNT</t>
        </is>
      </c>
      <c r="B24" s="15" t="inlineStr">
        <is>
          <t>ecl(EAD=ecl_ead_factor, PD, LGD, stage)</t>
        </is>
      </c>
      <c r="C24" s="14" t="inlineStr">
        <is>
          <t>risk</t>
        </is>
      </c>
      <c r="D24" s="14" t="inlineStr">
        <is>
          <t>NON_NEGATIVE</t>
        </is>
      </c>
      <c r="E24" s="15" t="inlineStr">
        <is>
          <t>EAD is the IFRS 9 factor, NEVER ccf_regulatory (I9).</t>
        </is>
      </c>
    </row>
    <row r="25" ht="15" customHeight="1" s="40">
      <c r="A25" s="19" t="inlineStr">
        <is>
          <t>ECL_DELTA</t>
        </is>
      </c>
      <c r="B25" s="21" t="inlineStr">
        <is>
          <t>ECL_AMOUNT(now) - balance(PROVISION_OFFBS)</t>
        </is>
      </c>
      <c r="C25" s="19" t="inlineStr">
        <is>
          <t>risk, balances</t>
        </is>
      </c>
      <c r="D25" s="19" t="inlineStr">
        <is>
          <t>SIGNED</t>
        </is>
      </c>
      <c r="E25" s="21" t="inlineStr">
        <is>
          <t>SIGNED — a reassessment can be a release. Pairs with movement = DERIVED_FROM_SIGN (I22).</t>
        </is>
      </c>
    </row>
    <row r="26" ht="15" customHeight="1" s="40">
      <c r="A26" s="14" t="inlineStr">
        <is>
          <t>ECL_RELEASED</t>
        </is>
      </c>
      <c r="B26" s="15" t="inlineStr">
        <is>
          <t>provision attributable to the released exposure</t>
        </is>
      </c>
      <c r="C26" s="14" t="inlineStr">
        <is>
          <t>risk, balances</t>
        </is>
      </c>
      <c r="D26" s="14" t="inlineStr">
        <is>
          <t>NON_NEGATIVE</t>
        </is>
      </c>
      <c r="E26" s="15" t="inlineStr">
        <is>
          <t>Release source and raise target in ONE unit of work.</t>
        </is>
      </c>
    </row>
    <row r="27" ht="15" customHeight="1" s="40">
      <c r="A27" s="19" t="inlineStr">
        <is>
          <t>DISCOUNT_AMOUNT</t>
        </is>
      </c>
      <c r="B27" s="21" t="inlineStr">
        <is>
          <t>pricing.discount(face, rate, days)</t>
        </is>
      </c>
      <c r="C27" s="19" t="inlineStr">
        <is>
          <t>pricing</t>
        </is>
      </c>
      <c r="D27" s="19" t="inlineStr">
        <is>
          <t>NON_NEGATIVE</t>
        </is>
      </c>
      <c r="E27" s="21" t="inlineStr">
        <is>
          <t>Unearned at inception; accreted by DISC_ACCRETE.</t>
        </is>
      </c>
    </row>
    <row r="28" ht="15" customHeight="1" s="40">
      <c r="A28" s="14" t="inlineStr">
        <is>
          <t>NET_PROCEEDS</t>
        </is>
      </c>
      <c r="B28" s="15" t="inlineStr">
        <is>
          <t>face - DISCOUNT_AMOUNT</t>
        </is>
      </c>
      <c r="C28" s="14" t="inlineStr">
        <is>
          <t>derived</t>
        </is>
      </c>
      <c r="D28" s="14" t="inlineStr">
        <is>
          <t>NON_NEGATIVE</t>
        </is>
      </c>
      <c r="E28" s="15" t="inlineStr">
        <is>
          <t>DEPENDS ON DISCOUNT_AMOUNT.</t>
        </is>
      </c>
    </row>
    <row r="29" ht="15" customHeight="1" s="40">
      <c r="A29" s="19" t="inlineStr">
        <is>
          <t>FUNDED_AMOUNT</t>
        </is>
      </c>
      <c r="B29" s="21" t="inlineStr">
        <is>
          <t>event.amount</t>
        </is>
      </c>
      <c r="C29" s="19" t="inlineStr">
        <is>
          <t>event</t>
        </is>
      </c>
      <c r="D29" s="19" t="inlineStr">
        <is>
          <t>NON_NEGATIVE</t>
        </is>
      </c>
      <c r="E29" s="21" t="inlineStr">
        <is>
          <t>Refinancing loan to the issuing bank.</t>
        </is>
      </c>
    </row>
    <row r="30" ht="15" customHeight="1" s="40">
      <c r="A30" s="14" t="inlineStr">
        <is>
          <t>CONSENTED_AMOUNT</t>
        </is>
      </c>
      <c r="B30" s="15" t="inlineStr">
        <is>
          <t>event.amount</t>
        </is>
      </c>
      <c r="C30" s="14" t="inlineStr">
        <is>
          <t>event</t>
        </is>
      </c>
      <c r="D30" s="14" t="inlineStr">
        <is>
          <t>NON_NEGATIVE</t>
        </is>
      </c>
      <c r="E30" s="15" t="inlineStr">
        <is>
          <t>Holder-consented acceptance reduction; evidence mandatory (I8).</t>
        </is>
      </c>
    </row>
    <row r="31" ht="15" customHeight="1" s="40">
      <c r="A31" s="19" t="inlineStr">
        <is>
          <t>ORIGINAL_AMOUNT_SIGNED</t>
        </is>
      </c>
      <c r="B31" s="21" t="inlineStr">
        <is>
          <t>reversed_event.amount x -1</t>
        </is>
      </c>
      <c r="C31" s="19" t="inlineStr">
        <is>
          <t>reversal_of</t>
        </is>
      </c>
      <c r="D31" s="19" t="inlineStr">
        <is>
          <t>SIGNED</t>
        </is>
      </c>
      <c r="E31" s="21" t="inlineStr">
        <is>
          <t>SIGNED. MIRROR rows only; legs and direction resolved at runtime from reversal_of.</t>
        </is>
      </c>
    </row>
    <row r="32" ht="15" customHeight="1" s="40">
      <c r="A32" s="14" t="inlineStr">
        <is>
          <t>CORRECTED_AMOUNT</t>
        </is>
      </c>
      <c r="B32" s="15" t="inlineStr">
        <is>
          <t>event.amount</t>
        </is>
      </c>
      <c r="C32" s="14" t="inlineStr">
        <is>
          <t>event</t>
        </is>
      </c>
      <c r="D32" s="14" t="inlineStr">
        <is>
          <t>NON_NEGATIVE</t>
        </is>
      </c>
      <c r="E32" s="15" t="inlineStr">
        <is>
          <t>Rebook leg of a correction.</t>
        </is>
      </c>
    </row>
    <row r="33" ht="15" customHeight="1" s="40">
      <c r="A33" s="19" t="inlineStr">
        <is>
          <t>INTEREST_PERIOD</t>
        </is>
      </c>
      <c r="B33" s="21" t="inlineStr">
        <is>
          <t>effective_interest(asset, period)</t>
        </is>
      </c>
      <c r="C33" s="19" t="inlineStr">
        <is>
          <t>balances, config</t>
        </is>
      </c>
      <c r="D33" s="19" t="inlineStr">
        <is>
          <t>NON_NEGATIVE</t>
        </is>
      </c>
      <c r="E33" s="21" t="inlineStr">
        <is>
          <t>Suspend on Stage 3 / non-accrual.</t>
        </is>
      </c>
    </row>
    <row r="34" ht="15" customHeight="1" s="40">
      <c r="A34" s="14" t="inlineStr">
        <is>
          <t>DISCOUNT_ACCRETION</t>
        </is>
      </c>
      <c r="B34" s="15" t="inlineStr">
        <is>
          <t>accretion(UNEARNED_DISCOUNT, period)</t>
        </is>
      </c>
      <c r="C34" s="14" t="inlineStr">
        <is>
          <t>balances</t>
        </is>
      </c>
      <c r="D34" s="14" t="inlineStr">
        <is>
          <t>NON_NEGATIVE</t>
        </is>
      </c>
      <c r="E34" s="15" t="inlineStr">
        <is>
          <t>To INTEREST_INCOME.</t>
        </is>
      </c>
    </row>
    <row r="35" ht="23.25" customHeight="1" s="40">
      <c r="A35" s="19" t="inlineStr">
        <is>
          <t>FX_REVAL_DELTA</t>
        </is>
      </c>
      <c r="B35" s="21" t="inlineStr">
        <is>
          <t>(closing_rate - carrying_rate) x monetary balance</t>
        </is>
      </c>
      <c r="C35" s="19" t="inlineStr">
        <is>
          <t>balances, rates</t>
        </is>
      </c>
      <c r="D35" s="19" t="inlineStr">
        <is>
          <t>SIGNED</t>
        </is>
      </c>
      <c r="E35" s="21" t="inlineStr">
        <is>
          <t>SIGNED — moves either way. Pairs with movement = DERIVED_FROM_SIGN (I22). Nil on contingent pairs by construction.</t>
        </is>
      </c>
    </row>
    <row r="36" ht="15" customHeight="1" s="40">
      <c r="A36" s="14" t="inlineStr">
        <is>
          <t>ZERO</t>
        </is>
      </c>
      <c r="B36" s="15" t="inlineStr">
        <is>
          <t>0</t>
        </is>
      </c>
      <c r="C36" s="14" t="inlineStr">
        <is>
          <t>—</t>
        </is>
      </c>
      <c r="D36" s="14" t="inlineStr">
        <is>
          <t>n/a</t>
        </is>
      </c>
      <c r="E36" s="15" t="inlineStr">
        <is>
          <t>Non-posting events; declared explicitly, never inferred from absence (I17).</t>
        </is>
      </c>
    </row>
    <row r="37" ht="15.75" customHeight="1" s="40">
      <c r="A37" s="4" t="n"/>
      <c r="B37" s="4" t="n"/>
      <c r="C37" s="4" t="n"/>
      <c r="D37" s="4" t="n"/>
      <c r="E37" s="4" t="n"/>
    </row>
    <row r="38" ht="15.75" customHeight="1" s="40">
      <c r="A38" s="4" t="n"/>
      <c r="B38" s="4" t="n"/>
      <c r="C38" s="4" t="n"/>
      <c r="D38" s="4" t="n"/>
      <c r="E38" s="4" t="n"/>
    </row>
    <row r="39" ht="15.75" customHeight="1" s="40">
      <c r="A39" s="4" t="n"/>
      <c r="B39" s="4" t="n"/>
      <c r="C39" s="4" t="n"/>
      <c r="D39" s="4" t="n"/>
      <c r="E39" s="4" t="n"/>
    </row>
    <row r="40" ht="15.75" customHeight="1" s="40">
      <c r="A40" s="4" t="n"/>
      <c r="B40" s="4" t="n"/>
      <c r="C40" s="4" t="n"/>
      <c r="D40" s="4" t="n"/>
      <c r="E40" s="4" t="n"/>
    </row>
    <row r="41" ht="15.75" customHeight="1" s="40">
      <c r="A41" s="4" t="n"/>
      <c r="B41" s="4" t="n"/>
      <c r="C41" s="4" t="n"/>
      <c r="D41" s="4" t="n"/>
      <c r="E41" s="4" t="n"/>
    </row>
    <row r="42" ht="15.75" customHeight="1" s="40">
      <c r="A42" s="4" t="n"/>
      <c r="B42" s="4" t="n"/>
      <c r="C42" s="4" t="n"/>
      <c r="D42" s="4" t="n"/>
      <c r="E42" s="4" t="n"/>
    </row>
    <row r="43" ht="15.75" customHeight="1" s="40">
      <c r="A43" s="4" t="n"/>
      <c r="B43" s="4" t="n"/>
      <c r="C43" s="4" t="n"/>
      <c r="D43" s="4" t="n"/>
      <c r="E43" s="4" t="n"/>
    </row>
    <row r="44" ht="15.75" customHeight="1" s="40">
      <c r="A44" s="4" t="n"/>
      <c r="B44" s="4" t="n"/>
      <c r="C44" s="4" t="n"/>
      <c r="D44" s="4" t="n"/>
      <c r="E44" s="4" t="n"/>
    </row>
    <row r="45" ht="15.75" customHeight="1" s="40">
      <c r="A45" s="4" t="n"/>
      <c r="B45" s="4" t="n"/>
      <c r="C45" s="4" t="n"/>
      <c r="D45" s="4" t="n"/>
      <c r="E45" s="4" t="n"/>
    </row>
    <row r="46" ht="15.75" customHeight="1" s="40">
      <c r="A46" s="4" t="n"/>
      <c r="B46" s="4" t="n"/>
      <c r="C46" s="4" t="n"/>
      <c r="D46" s="4" t="n"/>
      <c r="E46" s="4" t="n"/>
    </row>
    <row r="47" ht="15.75" customHeight="1" s="40">
      <c r="A47" s="4" t="n"/>
      <c r="B47" s="4" t="n"/>
      <c r="C47" s="4" t="n"/>
      <c r="D47" s="4" t="n"/>
      <c r="E47" s="4" t="n"/>
    </row>
    <row r="48" ht="15.75" customHeight="1" s="40">
      <c r="A48" s="4" t="n"/>
      <c r="B48" s="4" t="n"/>
      <c r="C48" s="4" t="n"/>
      <c r="D48" s="4" t="n"/>
      <c r="E48" s="4" t="n"/>
    </row>
    <row r="49" ht="15.75" customHeight="1" s="40">
      <c r="A49" s="4" t="n"/>
      <c r="B49" s="4" t="n"/>
      <c r="C49" s="4" t="n"/>
      <c r="D49" s="4" t="n"/>
      <c r="E49" s="4" t="n"/>
    </row>
    <row r="50" ht="15.75" customHeight="1" s="40">
      <c r="A50" s="4" t="n"/>
      <c r="B50" s="4" t="n"/>
      <c r="C50" s="4" t="n"/>
      <c r="D50" s="4" t="n"/>
      <c r="E50" s="4" t="n"/>
    </row>
    <row r="51" ht="15.75" customHeight="1" s="40">
      <c r="A51" s="4" t="n"/>
      <c r="B51" s="4" t="n"/>
      <c r="C51" s="4" t="n"/>
      <c r="D51" s="4" t="n"/>
      <c r="E51" s="4" t="n"/>
    </row>
    <row r="52" ht="15.75" customHeight="1" s="40">
      <c r="A52" s="4" t="n"/>
      <c r="B52" s="4" t="n"/>
      <c r="C52" s="4" t="n"/>
      <c r="D52" s="4" t="n"/>
      <c r="E52" s="4" t="n"/>
    </row>
    <row r="53" ht="15.75" customHeight="1" s="40">
      <c r="A53" s="4" t="n"/>
      <c r="B53" s="4" t="n"/>
      <c r="C53" s="4" t="n"/>
      <c r="D53" s="4" t="n"/>
      <c r="E53" s="4" t="n"/>
    </row>
    <row r="54" ht="15.75" customHeight="1" s="40">
      <c r="A54" s="4" t="n"/>
      <c r="B54" s="4" t="n"/>
      <c r="C54" s="4" t="n"/>
      <c r="D54" s="4" t="n"/>
      <c r="E54" s="4" t="n"/>
    </row>
    <row r="55" ht="15.75" customHeight="1" s="40">
      <c r="A55" s="4" t="n"/>
      <c r="B55" s="4" t="n"/>
      <c r="C55" s="4" t="n"/>
      <c r="D55" s="4" t="n"/>
      <c r="E55" s="4" t="n"/>
    </row>
    <row r="56" ht="15.75" customHeight="1" s="40">
      <c r="A56" s="4" t="n"/>
      <c r="B56" s="4" t="n"/>
      <c r="C56" s="4" t="n"/>
      <c r="D56" s="4" t="n"/>
      <c r="E56" s="4" t="n"/>
    </row>
    <row r="57" ht="15.75" customHeight="1" s="40">
      <c r="A57" s="4" t="n"/>
      <c r="B57" s="4" t="n"/>
      <c r="C57" s="4" t="n"/>
      <c r="D57" s="4" t="n"/>
      <c r="E57" s="4" t="n"/>
    </row>
    <row r="58" ht="15.75" customHeight="1" s="40">
      <c r="A58" s="4" t="n"/>
      <c r="B58" s="4" t="n"/>
      <c r="C58" s="4" t="n"/>
      <c r="D58" s="4" t="n"/>
      <c r="E58" s="4" t="n"/>
    </row>
    <row r="59" ht="15.75" customHeight="1" s="40">
      <c r="A59" s="4" t="n"/>
      <c r="B59" s="4" t="n"/>
      <c r="C59" s="4" t="n"/>
      <c r="D59" s="4" t="n"/>
      <c r="E59" s="4" t="n"/>
    </row>
    <row r="60" ht="15.75" customHeight="1" s="40">
      <c r="A60" s="4" t="n"/>
      <c r="B60" s="4" t="n"/>
      <c r="C60" s="4" t="n"/>
      <c r="D60" s="4" t="n"/>
      <c r="E60" s="4" t="n"/>
    </row>
    <row r="61" ht="15.75" customHeight="1" s="40">
      <c r="A61" s="4" t="n"/>
      <c r="B61" s="4" t="n"/>
      <c r="C61" s="4" t="n"/>
      <c r="D61" s="4" t="n"/>
      <c r="E61" s="4" t="n"/>
    </row>
    <row r="62" ht="15.75" customHeight="1" s="40">
      <c r="A62" s="4" t="n"/>
      <c r="B62" s="4" t="n"/>
      <c r="C62" s="4" t="n"/>
      <c r="D62" s="4" t="n"/>
      <c r="E62" s="4" t="n"/>
    </row>
    <row r="63" ht="15.75" customHeight="1" s="40">
      <c r="A63" s="4" t="n"/>
      <c r="B63" s="4" t="n"/>
      <c r="C63" s="4" t="n"/>
      <c r="D63" s="4" t="n"/>
      <c r="E63" s="4" t="n"/>
    </row>
    <row r="64" ht="15.75" customHeight="1" s="40">
      <c r="A64" s="4" t="n"/>
      <c r="B64" s="4" t="n"/>
      <c r="C64" s="4" t="n"/>
      <c r="D64" s="4" t="n"/>
      <c r="E64" s="4" t="n"/>
    </row>
    <row r="65" ht="15.75" customHeight="1" s="40">
      <c r="A65" s="4" t="n"/>
      <c r="B65" s="4" t="n"/>
      <c r="C65" s="4" t="n"/>
      <c r="D65" s="4" t="n"/>
      <c r="E65" s="4" t="n"/>
    </row>
    <row r="66" ht="15.75" customHeight="1" s="40">
      <c r="A66" s="4" t="n"/>
      <c r="B66" s="4" t="n"/>
      <c r="C66" s="4" t="n"/>
      <c r="D66" s="4" t="n"/>
      <c r="E66" s="4" t="n"/>
    </row>
    <row r="67" ht="15.75" customHeight="1" s="40">
      <c r="A67" s="4" t="n"/>
      <c r="B67" s="4" t="n"/>
      <c r="C67" s="4" t="n"/>
      <c r="D67" s="4" t="n"/>
      <c r="E67" s="4" t="n"/>
    </row>
    <row r="68" ht="15.75" customHeight="1" s="40">
      <c r="A68" s="4" t="n"/>
      <c r="B68" s="4" t="n"/>
      <c r="C68" s="4" t="n"/>
      <c r="D68" s="4" t="n"/>
      <c r="E68" s="4" t="n"/>
    </row>
    <row r="69" ht="15.75" customHeight="1" s="40">
      <c r="A69" s="4" t="n"/>
      <c r="B69" s="4" t="n"/>
      <c r="C69" s="4" t="n"/>
      <c r="D69" s="4" t="n"/>
      <c r="E69" s="4" t="n"/>
    </row>
    <row r="70" ht="15.75" customHeight="1" s="40">
      <c r="A70" s="4" t="n"/>
      <c r="B70" s="4" t="n"/>
      <c r="C70" s="4" t="n"/>
      <c r="D70" s="4" t="n"/>
      <c r="E70" s="4" t="n"/>
    </row>
    <row r="71" ht="15.75" customHeight="1" s="40">
      <c r="A71" s="4" t="n"/>
      <c r="B71" s="4" t="n"/>
      <c r="C71" s="4" t="n"/>
      <c r="D71" s="4" t="n"/>
      <c r="E71" s="4" t="n"/>
    </row>
    <row r="72" ht="15.75" customHeight="1" s="40">
      <c r="A72" s="4" t="n"/>
      <c r="B72" s="4" t="n"/>
      <c r="C72" s="4" t="n"/>
      <c r="D72" s="4" t="n"/>
      <c r="E72" s="4" t="n"/>
    </row>
    <row r="73" ht="15.75" customHeight="1" s="40">
      <c r="A73" s="4" t="n"/>
      <c r="B73" s="4" t="n"/>
      <c r="C73" s="4" t="n"/>
      <c r="D73" s="4" t="n"/>
      <c r="E73" s="4" t="n"/>
    </row>
    <row r="74" ht="15.75" customHeight="1" s="40">
      <c r="A74" s="4" t="n"/>
      <c r="B74" s="4" t="n"/>
      <c r="C74" s="4" t="n"/>
      <c r="D74" s="4" t="n"/>
      <c r="E74" s="4" t="n"/>
    </row>
    <row r="75" ht="15.75" customHeight="1" s="40">
      <c r="A75" s="4" t="n"/>
      <c r="B75" s="4" t="n"/>
      <c r="C75" s="4" t="n"/>
      <c r="D75" s="4" t="n"/>
      <c r="E75" s="4" t="n"/>
    </row>
    <row r="76" ht="15.75" customHeight="1" s="40">
      <c r="A76" s="4" t="n"/>
      <c r="B76" s="4" t="n"/>
      <c r="C76" s="4" t="n"/>
      <c r="D76" s="4" t="n"/>
      <c r="E76" s="4" t="n"/>
    </row>
    <row r="77" ht="15.75" customHeight="1" s="40">
      <c r="A77" s="4" t="n"/>
      <c r="B77" s="4" t="n"/>
      <c r="C77" s="4" t="n"/>
      <c r="D77" s="4" t="n"/>
      <c r="E77" s="4" t="n"/>
    </row>
    <row r="78" ht="15.75" customHeight="1" s="40">
      <c r="A78" s="4" t="n"/>
      <c r="B78" s="4" t="n"/>
      <c r="C78" s="4" t="n"/>
      <c r="D78" s="4" t="n"/>
      <c r="E78" s="4" t="n"/>
    </row>
    <row r="79" ht="15.75" customHeight="1" s="40">
      <c r="A79" s="4" t="n"/>
      <c r="B79" s="4" t="n"/>
      <c r="C79" s="4" t="n"/>
      <c r="D79" s="4" t="n"/>
      <c r="E79" s="4" t="n"/>
    </row>
    <row r="80" ht="15.75" customHeight="1" s="40">
      <c r="A80" s="4" t="n"/>
      <c r="B80" s="4" t="n"/>
      <c r="C80" s="4" t="n"/>
      <c r="D80" s="4" t="n"/>
      <c r="E80" s="4" t="n"/>
    </row>
    <row r="81" ht="15.75" customHeight="1" s="40">
      <c r="A81" s="4" t="n"/>
      <c r="B81" s="4" t="n"/>
      <c r="C81" s="4" t="n"/>
      <c r="D81" s="4" t="n"/>
      <c r="E81" s="4" t="n"/>
    </row>
    <row r="82" ht="15.75" customHeight="1" s="40">
      <c r="A82" s="4" t="n"/>
      <c r="B82" s="4" t="n"/>
      <c r="C82" s="4" t="n"/>
      <c r="D82" s="4" t="n"/>
      <c r="E82" s="4" t="n"/>
    </row>
    <row r="83" ht="15.75" customHeight="1" s="40">
      <c r="A83" s="4" t="n"/>
      <c r="B83" s="4" t="n"/>
      <c r="C83" s="4" t="n"/>
      <c r="D83" s="4" t="n"/>
      <c r="E83" s="4" t="n"/>
    </row>
    <row r="84" ht="15.75" customHeight="1" s="40">
      <c r="A84" s="4" t="n"/>
      <c r="B84" s="4" t="n"/>
      <c r="C84" s="4" t="n"/>
      <c r="D84" s="4" t="n"/>
      <c r="E84" s="4" t="n"/>
    </row>
    <row r="85" ht="15.75" customHeight="1" s="40">
      <c r="A85" s="4" t="n"/>
      <c r="B85" s="4" t="n"/>
      <c r="C85" s="4" t="n"/>
      <c r="D85" s="4" t="n"/>
      <c r="E85" s="4" t="n"/>
    </row>
    <row r="86" ht="15.75" customHeight="1" s="40">
      <c r="A86" s="4" t="n"/>
      <c r="B86" s="4" t="n"/>
      <c r="C86" s="4" t="n"/>
      <c r="D86" s="4" t="n"/>
      <c r="E86" s="4" t="n"/>
    </row>
    <row r="87" ht="15.75" customHeight="1" s="40">
      <c r="A87" s="4" t="n"/>
      <c r="B87" s="4" t="n"/>
      <c r="C87" s="4" t="n"/>
      <c r="D87" s="4" t="n"/>
      <c r="E87" s="4" t="n"/>
    </row>
    <row r="88" ht="15.75" customHeight="1" s="40">
      <c r="A88" s="4" t="n"/>
      <c r="B88" s="4" t="n"/>
      <c r="C88" s="4" t="n"/>
      <c r="D88" s="4" t="n"/>
      <c r="E88" s="4" t="n"/>
    </row>
    <row r="89" ht="15.75" customHeight="1" s="40">
      <c r="A89" s="4" t="n"/>
      <c r="B89" s="4" t="n"/>
      <c r="C89" s="4" t="n"/>
      <c r="D89" s="4" t="n"/>
      <c r="E89" s="4" t="n"/>
    </row>
    <row r="90" ht="15.75" customHeight="1" s="40">
      <c r="A90" s="4" t="n"/>
      <c r="B90" s="4" t="n"/>
      <c r="C90" s="4" t="n"/>
      <c r="D90" s="4" t="n"/>
      <c r="E90" s="4" t="n"/>
    </row>
    <row r="91" ht="15.75" customHeight="1" s="40">
      <c r="A91" s="4" t="n"/>
      <c r="B91" s="4" t="n"/>
      <c r="C91" s="4" t="n"/>
      <c r="D91" s="4" t="n"/>
      <c r="E91" s="4" t="n"/>
    </row>
    <row r="92" ht="15.75" customHeight="1" s="40">
      <c r="A92" s="4" t="n"/>
      <c r="B92" s="4" t="n"/>
      <c r="C92" s="4" t="n"/>
      <c r="D92" s="4" t="n"/>
      <c r="E92" s="4" t="n"/>
    </row>
    <row r="93" ht="15.75" customHeight="1" s="40">
      <c r="A93" s="4" t="n"/>
      <c r="B93" s="4" t="n"/>
      <c r="C93" s="4" t="n"/>
      <c r="D93" s="4" t="n"/>
      <c r="E93" s="4" t="n"/>
    </row>
    <row r="94" ht="15.75" customHeight="1" s="40">
      <c r="A94" s="4" t="n"/>
      <c r="B94" s="4" t="n"/>
      <c r="C94" s="4" t="n"/>
      <c r="D94" s="4" t="n"/>
      <c r="E94" s="4" t="n"/>
    </row>
    <row r="95" ht="15.75" customHeight="1" s="40">
      <c r="A95" s="4" t="n"/>
      <c r="B95" s="4" t="n"/>
      <c r="C95" s="4" t="n"/>
      <c r="D95" s="4" t="n"/>
      <c r="E95" s="4" t="n"/>
    </row>
    <row r="96" ht="15.75" customHeight="1" s="40">
      <c r="A96" s="4" t="n"/>
      <c r="B96" s="4" t="n"/>
      <c r="C96" s="4" t="n"/>
      <c r="D96" s="4" t="n"/>
      <c r="E96" s="4" t="n"/>
    </row>
    <row r="97" ht="15.75" customHeight="1" s="40">
      <c r="A97" s="4" t="n"/>
      <c r="B97" s="4" t="n"/>
      <c r="C97" s="4" t="n"/>
      <c r="D97" s="4" t="n"/>
      <c r="E97" s="4" t="n"/>
    </row>
    <row r="98" ht="15.75" customHeight="1" s="40">
      <c r="A98" s="4" t="n"/>
      <c r="B98" s="4" t="n"/>
      <c r="C98" s="4" t="n"/>
      <c r="D98" s="4" t="n"/>
      <c r="E98" s="4" t="n"/>
    </row>
    <row r="99" ht="15.75" customHeight="1" s="40">
      <c r="A99" s="4" t="n"/>
      <c r="B99" s="4" t="n"/>
      <c r="C99" s="4" t="n"/>
      <c r="D99" s="4" t="n"/>
      <c r="E99" s="4" t="n"/>
    </row>
    <row r="100" ht="15.75" customHeight="1" s="40">
      <c r="A100" s="4" t="n"/>
      <c r="B100" s="4" t="n"/>
      <c r="C100" s="4" t="n"/>
      <c r="D100" s="4" t="n"/>
      <c r="E100" s="4" t="n"/>
    </row>
    <row r="101" ht="15.75" customHeight="1" s="40">
      <c r="A101" s="4" t="n"/>
      <c r="B101" s="4" t="n"/>
      <c r="C101" s="4" t="n"/>
      <c r="D101" s="4" t="n"/>
      <c r="E101" s="4" t="n"/>
    </row>
    <row r="102" ht="15.75" customHeight="1" s="40">
      <c r="A102" s="4" t="n"/>
      <c r="B102" s="4" t="n"/>
      <c r="C102" s="4" t="n"/>
      <c r="D102" s="4" t="n"/>
      <c r="E102" s="4" t="n"/>
    </row>
    <row r="103" ht="15.75" customHeight="1" s="40">
      <c r="A103" s="4" t="n"/>
      <c r="B103" s="4" t="n"/>
      <c r="C103" s="4" t="n"/>
      <c r="D103" s="4" t="n"/>
      <c r="E103" s="4" t="n"/>
    </row>
    <row r="104" ht="15.75" customHeight="1" s="40">
      <c r="A104" s="4" t="n"/>
      <c r="B104" s="4" t="n"/>
      <c r="C104" s="4" t="n"/>
      <c r="D104" s="4" t="n"/>
      <c r="E104" s="4" t="n"/>
    </row>
    <row r="105" ht="15.75" customHeight="1" s="40">
      <c r="A105" s="4" t="n"/>
      <c r="B105" s="4" t="n"/>
      <c r="C105" s="4" t="n"/>
      <c r="D105" s="4" t="n"/>
      <c r="E105" s="4" t="n"/>
    </row>
    <row r="106" ht="15.75" customHeight="1" s="40">
      <c r="A106" s="4" t="n"/>
      <c r="B106" s="4" t="n"/>
      <c r="C106" s="4" t="n"/>
      <c r="D106" s="4" t="n"/>
      <c r="E106" s="4" t="n"/>
    </row>
    <row r="107" ht="15.75" customHeight="1" s="40">
      <c r="A107" s="4" t="n"/>
      <c r="B107" s="4" t="n"/>
      <c r="C107" s="4" t="n"/>
      <c r="D107" s="4" t="n"/>
      <c r="E107" s="4" t="n"/>
    </row>
    <row r="108" ht="15.75" customHeight="1" s="40">
      <c r="A108" s="4" t="n"/>
      <c r="B108" s="4" t="n"/>
      <c r="C108" s="4" t="n"/>
      <c r="D108" s="4" t="n"/>
      <c r="E108" s="4" t="n"/>
    </row>
    <row r="109" ht="15.75" customHeight="1" s="40">
      <c r="A109" s="4" t="n"/>
      <c r="B109" s="4" t="n"/>
      <c r="C109" s="4" t="n"/>
      <c r="D109" s="4" t="n"/>
      <c r="E109" s="4" t="n"/>
    </row>
    <row r="110" ht="15.75" customHeight="1" s="40">
      <c r="A110" s="4" t="n"/>
      <c r="B110" s="4" t="n"/>
      <c r="C110" s="4" t="n"/>
      <c r="D110" s="4" t="n"/>
      <c r="E110" s="4" t="n"/>
    </row>
    <row r="111" ht="15.75" customHeight="1" s="40">
      <c r="A111" s="4" t="n"/>
      <c r="B111" s="4" t="n"/>
      <c r="C111" s="4" t="n"/>
      <c r="D111" s="4" t="n"/>
      <c r="E111" s="4" t="n"/>
    </row>
    <row r="112" ht="15.75" customHeight="1" s="40">
      <c r="A112" s="4" t="n"/>
      <c r="B112" s="4" t="n"/>
      <c r="C112" s="4" t="n"/>
      <c r="D112" s="4" t="n"/>
      <c r="E112" s="4" t="n"/>
    </row>
    <row r="113" ht="15.75" customHeight="1" s="40">
      <c r="A113" s="4" t="n"/>
      <c r="B113" s="4" t="n"/>
      <c r="C113" s="4" t="n"/>
      <c r="D113" s="4" t="n"/>
      <c r="E113" s="4" t="n"/>
    </row>
    <row r="114" ht="15.75" customHeight="1" s="40">
      <c r="A114" s="4" t="n"/>
      <c r="B114" s="4" t="n"/>
      <c r="C114" s="4" t="n"/>
      <c r="D114" s="4" t="n"/>
      <c r="E114" s="4" t="n"/>
    </row>
    <row r="115" ht="15.75" customHeight="1" s="40">
      <c r="A115" s="4" t="n"/>
      <c r="B115" s="4" t="n"/>
      <c r="C115" s="4" t="n"/>
      <c r="D115" s="4" t="n"/>
      <c r="E115" s="4" t="n"/>
    </row>
    <row r="116" ht="15.75" customHeight="1" s="40">
      <c r="A116" s="4" t="n"/>
      <c r="B116" s="4" t="n"/>
      <c r="C116" s="4" t="n"/>
      <c r="D116" s="4" t="n"/>
      <c r="E116" s="4" t="n"/>
    </row>
    <row r="117" ht="15.75" customHeight="1" s="40">
      <c r="A117" s="4" t="n"/>
      <c r="B117" s="4" t="n"/>
      <c r="C117" s="4" t="n"/>
      <c r="D117" s="4" t="n"/>
      <c r="E117" s="4" t="n"/>
    </row>
    <row r="118" ht="15.75" customHeight="1" s="40">
      <c r="A118" s="4" t="n"/>
      <c r="B118" s="4" t="n"/>
      <c r="C118" s="4" t="n"/>
      <c r="D118" s="4" t="n"/>
      <c r="E118" s="4" t="n"/>
    </row>
    <row r="119" ht="15.75" customHeight="1" s="40">
      <c r="A119" s="4" t="n"/>
      <c r="B119" s="4" t="n"/>
      <c r="C119" s="4" t="n"/>
      <c r="D119" s="4" t="n"/>
      <c r="E119" s="4" t="n"/>
    </row>
    <row r="120" ht="15.75" customHeight="1" s="40">
      <c r="A120" s="4" t="n"/>
      <c r="B120" s="4" t="n"/>
      <c r="C120" s="4" t="n"/>
      <c r="D120" s="4" t="n"/>
      <c r="E120" s="4" t="n"/>
    </row>
    <row r="121" ht="15.75" customHeight="1" s="40">
      <c r="A121" s="4" t="n"/>
      <c r="B121" s="4" t="n"/>
      <c r="C121" s="4" t="n"/>
      <c r="D121" s="4" t="n"/>
      <c r="E121" s="4" t="n"/>
    </row>
    <row r="122" ht="15.75" customHeight="1" s="40">
      <c r="A122" s="4" t="n"/>
      <c r="B122" s="4" t="n"/>
      <c r="C122" s="4" t="n"/>
      <c r="D122" s="4" t="n"/>
      <c r="E122" s="4" t="n"/>
    </row>
    <row r="123" ht="15.75" customHeight="1" s="40">
      <c r="A123" s="4" t="n"/>
      <c r="B123" s="4" t="n"/>
      <c r="C123" s="4" t="n"/>
      <c r="D123" s="4" t="n"/>
      <c r="E123" s="4" t="n"/>
    </row>
    <row r="124" ht="15.75" customHeight="1" s="40">
      <c r="A124" s="4" t="n"/>
      <c r="B124" s="4" t="n"/>
      <c r="C124" s="4" t="n"/>
      <c r="D124" s="4" t="n"/>
      <c r="E124" s="4" t="n"/>
    </row>
    <row r="125" ht="15.75" customHeight="1" s="40">
      <c r="A125" s="4" t="n"/>
      <c r="B125" s="4" t="n"/>
      <c r="C125" s="4" t="n"/>
      <c r="D125" s="4" t="n"/>
      <c r="E125" s="4" t="n"/>
    </row>
    <row r="126" ht="15.75" customHeight="1" s="40">
      <c r="A126" s="4" t="n"/>
      <c r="B126" s="4" t="n"/>
      <c r="C126" s="4" t="n"/>
      <c r="D126" s="4" t="n"/>
      <c r="E126" s="4" t="n"/>
    </row>
    <row r="127" ht="15.75" customHeight="1" s="40">
      <c r="A127" s="4" t="n"/>
      <c r="B127" s="4" t="n"/>
      <c r="C127" s="4" t="n"/>
      <c r="D127" s="4" t="n"/>
      <c r="E127" s="4" t="n"/>
    </row>
    <row r="128" ht="15.75" customHeight="1" s="40">
      <c r="A128" s="4" t="n"/>
      <c r="B128" s="4" t="n"/>
      <c r="C128" s="4" t="n"/>
      <c r="D128" s="4" t="n"/>
      <c r="E128" s="4" t="n"/>
    </row>
    <row r="129" ht="15.75" customHeight="1" s="40">
      <c r="A129" s="4" t="n"/>
      <c r="B129" s="4" t="n"/>
      <c r="C129" s="4" t="n"/>
      <c r="D129" s="4" t="n"/>
      <c r="E129" s="4" t="n"/>
    </row>
    <row r="130" ht="15.75" customHeight="1" s="40">
      <c r="A130" s="4" t="n"/>
      <c r="B130" s="4" t="n"/>
      <c r="C130" s="4" t="n"/>
      <c r="D130" s="4" t="n"/>
      <c r="E130" s="4" t="n"/>
    </row>
    <row r="131" ht="15.75" customHeight="1" s="40">
      <c r="A131" s="4" t="n"/>
      <c r="B131" s="4" t="n"/>
      <c r="C131" s="4" t="n"/>
      <c r="D131" s="4" t="n"/>
      <c r="E131" s="4" t="n"/>
    </row>
    <row r="132" ht="15.75" customHeight="1" s="40">
      <c r="A132" s="4" t="n"/>
      <c r="B132" s="4" t="n"/>
      <c r="C132" s="4" t="n"/>
      <c r="D132" s="4" t="n"/>
      <c r="E132" s="4" t="n"/>
    </row>
    <row r="133" ht="15.75" customHeight="1" s="40">
      <c r="A133" s="4" t="n"/>
      <c r="B133" s="4" t="n"/>
      <c r="C133" s="4" t="n"/>
      <c r="D133" s="4" t="n"/>
      <c r="E133" s="4" t="n"/>
    </row>
    <row r="134" ht="15.75" customHeight="1" s="40">
      <c r="A134" s="4" t="n"/>
      <c r="B134" s="4" t="n"/>
      <c r="C134" s="4" t="n"/>
      <c r="D134" s="4" t="n"/>
      <c r="E134" s="4" t="n"/>
    </row>
    <row r="135" ht="15.75" customHeight="1" s="40">
      <c r="A135" s="4" t="n"/>
      <c r="B135" s="4" t="n"/>
      <c r="C135" s="4" t="n"/>
      <c r="D135" s="4" t="n"/>
      <c r="E135" s="4" t="n"/>
    </row>
    <row r="136" ht="15.75" customHeight="1" s="40">
      <c r="A136" s="4" t="n"/>
      <c r="B136" s="4" t="n"/>
      <c r="C136" s="4" t="n"/>
      <c r="D136" s="4" t="n"/>
      <c r="E136" s="4" t="n"/>
    </row>
    <row r="137" ht="15.75" customHeight="1" s="40">
      <c r="A137" s="4" t="n"/>
      <c r="B137" s="4" t="n"/>
      <c r="C137" s="4" t="n"/>
      <c r="D137" s="4" t="n"/>
      <c r="E137" s="4" t="n"/>
    </row>
    <row r="138" ht="15.75" customHeight="1" s="40">
      <c r="A138" s="4" t="n"/>
      <c r="B138" s="4" t="n"/>
      <c r="C138" s="4" t="n"/>
      <c r="D138" s="4" t="n"/>
      <c r="E138" s="4" t="n"/>
    </row>
    <row r="139" ht="15.75" customHeight="1" s="40">
      <c r="A139" s="4" t="n"/>
      <c r="B139" s="4" t="n"/>
      <c r="C139" s="4" t="n"/>
      <c r="D139" s="4" t="n"/>
      <c r="E139" s="4" t="n"/>
    </row>
    <row r="140" ht="15.75" customHeight="1" s="40">
      <c r="A140" s="4" t="n"/>
      <c r="B140" s="4" t="n"/>
      <c r="C140" s="4" t="n"/>
      <c r="D140" s="4" t="n"/>
      <c r="E140" s="4" t="n"/>
    </row>
    <row r="141" ht="15.75" customHeight="1" s="40">
      <c r="A141" s="4" t="n"/>
      <c r="B141" s="4" t="n"/>
      <c r="C141" s="4" t="n"/>
      <c r="D141" s="4" t="n"/>
      <c r="E141" s="4" t="n"/>
    </row>
    <row r="142" ht="15.75" customHeight="1" s="40">
      <c r="A142" s="4" t="n"/>
      <c r="B142" s="4" t="n"/>
      <c r="C142" s="4" t="n"/>
      <c r="D142" s="4" t="n"/>
      <c r="E142" s="4" t="n"/>
    </row>
    <row r="143" ht="15.75" customHeight="1" s="40">
      <c r="A143" s="4" t="n"/>
      <c r="B143" s="4" t="n"/>
      <c r="C143" s="4" t="n"/>
      <c r="D143" s="4" t="n"/>
      <c r="E143" s="4" t="n"/>
    </row>
    <row r="144" ht="15.75" customHeight="1" s="40">
      <c r="A144" s="4" t="n"/>
      <c r="B144" s="4" t="n"/>
      <c r="C144" s="4" t="n"/>
      <c r="D144" s="4" t="n"/>
      <c r="E144" s="4" t="n"/>
    </row>
    <row r="145" ht="15.75" customHeight="1" s="40">
      <c r="A145" s="4" t="n"/>
      <c r="B145" s="4" t="n"/>
      <c r="C145" s="4" t="n"/>
      <c r="D145" s="4" t="n"/>
      <c r="E145" s="4" t="n"/>
    </row>
    <row r="146" ht="15.75" customHeight="1" s="40">
      <c r="A146" s="4" t="n"/>
      <c r="B146" s="4" t="n"/>
      <c r="C146" s="4" t="n"/>
      <c r="D146" s="4" t="n"/>
      <c r="E146" s="4" t="n"/>
    </row>
    <row r="147" ht="15.75" customHeight="1" s="40">
      <c r="A147" s="4" t="n"/>
      <c r="B147" s="4" t="n"/>
      <c r="C147" s="4" t="n"/>
      <c r="D147" s="4" t="n"/>
      <c r="E147" s="4" t="n"/>
    </row>
    <row r="148" ht="15.75" customHeight="1" s="40">
      <c r="A148" s="4" t="n"/>
      <c r="B148" s="4" t="n"/>
      <c r="C148" s="4" t="n"/>
      <c r="D148" s="4" t="n"/>
      <c r="E148" s="4" t="n"/>
    </row>
    <row r="149" ht="15.75" customHeight="1" s="40">
      <c r="A149" s="4" t="n"/>
      <c r="B149" s="4" t="n"/>
      <c r="C149" s="4" t="n"/>
      <c r="D149" s="4" t="n"/>
      <c r="E149" s="4" t="n"/>
    </row>
    <row r="150" ht="15.75" customHeight="1" s="40">
      <c r="A150" s="4" t="n"/>
      <c r="B150" s="4" t="n"/>
      <c r="C150" s="4" t="n"/>
      <c r="D150" s="4" t="n"/>
      <c r="E150" s="4" t="n"/>
    </row>
    <row r="151" ht="15.75" customHeight="1" s="40">
      <c r="A151" s="4" t="n"/>
      <c r="B151" s="4" t="n"/>
      <c r="C151" s="4" t="n"/>
      <c r="D151" s="4" t="n"/>
      <c r="E151" s="4" t="n"/>
    </row>
    <row r="152" ht="15.75" customHeight="1" s="40">
      <c r="A152" s="4" t="n"/>
      <c r="B152" s="4" t="n"/>
      <c r="C152" s="4" t="n"/>
      <c r="D152" s="4" t="n"/>
      <c r="E152" s="4" t="n"/>
    </row>
    <row r="153" ht="15.75" customHeight="1" s="40">
      <c r="A153" s="4" t="n"/>
      <c r="B153" s="4" t="n"/>
      <c r="C153" s="4" t="n"/>
      <c r="D153" s="4" t="n"/>
      <c r="E153" s="4" t="n"/>
    </row>
    <row r="154" ht="15.75" customHeight="1" s="40">
      <c r="A154" s="4" t="n"/>
      <c r="B154" s="4" t="n"/>
      <c r="C154" s="4" t="n"/>
      <c r="D154" s="4" t="n"/>
      <c r="E154" s="4" t="n"/>
    </row>
    <row r="155" ht="15.75" customHeight="1" s="40">
      <c r="A155" s="4" t="n"/>
      <c r="B155" s="4" t="n"/>
      <c r="C155" s="4" t="n"/>
      <c r="D155" s="4" t="n"/>
      <c r="E155" s="4" t="n"/>
    </row>
    <row r="156" ht="15.75" customHeight="1" s="40">
      <c r="A156" s="4" t="n"/>
      <c r="B156" s="4" t="n"/>
      <c r="C156" s="4" t="n"/>
      <c r="D156" s="4" t="n"/>
      <c r="E156" s="4" t="n"/>
    </row>
    <row r="157" ht="15.75" customHeight="1" s="40">
      <c r="A157" s="4" t="n"/>
      <c r="B157" s="4" t="n"/>
      <c r="C157" s="4" t="n"/>
      <c r="D157" s="4" t="n"/>
      <c r="E157" s="4" t="n"/>
    </row>
    <row r="158" ht="15.75" customHeight="1" s="40">
      <c r="A158" s="4" t="n"/>
      <c r="B158" s="4" t="n"/>
      <c r="C158" s="4" t="n"/>
      <c r="D158" s="4" t="n"/>
      <c r="E158" s="4" t="n"/>
    </row>
    <row r="159" ht="15.75" customHeight="1" s="40">
      <c r="A159" s="4" t="n"/>
      <c r="B159" s="4" t="n"/>
      <c r="C159" s="4" t="n"/>
      <c r="D159" s="4" t="n"/>
      <c r="E159" s="4" t="n"/>
    </row>
    <row r="160" ht="15.75" customHeight="1" s="40">
      <c r="A160" s="4" t="n"/>
      <c r="B160" s="4" t="n"/>
      <c r="C160" s="4" t="n"/>
      <c r="D160" s="4" t="n"/>
      <c r="E160" s="4" t="n"/>
    </row>
    <row r="161" ht="15.75" customHeight="1" s="40">
      <c r="A161" s="4" t="n"/>
      <c r="B161" s="4" t="n"/>
      <c r="C161" s="4" t="n"/>
      <c r="D161" s="4" t="n"/>
      <c r="E161" s="4" t="n"/>
    </row>
    <row r="162" ht="15.75" customHeight="1" s="40">
      <c r="A162" s="4" t="n"/>
      <c r="B162" s="4" t="n"/>
      <c r="C162" s="4" t="n"/>
      <c r="D162" s="4" t="n"/>
      <c r="E162" s="4" t="n"/>
    </row>
    <row r="163" ht="15.75" customHeight="1" s="40">
      <c r="A163" s="4" t="n"/>
      <c r="B163" s="4" t="n"/>
      <c r="C163" s="4" t="n"/>
      <c r="D163" s="4" t="n"/>
      <c r="E163" s="4" t="n"/>
    </row>
    <row r="164" ht="15.75" customHeight="1" s="40">
      <c r="A164" s="4" t="n"/>
      <c r="B164" s="4" t="n"/>
      <c r="C164" s="4" t="n"/>
      <c r="D164" s="4" t="n"/>
      <c r="E164" s="4" t="n"/>
    </row>
    <row r="165" ht="15.75" customHeight="1" s="40">
      <c r="A165" s="4" t="n"/>
      <c r="B165" s="4" t="n"/>
      <c r="C165" s="4" t="n"/>
      <c r="D165" s="4" t="n"/>
      <c r="E165" s="4" t="n"/>
    </row>
    <row r="166" ht="15.75" customHeight="1" s="40">
      <c r="A166" s="4" t="n"/>
      <c r="B166" s="4" t="n"/>
      <c r="C166" s="4" t="n"/>
      <c r="D166" s="4" t="n"/>
      <c r="E166" s="4" t="n"/>
    </row>
    <row r="167" ht="15.75" customHeight="1" s="40">
      <c r="A167" s="4" t="n"/>
      <c r="B167" s="4" t="n"/>
      <c r="C167" s="4" t="n"/>
      <c r="D167" s="4" t="n"/>
      <c r="E167" s="4" t="n"/>
    </row>
    <row r="168" ht="15.75" customHeight="1" s="40">
      <c r="A168" s="4" t="n"/>
      <c r="B168" s="4" t="n"/>
      <c r="C168" s="4" t="n"/>
      <c r="D168" s="4" t="n"/>
      <c r="E168" s="4" t="n"/>
    </row>
    <row r="169" ht="15.75" customHeight="1" s="40">
      <c r="A169" s="4" t="n"/>
      <c r="B169" s="4" t="n"/>
      <c r="C169" s="4" t="n"/>
      <c r="D169" s="4" t="n"/>
      <c r="E169" s="4" t="n"/>
    </row>
    <row r="170" ht="15.75" customHeight="1" s="40">
      <c r="A170" s="4" t="n"/>
      <c r="B170" s="4" t="n"/>
      <c r="C170" s="4" t="n"/>
      <c r="D170" s="4" t="n"/>
      <c r="E170" s="4" t="n"/>
    </row>
    <row r="171" ht="15.75" customHeight="1" s="40">
      <c r="A171" s="4" t="n"/>
      <c r="B171" s="4" t="n"/>
      <c r="C171" s="4" t="n"/>
      <c r="D171" s="4" t="n"/>
      <c r="E171" s="4" t="n"/>
    </row>
    <row r="172" ht="15.75" customHeight="1" s="40">
      <c r="A172" s="4" t="n"/>
      <c r="B172" s="4" t="n"/>
      <c r="C172" s="4" t="n"/>
      <c r="D172" s="4" t="n"/>
      <c r="E172" s="4" t="n"/>
    </row>
    <row r="173" ht="15.75" customHeight="1" s="40">
      <c r="A173" s="4" t="n"/>
      <c r="B173" s="4" t="n"/>
      <c r="C173" s="4" t="n"/>
      <c r="D173" s="4" t="n"/>
      <c r="E173" s="4" t="n"/>
    </row>
    <row r="174" ht="15.75" customHeight="1" s="40">
      <c r="A174" s="4" t="n"/>
      <c r="B174" s="4" t="n"/>
      <c r="C174" s="4" t="n"/>
      <c r="D174" s="4" t="n"/>
      <c r="E174" s="4" t="n"/>
    </row>
    <row r="175" ht="15.75" customHeight="1" s="40">
      <c r="A175" s="4" t="n"/>
      <c r="B175" s="4" t="n"/>
      <c r="C175" s="4" t="n"/>
      <c r="D175" s="4" t="n"/>
      <c r="E175" s="4" t="n"/>
    </row>
    <row r="176" ht="15.75" customHeight="1" s="40">
      <c r="A176" s="4" t="n"/>
      <c r="B176" s="4" t="n"/>
      <c r="C176" s="4" t="n"/>
      <c r="D176" s="4" t="n"/>
      <c r="E176" s="4" t="n"/>
    </row>
    <row r="177" ht="15.75" customHeight="1" s="40">
      <c r="A177" s="4" t="n"/>
      <c r="B177" s="4" t="n"/>
      <c r="C177" s="4" t="n"/>
      <c r="D177" s="4" t="n"/>
      <c r="E177" s="4" t="n"/>
    </row>
    <row r="178" ht="15.75" customHeight="1" s="40">
      <c r="A178" s="4" t="n"/>
      <c r="B178" s="4" t="n"/>
      <c r="C178" s="4" t="n"/>
      <c r="D178" s="4" t="n"/>
      <c r="E178" s="4" t="n"/>
    </row>
    <row r="179" ht="15.75" customHeight="1" s="40">
      <c r="A179" s="4" t="n"/>
      <c r="B179" s="4" t="n"/>
      <c r="C179" s="4" t="n"/>
      <c r="D179" s="4" t="n"/>
      <c r="E179" s="4" t="n"/>
    </row>
    <row r="180" ht="15.75" customHeight="1" s="40">
      <c r="A180" s="4" t="n"/>
      <c r="B180" s="4" t="n"/>
      <c r="C180" s="4" t="n"/>
      <c r="D180" s="4" t="n"/>
      <c r="E180" s="4" t="n"/>
    </row>
    <row r="181" ht="15.75" customHeight="1" s="40">
      <c r="A181" s="4" t="n"/>
      <c r="B181" s="4" t="n"/>
      <c r="C181" s="4" t="n"/>
      <c r="D181" s="4" t="n"/>
      <c r="E181" s="4" t="n"/>
    </row>
    <row r="182" ht="15.75" customHeight="1" s="40">
      <c r="A182" s="4" t="n"/>
      <c r="B182" s="4" t="n"/>
      <c r="C182" s="4" t="n"/>
      <c r="D182" s="4" t="n"/>
      <c r="E182" s="4" t="n"/>
    </row>
    <row r="183" ht="15.75" customHeight="1" s="40">
      <c r="A183" s="4" t="n"/>
      <c r="B183" s="4" t="n"/>
      <c r="C183" s="4" t="n"/>
      <c r="D183" s="4" t="n"/>
      <c r="E183" s="4" t="n"/>
    </row>
    <row r="184" ht="15.75" customHeight="1" s="40">
      <c r="A184" s="4" t="n"/>
      <c r="B184" s="4" t="n"/>
      <c r="C184" s="4" t="n"/>
      <c r="D184" s="4" t="n"/>
      <c r="E184" s="4" t="n"/>
    </row>
    <row r="185" ht="15.75" customHeight="1" s="40">
      <c r="A185" s="4" t="n"/>
      <c r="B185" s="4" t="n"/>
      <c r="C185" s="4" t="n"/>
      <c r="D185" s="4" t="n"/>
      <c r="E185" s="4" t="n"/>
    </row>
    <row r="186" ht="15.75" customHeight="1" s="40">
      <c r="A186" s="4" t="n"/>
      <c r="B186" s="4" t="n"/>
      <c r="C186" s="4" t="n"/>
      <c r="D186" s="4" t="n"/>
      <c r="E186" s="4" t="n"/>
    </row>
    <row r="187" ht="15.75" customHeight="1" s="40">
      <c r="A187" s="4" t="n"/>
      <c r="B187" s="4" t="n"/>
      <c r="C187" s="4" t="n"/>
      <c r="D187" s="4" t="n"/>
      <c r="E187" s="4" t="n"/>
    </row>
    <row r="188" ht="15.75" customHeight="1" s="40">
      <c r="A188" s="4" t="n"/>
      <c r="B188" s="4" t="n"/>
      <c r="C188" s="4" t="n"/>
      <c r="D188" s="4" t="n"/>
      <c r="E188" s="4" t="n"/>
    </row>
    <row r="189" ht="15.75" customHeight="1" s="40">
      <c r="A189" s="4" t="n"/>
      <c r="B189" s="4" t="n"/>
      <c r="C189" s="4" t="n"/>
      <c r="D189" s="4" t="n"/>
      <c r="E189" s="4" t="n"/>
    </row>
    <row r="190" ht="15.75" customHeight="1" s="40">
      <c r="A190" s="4" t="n"/>
      <c r="B190" s="4" t="n"/>
      <c r="C190" s="4" t="n"/>
      <c r="D190" s="4" t="n"/>
      <c r="E190" s="4" t="n"/>
    </row>
    <row r="191" ht="15.75" customHeight="1" s="40">
      <c r="A191" s="4" t="n"/>
      <c r="B191" s="4" t="n"/>
      <c r="C191" s="4" t="n"/>
      <c r="D191" s="4" t="n"/>
      <c r="E191" s="4" t="n"/>
    </row>
    <row r="192" ht="15.75" customHeight="1" s="40">
      <c r="A192" s="4" t="n"/>
      <c r="B192" s="4" t="n"/>
      <c r="C192" s="4" t="n"/>
      <c r="D192" s="4" t="n"/>
      <c r="E192" s="4" t="n"/>
    </row>
    <row r="193" ht="15.75" customHeight="1" s="40">
      <c r="A193" s="4" t="n"/>
      <c r="B193" s="4" t="n"/>
      <c r="C193" s="4" t="n"/>
      <c r="D193" s="4" t="n"/>
      <c r="E193" s="4" t="n"/>
    </row>
    <row r="194" ht="15.75" customHeight="1" s="40">
      <c r="A194" s="4" t="n"/>
      <c r="B194" s="4" t="n"/>
      <c r="C194" s="4" t="n"/>
      <c r="D194" s="4" t="n"/>
      <c r="E194" s="4" t="n"/>
    </row>
    <row r="195" ht="15.75" customHeight="1" s="40">
      <c r="A195" s="4" t="n"/>
      <c r="B195" s="4" t="n"/>
      <c r="C195" s="4" t="n"/>
      <c r="D195" s="4" t="n"/>
      <c r="E195" s="4" t="n"/>
    </row>
    <row r="196" ht="15.75" customHeight="1" s="40">
      <c r="A196" s="4" t="n"/>
      <c r="B196" s="4" t="n"/>
      <c r="C196" s="4" t="n"/>
      <c r="D196" s="4" t="n"/>
      <c r="E196" s="4" t="n"/>
    </row>
    <row r="197" ht="15.75" customHeight="1" s="40">
      <c r="A197" s="4" t="n"/>
      <c r="B197" s="4" t="n"/>
      <c r="C197" s="4" t="n"/>
      <c r="D197" s="4" t="n"/>
      <c r="E197" s="4" t="n"/>
    </row>
    <row r="198" ht="15.75" customHeight="1" s="40">
      <c r="A198" s="4" t="n"/>
      <c r="B198" s="4" t="n"/>
      <c r="C198" s="4" t="n"/>
      <c r="D198" s="4" t="n"/>
      <c r="E198" s="4" t="n"/>
    </row>
    <row r="199" ht="15.75" customHeight="1" s="40">
      <c r="A199" s="4" t="n"/>
      <c r="B199" s="4" t="n"/>
      <c r="C199" s="4" t="n"/>
      <c r="D199" s="4" t="n"/>
      <c r="E199" s="4" t="n"/>
    </row>
    <row r="200" ht="15.75" customHeight="1" s="40">
      <c r="A200" s="4" t="n"/>
      <c r="B200" s="4" t="n"/>
      <c r="C200" s="4" t="n"/>
      <c r="D200" s="4" t="n"/>
      <c r="E200" s="4" t="n"/>
    </row>
    <row r="201" ht="15.75" customHeight="1" s="40">
      <c r="A201" s="4" t="n"/>
      <c r="B201" s="4" t="n"/>
      <c r="C201" s="4" t="n"/>
      <c r="D201" s="4" t="n"/>
      <c r="E201" s="4" t="n"/>
    </row>
    <row r="202" ht="15.75" customHeight="1" s="40">
      <c r="A202" s="4" t="n"/>
      <c r="B202" s="4" t="n"/>
      <c r="C202" s="4" t="n"/>
      <c r="D202" s="4" t="n"/>
      <c r="E202" s="4" t="n"/>
    </row>
    <row r="203" ht="15.75" customHeight="1" s="40">
      <c r="A203" s="4" t="n"/>
      <c r="B203" s="4" t="n"/>
      <c r="C203" s="4" t="n"/>
      <c r="D203" s="4" t="n"/>
      <c r="E203" s="4" t="n"/>
    </row>
    <row r="204" ht="15.75" customHeight="1" s="40">
      <c r="A204" s="4" t="n"/>
      <c r="B204" s="4" t="n"/>
      <c r="C204" s="4" t="n"/>
      <c r="D204" s="4" t="n"/>
      <c r="E204" s="4" t="n"/>
    </row>
    <row r="205" ht="15.75" customHeight="1" s="40">
      <c r="A205" s="4" t="n"/>
      <c r="B205" s="4" t="n"/>
      <c r="C205" s="4" t="n"/>
      <c r="D205" s="4" t="n"/>
      <c r="E205" s="4" t="n"/>
    </row>
    <row r="206" ht="15.75" customHeight="1" s="40">
      <c r="A206" s="4" t="n"/>
      <c r="B206" s="4" t="n"/>
      <c r="C206" s="4" t="n"/>
      <c r="D206" s="4" t="n"/>
      <c r="E206" s="4" t="n"/>
    </row>
    <row r="207" ht="15.75" customHeight="1" s="40">
      <c r="A207" s="4" t="n"/>
      <c r="B207" s="4" t="n"/>
      <c r="C207" s="4" t="n"/>
      <c r="D207" s="4" t="n"/>
      <c r="E207" s="4" t="n"/>
    </row>
    <row r="208" ht="15.75" customHeight="1" s="40">
      <c r="A208" s="4" t="n"/>
      <c r="B208" s="4" t="n"/>
      <c r="C208" s="4" t="n"/>
      <c r="D208" s="4" t="n"/>
      <c r="E208" s="4" t="n"/>
    </row>
    <row r="209" ht="15.75" customHeight="1" s="40">
      <c r="A209" s="4" t="n"/>
      <c r="B209" s="4" t="n"/>
      <c r="C209" s="4" t="n"/>
      <c r="D209" s="4" t="n"/>
      <c r="E209" s="4" t="n"/>
    </row>
    <row r="210" ht="15.75" customHeight="1" s="40">
      <c r="A210" s="4" t="n"/>
      <c r="B210" s="4" t="n"/>
      <c r="C210" s="4" t="n"/>
      <c r="D210" s="4" t="n"/>
      <c r="E210" s="4" t="n"/>
    </row>
    <row r="211" ht="15.75" customHeight="1" s="40">
      <c r="A211" s="4" t="n"/>
      <c r="B211" s="4" t="n"/>
      <c r="C211" s="4" t="n"/>
      <c r="D211" s="4" t="n"/>
      <c r="E211" s="4" t="n"/>
    </row>
    <row r="212" ht="15.75" customHeight="1" s="40">
      <c r="A212" s="4" t="n"/>
      <c r="B212" s="4" t="n"/>
      <c r="C212" s="4" t="n"/>
      <c r="D212" s="4" t="n"/>
      <c r="E212" s="4" t="n"/>
    </row>
    <row r="213" ht="15.75" customHeight="1" s="40">
      <c r="A213" s="4" t="n"/>
      <c r="B213" s="4" t="n"/>
      <c r="C213" s="4" t="n"/>
      <c r="D213" s="4" t="n"/>
      <c r="E213" s="4" t="n"/>
    </row>
    <row r="214" ht="15.75" customHeight="1" s="40">
      <c r="A214" s="4" t="n"/>
      <c r="B214" s="4" t="n"/>
      <c r="C214" s="4" t="n"/>
      <c r="D214" s="4" t="n"/>
      <c r="E214" s="4" t="n"/>
    </row>
    <row r="215" ht="15.75" customHeight="1" s="40">
      <c r="A215" s="4" t="n"/>
      <c r="B215" s="4" t="n"/>
      <c r="C215" s="4" t="n"/>
      <c r="D215" s="4" t="n"/>
      <c r="E215" s="4" t="n"/>
    </row>
    <row r="216" ht="15.75" customHeight="1" s="40">
      <c r="A216" s="4" t="n"/>
      <c r="B216" s="4" t="n"/>
      <c r="C216" s="4" t="n"/>
      <c r="D216" s="4" t="n"/>
      <c r="E216" s="4" t="n"/>
    </row>
    <row r="217" ht="15.75" customHeight="1" s="40">
      <c r="A217" s="4" t="n"/>
      <c r="B217" s="4" t="n"/>
      <c r="C217" s="4" t="n"/>
      <c r="D217" s="4" t="n"/>
      <c r="E217" s="4" t="n"/>
    </row>
    <row r="218" ht="15.75" customHeight="1" s="40">
      <c r="A218" s="4" t="n"/>
      <c r="B218" s="4" t="n"/>
      <c r="C218" s="4" t="n"/>
      <c r="D218" s="4" t="n"/>
      <c r="E218" s="4" t="n"/>
    </row>
    <row r="219" ht="15.75" customHeight="1" s="40">
      <c r="A219" s="4" t="n"/>
      <c r="B219" s="4" t="n"/>
      <c r="C219" s="4" t="n"/>
      <c r="D219" s="4" t="n"/>
      <c r="E219" s="4" t="n"/>
    </row>
    <row r="220" ht="15.75" customHeight="1" s="40">
      <c r="A220" s="4" t="n"/>
      <c r="B220" s="4" t="n"/>
      <c r="C220" s="4" t="n"/>
      <c r="D220" s="4" t="n"/>
      <c r="E220" s="4" t="n"/>
    </row>
    <row r="221" ht="15.75" customHeight="1" s="40">
      <c r="A221" s="4" t="n"/>
      <c r="B221" s="4" t="n"/>
      <c r="C221" s="4" t="n"/>
      <c r="D221" s="4" t="n"/>
      <c r="E221" s="4" t="n"/>
    </row>
    <row r="222" ht="15.75" customHeight="1" s="40">
      <c r="A222" s="4" t="n"/>
      <c r="B222" s="4" t="n"/>
      <c r="C222" s="4" t="n"/>
      <c r="D222" s="4" t="n"/>
      <c r="E222" s="4" t="n"/>
    </row>
    <row r="223" ht="15.75" customHeight="1" s="40">
      <c r="A223" s="4" t="n"/>
      <c r="B223" s="4" t="n"/>
      <c r="C223" s="4" t="n"/>
      <c r="D223" s="4" t="n"/>
      <c r="E223" s="4" t="n"/>
    </row>
    <row r="224" ht="15.75" customHeight="1" s="40">
      <c r="A224" s="4" t="n"/>
      <c r="B224" s="4" t="n"/>
      <c r="C224" s="4" t="n"/>
      <c r="D224" s="4" t="n"/>
      <c r="E224" s="4" t="n"/>
    </row>
    <row r="225" ht="15.75" customHeight="1" s="40">
      <c r="A225" s="4" t="n"/>
      <c r="B225" s="4" t="n"/>
      <c r="C225" s="4" t="n"/>
      <c r="D225" s="4" t="n"/>
      <c r="E225" s="4" t="n"/>
    </row>
    <row r="226" ht="15.75" customHeight="1" s="40">
      <c r="A226" s="4" t="n"/>
      <c r="B226" s="4" t="n"/>
      <c r="C226" s="4" t="n"/>
      <c r="D226" s="4" t="n"/>
      <c r="E226" s="4" t="n"/>
    </row>
    <row r="227" ht="15.75" customHeight="1" s="40">
      <c r="A227" s="4" t="n"/>
      <c r="B227" s="4" t="n"/>
      <c r="C227" s="4" t="n"/>
      <c r="D227" s="4" t="n"/>
      <c r="E227" s="4" t="n"/>
    </row>
    <row r="228" ht="15.75" customHeight="1" s="40">
      <c r="A228" s="4" t="n"/>
      <c r="B228" s="4" t="n"/>
      <c r="C228" s="4" t="n"/>
      <c r="D228" s="4" t="n"/>
      <c r="E228" s="4" t="n"/>
    </row>
    <row r="229" ht="15.75" customHeight="1" s="40">
      <c r="A229" s="4" t="n"/>
      <c r="B229" s="4" t="n"/>
      <c r="C229" s="4" t="n"/>
      <c r="D229" s="4" t="n"/>
      <c r="E229" s="4" t="n"/>
    </row>
    <row r="230" ht="15.75" customHeight="1" s="40">
      <c r="A230" s="4" t="n"/>
      <c r="B230" s="4" t="n"/>
      <c r="C230" s="4" t="n"/>
      <c r="D230" s="4" t="n"/>
      <c r="E230" s="4" t="n"/>
    </row>
    <row r="231" ht="15.75" customHeight="1" s="40">
      <c r="A231" s="4" t="n"/>
      <c r="B231" s="4" t="n"/>
      <c r="C231" s="4" t="n"/>
      <c r="D231" s="4" t="n"/>
      <c r="E231" s="4" t="n"/>
    </row>
    <row r="232" ht="15.75" customHeight="1" s="40">
      <c r="A232" s="4" t="n"/>
      <c r="B232" s="4" t="n"/>
      <c r="C232" s="4" t="n"/>
      <c r="D232" s="4" t="n"/>
      <c r="E232" s="4" t="n"/>
    </row>
    <row r="233" ht="15.75" customHeight="1" s="40">
      <c r="A233" s="4" t="n"/>
      <c r="B233" s="4" t="n"/>
      <c r="C233" s="4" t="n"/>
      <c r="D233" s="4" t="n"/>
      <c r="E233" s="4" t="n"/>
    </row>
    <row r="234" ht="15.75" customHeight="1" s="40">
      <c r="A234" s="4" t="n"/>
      <c r="B234" s="4" t="n"/>
      <c r="C234" s="4" t="n"/>
      <c r="D234" s="4" t="n"/>
      <c r="E234" s="4" t="n"/>
    </row>
    <row r="235" ht="15.75" customHeight="1" s="40">
      <c r="A235" s="4" t="n"/>
      <c r="B235" s="4" t="n"/>
      <c r="C235" s="4" t="n"/>
      <c r="D235" s="4" t="n"/>
      <c r="E235" s="4" t="n"/>
    </row>
    <row r="236" ht="15.75" customHeight="1" s="40">
      <c r="A236" s="4" t="n"/>
      <c r="B236" s="4" t="n"/>
      <c r="C236" s="4" t="n"/>
      <c r="D236" s="4" t="n"/>
      <c r="E236" s="4" t="n"/>
    </row>
    <row r="237" ht="15.75" customHeight="1" s="40">
      <c r="A237" s="4" t="n"/>
      <c r="B237" s="4" t="n"/>
      <c r="C237" s="4" t="n"/>
      <c r="D237" s="4" t="n"/>
      <c r="E237" s="4" t="n"/>
    </row>
    <row r="238" ht="15.75" customHeight="1" s="40">
      <c r="A238" s="4" t="n"/>
      <c r="B238" s="4" t="n"/>
      <c r="C238" s="4" t="n"/>
      <c r="D238" s="4" t="n"/>
      <c r="E238" s="4" t="n"/>
    </row>
    <row r="239" ht="15.75" customHeight="1" s="40">
      <c r="A239" s="4" t="n"/>
      <c r="B239" s="4" t="n"/>
      <c r="C239" s="4" t="n"/>
      <c r="D239" s="4" t="n"/>
      <c r="E239" s="4" t="n"/>
    </row>
    <row r="240" ht="15.75" customHeight="1" s="40">
      <c r="A240" s="4" t="n"/>
      <c r="B240" s="4" t="n"/>
      <c r="C240" s="4" t="n"/>
      <c r="D240" s="4" t="n"/>
      <c r="E240" s="4" t="n"/>
    </row>
    <row r="241" ht="15.75" customHeight="1" s="40">
      <c r="A241" s="4" t="n"/>
      <c r="B241" s="4" t="n"/>
      <c r="C241" s="4" t="n"/>
      <c r="D241" s="4" t="n"/>
      <c r="E241" s="4" t="n"/>
    </row>
    <row r="242" ht="15.75" customHeight="1" s="40">
      <c r="A242" s="4" t="n"/>
      <c r="B242" s="4" t="n"/>
      <c r="C242" s="4" t="n"/>
      <c r="D242" s="4" t="n"/>
      <c r="E242" s="4" t="n"/>
    </row>
    <row r="243" ht="15.75" customHeight="1" s="40">
      <c r="A243" s="4" t="n"/>
      <c r="B243" s="4" t="n"/>
      <c r="C243" s="4" t="n"/>
      <c r="D243" s="4" t="n"/>
      <c r="E243" s="4" t="n"/>
    </row>
    <row r="244" ht="15.75" customHeight="1" s="40">
      <c r="A244" s="4" t="n"/>
      <c r="B244" s="4" t="n"/>
      <c r="C244" s="4" t="n"/>
      <c r="D244" s="4" t="n"/>
      <c r="E244" s="4" t="n"/>
    </row>
    <row r="245" ht="15.75" customHeight="1" s="40">
      <c r="A245" s="4" t="n"/>
      <c r="B245" s="4" t="n"/>
      <c r="C245" s="4" t="n"/>
      <c r="D245" s="4" t="n"/>
      <c r="E245" s="4" t="n"/>
    </row>
    <row r="246" ht="15.75" customHeight="1" s="40">
      <c r="A246" s="4" t="n"/>
      <c r="B246" s="4" t="n"/>
      <c r="C246" s="4" t="n"/>
      <c r="D246" s="4" t="n"/>
      <c r="E246" s="4" t="n"/>
    </row>
    <row r="247" ht="15.75" customHeight="1" s="40">
      <c r="A247" s="4" t="n"/>
      <c r="B247" s="4" t="n"/>
      <c r="C247" s="4" t="n"/>
      <c r="D247" s="4" t="n"/>
      <c r="E247" s="4" t="n"/>
    </row>
    <row r="248" ht="15.75" customHeight="1" s="40">
      <c r="A248" s="4" t="n"/>
      <c r="B248" s="4" t="n"/>
      <c r="C248" s="4" t="n"/>
      <c r="D248" s="4" t="n"/>
      <c r="E248" s="4" t="n"/>
    </row>
    <row r="249" ht="15.75" customHeight="1" s="40">
      <c r="A249" s="4" t="n"/>
      <c r="B249" s="4" t="n"/>
      <c r="C249" s="4" t="n"/>
      <c r="D249" s="4" t="n"/>
      <c r="E249" s="4" t="n"/>
    </row>
    <row r="250" ht="15.75" customHeight="1" s="40">
      <c r="A250" s="4" t="n"/>
      <c r="B250" s="4" t="n"/>
      <c r="C250" s="4" t="n"/>
      <c r="D250" s="4" t="n"/>
      <c r="E250" s="4" t="n"/>
    </row>
    <row r="251" ht="15.75" customHeight="1" s="40">
      <c r="A251" s="4" t="n"/>
      <c r="B251" s="4" t="n"/>
      <c r="C251" s="4" t="n"/>
      <c r="D251" s="4" t="n"/>
      <c r="E251" s="4" t="n"/>
    </row>
    <row r="252" ht="15.75" customHeight="1" s="40">
      <c r="A252" s="4" t="n"/>
      <c r="B252" s="4" t="n"/>
      <c r="C252" s="4" t="n"/>
      <c r="D252" s="4" t="n"/>
      <c r="E252" s="4" t="n"/>
    </row>
    <row r="253" ht="15.75" customHeight="1" s="40">
      <c r="A253" s="4" t="n"/>
      <c r="B253" s="4" t="n"/>
      <c r="C253" s="4" t="n"/>
      <c r="D253" s="4" t="n"/>
      <c r="E253" s="4" t="n"/>
    </row>
    <row r="254" ht="15.75" customHeight="1" s="40">
      <c r="A254" s="4" t="n"/>
      <c r="B254" s="4" t="n"/>
      <c r="C254" s="4" t="n"/>
      <c r="D254" s="4" t="n"/>
      <c r="E254" s="4" t="n"/>
    </row>
    <row r="255" ht="15.75" customHeight="1" s="40">
      <c r="A255" s="4" t="n"/>
      <c r="B255" s="4" t="n"/>
      <c r="C255" s="4" t="n"/>
      <c r="D255" s="4" t="n"/>
      <c r="E255" s="4" t="n"/>
    </row>
    <row r="256" ht="15.75" customHeight="1" s="40">
      <c r="A256" s="4" t="n"/>
      <c r="B256" s="4" t="n"/>
      <c r="C256" s="4" t="n"/>
      <c r="D256" s="4" t="n"/>
      <c r="E256" s="4" t="n"/>
    </row>
    <row r="257" ht="15.75" customHeight="1" s="40">
      <c r="A257" s="4" t="n"/>
      <c r="B257" s="4" t="n"/>
      <c r="C257" s="4" t="n"/>
      <c r="D257" s="4" t="n"/>
      <c r="E257" s="4" t="n"/>
    </row>
    <row r="258" ht="15.75" customHeight="1" s="40">
      <c r="A258" s="4" t="n"/>
      <c r="B258" s="4" t="n"/>
      <c r="C258" s="4" t="n"/>
      <c r="D258" s="4" t="n"/>
      <c r="E258" s="4" t="n"/>
    </row>
    <row r="259" ht="15.75" customHeight="1" s="40">
      <c r="A259" s="4" t="n"/>
      <c r="B259" s="4" t="n"/>
      <c r="C259" s="4" t="n"/>
      <c r="D259" s="4" t="n"/>
      <c r="E259" s="4" t="n"/>
    </row>
    <row r="260" ht="15.75" customHeight="1" s="40">
      <c r="A260" s="4" t="n"/>
      <c r="B260" s="4" t="n"/>
      <c r="C260" s="4" t="n"/>
      <c r="D260" s="4" t="n"/>
      <c r="E260" s="4" t="n"/>
    </row>
    <row r="261" ht="15.75" customHeight="1" s="40">
      <c r="A261" s="4" t="n"/>
      <c r="B261" s="4" t="n"/>
      <c r="C261" s="4" t="n"/>
      <c r="D261" s="4" t="n"/>
      <c r="E261" s="4" t="n"/>
    </row>
    <row r="262" ht="15.75" customHeight="1" s="40">
      <c r="A262" s="4" t="n"/>
      <c r="B262" s="4" t="n"/>
      <c r="C262" s="4" t="n"/>
      <c r="D262" s="4" t="n"/>
      <c r="E262" s="4" t="n"/>
    </row>
    <row r="263" ht="15.75" customHeight="1" s="40">
      <c r="A263" s="4" t="n"/>
      <c r="B263" s="4" t="n"/>
      <c r="C263" s="4" t="n"/>
      <c r="D263" s="4" t="n"/>
      <c r="E263" s="4" t="n"/>
    </row>
    <row r="264" ht="15.75" customHeight="1" s="40">
      <c r="A264" s="4" t="n"/>
      <c r="B264" s="4" t="n"/>
      <c r="C264" s="4" t="n"/>
      <c r="D264" s="4" t="n"/>
      <c r="E264" s="4" t="n"/>
    </row>
    <row r="265" ht="15.75" customHeight="1" s="40">
      <c r="A265" s="4" t="n"/>
      <c r="B265" s="4" t="n"/>
      <c r="C265" s="4" t="n"/>
      <c r="D265" s="4" t="n"/>
      <c r="E265" s="4" t="n"/>
    </row>
    <row r="266" ht="15.75" customHeight="1" s="40">
      <c r="A266" s="4" t="n"/>
      <c r="B266" s="4" t="n"/>
      <c r="C266" s="4" t="n"/>
      <c r="D266" s="4" t="n"/>
      <c r="E266" s="4" t="n"/>
    </row>
    <row r="267" ht="15.75" customHeight="1" s="40">
      <c r="A267" s="4" t="n"/>
      <c r="B267" s="4" t="n"/>
      <c r="C267" s="4" t="n"/>
      <c r="D267" s="4" t="n"/>
      <c r="E267" s="4" t="n"/>
    </row>
    <row r="268" ht="15.75" customHeight="1" s="40">
      <c r="A268" s="4" t="n"/>
      <c r="B268" s="4" t="n"/>
      <c r="C268" s="4" t="n"/>
      <c r="D268" s="4" t="n"/>
      <c r="E268" s="4" t="n"/>
    </row>
    <row r="269" ht="15.75" customHeight="1" s="40">
      <c r="A269" s="4" t="n"/>
      <c r="B269" s="4" t="n"/>
      <c r="C269" s="4" t="n"/>
      <c r="D269" s="4" t="n"/>
      <c r="E269" s="4" t="n"/>
    </row>
    <row r="270" ht="15.75" customHeight="1" s="40">
      <c r="A270" s="4" t="n"/>
      <c r="B270" s="4" t="n"/>
      <c r="C270" s="4" t="n"/>
      <c r="D270" s="4" t="n"/>
      <c r="E270" s="4" t="n"/>
    </row>
    <row r="271" ht="15.75" customHeight="1" s="40">
      <c r="A271" s="4" t="n"/>
      <c r="B271" s="4" t="n"/>
      <c r="C271" s="4" t="n"/>
      <c r="D271" s="4" t="n"/>
      <c r="E271" s="4" t="n"/>
    </row>
    <row r="272" ht="15.75" customHeight="1" s="40">
      <c r="A272" s="4" t="n"/>
      <c r="B272" s="4" t="n"/>
      <c r="C272" s="4" t="n"/>
      <c r="D272" s="4" t="n"/>
      <c r="E272" s="4" t="n"/>
    </row>
    <row r="273" ht="15.75" customHeight="1" s="40">
      <c r="A273" s="4" t="n"/>
      <c r="B273" s="4" t="n"/>
      <c r="C273" s="4" t="n"/>
      <c r="D273" s="4" t="n"/>
      <c r="E273" s="4" t="n"/>
    </row>
    <row r="274" ht="15.75" customHeight="1" s="40">
      <c r="A274" s="4" t="n"/>
      <c r="B274" s="4" t="n"/>
      <c r="C274" s="4" t="n"/>
      <c r="D274" s="4" t="n"/>
      <c r="E274" s="4" t="n"/>
    </row>
    <row r="275" ht="15.75" customHeight="1" s="40">
      <c r="A275" s="4" t="n"/>
      <c r="B275" s="4" t="n"/>
      <c r="C275" s="4" t="n"/>
      <c r="D275" s="4" t="n"/>
      <c r="E275" s="4" t="n"/>
    </row>
    <row r="276" ht="15.75" customHeight="1" s="40">
      <c r="A276" s="4" t="n"/>
      <c r="B276" s="4" t="n"/>
      <c r="C276" s="4" t="n"/>
      <c r="D276" s="4" t="n"/>
      <c r="E276" s="4" t="n"/>
    </row>
    <row r="277" ht="15.75" customHeight="1" s="40">
      <c r="A277" s="4" t="n"/>
      <c r="B277" s="4" t="n"/>
      <c r="C277" s="4" t="n"/>
      <c r="D277" s="4" t="n"/>
      <c r="E277" s="4" t="n"/>
    </row>
    <row r="278" ht="15.75" customHeight="1" s="40">
      <c r="A278" s="4" t="n"/>
      <c r="B278" s="4" t="n"/>
      <c r="C278" s="4" t="n"/>
      <c r="D278" s="4" t="n"/>
      <c r="E278" s="4" t="n"/>
    </row>
    <row r="279" ht="15.75" customHeight="1" s="40">
      <c r="A279" s="4" t="n"/>
      <c r="B279" s="4" t="n"/>
      <c r="C279" s="4" t="n"/>
      <c r="D279" s="4" t="n"/>
      <c r="E279" s="4" t="n"/>
    </row>
    <row r="280" ht="15.75" customHeight="1" s="40">
      <c r="A280" s="4" t="n"/>
      <c r="B280" s="4" t="n"/>
      <c r="C280" s="4" t="n"/>
      <c r="D280" s="4" t="n"/>
      <c r="E280" s="4" t="n"/>
    </row>
    <row r="281" ht="15.75" customHeight="1" s="40">
      <c r="A281" s="4" t="n"/>
      <c r="B281" s="4" t="n"/>
      <c r="C281" s="4" t="n"/>
      <c r="D281" s="4" t="n"/>
      <c r="E281" s="4" t="n"/>
    </row>
    <row r="282" ht="15.75" customHeight="1" s="40">
      <c r="A282" s="4" t="n"/>
      <c r="B282" s="4" t="n"/>
      <c r="C282" s="4" t="n"/>
      <c r="D282" s="4" t="n"/>
      <c r="E282" s="4" t="n"/>
    </row>
    <row r="283" ht="15.75" customHeight="1" s="40">
      <c r="A283" s="4" t="n"/>
      <c r="B283" s="4" t="n"/>
      <c r="C283" s="4" t="n"/>
      <c r="D283" s="4" t="n"/>
      <c r="E283" s="4" t="n"/>
    </row>
    <row r="284" ht="15.75" customHeight="1" s="40">
      <c r="A284" s="4" t="n"/>
      <c r="B284" s="4" t="n"/>
      <c r="C284" s="4" t="n"/>
      <c r="D284" s="4" t="n"/>
      <c r="E284" s="4" t="n"/>
    </row>
    <row r="285" ht="15.75" customHeight="1" s="40">
      <c r="A285" s="4" t="n"/>
      <c r="B285" s="4" t="n"/>
      <c r="C285" s="4" t="n"/>
      <c r="D285" s="4" t="n"/>
      <c r="E285" s="4" t="n"/>
    </row>
    <row r="286" ht="15.75" customHeight="1" s="40">
      <c r="A286" s="4" t="n"/>
      <c r="B286" s="4" t="n"/>
      <c r="C286" s="4" t="n"/>
      <c r="D286" s="4" t="n"/>
      <c r="E286" s="4" t="n"/>
    </row>
    <row r="287" ht="15.75" customHeight="1" s="40">
      <c r="A287" s="4" t="n"/>
      <c r="B287" s="4" t="n"/>
      <c r="C287" s="4" t="n"/>
      <c r="D287" s="4" t="n"/>
      <c r="E287" s="4" t="n"/>
    </row>
    <row r="288" ht="15.75" customHeight="1" s="40">
      <c r="A288" s="4" t="n"/>
      <c r="B288" s="4" t="n"/>
      <c r="C288" s="4" t="n"/>
      <c r="D288" s="4" t="n"/>
      <c r="E288" s="4" t="n"/>
    </row>
    <row r="289" ht="15.75" customHeight="1" s="40">
      <c r="A289" s="4" t="n"/>
      <c r="B289" s="4" t="n"/>
      <c r="C289" s="4" t="n"/>
      <c r="D289" s="4" t="n"/>
      <c r="E289" s="4" t="n"/>
    </row>
    <row r="290" ht="15.75" customHeight="1" s="40">
      <c r="A290" s="4" t="n"/>
      <c r="B290" s="4" t="n"/>
      <c r="C290" s="4" t="n"/>
      <c r="D290" s="4" t="n"/>
      <c r="E290" s="4" t="n"/>
    </row>
    <row r="291" ht="15.75" customHeight="1" s="40">
      <c r="A291" s="4" t="n"/>
      <c r="B291" s="4" t="n"/>
      <c r="C291" s="4" t="n"/>
      <c r="D291" s="4" t="n"/>
      <c r="E291" s="4" t="n"/>
    </row>
    <row r="292" ht="15.75" customHeight="1" s="40">
      <c r="A292" s="4" t="n"/>
      <c r="B292" s="4" t="n"/>
      <c r="C292" s="4" t="n"/>
      <c r="D292" s="4" t="n"/>
      <c r="E292" s="4" t="n"/>
    </row>
    <row r="293" ht="15.75" customHeight="1" s="40">
      <c r="A293" s="4" t="n"/>
      <c r="B293" s="4" t="n"/>
      <c r="C293" s="4" t="n"/>
      <c r="D293" s="4" t="n"/>
      <c r="E293" s="4" t="n"/>
    </row>
    <row r="294" ht="15.75" customHeight="1" s="40">
      <c r="A294" s="4" t="n"/>
      <c r="B294" s="4" t="n"/>
      <c r="C294" s="4" t="n"/>
      <c r="D294" s="4" t="n"/>
      <c r="E294" s="4" t="n"/>
    </row>
    <row r="295" ht="15.75" customHeight="1" s="40">
      <c r="A295" s="4" t="n"/>
      <c r="B295" s="4" t="n"/>
      <c r="C295" s="4" t="n"/>
      <c r="D295" s="4" t="n"/>
      <c r="E295" s="4" t="n"/>
    </row>
    <row r="296" ht="15.75" customHeight="1" s="40">
      <c r="A296" s="4" t="n"/>
      <c r="B296" s="4" t="n"/>
      <c r="C296" s="4" t="n"/>
      <c r="D296" s="4" t="n"/>
      <c r="E296" s="4" t="n"/>
    </row>
    <row r="297" ht="15.75" customHeight="1" s="40">
      <c r="A297" s="4" t="n"/>
      <c r="B297" s="4" t="n"/>
      <c r="C297" s="4" t="n"/>
      <c r="D297" s="4" t="n"/>
      <c r="E297" s="4" t="n"/>
    </row>
    <row r="298" ht="15.75" customHeight="1" s="40">
      <c r="A298" s="4" t="n"/>
      <c r="B298" s="4" t="n"/>
      <c r="C298" s="4" t="n"/>
      <c r="D298" s="4" t="n"/>
      <c r="E298" s="4" t="n"/>
    </row>
    <row r="299" ht="15.75" customHeight="1" s="40">
      <c r="A299" s="4" t="n"/>
      <c r="B299" s="4" t="n"/>
      <c r="C299" s="4" t="n"/>
      <c r="D299" s="4" t="n"/>
      <c r="E299" s="4" t="n"/>
    </row>
    <row r="300" ht="15.75" customHeight="1" s="40">
      <c r="A300" s="4" t="n"/>
      <c r="B300" s="4" t="n"/>
      <c r="C300" s="4" t="n"/>
      <c r="D300" s="4" t="n"/>
      <c r="E300" s="4" t="n"/>
    </row>
    <row r="301" ht="15.75" customHeight="1" s="40">
      <c r="A301" s="4" t="n"/>
      <c r="B301" s="4" t="n"/>
      <c r="C301" s="4" t="n"/>
      <c r="D301" s="4" t="n"/>
      <c r="E301" s="4" t="n"/>
    </row>
    <row r="302" ht="15.75" customHeight="1" s="40">
      <c r="A302" s="4" t="n"/>
      <c r="B302" s="4" t="n"/>
      <c r="C302" s="4" t="n"/>
      <c r="D302" s="4" t="n"/>
      <c r="E302" s="4" t="n"/>
    </row>
    <row r="303" ht="15.75" customHeight="1" s="40">
      <c r="A303" s="4" t="n"/>
      <c r="B303" s="4" t="n"/>
      <c r="C303" s="4" t="n"/>
      <c r="D303" s="4" t="n"/>
      <c r="E303" s="4" t="n"/>
    </row>
    <row r="304" ht="15.75" customHeight="1" s="40">
      <c r="A304" s="4" t="n"/>
      <c r="B304" s="4" t="n"/>
      <c r="C304" s="4" t="n"/>
      <c r="D304" s="4" t="n"/>
      <c r="E304" s="4" t="n"/>
    </row>
    <row r="305" ht="15.75" customHeight="1" s="40">
      <c r="A305" s="4" t="n"/>
      <c r="B305" s="4" t="n"/>
      <c r="C305" s="4" t="n"/>
      <c r="D305" s="4" t="n"/>
      <c r="E305" s="4" t="n"/>
    </row>
    <row r="306" ht="15.75" customHeight="1" s="40">
      <c r="A306" s="4" t="n"/>
      <c r="B306" s="4" t="n"/>
      <c r="C306" s="4" t="n"/>
      <c r="D306" s="4" t="n"/>
      <c r="E306" s="4" t="n"/>
    </row>
    <row r="307" ht="15.75" customHeight="1" s="40">
      <c r="A307" s="4" t="n"/>
      <c r="B307" s="4" t="n"/>
      <c r="C307" s="4" t="n"/>
      <c r="D307" s="4" t="n"/>
      <c r="E307" s="4" t="n"/>
    </row>
    <row r="308" ht="15.75" customHeight="1" s="40">
      <c r="A308" s="4" t="n"/>
      <c r="B308" s="4" t="n"/>
      <c r="C308" s="4" t="n"/>
      <c r="D308" s="4" t="n"/>
      <c r="E308" s="4" t="n"/>
    </row>
    <row r="309" ht="15.75" customHeight="1" s="40">
      <c r="A309" s="4" t="n"/>
      <c r="B309" s="4" t="n"/>
      <c r="C309" s="4" t="n"/>
      <c r="D309" s="4" t="n"/>
      <c r="E309" s="4" t="n"/>
    </row>
    <row r="310" ht="15.75" customHeight="1" s="40">
      <c r="A310" s="4" t="n"/>
      <c r="B310" s="4" t="n"/>
      <c r="C310" s="4" t="n"/>
      <c r="D310" s="4" t="n"/>
      <c r="E310" s="4" t="n"/>
    </row>
    <row r="311" ht="15.75" customHeight="1" s="40">
      <c r="A311" s="4" t="n"/>
      <c r="B311" s="4" t="n"/>
      <c r="C311" s="4" t="n"/>
      <c r="D311" s="4" t="n"/>
      <c r="E311" s="4" t="n"/>
    </row>
    <row r="312" ht="15.75" customHeight="1" s="40">
      <c r="A312" s="4" t="n"/>
      <c r="B312" s="4" t="n"/>
      <c r="C312" s="4" t="n"/>
      <c r="D312" s="4" t="n"/>
      <c r="E312" s="4" t="n"/>
    </row>
    <row r="313" ht="15.75" customHeight="1" s="40">
      <c r="A313" s="4" t="n"/>
      <c r="B313" s="4" t="n"/>
      <c r="C313" s="4" t="n"/>
      <c r="D313" s="4" t="n"/>
      <c r="E313" s="4" t="n"/>
    </row>
    <row r="314" ht="15.75" customHeight="1" s="40">
      <c r="A314" s="4" t="n"/>
      <c r="B314" s="4" t="n"/>
      <c r="C314" s="4" t="n"/>
      <c r="D314" s="4" t="n"/>
      <c r="E314" s="4" t="n"/>
    </row>
    <row r="315" ht="15.75" customHeight="1" s="40">
      <c r="A315" s="4" t="n"/>
      <c r="B315" s="4" t="n"/>
      <c r="C315" s="4" t="n"/>
      <c r="D315" s="4" t="n"/>
      <c r="E315" s="4" t="n"/>
    </row>
    <row r="316" ht="15.75" customHeight="1" s="40">
      <c r="A316" s="4" t="n"/>
      <c r="B316" s="4" t="n"/>
      <c r="C316" s="4" t="n"/>
      <c r="D316" s="4" t="n"/>
      <c r="E316" s="4" t="n"/>
    </row>
    <row r="317" ht="15.75" customHeight="1" s="40">
      <c r="A317" s="4" t="n"/>
      <c r="B317" s="4" t="n"/>
      <c r="C317" s="4" t="n"/>
      <c r="D317" s="4" t="n"/>
      <c r="E317" s="4" t="n"/>
    </row>
    <row r="318" ht="15.75" customHeight="1" s="40">
      <c r="A318" s="4" t="n"/>
      <c r="B318" s="4" t="n"/>
      <c r="C318" s="4" t="n"/>
      <c r="D318" s="4" t="n"/>
      <c r="E318" s="4" t="n"/>
    </row>
    <row r="319" ht="15.75" customHeight="1" s="40">
      <c r="A319" s="4" t="n"/>
      <c r="B319" s="4" t="n"/>
      <c r="C319" s="4" t="n"/>
      <c r="D319" s="4" t="n"/>
      <c r="E319" s="4" t="n"/>
    </row>
    <row r="320" ht="15.75" customHeight="1" s="40">
      <c r="A320" s="4" t="n"/>
      <c r="B320" s="4" t="n"/>
      <c r="C320" s="4" t="n"/>
      <c r="D320" s="4" t="n"/>
      <c r="E320" s="4" t="n"/>
    </row>
    <row r="321" ht="15.75" customHeight="1" s="40">
      <c r="A321" s="4" t="n"/>
      <c r="B321" s="4" t="n"/>
      <c r="C321" s="4" t="n"/>
      <c r="D321" s="4" t="n"/>
      <c r="E321" s="4" t="n"/>
    </row>
    <row r="322" ht="15.75" customHeight="1" s="40">
      <c r="A322" s="4" t="n"/>
      <c r="B322" s="4" t="n"/>
      <c r="C322" s="4" t="n"/>
      <c r="D322" s="4" t="n"/>
      <c r="E322" s="4" t="n"/>
    </row>
    <row r="323" ht="15.75" customHeight="1" s="40">
      <c r="A323" s="4" t="n"/>
      <c r="B323" s="4" t="n"/>
      <c r="C323" s="4" t="n"/>
      <c r="D323" s="4" t="n"/>
      <c r="E323" s="4" t="n"/>
    </row>
    <row r="324" ht="15.75" customHeight="1" s="40">
      <c r="A324" s="4" t="n"/>
      <c r="B324" s="4" t="n"/>
      <c r="C324" s="4" t="n"/>
      <c r="D324" s="4" t="n"/>
      <c r="E324" s="4" t="n"/>
    </row>
    <row r="325" ht="15.75" customHeight="1" s="40">
      <c r="A325" s="4" t="n"/>
      <c r="B325" s="4" t="n"/>
      <c r="C325" s="4" t="n"/>
      <c r="D325" s="4" t="n"/>
      <c r="E325" s="4" t="n"/>
    </row>
    <row r="326" ht="15.75" customHeight="1" s="40">
      <c r="A326" s="4" t="n"/>
      <c r="B326" s="4" t="n"/>
      <c r="C326" s="4" t="n"/>
      <c r="D326" s="4" t="n"/>
      <c r="E326" s="4" t="n"/>
    </row>
    <row r="327" ht="15.75" customHeight="1" s="40">
      <c r="A327" s="4" t="n"/>
      <c r="B327" s="4" t="n"/>
      <c r="C327" s="4" t="n"/>
      <c r="D327" s="4" t="n"/>
      <c r="E327" s="4" t="n"/>
    </row>
    <row r="328" ht="15.75" customHeight="1" s="40">
      <c r="A328" s="4" t="n"/>
      <c r="B328" s="4" t="n"/>
      <c r="C328" s="4" t="n"/>
      <c r="D328" s="4" t="n"/>
      <c r="E328" s="4" t="n"/>
    </row>
    <row r="329" ht="15.75" customHeight="1" s="40">
      <c r="A329" s="4" t="n"/>
      <c r="B329" s="4" t="n"/>
      <c r="C329" s="4" t="n"/>
      <c r="D329" s="4" t="n"/>
      <c r="E329" s="4" t="n"/>
    </row>
    <row r="330" ht="15.75" customHeight="1" s="40">
      <c r="A330" s="4" t="n"/>
      <c r="B330" s="4" t="n"/>
      <c r="C330" s="4" t="n"/>
      <c r="D330" s="4" t="n"/>
      <c r="E330" s="4" t="n"/>
    </row>
    <row r="331" ht="15.75" customHeight="1" s="40">
      <c r="A331" s="4" t="n"/>
      <c r="B331" s="4" t="n"/>
      <c r="C331" s="4" t="n"/>
      <c r="D331" s="4" t="n"/>
      <c r="E331" s="4" t="n"/>
    </row>
    <row r="332" ht="15.75" customHeight="1" s="40">
      <c r="A332" s="4" t="n"/>
      <c r="B332" s="4" t="n"/>
      <c r="C332" s="4" t="n"/>
      <c r="D332" s="4" t="n"/>
      <c r="E332" s="4" t="n"/>
    </row>
    <row r="333" ht="15.75" customHeight="1" s="40">
      <c r="A333" s="4" t="n"/>
      <c r="B333" s="4" t="n"/>
      <c r="C333" s="4" t="n"/>
      <c r="D333" s="4" t="n"/>
      <c r="E333" s="4" t="n"/>
    </row>
    <row r="334" ht="15.75" customHeight="1" s="40">
      <c r="A334" s="4" t="n"/>
      <c r="B334" s="4" t="n"/>
      <c r="C334" s="4" t="n"/>
      <c r="D334" s="4" t="n"/>
      <c r="E334" s="4" t="n"/>
    </row>
    <row r="335" ht="15.75" customHeight="1" s="40">
      <c r="A335" s="4" t="n"/>
      <c r="B335" s="4" t="n"/>
      <c r="C335" s="4" t="n"/>
      <c r="D335" s="4" t="n"/>
      <c r="E335" s="4" t="n"/>
    </row>
    <row r="336" ht="15.75" customHeight="1" s="40">
      <c r="A336" s="4" t="n"/>
      <c r="B336" s="4" t="n"/>
      <c r="C336" s="4" t="n"/>
      <c r="D336" s="4" t="n"/>
      <c r="E336" s="4" t="n"/>
    </row>
    <row r="337" ht="15.75" customHeight="1" s="40">
      <c r="A337" s="4" t="n"/>
      <c r="B337" s="4" t="n"/>
      <c r="C337" s="4" t="n"/>
      <c r="D337" s="4" t="n"/>
      <c r="E337" s="4" t="n"/>
    </row>
    <row r="338" ht="15.75" customHeight="1" s="40">
      <c r="A338" s="4" t="n"/>
      <c r="B338" s="4" t="n"/>
      <c r="C338" s="4" t="n"/>
      <c r="D338" s="4" t="n"/>
      <c r="E338" s="4" t="n"/>
    </row>
    <row r="339" ht="15.75" customHeight="1" s="40">
      <c r="A339" s="4" t="n"/>
      <c r="B339" s="4" t="n"/>
      <c r="C339" s="4" t="n"/>
      <c r="D339" s="4" t="n"/>
      <c r="E339" s="4" t="n"/>
    </row>
    <row r="340" ht="15.75" customHeight="1" s="40">
      <c r="A340" s="4" t="n"/>
      <c r="B340" s="4" t="n"/>
      <c r="C340" s="4" t="n"/>
      <c r="D340" s="4" t="n"/>
      <c r="E340" s="4" t="n"/>
    </row>
    <row r="341" ht="15.75" customHeight="1" s="40">
      <c r="A341" s="4" t="n"/>
      <c r="B341" s="4" t="n"/>
      <c r="C341" s="4" t="n"/>
      <c r="D341" s="4" t="n"/>
      <c r="E341" s="4" t="n"/>
    </row>
    <row r="342" ht="15.75" customHeight="1" s="40">
      <c r="A342" s="4" t="n"/>
      <c r="B342" s="4" t="n"/>
      <c r="C342" s="4" t="n"/>
      <c r="D342" s="4" t="n"/>
      <c r="E342" s="4" t="n"/>
    </row>
    <row r="343" ht="15.75" customHeight="1" s="40">
      <c r="A343" s="4" t="n"/>
      <c r="B343" s="4" t="n"/>
      <c r="C343" s="4" t="n"/>
      <c r="D343" s="4" t="n"/>
      <c r="E343" s="4" t="n"/>
    </row>
    <row r="344" ht="15.75" customHeight="1" s="40">
      <c r="A344" s="4" t="n"/>
      <c r="B344" s="4" t="n"/>
      <c r="C344" s="4" t="n"/>
      <c r="D344" s="4" t="n"/>
      <c r="E344" s="4" t="n"/>
    </row>
    <row r="345" ht="15.75" customHeight="1" s="40">
      <c r="A345" s="4" t="n"/>
      <c r="B345" s="4" t="n"/>
      <c r="C345" s="4" t="n"/>
      <c r="D345" s="4" t="n"/>
      <c r="E345" s="4" t="n"/>
    </row>
    <row r="346" ht="15.75" customHeight="1" s="40">
      <c r="A346" s="4" t="n"/>
      <c r="B346" s="4" t="n"/>
      <c r="C346" s="4" t="n"/>
      <c r="D346" s="4" t="n"/>
      <c r="E346" s="4" t="n"/>
    </row>
    <row r="347" ht="15.75" customHeight="1" s="40">
      <c r="A347" s="4" t="n"/>
      <c r="B347" s="4" t="n"/>
      <c r="C347" s="4" t="n"/>
      <c r="D347" s="4" t="n"/>
      <c r="E347" s="4" t="n"/>
    </row>
    <row r="348" ht="15.75" customHeight="1" s="40">
      <c r="A348" s="4" t="n"/>
      <c r="B348" s="4" t="n"/>
      <c r="C348" s="4" t="n"/>
      <c r="D348" s="4" t="n"/>
      <c r="E348" s="4" t="n"/>
    </row>
    <row r="349" ht="15.75" customHeight="1" s="40">
      <c r="A349" s="4" t="n"/>
      <c r="B349" s="4" t="n"/>
      <c r="C349" s="4" t="n"/>
      <c r="D349" s="4" t="n"/>
      <c r="E349" s="4" t="n"/>
    </row>
    <row r="350" ht="15.75" customHeight="1" s="40">
      <c r="A350" s="4" t="n"/>
      <c r="B350" s="4" t="n"/>
      <c r="C350" s="4" t="n"/>
      <c r="D350" s="4" t="n"/>
      <c r="E350" s="4" t="n"/>
    </row>
    <row r="351" ht="15.75" customHeight="1" s="40">
      <c r="A351" s="4" t="n"/>
      <c r="B351" s="4" t="n"/>
      <c r="C351" s="4" t="n"/>
      <c r="D351" s="4" t="n"/>
      <c r="E351" s="4" t="n"/>
    </row>
    <row r="352" ht="15.75" customHeight="1" s="40">
      <c r="A352" s="4" t="n"/>
      <c r="B352" s="4" t="n"/>
      <c r="C352" s="4" t="n"/>
      <c r="D352" s="4" t="n"/>
      <c r="E352" s="4" t="n"/>
    </row>
    <row r="353" ht="15.75" customHeight="1" s="40">
      <c r="A353" s="4" t="n"/>
      <c r="B353" s="4" t="n"/>
      <c r="C353" s="4" t="n"/>
      <c r="D353" s="4" t="n"/>
      <c r="E353" s="4" t="n"/>
    </row>
    <row r="354" ht="15.75" customHeight="1" s="40">
      <c r="A354" s="4" t="n"/>
      <c r="B354" s="4" t="n"/>
      <c r="C354" s="4" t="n"/>
      <c r="D354" s="4" t="n"/>
      <c r="E354" s="4" t="n"/>
    </row>
    <row r="355" ht="15.75" customHeight="1" s="40">
      <c r="A355" s="4" t="n"/>
      <c r="B355" s="4" t="n"/>
      <c r="C355" s="4" t="n"/>
      <c r="D355" s="4" t="n"/>
      <c r="E355" s="4" t="n"/>
    </row>
    <row r="356" ht="15.75" customHeight="1" s="40">
      <c r="A356" s="4" t="n"/>
      <c r="B356" s="4" t="n"/>
      <c r="C356" s="4" t="n"/>
      <c r="D356" s="4" t="n"/>
      <c r="E356" s="4" t="n"/>
    </row>
    <row r="357" ht="15.75" customHeight="1" s="40">
      <c r="A357" s="4" t="n"/>
      <c r="B357" s="4" t="n"/>
      <c r="C357" s="4" t="n"/>
      <c r="D357" s="4" t="n"/>
      <c r="E357" s="4" t="n"/>
    </row>
    <row r="358" ht="15.75" customHeight="1" s="40">
      <c r="A358" s="4" t="n"/>
      <c r="B358" s="4" t="n"/>
      <c r="C358" s="4" t="n"/>
      <c r="D358" s="4" t="n"/>
      <c r="E358" s="4" t="n"/>
    </row>
    <row r="359" ht="15.75" customHeight="1" s="40">
      <c r="A359" s="4" t="n"/>
      <c r="B359" s="4" t="n"/>
      <c r="C359" s="4" t="n"/>
      <c r="D359" s="4" t="n"/>
      <c r="E359" s="4" t="n"/>
    </row>
    <row r="360" ht="15.75" customHeight="1" s="40">
      <c r="A360" s="4" t="n"/>
      <c r="B360" s="4" t="n"/>
      <c r="C360" s="4" t="n"/>
      <c r="D360" s="4" t="n"/>
      <c r="E360" s="4" t="n"/>
    </row>
    <row r="361" ht="15.75" customHeight="1" s="40">
      <c r="A361" s="4" t="n"/>
      <c r="B361" s="4" t="n"/>
      <c r="C361" s="4" t="n"/>
      <c r="D361" s="4" t="n"/>
      <c r="E361" s="4" t="n"/>
    </row>
    <row r="362" ht="15.75" customHeight="1" s="40">
      <c r="A362" s="4" t="n"/>
      <c r="B362" s="4" t="n"/>
      <c r="C362" s="4" t="n"/>
      <c r="D362" s="4" t="n"/>
      <c r="E362" s="4" t="n"/>
    </row>
    <row r="363" ht="15.75" customHeight="1" s="40">
      <c r="A363" s="4" t="n"/>
      <c r="B363" s="4" t="n"/>
      <c r="C363" s="4" t="n"/>
      <c r="D363" s="4" t="n"/>
      <c r="E363" s="4" t="n"/>
    </row>
    <row r="364" ht="15.75" customHeight="1" s="40">
      <c r="A364" s="4" t="n"/>
      <c r="B364" s="4" t="n"/>
      <c r="C364" s="4" t="n"/>
      <c r="D364" s="4" t="n"/>
      <c r="E364" s="4" t="n"/>
    </row>
    <row r="365" ht="15.75" customHeight="1" s="40">
      <c r="A365" s="4" t="n"/>
      <c r="B365" s="4" t="n"/>
      <c r="C365" s="4" t="n"/>
      <c r="D365" s="4" t="n"/>
      <c r="E365" s="4" t="n"/>
    </row>
    <row r="366" ht="15.75" customHeight="1" s="40">
      <c r="A366" s="4" t="n"/>
      <c r="B366" s="4" t="n"/>
      <c r="C366" s="4" t="n"/>
      <c r="D366" s="4" t="n"/>
      <c r="E366" s="4" t="n"/>
    </row>
    <row r="367" ht="15.75" customHeight="1" s="40">
      <c r="A367" s="4" t="n"/>
      <c r="B367" s="4" t="n"/>
      <c r="C367" s="4" t="n"/>
      <c r="D367" s="4" t="n"/>
      <c r="E367" s="4" t="n"/>
    </row>
    <row r="368" ht="15.75" customHeight="1" s="40">
      <c r="A368" s="4" t="n"/>
      <c r="B368" s="4" t="n"/>
      <c r="C368" s="4" t="n"/>
      <c r="D368" s="4" t="n"/>
      <c r="E368" s="4" t="n"/>
    </row>
    <row r="369" ht="15.75" customHeight="1" s="40">
      <c r="A369" s="4" t="n"/>
      <c r="B369" s="4" t="n"/>
      <c r="C369" s="4" t="n"/>
      <c r="D369" s="4" t="n"/>
      <c r="E369" s="4" t="n"/>
    </row>
    <row r="370" ht="15.75" customHeight="1" s="40">
      <c r="A370" s="4" t="n"/>
      <c r="B370" s="4" t="n"/>
      <c r="C370" s="4" t="n"/>
      <c r="D370" s="4" t="n"/>
      <c r="E370" s="4" t="n"/>
    </row>
    <row r="371" ht="15.75" customHeight="1" s="40">
      <c r="A371" s="4" t="n"/>
      <c r="B371" s="4" t="n"/>
      <c r="C371" s="4" t="n"/>
      <c r="D371" s="4" t="n"/>
      <c r="E371" s="4" t="n"/>
    </row>
    <row r="372" ht="15.75" customHeight="1" s="40">
      <c r="A372" s="4" t="n"/>
      <c r="B372" s="4" t="n"/>
      <c r="C372" s="4" t="n"/>
      <c r="D372" s="4" t="n"/>
      <c r="E372" s="4" t="n"/>
    </row>
    <row r="373" ht="15.75" customHeight="1" s="40">
      <c r="A373" s="4" t="n"/>
      <c r="B373" s="4" t="n"/>
      <c r="C373" s="4" t="n"/>
      <c r="D373" s="4" t="n"/>
      <c r="E373" s="4" t="n"/>
    </row>
    <row r="374" ht="15.75" customHeight="1" s="40">
      <c r="A374" s="4" t="n"/>
      <c r="B374" s="4" t="n"/>
      <c r="C374" s="4" t="n"/>
      <c r="D374" s="4" t="n"/>
      <c r="E374" s="4" t="n"/>
    </row>
    <row r="375" ht="15.75" customHeight="1" s="40">
      <c r="A375" s="4" t="n"/>
      <c r="B375" s="4" t="n"/>
      <c r="C375" s="4" t="n"/>
      <c r="D375" s="4" t="n"/>
      <c r="E375" s="4" t="n"/>
    </row>
    <row r="376" ht="15.75" customHeight="1" s="40">
      <c r="A376" s="4" t="n"/>
      <c r="B376" s="4" t="n"/>
      <c r="C376" s="4" t="n"/>
      <c r="D376" s="4" t="n"/>
      <c r="E376" s="4" t="n"/>
    </row>
    <row r="377" ht="15.75" customHeight="1" s="40">
      <c r="A377" s="4" t="n"/>
      <c r="B377" s="4" t="n"/>
      <c r="C377" s="4" t="n"/>
      <c r="D377" s="4" t="n"/>
      <c r="E377" s="4" t="n"/>
    </row>
    <row r="378" ht="15.75" customHeight="1" s="40">
      <c r="A378" s="4" t="n"/>
      <c r="B378" s="4" t="n"/>
      <c r="C378" s="4" t="n"/>
      <c r="D378" s="4" t="n"/>
      <c r="E378" s="4" t="n"/>
    </row>
    <row r="379" ht="15.75" customHeight="1" s="40">
      <c r="A379" s="4" t="n"/>
      <c r="B379" s="4" t="n"/>
      <c r="C379" s="4" t="n"/>
      <c r="D379" s="4" t="n"/>
      <c r="E379" s="4" t="n"/>
    </row>
    <row r="380" ht="15.75" customHeight="1" s="40">
      <c r="A380" s="4" t="n"/>
      <c r="B380" s="4" t="n"/>
      <c r="C380" s="4" t="n"/>
      <c r="D380" s="4" t="n"/>
      <c r="E380" s="4" t="n"/>
    </row>
    <row r="381" ht="15.75" customHeight="1" s="40">
      <c r="A381" s="4" t="n"/>
      <c r="B381" s="4" t="n"/>
      <c r="C381" s="4" t="n"/>
      <c r="D381" s="4" t="n"/>
      <c r="E381" s="4" t="n"/>
    </row>
    <row r="382" ht="15.75" customHeight="1" s="40">
      <c r="A382" s="4" t="n"/>
      <c r="B382" s="4" t="n"/>
      <c r="C382" s="4" t="n"/>
      <c r="D382" s="4" t="n"/>
      <c r="E382" s="4" t="n"/>
    </row>
    <row r="383" ht="15.75" customHeight="1" s="40">
      <c r="A383" s="4" t="n"/>
      <c r="B383" s="4" t="n"/>
      <c r="C383" s="4" t="n"/>
      <c r="D383" s="4" t="n"/>
      <c r="E383" s="4" t="n"/>
    </row>
    <row r="384" ht="15.75" customHeight="1" s="40">
      <c r="A384" s="4" t="n"/>
      <c r="B384" s="4" t="n"/>
      <c r="C384" s="4" t="n"/>
      <c r="D384" s="4" t="n"/>
      <c r="E384" s="4" t="n"/>
    </row>
    <row r="385" ht="15.75" customHeight="1" s="40">
      <c r="A385" s="4" t="n"/>
      <c r="B385" s="4" t="n"/>
      <c r="C385" s="4" t="n"/>
      <c r="D385" s="4" t="n"/>
      <c r="E385" s="4" t="n"/>
    </row>
    <row r="386" ht="15.75" customHeight="1" s="40">
      <c r="A386" s="4" t="n"/>
      <c r="B386" s="4" t="n"/>
      <c r="C386" s="4" t="n"/>
      <c r="D386" s="4" t="n"/>
      <c r="E386" s="4" t="n"/>
    </row>
    <row r="387" ht="15.75" customHeight="1" s="40">
      <c r="A387" s="4" t="n"/>
      <c r="B387" s="4" t="n"/>
      <c r="C387" s="4" t="n"/>
      <c r="D387" s="4" t="n"/>
      <c r="E387" s="4" t="n"/>
    </row>
    <row r="388" ht="15.75" customHeight="1" s="40">
      <c r="A388" s="4" t="n"/>
      <c r="B388" s="4" t="n"/>
      <c r="C388" s="4" t="n"/>
      <c r="D388" s="4" t="n"/>
      <c r="E388" s="4" t="n"/>
    </row>
    <row r="389" ht="15.75" customHeight="1" s="40">
      <c r="A389" s="4" t="n"/>
      <c r="B389" s="4" t="n"/>
      <c r="C389" s="4" t="n"/>
      <c r="D389" s="4" t="n"/>
      <c r="E389" s="4" t="n"/>
    </row>
    <row r="390" ht="15.75" customHeight="1" s="40">
      <c r="A390" s="4" t="n"/>
      <c r="B390" s="4" t="n"/>
      <c r="C390" s="4" t="n"/>
      <c r="D390" s="4" t="n"/>
      <c r="E390" s="4" t="n"/>
    </row>
    <row r="391" ht="15.75" customHeight="1" s="40">
      <c r="A391" s="4" t="n"/>
      <c r="B391" s="4" t="n"/>
      <c r="C391" s="4" t="n"/>
      <c r="D391" s="4" t="n"/>
      <c r="E391" s="4" t="n"/>
    </row>
    <row r="392" ht="15.75" customHeight="1" s="40">
      <c r="A392" s="4" t="n"/>
      <c r="B392" s="4" t="n"/>
      <c r="C392" s="4" t="n"/>
      <c r="D392" s="4" t="n"/>
      <c r="E392" s="4" t="n"/>
    </row>
    <row r="393" ht="15.75" customHeight="1" s="40">
      <c r="A393" s="4" t="n"/>
      <c r="B393" s="4" t="n"/>
      <c r="C393" s="4" t="n"/>
      <c r="D393" s="4" t="n"/>
      <c r="E393" s="4" t="n"/>
    </row>
    <row r="394" ht="15.75" customHeight="1" s="40">
      <c r="A394" s="4" t="n"/>
      <c r="B394" s="4" t="n"/>
      <c r="C394" s="4" t="n"/>
      <c r="D394" s="4" t="n"/>
      <c r="E394" s="4" t="n"/>
    </row>
    <row r="395" ht="15.75" customHeight="1" s="40">
      <c r="A395" s="4" t="n"/>
      <c r="B395" s="4" t="n"/>
      <c r="C395" s="4" t="n"/>
      <c r="D395" s="4" t="n"/>
      <c r="E395" s="4" t="n"/>
    </row>
    <row r="396" ht="15.75" customHeight="1" s="40">
      <c r="A396" s="4" t="n"/>
      <c r="B396" s="4" t="n"/>
      <c r="C396" s="4" t="n"/>
      <c r="D396" s="4" t="n"/>
      <c r="E396" s="4" t="n"/>
    </row>
    <row r="397" ht="15.75" customHeight="1" s="40">
      <c r="A397" s="4" t="n"/>
      <c r="B397" s="4" t="n"/>
      <c r="C397" s="4" t="n"/>
      <c r="D397" s="4" t="n"/>
      <c r="E397" s="4" t="n"/>
    </row>
    <row r="398" ht="15.75" customHeight="1" s="40">
      <c r="A398" s="4" t="n"/>
      <c r="B398" s="4" t="n"/>
      <c r="C398" s="4" t="n"/>
      <c r="D398" s="4" t="n"/>
      <c r="E398" s="4" t="n"/>
    </row>
    <row r="399" ht="15.75" customHeight="1" s="40">
      <c r="A399" s="4" t="n"/>
      <c r="B399" s="4" t="n"/>
      <c r="C399" s="4" t="n"/>
      <c r="D399" s="4" t="n"/>
      <c r="E399" s="4" t="n"/>
    </row>
    <row r="400" ht="15.75" customHeight="1" s="40">
      <c r="A400" s="4" t="n"/>
      <c r="B400" s="4" t="n"/>
      <c r="C400" s="4" t="n"/>
      <c r="D400" s="4" t="n"/>
      <c r="E400" s="4" t="n"/>
    </row>
    <row r="401" ht="15.75" customHeight="1" s="40">
      <c r="A401" s="4" t="n"/>
      <c r="B401" s="4" t="n"/>
      <c r="C401" s="4" t="n"/>
      <c r="D401" s="4" t="n"/>
      <c r="E401" s="4" t="n"/>
    </row>
    <row r="402" ht="15.75" customHeight="1" s="40">
      <c r="A402" s="4" t="n"/>
      <c r="B402" s="4" t="n"/>
      <c r="C402" s="4" t="n"/>
      <c r="D402" s="4" t="n"/>
      <c r="E402" s="4" t="n"/>
    </row>
    <row r="403" ht="15.75" customHeight="1" s="40">
      <c r="A403" s="4" t="n"/>
      <c r="B403" s="4" t="n"/>
      <c r="C403" s="4" t="n"/>
      <c r="D403" s="4" t="n"/>
      <c r="E403" s="4" t="n"/>
    </row>
    <row r="404" ht="15.75" customHeight="1" s="40">
      <c r="A404" s="4" t="n"/>
      <c r="B404" s="4" t="n"/>
      <c r="C404" s="4" t="n"/>
      <c r="D404" s="4" t="n"/>
      <c r="E404" s="4" t="n"/>
    </row>
    <row r="405" ht="15.75" customHeight="1" s="40">
      <c r="A405" s="4" t="n"/>
      <c r="B405" s="4" t="n"/>
      <c r="C405" s="4" t="n"/>
      <c r="D405" s="4" t="n"/>
      <c r="E405" s="4" t="n"/>
    </row>
    <row r="406" ht="15.75" customHeight="1" s="40">
      <c r="A406" s="4" t="n"/>
      <c r="B406" s="4" t="n"/>
      <c r="C406" s="4" t="n"/>
      <c r="D406" s="4" t="n"/>
      <c r="E406" s="4" t="n"/>
    </row>
    <row r="407" ht="15.75" customHeight="1" s="40">
      <c r="A407" s="4" t="n"/>
      <c r="B407" s="4" t="n"/>
      <c r="C407" s="4" t="n"/>
      <c r="D407" s="4" t="n"/>
      <c r="E407" s="4" t="n"/>
    </row>
    <row r="408" ht="15.75" customHeight="1" s="40">
      <c r="A408" s="4" t="n"/>
      <c r="B408" s="4" t="n"/>
      <c r="C408" s="4" t="n"/>
      <c r="D408" s="4" t="n"/>
      <c r="E408" s="4" t="n"/>
    </row>
    <row r="409" ht="15.75" customHeight="1" s="40">
      <c r="A409" s="4" t="n"/>
      <c r="B409" s="4" t="n"/>
      <c r="C409" s="4" t="n"/>
      <c r="D409" s="4" t="n"/>
      <c r="E409" s="4" t="n"/>
    </row>
    <row r="410" ht="15.75" customHeight="1" s="40">
      <c r="A410" s="4" t="n"/>
      <c r="B410" s="4" t="n"/>
      <c r="C410" s="4" t="n"/>
      <c r="D410" s="4" t="n"/>
      <c r="E410" s="4" t="n"/>
    </row>
    <row r="411" ht="15.75" customHeight="1" s="40">
      <c r="A411" s="4" t="n"/>
      <c r="B411" s="4" t="n"/>
      <c r="C411" s="4" t="n"/>
      <c r="D411" s="4" t="n"/>
      <c r="E411" s="4" t="n"/>
    </row>
    <row r="412" ht="15.75" customHeight="1" s="40">
      <c r="A412" s="4" t="n"/>
      <c r="B412" s="4" t="n"/>
      <c r="C412" s="4" t="n"/>
      <c r="D412" s="4" t="n"/>
      <c r="E412" s="4" t="n"/>
    </row>
    <row r="413" ht="15.75" customHeight="1" s="40">
      <c r="A413" s="4" t="n"/>
      <c r="B413" s="4" t="n"/>
      <c r="C413" s="4" t="n"/>
      <c r="D413" s="4" t="n"/>
      <c r="E413" s="4" t="n"/>
    </row>
    <row r="414" ht="15.75" customHeight="1" s="40">
      <c r="A414" s="4" t="n"/>
      <c r="B414" s="4" t="n"/>
      <c r="C414" s="4" t="n"/>
      <c r="D414" s="4" t="n"/>
      <c r="E414" s="4" t="n"/>
    </row>
    <row r="415" ht="15.75" customHeight="1" s="40">
      <c r="A415" s="4" t="n"/>
      <c r="B415" s="4" t="n"/>
      <c r="C415" s="4" t="n"/>
      <c r="D415" s="4" t="n"/>
      <c r="E415" s="4" t="n"/>
    </row>
    <row r="416" ht="15.75" customHeight="1" s="40">
      <c r="A416" s="4" t="n"/>
      <c r="B416" s="4" t="n"/>
      <c r="C416" s="4" t="n"/>
      <c r="D416" s="4" t="n"/>
      <c r="E416" s="4" t="n"/>
    </row>
    <row r="417" ht="15.75" customHeight="1" s="40">
      <c r="A417" s="4" t="n"/>
      <c r="B417" s="4" t="n"/>
      <c r="C417" s="4" t="n"/>
      <c r="D417" s="4" t="n"/>
      <c r="E417" s="4" t="n"/>
    </row>
    <row r="418" ht="15.75" customHeight="1" s="40">
      <c r="A418" s="4" t="n"/>
      <c r="B418" s="4" t="n"/>
      <c r="C418" s="4" t="n"/>
      <c r="D418" s="4" t="n"/>
      <c r="E418" s="4" t="n"/>
    </row>
    <row r="419" ht="15.75" customHeight="1" s="40">
      <c r="A419" s="4" t="n"/>
      <c r="B419" s="4" t="n"/>
      <c r="C419" s="4" t="n"/>
      <c r="D419" s="4" t="n"/>
      <c r="E419" s="4" t="n"/>
    </row>
    <row r="420" ht="15.75" customHeight="1" s="40">
      <c r="A420" s="4" t="n"/>
      <c r="B420" s="4" t="n"/>
      <c r="C420" s="4" t="n"/>
      <c r="D420" s="4" t="n"/>
      <c r="E420" s="4" t="n"/>
    </row>
    <row r="421" ht="15.75" customHeight="1" s="40">
      <c r="A421" s="4" t="n"/>
      <c r="B421" s="4" t="n"/>
      <c r="C421" s="4" t="n"/>
      <c r="D421" s="4" t="n"/>
      <c r="E421" s="4" t="n"/>
    </row>
    <row r="422" ht="15.75" customHeight="1" s="40">
      <c r="A422" s="4" t="n"/>
      <c r="B422" s="4" t="n"/>
      <c r="C422" s="4" t="n"/>
      <c r="D422" s="4" t="n"/>
      <c r="E422" s="4" t="n"/>
    </row>
    <row r="423" ht="15.75" customHeight="1" s="40">
      <c r="A423" s="4" t="n"/>
      <c r="B423" s="4" t="n"/>
      <c r="C423" s="4" t="n"/>
      <c r="D423" s="4" t="n"/>
      <c r="E423" s="4" t="n"/>
    </row>
    <row r="424" ht="15.75" customHeight="1" s="40">
      <c r="A424" s="4" t="n"/>
      <c r="B424" s="4" t="n"/>
      <c r="C424" s="4" t="n"/>
      <c r="D424" s="4" t="n"/>
      <c r="E424" s="4" t="n"/>
    </row>
    <row r="425" ht="15.75" customHeight="1" s="40">
      <c r="A425" s="4" t="n"/>
      <c r="B425" s="4" t="n"/>
      <c r="C425" s="4" t="n"/>
      <c r="D425" s="4" t="n"/>
      <c r="E425" s="4" t="n"/>
    </row>
    <row r="426" ht="15.75" customHeight="1" s="40">
      <c r="A426" s="4" t="n"/>
      <c r="B426" s="4" t="n"/>
      <c r="C426" s="4" t="n"/>
      <c r="D426" s="4" t="n"/>
      <c r="E426" s="4" t="n"/>
    </row>
    <row r="427" ht="15.75" customHeight="1" s="40">
      <c r="A427" s="4" t="n"/>
      <c r="B427" s="4" t="n"/>
      <c r="C427" s="4" t="n"/>
      <c r="D427" s="4" t="n"/>
      <c r="E427" s="4" t="n"/>
    </row>
    <row r="428" ht="15.75" customHeight="1" s="40">
      <c r="A428" s="4" t="n"/>
      <c r="B428" s="4" t="n"/>
      <c r="C428" s="4" t="n"/>
      <c r="D428" s="4" t="n"/>
      <c r="E428" s="4" t="n"/>
    </row>
    <row r="429" ht="15.75" customHeight="1" s="40">
      <c r="A429" s="4" t="n"/>
      <c r="B429" s="4" t="n"/>
      <c r="C429" s="4" t="n"/>
      <c r="D429" s="4" t="n"/>
      <c r="E429" s="4" t="n"/>
    </row>
    <row r="430" ht="15.75" customHeight="1" s="40">
      <c r="A430" s="4" t="n"/>
      <c r="B430" s="4" t="n"/>
      <c r="C430" s="4" t="n"/>
      <c r="D430" s="4" t="n"/>
      <c r="E430" s="4" t="n"/>
    </row>
    <row r="431" ht="15.75" customHeight="1" s="40">
      <c r="A431" s="4" t="n"/>
      <c r="B431" s="4" t="n"/>
      <c r="C431" s="4" t="n"/>
      <c r="D431" s="4" t="n"/>
      <c r="E431" s="4" t="n"/>
    </row>
    <row r="432" ht="15.75" customHeight="1" s="40">
      <c r="A432" s="4" t="n"/>
      <c r="B432" s="4" t="n"/>
      <c r="C432" s="4" t="n"/>
      <c r="D432" s="4" t="n"/>
      <c r="E432" s="4" t="n"/>
    </row>
    <row r="433" ht="15.75" customHeight="1" s="40">
      <c r="A433" s="4" t="n"/>
      <c r="B433" s="4" t="n"/>
      <c r="C433" s="4" t="n"/>
      <c r="D433" s="4" t="n"/>
      <c r="E433" s="4" t="n"/>
    </row>
    <row r="434" ht="15.75" customHeight="1" s="40">
      <c r="A434" s="4" t="n"/>
      <c r="B434" s="4" t="n"/>
      <c r="C434" s="4" t="n"/>
      <c r="D434" s="4" t="n"/>
      <c r="E434" s="4" t="n"/>
    </row>
    <row r="435" ht="15.75" customHeight="1" s="40">
      <c r="A435" s="4" t="n"/>
      <c r="B435" s="4" t="n"/>
      <c r="C435" s="4" t="n"/>
      <c r="D435" s="4" t="n"/>
      <c r="E435" s="4" t="n"/>
    </row>
    <row r="436" ht="15.75" customHeight="1" s="40">
      <c r="A436" s="4" t="n"/>
      <c r="B436" s="4" t="n"/>
      <c r="C436" s="4" t="n"/>
      <c r="D436" s="4" t="n"/>
      <c r="E436" s="4" t="n"/>
    </row>
    <row r="437" ht="15.75" customHeight="1" s="40">
      <c r="A437" s="4" t="n"/>
      <c r="B437" s="4" t="n"/>
      <c r="C437" s="4" t="n"/>
      <c r="D437" s="4" t="n"/>
      <c r="E437" s="4" t="n"/>
    </row>
    <row r="438" ht="15.75" customHeight="1" s="40">
      <c r="A438" s="4" t="n"/>
      <c r="B438" s="4" t="n"/>
      <c r="C438" s="4" t="n"/>
      <c r="D438" s="4" t="n"/>
      <c r="E438" s="4" t="n"/>
    </row>
    <row r="439" ht="15.75" customHeight="1" s="40">
      <c r="A439" s="4" t="n"/>
      <c r="B439" s="4" t="n"/>
      <c r="C439" s="4" t="n"/>
      <c r="D439" s="4" t="n"/>
      <c r="E439" s="4" t="n"/>
    </row>
    <row r="440" ht="15.75" customHeight="1" s="40">
      <c r="A440" s="4" t="n"/>
      <c r="B440" s="4" t="n"/>
      <c r="C440" s="4" t="n"/>
      <c r="D440" s="4" t="n"/>
      <c r="E440" s="4" t="n"/>
    </row>
    <row r="441" ht="15.75" customHeight="1" s="40">
      <c r="A441" s="4" t="n"/>
      <c r="B441" s="4" t="n"/>
      <c r="C441" s="4" t="n"/>
      <c r="D441" s="4" t="n"/>
      <c r="E441" s="4" t="n"/>
    </row>
    <row r="442" ht="15.75" customHeight="1" s="40">
      <c r="A442" s="4" t="n"/>
      <c r="B442" s="4" t="n"/>
      <c r="C442" s="4" t="n"/>
      <c r="D442" s="4" t="n"/>
      <c r="E442" s="4" t="n"/>
    </row>
    <row r="443" ht="15.75" customHeight="1" s="40">
      <c r="A443" s="4" t="n"/>
      <c r="B443" s="4" t="n"/>
      <c r="C443" s="4" t="n"/>
      <c r="D443" s="4" t="n"/>
      <c r="E443" s="4" t="n"/>
    </row>
    <row r="444" ht="15.75" customHeight="1" s="40">
      <c r="A444" s="4" t="n"/>
      <c r="B444" s="4" t="n"/>
      <c r="C444" s="4" t="n"/>
      <c r="D444" s="4" t="n"/>
      <c r="E444" s="4" t="n"/>
    </row>
    <row r="445" ht="15.75" customHeight="1" s="40">
      <c r="A445" s="4" t="n"/>
      <c r="B445" s="4" t="n"/>
      <c r="C445" s="4" t="n"/>
      <c r="D445" s="4" t="n"/>
      <c r="E445" s="4" t="n"/>
    </row>
    <row r="446" ht="15.75" customHeight="1" s="40">
      <c r="A446" s="4" t="n"/>
      <c r="B446" s="4" t="n"/>
      <c r="C446" s="4" t="n"/>
      <c r="D446" s="4" t="n"/>
      <c r="E446" s="4" t="n"/>
    </row>
    <row r="447" ht="15.75" customHeight="1" s="40">
      <c r="A447" s="4" t="n"/>
      <c r="B447" s="4" t="n"/>
      <c r="C447" s="4" t="n"/>
      <c r="D447" s="4" t="n"/>
      <c r="E447" s="4" t="n"/>
    </row>
    <row r="448" ht="15.75" customHeight="1" s="40">
      <c r="A448" s="4" t="n"/>
      <c r="B448" s="4" t="n"/>
      <c r="C448" s="4" t="n"/>
      <c r="D448" s="4" t="n"/>
      <c r="E448" s="4" t="n"/>
    </row>
    <row r="449" ht="15.75" customHeight="1" s="40">
      <c r="A449" s="4" t="n"/>
      <c r="B449" s="4" t="n"/>
      <c r="C449" s="4" t="n"/>
      <c r="D449" s="4" t="n"/>
      <c r="E449" s="4" t="n"/>
    </row>
    <row r="450" ht="15.75" customHeight="1" s="40">
      <c r="A450" s="4" t="n"/>
      <c r="B450" s="4" t="n"/>
      <c r="C450" s="4" t="n"/>
      <c r="D450" s="4" t="n"/>
      <c r="E450" s="4" t="n"/>
    </row>
    <row r="451" ht="15.75" customHeight="1" s="40">
      <c r="A451" s="4" t="n"/>
      <c r="B451" s="4" t="n"/>
      <c r="C451" s="4" t="n"/>
      <c r="D451" s="4" t="n"/>
      <c r="E451" s="4" t="n"/>
    </row>
    <row r="452" ht="15.75" customHeight="1" s="40">
      <c r="A452" s="4" t="n"/>
      <c r="B452" s="4" t="n"/>
      <c r="C452" s="4" t="n"/>
      <c r="D452" s="4" t="n"/>
      <c r="E452" s="4" t="n"/>
    </row>
    <row r="453" ht="15.75" customHeight="1" s="40">
      <c r="A453" s="4" t="n"/>
      <c r="B453" s="4" t="n"/>
      <c r="C453" s="4" t="n"/>
      <c r="D453" s="4" t="n"/>
      <c r="E453" s="4" t="n"/>
    </row>
    <row r="454" ht="15.75" customHeight="1" s="40">
      <c r="A454" s="4" t="n"/>
      <c r="B454" s="4" t="n"/>
      <c r="C454" s="4" t="n"/>
      <c r="D454" s="4" t="n"/>
      <c r="E454" s="4" t="n"/>
    </row>
    <row r="455" ht="15.75" customHeight="1" s="40">
      <c r="A455" s="4" t="n"/>
      <c r="B455" s="4" t="n"/>
      <c r="C455" s="4" t="n"/>
      <c r="D455" s="4" t="n"/>
      <c r="E455" s="4" t="n"/>
    </row>
    <row r="456" ht="15.75" customHeight="1" s="40">
      <c r="A456" s="4" t="n"/>
      <c r="B456" s="4" t="n"/>
      <c r="C456" s="4" t="n"/>
      <c r="D456" s="4" t="n"/>
      <c r="E456" s="4" t="n"/>
    </row>
    <row r="457" ht="15.75" customHeight="1" s="40">
      <c r="A457" s="4" t="n"/>
      <c r="B457" s="4" t="n"/>
      <c r="C457" s="4" t="n"/>
      <c r="D457" s="4" t="n"/>
      <c r="E457" s="4" t="n"/>
    </row>
    <row r="458" ht="15.75" customHeight="1" s="40">
      <c r="A458" s="4" t="n"/>
      <c r="B458" s="4" t="n"/>
      <c r="C458" s="4" t="n"/>
      <c r="D458" s="4" t="n"/>
      <c r="E458" s="4" t="n"/>
    </row>
    <row r="459" ht="15.75" customHeight="1" s="40">
      <c r="A459" s="4" t="n"/>
      <c r="B459" s="4" t="n"/>
      <c r="C459" s="4" t="n"/>
      <c r="D459" s="4" t="n"/>
      <c r="E459" s="4" t="n"/>
    </row>
    <row r="460" ht="15.75" customHeight="1" s="40">
      <c r="A460" s="4" t="n"/>
      <c r="B460" s="4" t="n"/>
      <c r="C460" s="4" t="n"/>
      <c r="D460" s="4" t="n"/>
      <c r="E460" s="4" t="n"/>
    </row>
    <row r="461" ht="15.75" customHeight="1" s="40">
      <c r="A461" s="4" t="n"/>
      <c r="B461" s="4" t="n"/>
      <c r="C461" s="4" t="n"/>
      <c r="D461" s="4" t="n"/>
      <c r="E461" s="4" t="n"/>
    </row>
    <row r="462" ht="15.75" customHeight="1" s="40">
      <c r="A462" s="4" t="n"/>
      <c r="B462" s="4" t="n"/>
      <c r="C462" s="4" t="n"/>
      <c r="D462" s="4" t="n"/>
      <c r="E462" s="4" t="n"/>
    </row>
    <row r="463" ht="15.75" customHeight="1" s="40">
      <c r="A463" s="4" t="n"/>
      <c r="B463" s="4" t="n"/>
      <c r="C463" s="4" t="n"/>
      <c r="D463" s="4" t="n"/>
      <c r="E463" s="4" t="n"/>
    </row>
    <row r="464" ht="15.75" customHeight="1" s="40">
      <c r="A464" s="4" t="n"/>
      <c r="B464" s="4" t="n"/>
      <c r="C464" s="4" t="n"/>
      <c r="D464" s="4" t="n"/>
      <c r="E464" s="4" t="n"/>
    </row>
    <row r="465" ht="15.75" customHeight="1" s="40">
      <c r="A465" s="4" t="n"/>
      <c r="B465" s="4" t="n"/>
      <c r="C465" s="4" t="n"/>
      <c r="D465" s="4" t="n"/>
      <c r="E465" s="4" t="n"/>
    </row>
    <row r="466" ht="15.75" customHeight="1" s="40">
      <c r="A466" s="4" t="n"/>
      <c r="B466" s="4" t="n"/>
      <c r="C466" s="4" t="n"/>
      <c r="D466" s="4" t="n"/>
      <c r="E466" s="4" t="n"/>
    </row>
    <row r="467" ht="15.75" customHeight="1" s="40">
      <c r="A467" s="4" t="n"/>
      <c r="B467" s="4" t="n"/>
      <c r="C467" s="4" t="n"/>
      <c r="D467" s="4" t="n"/>
      <c r="E467" s="4" t="n"/>
    </row>
    <row r="468" ht="15.75" customHeight="1" s="40">
      <c r="A468" s="4" t="n"/>
      <c r="B468" s="4" t="n"/>
      <c r="C468" s="4" t="n"/>
      <c r="D468" s="4" t="n"/>
      <c r="E468" s="4" t="n"/>
    </row>
    <row r="469" ht="15.75" customHeight="1" s="40">
      <c r="A469" s="4" t="n"/>
      <c r="B469" s="4" t="n"/>
      <c r="C469" s="4" t="n"/>
      <c r="D469" s="4" t="n"/>
      <c r="E469" s="4" t="n"/>
    </row>
    <row r="470" ht="15.75" customHeight="1" s="40">
      <c r="A470" s="4" t="n"/>
      <c r="B470" s="4" t="n"/>
      <c r="C470" s="4" t="n"/>
      <c r="D470" s="4" t="n"/>
      <c r="E470" s="4" t="n"/>
    </row>
    <row r="471" ht="15.75" customHeight="1" s="40">
      <c r="A471" s="4" t="n"/>
      <c r="B471" s="4" t="n"/>
      <c r="C471" s="4" t="n"/>
      <c r="D471" s="4" t="n"/>
      <c r="E471" s="4" t="n"/>
    </row>
    <row r="472" ht="15.75" customHeight="1" s="40">
      <c r="A472" s="4" t="n"/>
      <c r="B472" s="4" t="n"/>
      <c r="C472" s="4" t="n"/>
      <c r="D472" s="4" t="n"/>
      <c r="E472" s="4" t="n"/>
    </row>
    <row r="473" ht="15.75" customHeight="1" s="40">
      <c r="A473" s="4" t="n"/>
      <c r="B473" s="4" t="n"/>
      <c r="C473" s="4" t="n"/>
      <c r="D473" s="4" t="n"/>
      <c r="E473" s="4" t="n"/>
    </row>
    <row r="474" ht="15.75" customHeight="1" s="40">
      <c r="A474" s="4" t="n"/>
      <c r="B474" s="4" t="n"/>
      <c r="C474" s="4" t="n"/>
      <c r="D474" s="4" t="n"/>
      <c r="E474" s="4" t="n"/>
    </row>
    <row r="475" ht="15.75" customHeight="1" s="40">
      <c r="A475" s="4" t="n"/>
      <c r="B475" s="4" t="n"/>
      <c r="C475" s="4" t="n"/>
      <c r="D475" s="4" t="n"/>
      <c r="E475" s="4" t="n"/>
    </row>
    <row r="476" ht="15.75" customHeight="1" s="40">
      <c r="A476" s="4" t="n"/>
      <c r="B476" s="4" t="n"/>
      <c r="C476" s="4" t="n"/>
      <c r="D476" s="4" t="n"/>
      <c r="E476" s="4" t="n"/>
    </row>
    <row r="477" ht="15.75" customHeight="1" s="40">
      <c r="A477" s="4" t="n"/>
      <c r="B477" s="4" t="n"/>
      <c r="C477" s="4" t="n"/>
      <c r="D477" s="4" t="n"/>
      <c r="E477" s="4" t="n"/>
    </row>
    <row r="478" ht="15.75" customHeight="1" s="40">
      <c r="A478" s="4" t="n"/>
      <c r="B478" s="4" t="n"/>
      <c r="C478" s="4" t="n"/>
      <c r="D478" s="4" t="n"/>
      <c r="E478" s="4" t="n"/>
    </row>
    <row r="479" ht="15.75" customHeight="1" s="40">
      <c r="A479" s="4" t="n"/>
      <c r="B479" s="4" t="n"/>
      <c r="C479" s="4" t="n"/>
      <c r="D479" s="4" t="n"/>
      <c r="E479" s="4" t="n"/>
    </row>
    <row r="480" ht="15.75" customHeight="1" s="40">
      <c r="A480" s="4" t="n"/>
      <c r="B480" s="4" t="n"/>
      <c r="C480" s="4" t="n"/>
      <c r="D480" s="4" t="n"/>
      <c r="E480" s="4" t="n"/>
    </row>
    <row r="481" ht="15.75" customHeight="1" s="40">
      <c r="A481" s="4" t="n"/>
      <c r="B481" s="4" t="n"/>
      <c r="C481" s="4" t="n"/>
      <c r="D481" s="4" t="n"/>
      <c r="E481" s="4" t="n"/>
    </row>
    <row r="482" ht="15.75" customHeight="1" s="40">
      <c r="A482" s="4" t="n"/>
      <c r="B482" s="4" t="n"/>
      <c r="C482" s="4" t="n"/>
      <c r="D482" s="4" t="n"/>
      <c r="E482" s="4" t="n"/>
    </row>
    <row r="483" ht="15.75" customHeight="1" s="40">
      <c r="A483" s="4" t="n"/>
      <c r="B483" s="4" t="n"/>
      <c r="C483" s="4" t="n"/>
      <c r="D483" s="4" t="n"/>
      <c r="E483" s="4" t="n"/>
    </row>
    <row r="484" ht="15.75" customHeight="1" s="40">
      <c r="A484" s="4" t="n"/>
      <c r="B484" s="4" t="n"/>
      <c r="C484" s="4" t="n"/>
      <c r="D484" s="4" t="n"/>
      <c r="E484" s="4" t="n"/>
    </row>
    <row r="485" ht="15.75" customHeight="1" s="40">
      <c r="A485" s="4" t="n"/>
      <c r="B485" s="4" t="n"/>
      <c r="C485" s="4" t="n"/>
      <c r="D485" s="4" t="n"/>
      <c r="E485" s="4" t="n"/>
    </row>
    <row r="486" ht="15.75" customHeight="1" s="40">
      <c r="A486" s="4" t="n"/>
      <c r="B486" s="4" t="n"/>
      <c r="C486" s="4" t="n"/>
      <c r="D486" s="4" t="n"/>
      <c r="E486" s="4" t="n"/>
    </row>
    <row r="487" ht="15.75" customHeight="1" s="40">
      <c r="A487" s="4" t="n"/>
      <c r="B487" s="4" t="n"/>
      <c r="C487" s="4" t="n"/>
      <c r="D487" s="4" t="n"/>
      <c r="E487" s="4" t="n"/>
    </row>
    <row r="488" ht="15.75" customHeight="1" s="40">
      <c r="A488" s="4" t="n"/>
      <c r="B488" s="4" t="n"/>
      <c r="C488" s="4" t="n"/>
      <c r="D488" s="4" t="n"/>
      <c r="E488" s="4" t="n"/>
    </row>
    <row r="489" ht="15.75" customHeight="1" s="40">
      <c r="A489" s="4" t="n"/>
      <c r="B489" s="4" t="n"/>
      <c r="C489" s="4" t="n"/>
      <c r="D489" s="4" t="n"/>
      <c r="E489" s="4" t="n"/>
    </row>
    <row r="490" ht="15.75" customHeight="1" s="40">
      <c r="A490" s="4" t="n"/>
      <c r="B490" s="4" t="n"/>
      <c r="C490" s="4" t="n"/>
      <c r="D490" s="4" t="n"/>
      <c r="E490" s="4" t="n"/>
    </row>
    <row r="491" ht="15.75" customHeight="1" s="40">
      <c r="A491" s="4" t="n"/>
      <c r="B491" s="4" t="n"/>
      <c r="C491" s="4" t="n"/>
      <c r="D491" s="4" t="n"/>
      <c r="E491" s="4" t="n"/>
    </row>
    <row r="492" ht="15.75" customHeight="1" s="40">
      <c r="A492" s="4" t="n"/>
      <c r="B492" s="4" t="n"/>
      <c r="C492" s="4" t="n"/>
      <c r="D492" s="4" t="n"/>
      <c r="E492" s="4" t="n"/>
    </row>
    <row r="493" ht="15.75" customHeight="1" s="40">
      <c r="A493" s="4" t="n"/>
      <c r="B493" s="4" t="n"/>
      <c r="C493" s="4" t="n"/>
      <c r="D493" s="4" t="n"/>
      <c r="E493" s="4" t="n"/>
    </row>
    <row r="494" ht="15.75" customHeight="1" s="40">
      <c r="A494" s="4" t="n"/>
      <c r="B494" s="4" t="n"/>
      <c r="C494" s="4" t="n"/>
      <c r="D494" s="4" t="n"/>
      <c r="E494" s="4" t="n"/>
    </row>
    <row r="495" ht="15.75" customHeight="1" s="40">
      <c r="A495" s="4" t="n"/>
      <c r="B495" s="4" t="n"/>
      <c r="C495" s="4" t="n"/>
      <c r="D495" s="4" t="n"/>
      <c r="E495" s="4" t="n"/>
    </row>
    <row r="496" ht="15.75" customHeight="1" s="40">
      <c r="A496" s="4" t="n"/>
      <c r="B496" s="4" t="n"/>
      <c r="C496" s="4" t="n"/>
      <c r="D496" s="4" t="n"/>
      <c r="E496" s="4" t="n"/>
    </row>
    <row r="497" ht="15.75" customHeight="1" s="40">
      <c r="A497" s="4" t="n"/>
      <c r="B497" s="4" t="n"/>
      <c r="C497" s="4" t="n"/>
      <c r="D497" s="4" t="n"/>
      <c r="E497" s="4" t="n"/>
    </row>
    <row r="498" ht="15.75" customHeight="1" s="40">
      <c r="A498" s="4" t="n"/>
      <c r="B498" s="4" t="n"/>
      <c r="C498" s="4" t="n"/>
      <c r="D498" s="4" t="n"/>
      <c r="E498" s="4" t="n"/>
    </row>
    <row r="499" ht="15.75" customHeight="1" s="40">
      <c r="A499" s="4" t="n"/>
      <c r="B499" s="4" t="n"/>
      <c r="C499" s="4" t="n"/>
      <c r="D499" s="4" t="n"/>
      <c r="E499" s="4" t="n"/>
    </row>
    <row r="500" ht="15.75" customHeight="1" s="40">
      <c r="A500" s="4" t="n"/>
      <c r="B500" s="4" t="n"/>
      <c r="C500" s="4" t="n"/>
      <c r="D500" s="4" t="n"/>
      <c r="E500" s="4" t="n"/>
    </row>
    <row r="501" ht="15.75" customHeight="1" s="40">
      <c r="A501" s="4" t="n"/>
      <c r="B501" s="4" t="n"/>
      <c r="C501" s="4" t="n"/>
      <c r="D501" s="4" t="n"/>
      <c r="E501" s="4" t="n"/>
    </row>
    <row r="502" ht="15.75" customHeight="1" s="40">
      <c r="A502" s="4" t="n"/>
      <c r="B502" s="4" t="n"/>
      <c r="C502" s="4" t="n"/>
      <c r="D502" s="4" t="n"/>
      <c r="E502" s="4" t="n"/>
    </row>
    <row r="503" ht="15.75" customHeight="1" s="40">
      <c r="A503" s="4" t="n"/>
      <c r="B503" s="4" t="n"/>
      <c r="C503" s="4" t="n"/>
      <c r="D503" s="4" t="n"/>
      <c r="E503" s="4" t="n"/>
    </row>
    <row r="504" ht="15.75" customHeight="1" s="40">
      <c r="A504" s="4" t="n"/>
      <c r="B504" s="4" t="n"/>
      <c r="C504" s="4" t="n"/>
      <c r="D504" s="4" t="n"/>
      <c r="E504" s="4" t="n"/>
    </row>
    <row r="505" ht="15.75" customHeight="1" s="40">
      <c r="A505" s="4" t="n"/>
      <c r="B505" s="4" t="n"/>
      <c r="C505" s="4" t="n"/>
      <c r="D505" s="4" t="n"/>
      <c r="E505" s="4" t="n"/>
    </row>
    <row r="506" ht="15.75" customHeight="1" s="40">
      <c r="A506" s="4" t="n"/>
      <c r="B506" s="4" t="n"/>
      <c r="C506" s="4" t="n"/>
      <c r="D506" s="4" t="n"/>
      <c r="E506" s="4" t="n"/>
    </row>
    <row r="507" ht="15.75" customHeight="1" s="40">
      <c r="A507" s="4" t="n"/>
      <c r="B507" s="4" t="n"/>
      <c r="C507" s="4" t="n"/>
      <c r="D507" s="4" t="n"/>
      <c r="E507" s="4" t="n"/>
    </row>
    <row r="508" ht="15.75" customHeight="1" s="40">
      <c r="A508" s="4" t="n"/>
      <c r="B508" s="4" t="n"/>
      <c r="C508" s="4" t="n"/>
      <c r="D508" s="4" t="n"/>
      <c r="E508" s="4" t="n"/>
    </row>
    <row r="509" ht="15.75" customHeight="1" s="40">
      <c r="A509" s="4" t="n"/>
      <c r="B509" s="4" t="n"/>
      <c r="C509" s="4" t="n"/>
      <c r="D509" s="4" t="n"/>
      <c r="E509" s="4" t="n"/>
    </row>
    <row r="510" ht="15.75" customHeight="1" s="40">
      <c r="A510" s="4" t="n"/>
      <c r="B510" s="4" t="n"/>
      <c r="C510" s="4" t="n"/>
      <c r="D510" s="4" t="n"/>
      <c r="E510" s="4" t="n"/>
    </row>
    <row r="511" ht="15.75" customHeight="1" s="40">
      <c r="A511" s="4" t="n"/>
      <c r="B511" s="4" t="n"/>
      <c r="C511" s="4" t="n"/>
      <c r="D511" s="4" t="n"/>
      <c r="E511" s="4" t="n"/>
    </row>
    <row r="512" ht="15.75" customHeight="1" s="40">
      <c r="A512" s="4" t="n"/>
      <c r="B512" s="4" t="n"/>
      <c r="C512" s="4" t="n"/>
      <c r="D512" s="4" t="n"/>
      <c r="E512" s="4" t="n"/>
    </row>
    <row r="513" ht="15.75" customHeight="1" s="40">
      <c r="A513" s="4" t="n"/>
      <c r="B513" s="4" t="n"/>
      <c r="C513" s="4" t="n"/>
      <c r="D513" s="4" t="n"/>
      <c r="E513" s="4" t="n"/>
    </row>
    <row r="514" ht="15.75" customHeight="1" s="40">
      <c r="A514" s="4" t="n"/>
      <c r="B514" s="4" t="n"/>
      <c r="C514" s="4" t="n"/>
      <c r="D514" s="4" t="n"/>
      <c r="E514" s="4" t="n"/>
    </row>
    <row r="515" ht="15.75" customHeight="1" s="40">
      <c r="A515" s="4" t="n"/>
      <c r="B515" s="4" t="n"/>
      <c r="C515" s="4" t="n"/>
      <c r="D515" s="4" t="n"/>
      <c r="E515" s="4" t="n"/>
    </row>
    <row r="516" ht="15.75" customHeight="1" s="40">
      <c r="A516" s="4" t="n"/>
      <c r="B516" s="4" t="n"/>
      <c r="C516" s="4" t="n"/>
      <c r="D516" s="4" t="n"/>
      <c r="E516" s="4" t="n"/>
    </row>
    <row r="517" ht="15.75" customHeight="1" s="40">
      <c r="A517" s="4" t="n"/>
      <c r="B517" s="4" t="n"/>
      <c r="C517" s="4" t="n"/>
      <c r="D517" s="4" t="n"/>
      <c r="E517" s="4" t="n"/>
    </row>
    <row r="518" ht="15.75" customHeight="1" s="40">
      <c r="A518" s="4" t="n"/>
      <c r="B518" s="4" t="n"/>
      <c r="C518" s="4" t="n"/>
      <c r="D518" s="4" t="n"/>
      <c r="E518" s="4" t="n"/>
    </row>
    <row r="519" ht="15.75" customHeight="1" s="40">
      <c r="A519" s="4" t="n"/>
      <c r="B519" s="4" t="n"/>
      <c r="C519" s="4" t="n"/>
      <c r="D519" s="4" t="n"/>
      <c r="E519" s="4" t="n"/>
    </row>
    <row r="520" ht="15.75" customHeight="1" s="40">
      <c r="A520" s="4" t="n"/>
      <c r="B520" s="4" t="n"/>
      <c r="C520" s="4" t="n"/>
      <c r="D520" s="4" t="n"/>
      <c r="E520" s="4" t="n"/>
    </row>
    <row r="521" ht="15.75" customHeight="1" s="40">
      <c r="A521" s="4" t="n"/>
      <c r="B521" s="4" t="n"/>
      <c r="C521" s="4" t="n"/>
      <c r="D521" s="4" t="n"/>
      <c r="E521" s="4" t="n"/>
    </row>
    <row r="522" ht="15.75" customHeight="1" s="40">
      <c r="A522" s="4" t="n"/>
      <c r="B522" s="4" t="n"/>
      <c r="C522" s="4" t="n"/>
      <c r="D522" s="4" t="n"/>
      <c r="E522" s="4" t="n"/>
    </row>
    <row r="523" ht="15.75" customHeight="1" s="40">
      <c r="A523" s="4" t="n"/>
      <c r="B523" s="4" t="n"/>
      <c r="C523" s="4" t="n"/>
      <c r="D523" s="4" t="n"/>
      <c r="E523" s="4" t="n"/>
    </row>
    <row r="524" ht="15.75" customHeight="1" s="40">
      <c r="A524" s="4" t="n"/>
      <c r="B524" s="4" t="n"/>
      <c r="C524" s="4" t="n"/>
      <c r="D524" s="4" t="n"/>
      <c r="E524" s="4" t="n"/>
    </row>
    <row r="525" ht="15.75" customHeight="1" s="40">
      <c r="A525" s="4" t="n"/>
      <c r="B525" s="4" t="n"/>
      <c r="C525" s="4" t="n"/>
      <c r="D525" s="4" t="n"/>
      <c r="E525" s="4" t="n"/>
    </row>
    <row r="526" ht="15.75" customHeight="1" s="40">
      <c r="A526" s="4" t="n"/>
      <c r="B526" s="4" t="n"/>
      <c r="C526" s="4" t="n"/>
      <c r="D526" s="4" t="n"/>
      <c r="E526" s="4" t="n"/>
    </row>
    <row r="527" ht="15.75" customHeight="1" s="40">
      <c r="A527" s="4" t="n"/>
      <c r="B527" s="4" t="n"/>
      <c r="C527" s="4" t="n"/>
      <c r="D527" s="4" t="n"/>
      <c r="E527" s="4" t="n"/>
    </row>
    <row r="528" ht="15.75" customHeight="1" s="40">
      <c r="A528" s="4" t="n"/>
      <c r="B528" s="4" t="n"/>
      <c r="C528" s="4" t="n"/>
      <c r="D528" s="4" t="n"/>
      <c r="E528" s="4" t="n"/>
    </row>
    <row r="529" ht="15.75" customHeight="1" s="40">
      <c r="A529" s="4" t="n"/>
      <c r="B529" s="4" t="n"/>
      <c r="C529" s="4" t="n"/>
      <c r="D529" s="4" t="n"/>
      <c r="E529" s="4" t="n"/>
    </row>
    <row r="530" ht="15.75" customHeight="1" s="40">
      <c r="A530" s="4" t="n"/>
      <c r="B530" s="4" t="n"/>
      <c r="C530" s="4" t="n"/>
      <c r="D530" s="4" t="n"/>
      <c r="E530" s="4" t="n"/>
    </row>
    <row r="531" ht="15.75" customHeight="1" s="40">
      <c r="A531" s="4" t="n"/>
      <c r="B531" s="4" t="n"/>
      <c r="C531" s="4" t="n"/>
      <c r="D531" s="4" t="n"/>
      <c r="E531" s="4" t="n"/>
    </row>
    <row r="532" ht="15.75" customHeight="1" s="40">
      <c r="A532" s="4" t="n"/>
      <c r="B532" s="4" t="n"/>
      <c r="C532" s="4" t="n"/>
      <c r="D532" s="4" t="n"/>
      <c r="E532" s="4" t="n"/>
    </row>
    <row r="533" ht="15.75" customHeight="1" s="40">
      <c r="A533" s="4" t="n"/>
      <c r="B533" s="4" t="n"/>
      <c r="C533" s="4" t="n"/>
      <c r="D533" s="4" t="n"/>
      <c r="E533" s="4" t="n"/>
    </row>
    <row r="534" ht="15.75" customHeight="1" s="40">
      <c r="A534" s="4" t="n"/>
      <c r="B534" s="4" t="n"/>
      <c r="C534" s="4" t="n"/>
      <c r="D534" s="4" t="n"/>
      <c r="E534" s="4" t="n"/>
    </row>
    <row r="535" ht="15.75" customHeight="1" s="40">
      <c r="A535" s="4" t="n"/>
      <c r="B535" s="4" t="n"/>
      <c r="C535" s="4" t="n"/>
      <c r="D535" s="4" t="n"/>
      <c r="E535" s="4" t="n"/>
    </row>
    <row r="536" ht="15.75" customHeight="1" s="40">
      <c r="A536" s="4" t="n"/>
      <c r="B536" s="4" t="n"/>
      <c r="C536" s="4" t="n"/>
      <c r="D536" s="4" t="n"/>
      <c r="E536" s="4" t="n"/>
    </row>
    <row r="537" ht="15.75" customHeight="1" s="40">
      <c r="A537" s="4" t="n"/>
      <c r="B537" s="4" t="n"/>
      <c r="C537" s="4" t="n"/>
      <c r="D537" s="4" t="n"/>
      <c r="E537" s="4" t="n"/>
    </row>
    <row r="538" ht="15.75" customHeight="1" s="40">
      <c r="A538" s="4" t="n"/>
      <c r="B538" s="4" t="n"/>
      <c r="C538" s="4" t="n"/>
      <c r="D538" s="4" t="n"/>
      <c r="E538" s="4" t="n"/>
    </row>
    <row r="539" ht="15.75" customHeight="1" s="40">
      <c r="A539" s="4" t="n"/>
      <c r="B539" s="4" t="n"/>
      <c r="C539" s="4" t="n"/>
      <c r="D539" s="4" t="n"/>
      <c r="E539" s="4" t="n"/>
    </row>
    <row r="540" ht="15.75" customHeight="1" s="40">
      <c r="A540" s="4" t="n"/>
      <c r="B540" s="4" t="n"/>
      <c r="C540" s="4" t="n"/>
      <c r="D540" s="4" t="n"/>
      <c r="E540" s="4" t="n"/>
    </row>
    <row r="541" ht="15.75" customHeight="1" s="40">
      <c r="A541" s="4" t="n"/>
      <c r="B541" s="4" t="n"/>
      <c r="C541" s="4" t="n"/>
      <c r="D541" s="4" t="n"/>
      <c r="E541" s="4" t="n"/>
    </row>
    <row r="542" ht="15.75" customHeight="1" s="40">
      <c r="A542" s="4" t="n"/>
      <c r="B542" s="4" t="n"/>
      <c r="C542" s="4" t="n"/>
      <c r="D542" s="4" t="n"/>
      <c r="E542" s="4" t="n"/>
    </row>
    <row r="543" ht="15.75" customHeight="1" s="40">
      <c r="A543" s="4" t="n"/>
      <c r="B543" s="4" t="n"/>
      <c r="C543" s="4" t="n"/>
      <c r="D543" s="4" t="n"/>
      <c r="E543" s="4" t="n"/>
    </row>
    <row r="544" ht="15.75" customHeight="1" s="40">
      <c r="A544" s="4" t="n"/>
      <c r="B544" s="4" t="n"/>
      <c r="C544" s="4" t="n"/>
      <c r="D544" s="4" t="n"/>
      <c r="E544" s="4" t="n"/>
    </row>
    <row r="545" ht="15.75" customHeight="1" s="40">
      <c r="A545" s="4" t="n"/>
      <c r="B545" s="4" t="n"/>
      <c r="C545" s="4" t="n"/>
      <c r="D545" s="4" t="n"/>
      <c r="E545" s="4" t="n"/>
    </row>
    <row r="546" ht="15.75" customHeight="1" s="40">
      <c r="A546" s="4" t="n"/>
      <c r="B546" s="4" t="n"/>
      <c r="C546" s="4" t="n"/>
      <c r="D546" s="4" t="n"/>
      <c r="E546" s="4" t="n"/>
    </row>
    <row r="547" ht="15.75" customHeight="1" s="40">
      <c r="A547" s="4" t="n"/>
      <c r="B547" s="4" t="n"/>
      <c r="C547" s="4" t="n"/>
      <c r="D547" s="4" t="n"/>
      <c r="E547" s="4" t="n"/>
    </row>
    <row r="548" ht="15.75" customHeight="1" s="40">
      <c r="A548" s="4" t="n"/>
      <c r="B548" s="4" t="n"/>
      <c r="C548" s="4" t="n"/>
      <c r="D548" s="4" t="n"/>
      <c r="E548" s="4" t="n"/>
    </row>
    <row r="549" ht="15.75" customHeight="1" s="40">
      <c r="A549" s="4" t="n"/>
      <c r="B549" s="4" t="n"/>
      <c r="C549" s="4" t="n"/>
      <c r="D549" s="4" t="n"/>
      <c r="E549" s="4" t="n"/>
    </row>
    <row r="550" ht="15.75" customHeight="1" s="40">
      <c r="A550" s="4" t="n"/>
      <c r="B550" s="4" t="n"/>
      <c r="C550" s="4" t="n"/>
      <c r="D550" s="4" t="n"/>
      <c r="E550" s="4" t="n"/>
    </row>
    <row r="551" ht="15.75" customHeight="1" s="40">
      <c r="A551" s="4" t="n"/>
      <c r="B551" s="4" t="n"/>
      <c r="C551" s="4" t="n"/>
      <c r="D551" s="4" t="n"/>
      <c r="E551" s="4" t="n"/>
    </row>
    <row r="552" ht="15.75" customHeight="1" s="40">
      <c r="A552" s="4" t="n"/>
      <c r="B552" s="4" t="n"/>
      <c r="C552" s="4" t="n"/>
      <c r="D552" s="4" t="n"/>
      <c r="E552" s="4" t="n"/>
    </row>
    <row r="553" ht="15.75" customHeight="1" s="40">
      <c r="A553" s="4" t="n"/>
      <c r="B553" s="4" t="n"/>
      <c r="C553" s="4" t="n"/>
      <c r="D553" s="4" t="n"/>
      <c r="E553" s="4" t="n"/>
    </row>
    <row r="554" ht="15.75" customHeight="1" s="40">
      <c r="A554" s="4" t="n"/>
      <c r="B554" s="4" t="n"/>
      <c r="C554" s="4" t="n"/>
      <c r="D554" s="4" t="n"/>
      <c r="E554" s="4" t="n"/>
    </row>
    <row r="555" ht="15.75" customHeight="1" s="40">
      <c r="A555" s="4" t="n"/>
      <c r="B555" s="4" t="n"/>
      <c r="C555" s="4" t="n"/>
      <c r="D555" s="4" t="n"/>
      <c r="E555" s="4" t="n"/>
    </row>
    <row r="556" ht="15.75" customHeight="1" s="40">
      <c r="A556" s="4" t="n"/>
      <c r="B556" s="4" t="n"/>
      <c r="C556" s="4" t="n"/>
      <c r="D556" s="4" t="n"/>
      <c r="E556" s="4" t="n"/>
    </row>
    <row r="557" ht="15.75" customHeight="1" s="40">
      <c r="A557" s="4" t="n"/>
      <c r="B557" s="4" t="n"/>
      <c r="C557" s="4" t="n"/>
      <c r="D557" s="4" t="n"/>
      <c r="E557" s="4" t="n"/>
    </row>
    <row r="558" ht="15.75" customHeight="1" s="40">
      <c r="A558" s="4" t="n"/>
      <c r="B558" s="4" t="n"/>
      <c r="C558" s="4" t="n"/>
      <c r="D558" s="4" t="n"/>
      <c r="E558" s="4" t="n"/>
    </row>
    <row r="559" ht="15.75" customHeight="1" s="40">
      <c r="A559" s="4" t="n"/>
      <c r="B559" s="4" t="n"/>
      <c r="C559" s="4" t="n"/>
      <c r="D559" s="4" t="n"/>
      <c r="E559" s="4" t="n"/>
    </row>
    <row r="560" ht="15.75" customHeight="1" s="40">
      <c r="A560" s="4" t="n"/>
      <c r="B560" s="4" t="n"/>
      <c r="C560" s="4" t="n"/>
      <c r="D560" s="4" t="n"/>
      <c r="E560" s="4" t="n"/>
    </row>
    <row r="561" ht="15.75" customHeight="1" s="40">
      <c r="A561" s="4" t="n"/>
      <c r="B561" s="4" t="n"/>
      <c r="C561" s="4" t="n"/>
      <c r="D561" s="4" t="n"/>
      <c r="E561" s="4" t="n"/>
    </row>
    <row r="562" ht="15.75" customHeight="1" s="40">
      <c r="A562" s="4" t="n"/>
      <c r="B562" s="4" t="n"/>
      <c r="C562" s="4" t="n"/>
      <c r="D562" s="4" t="n"/>
      <c r="E562" s="4" t="n"/>
    </row>
    <row r="563" ht="15.75" customHeight="1" s="40">
      <c r="A563" s="4" t="n"/>
      <c r="B563" s="4" t="n"/>
      <c r="C563" s="4" t="n"/>
      <c r="D563" s="4" t="n"/>
      <c r="E563" s="4" t="n"/>
    </row>
    <row r="564" ht="15.75" customHeight="1" s="40">
      <c r="A564" s="4" t="n"/>
      <c r="B564" s="4" t="n"/>
      <c r="C564" s="4" t="n"/>
      <c r="D564" s="4" t="n"/>
      <c r="E564" s="4" t="n"/>
    </row>
    <row r="565" ht="15.75" customHeight="1" s="40">
      <c r="A565" s="4" t="n"/>
      <c r="B565" s="4" t="n"/>
      <c r="C565" s="4" t="n"/>
      <c r="D565" s="4" t="n"/>
      <c r="E565" s="4" t="n"/>
    </row>
    <row r="566" ht="15.75" customHeight="1" s="40">
      <c r="A566" s="4" t="n"/>
      <c r="B566" s="4" t="n"/>
      <c r="C566" s="4" t="n"/>
      <c r="D566" s="4" t="n"/>
      <c r="E566" s="4" t="n"/>
    </row>
    <row r="567" ht="15.75" customHeight="1" s="40">
      <c r="A567" s="4" t="n"/>
      <c r="B567" s="4" t="n"/>
      <c r="C567" s="4" t="n"/>
      <c r="D567" s="4" t="n"/>
      <c r="E567" s="4" t="n"/>
    </row>
    <row r="568" ht="15.75" customHeight="1" s="40">
      <c r="A568" s="4" t="n"/>
      <c r="B568" s="4" t="n"/>
      <c r="C568" s="4" t="n"/>
      <c r="D568" s="4" t="n"/>
      <c r="E568" s="4" t="n"/>
    </row>
    <row r="569" ht="15.75" customHeight="1" s="40">
      <c r="A569" s="4" t="n"/>
      <c r="B569" s="4" t="n"/>
      <c r="C569" s="4" t="n"/>
      <c r="D569" s="4" t="n"/>
      <c r="E569" s="4" t="n"/>
    </row>
    <row r="570" ht="15.75" customHeight="1" s="40">
      <c r="A570" s="4" t="n"/>
      <c r="B570" s="4" t="n"/>
      <c r="C570" s="4" t="n"/>
      <c r="D570" s="4" t="n"/>
      <c r="E570" s="4" t="n"/>
    </row>
    <row r="571" ht="15.75" customHeight="1" s="40">
      <c r="A571" s="4" t="n"/>
      <c r="B571" s="4" t="n"/>
      <c r="C571" s="4" t="n"/>
      <c r="D571" s="4" t="n"/>
      <c r="E571" s="4" t="n"/>
    </row>
    <row r="572" ht="15.75" customHeight="1" s="40">
      <c r="A572" s="4" t="n"/>
      <c r="B572" s="4" t="n"/>
      <c r="C572" s="4" t="n"/>
      <c r="D572" s="4" t="n"/>
      <c r="E572" s="4" t="n"/>
    </row>
    <row r="573" ht="15.75" customHeight="1" s="40">
      <c r="A573" s="4" t="n"/>
      <c r="B573" s="4" t="n"/>
      <c r="C573" s="4" t="n"/>
      <c r="D573" s="4" t="n"/>
      <c r="E573" s="4" t="n"/>
    </row>
    <row r="574" ht="15.75" customHeight="1" s="40">
      <c r="A574" s="4" t="n"/>
      <c r="B574" s="4" t="n"/>
      <c r="C574" s="4" t="n"/>
      <c r="D574" s="4" t="n"/>
      <c r="E574" s="4" t="n"/>
    </row>
    <row r="575" ht="15.75" customHeight="1" s="40">
      <c r="A575" s="4" t="n"/>
      <c r="B575" s="4" t="n"/>
      <c r="C575" s="4" t="n"/>
      <c r="D575" s="4" t="n"/>
      <c r="E575" s="4" t="n"/>
    </row>
    <row r="576" ht="15.75" customHeight="1" s="40">
      <c r="A576" s="4" t="n"/>
      <c r="B576" s="4" t="n"/>
      <c r="C576" s="4" t="n"/>
      <c r="D576" s="4" t="n"/>
      <c r="E576" s="4" t="n"/>
    </row>
    <row r="577" ht="15.75" customHeight="1" s="40">
      <c r="A577" s="4" t="n"/>
      <c r="B577" s="4" t="n"/>
      <c r="C577" s="4" t="n"/>
      <c r="D577" s="4" t="n"/>
      <c r="E577" s="4" t="n"/>
    </row>
    <row r="578" ht="15.75" customHeight="1" s="40">
      <c r="A578" s="4" t="n"/>
      <c r="B578" s="4" t="n"/>
      <c r="C578" s="4" t="n"/>
      <c r="D578" s="4" t="n"/>
      <c r="E578" s="4" t="n"/>
    </row>
    <row r="579" ht="15.75" customHeight="1" s="40">
      <c r="A579" s="4" t="n"/>
      <c r="B579" s="4" t="n"/>
      <c r="C579" s="4" t="n"/>
      <c r="D579" s="4" t="n"/>
      <c r="E579" s="4" t="n"/>
    </row>
    <row r="580" ht="15.75" customHeight="1" s="40">
      <c r="A580" s="4" t="n"/>
      <c r="B580" s="4" t="n"/>
      <c r="C580" s="4" t="n"/>
      <c r="D580" s="4" t="n"/>
      <c r="E580" s="4" t="n"/>
    </row>
    <row r="581" ht="15.75" customHeight="1" s="40">
      <c r="A581" s="4" t="n"/>
      <c r="B581" s="4" t="n"/>
      <c r="C581" s="4" t="n"/>
      <c r="D581" s="4" t="n"/>
      <c r="E581" s="4" t="n"/>
    </row>
    <row r="582" ht="15.75" customHeight="1" s="40">
      <c r="A582" s="4" t="n"/>
      <c r="B582" s="4" t="n"/>
      <c r="C582" s="4" t="n"/>
      <c r="D582" s="4" t="n"/>
      <c r="E582" s="4" t="n"/>
    </row>
    <row r="583" ht="15.75" customHeight="1" s="40">
      <c r="A583" s="4" t="n"/>
      <c r="B583" s="4" t="n"/>
      <c r="C583" s="4" t="n"/>
      <c r="D583" s="4" t="n"/>
      <c r="E583" s="4" t="n"/>
    </row>
    <row r="584" ht="15.75" customHeight="1" s="40">
      <c r="A584" s="4" t="n"/>
      <c r="B584" s="4" t="n"/>
      <c r="C584" s="4" t="n"/>
      <c r="D584" s="4" t="n"/>
      <c r="E584" s="4" t="n"/>
    </row>
    <row r="585" ht="15.75" customHeight="1" s="40">
      <c r="A585" s="4" t="n"/>
      <c r="B585" s="4" t="n"/>
      <c r="C585" s="4" t="n"/>
      <c r="D585" s="4" t="n"/>
      <c r="E585" s="4" t="n"/>
    </row>
    <row r="586" ht="15.75" customHeight="1" s="40">
      <c r="A586" s="4" t="n"/>
      <c r="B586" s="4" t="n"/>
      <c r="C586" s="4" t="n"/>
      <c r="D586" s="4" t="n"/>
      <c r="E586" s="4" t="n"/>
    </row>
    <row r="587" ht="15.75" customHeight="1" s="40">
      <c r="A587" s="4" t="n"/>
      <c r="B587" s="4" t="n"/>
      <c r="C587" s="4" t="n"/>
      <c r="D587" s="4" t="n"/>
      <c r="E587" s="4" t="n"/>
    </row>
    <row r="588" ht="15.75" customHeight="1" s="40">
      <c r="A588" s="4" t="n"/>
      <c r="B588" s="4" t="n"/>
      <c r="C588" s="4" t="n"/>
      <c r="D588" s="4" t="n"/>
      <c r="E588" s="4" t="n"/>
    </row>
    <row r="589" ht="15.75" customHeight="1" s="40">
      <c r="A589" s="4" t="n"/>
      <c r="B589" s="4" t="n"/>
      <c r="C589" s="4" t="n"/>
      <c r="D589" s="4" t="n"/>
      <c r="E589" s="4" t="n"/>
    </row>
    <row r="590" ht="15.75" customHeight="1" s="40">
      <c r="A590" s="4" t="n"/>
      <c r="B590" s="4" t="n"/>
      <c r="C590" s="4" t="n"/>
      <c r="D590" s="4" t="n"/>
      <c r="E590" s="4" t="n"/>
    </row>
    <row r="591" ht="15.75" customHeight="1" s="40">
      <c r="A591" s="4" t="n"/>
      <c r="B591" s="4" t="n"/>
      <c r="C591" s="4" t="n"/>
      <c r="D591" s="4" t="n"/>
      <c r="E591" s="4" t="n"/>
    </row>
    <row r="592" ht="15.75" customHeight="1" s="40">
      <c r="A592" s="4" t="n"/>
      <c r="B592" s="4" t="n"/>
      <c r="C592" s="4" t="n"/>
      <c r="D592" s="4" t="n"/>
      <c r="E592" s="4" t="n"/>
    </row>
    <row r="593" ht="15.75" customHeight="1" s="40">
      <c r="A593" s="4" t="n"/>
      <c r="B593" s="4" t="n"/>
      <c r="C593" s="4" t="n"/>
      <c r="D593" s="4" t="n"/>
      <c r="E593" s="4" t="n"/>
    </row>
    <row r="594" ht="15.75" customHeight="1" s="40">
      <c r="A594" s="4" t="n"/>
      <c r="B594" s="4" t="n"/>
      <c r="C594" s="4" t="n"/>
      <c r="D594" s="4" t="n"/>
      <c r="E594" s="4" t="n"/>
    </row>
    <row r="595" ht="15.75" customHeight="1" s="40">
      <c r="A595" s="4" t="n"/>
      <c r="B595" s="4" t="n"/>
      <c r="C595" s="4" t="n"/>
      <c r="D595" s="4" t="n"/>
      <c r="E595" s="4" t="n"/>
    </row>
    <row r="596" ht="15.75" customHeight="1" s="40">
      <c r="A596" s="4" t="n"/>
      <c r="B596" s="4" t="n"/>
      <c r="C596" s="4" t="n"/>
      <c r="D596" s="4" t="n"/>
      <c r="E596" s="4" t="n"/>
    </row>
    <row r="597" ht="15.75" customHeight="1" s="40">
      <c r="A597" s="4" t="n"/>
      <c r="B597" s="4" t="n"/>
      <c r="C597" s="4" t="n"/>
      <c r="D597" s="4" t="n"/>
      <c r="E597" s="4" t="n"/>
    </row>
    <row r="598" ht="15.75" customHeight="1" s="40">
      <c r="A598" s="4" t="n"/>
      <c r="B598" s="4" t="n"/>
      <c r="C598" s="4" t="n"/>
      <c r="D598" s="4" t="n"/>
      <c r="E598" s="4" t="n"/>
    </row>
    <row r="599" ht="15.75" customHeight="1" s="40">
      <c r="A599" s="4" t="n"/>
      <c r="B599" s="4" t="n"/>
      <c r="C599" s="4" t="n"/>
      <c r="D599" s="4" t="n"/>
      <c r="E599" s="4" t="n"/>
    </row>
    <row r="600" ht="15.75" customHeight="1" s="40">
      <c r="A600" s="4" t="n"/>
      <c r="B600" s="4" t="n"/>
      <c r="C600" s="4" t="n"/>
      <c r="D600" s="4" t="n"/>
      <c r="E600" s="4" t="n"/>
    </row>
    <row r="601" ht="15.75" customHeight="1" s="40">
      <c r="A601" s="4" t="n"/>
      <c r="B601" s="4" t="n"/>
      <c r="C601" s="4" t="n"/>
      <c r="D601" s="4" t="n"/>
      <c r="E601" s="4" t="n"/>
    </row>
    <row r="602" ht="15.75" customHeight="1" s="40">
      <c r="A602" s="4" t="n"/>
      <c r="B602" s="4" t="n"/>
      <c r="C602" s="4" t="n"/>
      <c r="D602" s="4" t="n"/>
      <c r="E602" s="4" t="n"/>
    </row>
    <row r="603" ht="15.75" customHeight="1" s="40">
      <c r="A603" s="4" t="n"/>
      <c r="B603" s="4" t="n"/>
      <c r="C603" s="4" t="n"/>
      <c r="D603" s="4" t="n"/>
      <c r="E603" s="4" t="n"/>
    </row>
    <row r="604" ht="15.75" customHeight="1" s="40">
      <c r="A604" s="4" t="n"/>
      <c r="B604" s="4" t="n"/>
      <c r="C604" s="4" t="n"/>
      <c r="D604" s="4" t="n"/>
      <c r="E604" s="4" t="n"/>
    </row>
    <row r="605" ht="15.75" customHeight="1" s="40">
      <c r="A605" s="4" t="n"/>
      <c r="B605" s="4" t="n"/>
      <c r="C605" s="4" t="n"/>
      <c r="D605" s="4" t="n"/>
      <c r="E605" s="4" t="n"/>
    </row>
    <row r="606" ht="15.75" customHeight="1" s="40">
      <c r="A606" s="4" t="n"/>
      <c r="B606" s="4" t="n"/>
      <c r="C606" s="4" t="n"/>
      <c r="D606" s="4" t="n"/>
      <c r="E606" s="4" t="n"/>
    </row>
    <row r="607" ht="15.75" customHeight="1" s="40">
      <c r="A607" s="4" t="n"/>
      <c r="B607" s="4" t="n"/>
      <c r="C607" s="4" t="n"/>
      <c r="D607" s="4" t="n"/>
      <c r="E607" s="4" t="n"/>
    </row>
    <row r="608" ht="15.75" customHeight="1" s="40">
      <c r="A608" s="4" t="n"/>
      <c r="B608" s="4" t="n"/>
      <c r="C608" s="4" t="n"/>
      <c r="D608" s="4" t="n"/>
      <c r="E608" s="4" t="n"/>
    </row>
    <row r="609" ht="15.75" customHeight="1" s="40">
      <c r="A609" s="4" t="n"/>
      <c r="B609" s="4" t="n"/>
      <c r="C609" s="4" t="n"/>
      <c r="D609" s="4" t="n"/>
      <c r="E609" s="4" t="n"/>
    </row>
    <row r="610" ht="15.75" customHeight="1" s="40">
      <c r="A610" s="4" t="n"/>
      <c r="B610" s="4" t="n"/>
      <c r="C610" s="4" t="n"/>
      <c r="D610" s="4" t="n"/>
      <c r="E610" s="4" t="n"/>
    </row>
    <row r="611" ht="15.75" customHeight="1" s="40">
      <c r="A611" s="4" t="n"/>
      <c r="B611" s="4" t="n"/>
      <c r="C611" s="4" t="n"/>
      <c r="D611" s="4" t="n"/>
      <c r="E611" s="4" t="n"/>
    </row>
    <row r="612" ht="15.75" customHeight="1" s="40">
      <c r="A612" s="4" t="n"/>
      <c r="B612" s="4" t="n"/>
      <c r="C612" s="4" t="n"/>
      <c r="D612" s="4" t="n"/>
      <c r="E612" s="4" t="n"/>
    </row>
    <row r="613" ht="15.75" customHeight="1" s="40">
      <c r="A613" s="4" t="n"/>
      <c r="B613" s="4" t="n"/>
      <c r="C613" s="4" t="n"/>
      <c r="D613" s="4" t="n"/>
      <c r="E613" s="4" t="n"/>
    </row>
    <row r="614" ht="15.75" customHeight="1" s="40">
      <c r="A614" s="4" t="n"/>
      <c r="B614" s="4" t="n"/>
      <c r="C614" s="4" t="n"/>
      <c r="D614" s="4" t="n"/>
      <c r="E614" s="4" t="n"/>
    </row>
    <row r="615" ht="15.75" customHeight="1" s="40">
      <c r="A615" s="4" t="n"/>
      <c r="B615" s="4" t="n"/>
      <c r="C615" s="4" t="n"/>
      <c r="D615" s="4" t="n"/>
      <c r="E615" s="4" t="n"/>
    </row>
    <row r="616" ht="15.75" customHeight="1" s="40">
      <c r="A616" s="4" t="n"/>
      <c r="B616" s="4" t="n"/>
      <c r="C616" s="4" t="n"/>
      <c r="D616" s="4" t="n"/>
      <c r="E616" s="4" t="n"/>
    </row>
    <row r="617" ht="15.75" customHeight="1" s="40">
      <c r="A617" s="4" t="n"/>
      <c r="B617" s="4" t="n"/>
      <c r="C617" s="4" t="n"/>
      <c r="D617" s="4" t="n"/>
      <c r="E617" s="4" t="n"/>
    </row>
    <row r="618" ht="15.75" customHeight="1" s="40">
      <c r="A618" s="4" t="n"/>
      <c r="B618" s="4" t="n"/>
      <c r="C618" s="4" t="n"/>
      <c r="D618" s="4" t="n"/>
      <c r="E618" s="4" t="n"/>
    </row>
    <row r="619" ht="15.75" customHeight="1" s="40">
      <c r="A619" s="4" t="n"/>
      <c r="B619" s="4" t="n"/>
      <c r="C619" s="4" t="n"/>
      <c r="D619" s="4" t="n"/>
      <c r="E619" s="4" t="n"/>
    </row>
    <row r="620" ht="15.75" customHeight="1" s="40">
      <c r="A620" s="4" t="n"/>
      <c r="B620" s="4" t="n"/>
      <c r="C620" s="4" t="n"/>
      <c r="D620" s="4" t="n"/>
      <c r="E620" s="4" t="n"/>
    </row>
    <row r="621" ht="15.75" customHeight="1" s="40">
      <c r="A621" s="4" t="n"/>
      <c r="B621" s="4" t="n"/>
      <c r="C621" s="4" t="n"/>
      <c r="D621" s="4" t="n"/>
      <c r="E621" s="4" t="n"/>
    </row>
    <row r="622" ht="15.75" customHeight="1" s="40">
      <c r="A622" s="4" t="n"/>
      <c r="B622" s="4" t="n"/>
      <c r="C622" s="4" t="n"/>
      <c r="D622" s="4" t="n"/>
      <c r="E622" s="4" t="n"/>
    </row>
    <row r="623" ht="15.75" customHeight="1" s="40">
      <c r="A623" s="4" t="n"/>
      <c r="B623" s="4" t="n"/>
      <c r="C623" s="4" t="n"/>
      <c r="D623" s="4" t="n"/>
      <c r="E623" s="4" t="n"/>
    </row>
    <row r="624" ht="15.75" customHeight="1" s="40">
      <c r="A624" s="4" t="n"/>
      <c r="B624" s="4" t="n"/>
      <c r="C624" s="4" t="n"/>
      <c r="D624" s="4" t="n"/>
      <c r="E624" s="4" t="n"/>
    </row>
    <row r="625" ht="15.75" customHeight="1" s="40">
      <c r="A625" s="4" t="n"/>
      <c r="B625" s="4" t="n"/>
      <c r="C625" s="4" t="n"/>
      <c r="D625" s="4" t="n"/>
      <c r="E625" s="4" t="n"/>
    </row>
    <row r="626" ht="15.75" customHeight="1" s="40">
      <c r="A626" s="4" t="n"/>
      <c r="B626" s="4" t="n"/>
      <c r="C626" s="4" t="n"/>
      <c r="D626" s="4" t="n"/>
      <c r="E626" s="4" t="n"/>
    </row>
    <row r="627" ht="15.75" customHeight="1" s="40">
      <c r="A627" s="4" t="n"/>
      <c r="B627" s="4" t="n"/>
      <c r="C627" s="4" t="n"/>
      <c r="D627" s="4" t="n"/>
      <c r="E627" s="4" t="n"/>
    </row>
    <row r="628" ht="15.75" customHeight="1" s="40">
      <c r="A628" s="4" t="n"/>
      <c r="B628" s="4" t="n"/>
      <c r="C628" s="4" t="n"/>
      <c r="D628" s="4" t="n"/>
      <c r="E628" s="4" t="n"/>
    </row>
    <row r="629" ht="15.75" customHeight="1" s="40">
      <c r="A629" s="4" t="n"/>
      <c r="B629" s="4" t="n"/>
      <c r="C629" s="4" t="n"/>
      <c r="D629" s="4" t="n"/>
      <c r="E629" s="4" t="n"/>
    </row>
    <row r="630" ht="15.75" customHeight="1" s="40">
      <c r="A630" s="4" t="n"/>
      <c r="B630" s="4" t="n"/>
      <c r="C630" s="4" t="n"/>
      <c r="D630" s="4" t="n"/>
      <c r="E630" s="4" t="n"/>
    </row>
    <row r="631" ht="15.75" customHeight="1" s="40">
      <c r="A631" s="4" t="n"/>
      <c r="B631" s="4" t="n"/>
      <c r="C631" s="4" t="n"/>
      <c r="D631" s="4" t="n"/>
      <c r="E631" s="4" t="n"/>
    </row>
    <row r="632" ht="15.75" customHeight="1" s="40">
      <c r="A632" s="4" t="n"/>
      <c r="B632" s="4" t="n"/>
      <c r="C632" s="4" t="n"/>
      <c r="D632" s="4" t="n"/>
      <c r="E632" s="4" t="n"/>
    </row>
    <row r="633" ht="15.75" customHeight="1" s="40">
      <c r="A633" s="4" t="n"/>
      <c r="B633" s="4" t="n"/>
      <c r="C633" s="4" t="n"/>
      <c r="D633" s="4" t="n"/>
      <c r="E633" s="4" t="n"/>
    </row>
    <row r="634" ht="15.75" customHeight="1" s="40">
      <c r="A634" s="4" t="n"/>
      <c r="B634" s="4" t="n"/>
      <c r="C634" s="4" t="n"/>
      <c r="D634" s="4" t="n"/>
      <c r="E634" s="4" t="n"/>
    </row>
    <row r="635" ht="15.75" customHeight="1" s="40">
      <c r="A635" s="4" t="n"/>
      <c r="B635" s="4" t="n"/>
      <c r="C635" s="4" t="n"/>
      <c r="D635" s="4" t="n"/>
      <c r="E635" s="4" t="n"/>
    </row>
    <row r="636" ht="15.75" customHeight="1" s="40">
      <c r="A636" s="4" t="n"/>
      <c r="B636" s="4" t="n"/>
      <c r="C636" s="4" t="n"/>
      <c r="D636" s="4" t="n"/>
      <c r="E636" s="4" t="n"/>
    </row>
    <row r="637" ht="15.75" customHeight="1" s="40">
      <c r="A637" s="4" t="n"/>
      <c r="B637" s="4" t="n"/>
      <c r="C637" s="4" t="n"/>
      <c r="D637" s="4" t="n"/>
      <c r="E637" s="4" t="n"/>
    </row>
    <row r="638" ht="15.75" customHeight="1" s="40">
      <c r="A638" s="4" t="n"/>
      <c r="B638" s="4" t="n"/>
      <c r="C638" s="4" t="n"/>
      <c r="D638" s="4" t="n"/>
      <c r="E638" s="4" t="n"/>
    </row>
    <row r="639" ht="15.75" customHeight="1" s="40">
      <c r="A639" s="4" t="n"/>
      <c r="B639" s="4" t="n"/>
      <c r="C639" s="4" t="n"/>
      <c r="D639" s="4" t="n"/>
      <c r="E639" s="4" t="n"/>
    </row>
    <row r="640" ht="15.75" customHeight="1" s="40">
      <c r="A640" s="4" t="n"/>
      <c r="B640" s="4" t="n"/>
      <c r="C640" s="4" t="n"/>
      <c r="D640" s="4" t="n"/>
      <c r="E640" s="4" t="n"/>
    </row>
    <row r="641" ht="15.75" customHeight="1" s="40">
      <c r="A641" s="4" t="n"/>
      <c r="B641" s="4" t="n"/>
      <c r="C641" s="4" t="n"/>
      <c r="D641" s="4" t="n"/>
      <c r="E641" s="4" t="n"/>
    </row>
    <row r="642" ht="15.75" customHeight="1" s="40">
      <c r="A642" s="4" t="n"/>
      <c r="B642" s="4" t="n"/>
      <c r="C642" s="4" t="n"/>
      <c r="D642" s="4" t="n"/>
      <c r="E642" s="4" t="n"/>
    </row>
    <row r="643" ht="15.75" customHeight="1" s="40">
      <c r="A643" s="4" t="n"/>
      <c r="B643" s="4" t="n"/>
      <c r="C643" s="4" t="n"/>
      <c r="D643" s="4" t="n"/>
      <c r="E643" s="4" t="n"/>
    </row>
    <row r="644" ht="15.75" customHeight="1" s="40">
      <c r="A644" s="4" t="n"/>
      <c r="B644" s="4" t="n"/>
      <c r="C644" s="4" t="n"/>
      <c r="D644" s="4" t="n"/>
      <c r="E644" s="4" t="n"/>
    </row>
    <row r="645" ht="15.75" customHeight="1" s="40">
      <c r="A645" s="4" t="n"/>
      <c r="B645" s="4" t="n"/>
      <c r="C645" s="4" t="n"/>
      <c r="D645" s="4" t="n"/>
      <c r="E645" s="4" t="n"/>
    </row>
    <row r="646" ht="15.75" customHeight="1" s="40">
      <c r="A646" s="4" t="n"/>
      <c r="B646" s="4" t="n"/>
      <c r="C646" s="4" t="n"/>
      <c r="D646" s="4" t="n"/>
      <c r="E646" s="4" t="n"/>
    </row>
    <row r="647" ht="15.75" customHeight="1" s="40">
      <c r="A647" s="4" t="n"/>
      <c r="B647" s="4" t="n"/>
      <c r="C647" s="4" t="n"/>
      <c r="D647" s="4" t="n"/>
      <c r="E647" s="4" t="n"/>
    </row>
    <row r="648" ht="15.75" customHeight="1" s="40">
      <c r="A648" s="4" t="n"/>
      <c r="B648" s="4" t="n"/>
      <c r="C648" s="4" t="n"/>
      <c r="D648" s="4" t="n"/>
      <c r="E648" s="4" t="n"/>
    </row>
    <row r="649" ht="15.75" customHeight="1" s="40">
      <c r="A649" s="4" t="n"/>
      <c r="B649" s="4" t="n"/>
      <c r="C649" s="4" t="n"/>
      <c r="D649" s="4" t="n"/>
      <c r="E649" s="4" t="n"/>
    </row>
    <row r="650" ht="15.75" customHeight="1" s="40">
      <c r="A650" s="4" t="n"/>
      <c r="B650" s="4" t="n"/>
      <c r="C650" s="4" t="n"/>
      <c r="D650" s="4" t="n"/>
      <c r="E650" s="4" t="n"/>
    </row>
    <row r="651" ht="15.75" customHeight="1" s="40">
      <c r="A651" s="4" t="n"/>
      <c r="B651" s="4" t="n"/>
      <c r="C651" s="4" t="n"/>
      <c r="D651" s="4" t="n"/>
      <c r="E651" s="4" t="n"/>
    </row>
    <row r="652" ht="15.75" customHeight="1" s="40">
      <c r="A652" s="4" t="n"/>
      <c r="B652" s="4" t="n"/>
      <c r="C652" s="4" t="n"/>
      <c r="D652" s="4" t="n"/>
      <c r="E652" s="4" t="n"/>
    </row>
    <row r="653" ht="15.75" customHeight="1" s="40">
      <c r="A653" s="4" t="n"/>
      <c r="B653" s="4" t="n"/>
      <c r="C653" s="4" t="n"/>
      <c r="D653" s="4" t="n"/>
      <c r="E653" s="4" t="n"/>
    </row>
    <row r="654" ht="15.75" customHeight="1" s="40">
      <c r="A654" s="4" t="n"/>
      <c r="B654" s="4" t="n"/>
      <c r="C654" s="4" t="n"/>
      <c r="D654" s="4" t="n"/>
      <c r="E654" s="4" t="n"/>
    </row>
    <row r="655" ht="15.75" customHeight="1" s="40">
      <c r="A655" s="4" t="n"/>
      <c r="B655" s="4" t="n"/>
      <c r="C655" s="4" t="n"/>
      <c r="D655" s="4" t="n"/>
      <c r="E655" s="4" t="n"/>
    </row>
    <row r="656" ht="15.75" customHeight="1" s="40">
      <c r="A656" s="4" t="n"/>
      <c r="B656" s="4" t="n"/>
      <c r="C656" s="4" t="n"/>
      <c r="D656" s="4" t="n"/>
      <c r="E656" s="4" t="n"/>
    </row>
    <row r="657" ht="15.75" customHeight="1" s="40">
      <c r="A657" s="4" t="n"/>
      <c r="B657" s="4" t="n"/>
      <c r="C657" s="4" t="n"/>
      <c r="D657" s="4" t="n"/>
      <c r="E657" s="4" t="n"/>
    </row>
    <row r="658" ht="15.75" customHeight="1" s="40">
      <c r="A658" s="4" t="n"/>
      <c r="B658" s="4" t="n"/>
      <c r="C658" s="4" t="n"/>
      <c r="D658" s="4" t="n"/>
      <c r="E658" s="4" t="n"/>
    </row>
    <row r="659" ht="15.75" customHeight="1" s="40">
      <c r="A659" s="4" t="n"/>
      <c r="B659" s="4" t="n"/>
      <c r="C659" s="4" t="n"/>
      <c r="D659" s="4" t="n"/>
      <c r="E659" s="4" t="n"/>
    </row>
    <row r="660" ht="15.75" customHeight="1" s="40">
      <c r="A660" s="4" t="n"/>
      <c r="B660" s="4" t="n"/>
      <c r="C660" s="4" t="n"/>
      <c r="D660" s="4" t="n"/>
      <c r="E660" s="4" t="n"/>
    </row>
    <row r="661" ht="15.75" customHeight="1" s="40">
      <c r="A661" s="4" t="n"/>
      <c r="B661" s="4" t="n"/>
      <c r="C661" s="4" t="n"/>
      <c r="D661" s="4" t="n"/>
      <c r="E661" s="4" t="n"/>
    </row>
    <row r="662" ht="15.75" customHeight="1" s="40">
      <c r="A662" s="4" t="n"/>
      <c r="B662" s="4" t="n"/>
      <c r="C662" s="4" t="n"/>
      <c r="D662" s="4" t="n"/>
      <c r="E662" s="4" t="n"/>
    </row>
    <row r="663" ht="15.75" customHeight="1" s="40">
      <c r="A663" s="4" t="n"/>
      <c r="B663" s="4" t="n"/>
      <c r="C663" s="4" t="n"/>
      <c r="D663" s="4" t="n"/>
      <c r="E663" s="4" t="n"/>
    </row>
    <row r="664" ht="15.75" customHeight="1" s="40">
      <c r="A664" s="4" t="n"/>
      <c r="B664" s="4" t="n"/>
      <c r="C664" s="4" t="n"/>
      <c r="D664" s="4" t="n"/>
      <c r="E664" s="4" t="n"/>
    </row>
    <row r="665" ht="15.75" customHeight="1" s="40">
      <c r="A665" s="4" t="n"/>
      <c r="B665" s="4" t="n"/>
      <c r="C665" s="4" t="n"/>
      <c r="D665" s="4" t="n"/>
      <c r="E665" s="4" t="n"/>
    </row>
    <row r="666" ht="15.75" customHeight="1" s="40">
      <c r="A666" s="4" t="n"/>
      <c r="B666" s="4" t="n"/>
      <c r="C666" s="4" t="n"/>
      <c r="D666" s="4" t="n"/>
      <c r="E666" s="4" t="n"/>
    </row>
    <row r="667" ht="15.75" customHeight="1" s="40">
      <c r="A667" s="4" t="n"/>
      <c r="B667" s="4" t="n"/>
      <c r="C667" s="4" t="n"/>
      <c r="D667" s="4" t="n"/>
      <c r="E667" s="4" t="n"/>
    </row>
    <row r="668" ht="15.75" customHeight="1" s="40">
      <c r="A668" s="4" t="n"/>
      <c r="B668" s="4" t="n"/>
      <c r="C668" s="4" t="n"/>
      <c r="D668" s="4" t="n"/>
      <c r="E668" s="4" t="n"/>
    </row>
    <row r="669" ht="15.75" customHeight="1" s="40">
      <c r="A669" s="4" t="n"/>
      <c r="B669" s="4" t="n"/>
      <c r="C669" s="4" t="n"/>
      <c r="D669" s="4" t="n"/>
      <c r="E669" s="4" t="n"/>
    </row>
    <row r="670" ht="15.75" customHeight="1" s="40">
      <c r="A670" s="4" t="n"/>
      <c r="B670" s="4" t="n"/>
      <c r="C670" s="4" t="n"/>
      <c r="D670" s="4" t="n"/>
      <c r="E670" s="4" t="n"/>
    </row>
    <row r="671" ht="15.75" customHeight="1" s="40">
      <c r="A671" s="4" t="n"/>
      <c r="B671" s="4" t="n"/>
      <c r="C671" s="4" t="n"/>
      <c r="D671" s="4" t="n"/>
      <c r="E671" s="4" t="n"/>
    </row>
    <row r="672" ht="15.75" customHeight="1" s="40">
      <c r="A672" s="4" t="n"/>
      <c r="B672" s="4" t="n"/>
      <c r="C672" s="4" t="n"/>
      <c r="D672" s="4" t="n"/>
      <c r="E672" s="4" t="n"/>
    </row>
    <row r="673" ht="15.75" customHeight="1" s="40">
      <c r="A673" s="4" t="n"/>
      <c r="B673" s="4" t="n"/>
      <c r="C673" s="4" t="n"/>
      <c r="D673" s="4" t="n"/>
      <c r="E673" s="4" t="n"/>
    </row>
    <row r="674" ht="15.75" customHeight="1" s="40">
      <c r="A674" s="4" t="n"/>
      <c r="B674" s="4" t="n"/>
      <c r="C674" s="4" t="n"/>
      <c r="D674" s="4" t="n"/>
      <c r="E674" s="4" t="n"/>
    </row>
    <row r="675" ht="15.75" customHeight="1" s="40">
      <c r="A675" s="4" t="n"/>
      <c r="B675" s="4" t="n"/>
      <c r="C675" s="4" t="n"/>
      <c r="D675" s="4" t="n"/>
      <c r="E675" s="4" t="n"/>
    </row>
    <row r="676" ht="15.75" customHeight="1" s="40">
      <c r="A676" s="4" t="n"/>
      <c r="B676" s="4" t="n"/>
      <c r="C676" s="4" t="n"/>
      <c r="D676" s="4" t="n"/>
      <c r="E676" s="4" t="n"/>
    </row>
    <row r="677" ht="15.75" customHeight="1" s="40">
      <c r="A677" s="4" t="n"/>
      <c r="B677" s="4" t="n"/>
      <c r="C677" s="4" t="n"/>
      <c r="D677" s="4" t="n"/>
      <c r="E677" s="4" t="n"/>
    </row>
    <row r="678" ht="15.75" customHeight="1" s="40">
      <c r="A678" s="4" t="n"/>
      <c r="B678" s="4" t="n"/>
      <c r="C678" s="4" t="n"/>
      <c r="D678" s="4" t="n"/>
      <c r="E678" s="4" t="n"/>
    </row>
    <row r="679" ht="15.75" customHeight="1" s="40">
      <c r="A679" s="4" t="n"/>
      <c r="B679" s="4" t="n"/>
      <c r="C679" s="4" t="n"/>
      <c r="D679" s="4" t="n"/>
      <c r="E679" s="4" t="n"/>
    </row>
    <row r="680" ht="15.75" customHeight="1" s="40">
      <c r="A680" s="4" t="n"/>
      <c r="B680" s="4" t="n"/>
      <c r="C680" s="4" t="n"/>
      <c r="D680" s="4" t="n"/>
      <c r="E680" s="4" t="n"/>
    </row>
    <row r="681" ht="15.75" customHeight="1" s="40">
      <c r="A681" s="4" t="n"/>
      <c r="B681" s="4" t="n"/>
      <c r="C681" s="4" t="n"/>
      <c r="D681" s="4" t="n"/>
      <c r="E681" s="4" t="n"/>
    </row>
    <row r="682" ht="15.75" customHeight="1" s="40">
      <c r="A682" s="4" t="n"/>
      <c r="B682" s="4" t="n"/>
      <c r="C682" s="4" t="n"/>
      <c r="D682" s="4" t="n"/>
      <c r="E682" s="4" t="n"/>
    </row>
    <row r="683" ht="15.75" customHeight="1" s="40">
      <c r="A683" s="4" t="n"/>
      <c r="B683" s="4" t="n"/>
      <c r="C683" s="4" t="n"/>
      <c r="D683" s="4" t="n"/>
      <c r="E683" s="4" t="n"/>
    </row>
    <row r="684" ht="15.75" customHeight="1" s="40">
      <c r="A684" s="4" t="n"/>
      <c r="B684" s="4" t="n"/>
      <c r="C684" s="4" t="n"/>
      <c r="D684" s="4" t="n"/>
      <c r="E684" s="4" t="n"/>
    </row>
    <row r="685" ht="15.75" customHeight="1" s="40">
      <c r="A685" s="4" t="n"/>
      <c r="B685" s="4" t="n"/>
      <c r="C685" s="4" t="n"/>
      <c r="D685" s="4" t="n"/>
      <c r="E685" s="4" t="n"/>
    </row>
    <row r="686" ht="15.75" customHeight="1" s="40">
      <c r="A686" s="4" t="n"/>
      <c r="B686" s="4" t="n"/>
      <c r="C686" s="4" t="n"/>
      <c r="D686" s="4" t="n"/>
      <c r="E686" s="4" t="n"/>
    </row>
    <row r="687" ht="15.75" customHeight="1" s="40">
      <c r="A687" s="4" t="n"/>
      <c r="B687" s="4" t="n"/>
      <c r="C687" s="4" t="n"/>
      <c r="D687" s="4" t="n"/>
      <c r="E687" s="4" t="n"/>
    </row>
    <row r="688" ht="15.75" customHeight="1" s="40">
      <c r="A688" s="4" t="n"/>
      <c r="B688" s="4" t="n"/>
      <c r="C688" s="4" t="n"/>
      <c r="D688" s="4" t="n"/>
      <c r="E688" s="4" t="n"/>
    </row>
    <row r="689" ht="15.75" customHeight="1" s="40">
      <c r="A689" s="4" t="n"/>
      <c r="B689" s="4" t="n"/>
      <c r="C689" s="4" t="n"/>
      <c r="D689" s="4" t="n"/>
      <c r="E689" s="4" t="n"/>
    </row>
    <row r="690" ht="15.75" customHeight="1" s="40">
      <c r="A690" s="4" t="n"/>
      <c r="B690" s="4" t="n"/>
      <c r="C690" s="4" t="n"/>
      <c r="D690" s="4" t="n"/>
      <c r="E690" s="4" t="n"/>
    </row>
    <row r="691" ht="15.75" customHeight="1" s="40">
      <c r="A691" s="4" t="n"/>
      <c r="B691" s="4" t="n"/>
      <c r="C691" s="4" t="n"/>
      <c r="D691" s="4" t="n"/>
      <c r="E691" s="4" t="n"/>
    </row>
    <row r="692" ht="15.75" customHeight="1" s="40">
      <c r="A692" s="4" t="n"/>
      <c r="B692" s="4" t="n"/>
      <c r="C692" s="4" t="n"/>
      <c r="D692" s="4" t="n"/>
      <c r="E692" s="4" t="n"/>
    </row>
    <row r="693" ht="15.75" customHeight="1" s="40">
      <c r="A693" s="4" t="n"/>
      <c r="B693" s="4" t="n"/>
      <c r="C693" s="4" t="n"/>
      <c r="D693" s="4" t="n"/>
      <c r="E693" s="4" t="n"/>
    </row>
    <row r="694" ht="15.75" customHeight="1" s="40">
      <c r="A694" s="4" t="n"/>
      <c r="B694" s="4" t="n"/>
      <c r="C694" s="4" t="n"/>
      <c r="D694" s="4" t="n"/>
      <c r="E694" s="4" t="n"/>
    </row>
    <row r="695" ht="15.75" customHeight="1" s="40">
      <c r="A695" s="4" t="n"/>
      <c r="B695" s="4" t="n"/>
      <c r="C695" s="4" t="n"/>
      <c r="D695" s="4" t="n"/>
      <c r="E695" s="4" t="n"/>
    </row>
    <row r="696" ht="15.75" customHeight="1" s="40">
      <c r="A696" s="4" t="n"/>
      <c r="B696" s="4" t="n"/>
      <c r="C696" s="4" t="n"/>
      <c r="D696" s="4" t="n"/>
      <c r="E696" s="4" t="n"/>
    </row>
    <row r="697" ht="15.75" customHeight="1" s="40">
      <c r="A697" s="4" t="n"/>
      <c r="B697" s="4" t="n"/>
      <c r="C697" s="4" t="n"/>
      <c r="D697" s="4" t="n"/>
      <c r="E697" s="4" t="n"/>
    </row>
    <row r="698" ht="15.75" customHeight="1" s="40">
      <c r="A698" s="4" t="n"/>
      <c r="B698" s="4" t="n"/>
      <c r="C698" s="4" t="n"/>
      <c r="D698" s="4" t="n"/>
      <c r="E698" s="4" t="n"/>
    </row>
    <row r="699" ht="15.75" customHeight="1" s="40">
      <c r="A699" s="4" t="n"/>
      <c r="B699" s="4" t="n"/>
      <c r="C699" s="4" t="n"/>
      <c r="D699" s="4" t="n"/>
      <c r="E699" s="4" t="n"/>
    </row>
    <row r="700" ht="15.75" customHeight="1" s="40">
      <c r="A700" s="4" t="n"/>
      <c r="B700" s="4" t="n"/>
      <c r="C700" s="4" t="n"/>
      <c r="D700" s="4" t="n"/>
      <c r="E700" s="4" t="n"/>
    </row>
    <row r="701" ht="15.75" customHeight="1" s="40">
      <c r="A701" s="4" t="n"/>
      <c r="B701" s="4" t="n"/>
      <c r="C701" s="4" t="n"/>
      <c r="D701" s="4" t="n"/>
      <c r="E701" s="4" t="n"/>
    </row>
    <row r="702" ht="15.75" customHeight="1" s="40">
      <c r="A702" s="4" t="n"/>
      <c r="B702" s="4" t="n"/>
      <c r="C702" s="4" t="n"/>
      <c r="D702" s="4" t="n"/>
      <c r="E702" s="4" t="n"/>
    </row>
    <row r="703" ht="15.75" customHeight="1" s="40">
      <c r="A703" s="4" t="n"/>
      <c r="B703" s="4" t="n"/>
      <c r="C703" s="4" t="n"/>
      <c r="D703" s="4" t="n"/>
      <c r="E703" s="4" t="n"/>
    </row>
    <row r="704" ht="15.75" customHeight="1" s="40">
      <c r="A704" s="4" t="n"/>
      <c r="B704" s="4" t="n"/>
      <c r="C704" s="4" t="n"/>
      <c r="D704" s="4" t="n"/>
      <c r="E704" s="4" t="n"/>
    </row>
    <row r="705" ht="15.75" customHeight="1" s="40">
      <c r="A705" s="4" t="n"/>
      <c r="B705" s="4" t="n"/>
      <c r="C705" s="4" t="n"/>
      <c r="D705" s="4" t="n"/>
      <c r="E705" s="4" t="n"/>
    </row>
    <row r="706" ht="15.75" customHeight="1" s="40">
      <c r="A706" s="4" t="n"/>
      <c r="B706" s="4" t="n"/>
      <c r="C706" s="4" t="n"/>
      <c r="D706" s="4" t="n"/>
      <c r="E706" s="4" t="n"/>
    </row>
    <row r="707" ht="15.75" customHeight="1" s="40">
      <c r="A707" s="4" t="n"/>
      <c r="B707" s="4" t="n"/>
      <c r="C707" s="4" t="n"/>
      <c r="D707" s="4" t="n"/>
      <c r="E707" s="4" t="n"/>
    </row>
    <row r="708" ht="15.75" customHeight="1" s="40">
      <c r="A708" s="4" t="n"/>
      <c r="B708" s="4" t="n"/>
      <c r="C708" s="4" t="n"/>
      <c r="D708" s="4" t="n"/>
      <c r="E708" s="4" t="n"/>
    </row>
    <row r="709" ht="15.75" customHeight="1" s="40">
      <c r="A709" s="4" t="n"/>
      <c r="B709" s="4" t="n"/>
      <c r="C709" s="4" t="n"/>
      <c r="D709" s="4" t="n"/>
      <c r="E709" s="4" t="n"/>
    </row>
    <row r="710" ht="15.75" customHeight="1" s="40">
      <c r="A710" s="4" t="n"/>
      <c r="B710" s="4" t="n"/>
      <c r="C710" s="4" t="n"/>
      <c r="D710" s="4" t="n"/>
      <c r="E710" s="4" t="n"/>
    </row>
    <row r="711" ht="15.75" customHeight="1" s="40">
      <c r="A711" s="4" t="n"/>
      <c r="B711" s="4" t="n"/>
      <c r="C711" s="4" t="n"/>
      <c r="D711" s="4" t="n"/>
      <c r="E711" s="4" t="n"/>
    </row>
    <row r="712" ht="15.75" customHeight="1" s="40">
      <c r="A712" s="4" t="n"/>
      <c r="B712" s="4" t="n"/>
      <c r="C712" s="4" t="n"/>
      <c r="D712" s="4" t="n"/>
      <c r="E712" s="4" t="n"/>
    </row>
    <row r="713" ht="15.75" customHeight="1" s="40">
      <c r="A713" s="4" t="n"/>
      <c r="B713" s="4" t="n"/>
      <c r="C713" s="4" t="n"/>
      <c r="D713" s="4" t="n"/>
      <c r="E713" s="4" t="n"/>
    </row>
    <row r="714" ht="15.75" customHeight="1" s="40">
      <c r="A714" s="4" t="n"/>
      <c r="B714" s="4" t="n"/>
      <c r="C714" s="4" t="n"/>
      <c r="D714" s="4" t="n"/>
      <c r="E714" s="4" t="n"/>
    </row>
    <row r="715" ht="15.75" customHeight="1" s="40">
      <c r="A715" s="4" t="n"/>
      <c r="B715" s="4" t="n"/>
      <c r="C715" s="4" t="n"/>
      <c r="D715" s="4" t="n"/>
      <c r="E715" s="4" t="n"/>
    </row>
    <row r="716" ht="15.75" customHeight="1" s="40">
      <c r="A716" s="4" t="n"/>
      <c r="B716" s="4" t="n"/>
      <c r="C716" s="4" t="n"/>
      <c r="D716" s="4" t="n"/>
      <c r="E716" s="4" t="n"/>
    </row>
    <row r="717" ht="15.75" customHeight="1" s="40">
      <c r="A717" s="4" t="n"/>
      <c r="B717" s="4" t="n"/>
      <c r="C717" s="4" t="n"/>
      <c r="D717" s="4" t="n"/>
      <c r="E717" s="4" t="n"/>
    </row>
    <row r="718" ht="15.75" customHeight="1" s="40">
      <c r="A718" s="4" t="n"/>
      <c r="B718" s="4" t="n"/>
      <c r="C718" s="4" t="n"/>
      <c r="D718" s="4" t="n"/>
      <c r="E718" s="4" t="n"/>
    </row>
    <row r="719" ht="15.75" customHeight="1" s="40">
      <c r="A719" s="4" t="n"/>
      <c r="B719" s="4" t="n"/>
      <c r="C719" s="4" t="n"/>
      <c r="D719" s="4" t="n"/>
      <c r="E719" s="4" t="n"/>
    </row>
    <row r="720" ht="15.75" customHeight="1" s="40">
      <c r="A720" s="4" t="n"/>
      <c r="B720" s="4" t="n"/>
      <c r="C720" s="4" t="n"/>
      <c r="D720" s="4" t="n"/>
      <c r="E720" s="4" t="n"/>
    </row>
    <row r="721" ht="15.75" customHeight="1" s="40">
      <c r="A721" s="4" t="n"/>
      <c r="B721" s="4" t="n"/>
      <c r="C721" s="4" t="n"/>
      <c r="D721" s="4" t="n"/>
      <c r="E721" s="4" t="n"/>
    </row>
    <row r="722" ht="15.75" customHeight="1" s="40">
      <c r="A722" s="4" t="n"/>
      <c r="B722" s="4" t="n"/>
      <c r="C722" s="4" t="n"/>
      <c r="D722" s="4" t="n"/>
      <c r="E722" s="4" t="n"/>
    </row>
    <row r="723" ht="15.75" customHeight="1" s="40">
      <c r="A723" s="4" t="n"/>
      <c r="B723" s="4" t="n"/>
      <c r="C723" s="4" t="n"/>
      <c r="D723" s="4" t="n"/>
      <c r="E723" s="4" t="n"/>
    </row>
    <row r="724" ht="15.75" customHeight="1" s="40">
      <c r="A724" s="4" t="n"/>
      <c r="B724" s="4" t="n"/>
      <c r="C724" s="4" t="n"/>
      <c r="D724" s="4" t="n"/>
      <c r="E724" s="4" t="n"/>
    </row>
    <row r="725" ht="15.75" customHeight="1" s="40">
      <c r="A725" s="4" t="n"/>
      <c r="B725" s="4" t="n"/>
      <c r="C725" s="4" t="n"/>
      <c r="D725" s="4" t="n"/>
      <c r="E725" s="4" t="n"/>
    </row>
    <row r="726" ht="15.75" customHeight="1" s="40">
      <c r="A726" s="4" t="n"/>
      <c r="B726" s="4" t="n"/>
      <c r="C726" s="4" t="n"/>
      <c r="D726" s="4" t="n"/>
      <c r="E726" s="4" t="n"/>
    </row>
    <row r="727" ht="15.75" customHeight="1" s="40">
      <c r="A727" s="4" t="n"/>
      <c r="B727" s="4" t="n"/>
      <c r="C727" s="4" t="n"/>
      <c r="D727" s="4" t="n"/>
      <c r="E727" s="4" t="n"/>
    </row>
    <row r="728" ht="15.75" customHeight="1" s="40">
      <c r="A728" s="4" t="n"/>
      <c r="B728" s="4" t="n"/>
      <c r="C728" s="4" t="n"/>
      <c r="D728" s="4" t="n"/>
      <c r="E728" s="4" t="n"/>
    </row>
    <row r="729" ht="15.75" customHeight="1" s="40">
      <c r="A729" s="4" t="n"/>
      <c r="B729" s="4" t="n"/>
      <c r="C729" s="4" t="n"/>
      <c r="D729" s="4" t="n"/>
      <c r="E729" s="4" t="n"/>
    </row>
    <row r="730" ht="15.75" customHeight="1" s="40">
      <c r="A730" s="4" t="n"/>
      <c r="B730" s="4" t="n"/>
      <c r="C730" s="4" t="n"/>
      <c r="D730" s="4" t="n"/>
      <c r="E730" s="4" t="n"/>
    </row>
    <row r="731" ht="15.75" customHeight="1" s="40">
      <c r="A731" s="4" t="n"/>
      <c r="B731" s="4" t="n"/>
      <c r="C731" s="4" t="n"/>
      <c r="D731" s="4" t="n"/>
      <c r="E731" s="4" t="n"/>
    </row>
    <row r="732" ht="15.75" customHeight="1" s="40">
      <c r="A732" s="4" t="n"/>
      <c r="B732" s="4" t="n"/>
      <c r="C732" s="4" t="n"/>
      <c r="D732" s="4" t="n"/>
      <c r="E732" s="4" t="n"/>
    </row>
    <row r="733" ht="15.75" customHeight="1" s="40">
      <c r="A733" s="4" t="n"/>
      <c r="B733" s="4" t="n"/>
      <c r="C733" s="4" t="n"/>
      <c r="D733" s="4" t="n"/>
      <c r="E733" s="4" t="n"/>
    </row>
    <row r="734" ht="15.75" customHeight="1" s="40">
      <c r="A734" s="4" t="n"/>
      <c r="B734" s="4" t="n"/>
      <c r="C734" s="4" t="n"/>
      <c r="D734" s="4" t="n"/>
      <c r="E734" s="4" t="n"/>
    </row>
    <row r="735" ht="15.75" customHeight="1" s="40">
      <c r="A735" s="4" t="n"/>
      <c r="B735" s="4" t="n"/>
      <c r="C735" s="4" t="n"/>
      <c r="D735" s="4" t="n"/>
      <c r="E735" s="4" t="n"/>
    </row>
    <row r="736" ht="15.75" customHeight="1" s="40">
      <c r="A736" s="4" t="n"/>
      <c r="B736" s="4" t="n"/>
      <c r="C736" s="4" t="n"/>
      <c r="D736" s="4" t="n"/>
      <c r="E736" s="4" t="n"/>
    </row>
    <row r="737" ht="15.75" customHeight="1" s="40">
      <c r="A737" s="4" t="n"/>
      <c r="B737" s="4" t="n"/>
      <c r="C737" s="4" t="n"/>
      <c r="D737" s="4" t="n"/>
      <c r="E737" s="4" t="n"/>
    </row>
    <row r="738" ht="15.75" customHeight="1" s="40">
      <c r="A738" s="4" t="n"/>
      <c r="B738" s="4" t="n"/>
      <c r="C738" s="4" t="n"/>
      <c r="D738" s="4" t="n"/>
      <c r="E738" s="4" t="n"/>
    </row>
    <row r="739" ht="15.75" customHeight="1" s="40">
      <c r="A739" s="4" t="n"/>
      <c r="B739" s="4" t="n"/>
      <c r="C739" s="4" t="n"/>
      <c r="D739" s="4" t="n"/>
      <c r="E739" s="4" t="n"/>
    </row>
    <row r="740" ht="15.75" customHeight="1" s="40">
      <c r="A740" s="4" t="n"/>
      <c r="B740" s="4" t="n"/>
      <c r="C740" s="4" t="n"/>
      <c r="D740" s="4" t="n"/>
      <c r="E740" s="4" t="n"/>
    </row>
    <row r="741" ht="15.75" customHeight="1" s="40">
      <c r="A741" s="4" t="n"/>
      <c r="B741" s="4" t="n"/>
      <c r="C741" s="4" t="n"/>
      <c r="D741" s="4" t="n"/>
      <c r="E741" s="4" t="n"/>
    </row>
    <row r="742" ht="15.75" customHeight="1" s="40">
      <c r="A742" s="4" t="n"/>
      <c r="B742" s="4" t="n"/>
      <c r="C742" s="4" t="n"/>
      <c r="D742" s="4" t="n"/>
      <c r="E742" s="4" t="n"/>
    </row>
    <row r="743" ht="15.75" customHeight="1" s="40">
      <c r="A743" s="4" t="n"/>
      <c r="B743" s="4" t="n"/>
      <c r="C743" s="4" t="n"/>
      <c r="D743" s="4" t="n"/>
      <c r="E743" s="4" t="n"/>
    </row>
    <row r="744" ht="15.75" customHeight="1" s="40">
      <c r="A744" s="4" t="n"/>
      <c r="B744" s="4" t="n"/>
      <c r="C744" s="4" t="n"/>
      <c r="D744" s="4" t="n"/>
      <c r="E744" s="4" t="n"/>
    </row>
    <row r="745" ht="15.75" customHeight="1" s="40">
      <c r="A745" s="4" t="n"/>
      <c r="B745" s="4" t="n"/>
      <c r="C745" s="4" t="n"/>
      <c r="D745" s="4" t="n"/>
      <c r="E745" s="4" t="n"/>
    </row>
    <row r="746" ht="15.75" customHeight="1" s="40">
      <c r="A746" s="4" t="n"/>
      <c r="B746" s="4" t="n"/>
      <c r="C746" s="4" t="n"/>
      <c r="D746" s="4" t="n"/>
      <c r="E746" s="4" t="n"/>
    </row>
    <row r="747" ht="15.75" customHeight="1" s="40">
      <c r="A747" s="4" t="n"/>
      <c r="B747" s="4" t="n"/>
      <c r="C747" s="4" t="n"/>
      <c r="D747" s="4" t="n"/>
      <c r="E747" s="4" t="n"/>
    </row>
    <row r="748" ht="15.75" customHeight="1" s="40">
      <c r="A748" s="4" t="n"/>
      <c r="B748" s="4" t="n"/>
      <c r="C748" s="4" t="n"/>
      <c r="D748" s="4" t="n"/>
      <c r="E748" s="4" t="n"/>
    </row>
    <row r="749" ht="15.75" customHeight="1" s="40">
      <c r="A749" s="4" t="n"/>
      <c r="B749" s="4" t="n"/>
      <c r="C749" s="4" t="n"/>
      <c r="D749" s="4" t="n"/>
      <c r="E749" s="4" t="n"/>
    </row>
    <row r="750" ht="15.75" customHeight="1" s="40">
      <c r="A750" s="4" t="n"/>
      <c r="B750" s="4" t="n"/>
      <c r="C750" s="4" t="n"/>
      <c r="D750" s="4" t="n"/>
      <c r="E750" s="4" t="n"/>
    </row>
    <row r="751" ht="15.75" customHeight="1" s="40">
      <c r="A751" s="4" t="n"/>
      <c r="B751" s="4" t="n"/>
      <c r="C751" s="4" t="n"/>
      <c r="D751" s="4" t="n"/>
      <c r="E751" s="4" t="n"/>
    </row>
    <row r="752" ht="15.75" customHeight="1" s="40">
      <c r="A752" s="4" t="n"/>
      <c r="B752" s="4" t="n"/>
      <c r="C752" s="4" t="n"/>
      <c r="D752" s="4" t="n"/>
      <c r="E752" s="4" t="n"/>
    </row>
    <row r="753" ht="15.75" customHeight="1" s="40">
      <c r="A753" s="4" t="n"/>
      <c r="B753" s="4" t="n"/>
      <c r="C753" s="4" t="n"/>
      <c r="D753" s="4" t="n"/>
      <c r="E753" s="4" t="n"/>
    </row>
    <row r="754" ht="15.75" customHeight="1" s="40">
      <c r="A754" s="4" t="n"/>
      <c r="B754" s="4" t="n"/>
      <c r="C754" s="4" t="n"/>
      <c r="D754" s="4" t="n"/>
      <c r="E754" s="4" t="n"/>
    </row>
    <row r="755" ht="15.75" customHeight="1" s="40">
      <c r="A755" s="4" t="n"/>
      <c r="B755" s="4" t="n"/>
      <c r="C755" s="4" t="n"/>
      <c r="D755" s="4" t="n"/>
      <c r="E755" s="4" t="n"/>
    </row>
    <row r="756" ht="15.75" customHeight="1" s="40">
      <c r="A756" s="4" t="n"/>
      <c r="B756" s="4" t="n"/>
      <c r="C756" s="4" t="n"/>
      <c r="D756" s="4" t="n"/>
      <c r="E756" s="4" t="n"/>
    </row>
    <row r="757" ht="15.75" customHeight="1" s="40">
      <c r="A757" s="4" t="n"/>
      <c r="B757" s="4" t="n"/>
      <c r="C757" s="4" t="n"/>
      <c r="D757" s="4" t="n"/>
      <c r="E757" s="4" t="n"/>
    </row>
    <row r="758" ht="15.75" customHeight="1" s="40">
      <c r="A758" s="4" t="n"/>
      <c r="B758" s="4" t="n"/>
      <c r="C758" s="4" t="n"/>
      <c r="D758" s="4" t="n"/>
      <c r="E758" s="4" t="n"/>
    </row>
    <row r="759" ht="15.75" customHeight="1" s="40">
      <c r="A759" s="4" t="n"/>
      <c r="B759" s="4" t="n"/>
      <c r="C759" s="4" t="n"/>
      <c r="D759" s="4" t="n"/>
      <c r="E759" s="4" t="n"/>
    </row>
    <row r="760" ht="15.75" customHeight="1" s="40">
      <c r="A760" s="4" t="n"/>
      <c r="B760" s="4" t="n"/>
      <c r="C760" s="4" t="n"/>
      <c r="D760" s="4" t="n"/>
      <c r="E760" s="4" t="n"/>
    </row>
    <row r="761" ht="15.75" customHeight="1" s="40">
      <c r="A761" s="4" t="n"/>
      <c r="B761" s="4" t="n"/>
      <c r="C761" s="4" t="n"/>
      <c r="D761" s="4" t="n"/>
      <c r="E761" s="4" t="n"/>
    </row>
    <row r="762" ht="15.75" customHeight="1" s="40">
      <c r="A762" s="4" t="n"/>
      <c r="B762" s="4" t="n"/>
      <c r="C762" s="4" t="n"/>
      <c r="D762" s="4" t="n"/>
      <c r="E762" s="4" t="n"/>
    </row>
    <row r="763" ht="15.75" customHeight="1" s="40">
      <c r="A763" s="4" t="n"/>
      <c r="B763" s="4" t="n"/>
      <c r="C763" s="4" t="n"/>
      <c r="D763" s="4" t="n"/>
      <c r="E763" s="4" t="n"/>
    </row>
    <row r="764" ht="15.75" customHeight="1" s="40">
      <c r="A764" s="4" t="n"/>
      <c r="B764" s="4" t="n"/>
      <c r="C764" s="4" t="n"/>
      <c r="D764" s="4" t="n"/>
      <c r="E764" s="4" t="n"/>
    </row>
    <row r="765" ht="15.75" customHeight="1" s="40">
      <c r="A765" s="4" t="n"/>
      <c r="B765" s="4" t="n"/>
      <c r="C765" s="4" t="n"/>
      <c r="D765" s="4" t="n"/>
      <c r="E765" s="4" t="n"/>
    </row>
    <row r="766" ht="15.75" customHeight="1" s="40">
      <c r="A766" s="4" t="n"/>
      <c r="B766" s="4" t="n"/>
      <c r="C766" s="4" t="n"/>
      <c r="D766" s="4" t="n"/>
      <c r="E766" s="4" t="n"/>
    </row>
    <row r="767" ht="15.75" customHeight="1" s="40">
      <c r="A767" s="4" t="n"/>
      <c r="B767" s="4" t="n"/>
      <c r="C767" s="4" t="n"/>
      <c r="D767" s="4" t="n"/>
      <c r="E767" s="4" t="n"/>
    </row>
    <row r="768" ht="15.75" customHeight="1" s="40">
      <c r="A768" s="4" t="n"/>
      <c r="B768" s="4" t="n"/>
      <c r="C768" s="4" t="n"/>
      <c r="D768" s="4" t="n"/>
      <c r="E768" s="4" t="n"/>
    </row>
    <row r="769" ht="15.75" customHeight="1" s="40">
      <c r="A769" s="4" t="n"/>
      <c r="B769" s="4" t="n"/>
      <c r="C769" s="4" t="n"/>
      <c r="D769" s="4" t="n"/>
      <c r="E769" s="4" t="n"/>
    </row>
    <row r="770" ht="15.75" customHeight="1" s="40">
      <c r="A770" s="4" t="n"/>
      <c r="B770" s="4" t="n"/>
      <c r="C770" s="4" t="n"/>
      <c r="D770" s="4" t="n"/>
      <c r="E770" s="4" t="n"/>
    </row>
    <row r="771" ht="15.75" customHeight="1" s="40">
      <c r="A771" s="4" t="n"/>
      <c r="B771" s="4" t="n"/>
      <c r="C771" s="4" t="n"/>
      <c r="D771" s="4" t="n"/>
      <c r="E771" s="4" t="n"/>
    </row>
    <row r="772" ht="15.75" customHeight="1" s="40">
      <c r="A772" s="4" t="n"/>
      <c r="B772" s="4" t="n"/>
      <c r="C772" s="4" t="n"/>
      <c r="D772" s="4" t="n"/>
      <c r="E772" s="4" t="n"/>
    </row>
    <row r="773" ht="15.75" customHeight="1" s="40">
      <c r="A773" s="4" t="n"/>
      <c r="B773" s="4" t="n"/>
      <c r="C773" s="4" t="n"/>
      <c r="D773" s="4" t="n"/>
      <c r="E773" s="4" t="n"/>
    </row>
    <row r="774" ht="15.75" customHeight="1" s="40">
      <c r="A774" s="4" t="n"/>
      <c r="B774" s="4" t="n"/>
      <c r="C774" s="4" t="n"/>
      <c r="D774" s="4" t="n"/>
      <c r="E774" s="4" t="n"/>
    </row>
    <row r="775" ht="15.75" customHeight="1" s="40">
      <c r="A775" s="4" t="n"/>
      <c r="B775" s="4" t="n"/>
      <c r="C775" s="4" t="n"/>
      <c r="D775" s="4" t="n"/>
      <c r="E775" s="4" t="n"/>
    </row>
    <row r="776" ht="15.75" customHeight="1" s="40">
      <c r="A776" s="4" t="n"/>
      <c r="B776" s="4" t="n"/>
      <c r="C776" s="4" t="n"/>
      <c r="D776" s="4" t="n"/>
      <c r="E776" s="4" t="n"/>
    </row>
    <row r="777" ht="15.75" customHeight="1" s="40">
      <c r="A777" s="4" t="n"/>
      <c r="B777" s="4" t="n"/>
      <c r="C777" s="4" t="n"/>
      <c r="D777" s="4" t="n"/>
      <c r="E777" s="4" t="n"/>
    </row>
    <row r="778" ht="15.75" customHeight="1" s="40">
      <c r="A778" s="4" t="n"/>
      <c r="B778" s="4" t="n"/>
      <c r="C778" s="4" t="n"/>
      <c r="D778" s="4" t="n"/>
      <c r="E778" s="4" t="n"/>
    </row>
    <row r="779" ht="15.75" customHeight="1" s="40">
      <c r="A779" s="4" t="n"/>
      <c r="B779" s="4" t="n"/>
      <c r="C779" s="4" t="n"/>
      <c r="D779" s="4" t="n"/>
      <c r="E779" s="4" t="n"/>
    </row>
    <row r="780" ht="15.75" customHeight="1" s="40">
      <c r="A780" s="4" t="n"/>
      <c r="B780" s="4" t="n"/>
      <c r="C780" s="4" t="n"/>
      <c r="D780" s="4" t="n"/>
      <c r="E780" s="4" t="n"/>
    </row>
    <row r="781" ht="15.75" customHeight="1" s="40">
      <c r="A781" s="4" t="n"/>
      <c r="B781" s="4" t="n"/>
      <c r="C781" s="4" t="n"/>
      <c r="D781" s="4" t="n"/>
      <c r="E781" s="4" t="n"/>
    </row>
    <row r="782" ht="15.75" customHeight="1" s="40">
      <c r="A782" s="4" t="n"/>
      <c r="B782" s="4" t="n"/>
      <c r="C782" s="4" t="n"/>
      <c r="D782" s="4" t="n"/>
      <c r="E782" s="4" t="n"/>
    </row>
    <row r="783" ht="15.75" customHeight="1" s="40">
      <c r="A783" s="4" t="n"/>
      <c r="B783" s="4" t="n"/>
      <c r="C783" s="4" t="n"/>
      <c r="D783" s="4" t="n"/>
      <c r="E783" s="4" t="n"/>
    </row>
    <row r="784" ht="15.75" customHeight="1" s="40">
      <c r="A784" s="4" t="n"/>
      <c r="B784" s="4" t="n"/>
      <c r="C784" s="4" t="n"/>
      <c r="D784" s="4" t="n"/>
      <c r="E784" s="4" t="n"/>
    </row>
    <row r="785" ht="15.75" customHeight="1" s="40">
      <c r="A785" s="4" t="n"/>
      <c r="B785" s="4" t="n"/>
      <c r="C785" s="4" t="n"/>
      <c r="D785" s="4" t="n"/>
      <c r="E785" s="4" t="n"/>
    </row>
    <row r="786" ht="15.75" customHeight="1" s="40">
      <c r="A786" s="4" t="n"/>
      <c r="B786" s="4" t="n"/>
      <c r="C786" s="4" t="n"/>
      <c r="D786" s="4" t="n"/>
      <c r="E786" s="4" t="n"/>
    </row>
    <row r="787" ht="15.75" customHeight="1" s="40">
      <c r="A787" s="4" t="n"/>
      <c r="B787" s="4" t="n"/>
      <c r="C787" s="4" t="n"/>
      <c r="D787" s="4" t="n"/>
      <c r="E787" s="4" t="n"/>
    </row>
    <row r="788" ht="15.75" customHeight="1" s="40">
      <c r="A788" s="4" t="n"/>
      <c r="B788" s="4" t="n"/>
      <c r="C788" s="4" t="n"/>
      <c r="D788" s="4" t="n"/>
      <c r="E788" s="4" t="n"/>
    </row>
    <row r="789" ht="15.75" customHeight="1" s="40">
      <c r="A789" s="4" t="n"/>
      <c r="B789" s="4" t="n"/>
      <c r="C789" s="4" t="n"/>
      <c r="D789" s="4" t="n"/>
      <c r="E789" s="4" t="n"/>
    </row>
    <row r="790" ht="15.75" customHeight="1" s="40">
      <c r="A790" s="4" t="n"/>
      <c r="B790" s="4" t="n"/>
      <c r="C790" s="4" t="n"/>
      <c r="D790" s="4" t="n"/>
      <c r="E790" s="4" t="n"/>
    </row>
    <row r="791" ht="15.75" customHeight="1" s="40">
      <c r="A791" s="4" t="n"/>
      <c r="B791" s="4" t="n"/>
      <c r="C791" s="4" t="n"/>
      <c r="D791" s="4" t="n"/>
      <c r="E791" s="4" t="n"/>
    </row>
    <row r="792" ht="15.75" customHeight="1" s="40">
      <c r="A792" s="4" t="n"/>
      <c r="B792" s="4" t="n"/>
      <c r="C792" s="4" t="n"/>
      <c r="D792" s="4" t="n"/>
      <c r="E792" s="4" t="n"/>
    </row>
    <row r="793" ht="15.75" customHeight="1" s="40">
      <c r="A793" s="4" t="n"/>
      <c r="B793" s="4" t="n"/>
      <c r="C793" s="4" t="n"/>
      <c r="D793" s="4" t="n"/>
      <c r="E793" s="4" t="n"/>
    </row>
    <row r="794" ht="15.75" customHeight="1" s="40">
      <c r="A794" s="4" t="n"/>
      <c r="B794" s="4" t="n"/>
      <c r="C794" s="4" t="n"/>
      <c r="D794" s="4" t="n"/>
      <c r="E794" s="4" t="n"/>
    </row>
    <row r="795" ht="15.75" customHeight="1" s="40">
      <c r="A795" s="4" t="n"/>
      <c r="B795" s="4" t="n"/>
      <c r="C795" s="4" t="n"/>
      <c r="D795" s="4" t="n"/>
      <c r="E795" s="4" t="n"/>
    </row>
    <row r="796" ht="15.75" customHeight="1" s="40">
      <c r="A796" s="4" t="n"/>
      <c r="B796" s="4" t="n"/>
      <c r="C796" s="4" t="n"/>
      <c r="D796" s="4" t="n"/>
      <c r="E796" s="4" t="n"/>
    </row>
    <row r="797" ht="15.75" customHeight="1" s="40">
      <c r="A797" s="4" t="n"/>
      <c r="B797" s="4" t="n"/>
      <c r="C797" s="4" t="n"/>
      <c r="D797" s="4" t="n"/>
      <c r="E797" s="4" t="n"/>
    </row>
    <row r="798" ht="15.75" customHeight="1" s="40">
      <c r="A798" s="4" t="n"/>
      <c r="B798" s="4" t="n"/>
      <c r="C798" s="4" t="n"/>
      <c r="D798" s="4" t="n"/>
      <c r="E798" s="4" t="n"/>
    </row>
    <row r="799" ht="15.75" customHeight="1" s="40">
      <c r="A799" s="4" t="n"/>
      <c r="B799" s="4" t="n"/>
      <c r="C799" s="4" t="n"/>
      <c r="D799" s="4" t="n"/>
      <c r="E799" s="4" t="n"/>
    </row>
    <row r="800" ht="15.75" customHeight="1" s="40">
      <c r="A800" s="4" t="n"/>
      <c r="B800" s="4" t="n"/>
      <c r="C800" s="4" t="n"/>
      <c r="D800" s="4" t="n"/>
      <c r="E800" s="4" t="n"/>
    </row>
    <row r="801" ht="15.75" customHeight="1" s="40">
      <c r="A801" s="4" t="n"/>
      <c r="B801" s="4" t="n"/>
      <c r="C801" s="4" t="n"/>
      <c r="D801" s="4" t="n"/>
      <c r="E801" s="4" t="n"/>
    </row>
    <row r="802" ht="15.75" customHeight="1" s="40">
      <c r="A802" s="4" t="n"/>
      <c r="B802" s="4" t="n"/>
      <c r="C802" s="4" t="n"/>
      <c r="D802" s="4" t="n"/>
      <c r="E802" s="4" t="n"/>
    </row>
    <row r="803" ht="15.75" customHeight="1" s="40">
      <c r="A803" s="4" t="n"/>
      <c r="B803" s="4" t="n"/>
      <c r="C803" s="4" t="n"/>
      <c r="D803" s="4" t="n"/>
      <c r="E803" s="4" t="n"/>
    </row>
    <row r="804" ht="15.75" customHeight="1" s="40">
      <c r="A804" s="4" t="n"/>
      <c r="B804" s="4" t="n"/>
      <c r="C804" s="4" t="n"/>
      <c r="D804" s="4" t="n"/>
      <c r="E804" s="4" t="n"/>
    </row>
    <row r="805" ht="15.75" customHeight="1" s="40">
      <c r="A805" s="4" t="n"/>
      <c r="B805" s="4" t="n"/>
      <c r="C805" s="4" t="n"/>
      <c r="D805" s="4" t="n"/>
      <c r="E805" s="4" t="n"/>
    </row>
    <row r="806" ht="15.75" customHeight="1" s="40">
      <c r="A806" s="4" t="n"/>
      <c r="B806" s="4" t="n"/>
      <c r="C806" s="4" t="n"/>
      <c r="D806" s="4" t="n"/>
      <c r="E806" s="4" t="n"/>
    </row>
    <row r="807" ht="15.75" customHeight="1" s="40">
      <c r="A807" s="4" t="n"/>
      <c r="B807" s="4" t="n"/>
      <c r="C807" s="4" t="n"/>
      <c r="D807" s="4" t="n"/>
      <c r="E807" s="4" t="n"/>
    </row>
    <row r="808" ht="15.75" customHeight="1" s="40">
      <c r="A808" s="4" t="n"/>
      <c r="B808" s="4" t="n"/>
      <c r="C808" s="4" t="n"/>
      <c r="D808" s="4" t="n"/>
      <c r="E808" s="4" t="n"/>
    </row>
    <row r="809" ht="15.75" customHeight="1" s="40">
      <c r="A809" s="4" t="n"/>
      <c r="B809" s="4" t="n"/>
      <c r="C809" s="4" t="n"/>
      <c r="D809" s="4" t="n"/>
      <c r="E809" s="4" t="n"/>
    </row>
    <row r="810" ht="15.75" customHeight="1" s="40">
      <c r="A810" s="4" t="n"/>
      <c r="B810" s="4" t="n"/>
      <c r="C810" s="4" t="n"/>
      <c r="D810" s="4" t="n"/>
      <c r="E810" s="4" t="n"/>
    </row>
    <row r="811" ht="15.75" customHeight="1" s="40">
      <c r="A811" s="4" t="n"/>
      <c r="B811" s="4" t="n"/>
      <c r="C811" s="4" t="n"/>
      <c r="D811" s="4" t="n"/>
      <c r="E811" s="4" t="n"/>
    </row>
    <row r="812" ht="15.75" customHeight="1" s="40">
      <c r="A812" s="4" t="n"/>
      <c r="B812" s="4" t="n"/>
      <c r="C812" s="4" t="n"/>
      <c r="D812" s="4" t="n"/>
      <c r="E812" s="4" t="n"/>
    </row>
    <row r="813" ht="15.75" customHeight="1" s="40">
      <c r="A813" s="4" t="n"/>
      <c r="B813" s="4" t="n"/>
      <c r="C813" s="4" t="n"/>
      <c r="D813" s="4" t="n"/>
      <c r="E813" s="4" t="n"/>
    </row>
    <row r="814" ht="15.75" customHeight="1" s="40">
      <c r="A814" s="4" t="n"/>
      <c r="B814" s="4" t="n"/>
      <c r="C814" s="4" t="n"/>
      <c r="D814" s="4" t="n"/>
      <c r="E814" s="4" t="n"/>
    </row>
    <row r="815" ht="15.75" customHeight="1" s="40">
      <c r="A815" s="4" t="n"/>
      <c r="B815" s="4" t="n"/>
      <c r="C815" s="4" t="n"/>
      <c r="D815" s="4" t="n"/>
      <c r="E815" s="4" t="n"/>
    </row>
    <row r="816" ht="15.75" customHeight="1" s="40">
      <c r="A816" s="4" t="n"/>
      <c r="B816" s="4" t="n"/>
      <c r="C816" s="4" t="n"/>
      <c r="D816" s="4" t="n"/>
      <c r="E816" s="4" t="n"/>
    </row>
    <row r="817" ht="15.75" customHeight="1" s="40">
      <c r="A817" s="4" t="n"/>
      <c r="B817" s="4" t="n"/>
      <c r="C817" s="4" t="n"/>
      <c r="D817" s="4" t="n"/>
      <c r="E817" s="4" t="n"/>
    </row>
    <row r="818" ht="15.75" customHeight="1" s="40">
      <c r="A818" s="4" t="n"/>
      <c r="B818" s="4" t="n"/>
      <c r="C818" s="4" t="n"/>
      <c r="D818" s="4" t="n"/>
      <c r="E818" s="4" t="n"/>
    </row>
    <row r="819" ht="15.75" customHeight="1" s="40">
      <c r="A819" s="4" t="n"/>
      <c r="B819" s="4" t="n"/>
      <c r="C819" s="4" t="n"/>
      <c r="D819" s="4" t="n"/>
      <c r="E819" s="4" t="n"/>
    </row>
    <row r="820" ht="15.75" customHeight="1" s="40">
      <c r="A820" s="4" t="n"/>
      <c r="B820" s="4" t="n"/>
      <c r="C820" s="4" t="n"/>
      <c r="D820" s="4" t="n"/>
      <c r="E820" s="4" t="n"/>
    </row>
    <row r="821" ht="15.75" customHeight="1" s="40">
      <c r="A821" s="4" t="n"/>
      <c r="B821" s="4" t="n"/>
      <c r="C821" s="4" t="n"/>
      <c r="D821" s="4" t="n"/>
      <c r="E821" s="4" t="n"/>
    </row>
    <row r="822" ht="15.75" customHeight="1" s="40">
      <c r="A822" s="4" t="n"/>
      <c r="B822" s="4" t="n"/>
      <c r="C822" s="4" t="n"/>
      <c r="D822" s="4" t="n"/>
      <c r="E822" s="4" t="n"/>
    </row>
    <row r="823" ht="15.75" customHeight="1" s="40">
      <c r="A823" s="4" t="n"/>
      <c r="B823" s="4" t="n"/>
      <c r="C823" s="4" t="n"/>
      <c r="D823" s="4" t="n"/>
      <c r="E823" s="4" t="n"/>
    </row>
    <row r="824" ht="15.75" customHeight="1" s="40">
      <c r="A824" s="4" t="n"/>
      <c r="B824" s="4" t="n"/>
      <c r="C824" s="4" t="n"/>
      <c r="D824" s="4" t="n"/>
      <c r="E824" s="4" t="n"/>
    </row>
    <row r="825" ht="15.75" customHeight="1" s="40">
      <c r="A825" s="4" t="n"/>
      <c r="B825" s="4" t="n"/>
      <c r="C825" s="4" t="n"/>
      <c r="D825" s="4" t="n"/>
      <c r="E825" s="4" t="n"/>
    </row>
    <row r="826" ht="15.75" customHeight="1" s="40">
      <c r="A826" s="4" t="n"/>
      <c r="B826" s="4" t="n"/>
      <c r="C826" s="4" t="n"/>
      <c r="D826" s="4" t="n"/>
      <c r="E826" s="4" t="n"/>
    </row>
    <row r="827" ht="15.75" customHeight="1" s="40">
      <c r="A827" s="4" t="n"/>
      <c r="B827" s="4" t="n"/>
      <c r="C827" s="4" t="n"/>
      <c r="D827" s="4" t="n"/>
      <c r="E827" s="4" t="n"/>
    </row>
    <row r="828" ht="15.75" customHeight="1" s="40">
      <c r="A828" s="4" t="n"/>
      <c r="B828" s="4" t="n"/>
      <c r="C828" s="4" t="n"/>
      <c r="D828" s="4" t="n"/>
      <c r="E828" s="4" t="n"/>
    </row>
    <row r="829" ht="15.75" customHeight="1" s="40">
      <c r="A829" s="4" t="n"/>
      <c r="B829" s="4" t="n"/>
      <c r="C829" s="4" t="n"/>
      <c r="D829" s="4" t="n"/>
      <c r="E829" s="4" t="n"/>
    </row>
    <row r="830" ht="15.75" customHeight="1" s="40">
      <c r="A830" s="4" t="n"/>
      <c r="B830" s="4" t="n"/>
      <c r="C830" s="4" t="n"/>
      <c r="D830" s="4" t="n"/>
      <c r="E830" s="4" t="n"/>
    </row>
    <row r="831" ht="15.75" customHeight="1" s="40">
      <c r="A831" s="4" t="n"/>
      <c r="B831" s="4" t="n"/>
      <c r="C831" s="4" t="n"/>
      <c r="D831" s="4" t="n"/>
      <c r="E831" s="4" t="n"/>
    </row>
    <row r="832" ht="15.75" customHeight="1" s="40">
      <c r="A832" s="4" t="n"/>
      <c r="B832" s="4" t="n"/>
      <c r="C832" s="4" t="n"/>
      <c r="D832" s="4" t="n"/>
      <c r="E832" s="4" t="n"/>
    </row>
    <row r="833" ht="15.75" customHeight="1" s="40">
      <c r="A833" s="4" t="n"/>
      <c r="B833" s="4" t="n"/>
      <c r="C833" s="4" t="n"/>
      <c r="D833" s="4" t="n"/>
      <c r="E833" s="4" t="n"/>
    </row>
    <row r="834" ht="15.75" customHeight="1" s="40">
      <c r="A834" s="4" t="n"/>
      <c r="B834" s="4" t="n"/>
      <c r="C834" s="4" t="n"/>
      <c r="D834" s="4" t="n"/>
      <c r="E834" s="4" t="n"/>
    </row>
    <row r="835" ht="15.75" customHeight="1" s="40">
      <c r="A835" s="4" t="n"/>
      <c r="B835" s="4" t="n"/>
      <c r="C835" s="4" t="n"/>
      <c r="D835" s="4" t="n"/>
      <c r="E835" s="4" t="n"/>
    </row>
    <row r="836" ht="15.75" customHeight="1" s="40">
      <c r="A836" s="4" t="n"/>
      <c r="B836" s="4" t="n"/>
      <c r="C836" s="4" t="n"/>
      <c r="D836" s="4" t="n"/>
      <c r="E836" s="4" t="n"/>
    </row>
    <row r="837" ht="15.75" customHeight="1" s="40">
      <c r="A837" s="4" t="n"/>
      <c r="B837" s="4" t="n"/>
      <c r="C837" s="4" t="n"/>
      <c r="D837" s="4" t="n"/>
      <c r="E837" s="4" t="n"/>
    </row>
    <row r="838" ht="15.75" customHeight="1" s="40">
      <c r="A838" s="4" t="n"/>
      <c r="B838" s="4" t="n"/>
      <c r="C838" s="4" t="n"/>
      <c r="D838" s="4" t="n"/>
      <c r="E838" s="4" t="n"/>
    </row>
    <row r="839" ht="15.75" customHeight="1" s="40">
      <c r="A839" s="4" t="n"/>
      <c r="B839" s="4" t="n"/>
      <c r="C839" s="4" t="n"/>
      <c r="D839" s="4" t="n"/>
      <c r="E839" s="4" t="n"/>
    </row>
    <row r="840" ht="15.75" customHeight="1" s="40">
      <c r="A840" s="4" t="n"/>
      <c r="B840" s="4" t="n"/>
      <c r="C840" s="4" t="n"/>
      <c r="D840" s="4" t="n"/>
      <c r="E840" s="4" t="n"/>
    </row>
    <row r="841" ht="15.75" customHeight="1" s="40">
      <c r="A841" s="4" t="n"/>
      <c r="B841" s="4" t="n"/>
      <c r="C841" s="4" t="n"/>
      <c r="D841" s="4" t="n"/>
      <c r="E841" s="4" t="n"/>
    </row>
    <row r="842" ht="15.75" customHeight="1" s="40">
      <c r="A842" s="4" t="n"/>
      <c r="B842" s="4" t="n"/>
      <c r="C842" s="4" t="n"/>
      <c r="D842" s="4" t="n"/>
      <c r="E842" s="4" t="n"/>
    </row>
    <row r="843" ht="15.75" customHeight="1" s="40">
      <c r="A843" s="4" t="n"/>
      <c r="B843" s="4" t="n"/>
      <c r="C843" s="4" t="n"/>
      <c r="D843" s="4" t="n"/>
      <c r="E843" s="4" t="n"/>
    </row>
    <row r="844" ht="15.75" customHeight="1" s="40">
      <c r="A844" s="4" t="n"/>
      <c r="B844" s="4" t="n"/>
      <c r="C844" s="4" t="n"/>
      <c r="D844" s="4" t="n"/>
      <c r="E844" s="4" t="n"/>
    </row>
    <row r="845" ht="15.75" customHeight="1" s="40">
      <c r="A845" s="4" t="n"/>
      <c r="B845" s="4" t="n"/>
      <c r="C845" s="4" t="n"/>
      <c r="D845" s="4" t="n"/>
      <c r="E845" s="4" t="n"/>
    </row>
    <row r="846" ht="15.75" customHeight="1" s="40">
      <c r="A846" s="4" t="n"/>
      <c r="B846" s="4" t="n"/>
      <c r="C846" s="4" t="n"/>
      <c r="D846" s="4" t="n"/>
      <c r="E846" s="4" t="n"/>
    </row>
    <row r="847" ht="15.75" customHeight="1" s="40">
      <c r="A847" s="4" t="n"/>
      <c r="B847" s="4" t="n"/>
      <c r="C847" s="4" t="n"/>
      <c r="D847" s="4" t="n"/>
      <c r="E847" s="4" t="n"/>
    </row>
    <row r="848" ht="15.75" customHeight="1" s="40">
      <c r="A848" s="4" t="n"/>
      <c r="B848" s="4" t="n"/>
      <c r="C848" s="4" t="n"/>
      <c r="D848" s="4" t="n"/>
      <c r="E848" s="4" t="n"/>
    </row>
    <row r="849" ht="15.75" customHeight="1" s="40">
      <c r="A849" s="4" t="n"/>
      <c r="B849" s="4" t="n"/>
      <c r="C849" s="4" t="n"/>
      <c r="D849" s="4" t="n"/>
      <c r="E849" s="4" t="n"/>
    </row>
    <row r="850" ht="15.75" customHeight="1" s="40">
      <c r="A850" s="4" t="n"/>
      <c r="B850" s="4" t="n"/>
      <c r="C850" s="4" t="n"/>
      <c r="D850" s="4" t="n"/>
      <c r="E850" s="4" t="n"/>
    </row>
    <row r="851" ht="15.75" customHeight="1" s="40">
      <c r="A851" s="4" t="n"/>
      <c r="B851" s="4" t="n"/>
      <c r="C851" s="4" t="n"/>
      <c r="D851" s="4" t="n"/>
      <c r="E851" s="4" t="n"/>
    </row>
    <row r="852" ht="15.75" customHeight="1" s="40">
      <c r="A852" s="4" t="n"/>
      <c r="B852" s="4" t="n"/>
      <c r="C852" s="4" t="n"/>
      <c r="D852" s="4" t="n"/>
      <c r="E852" s="4" t="n"/>
    </row>
    <row r="853" ht="15.75" customHeight="1" s="40">
      <c r="A853" s="4" t="n"/>
      <c r="B853" s="4" t="n"/>
      <c r="C853" s="4" t="n"/>
      <c r="D853" s="4" t="n"/>
      <c r="E853" s="4" t="n"/>
    </row>
    <row r="854" ht="15.75" customHeight="1" s="40">
      <c r="A854" s="4" t="n"/>
      <c r="B854" s="4" t="n"/>
      <c r="C854" s="4" t="n"/>
      <c r="D854" s="4" t="n"/>
      <c r="E854" s="4" t="n"/>
    </row>
    <row r="855" ht="15.75" customHeight="1" s="40">
      <c r="A855" s="4" t="n"/>
      <c r="B855" s="4" t="n"/>
      <c r="C855" s="4" t="n"/>
      <c r="D855" s="4" t="n"/>
      <c r="E855" s="4" t="n"/>
    </row>
    <row r="856" ht="15.75" customHeight="1" s="40">
      <c r="A856" s="4" t="n"/>
      <c r="B856" s="4" t="n"/>
      <c r="C856" s="4" t="n"/>
      <c r="D856" s="4" t="n"/>
      <c r="E856" s="4" t="n"/>
    </row>
    <row r="857" ht="15.75" customHeight="1" s="40">
      <c r="A857" s="4" t="n"/>
      <c r="B857" s="4" t="n"/>
      <c r="C857" s="4" t="n"/>
      <c r="D857" s="4" t="n"/>
      <c r="E857" s="4" t="n"/>
    </row>
    <row r="858" ht="15.75" customHeight="1" s="40">
      <c r="A858" s="4" t="n"/>
      <c r="B858" s="4" t="n"/>
      <c r="C858" s="4" t="n"/>
      <c r="D858" s="4" t="n"/>
      <c r="E858" s="4" t="n"/>
    </row>
    <row r="859" ht="15.75" customHeight="1" s="40">
      <c r="A859" s="4" t="n"/>
      <c r="B859" s="4" t="n"/>
      <c r="C859" s="4" t="n"/>
      <c r="D859" s="4" t="n"/>
      <c r="E859" s="4" t="n"/>
    </row>
    <row r="860" ht="15.75" customHeight="1" s="40">
      <c r="A860" s="4" t="n"/>
      <c r="B860" s="4" t="n"/>
      <c r="C860" s="4" t="n"/>
      <c r="D860" s="4" t="n"/>
      <c r="E860" s="4" t="n"/>
    </row>
    <row r="861" ht="15.75" customHeight="1" s="40">
      <c r="A861" s="4" t="n"/>
      <c r="B861" s="4" t="n"/>
      <c r="C861" s="4" t="n"/>
      <c r="D861" s="4" t="n"/>
      <c r="E861" s="4" t="n"/>
    </row>
    <row r="862" ht="15.75" customHeight="1" s="40">
      <c r="A862" s="4" t="n"/>
      <c r="B862" s="4" t="n"/>
      <c r="C862" s="4" t="n"/>
      <c r="D862" s="4" t="n"/>
      <c r="E862" s="4" t="n"/>
    </row>
    <row r="863" ht="15.75" customHeight="1" s="40">
      <c r="A863" s="4" t="n"/>
      <c r="B863" s="4" t="n"/>
      <c r="C863" s="4" t="n"/>
      <c r="D863" s="4" t="n"/>
      <c r="E863" s="4" t="n"/>
    </row>
    <row r="864" ht="15.75" customHeight="1" s="40">
      <c r="A864" s="4" t="n"/>
      <c r="B864" s="4" t="n"/>
      <c r="C864" s="4" t="n"/>
      <c r="D864" s="4" t="n"/>
      <c r="E864" s="4" t="n"/>
    </row>
    <row r="865" ht="15.75" customHeight="1" s="40">
      <c r="A865" s="4" t="n"/>
      <c r="B865" s="4" t="n"/>
      <c r="C865" s="4" t="n"/>
      <c r="D865" s="4" t="n"/>
      <c r="E865" s="4" t="n"/>
    </row>
    <row r="866" ht="15.75" customHeight="1" s="40">
      <c r="A866" s="4" t="n"/>
      <c r="B866" s="4" t="n"/>
      <c r="C866" s="4" t="n"/>
      <c r="D866" s="4" t="n"/>
      <c r="E866" s="4" t="n"/>
    </row>
    <row r="867" ht="15.75" customHeight="1" s="40">
      <c r="A867" s="4" t="n"/>
      <c r="B867" s="4" t="n"/>
      <c r="C867" s="4" t="n"/>
      <c r="D867" s="4" t="n"/>
      <c r="E867" s="4" t="n"/>
    </row>
    <row r="868" ht="15.75" customHeight="1" s="40">
      <c r="A868" s="4" t="n"/>
      <c r="B868" s="4" t="n"/>
      <c r="C868" s="4" t="n"/>
      <c r="D868" s="4" t="n"/>
      <c r="E868" s="4" t="n"/>
    </row>
    <row r="869" ht="15.75" customHeight="1" s="40">
      <c r="A869" s="4" t="n"/>
      <c r="B869" s="4" t="n"/>
      <c r="C869" s="4" t="n"/>
      <c r="D869" s="4" t="n"/>
      <c r="E869" s="4" t="n"/>
    </row>
    <row r="870" ht="15.75" customHeight="1" s="40">
      <c r="A870" s="4" t="n"/>
      <c r="B870" s="4" t="n"/>
      <c r="C870" s="4" t="n"/>
      <c r="D870" s="4" t="n"/>
      <c r="E870" s="4" t="n"/>
    </row>
    <row r="871" ht="15.75" customHeight="1" s="40">
      <c r="A871" s="4" t="n"/>
      <c r="B871" s="4" t="n"/>
      <c r="C871" s="4" t="n"/>
      <c r="D871" s="4" t="n"/>
      <c r="E871" s="4" t="n"/>
    </row>
    <row r="872" ht="15.75" customHeight="1" s="40">
      <c r="A872" s="4" t="n"/>
      <c r="B872" s="4" t="n"/>
      <c r="C872" s="4" t="n"/>
      <c r="D872" s="4" t="n"/>
      <c r="E872" s="4" t="n"/>
    </row>
    <row r="873" ht="15.75" customHeight="1" s="40">
      <c r="A873" s="4" t="n"/>
      <c r="B873" s="4" t="n"/>
      <c r="C873" s="4" t="n"/>
      <c r="D873" s="4" t="n"/>
      <c r="E873" s="4" t="n"/>
    </row>
    <row r="874" ht="15.75" customHeight="1" s="40">
      <c r="A874" s="4" t="n"/>
      <c r="B874" s="4" t="n"/>
      <c r="C874" s="4" t="n"/>
      <c r="D874" s="4" t="n"/>
      <c r="E874" s="4" t="n"/>
    </row>
    <row r="875" ht="15.75" customHeight="1" s="40">
      <c r="A875" s="4" t="n"/>
      <c r="B875" s="4" t="n"/>
      <c r="C875" s="4" t="n"/>
      <c r="D875" s="4" t="n"/>
      <c r="E875" s="4" t="n"/>
    </row>
    <row r="876" ht="15.75" customHeight="1" s="40">
      <c r="A876" s="4" t="n"/>
      <c r="B876" s="4" t="n"/>
      <c r="C876" s="4" t="n"/>
      <c r="D876" s="4" t="n"/>
      <c r="E876" s="4" t="n"/>
    </row>
    <row r="877" ht="15.75" customHeight="1" s="40">
      <c r="A877" s="4" t="n"/>
      <c r="B877" s="4" t="n"/>
      <c r="C877" s="4" t="n"/>
      <c r="D877" s="4" t="n"/>
      <c r="E877" s="4" t="n"/>
    </row>
    <row r="878" ht="15.75" customHeight="1" s="40">
      <c r="A878" s="4" t="n"/>
      <c r="B878" s="4" t="n"/>
      <c r="C878" s="4" t="n"/>
      <c r="D878" s="4" t="n"/>
      <c r="E878" s="4" t="n"/>
    </row>
    <row r="879" ht="15.75" customHeight="1" s="40">
      <c r="A879" s="4" t="n"/>
      <c r="B879" s="4" t="n"/>
      <c r="C879" s="4" t="n"/>
      <c r="D879" s="4" t="n"/>
      <c r="E879" s="4" t="n"/>
    </row>
    <row r="880" ht="15.75" customHeight="1" s="40">
      <c r="A880" s="4" t="n"/>
      <c r="B880" s="4" t="n"/>
      <c r="C880" s="4" t="n"/>
      <c r="D880" s="4" t="n"/>
      <c r="E880" s="4" t="n"/>
    </row>
    <row r="881" ht="15.75" customHeight="1" s="40">
      <c r="A881" s="4" t="n"/>
      <c r="B881" s="4" t="n"/>
      <c r="C881" s="4" t="n"/>
      <c r="D881" s="4" t="n"/>
      <c r="E881" s="4" t="n"/>
    </row>
    <row r="882" ht="15.75" customHeight="1" s="40">
      <c r="A882" s="4" t="n"/>
      <c r="B882" s="4" t="n"/>
      <c r="C882" s="4" t="n"/>
      <c r="D882" s="4" t="n"/>
      <c r="E882" s="4" t="n"/>
    </row>
    <row r="883" ht="15.75" customHeight="1" s="40">
      <c r="A883" s="4" t="n"/>
      <c r="B883" s="4" t="n"/>
      <c r="C883" s="4" t="n"/>
      <c r="D883" s="4" t="n"/>
      <c r="E883" s="4" t="n"/>
    </row>
    <row r="884" ht="15.75" customHeight="1" s="40">
      <c r="A884" s="4" t="n"/>
      <c r="B884" s="4" t="n"/>
      <c r="C884" s="4" t="n"/>
      <c r="D884" s="4" t="n"/>
      <c r="E884" s="4" t="n"/>
    </row>
    <row r="885" ht="15.75" customHeight="1" s="40">
      <c r="A885" s="4" t="n"/>
      <c r="B885" s="4" t="n"/>
      <c r="C885" s="4" t="n"/>
      <c r="D885" s="4" t="n"/>
      <c r="E885" s="4" t="n"/>
    </row>
    <row r="886" ht="15.75" customHeight="1" s="40">
      <c r="A886" s="4" t="n"/>
      <c r="B886" s="4" t="n"/>
      <c r="C886" s="4" t="n"/>
      <c r="D886" s="4" t="n"/>
      <c r="E886" s="4" t="n"/>
    </row>
    <row r="887" ht="15.75" customHeight="1" s="40">
      <c r="A887" s="4" t="n"/>
      <c r="B887" s="4" t="n"/>
      <c r="C887" s="4" t="n"/>
      <c r="D887" s="4" t="n"/>
      <c r="E887" s="4" t="n"/>
    </row>
    <row r="888" ht="15.75" customHeight="1" s="40">
      <c r="A888" s="4" t="n"/>
      <c r="B888" s="4" t="n"/>
      <c r="C888" s="4" t="n"/>
      <c r="D888" s="4" t="n"/>
      <c r="E888" s="4" t="n"/>
    </row>
    <row r="889" ht="15.75" customHeight="1" s="40">
      <c r="A889" s="4" t="n"/>
      <c r="B889" s="4" t="n"/>
      <c r="C889" s="4" t="n"/>
      <c r="D889" s="4" t="n"/>
      <c r="E889" s="4" t="n"/>
    </row>
    <row r="890" ht="15.75" customHeight="1" s="40">
      <c r="A890" s="4" t="n"/>
      <c r="B890" s="4" t="n"/>
      <c r="C890" s="4" t="n"/>
      <c r="D890" s="4" t="n"/>
      <c r="E890" s="4" t="n"/>
    </row>
    <row r="891" ht="15.75" customHeight="1" s="40">
      <c r="A891" s="4" t="n"/>
      <c r="B891" s="4" t="n"/>
      <c r="C891" s="4" t="n"/>
      <c r="D891" s="4" t="n"/>
      <c r="E891" s="4" t="n"/>
    </row>
    <row r="892" ht="15.75" customHeight="1" s="40">
      <c r="A892" s="4" t="n"/>
      <c r="B892" s="4" t="n"/>
      <c r="C892" s="4" t="n"/>
      <c r="D892" s="4" t="n"/>
      <c r="E892" s="4" t="n"/>
    </row>
    <row r="893" ht="15.75" customHeight="1" s="40">
      <c r="A893" s="4" t="n"/>
      <c r="B893" s="4" t="n"/>
      <c r="C893" s="4" t="n"/>
      <c r="D893" s="4" t="n"/>
      <c r="E893" s="4" t="n"/>
    </row>
    <row r="894" ht="15.75" customHeight="1" s="40">
      <c r="A894" s="4" t="n"/>
      <c r="B894" s="4" t="n"/>
      <c r="C894" s="4" t="n"/>
      <c r="D894" s="4" t="n"/>
      <c r="E894" s="4" t="n"/>
    </row>
    <row r="895" ht="15.75" customHeight="1" s="40">
      <c r="A895" s="4" t="n"/>
      <c r="B895" s="4" t="n"/>
      <c r="C895" s="4" t="n"/>
      <c r="D895" s="4" t="n"/>
      <c r="E895" s="4" t="n"/>
    </row>
    <row r="896" ht="15.75" customHeight="1" s="40">
      <c r="A896" s="4" t="n"/>
      <c r="B896" s="4" t="n"/>
      <c r="C896" s="4" t="n"/>
      <c r="D896" s="4" t="n"/>
      <c r="E896" s="4" t="n"/>
    </row>
    <row r="897" ht="15.75" customHeight="1" s="40">
      <c r="A897" s="4" t="n"/>
      <c r="B897" s="4" t="n"/>
      <c r="C897" s="4" t="n"/>
      <c r="D897" s="4" t="n"/>
      <c r="E897" s="4" t="n"/>
    </row>
    <row r="898" ht="15.75" customHeight="1" s="40">
      <c r="A898" s="4" t="n"/>
      <c r="B898" s="4" t="n"/>
      <c r="C898" s="4" t="n"/>
      <c r="D898" s="4" t="n"/>
      <c r="E898" s="4" t="n"/>
    </row>
    <row r="899" ht="15.75" customHeight="1" s="40">
      <c r="A899" s="4" t="n"/>
      <c r="B899" s="4" t="n"/>
      <c r="C899" s="4" t="n"/>
      <c r="D899" s="4" t="n"/>
      <c r="E899" s="4" t="n"/>
    </row>
    <row r="900" ht="15.75" customHeight="1" s="40">
      <c r="A900" s="4" t="n"/>
      <c r="B900" s="4" t="n"/>
      <c r="C900" s="4" t="n"/>
      <c r="D900" s="4" t="n"/>
      <c r="E900" s="4" t="n"/>
    </row>
    <row r="901" ht="15.75" customHeight="1" s="40">
      <c r="A901" s="4" t="n"/>
      <c r="B901" s="4" t="n"/>
      <c r="C901" s="4" t="n"/>
      <c r="D901" s="4" t="n"/>
      <c r="E901" s="4" t="n"/>
    </row>
    <row r="902" ht="15.75" customHeight="1" s="40">
      <c r="A902" s="4" t="n"/>
      <c r="B902" s="4" t="n"/>
      <c r="C902" s="4" t="n"/>
      <c r="D902" s="4" t="n"/>
      <c r="E902" s="4" t="n"/>
    </row>
    <row r="903" ht="15.75" customHeight="1" s="40">
      <c r="A903" s="4" t="n"/>
      <c r="B903" s="4" t="n"/>
      <c r="C903" s="4" t="n"/>
      <c r="D903" s="4" t="n"/>
      <c r="E903" s="4" t="n"/>
    </row>
    <row r="904" ht="15.75" customHeight="1" s="40">
      <c r="A904" s="4" t="n"/>
      <c r="B904" s="4" t="n"/>
      <c r="C904" s="4" t="n"/>
      <c r="D904" s="4" t="n"/>
      <c r="E904" s="4" t="n"/>
    </row>
    <row r="905" ht="15.75" customHeight="1" s="40">
      <c r="A905" s="4" t="n"/>
      <c r="B905" s="4" t="n"/>
      <c r="C905" s="4" t="n"/>
      <c r="D905" s="4" t="n"/>
      <c r="E905" s="4" t="n"/>
    </row>
    <row r="906" ht="15.75" customHeight="1" s="40">
      <c r="A906" s="4" t="n"/>
      <c r="B906" s="4" t="n"/>
      <c r="C906" s="4" t="n"/>
      <c r="D906" s="4" t="n"/>
      <c r="E906" s="4" t="n"/>
    </row>
    <row r="907" ht="15.75" customHeight="1" s="40">
      <c r="A907" s="4" t="n"/>
      <c r="B907" s="4" t="n"/>
      <c r="C907" s="4" t="n"/>
      <c r="D907" s="4" t="n"/>
      <c r="E907" s="4" t="n"/>
    </row>
    <row r="908" ht="15.75" customHeight="1" s="40">
      <c r="A908" s="4" t="n"/>
      <c r="B908" s="4" t="n"/>
      <c r="C908" s="4" t="n"/>
      <c r="D908" s="4" t="n"/>
      <c r="E908" s="4" t="n"/>
    </row>
    <row r="909" ht="15.75" customHeight="1" s="40">
      <c r="A909" s="4" t="n"/>
      <c r="B909" s="4" t="n"/>
      <c r="C909" s="4" t="n"/>
      <c r="D909" s="4" t="n"/>
      <c r="E909" s="4" t="n"/>
    </row>
    <row r="910" ht="15.75" customHeight="1" s="40">
      <c r="A910" s="4" t="n"/>
      <c r="B910" s="4" t="n"/>
      <c r="C910" s="4" t="n"/>
      <c r="D910" s="4" t="n"/>
      <c r="E910" s="4" t="n"/>
    </row>
    <row r="911" ht="15.75" customHeight="1" s="40">
      <c r="A911" s="4" t="n"/>
      <c r="B911" s="4" t="n"/>
      <c r="C911" s="4" t="n"/>
      <c r="D911" s="4" t="n"/>
      <c r="E911" s="4" t="n"/>
    </row>
    <row r="912" ht="15.75" customHeight="1" s="40">
      <c r="A912" s="4" t="n"/>
      <c r="B912" s="4" t="n"/>
      <c r="C912" s="4" t="n"/>
      <c r="D912" s="4" t="n"/>
      <c r="E912" s="4" t="n"/>
    </row>
    <row r="913" ht="15.75" customHeight="1" s="40">
      <c r="A913" s="4" t="n"/>
      <c r="B913" s="4" t="n"/>
      <c r="C913" s="4" t="n"/>
      <c r="D913" s="4" t="n"/>
      <c r="E913" s="4" t="n"/>
    </row>
    <row r="914" ht="15.75" customHeight="1" s="40">
      <c r="A914" s="4" t="n"/>
      <c r="B914" s="4" t="n"/>
      <c r="C914" s="4" t="n"/>
      <c r="D914" s="4" t="n"/>
      <c r="E914" s="4" t="n"/>
    </row>
    <row r="915" ht="15.75" customHeight="1" s="40">
      <c r="A915" s="4" t="n"/>
      <c r="B915" s="4" t="n"/>
      <c r="C915" s="4" t="n"/>
      <c r="D915" s="4" t="n"/>
      <c r="E915" s="4" t="n"/>
    </row>
    <row r="916" ht="15.75" customHeight="1" s="40">
      <c r="A916" s="4" t="n"/>
      <c r="B916" s="4" t="n"/>
      <c r="C916" s="4" t="n"/>
      <c r="D916" s="4" t="n"/>
      <c r="E916" s="4" t="n"/>
    </row>
    <row r="917" ht="15.75" customHeight="1" s="40">
      <c r="A917" s="4" t="n"/>
      <c r="B917" s="4" t="n"/>
      <c r="C917" s="4" t="n"/>
      <c r="D917" s="4" t="n"/>
      <c r="E917" s="4" t="n"/>
    </row>
    <row r="918" ht="15.75" customHeight="1" s="40">
      <c r="A918" s="4" t="n"/>
      <c r="B918" s="4" t="n"/>
      <c r="C918" s="4" t="n"/>
      <c r="D918" s="4" t="n"/>
      <c r="E918" s="4" t="n"/>
    </row>
    <row r="919" ht="15.75" customHeight="1" s="40">
      <c r="A919" s="4" t="n"/>
      <c r="B919" s="4" t="n"/>
      <c r="C919" s="4" t="n"/>
      <c r="D919" s="4" t="n"/>
      <c r="E919" s="4" t="n"/>
    </row>
    <row r="920" ht="15.75" customHeight="1" s="40">
      <c r="A920" s="4" t="n"/>
      <c r="B920" s="4" t="n"/>
      <c r="C920" s="4" t="n"/>
      <c r="D920" s="4" t="n"/>
      <c r="E920" s="4" t="n"/>
    </row>
    <row r="921" ht="15.75" customHeight="1" s="40">
      <c r="A921" s="4" t="n"/>
      <c r="B921" s="4" t="n"/>
      <c r="C921" s="4" t="n"/>
      <c r="D921" s="4" t="n"/>
      <c r="E921" s="4" t="n"/>
    </row>
    <row r="922" ht="15.75" customHeight="1" s="40">
      <c r="A922" s="4" t="n"/>
      <c r="B922" s="4" t="n"/>
      <c r="C922" s="4" t="n"/>
      <c r="D922" s="4" t="n"/>
      <c r="E922" s="4" t="n"/>
    </row>
    <row r="923" ht="15.75" customHeight="1" s="40">
      <c r="A923" s="4" t="n"/>
      <c r="B923" s="4" t="n"/>
      <c r="C923" s="4" t="n"/>
      <c r="D923" s="4" t="n"/>
      <c r="E923" s="4" t="n"/>
    </row>
    <row r="924" ht="15.75" customHeight="1" s="40">
      <c r="A924" s="4" t="n"/>
      <c r="B924" s="4" t="n"/>
      <c r="C924" s="4" t="n"/>
      <c r="D924" s="4" t="n"/>
      <c r="E924" s="4" t="n"/>
    </row>
    <row r="925" ht="15.75" customHeight="1" s="40">
      <c r="A925" s="4" t="n"/>
      <c r="B925" s="4" t="n"/>
      <c r="C925" s="4" t="n"/>
      <c r="D925" s="4" t="n"/>
      <c r="E925" s="4" t="n"/>
    </row>
    <row r="926" ht="15.75" customHeight="1" s="40">
      <c r="A926" s="4" t="n"/>
      <c r="B926" s="4" t="n"/>
      <c r="C926" s="4" t="n"/>
      <c r="D926" s="4" t="n"/>
      <c r="E926" s="4" t="n"/>
    </row>
    <row r="927" ht="15.75" customHeight="1" s="40">
      <c r="A927" s="4" t="n"/>
      <c r="B927" s="4" t="n"/>
      <c r="C927" s="4" t="n"/>
      <c r="D927" s="4" t="n"/>
      <c r="E927" s="4" t="n"/>
    </row>
    <row r="928" ht="15.75" customHeight="1" s="40">
      <c r="A928" s="4" t="n"/>
      <c r="B928" s="4" t="n"/>
      <c r="C928" s="4" t="n"/>
      <c r="D928" s="4" t="n"/>
      <c r="E928" s="4" t="n"/>
    </row>
    <row r="929" ht="15.75" customHeight="1" s="40">
      <c r="A929" s="4" t="n"/>
      <c r="B929" s="4" t="n"/>
      <c r="C929" s="4" t="n"/>
      <c r="D929" s="4" t="n"/>
      <c r="E929" s="4" t="n"/>
    </row>
    <row r="930" ht="15.75" customHeight="1" s="40">
      <c r="A930" s="4" t="n"/>
      <c r="B930" s="4" t="n"/>
      <c r="C930" s="4" t="n"/>
      <c r="D930" s="4" t="n"/>
      <c r="E930" s="4" t="n"/>
    </row>
    <row r="931" ht="15.75" customHeight="1" s="40">
      <c r="A931" s="4" t="n"/>
      <c r="B931" s="4" t="n"/>
      <c r="C931" s="4" t="n"/>
      <c r="D931" s="4" t="n"/>
      <c r="E931" s="4" t="n"/>
    </row>
    <row r="932" ht="15.75" customHeight="1" s="40">
      <c r="A932" s="4" t="n"/>
      <c r="B932" s="4" t="n"/>
      <c r="C932" s="4" t="n"/>
      <c r="D932" s="4" t="n"/>
      <c r="E932" s="4" t="n"/>
    </row>
    <row r="933" ht="15.75" customHeight="1" s="40">
      <c r="A933" s="4" t="n"/>
      <c r="B933" s="4" t="n"/>
      <c r="C933" s="4" t="n"/>
      <c r="D933" s="4" t="n"/>
      <c r="E933" s="4" t="n"/>
    </row>
    <row r="934" ht="15.75" customHeight="1" s="40">
      <c r="A934" s="4" t="n"/>
      <c r="B934" s="4" t="n"/>
      <c r="C934" s="4" t="n"/>
      <c r="D934" s="4" t="n"/>
      <c r="E934" s="4" t="n"/>
    </row>
    <row r="935" ht="15.75" customHeight="1" s="40">
      <c r="A935" s="4" t="n"/>
      <c r="B935" s="4" t="n"/>
      <c r="C935" s="4" t="n"/>
      <c r="D935" s="4" t="n"/>
      <c r="E935" s="4" t="n"/>
    </row>
    <row r="936" ht="15.75" customHeight="1" s="40">
      <c r="A936" s="4" t="n"/>
      <c r="B936" s="4" t="n"/>
      <c r="C936" s="4" t="n"/>
      <c r="D936" s="4" t="n"/>
      <c r="E936" s="4" t="n"/>
    </row>
    <row r="937" ht="15.75" customHeight="1" s="40">
      <c r="A937" s="4" t="n"/>
      <c r="B937" s="4" t="n"/>
      <c r="C937" s="4" t="n"/>
      <c r="D937" s="4" t="n"/>
      <c r="E937" s="4" t="n"/>
    </row>
    <row r="938" ht="15.75" customHeight="1" s="40">
      <c r="A938" s="4" t="n"/>
      <c r="B938" s="4" t="n"/>
      <c r="C938" s="4" t="n"/>
      <c r="D938" s="4" t="n"/>
      <c r="E938" s="4" t="n"/>
    </row>
    <row r="939" ht="15.75" customHeight="1" s="40">
      <c r="A939" s="4" t="n"/>
      <c r="B939" s="4" t="n"/>
      <c r="C939" s="4" t="n"/>
      <c r="D939" s="4" t="n"/>
      <c r="E939" s="4" t="n"/>
    </row>
    <row r="940" ht="15.75" customHeight="1" s="40">
      <c r="A940" s="4" t="n"/>
      <c r="B940" s="4" t="n"/>
      <c r="C940" s="4" t="n"/>
      <c r="D940" s="4" t="n"/>
      <c r="E940" s="4" t="n"/>
    </row>
    <row r="941" ht="15.75" customHeight="1" s="40">
      <c r="A941" s="4" t="n"/>
      <c r="B941" s="4" t="n"/>
      <c r="C941" s="4" t="n"/>
      <c r="D941" s="4" t="n"/>
      <c r="E941" s="4" t="n"/>
    </row>
    <row r="942" ht="15.75" customHeight="1" s="40">
      <c r="A942" s="4" t="n"/>
      <c r="B942" s="4" t="n"/>
      <c r="C942" s="4" t="n"/>
      <c r="D942" s="4" t="n"/>
      <c r="E942" s="4" t="n"/>
    </row>
    <row r="943" ht="15.75" customHeight="1" s="40">
      <c r="A943" s="4" t="n"/>
      <c r="B943" s="4" t="n"/>
      <c r="C943" s="4" t="n"/>
      <c r="D943" s="4" t="n"/>
      <c r="E943" s="4" t="n"/>
    </row>
    <row r="944" ht="15.75" customHeight="1" s="40">
      <c r="A944" s="4" t="n"/>
      <c r="B944" s="4" t="n"/>
      <c r="C944" s="4" t="n"/>
      <c r="D944" s="4" t="n"/>
      <c r="E944" s="4" t="n"/>
    </row>
    <row r="945" ht="15.75" customHeight="1" s="40">
      <c r="A945" s="4" t="n"/>
      <c r="B945" s="4" t="n"/>
      <c r="C945" s="4" t="n"/>
      <c r="D945" s="4" t="n"/>
      <c r="E945" s="4" t="n"/>
    </row>
    <row r="946" ht="15.75" customHeight="1" s="40">
      <c r="A946" s="4" t="n"/>
      <c r="B946" s="4" t="n"/>
      <c r="C946" s="4" t="n"/>
      <c r="D946" s="4" t="n"/>
      <c r="E946" s="4" t="n"/>
    </row>
    <row r="947" ht="15.75" customHeight="1" s="40">
      <c r="A947" s="4" t="n"/>
      <c r="B947" s="4" t="n"/>
      <c r="C947" s="4" t="n"/>
      <c r="D947" s="4" t="n"/>
      <c r="E947" s="4" t="n"/>
    </row>
    <row r="948" ht="15.75" customHeight="1" s="40">
      <c r="A948" s="4" t="n"/>
      <c r="B948" s="4" t="n"/>
      <c r="C948" s="4" t="n"/>
      <c r="D948" s="4" t="n"/>
      <c r="E948" s="4" t="n"/>
    </row>
    <row r="949" ht="15.75" customHeight="1" s="40">
      <c r="A949" s="4" t="n"/>
      <c r="B949" s="4" t="n"/>
      <c r="C949" s="4" t="n"/>
      <c r="D949" s="4" t="n"/>
      <c r="E949" s="4" t="n"/>
    </row>
    <row r="950" ht="15.75" customHeight="1" s="40">
      <c r="A950" s="4" t="n"/>
      <c r="B950" s="4" t="n"/>
      <c r="C950" s="4" t="n"/>
      <c r="D950" s="4" t="n"/>
      <c r="E950" s="4" t="n"/>
    </row>
    <row r="951" ht="15.75" customHeight="1" s="40">
      <c r="A951" s="4" t="n"/>
      <c r="B951" s="4" t="n"/>
      <c r="C951" s="4" t="n"/>
      <c r="D951" s="4" t="n"/>
      <c r="E951" s="4" t="n"/>
    </row>
    <row r="952" ht="15.75" customHeight="1" s="40">
      <c r="A952" s="4" t="n"/>
      <c r="B952" s="4" t="n"/>
      <c r="C952" s="4" t="n"/>
      <c r="D952" s="4" t="n"/>
      <c r="E952" s="4" t="n"/>
    </row>
    <row r="953" ht="15.75" customHeight="1" s="40">
      <c r="A953" s="4" t="n"/>
      <c r="B953" s="4" t="n"/>
      <c r="C953" s="4" t="n"/>
      <c r="D953" s="4" t="n"/>
      <c r="E953" s="4" t="n"/>
    </row>
    <row r="954" ht="15.75" customHeight="1" s="40">
      <c r="A954" s="4" t="n"/>
      <c r="B954" s="4" t="n"/>
      <c r="C954" s="4" t="n"/>
      <c r="D954" s="4" t="n"/>
      <c r="E954" s="4" t="n"/>
    </row>
    <row r="955" ht="15.75" customHeight="1" s="40">
      <c r="A955" s="4" t="n"/>
      <c r="B955" s="4" t="n"/>
      <c r="C955" s="4" t="n"/>
      <c r="D955" s="4" t="n"/>
      <c r="E955" s="4" t="n"/>
    </row>
    <row r="956" ht="15.75" customHeight="1" s="40">
      <c r="A956" s="4" t="n"/>
      <c r="B956" s="4" t="n"/>
      <c r="C956" s="4" t="n"/>
      <c r="D956" s="4" t="n"/>
      <c r="E956" s="4" t="n"/>
    </row>
    <row r="957" ht="15.75" customHeight="1" s="40">
      <c r="A957" s="4" t="n"/>
      <c r="B957" s="4" t="n"/>
      <c r="C957" s="4" t="n"/>
      <c r="D957" s="4" t="n"/>
      <c r="E957" s="4" t="n"/>
    </row>
    <row r="958" ht="15.75" customHeight="1" s="40">
      <c r="A958" s="4" t="n"/>
      <c r="B958" s="4" t="n"/>
      <c r="C958" s="4" t="n"/>
      <c r="D958" s="4" t="n"/>
      <c r="E958" s="4" t="n"/>
    </row>
    <row r="959" ht="15.75" customHeight="1" s="40">
      <c r="A959" s="4" t="n"/>
      <c r="B959" s="4" t="n"/>
      <c r="C959" s="4" t="n"/>
      <c r="D959" s="4" t="n"/>
      <c r="E959" s="4" t="n"/>
    </row>
    <row r="960" ht="15.75" customHeight="1" s="40">
      <c r="A960" s="4" t="n"/>
      <c r="B960" s="4" t="n"/>
      <c r="C960" s="4" t="n"/>
      <c r="D960" s="4" t="n"/>
      <c r="E960" s="4" t="n"/>
    </row>
    <row r="961" ht="15.75" customHeight="1" s="40">
      <c r="A961" s="4" t="n"/>
      <c r="B961" s="4" t="n"/>
      <c r="C961" s="4" t="n"/>
      <c r="D961" s="4" t="n"/>
      <c r="E961" s="4" t="n"/>
    </row>
    <row r="962" ht="15.75" customHeight="1" s="40">
      <c r="A962" s="4" t="n"/>
      <c r="B962" s="4" t="n"/>
      <c r="C962" s="4" t="n"/>
      <c r="D962" s="4" t="n"/>
      <c r="E962" s="4" t="n"/>
    </row>
    <row r="963" ht="15.75" customHeight="1" s="40">
      <c r="A963" s="4" t="n"/>
      <c r="B963" s="4" t="n"/>
      <c r="C963" s="4" t="n"/>
      <c r="D963" s="4" t="n"/>
      <c r="E963" s="4" t="n"/>
    </row>
    <row r="964" ht="15.75" customHeight="1" s="40">
      <c r="A964" s="4" t="n"/>
      <c r="B964" s="4" t="n"/>
      <c r="C964" s="4" t="n"/>
      <c r="D964" s="4" t="n"/>
      <c r="E964" s="4" t="n"/>
    </row>
    <row r="965" ht="15.75" customHeight="1" s="40">
      <c r="A965" s="4" t="n"/>
      <c r="B965" s="4" t="n"/>
      <c r="C965" s="4" t="n"/>
      <c r="D965" s="4" t="n"/>
      <c r="E965" s="4" t="n"/>
    </row>
    <row r="966" ht="15.75" customHeight="1" s="40">
      <c r="A966" s="4" t="n"/>
      <c r="B966" s="4" t="n"/>
      <c r="C966" s="4" t="n"/>
      <c r="D966" s="4" t="n"/>
      <c r="E966" s="4" t="n"/>
    </row>
    <row r="967" ht="15.75" customHeight="1" s="40">
      <c r="A967" s="4" t="n"/>
      <c r="B967" s="4" t="n"/>
      <c r="C967" s="4" t="n"/>
      <c r="D967" s="4" t="n"/>
      <c r="E967" s="4" t="n"/>
    </row>
    <row r="968" ht="15.75" customHeight="1" s="40">
      <c r="A968" s="4" t="n"/>
      <c r="B968" s="4" t="n"/>
      <c r="C968" s="4" t="n"/>
      <c r="D968" s="4" t="n"/>
      <c r="E968" s="4" t="n"/>
    </row>
    <row r="969" ht="15.75" customHeight="1" s="40">
      <c r="A969" s="4" t="n"/>
      <c r="B969" s="4" t="n"/>
      <c r="C969" s="4" t="n"/>
      <c r="D969" s="4" t="n"/>
      <c r="E969" s="4" t="n"/>
    </row>
    <row r="970" ht="15.75" customHeight="1" s="40">
      <c r="A970" s="4" t="n"/>
      <c r="B970" s="4" t="n"/>
      <c r="C970" s="4" t="n"/>
      <c r="D970" s="4" t="n"/>
      <c r="E970" s="4" t="n"/>
    </row>
    <row r="971" ht="15.75" customHeight="1" s="40">
      <c r="A971" s="4" t="n"/>
      <c r="B971" s="4" t="n"/>
      <c r="C971" s="4" t="n"/>
      <c r="D971" s="4" t="n"/>
      <c r="E971" s="4" t="n"/>
    </row>
    <row r="972" ht="15.75" customHeight="1" s="40">
      <c r="A972" s="4" t="n"/>
      <c r="B972" s="4" t="n"/>
      <c r="C972" s="4" t="n"/>
      <c r="D972" s="4" t="n"/>
      <c r="E972" s="4" t="n"/>
    </row>
    <row r="973" ht="15.75" customHeight="1" s="40">
      <c r="A973" s="4" t="n"/>
      <c r="B973" s="4" t="n"/>
      <c r="C973" s="4" t="n"/>
      <c r="D973" s="4" t="n"/>
      <c r="E973" s="4" t="n"/>
    </row>
    <row r="974" ht="15.75" customHeight="1" s="40">
      <c r="A974" s="4" t="n"/>
      <c r="B974" s="4" t="n"/>
      <c r="C974" s="4" t="n"/>
      <c r="D974" s="4" t="n"/>
      <c r="E974" s="4" t="n"/>
    </row>
    <row r="975" ht="15.75" customHeight="1" s="40">
      <c r="A975" s="4" t="n"/>
      <c r="B975" s="4" t="n"/>
      <c r="C975" s="4" t="n"/>
      <c r="D975" s="4" t="n"/>
      <c r="E975" s="4" t="n"/>
    </row>
    <row r="976" ht="15.75" customHeight="1" s="40">
      <c r="A976" s="4" t="n"/>
      <c r="B976" s="4" t="n"/>
      <c r="C976" s="4" t="n"/>
      <c r="D976" s="4" t="n"/>
      <c r="E976" s="4" t="n"/>
    </row>
    <row r="977" ht="15.75" customHeight="1" s="40">
      <c r="A977" s="4" t="n"/>
      <c r="B977" s="4" t="n"/>
      <c r="C977" s="4" t="n"/>
      <c r="D977" s="4" t="n"/>
      <c r="E977" s="4" t="n"/>
    </row>
    <row r="978" ht="15.75" customHeight="1" s="40">
      <c r="A978" s="4" t="n"/>
      <c r="B978" s="4" t="n"/>
      <c r="C978" s="4" t="n"/>
      <c r="D978" s="4" t="n"/>
      <c r="E978" s="4" t="n"/>
    </row>
    <row r="979" ht="15.75" customHeight="1" s="40">
      <c r="A979" s="4" t="n"/>
      <c r="B979" s="4" t="n"/>
      <c r="C979" s="4" t="n"/>
      <c r="D979" s="4" t="n"/>
      <c r="E979" s="4" t="n"/>
    </row>
    <row r="980" ht="15.75" customHeight="1" s="40">
      <c r="A980" s="4" t="n"/>
      <c r="B980" s="4" t="n"/>
      <c r="C980" s="4" t="n"/>
      <c r="D980" s="4" t="n"/>
      <c r="E980" s="4" t="n"/>
    </row>
    <row r="981" ht="15.75" customHeight="1" s="40">
      <c r="A981" s="4" t="n"/>
      <c r="B981" s="4" t="n"/>
      <c r="C981" s="4" t="n"/>
      <c r="D981" s="4" t="n"/>
      <c r="E981" s="4" t="n"/>
    </row>
    <row r="982" ht="15.75" customHeight="1" s="40">
      <c r="A982" s="4" t="n"/>
      <c r="B982" s="4" t="n"/>
      <c r="C982" s="4" t="n"/>
      <c r="D982" s="4" t="n"/>
      <c r="E982" s="4" t="n"/>
    </row>
    <row r="983" ht="15.75" customHeight="1" s="40">
      <c r="A983" s="4" t="n"/>
      <c r="B983" s="4" t="n"/>
      <c r="C983" s="4" t="n"/>
      <c r="D983" s="4" t="n"/>
      <c r="E983" s="4" t="n"/>
    </row>
    <row r="984" ht="15.75" customHeight="1" s="40">
      <c r="A984" s="4" t="n"/>
      <c r="B984" s="4" t="n"/>
      <c r="C984" s="4" t="n"/>
      <c r="D984" s="4" t="n"/>
      <c r="E984" s="4" t="n"/>
    </row>
    <row r="985" ht="15.75" customHeight="1" s="40">
      <c r="A985" s="4" t="n"/>
      <c r="B985" s="4" t="n"/>
      <c r="C985" s="4" t="n"/>
      <c r="D985" s="4" t="n"/>
      <c r="E985" s="4" t="n"/>
    </row>
    <row r="986" ht="15.75" customHeight="1" s="40">
      <c r="A986" s="4" t="n"/>
      <c r="B986" s="4" t="n"/>
      <c r="C986" s="4" t="n"/>
      <c r="D986" s="4" t="n"/>
      <c r="E986" s="4" t="n"/>
    </row>
    <row r="987" ht="15.75" customHeight="1" s="40">
      <c r="A987" s="4" t="n"/>
      <c r="B987" s="4" t="n"/>
      <c r="C987" s="4" t="n"/>
      <c r="D987" s="4" t="n"/>
      <c r="E987" s="4" t="n"/>
    </row>
    <row r="988" ht="15.75" customHeight="1" s="40">
      <c r="A988" s="4" t="n"/>
      <c r="B988" s="4" t="n"/>
      <c r="C988" s="4" t="n"/>
      <c r="D988" s="4" t="n"/>
      <c r="E988" s="4" t="n"/>
    </row>
    <row r="989" ht="15.75" customHeight="1" s="40">
      <c r="A989" s="4" t="n"/>
      <c r="B989" s="4" t="n"/>
      <c r="C989" s="4" t="n"/>
      <c r="D989" s="4" t="n"/>
      <c r="E989" s="4" t="n"/>
    </row>
    <row r="990" ht="15.75" customHeight="1" s="40">
      <c r="A990" s="4" t="n"/>
      <c r="B990" s="4" t="n"/>
      <c r="C990" s="4" t="n"/>
      <c r="D990" s="4" t="n"/>
      <c r="E990" s="4" t="n"/>
    </row>
    <row r="991" ht="15.75" customHeight="1" s="40">
      <c r="A991" s="4" t="n"/>
      <c r="B991" s="4" t="n"/>
      <c r="C991" s="4" t="n"/>
      <c r="D991" s="4" t="n"/>
      <c r="E991" s="4" t="n"/>
    </row>
    <row r="992" ht="15.75" customHeight="1" s="40">
      <c r="A992" s="4" t="n"/>
      <c r="B992" s="4" t="n"/>
      <c r="C992" s="4" t="n"/>
      <c r="D992" s="4" t="n"/>
      <c r="E992" s="4" t="n"/>
    </row>
    <row r="993" ht="15.75" customHeight="1" s="40">
      <c r="A993" s="4" t="n"/>
      <c r="B993" s="4" t="n"/>
      <c r="C993" s="4" t="n"/>
      <c r="D993" s="4" t="n"/>
      <c r="E993" s="4" t="n"/>
    </row>
    <row r="994" ht="15.75" customHeight="1" s="40">
      <c r="A994" s="4" t="n"/>
      <c r="B994" s="4" t="n"/>
      <c r="C994" s="4" t="n"/>
      <c r="D994" s="4" t="n"/>
      <c r="E994" s="4" t="n"/>
    </row>
    <row r="995" ht="15.75" customHeight="1" s="40">
      <c r="A995" s="4" t="n"/>
      <c r="B995" s="4" t="n"/>
      <c r="C995" s="4" t="n"/>
      <c r="D995" s="4" t="n"/>
      <c r="E995" s="4" t="n"/>
    </row>
    <row r="996" ht="15.75" customHeight="1" s="40">
      <c r="A996" s="4" t="n"/>
      <c r="B996" s="4" t="n"/>
      <c r="C996" s="4" t="n"/>
      <c r="D996" s="4" t="n"/>
      <c r="E996" s="4" t="n"/>
    </row>
    <row r="997" ht="15.75" customHeight="1" s="40">
      <c r="A997" s="4" t="n"/>
      <c r="B997" s="4" t="n"/>
      <c r="C997" s="4" t="n"/>
      <c r="D997" s="4" t="n"/>
      <c r="E997" s="4" t="n"/>
    </row>
    <row r="998" ht="15.75" customHeight="1" s="40">
      <c r="A998" s="4" t="n"/>
      <c r="B998" s="4" t="n"/>
      <c r="C998" s="4" t="n"/>
      <c r="D998" s="4" t="n"/>
      <c r="E998" s="4" t="n"/>
    </row>
    <row r="999" ht="15.75" customHeight="1" s="40">
      <c r="A999" s="4" t="n"/>
      <c r="B999" s="4" t="n"/>
      <c r="C999" s="4" t="n"/>
      <c r="D999" s="4" t="n"/>
      <c r="E999" s="4" t="n"/>
    </row>
    <row r="1000" ht="15.75" customHeight="1" s="40">
      <c r="A1000" s="4" t="n"/>
      <c r="B1000" s="4" t="n"/>
      <c r="C1000" s="4" t="n"/>
      <c r="D1000" s="4" t="n"/>
      <c r="E1000" s="4" t="n"/>
    </row>
  </sheetData>
  <autoFilter ref="$A$4:$E$36"/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selection activeCell="A1" sqref="A1"/>
    </sheetView>
  </sheetViews>
  <sheetFormatPr baseColWidth="8" defaultColWidth="14.43" defaultRowHeight="15" customHeight="1"/>
  <cols>
    <col width="64" customWidth="1" style="40" min="1" max="1"/>
    <col width="26" customWidth="1" style="40" min="2" max="2"/>
    <col width="8.710000000000001" customWidth="1" style="40" min="3" max="26"/>
  </cols>
  <sheetData>
    <row r="1" ht="17.25" customHeight="1" s="40">
      <c r="A1" s="3" t="inlineStr">
        <is>
          <t>关卡 G2 / G2B / G10 / G13 —— 事件解析、记账方向、金额基准、金额方向</t>
        </is>
      </c>
      <c r="B1" s="4" t="n"/>
    </row>
    <row r="2" ht="15" customHeight="1" s="40">
      <c r="A2" s="9" t="inlineStr">
        <is>
          <t>实时公式。任何一项失败计数不为零即「阻断构建」。G2B 是按 movement_type 逐行判定的语义规则，而非统计 n/a 行数（后者会掩盖「少了一个合法 n/a、多了一个推导失败」的情形）。绿色单元格为公式。</t>
        </is>
      </c>
      <c r="B2" s="4" t="n"/>
    </row>
    <row r="3">
      <c r="A3" s="4" t="n"/>
      <c r="B3" s="4" t="n"/>
    </row>
    <row r="4" ht="15" customHeight="1" s="40">
      <c r="A4" s="22" t="inlineStr">
        <is>
          <t>检查项</t>
        </is>
      </c>
      <c r="B4" s="22" t="inlineStr">
        <is>
          <t>数值</t>
        </is>
      </c>
    </row>
    <row r="5" ht="15" customHeight="1" s="40">
      <c r="A5" s="30" t="inlineStr">
        <is>
          <t>已定义的 L1 事件数</t>
        </is>
      </c>
      <c r="B5" s="31">
        <f>COUNTA(L1_Event_Catalogue!$B$5:$B$400)</f>
        <v/>
      </c>
    </row>
    <row r="6" ht="15" customHeight="1" s="40">
      <c r="A6" s="30" t="inlineStr">
        <is>
          <t>至少有一行 L2 的 L1 事件数</t>
        </is>
      </c>
      <c r="B6" s="31">
        <f>COUNTIF(L1_Event_Catalogue!$I$5:$I$400,"OK")</f>
        <v/>
      </c>
    </row>
    <row r="7" ht="15" customHeight="1" s="40">
      <c r="A7" s="30" t="inlineStr">
        <is>
          <t>缺口（必须为 0）</t>
        </is>
      </c>
      <c r="B7" s="31">
        <f>B5-B6</f>
        <v/>
      </c>
    </row>
    <row r="8" ht="15" customHeight="1" s="40">
      <c r="A8" s="32" t="inlineStr">
        <is>
          <t>L2 总行数</t>
        </is>
      </c>
      <c r="B8" s="31">
        <f>COUNTA(L2_Balance_Movement!$B$5:$B$600)</f>
        <v/>
      </c>
    </row>
    <row r="9" ht="15" customHeight="1" s="40">
      <c r="A9" s="32" t="inlineStr">
        <is>
          <t>balance_type 未知的 L2 行数（必须为 0）</t>
        </is>
      </c>
      <c r="B9" s="31">
        <f>COUNTIF(L2_Balance_Movement!$K$5:$K$600,"UNKNOWN TYPE")</f>
        <v/>
      </c>
    </row>
    <row r="10" ht="15" customHeight="1" s="40">
      <c r="A10" s="32" t="inlineStr">
        <is>
          <t>amount_basis_code 未知的 L2 行数（必须为 0）[G10]</t>
        </is>
      </c>
      <c r="B10" s="31">
        <f>COUNTIF(L2_Balance_Movement!$L$5:$L$600,"UNKNOWN CODE")</f>
        <v/>
      </c>
    </row>
    <row r="11" ht="15" customHeight="1" s="40">
      <c r="A11" s="30" t="inlineStr">
        <is>
          <t>记账方向完整性不通过的 L2 行数（必须为 0）[G2B]</t>
        </is>
      </c>
      <c r="B11" s="31">
        <f>COUNTIF(L2_Balance_Movement!$M$5:$M$600,"INVALID*")</f>
        <v/>
      </c>
    </row>
    <row r="12" ht="15" customHeight="1" s="40">
      <c r="A12" s="30" t="inlineStr">
        <is>
          <t>金额方向完整性不通过的 L2 行数（必须为 0）[G13]</t>
        </is>
      </c>
      <c r="B12" s="31">
        <f>COUNTIF(L2_Balance_Movement!$N$5:$N$600,"INVALID*")</f>
        <v/>
      </c>
    </row>
    <row r="13" ht="15" customHeight="1" s="40">
      <c r="A13" s="30" t="inlineStr">
        <is>
          <t>已定义的 Amount_Basis 代码数</t>
        </is>
      </c>
      <c r="B13" s="31">
        <f>COUNTA(Amount_Basis!$A$5:$A$100)</f>
        <v/>
      </c>
    </row>
    <row r="14" ht="15" customHeight="1" s="40">
      <c r="A14" s="32" t="inlineStr">
        <is>
          <t>L2 中未使用的 Amount_Basis 代码数（无效配置）</t>
        </is>
      </c>
      <c r="B14" s="31">
        <f>SUMPRODUCT((Amount_Basis!$A$5:$A$100&lt;&gt;"")*(COUNTIF(L2_Balance_Movement!$H$5:$H$600,Amount_Basis!$A$5:$A$100&amp;"")=0))</f>
        <v/>
      </c>
    </row>
    <row r="15" ht="15" customHeight="1" s="40">
      <c r="A15" s="33" t="inlineStr">
        <is>
          <t>关卡 G2 / G2B / G10 / G13 结论</t>
        </is>
      </c>
      <c r="B15" s="31">
        <f>IF(AND(B7=0,B9=0,B10=0,B11=0,B12=0,B14=0),"PASS","FAIL — BLOCK BUILD")</f>
        <v/>
      </c>
    </row>
    <row r="16">
      <c r="A16" s="4" t="n"/>
      <c r="B16" s="4" t="n"/>
    </row>
    <row r="17">
      <c r="A17" s="4" t="n"/>
      <c r="B17" s="4" t="n"/>
    </row>
    <row r="18">
      <c r="A18" s="4" t="n"/>
      <c r="B18" s="4" t="n"/>
    </row>
    <row r="19">
      <c r="A19" s="4" t="n"/>
      <c r="B19" s="4" t="n"/>
    </row>
    <row r="20">
      <c r="A20" s="4" t="n"/>
      <c r="B20" s="4" t="n"/>
    </row>
    <row r="21" ht="15.75" customHeight="1" s="40">
      <c r="A21" s="4" t="n"/>
      <c r="B21" s="4" t="n"/>
    </row>
    <row r="22" ht="15.75" customHeight="1" s="40">
      <c r="A22" s="4" t="n"/>
      <c r="B22" s="4" t="n"/>
    </row>
    <row r="23" ht="15.75" customHeight="1" s="40">
      <c r="A23" s="4" t="n"/>
      <c r="B23" s="4" t="n"/>
    </row>
    <row r="24" ht="15.75" customHeight="1" s="40">
      <c r="A24" s="4" t="n"/>
      <c r="B24" s="4" t="n"/>
    </row>
    <row r="25" ht="15.75" customHeight="1" s="40">
      <c r="A25" s="4" t="n"/>
      <c r="B25" s="4" t="n"/>
    </row>
    <row r="26" ht="15.75" customHeight="1" s="40">
      <c r="A26" s="4" t="n"/>
      <c r="B26" s="4" t="n"/>
    </row>
    <row r="27" ht="15.75" customHeight="1" s="40">
      <c r="A27" s="4" t="n"/>
      <c r="B27" s="4" t="n"/>
    </row>
    <row r="28" ht="15.75" customHeight="1" s="40">
      <c r="A28" s="4" t="n"/>
      <c r="B28" s="4" t="n"/>
    </row>
    <row r="29" ht="15.75" customHeight="1" s="40">
      <c r="A29" s="4" t="n"/>
      <c r="B29" s="4" t="n"/>
    </row>
    <row r="30" ht="15.75" customHeight="1" s="40">
      <c r="A30" s="4" t="n"/>
      <c r="B30" s="4" t="n"/>
    </row>
    <row r="31" ht="15.75" customHeight="1" s="40">
      <c r="A31" s="4" t="n"/>
      <c r="B31" s="4" t="n"/>
    </row>
    <row r="32" ht="15.75" customHeight="1" s="40">
      <c r="A32" s="4" t="n"/>
      <c r="B32" s="4" t="n"/>
    </row>
    <row r="33" ht="15.75" customHeight="1" s="40">
      <c r="A33" s="4" t="n"/>
      <c r="B33" s="4" t="n"/>
    </row>
    <row r="34" ht="15.75" customHeight="1" s="40">
      <c r="A34" s="4" t="n"/>
      <c r="B34" s="4" t="n"/>
    </row>
    <row r="35" ht="15.75" customHeight="1" s="40">
      <c r="A35" s="4" t="n"/>
      <c r="B35" s="4" t="n"/>
    </row>
    <row r="36" ht="15.75" customHeight="1" s="40">
      <c r="A36" s="4" t="n"/>
      <c r="B36" s="4" t="n"/>
    </row>
    <row r="37" ht="15.75" customHeight="1" s="40">
      <c r="A37" s="4" t="n"/>
      <c r="B37" s="4" t="n"/>
    </row>
    <row r="38" ht="15.75" customHeight="1" s="40">
      <c r="A38" s="4" t="n"/>
      <c r="B38" s="4" t="n"/>
    </row>
    <row r="39" ht="15.75" customHeight="1" s="40">
      <c r="A39" s="4" t="n"/>
      <c r="B39" s="4" t="n"/>
    </row>
    <row r="40" ht="15.75" customHeight="1" s="40">
      <c r="A40" s="4" t="n"/>
      <c r="B40" s="4" t="n"/>
    </row>
    <row r="41" ht="15.75" customHeight="1" s="40">
      <c r="A41" s="4" t="n"/>
      <c r="B41" s="4" t="n"/>
    </row>
    <row r="42" ht="15.75" customHeight="1" s="40">
      <c r="A42" s="4" t="n"/>
      <c r="B42" s="4" t="n"/>
    </row>
    <row r="43" ht="15.75" customHeight="1" s="40">
      <c r="A43" s="4" t="n"/>
      <c r="B43" s="4" t="n"/>
    </row>
    <row r="44" ht="15.75" customHeight="1" s="40">
      <c r="A44" s="4" t="n"/>
      <c r="B44" s="4" t="n"/>
    </row>
    <row r="45" ht="15.75" customHeight="1" s="40">
      <c r="A45" s="4" t="n"/>
      <c r="B45" s="4" t="n"/>
    </row>
    <row r="46" ht="15.75" customHeight="1" s="40">
      <c r="A46" s="4" t="n"/>
      <c r="B46" s="4" t="n"/>
    </row>
    <row r="47" ht="15.75" customHeight="1" s="40">
      <c r="A47" s="4" t="n"/>
      <c r="B47" s="4" t="n"/>
    </row>
    <row r="48" ht="15.75" customHeight="1" s="40">
      <c r="A48" s="4" t="n"/>
      <c r="B48" s="4" t="n"/>
    </row>
    <row r="49" ht="15.75" customHeight="1" s="40">
      <c r="A49" s="4" t="n"/>
      <c r="B49" s="4" t="n"/>
    </row>
    <row r="50" ht="15.75" customHeight="1" s="40">
      <c r="A50" s="4" t="n"/>
      <c r="B50" s="4" t="n"/>
    </row>
    <row r="51" ht="15.75" customHeight="1" s="40">
      <c r="A51" s="4" t="n"/>
      <c r="B51" s="4" t="n"/>
    </row>
    <row r="52" ht="15.75" customHeight="1" s="40">
      <c r="A52" s="4" t="n"/>
      <c r="B52" s="4" t="n"/>
    </row>
    <row r="53" ht="15.75" customHeight="1" s="40">
      <c r="A53" s="4" t="n"/>
      <c r="B53" s="4" t="n"/>
    </row>
    <row r="54" ht="15.75" customHeight="1" s="40">
      <c r="A54" s="4" t="n"/>
      <c r="B54" s="4" t="n"/>
    </row>
    <row r="55" ht="15.75" customHeight="1" s="40">
      <c r="A55" s="4" t="n"/>
      <c r="B55" s="4" t="n"/>
    </row>
    <row r="56" ht="15.75" customHeight="1" s="40">
      <c r="A56" s="4" t="n"/>
      <c r="B56" s="4" t="n"/>
    </row>
    <row r="57" ht="15.75" customHeight="1" s="40">
      <c r="A57" s="4" t="n"/>
      <c r="B57" s="4" t="n"/>
    </row>
    <row r="58" ht="15.75" customHeight="1" s="40">
      <c r="A58" s="4" t="n"/>
      <c r="B58" s="4" t="n"/>
    </row>
    <row r="59" ht="15.75" customHeight="1" s="40">
      <c r="A59" s="4" t="n"/>
      <c r="B59" s="4" t="n"/>
    </row>
    <row r="60" ht="15.75" customHeight="1" s="40">
      <c r="A60" s="4" t="n"/>
      <c r="B60" s="4" t="n"/>
    </row>
    <row r="61" ht="15.75" customHeight="1" s="40">
      <c r="A61" s="4" t="n"/>
      <c r="B61" s="4" t="n"/>
    </row>
    <row r="62" ht="15.75" customHeight="1" s="40">
      <c r="A62" s="4" t="n"/>
      <c r="B62" s="4" t="n"/>
    </row>
    <row r="63" ht="15.75" customHeight="1" s="40">
      <c r="A63" s="4" t="n"/>
      <c r="B63" s="4" t="n"/>
    </row>
    <row r="64" ht="15.75" customHeight="1" s="40">
      <c r="A64" s="4" t="n"/>
      <c r="B64" s="4" t="n"/>
    </row>
    <row r="65" ht="15.75" customHeight="1" s="40">
      <c r="A65" s="4" t="n"/>
      <c r="B65" s="4" t="n"/>
    </row>
    <row r="66" ht="15.75" customHeight="1" s="40">
      <c r="A66" s="4" t="n"/>
      <c r="B66" s="4" t="n"/>
    </row>
    <row r="67" ht="15.75" customHeight="1" s="40">
      <c r="A67" s="4" t="n"/>
      <c r="B67" s="4" t="n"/>
    </row>
    <row r="68" ht="15.75" customHeight="1" s="40">
      <c r="A68" s="4" t="n"/>
      <c r="B68" s="4" t="n"/>
    </row>
    <row r="69" ht="15.75" customHeight="1" s="40">
      <c r="A69" s="4" t="n"/>
      <c r="B69" s="4" t="n"/>
    </row>
    <row r="70" ht="15.75" customHeight="1" s="40">
      <c r="A70" s="4" t="n"/>
      <c r="B70" s="4" t="n"/>
    </row>
    <row r="71" ht="15.75" customHeight="1" s="40">
      <c r="A71" s="4" t="n"/>
      <c r="B71" s="4" t="n"/>
    </row>
    <row r="72" ht="15.75" customHeight="1" s="40">
      <c r="A72" s="4" t="n"/>
      <c r="B72" s="4" t="n"/>
    </row>
    <row r="73" ht="15.75" customHeight="1" s="40">
      <c r="A73" s="4" t="n"/>
      <c r="B73" s="4" t="n"/>
    </row>
    <row r="74" ht="15.75" customHeight="1" s="40">
      <c r="A74" s="4" t="n"/>
      <c r="B74" s="4" t="n"/>
    </row>
    <row r="75" ht="15.75" customHeight="1" s="40">
      <c r="A75" s="4" t="n"/>
      <c r="B75" s="4" t="n"/>
    </row>
    <row r="76" ht="15.75" customHeight="1" s="40">
      <c r="A76" s="4" t="n"/>
      <c r="B76" s="4" t="n"/>
    </row>
    <row r="77" ht="15.75" customHeight="1" s="40">
      <c r="A77" s="4" t="n"/>
      <c r="B77" s="4" t="n"/>
    </row>
    <row r="78" ht="15.75" customHeight="1" s="40">
      <c r="A78" s="4" t="n"/>
      <c r="B78" s="4" t="n"/>
    </row>
    <row r="79" ht="15.75" customHeight="1" s="40">
      <c r="A79" s="4" t="n"/>
      <c r="B79" s="4" t="n"/>
    </row>
    <row r="80" ht="15.75" customHeight="1" s="40">
      <c r="A80" s="4" t="n"/>
      <c r="B80" s="4" t="n"/>
    </row>
    <row r="81" ht="15.75" customHeight="1" s="40">
      <c r="A81" s="4" t="n"/>
      <c r="B81" s="4" t="n"/>
    </row>
    <row r="82" ht="15.75" customHeight="1" s="40">
      <c r="A82" s="4" t="n"/>
      <c r="B82" s="4" t="n"/>
    </row>
    <row r="83" ht="15.75" customHeight="1" s="40">
      <c r="A83" s="4" t="n"/>
      <c r="B83" s="4" t="n"/>
    </row>
    <row r="84" ht="15.75" customHeight="1" s="40">
      <c r="A84" s="4" t="n"/>
      <c r="B84" s="4" t="n"/>
    </row>
    <row r="85" ht="15.75" customHeight="1" s="40">
      <c r="A85" s="4" t="n"/>
      <c r="B85" s="4" t="n"/>
    </row>
    <row r="86" ht="15.75" customHeight="1" s="40">
      <c r="A86" s="4" t="n"/>
      <c r="B86" s="4" t="n"/>
    </row>
    <row r="87" ht="15.75" customHeight="1" s="40">
      <c r="A87" s="4" t="n"/>
      <c r="B87" s="4" t="n"/>
    </row>
    <row r="88" ht="15.75" customHeight="1" s="40">
      <c r="A88" s="4" t="n"/>
      <c r="B88" s="4" t="n"/>
    </row>
    <row r="89" ht="15.75" customHeight="1" s="40">
      <c r="A89" s="4" t="n"/>
      <c r="B89" s="4" t="n"/>
    </row>
    <row r="90" ht="15.75" customHeight="1" s="40">
      <c r="A90" s="4" t="n"/>
      <c r="B90" s="4" t="n"/>
    </row>
    <row r="91" ht="15.75" customHeight="1" s="40">
      <c r="A91" s="4" t="n"/>
      <c r="B91" s="4" t="n"/>
    </row>
    <row r="92" ht="15.75" customHeight="1" s="40">
      <c r="A92" s="4" t="n"/>
      <c r="B92" s="4" t="n"/>
    </row>
    <row r="93" ht="15.75" customHeight="1" s="40">
      <c r="A93" s="4" t="n"/>
      <c r="B93" s="4" t="n"/>
    </row>
    <row r="94" ht="15.75" customHeight="1" s="40">
      <c r="A94" s="4" t="n"/>
      <c r="B94" s="4" t="n"/>
    </row>
    <row r="95" ht="15.75" customHeight="1" s="40">
      <c r="A95" s="4" t="n"/>
      <c r="B95" s="4" t="n"/>
    </row>
    <row r="96" ht="15.75" customHeight="1" s="40">
      <c r="A96" s="4" t="n"/>
      <c r="B96" s="4" t="n"/>
    </row>
    <row r="97" ht="15.75" customHeight="1" s="40">
      <c r="A97" s="4" t="n"/>
      <c r="B97" s="4" t="n"/>
    </row>
    <row r="98" ht="15.75" customHeight="1" s="40">
      <c r="A98" s="4" t="n"/>
      <c r="B98" s="4" t="n"/>
    </row>
    <row r="99" ht="15.75" customHeight="1" s="40">
      <c r="A99" s="4" t="n"/>
      <c r="B99" s="4" t="n"/>
    </row>
    <row r="100" ht="15.75" customHeight="1" s="40">
      <c r="A100" s="4" t="n"/>
      <c r="B100" s="4" t="n"/>
    </row>
    <row r="101" ht="15.75" customHeight="1" s="40">
      <c r="A101" s="4" t="n"/>
      <c r="B101" s="4" t="n"/>
    </row>
    <row r="102" ht="15.75" customHeight="1" s="40">
      <c r="A102" s="4" t="n"/>
      <c r="B102" s="4" t="n"/>
    </row>
    <row r="103" ht="15.75" customHeight="1" s="40">
      <c r="A103" s="4" t="n"/>
      <c r="B103" s="4" t="n"/>
    </row>
    <row r="104" ht="15.75" customHeight="1" s="40">
      <c r="A104" s="4" t="n"/>
      <c r="B104" s="4" t="n"/>
    </row>
    <row r="105" ht="15.75" customHeight="1" s="40">
      <c r="A105" s="4" t="n"/>
      <c r="B105" s="4" t="n"/>
    </row>
    <row r="106" ht="15.75" customHeight="1" s="40">
      <c r="A106" s="4" t="n"/>
      <c r="B106" s="4" t="n"/>
    </row>
    <row r="107" ht="15.75" customHeight="1" s="40">
      <c r="A107" s="4" t="n"/>
      <c r="B107" s="4" t="n"/>
    </row>
    <row r="108" ht="15.75" customHeight="1" s="40">
      <c r="A108" s="4" t="n"/>
      <c r="B108" s="4" t="n"/>
    </row>
    <row r="109" ht="15.75" customHeight="1" s="40">
      <c r="A109" s="4" t="n"/>
      <c r="B109" s="4" t="n"/>
    </row>
    <row r="110" ht="15.75" customHeight="1" s="40">
      <c r="A110" s="4" t="n"/>
      <c r="B110" s="4" t="n"/>
    </row>
    <row r="111" ht="15.75" customHeight="1" s="40">
      <c r="A111" s="4" t="n"/>
      <c r="B111" s="4" t="n"/>
    </row>
    <row r="112" ht="15.75" customHeight="1" s="40">
      <c r="A112" s="4" t="n"/>
      <c r="B112" s="4" t="n"/>
    </row>
    <row r="113" ht="15.75" customHeight="1" s="40">
      <c r="A113" s="4" t="n"/>
      <c r="B113" s="4" t="n"/>
    </row>
    <row r="114" ht="15.75" customHeight="1" s="40">
      <c r="A114" s="4" t="n"/>
      <c r="B114" s="4" t="n"/>
    </row>
    <row r="115" ht="15.75" customHeight="1" s="40">
      <c r="A115" s="4" t="n"/>
      <c r="B115" s="4" t="n"/>
    </row>
    <row r="116" ht="15.75" customHeight="1" s="40">
      <c r="A116" s="4" t="n"/>
      <c r="B116" s="4" t="n"/>
    </row>
    <row r="117" ht="15.75" customHeight="1" s="40">
      <c r="A117" s="4" t="n"/>
      <c r="B117" s="4" t="n"/>
    </row>
    <row r="118" ht="15.75" customHeight="1" s="40">
      <c r="A118" s="4" t="n"/>
      <c r="B118" s="4" t="n"/>
    </row>
    <row r="119" ht="15.75" customHeight="1" s="40">
      <c r="A119" s="4" t="n"/>
      <c r="B119" s="4" t="n"/>
    </row>
    <row r="120" ht="15.75" customHeight="1" s="40">
      <c r="A120" s="4" t="n"/>
      <c r="B120" s="4" t="n"/>
    </row>
    <row r="121" ht="15.75" customHeight="1" s="40">
      <c r="A121" s="4" t="n"/>
      <c r="B121" s="4" t="n"/>
    </row>
    <row r="122" ht="15.75" customHeight="1" s="40">
      <c r="A122" s="4" t="n"/>
      <c r="B122" s="4" t="n"/>
    </row>
    <row r="123" ht="15.75" customHeight="1" s="40">
      <c r="A123" s="4" t="n"/>
      <c r="B123" s="4" t="n"/>
    </row>
    <row r="124" ht="15.75" customHeight="1" s="40">
      <c r="A124" s="4" t="n"/>
      <c r="B124" s="4" t="n"/>
    </row>
    <row r="125" ht="15.75" customHeight="1" s="40">
      <c r="A125" s="4" t="n"/>
      <c r="B125" s="4" t="n"/>
    </row>
    <row r="126" ht="15.75" customHeight="1" s="40">
      <c r="A126" s="4" t="n"/>
      <c r="B126" s="4" t="n"/>
    </row>
    <row r="127" ht="15.75" customHeight="1" s="40">
      <c r="A127" s="4" t="n"/>
      <c r="B127" s="4" t="n"/>
    </row>
    <row r="128" ht="15.75" customHeight="1" s="40">
      <c r="A128" s="4" t="n"/>
      <c r="B128" s="4" t="n"/>
    </row>
    <row r="129" ht="15.75" customHeight="1" s="40">
      <c r="A129" s="4" t="n"/>
      <c r="B129" s="4" t="n"/>
    </row>
    <row r="130" ht="15.75" customHeight="1" s="40">
      <c r="A130" s="4" t="n"/>
      <c r="B130" s="4" t="n"/>
    </row>
    <row r="131" ht="15.75" customHeight="1" s="40">
      <c r="A131" s="4" t="n"/>
      <c r="B131" s="4" t="n"/>
    </row>
    <row r="132" ht="15.75" customHeight="1" s="40">
      <c r="A132" s="4" t="n"/>
      <c r="B132" s="4" t="n"/>
    </row>
    <row r="133" ht="15.75" customHeight="1" s="40">
      <c r="A133" s="4" t="n"/>
      <c r="B133" s="4" t="n"/>
    </row>
    <row r="134" ht="15.75" customHeight="1" s="40">
      <c r="A134" s="4" t="n"/>
      <c r="B134" s="4" t="n"/>
    </row>
    <row r="135" ht="15.75" customHeight="1" s="40">
      <c r="A135" s="4" t="n"/>
      <c r="B135" s="4" t="n"/>
    </row>
    <row r="136" ht="15.75" customHeight="1" s="40">
      <c r="A136" s="4" t="n"/>
      <c r="B136" s="4" t="n"/>
    </row>
    <row r="137" ht="15.75" customHeight="1" s="40">
      <c r="A137" s="4" t="n"/>
      <c r="B137" s="4" t="n"/>
    </row>
    <row r="138" ht="15.75" customHeight="1" s="40">
      <c r="A138" s="4" t="n"/>
      <c r="B138" s="4" t="n"/>
    </row>
    <row r="139" ht="15.75" customHeight="1" s="40">
      <c r="A139" s="4" t="n"/>
      <c r="B139" s="4" t="n"/>
    </row>
    <row r="140" ht="15.75" customHeight="1" s="40">
      <c r="A140" s="4" t="n"/>
      <c r="B140" s="4" t="n"/>
    </row>
    <row r="141" ht="15.75" customHeight="1" s="40">
      <c r="A141" s="4" t="n"/>
      <c r="B141" s="4" t="n"/>
    </row>
    <row r="142" ht="15.75" customHeight="1" s="40">
      <c r="A142" s="4" t="n"/>
      <c r="B142" s="4" t="n"/>
    </row>
    <row r="143" ht="15.75" customHeight="1" s="40">
      <c r="A143" s="4" t="n"/>
      <c r="B143" s="4" t="n"/>
    </row>
    <row r="144" ht="15.75" customHeight="1" s="40">
      <c r="A144" s="4" t="n"/>
      <c r="B144" s="4" t="n"/>
    </row>
    <row r="145" ht="15.75" customHeight="1" s="40">
      <c r="A145" s="4" t="n"/>
      <c r="B145" s="4" t="n"/>
    </row>
    <row r="146" ht="15.75" customHeight="1" s="40">
      <c r="A146" s="4" t="n"/>
      <c r="B146" s="4" t="n"/>
    </row>
    <row r="147" ht="15.75" customHeight="1" s="40">
      <c r="A147" s="4" t="n"/>
      <c r="B147" s="4" t="n"/>
    </row>
    <row r="148" ht="15.75" customHeight="1" s="40">
      <c r="A148" s="4" t="n"/>
      <c r="B148" s="4" t="n"/>
    </row>
    <row r="149" ht="15.75" customHeight="1" s="40">
      <c r="A149" s="4" t="n"/>
      <c r="B149" s="4" t="n"/>
    </row>
    <row r="150" ht="15.75" customHeight="1" s="40">
      <c r="A150" s="4" t="n"/>
      <c r="B150" s="4" t="n"/>
    </row>
    <row r="151" ht="15.75" customHeight="1" s="40">
      <c r="A151" s="4" t="n"/>
      <c r="B151" s="4" t="n"/>
    </row>
    <row r="152" ht="15.75" customHeight="1" s="40">
      <c r="A152" s="4" t="n"/>
      <c r="B152" s="4" t="n"/>
    </row>
    <row r="153" ht="15.75" customHeight="1" s="40">
      <c r="A153" s="4" t="n"/>
      <c r="B153" s="4" t="n"/>
    </row>
    <row r="154" ht="15.75" customHeight="1" s="40">
      <c r="A154" s="4" t="n"/>
      <c r="B154" s="4" t="n"/>
    </row>
    <row r="155" ht="15.75" customHeight="1" s="40">
      <c r="A155" s="4" t="n"/>
      <c r="B155" s="4" t="n"/>
    </row>
    <row r="156" ht="15.75" customHeight="1" s="40">
      <c r="A156" s="4" t="n"/>
      <c r="B156" s="4" t="n"/>
    </row>
    <row r="157" ht="15.75" customHeight="1" s="40">
      <c r="A157" s="4" t="n"/>
      <c r="B157" s="4" t="n"/>
    </row>
    <row r="158" ht="15.75" customHeight="1" s="40">
      <c r="A158" s="4" t="n"/>
      <c r="B158" s="4" t="n"/>
    </row>
    <row r="159" ht="15.75" customHeight="1" s="40">
      <c r="A159" s="4" t="n"/>
      <c r="B159" s="4" t="n"/>
    </row>
    <row r="160" ht="15.75" customHeight="1" s="40">
      <c r="A160" s="4" t="n"/>
      <c r="B160" s="4" t="n"/>
    </row>
    <row r="161" ht="15.75" customHeight="1" s="40">
      <c r="A161" s="4" t="n"/>
      <c r="B161" s="4" t="n"/>
    </row>
    <row r="162" ht="15.75" customHeight="1" s="40">
      <c r="A162" s="4" t="n"/>
      <c r="B162" s="4" t="n"/>
    </row>
    <row r="163" ht="15.75" customHeight="1" s="40">
      <c r="A163" s="4" t="n"/>
      <c r="B163" s="4" t="n"/>
    </row>
    <row r="164" ht="15.75" customHeight="1" s="40">
      <c r="A164" s="4" t="n"/>
      <c r="B164" s="4" t="n"/>
    </row>
    <row r="165" ht="15.75" customHeight="1" s="40">
      <c r="A165" s="4" t="n"/>
      <c r="B165" s="4" t="n"/>
    </row>
    <row r="166" ht="15.75" customHeight="1" s="40">
      <c r="A166" s="4" t="n"/>
      <c r="B166" s="4" t="n"/>
    </row>
    <row r="167" ht="15.75" customHeight="1" s="40">
      <c r="A167" s="4" t="n"/>
      <c r="B167" s="4" t="n"/>
    </row>
    <row r="168" ht="15.75" customHeight="1" s="40">
      <c r="A168" s="4" t="n"/>
      <c r="B168" s="4" t="n"/>
    </row>
    <row r="169" ht="15.75" customHeight="1" s="40">
      <c r="A169" s="4" t="n"/>
      <c r="B169" s="4" t="n"/>
    </row>
    <row r="170" ht="15.75" customHeight="1" s="40">
      <c r="A170" s="4" t="n"/>
      <c r="B170" s="4" t="n"/>
    </row>
    <row r="171" ht="15.75" customHeight="1" s="40">
      <c r="A171" s="4" t="n"/>
      <c r="B171" s="4" t="n"/>
    </row>
    <row r="172" ht="15.75" customHeight="1" s="40">
      <c r="A172" s="4" t="n"/>
      <c r="B172" s="4" t="n"/>
    </row>
    <row r="173" ht="15.75" customHeight="1" s="40">
      <c r="A173" s="4" t="n"/>
      <c r="B173" s="4" t="n"/>
    </row>
    <row r="174" ht="15.75" customHeight="1" s="40">
      <c r="A174" s="4" t="n"/>
      <c r="B174" s="4" t="n"/>
    </row>
    <row r="175" ht="15.75" customHeight="1" s="40">
      <c r="A175" s="4" t="n"/>
      <c r="B175" s="4" t="n"/>
    </row>
    <row r="176" ht="15.75" customHeight="1" s="40">
      <c r="A176" s="4" t="n"/>
      <c r="B176" s="4" t="n"/>
    </row>
    <row r="177" ht="15.75" customHeight="1" s="40">
      <c r="A177" s="4" t="n"/>
      <c r="B177" s="4" t="n"/>
    </row>
    <row r="178" ht="15.75" customHeight="1" s="40">
      <c r="A178" s="4" t="n"/>
      <c r="B178" s="4" t="n"/>
    </row>
    <row r="179" ht="15.75" customHeight="1" s="40">
      <c r="A179" s="4" t="n"/>
      <c r="B179" s="4" t="n"/>
    </row>
    <row r="180" ht="15.75" customHeight="1" s="40">
      <c r="A180" s="4" t="n"/>
      <c r="B180" s="4" t="n"/>
    </row>
    <row r="181" ht="15.75" customHeight="1" s="40">
      <c r="A181" s="4" t="n"/>
      <c r="B181" s="4" t="n"/>
    </row>
    <row r="182" ht="15.75" customHeight="1" s="40">
      <c r="A182" s="4" t="n"/>
      <c r="B182" s="4" t="n"/>
    </row>
    <row r="183" ht="15.75" customHeight="1" s="40">
      <c r="A183" s="4" t="n"/>
      <c r="B183" s="4" t="n"/>
    </row>
    <row r="184" ht="15.75" customHeight="1" s="40">
      <c r="A184" s="4" t="n"/>
      <c r="B184" s="4" t="n"/>
    </row>
    <row r="185" ht="15.75" customHeight="1" s="40">
      <c r="A185" s="4" t="n"/>
      <c r="B185" s="4" t="n"/>
    </row>
    <row r="186" ht="15.75" customHeight="1" s="40">
      <c r="A186" s="4" t="n"/>
      <c r="B186" s="4" t="n"/>
    </row>
    <row r="187" ht="15.75" customHeight="1" s="40">
      <c r="A187" s="4" t="n"/>
      <c r="B187" s="4" t="n"/>
    </row>
    <row r="188" ht="15.75" customHeight="1" s="40">
      <c r="A188" s="4" t="n"/>
      <c r="B188" s="4" t="n"/>
    </row>
    <row r="189" ht="15.75" customHeight="1" s="40">
      <c r="A189" s="4" t="n"/>
      <c r="B189" s="4" t="n"/>
    </row>
    <row r="190" ht="15.75" customHeight="1" s="40">
      <c r="A190" s="4" t="n"/>
      <c r="B190" s="4" t="n"/>
    </row>
    <row r="191" ht="15.75" customHeight="1" s="40">
      <c r="A191" s="4" t="n"/>
      <c r="B191" s="4" t="n"/>
    </row>
    <row r="192" ht="15.75" customHeight="1" s="40">
      <c r="A192" s="4" t="n"/>
      <c r="B192" s="4" t="n"/>
    </row>
    <row r="193" ht="15.75" customHeight="1" s="40">
      <c r="A193" s="4" t="n"/>
      <c r="B193" s="4" t="n"/>
    </row>
    <row r="194" ht="15.75" customHeight="1" s="40">
      <c r="A194" s="4" t="n"/>
      <c r="B194" s="4" t="n"/>
    </row>
    <row r="195" ht="15.75" customHeight="1" s="40">
      <c r="A195" s="4" t="n"/>
      <c r="B195" s="4" t="n"/>
    </row>
    <row r="196" ht="15.75" customHeight="1" s="40">
      <c r="A196" s="4" t="n"/>
      <c r="B196" s="4" t="n"/>
    </row>
    <row r="197" ht="15.75" customHeight="1" s="40">
      <c r="A197" s="4" t="n"/>
      <c r="B197" s="4" t="n"/>
    </row>
    <row r="198" ht="15.75" customHeight="1" s="40">
      <c r="A198" s="4" t="n"/>
      <c r="B198" s="4" t="n"/>
    </row>
    <row r="199" ht="15.75" customHeight="1" s="40">
      <c r="A199" s="4" t="n"/>
      <c r="B199" s="4" t="n"/>
    </row>
    <row r="200" ht="15.75" customHeight="1" s="40">
      <c r="A200" s="4" t="n"/>
      <c r="B200" s="4" t="n"/>
    </row>
    <row r="201" ht="15.75" customHeight="1" s="40">
      <c r="A201" s="4" t="n"/>
      <c r="B201" s="4" t="n"/>
    </row>
    <row r="202" ht="15.75" customHeight="1" s="40">
      <c r="A202" s="4" t="n"/>
      <c r="B202" s="4" t="n"/>
    </row>
    <row r="203" ht="15.75" customHeight="1" s="40">
      <c r="A203" s="4" t="n"/>
      <c r="B203" s="4" t="n"/>
    </row>
    <row r="204" ht="15.75" customHeight="1" s="40">
      <c r="A204" s="4" t="n"/>
      <c r="B204" s="4" t="n"/>
    </row>
    <row r="205" ht="15.75" customHeight="1" s="40">
      <c r="A205" s="4" t="n"/>
      <c r="B205" s="4" t="n"/>
    </row>
    <row r="206" ht="15.75" customHeight="1" s="40">
      <c r="A206" s="4" t="n"/>
      <c r="B206" s="4" t="n"/>
    </row>
    <row r="207" ht="15.75" customHeight="1" s="40">
      <c r="A207" s="4" t="n"/>
      <c r="B207" s="4" t="n"/>
    </row>
    <row r="208" ht="15.75" customHeight="1" s="40">
      <c r="A208" s="4" t="n"/>
      <c r="B208" s="4" t="n"/>
    </row>
    <row r="209" ht="15.75" customHeight="1" s="40">
      <c r="A209" s="4" t="n"/>
      <c r="B209" s="4" t="n"/>
    </row>
    <row r="210" ht="15.75" customHeight="1" s="40">
      <c r="A210" s="4" t="n"/>
      <c r="B210" s="4" t="n"/>
    </row>
    <row r="211" ht="15.75" customHeight="1" s="40">
      <c r="A211" s="4" t="n"/>
      <c r="B211" s="4" t="n"/>
    </row>
    <row r="212" ht="15.75" customHeight="1" s="40">
      <c r="A212" s="4" t="n"/>
      <c r="B212" s="4" t="n"/>
    </row>
    <row r="213" ht="15.75" customHeight="1" s="40">
      <c r="A213" s="4" t="n"/>
      <c r="B213" s="4" t="n"/>
    </row>
    <row r="214" ht="15.75" customHeight="1" s="40">
      <c r="A214" s="4" t="n"/>
      <c r="B214" s="4" t="n"/>
    </row>
    <row r="215" ht="15.75" customHeight="1" s="40">
      <c r="A215" s="4" t="n"/>
      <c r="B215" s="4" t="n"/>
    </row>
    <row r="216" ht="15.75" customHeight="1" s="40">
      <c r="A216" s="4" t="n"/>
      <c r="B216" s="4" t="n"/>
    </row>
    <row r="217" ht="15.75" customHeight="1" s="40">
      <c r="A217" s="4" t="n"/>
      <c r="B217" s="4" t="n"/>
    </row>
    <row r="218" ht="15.75" customHeight="1" s="40">
      <c r="A218" s="4" t="n"/>
      <c r="B218" s="4" t="n"/>
    </row>
    <row r="219" ht="15.75" customHeight="1" s="40">
      <c r="A219" s="4" t="n"/>
      <c r="B219" s="4" t="n"/>
    </row>
    <row r="220" ht="15.75" customHeight="1" s="40">
      <c r="A220" s="4" t="n"/>
      <c r="B220" s="4" t="n"/>
    </row>
    <row r="221" ht="15.75" customHeight="1" s="40">
      <c r="A221" s="4" t="n"/>
      <c r="B221" s="4" t="n"/>
    </row>
    <row r="222" ht="15.75" customHeight="1" s="40">
      <c r="A222" s="4" t="n"/>
      <c r="B222" s="4" t="n"/>
    </row>
    <row r="223" ht="15.75" customHeight="1" s="40">
      <c r="A223" s="4" t="n"/>
      <c r="B223" s="4" t="n"/>
    </row>
    <row r="224" ht="15.75" customHeight="1" s="40">
      <c r="A224" s="4" t="n"/>
      <c r="B224" s="4" t="n"/>
    </row>
    <row r="225" ht="15.75" customHeight="1" s="40">
      <c r="A225" s="4" t="n"/>
      <c r="B225" s="4" t="n"/>
    </row>
    <row r="226" ht="15.75" customHeight="1" s="40">
      <c r="A226" s="4" t="n"/>
      <c r="B226" s="4" t="n"/>
    </row>
    <row r="227" ht="15.75" customHeight="1" s="40">
      <c r="A227" s="4" t="n"/>
      <c r="B227" s="4" t="n"/>
    </row>
    <row r="228" ht="15.75" customHeight="1" s="40">
      <c r="A228" s="4" t="n"/>
      <c r="B228" s="4" t="n"/>
    </row>
    <row r="229" ht="15.75" customHeight="1" s="40">
      <c r="A229" s="4" t="n"/>
      <c r="B229" s="4" t="n"/>
    </row>
    <row r="230" ht="15.75" customHeight="1" s="40">
      <c r="A230" s="4" t="n"/>
      <c r="B230" s="4" t="n"/>
    </row>
    <row r="231" ht="15.75" customHeight="1" s="40">
      <c r="A231" s="4" t="n"/>
      <c r="B231" s="4" t="n"/>
    </row>
    <row r="232" ht="15.75" customHeight="1" s="40">
      <c r="A232" s="4" t="n"/>
      <c r="B232" s="4" t="n"/>
    </row>
    <row r="233" ht="15.75" customHeight="1" s="40">
      <c r="A233" s="4" t="n"/>
      <c r="B233" s="4" t="n"/>
    </row>
    <row r="234" ht="15.75" customHeight="1" s="40">
      <c r="A234" s="4" t="n"/>
      <c r="B234" s="4" t="n"/>
    </row>
    <row r="235" ht="15.75" customHeight="1" s="40">
      <c r="A235" s="4" t="n"/>
      <c r="B235" s="4" t="n"/>
    </row>
    <row r="236" ht="15.75" customHeight="1" s="40">
      <c r="A236" s="4" t="n"/>
      <c r="B236" s="4" t="n"/>
    </row>
    <row r="237" ht="15.75" customHeight="1" s="40">
      <c r="A237" s="4" t="n"/>
      <c r="B237" s="4" t="n"/>
    </row>
    <row r="238" ht="15.75" customHeight="1" s="40">
      <c r="A238" s="4" t="n"/>
      <c r="B238" s="4" t="n"/>
    </row>
    <row r="239" ht="15.75" customHeight="1" s="40">
      <c r="A239" s="4" t="n"/>
      <c r="B239" s="4" t="n"/>
    </row>
    <row r="240" ht="15.75" customHeight="1" s="40">
      <c r="A240" s="4" t="n"/>
      <c r="B240" s="4" t="n"/>
    </row>
    <row r="241" ht="15.75" customHeight="1" s="40">
      <c r="A241" s="4" t="n"/>
      <c r="B241" s="4" t="n"/>
    </row>
    <row r="242" ht="15.75" customHeight="1" s="40">
      <c r="A242" s="4" t="n"/>
      <c r="B242" s="4" t="n"/>
    </row>
    <row r="243" ht="15.75" customHeight="1" s="40">
      <c r="A243" s="4" t="n"/>
      <c r="B243" s="4" t="n"/>
    </row>
    <row r="244" ht="15.75" customHeight="1" s="40">
      <c r="A244" s="4" t="n"/>
      <c r="B244" s="4" t="n"/>
    </row>
    <row r="245" ht="15.75" customHeight="1" s="40">
      <c r="A245" s="4" t="n"/>
      <c r="B245" s="4" t="n"/>
    </row>
    <row r="246" ht="15.75" customHeight="1" s="40">
      <c r="A246" s="4" t="n"/>
      <c r="B246" s="4" t="n"/>
    </row>
    <row r="247" ht="15.75" customHeight="1" s="40">
      <c r="A247" s="4" t="n"/>
      <c r="B247" s="4" t="n"/>
    </row>
    <row r="248" ht="15.75" customHeight="1" s="40">
      <c r="A248" s="4" t="n"/>
      <c r="B248" s="4" t="n"/>
    </row>
    <row r="249" ht="15.75" customHeight="1" s="40">
      <c r="A249" s="4" t="n"/>
      <c r="B249" s="4" t="n"/>
    </row>
    <row r="250" ht="15.75" customHeight="1" s="40">
      <c r="A250" s="4" t="n"/>
      <c r="B250" s="4" t="n"/>
    </row>
    <row r="251" ht="15.75" customHeight="1" s="40">
      <c r="A251" s="4" t="n"/>
      <c r="B251" s="4" t="n"/>
    </row>
    <row r="252" ht="15.75" customHeight="1" s="40">
      <c r="A252" s="4" t="n"/>
      <c r="B252" s="4" t="n"/>
    </row>
    <row r="253" ht="15.75" customHeight="1" s="40">
      <c r="A253" s="4" t="n"/>
      <c r="B253" s="4" t="n"/>
    </row>
    <row r="254" ht="15.75" customHeight="1" s="40">
      <c r="A254" s="4" t="n"/>
      <c r="B254" s="4" t="n"/>
    </row>
    <row r="255" ht="15.75" customHeight="1" s="40">
      <c r="A255" s="4" t="n"/>
      <c r="B255" s="4" t="n"/>
    </row>
    <row r="256" ht="15.75" customHeight="1" s="40">
      <c r="A256" s="4" t="n"/>
      <c r="B256" s="4" t="n"/>
    </row>
    <row r="257" ht="15.75" customHeight="1" s="40">
      <c r="A257" s="4" t="n"/>
      <c r="B257" s="4" t="n"/>
    </row>
    <row r="258" ht="15.75" customHeight="1" s="40">
      <c r="A258" s="4" t="n"/>
      <c r="B258" s="4" t="n"/>
    </row>
    <row r="259" ht="15.75" customHeight="1" s="40">
      <c r="A259" s="4" t="n"/>
      <c r="B259" s="4" t="n"/>
    </row>
    <row r="260" ht="15.75" customHeight="1" s="40">
      <c r="A260" s="4" t="n"/>
      <c r="B260" s="4" t="n"/>
    </row>
    <row r="261" ht="15.75" customHeight="1" s="40">
      <c r="A261" s="4" t="n"/>
      <c r="B261" s="4" t="n"/>
    </row>
    <row r="262" ht="15.75" customHeight="1" s="40">
      <c r="A262" s="4" t="n"/>
      <c r="B262" s="4" t="n"/>
    </row>
    <row r="263" ht="15.75" customHeight="1" s="40">
      <c r="A263" s="4" t="n"/>
      <c r="B263" s="4" t="n"/>
    </row>
    <row r="264" ht="15.75" customHeight="1" s="40">
      <c r="A264" s="4" t="n"/>
      <c r="B264" s="4" t="n"/>
    </row>
    <row r="265" ht="15.75" customHeight="1" s="40">
      <c r="A265" s="4" t="n"/>
      <c r="B265" s="4" t="n"/>
    </row>
    <row r="266" ht="15.75" customHeight="1" s="40">
      <c r="A266" s="4" t="n"/>
      <c r="B266" s="4" t="n"/>
    </row>
    <row r="267" ht="15.75" customHeight="1" s="40">
      <c r="A267" s="4" t="n"/>
      <c r="B267" s="4" t="n"/>
    </row>
    <row r="268" ht="15.75" customHeight="1" s="40">
      <c r="A268" s="4" t="n"/>
      <c r="B268" s="4" t="n"/>
    </row>
    <row r="269" ht="15.75" customHeight="1" s="40">
      <c r="A269" s="4" t="n"/>
      <c r="B269" s="4" t="n"/>
    </row>
    <row r="270" ht="15.75" customHeight="1" s="40">
      <c r="A270" s="4" t="n"/>
      <c r="B270" s="4" t="n"/>
    </row>
    <row r="271" ht="15.75" customHeight="1" s="40">
      <c r="A271" s="4" t="n"/>
      <c r="B271" s="4" t="n"/>
    </row>
    <row r="272" ht="15.75" customHeight="1" s="40">
      <c r="A272" s="4" t="n"/>
      <c r="B272" s="4" t="n"/>
    </row>
    <row r="273" ht="15.75" customHeight="1" s="40">
      <c r="A273" s="4" t="n"/>
      <c r="B273" s="4" t="n"/>
    </row>
    <row r="274" ht="15.75" customHeight="1" s="40">
      <c r="A274" s="4" t="n"/>
      <c r="B274" s="4" t="n"/>
    </row>
    <row r="275" ht="15.75" customHeight="1" s="40">
      <c r="A275" s="4" t="n"/>
      <c r="B275" s="4" t="n"/>
    </row>
    <row r="276" ht="15.75" customHeight="1" s="40">
      <c r="A276" s="4" t="n"/>
      <c r="B276" s="4" t="n"/>
    </row>
    <row r="277" ht="15.75" customHeight="1" s="40">
      <c r="A277" s="4" t="n"/>
      <c r="B277" s="4" t="n"/>
    </row>
    <row r="278" ht="15.75" customHeight="1" s="40">
      <c r="A278" s="4" t="n"/>
      <c r="B278" s="4" t="n"/>
    </row>
    <row r="279" ht="15.75" customHeight="1" s="40">
      <c r="A279" s="4" t="n"/>
      <c r="B279" s="4" t="n"/>
    </row>
    <row r="280" ht="15.75" customHeight="1" s="40">
      <c r="A280" s="4" t="n"/>
      <c r="B280" s="4" t="n"/>
    </row>
    <row r="281" ht="15.75" customHeight="1" s="40">
      <c r="A281" s="4" t="n"/>
      <c r="B281" s="4" t="n"/>
    </row>
    <row r="282" ht="15.75" customHeight="1" s="40">
      <c r="A282" s="4" t="n"/>
      <c r="B282" s="4" t="n"/>
    </row>
    <row r="283" ht="15.75" customHeight="1" s="40">
      <c r="A283" s="4" t="n"/>
      <c r="B283" s="4" t="n"/>
    </row>
    <row r="284" ht="15.75" customHeight="1" s="40">
      <c r="A284" s="4" t="n"/>
      <c r="B284" s="4" t="n"/>
    </row>
    <row r="285" ht="15.75" customHeight="1" s="40">
      <c r="A285" s="4" t="n"/>
      <c r="B285" s="4" t="n"/>
    </row>
    <row r="286" ht="15.75" customHeight="1" s="40">
      <c r="A286" s="4" t="n"/>
      <c r="B286" s="4" t="n"/>
    </row>
    <row r="287" ht="15.75" customHeight="1" s="40">
      <c r="A287" s="4" t="n"/>
      <c r="B287" s="4" t="n"/>
    </row>
    <row r="288" ht="15.75" customHeight="1" s="40">
      <c r="A288" s="4" t="n"/>
      <c r="B288" s="4" t="n"/>
    </row>
    <row r="289" ht="15.75" customHeight="1" s="40">
      <c r="A289" s="4" t="n"/>
      <c r="B289" s="4" t="n"/>
    </row>
    <row r="290" ht="15.75" customHeight="1" s="40">
      <c r="A290" s="4" t="n"/>
      <c r="B290" s="4" t="n"/>
    </row>
    <row r="291" ht="15.75" customHeight="1" s="40">
      <c r="A291" s="4" t="n"/>
      <c r="B291" s="4" t="n"/>
    </row>
    <row r="292" ht="15.75" customHeight="1" s="40">
      <c r="A292" s="4" t="n"/>
      <c r="B292" s="4" t="n"/>
    </row>
    <row r="293" ht="15.75" customHeight="1" s="40">
      <c r="A293" s="4" t="n"/>
      <c r="B293" s="4" t="n"/>
    </row>
    <row r="294" ht="15.75" customHeight="1" s="40">
      <c r="A294" s="4" t="n"/>
      <c r="B294" s="4" t="n"/>
    </row>
    <row r="295" ht="15.75" customHeight="1" s="40">
      <c r="A295" s="4" t="n"/>
      <c r="B295" s="4" t="n"/>
    </row>
    <row r="296" ht="15.75" customHeight="1" s="40">
      <c r="A296" s="4" t="n"/>
      <c r="B296" s="4" t="n"/>
    </row>
    <row r="297" ht="15.75" customHeight="1" s="40">
      <c r="A297" s="4" t="n"/>
      <c r="B297" s="4" t="n"/>
    </row>
    <row r="298" ht="15.75" customHeight="1" s="40">
      <c r="A298" s="4" t="n"/>
      <c r="B298" s="4" t="n"/>
    </row>
    <row r="299" ht="15.75" customHeight="1" s="40">
      <c r="A299" s="4" t="n"/>
      <c r="B299" s="4" t="n"/>
    </row>
    <row r="300" ht="15.75" customHeight="1" s="40">
      <c r="A300" s="4" t="n"/>
      <c r="B300" s="4" t="n"/>
    </row>
    <row r="301" ht="15.75" customHeight="1" s="40">
      <c r="A301" s="4" t="n"/>
      <c r="B301" s="4" t="n"/>
    </row>
    <row r="302" ht="15.75" customHeight="1" s="40">
      <c r="A302" s="4" t="n"/>
      <c r="B302" s="4" t="n"/>
    </row>
    <row r="303" ht="15.75" customHeight="1" s="40">
      <c r="A303" s="4" t="n"/>
      <c r="B303" s="4" t="n"/>
    </row>
    <row r="304" ht="15.75" customHeight="1" s="40">
      <c r="A304" s="4" t="n"/>
      <c r="B304" s="4" t="n"/>
    </row>
    <row r="305" ht="15.75" customHeight="1" s="40">
      <c r="A305" s="4" t="n"/>
      <c r="B305" s="4" t="n"/>
    </row>
    <row r="306" ht="15.75" customHeight="1" s="40">
      <c r="A306" s="4" t="n"/>
      <c r="B306" s="4" t="n"/>
    </row>
    <row r="307" ht="15.75" customHeight="1" s="40">
      <c r="A307" s="4" t="n"/>
      <c r="B307" s="4" t="n"/>
    </row>
    <row r="308" ht="15.75" customHeight="1" s="40">
      <c r="A308" s="4" t="n"/>
      <c r="B308" s="4" t="n"/>
    </row>
    <row r="309" ht="15.75" customHeight="1" s="40">
      <c r="A309" s="4" t="n"/>
      <c r="B309" s="4" t="n"/>
    </row>
    <row r="310" ht="15.75" customHeight="1" s="40">
      <c r="A310" s="4" t="n"/>
      <c r="B310" s="4" t="n"/>
    </row>
    <row r="311" ht="15.75" customHeight="1" s="40">
      <c r="A311" s="4" t="n"/>
      <c r="B311" s="4" t="n"/>
    </row>
    <row r="312" ht="15.75" customHeight="1" s="40">
      <c r="A312" s="4" t="n"/>
      <c r="B312" s="4" t="n"/>
    </row>
    <row r="313" ht="15.75" customHeight="1" s="40">
      <c r="A313" s="4" t="n"/>
      <c r="B313" s="4" t="n"/>
    </row>
    <row r="314" ht="15.75" customHeight="1" s="40">
      <c r="A314" s="4" t="n"/>
      <c r="B314" s="4" t="n"/>
    </row>
    <row r="315" ht="15.75" customHeight="1" s="40">
      <c r="A315" s="4" t="n"/>
      <c r="B315" s="4" t="n"/>
    </row>
    <row r="316" ht="15.75" customHeight="1" s="40">
      <c r="A316" s="4" t="n"/>
      <c r="B316" s="4" t="n"/>
    </row>
    <row r="317" ht="15.75" customHeight="1" s="40">
      <c r="A317" s="4" t="n"/>
      <c r="B317" s="4" t="n"/>
    </row>
    <row r="318" ht="15.75" customHeight="1" s="40">
      <c r="A318" s="4" t="n"/>
      <c r="B318" s="4" t="n"/>
    </row>
    <row r="319" ht="15.75" customHeight="1" s="40">
      <c r="A319" s="4" t="n"/>
      <c r="B319" s="4" t="n"/>
    </row>
    <row r="320" ht="15.75" customHeight="1" s="40">
      <c r="A320" s="4" t="n"/>
      <c r="B320" s="4" t="n"/>
    </row>
    <row r="321" ht="15.75" customHeight="1" s="40">
      <c r="A321" s="4" t="n"/>
      <c r="B321" s="4" t="n"/>
    </row>
    <row r="322" ht="15.75" customHeight="1" s="40">
      <c r="A322" s="4" t="n"/>
      <c r="B322" s="4" t="n"/>
    </row>
    <row r="323" ht="15.75" customHeight="1" s="40">
      <c r="A323" s="4" t="n"/>
      <c r="B323" s="4" t="n"/>
    </row>
    <row r="324" ht="15.75" customHeight="1" s="40">
      <c r="A324" s="4" t="n"/>
      <c r="B324" s="4" t="n"/>
    </row>
    <row r="325" ht="15.75" customHeight="1" s="40">
      <c r="A325" s="4" t="n"/>
      <c r="B325" s="4" t="n"/>
    </row>
    <row r="326" ht="15.75" customHeight="1" s="40">
      <c r="A326" s="4" t="n"/>
      <c r="B326" s="4" t="n"/>
    </row>
    <row r="327" ht="15.75" customHeight="1" s="40">
      <c r="A327" s="4" t="n"/>
      <c r="B327" s="4" t="n"/>
    </row>
    <row r="328" ht="15.75" customHeight="1" s="40">
      <c r="A328" s="4" t="n"/>
      <c r="B328" s="4" t="n"/>
    </row>
    <row r="329" ht="15.75" customHeight="1" s="40">
      <c r="A329" s="4" t="n"/>
      <c r="B329" s="4" t="n"/>
    </row>
    <row r="330" ht="15.75" customHeight="1" s="40">
      <c r="A330" s="4" t="n"/>
      <c r="B330" s="4" t="n"/>
    </row>
    <row r="331" ht="15.75" customHeight="1" s="40">
      <c r="A331" s="4" t="n"/>
      <c r="B331" s="4" t="n"/>
    </row>
    <row r="332" ht="15.75" customHeight="1" s="40">
      <c r="A332" s="4" t="n"/>
      <c r="B332" s="4" t="n"/>
    </row>
    <row r="333" ht="15.75" customHeight="1" s="40">
      <c r="A333" s="4" t="n"/>
      <c r="B333" s="4" t="n"/>
    </row>
    <row r="334" ht="15.75" customHeight="1" s="40">
      <c r="A334" s="4" t="n"/>
      <c r="B334" s="4" t="n"/>
    </row>
    <row r="335" ht="15.75" customHeight="1" s="40">
      <c r="A335" s="4" t="n"/>
      <c r="B335" s="4" t="n"/>
    </row>
    <row r="336" ht="15.75" customHeight="1" s="40">
      <c r="A336" s="4" t="n"/>
      <c r="B336" s="4" t="n"/>
    </row>
    <row r="337" ht="15.75" customHeight="1" s="40">
      <c r="A337" s="4" t="n"/>
      <c r="B337" s="4" t="n"/>
    </row>
    <row r="338" ht="15.75" customHeight="1" s="40">
      <c r="A338" s="4" t="n"/>
      <c r="B338" s="4" t="n"/>
    </row>
    <row r="339" ht="15.75" customHeight="1" s="40">
      <c r="A339" s="4" t="n"/>
      <c r="B339" s="4" t="n"/>
    </row>
    <row r="340" ht="15.75" customHeight="1" s="40">
      <c r="A340" s="4" t="n"/>
      <c r="B340" s="4" t="n"/>
    </row>
    <row r="341" ht="15.75" customHeight="1" s="40">
      <c r="A341" s="4" t="n"/>
      <c r="B341" s="4" t="n"/>
    </row>
    <row r="342" ht="15.75" customHeight="1" s="40">
      <c r="A342" s="4" t="n"/>
      <c r="B342" s="4" t="n"/>
    </row>
    <row r="343" ht="15.75" customHeight="1" s="40">
      <c r="A343" s="4" t="n"/>
      <c r="B343" s="4" t="n"/>
    </row>
    <row r="344" ht="15.75" customHeight="1" s="40">
      <c r="A344" s="4" t="n"/>
      <c r="B344" s="4" t="n"/>
    </row>
    <row r="345" ht="15.75" customHeight="1" s="40">
      <c r="A345" s="4" t="n"/>
      <c r="B345" s="4" t="n"/>
    </row>
    <row r="346" ht="15.75" customHeight="1" s="40">
      <c r="A346" s="4" t="n"/>
      <c r="B346" s="4" t="n"/>
    </row>
    <row r="347" ht="15.75" customHeight="1" s="40">
      <c r="A347" s="4" t="n"/>
      <c r="B347" s="4" t="n"/>
    </row>
    <row r="348" ht="15.75" customHeight="1" s="40">
      <c r="A348" s="4" t="n"/>
      <c r="B348" s="4" t="n"/>
    </row>
    <row r="349" ht="15.75" customHeight="1" s="40">
      <c r="A349" s="4" t="n"/>
      <c r="B349" s="4" t="n"/>
    </row>
    <row r="350" ht="15.75" customHeight="1" s="40">
      <c r="A350" s="4" t="n"/>
      <c r="B350" s="4" t="n"/>
    </row>
    <row r="351" ht="15.75" customHeight="1" s="40">
      <c r="A351" s="4" t="n"/>
      <c r="B351" s="4" t="n"/>
    </row>
    <row r="352" ht="15.75" customHeight="1" s="40">
      <c r="A352" s="4" t="n"/>
      <c r="B352" s="4" t="n"/>
    </row>
    <row r="353" ht="15.75" customHeight="1" s="40">
      <c r="A353" s="4" t="n"/>
      <c r="B353" s="4" t="n"/>
    </row>
    <row r="354" ht="15.75" customHeight="1" s="40">
      <c r="A354" s="4" t="n"/>
      <c r="B354" s="4" t="n"/>
    </row>
    <row r="355" ht="15.75" customHeight="1" s="40">
      <c r="A355" s="4" t="n"/>
      <c r="B355" s="4" t="n"/>
    </row>
    <row r="356" ht="15.75" customHeight="1" s="40">
      <c r="A356" s="4" t="n"/>
      <c r="B356" s="4" t="n"/>
    </row>
    <row r="357" ht="15.75" customHeight="1" s="40">
      <c r="A357" s="4" t="n"/>
      <c r="B357" s="4" t="n"/>
    </row>
    <row r="358" ht="15.75" customHeight="1" s="40">
      <c r="A358" s="4" t="n"/>
      <c r="B358" s="4" t="n"/>
    </row>
    <row r="359" ht="15.75" customHeight="1" s="40">
      <c r="A359" s="4" t="n"/>
      <c r="B359" s="4" t="n"/>
    </row>
    <row r="360" ht="15.75" customHeight="1" s="40">
      <c r="A360" s="4" t="n"/>
      <c r="B360" s="4" t="n"/>
    </row>
    <row r="361" ht="15.75" customHeight="1" s="40">
      <c r="A361" s="4" t="n"/>
      <c r="B361" s="4" t="n"/>
    </row>
    <row r="362" ht="15.75" customHeight="1" s="40">
      <c r="A362" s="4" t="n"/>
      <c r="B362" s="4" t="n"/>
    </row>
    <row r="363" ht="15.75" customHeight="1" s="40">
      <c r="A363" s="4" t="n"/>
      <c r="B363" s="4" t="n"/>
    </row>
    <row r="364" ht="15.75" customHeight="1" s="40">
      <c r="A364" s="4" t="n"/>
      <c r="B364" s="4" t="n"/>
    </row>
    <row r="365" ht="15.75" customHeight="1" s="40">
      <c r="A365" s="4" t="n"/>
      <c r="B365" s="4" t="n"/>
    </row>
    <row r="366" ht="15.75" customHeight="1" s="40">
      <c r="A366" s="4" t="n"/>
      <c r="B366" s="4" t="n"/>
    </row>
    <row r="367" ht="15.75" customHeight="1" s="40">
      <c r="A367" s="4" t="n"/>
      <c r="B367" s="4" t="n"/>
    </row>
    <row r="368" ht="15.75" customHeight="1" s="40">
      <c r="A368" s="4" t="n"/>
      <c r="B368" s="4" t="n"/>
    </row>
    <row r="369" ht="15.75" customHeight="1" s="40">
      <c r="A369" s="4" t="n"/>
      <c r="B369" s="4" t="n"/>
    </row>
    <row r="370" ht="15.75" customHeight="1" s="40">
      <c r="A370" s="4" t="n"/>
      <c r="B370" s="4" t="n"/>
    </row>
    <row r="371" ht="15.75" customHeight="1" s="40">
      <c r="A371" s="4" t="n"/>
      <c r="B371" s="4" t="n"/>
    </row>
    <row r="372" ht="15.75" customHeight="1" s="40">
      <c r="A372" s="4" t="n"/>
      <c r="B372" s="4" t="n"/>
    </row>
    <row r="373" ht="15.75" customHeight="1" s="40">
      <c r="A373" s="4" t="n"/>
      <c r="B373" s="4" t="n"/>
    </row>
    <row r="374" ht="15.75" customHeight="1" s="40">
      <c r="A374" s="4" t="n"/>
      <c r="B374" s="4" t="n"/>
    </row>
    <row r="375" ht="15.75" customHeight="1" s="40">
      <c r="A375" s="4" t="n"/>
      <c r="B375" s="4" t="n"/>
    </row>
    <row r="376" ht="15.75" customHeight="1" s="40">
      <c r="A376" s="4" t="n"/>
      <c r="B376" s="4" t="n"/>
    </row>
    <row r="377" ht="15.75" customHeight="1" s="40">
      <c r="A377" s="4" t="n"/>
      <c r="B377" s="4" t="n"/>
    </row>
    <row r="378" ht="15.75" customHeight="1" s="40">
      <c r="A378" s="4" t="n"/>
      <c r="B378" s="4" t="n"/>
    </row>
    <row r="379" ht="15.75" customHeight="1" s="40">
      <c r="A379" s="4" t="n"/>
      <c r="B379" s="4" t="n"/>
    </row>
    <row r="380" ht="15.75" customHeight="1" s="40">
      <c r="A380" s="4" t="n"/>
      <c r="B380" s="4" t="n"/>
    </row>
    <row r="381" ht="15.75" customHeight="1" s="40">
      <c r="A381" s="4" t="n"/>
      <c r="B381" s="4" t="n"/>
    </row>
    <row r="382" ht="15.75" customHeight="1" s="40">
      <c r="A382" s="4" t="n"/>
      <c r="B382" s="4" t="n"/>
    </row>
    <row r="383" ht="15.75" customHeight="1" s="40">
      <c r="A383" s="4" t="n"/>
      <c r="B383" s="4" t="n"/>
    </row>
    <row r="384" ht="15.75" customHeight="1" s="40">
      <c r="A384" s="4" t="n"/>
      <c r="B384" s="4" t="n"/>
    </row>
    <row r="385" ht="15.75" customHeight="1" s="40">
      <c r="A385" s="4" t="n"/>
      <c r="B385" s="4" t="n"/>
    </row>
    <row r="386" ht="15.75" customHeight="1" s="40">
      <c r="A386" s="4" t="n"/>
      <c r="B386" s="4" t="n"/>
    </row>
    <row r="387" ht="15.75" customHeight="1" s="40">
      <c r="A387" s="4" t="n"/>
      <c r="B387" s="4" t="n"/>
    </row>
    <row r="388" ht="15.75" customHeight="1" s="40">
      <c r="A388" s="4" t="n"/>
      <c r="B388" s="4" t="n"/>
    </row>
    <row r="389" ht="15.75" customHeight="1" s="40">
      <c r="A389" s="4" t="n"/>
      <c r="B389" s="4" t="n"/>
    </row>
    <row r="390" ht="15.75" customHeight="1" s="40">
      <c r="A390" s="4" t="n"/>
      <c r="B390" s="4" t="n"/>
    </row>
    <row r="391" ht="15.75" customHeight="1" s="40">
      <c r="A391" s="4" t="n"/>
      <c r="B391" s="4" t="n"/>
    </row>
    <row r="392" ht="15.75" customHeight="1" s="40">
      <c r="A392" s="4" t="n"/>
      <c r="B392" s="4" t="n"/>
    </row>
    <row r="393" ht="15.75" customHeight="1" s="40">
      <c r="A393" s="4" t="n"/>
      <c r="B393" s="4" t="n"/>
    </row>
    <row r="394" ht="15.75" customHeight="1" s="40">
      <c r="A394" s="4" t="n"/>
      <c r="B394" s="4" t="n"/>
    </row>
    <row r="395" ht="15.75" customHeight="1" s="40">
      <c r="A395" s="4" t="n"/>
      <c r="B395" s="4" t="n"/>
    </row>
    <row r="396" ht="15.75" customHeight="1" s="40">
      <c r="A396" s="4" t="n"/>
      <c r="B396" s="4" t="n"/>
    </row>
    <row r="397" ht="15.75" customHeight="1" s="40">
      <c r="A397" s="4" t="n"/>
      <c r="B397" s="4" t="n"/>
    </row>
    <row r="398" ht="15.75" customHeight="1" s="40">
      <c r="A398" s="4" t="n"/>
      <c r="B398" s="4" t="n"/>
    </row>
    <row r="399" ht="15.75" customHeight="1" s="40">
      <c r="A399" s="4" t="n"/>
      <c r="B399" s="4" t="n"/>
    </row>
    <row r="400" ht="15.75" customHeight="1" s="40">
      <c r="A400" s="4" t="n"/>
      <c r="B400" s="4" t="n"/>
    </row>
    <row r="401" ht="15.75" customHeight="1" s="40">
      <c r="A401" s="4" t="n"/>
      <c r="B401" s="4" t="n"/>
    </row>
    <row r="402" ht="15.75" customHeight="1" s="40">
      <c r="A402" s="4" t="n"/>
      <c r="B402" s="4" t="n"/>
    </row>
    <row r="403" ht="15.75" customHeight="1" s="40">
      <c r="A403" s="4" t="n"/>
      <c r="B403" s="4" t="n"/>
    </row>
    <row r="404" ht="15.75" customHeight="1" s="40">
      <c r="A404" s="4" t="n"/>
      <c r="B404" s="4" t="n"/>
    </row>
    <row r="405" ht="15.75" customHeight="1" s="40">
      <c r="A405" s="4" t="n"/>
      <c r="B405" s="4" t="n"/>
    </row>
    <row r="406" ht="15.75" customHeight="1" s="40">
      <c r="A406" s="4" t="n"/>
      <c r="B406" s="4" t="n"/>
    </row>
    <row r="407" ht="15.75" customHeight="1" s="40">
      <c r="A407" s="4" t="n"/>
      <c r="B407" s="4" t="n"/>
    </row>
    <row r="408" ht="15.75" customHeight="1" s="40">
      <c r="A408" s="4" t="n"/>
      <c r="B408" s="4" t="n"/>
    </row>
    <row r="409" ht="15.75" customHeight="1" s="40">
      <c r="A409" s="4" t="n"/>
      <c r="B409" s="4" t="n"/>
    </row>
    <row r="410" ht="15.75" customHeight="1" s="40">
      <c r="A410" s="4" t="n"/>
      <c r="B410" s="4" t="n"/>
    </row>
    <row r="411" ht="15.75" customHeight="1" s="40">
      <c r="A411" s="4" t="n"/>
      <c r="B411" s="4" t="n"/>
    </row>
    <row r="412" ht="15.75" customHeight="1" s="40">
      <c r="A412" s="4" t="n"/>
      <c r="B412" s="4" t="n"/>
    </row>
    <row r="413" ht="15.75" customHeight="1" s="40">
      <c r="A413" s="4" t="n"/>
      <c r="B413" s="4" t="n"/>
    </row>
    <row r="414" ht="15.75" customHeight="1" s="40">
      <c r="A414" s="4" t="n"/>
      <c r="B414" s="4" t="n"/>
    </row>
    <row r="415" ht="15.75" customHeight="1" s="40">
      <c r="A415" s="4" t="n"/>
      <c r="B415" s="4" t="n"/>
    </row>
    <row r="416" ht="15.75" customHeight="1" s="40">
      <c r="A416" s="4" t="n"/>
      <c r="B416" s="4" t="n"/>
    </row>
    <row r="417" ht="15.75" customHeight="1" s="40">
      <c r="A417" s="4" t="n"/>
      <c r="B417" s="4" t="n"/>
    </row>
    <row r="418" ht="15.75" customHeight="1" s="40">
      <c r="A418" s="4" t="n"/>
      <c r="B418" s="4" t="n"/>
    </row>
    <row r="419" ht="15.75" customHeight="1" s="40">
      <c r="A419" s="4" t="n"/>
      <c r="B419" s="4" t="n"/>
    </row>
    <row r="420" ht="15.75" customHeight="1" s="40">
      <c r="A420" s="4" t="n"/>
      <c r="B420" s="4" t="n"/>
    </row>
    <row r="421" ht="15.75" customHeight="1" s="40">
      <c r="A421" s="4" t="n"/>
      <c r="B421" s="4" t="n"/>
    </row>
    <row r="422" ht="15.75" customHeight="1" s="40">
      <c r="A422" s="4" t="n"/>
      <c r="B422" s="4" t="n"/>
    </row>
    <row r="423" ht="15.75" customHeight="1" s="40">
      <c r="A423" s="4" t="n"/>
      <c r="B423" s="4" t="n"/>
    </row>
    <row r="424" ht="15.75" customHeight="1" s="40">
      <c r="A424" s="4" t="n"/>
      <c r="B424" s="4" t="n"/>
    </row>
    <row r="425" ht="15.75" customHeight="1" s="40">
      <c r="A425" s="4" t="n"/>
      <c r="B425" s="4" t="n"/>
    </row>
    <row r="426" ht="15.75" customHeight="1" s="40">
      <c r="A426" s="4" t="n"/>
      <c r="B426" s="4" t="n"/>
    </row>
    <row r="427" ht="15.75" customHeight="1" s="40">
      <c r="A427" s="4" t="n"/>
      <c r="B427" s="4" t="n"/>
    </row>
    <row r="428" ht="15.75" customHeight="1" s="40">
      <c r="A428" s="4" t="n"/>
      <c r="B428" s="4" t="n"/>
    </row>
    <row r="429" ht="15.75" customHeight="1" s="40">
      <c r="A429" s="4" t="n"/>
      <c r="B429" s="4" t="n"/>
    </row>
    <row r="430" ht="15.75" customHeight="1" s="40">
      <c r="A430" s="4" t="n"/>
      <c r="B430" s="4" t="n"/>
    </row>
    <row r="431" ht="15.75" customHeight="1" s="40">
      <c r="A431" s="4" t="n"/>
      <c r="B431" s="4" t="n"/>
    </row>
    <row r="432" ht="15.75" customHeight="1" s="40">
      <c r="A432" s="4" t="n"/>
      <c r="B432" s="4" t="n"/>
    </row>
    <row r="433" ht="15.75" customHeight="1" s="40">
      <c r="A433" s="4" t="n"/>
      <c r="B433" s="4" t="n"/>
    </row>
    <row r="434" ht="15.75" customHeight="1" s="40">
      <c r="A434" s="4" t="n"/>
      <c r="B434" s="4" t="n"/>
    </row>
    <row r="435" ht="15.75" customHeight="1" s="40">
      <c r="A435" s="4" t="n"/>
      <c r="B435" s="4" t="n"/>
    </row>
    <row r="436" ht="15.75" customHeight="1" s="40">
      <c r="A436" s="4" t="n"/>
      <c r="B436" s="4" t="n"/>
    </row>
    <row r="437" ht="15.75" customHeight="1" s="40">
      <c r="A437" s="4" t="n"/>
      <c r="B437" s="4" t="n"/>
    </row>
    <row r="438" ht="15.75" customHeight="1" s="40">
      <c r="A438" s="4" t="n"/>
      <c r="B438" s="4" t="n"/>
    </row>
    <row r="439" ht="15.75" customHeight="1" s="40">
      <c r="A439" s="4" t="n"/>
      <c r="B439" s="4" t="n"/>
    </row>
    <row r="440" ht="15.75" customHeight="1" s="40">
      <c r="A440" s="4" t="n"/>
      <c r="B440" s="4" t="n"/>
    </row>
    <row r="441" ht="15.75" customHeight="1" s="40">
      <c r="A441" s="4" t="n"/>
      <c r="B441" s="4" t="n"/>
    </row>
    <row r="442" ht="15.75" customHeight="1" s="40">
      <c r="A442" s="4" t="n"/>
      <c r="B442" s="4" t="n"/>
    </row>
    <row r="443" ht="15.75" customHeight="1" s="40">
      <c r="A443" s="4" t="n"/>
      <c r="B443" s="4" t="n"/>
    </row>
    <row r="444" ht="15.75" customHeight="1" s="40">
      <c r="A444" s="4" t="n"/>
      <c r="B444" s="4" t="n"/>
    </row>
    <row r="445" ht="15.75" customHeight="1" s="40">
      <c r="A445" s="4" t="n"/>
      <c r="B445" s="4" t="n"/>
    </row>
    <row r="446" ht="15.75" customHeight="1" s="40">
      <c r="A446" s="4" t="n"/>
      <c r="B446" s="4" t="n"/>
    </row>
    <row r="447" ht="15.75" customHeight="1" s="40">
      <c r="A447" s="4" t="n"/>
      <c r="B447" s="4" t="n"/>
    </row>
    <row r="448" ht="15.75" customHeight="1" s="40">
      <c r="A448" s="4" t="n"/>
      <c r="B448" s="4" t="n"/>
    </row>
    <row r="449" ht="15.75" customHeight="1" s="40">
      <c r="A449" s="4" t="n"/>
      <c r="B449" s="4" t="n"/>
    </row>
    <row r="450" ht="15.75" customHeight="1" s="40">
      <c r="A450" s="4" t="n"/>
      <c r="B450" s="4" t="n"/>
    </row>
    <row r="451" ht="15.75" customHeight="1" s="40">
      <c r="A451" s="4" t="n"/>
      <c r="B451" s="4" t="n"/>
    </row>
    <row r="452" ht="15.75" customHeight="1" s="40">
      <c r="A452" s="4" t="n"/>
      <c r="B452" s="4" t="n"/>
    </row>
    <row r="453" ht="15.75" customHeight="1" s="40">
      <c r="A453" s="4" t="n"/>
      <c r="B453" s="4" t="n"/>
    </row>
    <row r="454" ht="15.75" customHeight="1" s="40">
      <c r="A454" s="4" t="n"/>
      <c r="B454" s="4" t="n"/>
    </row>
    <row r="455" ht="15.75" customHeight="1" s="40">
      <c r="A455" s="4" t="n"/>
      <c r="B455" s="4" t="n"/>
    </row>
    <row r="456" ht="15.75" customHeight="1" s="40">
      <c r="A456" s="4" t="n"/>
      <c r="B456" s="4" t="n"/>
    </row>
    <row r="457" ht="15.75" customHeight="1" s="40">
      <c r="A457" s="4" t="n"/>
      <c r="B457" s="4" t="n"/>
    </row>
    <row r="458" ht="15.75" customHeight="1" s="40">
      <c r="A458" s="4" t="n"/>
      <c r="B458" s="4" t="n"/>
    </row>
    <row r="459" ht="15.75" customHeight="1" s="40">
      <c r="A459" s="4" t="n"/>
      <c r="B459" s="4" t="n"/>
    </row>
    <row r="460" ht="15.75" customHeight="1" s="40">
      <c r="A460" s="4" t="n"/>
      <c r="B460" s="4" t="n"/>
    </row>
    <row r="461" ht="15.75" customHeight="1" s="40">
      <c r="A461" s="4" t="n"/>
      <c r="B461" s="4" t="n"/>
    </row>
    <row r="462" ht="15.75" customHeight="1" s="40">
      <c r="A462" s="4" t="n"/>
      <c r="B462" s="4" t="n"/>
    </row>
    <row r="463" ht="15.75" customHeight="1" s="40">
      <c r="A463" s="4" t="n"/>
      <c r="B463" s="4" t="n"/>
    </row>
    <row r="464" ht="15.75" customHeight="1" s="40">
      <c r="A464" s="4" t="n"/>
      <c r="B464" s="4" t="n"/>
    </row>
    <row r="465" ht="15.75" customHeight="1" s="40">
      <c r="A465" s="4" t="n"/>
      <c r="B465" s="4" t="n"/>
    </row>
    <row r="466" ht="15.75" customHeight="1" s="40">
      <c r="A466" s="4" t="n"/>
      <c r="B466" s="4" t="n"/>
    </row>
    <row r="467" ht="15.75" customHeight="1" s="40">
      <c r="A467" s="4" t="n"/>
      <c r="B467" s="4" t="n"/>
    </row>
    <row r="468" ht="15.75" customHeight="1" s="40">
      <c r="A468" s="4" t="n"/>
      <c r="B468" s="4" t="n"/>
    </row>
    <row r="469" ht="15.75" customHeight="1" s="40">
      <c r="A469" s="4" t="n"/>
      <c r="B469" s="4" t="n"/>
    </row>
    <row r="470" ht="15.75" customHeight="1" s="40">
      <c r="A470" s="4" t="n"/>
      <c r="B470" s="4" t="n"/>
    </row>
    <row r="471" ht="15.75" customHeight="1" s="40">
      <c r="A471" s="4" t="n"/>
      <c r="B471" s="4" t="n"/>
    </row>
    <row r="472" ht="15.75" customHeight="1" s="40">
      <c r="A472" s="4" t="n"/>
      <c r="B472" s="4" t="n"/>
    </row>
    <row r="473" ht="15.75" customHeight="1" s="40">
      <c r="A473" s="4" t="n"/>
      <c r="B473" s="4" t="n"/>
    </row>
    <row r="474" ht="15.75" customHeight="1" s="40">
      <c r="A474" s="4" t="n"/>
      <c r="B474" s="4" t="n"/>
    </row>
    <row r="475" ht="15.75" customHeight="1" s="40">
      <c r="A475" s="4" t="n"/>
      <c r="B475" s="4" t="n"/>
    </row>
    <row r="476" ht="15.75" customHeight="1" s="40">
      <c r="A476" s="4" t="n"/>
      <c r="B476" s="4" t="n"/>
    </row>
    <row r="477" ht="15.75" customHeight="1" s="40">
      <c r="A477" s="4" t="n"/>
      <c r="B477" s="4" t="n"/>
    </row>
    <row r="478" ht="15.75" customHeight="1" s="40">
      <c r="A478" s="4" t="n"/>
      <c r="B478" s="4" t="n"/>
    </row>
    <row r="479" ht="15.75" customHeight="1" s="40">
      <c r="A479" s="4" t="n"/>
      <c r="B479" s="4" t="n"/>
    </row>
    <row r="480" ht="15.75" customHeight="1" s="40">
      <c r="A480" s="4" t="n"/>
      <c r="B480" s="4" t="n"/>
    </row>
    <row r="481" ht="15.75" customHeight="1" s="40">
      <c r="A481" s="4" t="n"/>
      <c r="B481" s="4" t="n"/>
    </row>
    <row r="482" ht="15.75" customHeight="1" s="40">
      <c r="A482" s="4" t="n"/>
      <c r="B482" s="4" t="n"/>
    </row>
    <row r="483" ht="15.75" customHeight="1" s="40">
      <c r="A483" s="4" t="n"/>
      <c r="B483" s="4" t="n"/>
    </row>
    <row r="484" ht="15.75" customHeight="1" s="40">
      <c r="A484" s="4" t="n"/>
      <c r="B484" s="4" t="n"/>
    </row>
    <row r="485" ht="15.75" customHeight="1" s="40">
      <c r="A485" s="4" t="n"/>
      <c r="B485" s="4" t="n"/>
    </row>
    <row r="486" ht="15.75" customHeight="1" s="40">
      <c r="A486" s="4" t="n"/>
      <c r="B486" s="4" t="n"/>
    </row>
    <row r="487" ht="15.75" customHeight="1" s="40">
      <c r="A487" s="4" t="n"/>
      <c r="B487" s="4" t="n"/>
    </row>
    <row r="488" ht="15.75" customHeight="1" s="40">
      <c r="A488" s="4" t="n"/>
      <c r="B488" s="4" t="n"/>
    </row>
    <row r="489" ht="15.75" customHeight="1" s="40">
      <c r="A489" s="4" t="n"/>
      <c r="B489" s="4" t="n"/>
    </row>
    <row r="490" ht="15.75" customHeight="1" s="40">
      <c r="A490" s="4" t="n"/>
      <c r="B490" s="4" t="n"/>
    </row>
    <row r="491" ht="15.75" customHeight="1" s="40">
      <c r="A491" s="4" t="n"/>
      <c r="B491" s="4" t="n"/>
    </row>
    <row r="492" ht="15.75" customHeight="1" s="40">
      <c r="A492" s="4" t="n"/>
      <c r="B492" s="4" t="n"/>
    </row>
    <row r="493" ht="15.75" customHeight="1" s="40">
      <c r="A493" s="4" t="n"/>
      <c r="B493" s="4" t="n"/>
    </row>
    <row r="494" ht="15.75" customHeight="1" s="40">
      <c r="A494" s="4" t="n"/>
      <c r="B494" s="4" t="n"/>
    </row>
    <row r="495" ht="15.75" customHeight="1" s="40">
      <c r="A495" s="4" t="n"/>
      <c r="B495" s="4" t="n"/>
    </row>
    <row r="496" ht="15.75" customHeight="1" s="40">
      <c r="A496" s="4" t="n"/>
      <c r="B496" s="4" t="n"/>
    </row>
    <row r="497" ht="15.75" customHeight="1" s="40">
      <c r="A497" s="4" t="n"/>
      <c r="B497" s="4" t="n"/>
    </row>
    <row r="498" ht="15.75" customHeight="1" s="40">
      <c r="A498" s="4" t="n"/>
      <c r="B498" s="4" t="n"/>
    </row>
    <row r="499" ht="15.75" customHeight="1" s="40">
      <c r="A499" s="4" t="n"/>
      <c r="B499" s="4" t="n"/>
    </row>
    <row r="500" ht="15.75" customHeight="1" s="40">
      <c r="A500" s="4" t="n"/>
      <c r="B500" s="4" t="n"/>
    </row>
    <row r="501" ht="15.75" customHeight="1" s="40">
      <c r="A501" s="4" t="n"/>
      <c r="B501" s="4" t="n"/>
    </row>
    <row r="502" ht="15.75" customHeight="1" s="40">
      <c r="A502" s="4" t="n"/>
      <c r="B502" s="4" t="n"/>
    </row>
    <row r="503" ht="15.75" customHeight="1" s="40">
      <c r="A503" s="4" t="n"/>
      <c r="B503" s="4" t="n"/>
    </row>
    <row r="504" ht="15.75" customHeight="1" s="40">
      <c r="A504" s="4" t="n"/>
      <c r="B504" s="4" t="n"/>
    </row>
    <row r="505" ht="15.75" customHeight="1" s="40">
      <c r="A505" s="4" t="n"/>
      <c r="B505" s="4" t="n"/>
    </row>
    <row r="506" ht="15.75" customHeight="1" s="40">
      <c r="A506" s="4" t="n"/>
      <c r="B506" s="4" t="n"/>
    </row>
    <row r="507" ht="15.75" customHeight="1" s="40">
      <c r="A507" s="4" t="n"/>
      <c r="B507" s="4" t="n"/>
    </row>
    <row r="508" ht="15.75" customHeight="1" s="40">
      <c r="A508" s="4" t="n"/>
      <c r="B508" s="4" t="n"/>
    </row>
    <row r="509" ht="15.75" customHeight="1" s="40">
      <c r="A509" s="4" t="n"/>
      <c r="B509" s="4" t="n"/>
    </row>
    <row r="510" ht="15.75" customHeight="1" s="40">
      <c r="A510" s="4" t="n"/>
      <c r="B510" s="4" t="n"/>
    </row>
    <row r="511" ht="15.75" customHeight="1" s="40">
      <c r="A511" s="4" t="n"/>
      <c r="B511" s="4" t="n"/>
    </row>
    <row r="512" ht="15.75" customHeight="1" s="40">
      <c r="A512" s="4" t="n"/>
      <c r="B512" s="4" t="n"/>
    </row>
    <row r="513" ht="15.75" customHeight="1" s="40">
      <c r="A513" s="4" t="n"/>
      <c r="B513" s="4" t="n"/>
    </row>
    <row r="514" ht="15.75" customHeight="1" s="40">
      <c r="A514" s="4" t="n"/>
      <c r="B514" s="4" t="n"/>
    </row>
    <row r="515" ht="15.75" customHeight="1" s="40">
      <c r="A515" s="4" t="n"/>
      <c r="B515" s="4" t="n"/>
    </row>
    <row r="516" ht="15.75" customHeight="1" s="40">
      <c r="A516" s="4" t="n"/>
      <c r="B516" s="4" t="n"/>
    </row>
    <row r="517" ht="15.75" customHeight="1" s="40">
      <c r="A517" s="4" t="n"/>
      <c r="B517" s="4" t="n"/>
    </row>
    <row r="518" ht="15.75" customHeight="1" s="40">
      <c r="A518" s="4" t="n"/>
      <c r="B518" s="4" t="n"/>
    </row>
    <row r="519" ht="15.75" customHeight="1" s="40">
      <c r="A519" s="4" t="n"/>
      <c r="B519" s="4" t="n"/>
    </row>
    <row r="520" ht="15.75" customHeight="1" s="40">
      <c r="A520" s="4" t="n"/>
      <c r="B520" s="4" t="n"/>
    </row>
    <row r="521" ht="15.75" customHeight="1" s="40">
      <c r="A521" s="4" t="n"/>
      <c r="B521" s="4" t="n"/>
    </row>
    <row r="522" ht="15.75" customHeight="1" s="40">
      <c r="A522" s="4" t="n"/>
      <c r="B522" s="4" t="n"/>
    </row>
    <row r="523" ht="15.75" customHeight="1" s="40">
      <c r="A523" s="4" t="n"/>
      <c r="B523" s="4" t="n"/>
    </row>
    <row r="524" ht="15.75" customHeight="1" s="40">
      <c r="A524" s="4" t="n"/>
      <c r="B524" s="4" t="n"/>
    </row>
    <row r="525" ht="15.75" customHeight="1" s="40">
      <c r="A525" s="4" t="n"/>
      <c r="B525" s="4" t="n"/>
    </row>
    <row r="526" ht="15.75" customHeight="1" s="40">
      <c r="A526" s="4" t="n"/>
      <c r="B526" s="4" t="n"/>
    </row>
    <row r="527" ht="15.75" customHeight="1" s="40">
      <c r="A527" s="4" t="n"/>
      <c r="B527" s="4" t="n"/>
    </row>
    <row r="528" ht="15.75" customHeight="1" s="40">
      <c r="A528" s="4" t="n"/>
      <c r="B528" s="4" t="n"/>
    </row>
    <row r="529" ht="15.75" customHeight="1" s="40">
      <c r="A529" s="4" t="n"/>
      <c r="B529" s="4" t="n"/>
    </row>
    <row r="530" ht="15.75" customHeight="1" s="40">
      <c r="A530" s="4" t="n"/>
      <c r="B530" s="4" t="n"/>
    </row>
    <row r="531" ht="15.75" customHeight="1" s="40">
      <c r="A531" s="4" t="n"/>
      <c r="B531" s="4" t="n"/>
    </row>
    <row r="532" ht="15.75" customHeight="1" s="40">
      <c r="A532" s="4" t="n"/>
      <c r="B532" s="4" t="n"/>
    </row>
    <row r="533" ht="15.75" customHeight="1" s="40">
      <c r="A533" s="4" t="n"/>
      <c r="B533" s="4" t="n"/>
    </row>
    <row r="534" ht="15.75" customHeight="1" s="40">
      <c r="A534" s="4" t="n"/>
      <c r="B534" s="4" t="n"/>
    </row>
    <row r="535" ht="15.75" customHeight="1" s="40">
      <c r="A535" s="4" t="n"/>
      <c r="B535" s="4" t="n"/>
    </row>
    <row r="536" ht="15.75" customHeight="1" s="40">
      <c r="A536" s="4" t="n"/>
      <c r="B536" s="4" t="n"/>
    </row>
    <row r="537" ht="15.75" customHeight="1" s="40">
      <c r="A537" s="4" t="n"/>
      <c r="B537" s="4" t="n"/>
    </row>
    <row r="538" ht="15.75" customHeight="1" s="40">
      <c r="A538" s="4" t="n"/>
      <c r="B538" s="4" t="n"/>
    </row>
    <row r="539" ht="15.75" customHeight="1" s="40">
      <c r="A539" s="4" t="n"/>
      <c r="B539" s="4" t="n"/>
    </row>
    <row r="540" ht="15.75" customHeight="1" s="40">
      <c r="A540" s="4" t="n"/>
      <c r="B540" s="4" t="n"/>
    </row>
    <row r="541" ht="15.75" customHeight="1" s="40">
      <c r="A541" s="4" t="n"/>
      <c r="B541" s="4" t="n"/>
    </row>
    <row r="542" ht="15.75" customHeight="1" s="40">
      <c r="A542" s="4" t="n"/>
      <c r="B542" s="4" t="n"/>
    </row>
    <row r="543" ht="15.75" customHeight="1" s="40">
      <c r="A543" s="4" t="n"/>
      <c r="B543" s="4" t="n"/>
    </row>
    <row r="544" ht="15.75" customHeight="1" s="40">
      <c r="A544" s="4" t="n"/>
      <c r="B544" s="4" t="n"/>
    </row>
    <row r="545" ht="15.75" customHeight="1" s="40">
      <c r="A545" s="4" t="n"/>
      <c r="B545" s="4" t="n"/>
    </row>
    <row r="546" ht="15.75" customHeight="1" s="40">
      <c r="A546" s="4" t="n"/>
      <c r="B546" s="4" t="n"/>
    </row>
    <row r="547" ht="15.75" customHeight="1" s="40">
      <c r="A547" s="4" t="n"/>
      <c r="B547" s="4" t="n"/>
    </row>
    <row r="548" ht="15.75" customHeight="1" s="40">
      <c r="A548" s="4" t="n"/>
      <c r="B548" s="4" t="n"/>
    </row>
    <row r="549" ht="15.75" customHeight="1" s="40">
      <c r="A549" s="4" t="n"/>
      <c r="B549" s="4" t="n"/>
    </row>
    <row r="550" ht="15.75" customHeight="1" s="40">
      <c r="A550" s="4" t="n"/>
      <c r="B550" s="4" t="n"/>
    </row>
    <row r="551" ht="15.75" customHeight="1" s="40">
      <c r="A551" s="4" t="n"/>
      <c r="B551" s="4" t="n"/>
    </row>
    <row r="552" ht="15.75" customHeight="1" s="40">
      <c r="A552" s="4" t="n"/>
      <c r="B552" s="4" t="n"/>
    </row>
    <row r="553" ht="15.75" customHeight="1" s="40">
      <c r="A553" s="4" t="n"/>
      <c r="B553" s="4" t="n"/>
    </row>
    <row r="554" ht="15.75" customHeight="1" s="40">
      <c r="A554" s="4" t="n"/>
      <c r="B554" s="4" t="n"/>
    </row>
    <row r="555" ht="15.75" customHeight="1" s="40">
      <c r="A555" s="4" t="n"/>
      <c r="B555" s="4" t="n"/>
    </row>
    <row r="556" ht="15.75" customHeight="1" s="40">
      <c r="A556" s="4" t="n"/>
      <c r="B556" s="4" t="n"/>
    </row>
    <row r="557" ht="15.75" customHeight="1" s="40">
      <c r="A557" s="4" t="n"/>
      <c r="B557" s="4" t="n"/>
    </row>
    <row r="558" ht="15.75" customHeight="1" s="40">
      <c r="A558" s="4" t="n"/>
      <c r="B558" s="4" t="n"/>
    </row>
    <row r="559" ht="15.75" customHeight="1" s="40">
      <c r="A559" s="4" t="n"/>
      <c r="B559" s="4" t="n"/>
    </row>
    <row r="560" ht="15.75" customHeight="1" s="40">
      <c r="A560" s="4" t="n"/>
      <c r="B560" s="4" t="n"/>
    </row>
    <row r="561" ht="15.75" customHeight="1" s="40">
      <c r="A561" s="4" t="n"/>
      <c r="B561" s="4" t="n"/>
    </row>
    <row r="562" ht="15.75" customHeight="1" s="40">
      <c r="A562" s="4" t="n"/>
      <c r="B562" s="4" t="n"/>
    </row>
    <row r="563" ht="15.75" customHeight="1" s="40">
      <c r="A563" s="4" t="n"/>
      <c r="B563" s="4" t="n"/>
    </row>
    <row r="564" ht="15.75" customHeight="1" s="40">
      <c r="A564" s="4" t="n"/>
      <c r="B564" s="4" t="n"/>
    </row>
    <row r="565" ht="15.75" customHeight="1" s="40">
      <c r="A565" s="4" t="n"/>
      <c r="B565" s="4" t="n"/>
    </row>
    <row r="566" ht="15.75" customHeight="1" s="40">
      <c r="A566" s="4" t="n"/>
      <c r="B566" s="4" t="n"/>
    </row>
    <row r="567" ht="15.75" customHeight="1" s="40">
      <c r="A567" s="4" t="n"/>
      <c r="B567" s="4" t="n"/>
    </row>
    <row r="568" ht="15.75" customHeight="1" s="40">
      <c r="A568" s="4" t="n"/>
      <c r="B568" s="4" t="n"/>
    </row>
    <row r="569" ht="15.75" customHeight="1" s="40">
      <c r="A569" s="4" t="n"/>
      <c r="B569" s="4" t="n"/>
    </row>
    <row r="570" ht="15.75" customHeight="1" s="40">
      <c r="A570" s="4" t="n"/>
      <c r="B570" s="4" t="n"/>
    </row>
    <row r="571" ht="15.75" customHeight="1" s="40">
      <c r="A571" s="4" t="n"/>
      <c r="B571" s="4" t="n"/>
    </row>
    <row r="572" ht="15.75" customHeight="1" s="40">
      <c r="A572" s="4" t="n"/>
      <c r="B572" s="4" t="n"/>
    </row>
    <row r="573" ht="15.75" customHeight="1" s="40">
      <c r="A573" s="4" t="n"/>
      <c r="B573" s="4" t="n"/>
    </row>
    <row r="574" ht="15.75" customHeight="1" s="40">
      <c r="A574" s="4" t="n"/>
      <c r="B574" s="4" t="n"/>
    </row>
    <row r="575" ht="15.75" customHeight="1" s="40">
      <c r="A575" s="4" t="n"/>
      <c r="B575" s="4" t="n"/>
    </row>
    <row r="576" ht="15.75" customHeight="1" s="40">
      <c r="A576" s="4" t="n"/>
      <c r="B576" s="4" t="n"/>
    </row>
    <row r="577" ht="15.75" customHeight="1" s="40">
      <c r="A577" s="4" t="n"/>
      <c r="B577" s="4" t="n"/>
    </row>
    <row r="578" ht="15.75" customHeight="1" s="40">
      <c r="A578" s="4" t="n"/>
      <c r="B578" s="4" t="n"/>
    </row>
    <row r="579" ht="15.75" customHeight="1" s="40">
      <c r="A579" s="4" t="n"/>
      <c r="B579" s="4" t="n"/>
    </row>
    <row r="580" ht="15.75" customHeight="1" s="40">
      <c r="A580" s="4" t="n"/>
      <c r="B580" s="4" t="n"/>
    </row>
    <row r="581" ht="15.75" customHeight="1" s="40">
      <c r="A581" s="4" t="n"/>
      <c r="B581" s="4" t="n"/>
    </row>
    <row r="582" ht="15.75" customHeight="1" s="40">
      <c r="A582" s="4" t="n"/>
      <c r="B582" s="4" t="n"/>
    </row>
    <row r="583" ht="15.75" customHeight="1" s="40">
      <c r="A583" s="4" t="n"/>
      <c r="B583" s="4" t="n"/>
    </row>
    <row r="584" ht="15.75" customHeight="1" s="40">
      <c r="A584" s="4" t="n"/>
      <c r="B584" s="4" t="n"/>
    </row>
    <row r="585" ht="15.75" customHeight="1" s="40">
      <c r="A585" s="4" t="n"/>
      <c r="B585" s="4" t="n"/>
    </row>
    <row r="586" ht="15.75" customHeight="1" s="40">
      <c r="A586" s="4" t="n"/>
      <c r="B586" s="4" t="n"/>
    </row>
    <row r="587" ht="15.75" customHeight="1" s="40">
      <c r="A587" s="4" t="n"/>
      <c r="B587" s="4" t="n"/>
    </row>
    <row r="588" ht="15.75" customHeight="1" s="40">
      <c r="A588" s="4" t="n"/>
      <c r="B588" s="4" t="n"/>
    </row>
    <row r="589" ht="15.75" customHeight="1" s="40">
      <c r="A589" s="4" t="n"/>
      <c r="B589" s="4" t="n"/>
    </row>
    <row r="590" ht="15.75" customHeight="1" s="40">
      <c r="A590" s="4" t="n"/>
      <c r="B590" s="4" t="n"/>
    </row>
    <row r="591" ht="15.75" customHeight="1" s="40">
      <c r="A591" s="4" t="n"/>
      <c r="B591" s="4" t="n"/>
    </row>
    <row r="592" ht="15.75" customHeight="1" s="40">
      <c r="A592" s="4" t="n"/>
      <c r="B592" s="4" t="n"/>
    </row>
    <row r="593" ht="15.75" customHeight="1" s="40">
      <c r="A593" s="4" t="n"/>
      <c r="B593" s="4" t="n"/>
    </row>
    <row r="594" ht="15.75" customHeight="1" s="40">
      <c r="A594" s="4" t="n"/>
      <c r="B594" s="4" t="n"/>
    </row>
    <row r="595" ht="15.75" customHeight="1" s="40">
      <c r="A595" s="4" t="n"/>
      <c r="B595" s="4" t="n"/>
    </row>
    <row r="596" ht="15.75" customHeight="1" s="40">
      <c r="A596" s="4" t="n"/>
      <c r="B596" s="4" t="n"/>
    </row>
    <row r="597" ht="15.75" customHeight="1" s="40">
      <c r="A597" s="4" t="n"/>
      <c r="B597" s="4" t="n"/>
    </row>
    <row r="598" ht="15.75" customHeight="1" s="40">
      <c r="A598" s="4" t="n"/>
      <c r="B598" s="4" t="n"/>
    </row>
    <row r="599" ht="15.75" customHeight="1" s="40">
      <c r="A599" s="4" t="n"/>
      <c r="B599" s="4" t="n"/>
    </row>
    <row r="600" ht="15.75" customHeight="1" s="40">
      <c r="A600" s="4" t="n"/>
      <c r="B600" s="4" t="n"/>
    </row>
    <row r="601" ht="15.75" customHeight="1" s="40">
      <c r="A601" s="4" t="n"/>
      <c r="B601" s="4" t="n"/>
    </row>
    <row r="602" ht="15.75" customHeight="1" s="40">
      <c r="A602" s="4" t="n"/>
      <c r="B602" s="4" t="n"/>
    </row>
    <row r="603" ht="15.75" customHeight="1" s="40">
      <c r="A603" s="4" t="n"/>
      <c r="B603" s="4" t="n"/>
    </row>
    <row r="604" ht="15.75" customHeight="1" s="40">
      <c r="A604" s="4" t="n"/>
      <c r="B604" s="4" t="n"/>
    </row>
    <row r="605" ht="15.75" customHeight="1" s="40">
      <c r="A605" s="4" t="n"/>
      <c r="B605" s="4" t="n"/>
    </row>
    <row r="606" ht="15.75" customHeight="1" s="40">
      <c r="A606" s="4" t="n"/>
      <c r="B606" s="4" t="n"/>
    </row>
    <row r="607" ht="15.75" customHeight="1" s="40">
      <c r="A607" s="4" t="n"/>
      <c r="B607" s="4" t="n"/>
    </row>
    <row r="608" ht="15.75" customHeight="1" s="40">
      <c r="A608" s="4" t="n"/>
      <c r="B608" s="4" t="n"/>
    </row>
    <row r="609" ht="15.75" customHeight="1" s="40">
      <c r="A609" s="4" t="n"/>
      <c r="B609" s="4" t="n"/>
    </row>
    <row r="610" ht="15.75" customHeight="1" s="40">
      <c r="A610" s="4" t="n"/>
      <c r="B610" s="4" t="n"/>
    </row>
    <row r="611" ht="15.75" customHeight="1" s="40">
      <c r="A611" s="4" t="n"/>
      <c r="B611" s="4" t="n"/>
    </row>
    <row r="612" ht="15.75" customHeight="1" s="40">
      <c r="A612" s="4" t="n"/>
      <c r="B612" s="4" t="n"/>
    </row>
    <row r="613" ht="15.75" customHeight="1" s="40">
      <c r="A613" s="4" t="n"/>
      <c r="B613" s="4" t="n"/>
    </row>
    <row r="614" ht="15.75" customHeight="1" s="40">
      <c r="A614" s="4" t="n"/>
      <c r="B614" s="4" t="n"/>
    </row>
    <row r="615" ht="15.75" customHeight="1" s="40">
      <c r="A615" s="4" t="n"/>
      <c r="B615" s="4" t="n"/>
    </row>
    <row r="616" ht="15.75" customHeight="1" s="40">
      <c r="A616" s="4" t="n"/>
      <c r="B616" s="4" t="n"/>
    </row>
    <row r="617" ht="15.75" customHeight="1" s="40">
      <c r="A617" s="4" t="n"/>
      <c r="B617" s="4" t="n"/>
    </row>
    <row r="618" ht="15.75" customHeight="1" s="40">
      <c r="A618" s="4" t="n"/>
      <c r="B618" s="4" t="n"/>
    </row>
    <row r="619" ht="15.75" customHeight="1" s="40">
      <c r="A619" s="4" t="n"/>
      <c r="B619" s="4" t="n"/>
    </row>
    <row r="620" ht="15.75" customHeight="1" s="40">
      <c r="A620" s="4" t="n"/>
      <c r="B620" s="4" t="n"/>
    </row>
    <row r="621" ht="15.75" customHeight="1" s="40">
      <c r="A621" s="4" t="n"/>
      <c r="B621" s="4" t="n"/>
    </row>
    <row r="622" ht="15.75" customHeight="1" s="40">
      <c r="A622" s="4" t="n"/>
      <c r="B622" s="4" t="n"/>
    </row>
    <row r="623" ht="15.75" customHeight="1" s="40">
      <c r="A623" s="4" t="n"/>
      <c r="B623" s="4" t="n"/>
    </row>
    <row r="624" ht="15.75" customHeight="1" s="40">
      <c r="A624" s="4" t="n"/>
      <c r="B624" s="4" t="n"/>
    </row>
    <row r="625" ht="15.75" customHeight="1" s="40">
      <c r="A625" s="4" t="n"/>
      <c r="B625" s="4" t="n"/>
    </row>
    <row r="626" ht="15.75" customHeight="1" s="40">
      <c r="A626" s="4" t="n"/>
      <c r="B626" s="4" t="n"/>
    </row>
    <row r="627" ht="15.75" customHeight="1" s="40">
      <c r="A627" s="4" t="n"/>
      <c r="B627" s="4" t="n"/>
    </row>
    <row r="628" ht="15.75" customHeight="1" s="40">
      <c r="A628" s="4" t="n"/>
      <c r="B628" s="4" t="n"/>
    </row>
    <row r="629" ht="15.75" customHeight="1" s="40">
      <c r="A629" s="4" t="n"/>
      <c r="B629" s="4" t="n"/>
    </row>
    <row r="630" ht="15.75" customHeight="1" s="40">
      <c r="A630" s="4" t="n"/>
      <c r="B630" s="4" t="n"/>
    </row>
    <row r="631" ht="15.75" customHeight="1" s="40">
      <c r="A631" s="4" t="n"/>
      <c r="B631" s="4" t="n"/>
    </row>
    <row r="632" ht="15.75" customHeight="1" s="40">
      <c r="A632" s="4" t="n"/>
      <c r="B632" s="4" t="n"/>
    </row>
    <row r="633" ht="15.75" customHeight="1" s="40">
      <c r="A633" s="4" t="n"/>
      <c r="B633" s="4" t="n"/>
    </row>
    <row r="634" ht="15.75" customHeight="1" s="40">
      <c r="A634" s="4" t="n"/>
      <c r="B634" s="4" t="n"/>
    </row>
    <row r="635" ht="15.75" customHeight="1" s="40">
      <c r="A635" s="4" t="n"/>
      <c r="B635" s="4" t="n"/>
    </row>
    <row r="636" ht="15.75" customHeight="1" s="40">
      <c r="A636" s="4" t="n"/>
      <c r="B636" s="4" t="n"/>
    </row>
    <row r="637" ht="15.75" customHeight="1" s="40">
      <c r="A637" s="4" t="n"/>
      <c r="B637" s="4" t="n"/>
    </row>
    <row r="638" ht="15.75" customHeight="1" s="40">
      <c r="A638" s="4" t="n"/>
      <c r="B638" s="4" t="n"/>
    </row>
    <row r="639" ht="15.75" customHeight="1" s="40">
      <c r="A639" s="4" t="n"/>
      <c r="B639" s="4" t="n"/>
    </row>
    <row r="640" ht="15.75" customHeight="1" s="40">
      <c r="A640" s="4" t="n"/>
      <c r="B640" s="4" t="n"/>
    </row>
    <row r="641" ht="15.75" customHeight="1" s="40">
      <c r="A641" s="4" t="n"/>
      <c r="B641" s="4" t="n"/>
    </row>
    <row r="642" ht="15.75" customHeight="1" s="40">
      <c r="A642" s="4" t="n"/>
      <c r="B642" s="4" t="n"/>
    </row>
    <row r="643" ht="15.75" customHeight="1" s="40">
      <c r="A643" s="4" t="n"/>
      <c r="B643" s="4" t="n"/>
    </row>
    <row r="644" ht="15.75" customHeight="1" s="40">
      <c r="A644" s="4" t="n"/>
      <c r="B644" s="4" t="n"/>
    </row>
    <row r="645" ht="15.75" customHeight="1" s="40">
      <c r="A645" s="4" t="n"/>
      <c r="B645" s="4" t="n"/>
    </row>
    <row r="646" ht="15.75" customHeight="1" s="40">
      <c r="A646" s="4" t="n"/>
      <c r="B646" s="4" t="n"/>
    </row>
    <row r="647" ht="15.75" customHeight="1" s="40">
      <c r="A647" s="4" t="n"/>
      <c r="B647" s="4" t="n"/>
    </row>
    <row r="648" ht="15.75" customHeight="1" s="40">
      <c r="A648" s="4" t="n"/>
      <c r="B648" s="4" t="n"/>
    </row>
    <row r="649" ht="15.75" customHeight="1" s="40">
      <c r="A649" s="4" t="n"/>
      <c r="B649" s="4" t="n"/>
    </row>
    <row r="650" ht="15.75" customHeight="1" s="40">
      <c r="A650" s="4" t="n"/>
      <c r="B650" s="4" t="n"/>
    </row>
    <row r="651" ht="15.75" customHeight="1" s="40">
      <c r="A651" s="4" t="n"/>
      <c r="B651" s="4" t="n"/>
    </row>
    <row r="652" ht="15.75" customHeight="1" s="40">
      <c r="A652" s="4" t="n"/>
      <c r="B652" s="4" t="n"/>
    </row>
    <row r="653" ht="15.75" customHeight="1" s="40">
      <c r="A653" s="4" t="n"/>
      <c r="B653" s="4" t="n"/>
    </row>
    <row r="654" ht="15.75" customHeight="1" s="40">
      <c r="A654" s="4" t="n"/>
      <c r="B654" s="4" t="n"/>
    </row>
    <row r="655" ht="15.75" customHeight="1" s="40">
      <c r="A655" s="4" t="n"/>
      <c r="B655" s="4" t="n"/>
    </row>
    <row r="656" ht="15.75" customHeight="1" s="40">
      <c r="A656" s="4" t="n"/>
      <c r="B656" s="4" t="n"/>
    </row>
    <row r="657" ht="15.75" customHeight="1" s="40">
      <c r="A657" s="4" t="n"/>
      <c r="B657" s="4" t="n"/>
    </row>
    <row r="658" ht="15.75" customHeight="1" s="40">
      <c r="A658" s="4" t="n"/>
      <c r="B658" s="4" t="n"/>
    </row>
    <row r="659" ht="15.75" customHeight="1" s="40">
      <c r="A659" s="4" t="n"/>
      <c r="B659" s="4" t="n"/>
    </row>
    <row r="660" ht="15.75" customHeight="1" s="40">
      <c r="A660" s="4" t="n"/>
      <c r="B660" s="4" t="n"/>
    </row>
    <row r="661" ht="15.75" customHeight="1" s="40">
      <c r="A661" s="4" t="n"/>
      <c r="B661" s="4" t="n"/>
    </row>
    <row r="662" ht="15.75" customHeight="1" s="40">
      <c r="A662" s="4" t="n"/>
      <c r="B662" s="4" t="n"/>
    </row>
    <row r="663" ht="15.75" customHeight="1" s="40">
      <c r="A663" s="4" t="n"/>
      <c r="B663" s="4" t="n"/>
    </row>
    <row r="664" ht="15.75" customHeight="1" s="40">
      <c r="A664" s="4" t="n"/>
      <c r="B664" s="4" t="n"/>
    </row>
    <row r="665" ht="15.75" customHeight="1" s="40">
      <c r="A665" s="4" t="n"/>
      <c r="B665" s="4" t="n"/>
    </row>
    <row r="666" ht="15.75" customHeight="1" s="40">
      <c r="A666" s="4" t="n"/>
      <c r="B666" s="4" t="n"/>
    </row>
    <row r="667" ht="15.75" customHeight="1" s="40">
      <c r="A667" s="4" t="n"/>
      <c r="B667" s="4" t="n"/>
    </row>
    <row r="668" ht="15.75" customHeight="1" s="40">
      <c r="A668" s="4" t="n"/>
      <c r="B668" s="4" t="n"/>
    </row>
    <row r="669" ht="15.75" customHeight="1" s="40">
      <c r="A669" s="4" t="n"/>
      <c r="B669" s="4" t="n"/>
    </row>
    <row r="670" ht="15.75" customHeight="1" s="40">
      <c r="A670" s="4" t="n"/>
      <c r="B670" s="4" t="n"/>
    </row>
    <row r="671" ht="15.75" customHeight="1" s="40">
      <c r="A671" s="4" t="n"/>
      <c r="B671" s="4" t="n"/>
    </row>
    <row r="672" ht="15.75" customHeight="1" s="40">
      <c r="A672" s="4" t="n"/>
      <c r="B672" s="4" t="n"/>
    </row>
    <row r="673" ht="15.75" customHeight="1" s="40">
      <c r="A673" s="4" t="n"/>
      <c r="B673" s="4" t="n"/>
    </row>
    <row r="674" ht="15.75" customHeight="1" s="40">
      <c r="A674" s="4" t="n"/>
      <c r="B674" s="4" t="n"/>
    </row>
    <row r="675" ht="15.75" customHeight="1" s="40">
      <c r="A675" s="4" t="n"/>
      <c r="B675" s="4" t="n"/>
    </row>
    <row r="676" ht="15.75" customHeight="1" s="40">
      <c r="A676" s="4" t="n"/>
      <c r="B676" s="4" t="n"/>
    </row>
    <row r="677" ht="15.75" customHeight="1" s="40">
      <c r="A677" s="4" t="n"/>
      <c r="B677" s="4" t="n"/>
    </row>
    <row r="678" ht="15.75" customHeight="1" s="40">
      <c r="A678" s="4" t="n"/>
      <c r="B678" s="4" t="n"/>
    </row>
    <row r="679" ht="15.75" customHeight="1" s="40">
      <c r="A679" s="4" t="n"/>
      <c r="B679" s="4" t="n"/>
    </row>
    <row r="680" ht="15.75" customHeight="1" s="40">
      <c r="A680" s="4" t="n"/>
      <c r="B680" s="4" t="n"/>
    </row>
    <row r="681" ht="15.75" customHeight="1" s="40">
      <c r="A681" s="4" t="n"/>
      <c r="B681" s="4" t="n"/>
    </row>
    <row r="682" ht="15.75" customHeight="1" s="40">
      <c r="A682" s="4" t="n"/>
      <c r="B682" s="4" t="n"/>
    </row>
    <row r="683" ht="15.75" customHeight="1" s="40">
      <c r="A683" s="4" t="n"/>
      <c r="B683" s="4" t="n"/>
    </row>
    <row r="684" ht="15.75" customHeight="1" s="40">
      <c r="A684" s="4" t="n"/>
      <c r="B684" s="4" t="n"/>
    </row>
    <row r="685" ht="15.75" customHeight="1" s="40">
      <c r="A685" s="4" t="n"/>
      <c r="B685" s="4" t="n"/>
    </row>
    <row r="686" ht="15.75" customHeight="1" s="40">
      <c r="A686" s="4" t="n"/>
      <c r="B686" s="4" t="n"/>
    </row>
    <row r="687" ht="15.75" customHeight="1" s="40">
      <c r="A687" s="4" t="n"/>
      <c r="B687" s="4" t="n"/>
    </row>
    <row r="688" ht="15.75" customHeight="1" s="40">
      <c r="A688" s="4" t="n"/>
      <c r="B688" s="4" t="n"/>
    </row>
    <row r="689" ht="15.75" customHeight="1" s="40">
      <c r="A689" s="4" t="n"/>
      <c r="B689" s="4" t="n"/>
    </row>
    <row r="690" ht="15.75" customHeight="1" s="40">
      <c r="A690" s="4" t="n"/>
      <c r="B690" s="4" t="n"/>
    </row>
    <row r="691" ht="15.75" customHeight="1" s="40">
      <c r="A691" s="4" t="n"/>
      <c r="B691" s="4" t="n"/>
    </row>
    <row r="692" ht="15.75" customHeight="1" s="40">
      <c r="A692" s="4" t="n"/>
      <c r="B692" s="4" t="n"/>
    </row>
    <row r="693" ht="15.75" customHeight="1" s="40">
      <c r="A693" s="4" t="n"/>
      <c r="B693" s="4" t="n"/>
    </row>
    <row r="694" ht="15.75" customHeight="1" s="40">
      <c r="A694" s="4" t="n"/>
      <c r="B694" s="4" t="n"/>
    </row>
    <row r="695" ht="15.75" customHeight="1" s="40">
      <c r="A695" s="4" t="n"/>
      <c r="B695" s="4" t="n"/>
    </row>
    <row r="696" ht="15.75" customHeight="1" s="40">
      <c r="A696" s="4" t="n"/>
      <c r="B696" s="4" t="n"/>
    </row>
    <row r="697" ht="15.75" customHeight="1" s="40">
      <c r="A697" s="4" t="n"/>
      <c r="B697" s="4" t="n"/>
    </row>
    <row r="698" ht="15.75" customHeight="1" s="40">
      <c r="A698" s="4" t="n"/>
      <c r="B698" s="4" t="n"/>
    </row>
    <row r="699" ht="15.75" customHeight="1" s="40">
      <c r="A699" s="4" t="n"/>
      <c r="B699" s="4" t="n"/>
    </row>
    <row r="700" ht="15.75" customHeight="1" s="40">
      <c r="A700" s="4" t="n"/>
      <c r="B700" s="4" t="n"/>
    </row>
    <row r="701" ht="15.75" customHeight="1" s="40">
      <c r="A701" s="4" t="n"/>
      <c r="B701" s="4" t="n"/>
    </row>
    <row r="702" ht="15.75" customHeight="1" s="40">
      <c r="A702" s="4" t="n"/>
      <c r="B702" s="4" t="n"/>
    </row>
    <row r="703" ht="15.75" customHeight="1" s="40">
      <c r="A703" s="4" t="n"/>
      <c r="B703" s="4" t="n"/>
    </row>
    <row r="704" ht="15.75" customHeight="1" s="40">
      <c r="A704" s="4" t="n"/>
      <c r="B704" s="4" t="n"/>
    </row>
    <row r="705" ht="15.75" customHeight="1" s="40">
      <c r="A705" s="4" t="n"/>
      <c r="B705" s="4" t="n"/>
    </row>
    <row r="706" ht="15.75" customHeight="1" s="40">
      <c r="A706" s="4" t="n"/>
      <c r="B706" s="4" t="n"/>
    </row>
    <row r="707" ht="15.75" customHeight="1" s="40">
      <c r="A707" s="4" t="n"/>
      <c r="B707" s="4" t="n"/>
    </row>
    <row r="708" ht="15.75" customHeight="1" s="40">
      <c r="A708" s="4" t="n"/>
      <c r="B708" s="4" t="n"/>
    </row>
    <row r="709" ht="15.75" customHeight="1" s="40">
      <c r="A709" s="4" t="n"/>
      <c r="B709" s="4" t="n"/>
    </row>
    <row r="710" ht="15.75" customHeight="1" s="40">
      <c r="A710" s="4" t="n"/>
      <c r="B710" s="4" t="n"/>
    </row>
    <row r="711" ht="15.75" customHeight="1" s="40">
      <c r="A711" s="4" t="n"/>
      <c r="B711" s="4" t="n"/>
    </row>
    <row r="712" ht="15.75" customHeight="1" s="40">
      <c r="A712" s="4" t="n"/>
      <c r="B712" s="4" t="n"/>
    </row>
    <row r="713" ht="15.75" customHeight="1" s="40">
      <c r="A713" s="4" t="n"/>
      <c r="B713" s="4" t="n"/>
    </row>
    <row r="714" ht="15.75" customHeight="1" s="40">
      <c r="A714" s="4" t="n"/>
      <c r="B714" s="4" t="n"/>
    </row>
    <row r="715" ht="15.75" customHeight="1" s="40">
      <c r="A715" s="4" t="n"/>
      <c r="B715" s="4" t="n"/>
    </row>
    <row r="716" ht="15.75" customHeight="1" s="40">
      <c r="A716" s="4" t="n"/>
      <c r="B716" s="4" t="n"/>
    </row>
    <row r="717" ht="15.75" customHeight="1" s="40">
      <c r="A717" s="4" t="n"/>
      <c r="B717" s="4" t="n"/>
    </row>
    <row r="718" ht="15.75" customHeight="1" s="40">
      <c r="A718" s="4" t="n"/>
      <c r="B718" s="4" t="n"/>
    </row>
    <row r="719" ht="15.75" customHeight="1" s="40">
      <c r="A719" s="4" t="n"/>
      <c r="B719" s="4" t="n"/>
    </row>
    <row r="720" ht="15.75" customHeight="1" s="40">
      <c r="A720" s="4" t="n"/>
      <c r="B720" s="4" t="n"/>
    </row>
    <row r="721" ht="15.75" customHeight="1" s="40">
      <c r="A721" s="4" t="n"/>
      <c r="B721" s="4" t="n"/>
    </row>
    <row r="722" ht="15.75" customHeight="1" s="40">
      <c r="A722" s="4" t="n"/>
      <c r="B722" s="4" t="n"/>
    </row>
    <row r="723" ht="15.75" customHeight="1" s="40">
      <c r="A723" s="4" t="n"/>
      <c r="B723" s="4" t="n"/>
    </row>
    <row r="724" ht="15.75" customHeight="1" s="40">
      <c r="A724" s="4" t="n"/>
      <c r="B724" s="4" t="n"/>
    </row>
    <row r="725" ht="15.75" customHeight="1" s="40">
      <c r="A725" s="4" t="n"/>
      <c r="B725" s="4" t="n"/>
    </row>
    <row r="726" ht="15.75" customHeight="1" s="40">
      <c r="A726" s="4" t="n"/>
      <c r="B726" s="4" t="n"/>
    </row>
    <row r="727" ht="15.75" customHeight="1" s="40">
      <c r="A727" s="4" t="n"/>
      <c r="B727" s="4" t="n"/>
    </row>
    <row r="728" ht="15.75" customHeight="1" s="40">
      <c r="A728" s="4" t="n"/>
      <c r="B728" s="4" t="n"/>
    </row>
    <row r="729" ht="15.75" customHeight="1" s="40">
      <c r="A729" s="4" t="n"/>
      <c r="B729" s="4" t="n"/>
    </row>
    <row r="730" ht="15.75" customHeight="1" s="40">
      <c r="A730" s="4" t="n"/>
      <c r="B730" s="4" t="n"/>
    </row>
    <row r="731" ht="15.75" customHeight="1" s="40">
      <c r="A731" s="4" t="n"/>
      <c r="B731" s="4" t="n"/>
    </row>
    <row r="732" ht="15.75" customHeight="1" s="40">
      <c r="A732" s="4" t="n"/>
      <c r="B732" s="4" t="n"/>
    </row>
    <row r="733" ht="15.75" customHeight="1" s="40">
      <c r="A733" s="4" t="n"/>
      <c r="B733" s="4" t="n"/>
    </row>
    <row r="734" ht="15.75" customHeight="1" s="40">
      <c r="A734" s="4" t="n"/>
      <c r="B734" s="4" t="n"/>
    </row>
    <row r="735" ht="15.75" customHeight="1" s="40">
      <c r="A735" s="4" t="n"/>
      <c r="B735" s="4" t="n"/>
    </row>
    <row r="736" ht="15.75" customHeight="1" s="40">
      <c r="A736" s="4" t="n"/>
      <c r="B736" s="4" t="n"/>
    </row>
    <row r="737" ht="15.75" customHeight="1" s="40">
      <c r="A737" s="4" t="n"/>
      <c r="B737" s="4" t="n"/>
    </row>
    <row r="738" ht="15.75" customHeight="1" s="40">
      <c r="A738" s="4" t="n"/>
      <c r="B738" s="4" t="n"/>
    </row>
    <row r="739" ht="15.75" customHeight="1" s="40">
      <c r="A739" s="4" t="n"/>
      <c r="B739" s="4" t="n"/>
    </row>
    <row r="740" ht="15.75" customHeight="1" s="40">
      <c r="A740" s="4" t="n"/>
      <c r="B740" s="4" t="n"/>
    </row>
    <row r="741" ht="15.75" customHeight="1" s="40">
      <c r="A741" s="4" t="n"/>
      <c r="B741" s="4" t="n"/>
    </row>
    <row r="742" ht="15.75" customHeight="1" s="40">
      <c r="A742" s="4" t="n"/>
      <c r="B742" s="4" t="n"/>
    </row>
    <row r="743" ht="15.75" customHeight="1" s="40">
      <c r="A743" s="4" t="n"/>
      <c r="B743" s="4" t="n"/>
    </row>
    <row r="744" ht="15.75" customHeight="1" s="40">
      <c r="A744" s="4" t="n"/>
      <c r="B744" s="4" t="n"/>
    </row>
    <row r="745" ht="15.75" customHeight="1" s="40">
      <c r="A745" s="4" t="n"/>
      <c r="B745" s="4" t="n"/>
    </row>
    <row r="746" ht="15.75" customHeight="1" s="40">
      <c r="A746" s="4" t="n"/>
      <c r="B746" s="4" t="n"/>
    </row>
    <row r="747" ht="15.75" customHeight="1" s="40">
      <c r="A747" s="4" t="n"/>
      <c r="B747" s="4" t="n"/>
    </row>
    <row r="748" ht="15.75" customHeight="1" s="40">
      <c r="A748" s="4" t="n"/>
      <c r="B748" s="4" t="n"/>
    </row>
    <row r="749" ht="15.75" customHeight="1" s="40">
      <c r="A749" s="4" t="n"/>
      <c r="B749" s="4" t="n"/>
    </row>
    <row r="750" ht="15.75" customHeight="1" s="40">
      <c r="A750" s="4" t="n"/>
      <c r="B750" s="4" t="n"/>
    </row>
    <row r="751" ht="15.75" customHeight="1" s="40">
      <c r="A751" s="4" t="n"/>
      <c r="B751" s="4" t="n"/>
    </row>
    <row r="752" ht="15.75" customHeight="1" s="40">
      <c r="A752" s="4" t="n"/>
      <c r="B752" s="4" t="n"/>
    </row>
    <row r="753" ht="15.75" customHeight="1" s="40">
      <c r="A753" s="4" t="n"/>
      <c r="B753" s="4" t="n"/>
    </row>
    <row r="754" ht="15.75" customHeight="1" s="40">
      <c r="A754" s="4" t="n"/>
      <c r="B754" s="4" t="n"/>
    </row>
    <row r="755" ht="15.75" customHeight="1" s="40">
      <c r="A755" s="4" t="n"/>
      <c r="B755" s="4" t="n"/>
    </row>
    <row r="756" ht="15.75" customHeight="1" s="40">
      <c r="A756" s="4" t="n"/>
      <c r="B756" s="4" t="n"/>
    </row>
    <row r="757" ht="15.75" customHeight="1" s="40">
      <c r="A757" s="4" t="n"/>
      <c r="B757" s="4" t="n"/>
    </row>
    <row r="758" ht="15.75" customHeight="1" s="40">
      <c r="A758" s="4" t="n"/>
      <c r="B758" s="4" t="n"/>
    </row>
    <row r="759" ht="15.75" customHeight="1" s="40">
      <c r="A759" s="4" t="n"/>
      <c r="B759" s="4" t="n"/>
    </row>
    <row r="760" ht="15.75" customHeight="1" s="40">
      <c r="A760" s="4" t="n"/>
      <c r="B760" s="4" t="n"/>
    </row>
    <row r="761" ht="15.75" customHeight="1" s="40">
      <c r="A761" s="4" t="n"/>
      <c r="B761" s="4" t="n"/>
    </row>
    <row r="762" ht="15.75" customHeight="1" s="40">
      <c r="A762" s="4" t="n"/>
      <c r="B762" s="4" t="n"/>
    </row>
    <row r="763" ht="15.75" customHeight="1" s="40">
      <c r="A763" s="4" t="n"/>
      <c r="B763" s="4" t="n"/>
    </row>
    <row r="764" ht="15.75" customHeight="1" s="40">
      <c r="A764" s="4" t="n"/>
      <c r="B764" s="4" t="n"/>
    </row>
    <row r="765" ht="15.75" customHeight="1" s="40">
      <c r="A765" s="4" t="n"/>
      <c r="B765" s="4" t="n"/>
    </row>
    <row r="766" ht="15.75" customHeight="1" s="40">
      <c r="A766" s="4" t="n"/>
      <c r="B766" s="4" t="n"/>
    </row>
    <row r="767" ht="15.75" customHeight="1" s="40">
      <c r="A767" s="4" t="n"/>
      <c r="B767" s="4" t="n"/>
    </row>
    <row r="768" ht="15.75" customHeight="1" s="40">
      <c r="A768" s="4" t="n"/>
      <c r="B768" s="4" t="n"/>
    </row>
    <row r="769" ht="15.75" customHeight="1" s="40">
      <c r="A769" s="4" t="n"/>
      <c r="B769" s="4" t="n"/>
    </row>
    <row r="770" ht="15.75" customHeight="1" s="40">
      <c r="A770" s="4" t="n"/>
      <c r="B770" s="4" t="n"/>
    </row>
    <row r="771" ht="15.75" customHeight="1" s="40">
      <c r="A771" s="4" t="n"/>
      <c r="B771" s="4" t="n"/>
    </row>
    <row r="772" ht="15.75" customHeight="1" s="40">
      <c r="A772" s="4" t="n"/>
      <c r="B772" s="4" t="n"/>
    </row>
    <row r="773" ht="15.75" customHeight="1" s="40">
      <c r="A773" s="4" t="n"/>
      <c r="B773" s="4" t="n"/>
    </row>
    <row r="774" ht="15.75" customHeight="1" s="40">
      <c r="A774" s="4" t="n"/>
      <c r="B774" s="4" t="n"/>
    </row>
    <row r="775" ht="15.75" customHeight="1" s="40">
      <c r="A775" s="4" t="n"/>
      <c r="B775" s="4" t="n"/>
    </row>
    <row r="776" ht="15.75" customHeight="1" s="40">
      <c r="A776" s="4" t="n"/>
      <c r="B776" s="4" t="n"/>
    </row>
    <row r="777" ht="15.75" customHeight="1" s="40">
      <c r="A777" s="4" t="n"/>
      <c r="B777" s="4" t="n"/>
    </row>
    <row r="778" ht="15.75" customHeight="1" s="40">
      <c r="A778" s="4" t="n"/>
      <c r="B778" s="4" t="n"/>
    </row>
    <row r="779" ht="15.75" customHeight="1" s="40">
      <c r="A779" s="4" t="n"/>
      <c r="B779" s="4" t="n"/>
    </row>
    <row r="780" ht="15.75" customHeight="1" s="40">
      <c r="A780" s="4" t="n"/>
      <c r="B780" s="4" t="n"/>
    </row>
    <row r="781" ht="15.75" customHeight="1" s="40">
      <c r="A781" s="4" t="n"/>
      <c r="B781" s="4" t="n"/>
    </row>
    <row r="782" ht="15.75" customHeight="1" s="40">
      <c r="A782" s="4" t="n"/>
      <c r="B782" s="4" t="n"/>
    </row>
    <row r="783" ht="15.75" customHeight="1" s="40">
      <c r="A783" s="4" t="n"/>
      <c r="B783" s="4" t="n"/>
    </row>
    <row r="784" ht="15.75" customHeight="1" s="40">
      <c r="A784" s="4" t="n"/>
      <c r="B784" s="4" t="n"/>
    </row>
    <row r="785" ht="15.75" customHeight="1" s="40">
      <c r="A785" s="4" t="n"/>
      <c r="B785" s="4" t="n"/>
    </row>
    <row r="786" ht="15.75" customHeight="1" s="40">
      <c r="A786" s="4" t="n"/>
      <c r="B786" s="4" t="n"/>
    </row>
    <row r="787" ht="15.75" customHeight="1" s="40">
      <c r="A787" s="4" t="n"/>
      <c r="B787" s="4" t="n"/>
    </row>
    <row r="788" ht="15.75" customHeight="1" s="40">
      <c r="A788" s="4" t="n"/>
      <c r="B788" s="4" t="n"/>
    </row>
    <row r="789" ht="15.75" customHeight="1" s="40">
      <c r="A789" s="4" t="n"/>
      <c r="B789" s="4" t="n"/>
    </row>
    <row r="790" ht="15.75" customHeight="1" s="40">
      <c r="A790" s="4" t="n"/>
      <c r="B790" s="4" t="n"/>
    </row>
    <row r="791" ht="15.75" customHeight="1" s="40">
      <c r="A791" s="4" t="n"/>
      <c r="B791" s="4" t="n"/>
    </row>
    <row r="792" ht="15.75" customHeight="1" s="40">
      <c r="A792" s="4" t="n"/>
      <c r="B792" s="4" t="n"/>
    </row>
    <row r="793" ht="15.75" customHeight="1" s="40">
      <c r="A793" s="4" t="n"/>
      <c r="B793" s="4" t="n"/>
    </row>
    <row r="794" ht="15.75" customHeight="1" s="40">
      <c r="A794" s="4" t="n"/>
      <c r="B794" s="4" t="n"/>
    </row>
    <row r="795" ht="15.75" customHeight="1" s="40">
      <c r="A795" s="4" t="n"/>
      <c r="B795" s="4" t="n"/>
    </row>
    <row r="796" ht="15.75" customHeight="1" s="40">
      <c r="A796" s="4" t="n"/>
      <c r="B796" s="4" t="n"/>
    </row>
    <row r="797" ht="15.75" customHeight="1" s="40">
      <c r="A797" s="4" t="n"/>
      <c r="B797" s="4" t="n"/>
    </row>
    <row r="798" ht="15.75" customHeight="1" s="40">
      <c r="A798" s="4" t="n"/>
      <c r="B798" s="4" t="n"/>
    </row>
    <row r="799" ht="15.75" customHeight="1" s="40">
      <c r="A799" s="4" t="n"/>
      <c r="B799" s="4" t="n"/>
    </row>
    <row r="800" ht="15.75" customHeight="1" s="40">
      <c r="A800" s="4" t="n"/>
      <c r="B800" s="4" t="n"/>
    </row>
    <row r="801" ht="15.75" customHeight="1" s="40">
      <c r="A801" s="4" t="n"/>
      <c r="B801" s="4" t="n"/>
    </row>
    <row r="802" ht="15.75" customHeight="1" s="40">
      <c r="A802" s="4" t="n"/>
      <c r="B802" s="4" t="n"/>
    </row>
    <row r="803" ht="15.75" customHeight="1" s="40">
      <c r="A803" s="4" t="n"/>
      <c r="B803" s="4" t="n"/>
    </row>
    <row r="804" ht="15.75" customHeight="1" s="40">
      <c r="A804" s="4" t="n"/>
      <c r="B804" s="4" t="n"/>
    </row>
    <row r="805" ht="15.75" customHeight="1" s="40">
      <c r="A805" s="4" t="n"/>
      <c r="B805" s="4" t="n"/>
    </row>
    <row r="806" ht="15.75" customHeight="1" s="40">
      <c r="A806" s="4" t="n"/>
      <c r="B806" s="4" t="n"/>
    </row>
    <row r="807" ht="15.75" customHeight="1" s="40">
      <c r="A807" s="4" t="n"/>
      <c r="B807" s="4" t="n"/>
    </row>
    <row r="808" ht="15.75" customHeight="1" s="40">
      <c r="A808" s="4" t="n"/>
      <c r="B808" s="4" t="n"/>
    </row>
    <row r="809" ht="15.75" customHeight="1" s="40">
      <c r="A809" s="4" t="n"/>
      <c r="B809" s="4" t="n"/>
    </row>
    <row r="810" ht="15.75" customHeight="1" s="40">
      <c r="A810" s="4" t="n"/>
      <c r="B810" s="4" t="n"/>
    </row>
    <row r="811" ht="15.75" customHeight="1" s="40">
      <c r="A811" s="4" t="n"/>
      <c r="B811" s="4" t="n"/>
    </row>
    <row r="812" ht="15.75" customHeight="1" s="40">
      <c r="A812" s="4" t="n"/>
      <c r="B812" s="4" t="n"/>
    </row>
    <row r="813" ht="15.75" customHeight="1" s="40">
      <c r="A813" s="4" t="n"/>
      <c r="B813" s="4" t="n"/>
    </row>
    <row r="814" ht="15.75" customHeight="1" s="40">
      <c r="A814" s="4" t="n"/>
      <c r="B814" s="4" t="n"/>
    </row>
    <row r="815" ht="15.75" customHeight="1" s="40">
      <c r="A815" s="4" t="n"/>
      <c r="B815" s="4" t="n"/>
    </row>
    <row r="816" ht="15.75" customHeight="1" s="40">
      <c r="A816" s="4" t="n"/>
      <c r="B816" s="4" t="n"/>
    </row>
    <row r="817" ht="15.75" customHeight="1" s="40">
      <c r="A817" s="4" t="n"/>
      <c r="B817" s="4" t="n"/>
    </row>
    <row r="818" ht="15.75" customHeight="1" s="40">
      <c r="A818" s="4" t="n"/>
      <c r="B818" s="4" t="n"/>
    </row>
    <row r="819" ht="15.75" customHeight="1" s="40">
      <c r="A819" s="4" t="n"/>
      <c r="B819" s="4" t="n"/>
    </row>
    <row r="820" ht="15.75" customHeight="1" s="40">
      <c r="A820" s="4" t="n"/>
      <c r="B820" s="4" t="n"/>
    </row>
    <row r="821" ht="15.75" customHeight="1" s="40">
      <c r="A821" s="4" t="n"/>
      <c r="B821" s="4" t="n"/>
    </row>
    <row r="822" ht="15.75" customHeight="1" s="40">
      <c r="A822" s="4" t="n"/>
      <c r="B822" s="4" t="n"/>
    </row>
    <row r="823" ht="15.75" customHeight="1" s="40">
      <c r="A823" s="4" t="n"/>
      <c r="B823" s="4" t="n"/>
    </row>
    <row r="824" ht="15.75" customHeight="1" s="40">
      <c r="A824" s="4" t="n"/>
      <c r="B824" s="4" t="n"/>
    </row>
    <row r="825" ht="15.75" customHeight="1" s="40">
      <c r="A825" s="4" t="n"/>
      <c r="B825" s="4" t="n"/>
    </row>
    <row r="826" ht="15.75" customHeight="1" s="40">
      <c r="A826" s="4" t="n"/>
      <c r="B826" s="4" t="n"/>
    </row>
    <row r="827" ht="15.75" customHeight="1" s="40">
      <c r="A827" s="4" t="n"/>
      <c r="B827" s="4" t="n"/>
    </row>
    <row r="828" ht="15.75" customHeight="1" s="40">
      <c r="A828" s="4" t="n"/>
      <c r="B828" s="4" t="n"/>
    </row>
    <row r="829" ht="15.75" customHeight="1" s="40">
      <c r="A829" s="4" t="n"/>
      <c r="B829" s="4" t="n"/>
    </row>
    <row r="830" ht="15.75" customHeight="1" s="40">
      <c r="A830" s="4" t="n"/>
      <c r="B830" s="4" t="n"/>
    </row>
    <row r="831" ht="15.75" customHeight="1" s="40">
      <c r="A831" s="4" t="n"/>
      <c r="B831" s="4" t="n"/>
    </row>
    <row r="832" ht="15.75" customHeight="1" s="40">
      <c r="A832" s="4" t="n"/>
      <c r="B832" s="4" t="n"/>
    </row>
    <row r="833" ht="15.75" customHeight="1" s="40">
      <c r="A833" s="4" t="n"/>
      <c r="B833" s="4" t="n"/>
    </row>
    <row r="834" ht="15.75" customHeight="1" s="40">
      <c r="A834" s="4" t="n"/>
      <c r="B834" s="4" t="n"/>
    </row>
    <row r="835" ht="15.75" customHeight="1" s="40">
      <c r="A835" s="4" t="n"/>
      <c r="B835" s="4" t="n"/>
    </row>
    <row r="836" ht="15.75" customHeight="1" s="40">
      <c r="A836" s="4" t="n"/>
      <c r="B836" s="4" t="n"/>
    </row>
    <row r="837" ht="15.75" customHeight="1" s="40">
      <c r="A837" s="4" t="n"/>
      <c r="B837" s="4" t="n"/>
    </row>
    <row r="838" ht="15.75" customHeight="1" s="40">
      <c r="A838" s="4" t="n"/>
      <c r="B838" s="4" t="n"/>
    </row>
    <row r="839" ht="15.75" customHeight="1" s="40">
      <c r="A839" s="4" t="n"/>
      <c r="B839" s="4" t="n"/>
    </row>
    <row r="840" ht="15.75" customHeight="1" s="40">
      <c r="A840" s="4" t="n"/>
      <c r="B840" s="4" t="n"/>
    </row>
    <row r="841" ht="15.75" customHeight="1" s="40">
      <c r="A841" s="4" t="n"/>
      <c r="B841" s="4" t="n"/>
    </row>
    <row r="842" ht="15.75" customHeight="1" s="40">
      <c r="A842" s="4" t="n"/>
      <c r="B842" s="4" t="n"/>
    </row>
    <row r="843" ht="15.75" customHeight="1" s="40">
      <c r="A843" s="4" t="n"/>
      <c r="B843" s="4" t="n"/>
    </row>
    <row r="844" ht="15.75" customHeight="1" s="40">
      <c r="A844" s="4" t="n"/>
      <c r="B844" s="4" t="n"/>
    </row>
    <row r="845" ht="15.75" customHeight="1" s="40">
      <c r="A845" s="4" t="n"/>
      <c r="B845" s="4" t="n"/>
    </row>
    <row r="846" ht="15.75" customHeight="1" s="40">
      <c r="A846" s="4" t="n"/>
      <c r="B846" s="4" t="n"/>
    </row>
    <row r="847" ht="15.75" customHeight="1" s="40">
      <c r="A847" s="4" t="n"/>
      <c r="B847" s="4" t="n"/>
    </row>
    <row r="848" ht="15.75" customHeight="1" s="40">
      <c r="A848" s="4" t="n"/>
      <c r="B848" s="4" t="n"/>
    </row>
    <row r="849" ht="15.75" customHeight="1" s="40">
      <c r="A849" s="4" t="n"/>
      <c r="B849" s="4" t="n"/>
    </row>
    <row r="850" ht="15.75" customHeight="1" s="40">
      <c r="A850" s="4" t="n"/>
      <c r="B850" s="4" t="n"/>
    </row>
    <row r="851" ht="15.75" customHeight="1" s="40">
      <c r="A851" s="4" t="n"/>
      <c r="B851" s="4" t="n"/>
    </row>
    <row r="852" ht="15.75" customHeight="1" s="40">
      <c r="A852" s="4" t="n"/>
      <c r="B852" s="4" t="n"/>
    </row>
    <row r="853" ht="15.75" customHeight="1" s="40">
      <c r="A853" s="4" t="n"/>
      <c r="B853" s="4" t="n"/>
    </row>
    <row r="854" ht="15.75" customHeight="1" s="40">
      <c r="A854" s="4" t="n"/>
      <c r="B854" s="4" t="n"/>
    </row>
    <row r="855" ht="15.75" customHeight="1" s="40">
      <c r="A855" s="4" t="n"/>
      <c r="B855" s="4" t="n"/>
    </row>
    <row r="856" ht="15.75" customHeight="1" s="40">
      <c r="A856" s="4" t="n"/>
      <c r="B856" s="4" t="n"/>
    </row>
    <row r="857" ht="15.75" customHeight="1" s="40">
      <c r="A857" s="4" t="n"/>
      <c r="B857" s="4" t="n"/>
    </row>
    <row r="858" ht="15.75" customHeight="1" s="40">
      <c r="A858" s="4" t="n"/>
      <c r="B858" s="4" t="n"/>
    </row>
    <row r="859" ht="15.75" customHeight="1" s="40">
      <c r="A859" s="4" t="n"/>
      <c r="B859" s="4" t="n"/>
    </row>
    <row r="860" ht="15.75" customHeight="1" s="40">
      <c r="A860" s="4" t="n"/>
      <c r="B860" s="4" t="n"/>
    </row>
    <row r="861" ht="15.75" customHeight="1" s="40">
      <c r="A861" s="4" t="n"/>
      <c r="B861" s="4" t="n"/>
    </row>
    <row r="862" ht="15.75" customHeight="1" s="40">
      <c r="A862" s="4" t="n"/>
      <c r="B862" s="4" t="n"/>
    </row>
    <row r="863" ht="15.75" customHeight="1" s="40">
      <c r="A863" s="4" t="n"/>
      <c r="B863" s="4" t="n"/>
    </row>
    <row r="864" ht="15.75" customHeight="1" s="40">
      <c r="A864" s="4" t="n"/>
      <c r="B864" s="4" t="n"/>
    </row>
    <row r="865" ht="15.75" customHeight="1" s="40">
      <c r="A865" s="4" t="n"/>
      <c r="B865" s="4" t="n"/>
    </row>
    <row r="866" ht="15.75" customHeight="1" s="40">
      <c r="A866" s="4" t="n"/>
      <c r="B866" s="4" t="n"/>
    </row>
    <row r="867" ht="15.75" customHeight="1" s="40">
      <c r="A867" s="4" t="n"/>
      <c r="B867" s="4" t="n"/>
    </row>
    <row r="868" ht="15.75" customHeight="1" s="40">
      <c r="A868" s="4" t="n"/>
      <c r="B868" s="4" t="n"/>
    </row>
    <row r="869" ht="15.75" customHeight="1" s="40">
      <c r="A869" s="4" t="n"/>
      <c r="B869" s="4" t="n"/>
    </row>
    <row r="870" ht="15.75" customHeight="1" s="40">
      <c r="A870" s="4" t="n"/>
      <c r="B870" s="4" t="n"/>
    </row>
    <row r="871" ht="15.75" customHeight="1" s="40">
      <c r="A871" s="4" t="n"/>
      <c r="B871" s="4" t="n"/>
    </row>
    <row r="872" ht="15.75" customHeight="1" s="40">
      <c r="A872" s="4" t="n"/>
      <c r="B872" s="4" t="n"/>
    </row>
    <row r="873" ht="15.75" customHeight="1" s="40">
      <c r="A873" s="4" t="n"/>
      <c r="B873" s="4" t="n"/>
    </row>
    <row r="874" ht="15.75" customHeight="1" s="40">
      <c r="A874" s="4" t="n"/>
      <c r="B874" s="4" t="n"/>
    </row>
    <row r="875" ht="15.75" customHeight="1" s="40">
      <c r="A875" s="4" t="n"/>
      <c r="B875" s="4" t="n"/>
    </row>
    <row r="876" ht="15.75" customHeight="1" s="40">
      <c r="A876" s="4" t="n"/>
      <c r="B876" s="4" t="n"/>
    </row>
    <row r="877" ht="15.75" customHeight="1" s="40">
      <c r="A877" s="4" t="n"/>
      <c r="B877" s="4" t="n"/>
    </row>
    <row r="878" ht="15.75" customHeight="1" s="40">
      <c r="A878" s="4" t="n"/>
      <c r="B878" s="4" t="n"/>
    </row>
    <row r="879" ht="15.75" customHeight="1" s="40">
      <c r="A879" s="4" t="n"/>
      <c r="B879" s="4" t="n"/>
    </row>
    <row r="880" ht="15.75" customHeight="1" s="40">
      <c r="A880" s="4" t="n"/>
      <c r="B880" s="4" t="n"/>
    </row>
    <row r="881" ht="15.75" customHeight="1" s="40">
      <c r="A881" s="4" t="n"/>
      <c r="B881" s="4" t="n"/>
    </row>
    <row r="882" ht="15.75" customHeight="1" s="40">
      <c r="A882" s="4" t="n"/>
      <c r="B882" s="4" t="n"/>
    </row>
    <row r="883" ht="15.75" customHeight="1" s="40">
      <c r="A883" s="4" t="n"/>
      <c r="B883" s="4" t="n"/>
    </row>
    <row r="884" ht="15.75" customHeight="1" s="40">
      <c r="A884" s="4" t="n"/>
      <c r="B884" s="4" t="n"/>
    </row>
    <row r="885" ht="15.75" customHeight="1" s="40">
      <c r="A885" s="4" t="n"/>
      <c r="B885" s="4" t="n"/>
    </row>
    <row r="886" ht="15.75" customHeight="1" s="40">
      <c r="A886" s="4" t="n"/>
      <c r="B886" s="4" t="n"/>
    </row>
    <row r="887" ht="15.75" customHeight="1" s="40">
      <c r="A887" s="4" t="n"/>
      <c r="B887" s="4" t="n"/>
    </row>
    <row r="888" ht="15.75" customHeight="1" s="40">
      <c r="A888" s="4" t="n"/>
      <c r="B888" s="4" t="n"/>
    </row>
    <row r="889" ht="15.75" customHeight="1" s="40">
      <c r="A889" s="4" t="n"/>
      <c r="B889" s="4" t="n"/>
    </row>
    <row r="890" ht="15.75" customHeight="1" s="40">
      <c r="A890" s="4" t="n"/>
      <c r="B890" s="4" t="n"/>
    </row>
    <row r="891" ht="15.75" customHeight="1" s="40">
      <c r="A891" s="4" t="n"/>
      <c r="B891" s="4" t="n"/>
    </row>
    <row r="892" ht="15.75" customHeight="1" s="40">
      <c r="A892" s="4" t="n"/>
      <c r="B892" s="4" t="n"/>
    </row>
    <row r="893" ht="15.75" customHeight="1" s="40">
      <c r="A893" s="4" t="n"/>
      <c r="B893" s="4" t="n"/>
    </row>
    <row r="894" ht="15.75" customHeight="1" s="40">
      <c r="A894" s="4" t="n"/>
      <c r="B894" s="4" t="n"/>
    </row>
    <row r="895" ht="15.75" customHeight="1" s="40">
      <c r="A895" s="4" t="n"/>
      <c r="B895" s="4" t="n"/>
    </row>
    <row r="896" ht="15.75" customHeight="1" s="40">
      <c r="A896" s="4" t="n"/>
      <c r="B896" s="4" t="n"/>
    </row>
    <row r="897" ht="15.75" customHeight="1" s="40">
      <c r="A897" s="4" t="n"/>
      <c r="B897" s="4" t="n"/>
    </row>
    <row r="898" ht="15.75" customHeight="1" s="40">
      <c r="A898" s="4" t="n"/>
      <c r="B898" s="4" t="n"/>
    </row>
    <row r="899" ht="15.75" customHeight="1" s="40">
      <c r="A899" s="4" t="n"/>
      <c r="B899" s="4" t="n"/>
    </row>
    <row r="900" ht="15.75" customHeight="1" s="40">
      <c r="A900" s="4" t="n"/>
      <c r="B900" s="4" t="n"/>
    </row>
    <row r="901" ht="15.75" customHeight="1" s="40">
      <c r="A901" s="4" t="n"/>
      <c r="B901" s="4" t="n"/>
    </row>
    <row r="902" ht="15.75" customHeight="1" s="40">
      <c r="A902" s="4" t="n"/>
      <c r="B902" s="4" t="n"/>
    </row>
    <row r="903" ht="15.75" customHeight="1" s="40">
      <c r="A903" s="4" t="n"/>
      <c r="B903" s="4" t="n"/>
    </row>
    <row r="904" ht="15.75" customHeight="1" s="40">
      <c r="A904" s="4" t="n"/>
      <c r="B904" s="4" t="n"/>
    </row>
    <row r="905" ht="15.75" customHeight="1" s="40">
      <c r="A905" s="4" t="n"/>
      <c r="B905" s="4" t="n"/>
    </row>
    <row r="906" ht="15.75" customHeight="1" s="40">
      <c r="A906" s="4" t="n"/>
      <c r="B906" s="4" t="n"/>
    </row>
    <row r="907" ht="15.75" customHeight="1" s="40">
      <c r="A907" s="4" t="n"/>
      <c r="B907" s="4" t="n"/>
    </row>
    <row r="908" ht="15.75" customHeight="1" s="40">
      <c r="A908" s="4" t="n"/>
      <c r="B908" s="4" t="n"/>
    </row>
    <row r="909" ht="15.75" customHeight="1" s="40">
      <c r="A909" s="4" t="n"/>
      <c r="B909" s="4" t="n"/>
    </row>
    <row r="910" ht="15.75" customHeight="1" s="40">
      <c r="A910" s="4" t="n"/>
      <c r="B910" s="4" t="n"/>
    </row>
    <row r="911" ht="15.75" customHeight="1" s="40">
      <c r="A911" s="4" t="n"/>
      <c r="B911" s="4" t="n"/>
    </row>
    <row r="912" ht="15.75" customHeight="1" s="40">
      <c r="A912" s="4" t="n"/>
      <c r="B912" s="4" t="n"/>
    </row>
    <row r="913" ht="15.75" customHeight="1" s="40">
      <c r="A913" s="4" t="n"/>
      <c r="B913" s="4" t="n"/>
    </row>
    <row r="914" ht="15.75" customHeight="1" s="40">
      <c r="A914" s="4" t="n"/>
      <c r="B914" s="4" t="n"/>
    </row>
    <row r="915" ht="15.75" customHeight="1" s="40">
      <c r="A915" s="4" t="n"/>
      <c r="B915" s="4" t="n"/>
    </row>
    <row r="916" ht="15.75" customHeight="1" s="40">
      <c r="A916" s="4" t="n"/>
      <c r="B916" s="4" t="n"/>
    </row>
    <row r="917" ht="15.75" customHeight="1" s="40">
      <c r="A917" s="4" t="n"/>
      <c r="B917" s="4" t="n"/>
    </row>
    <row r="918" ht="15.75" customHeight="1" s="40">
      <c r="A918" s="4" t="n"/>
      <c r="B918" s="4" t="n"/>
    </row>
    <row r="919" ht="15.75" customHeight="1" s="40">
      <c r="A919" s="4" t="n"/>
      <c r="B919" s="4" t="n"/>
    </row>
    <row r="920" ht="15.75" customHeight="1" s="40">
      <c r="A920" s="4" t="n"/>
      <c r="B920" s="4" t="n"/>
    </row>
    <row r="921" ht="15.75" customHeight="1" s="40">
      <c r="A921" s="4" t="n"/>
      <c r="B921" s="4" t="n"/>
    </row>
    <row r="922" ht="15.75" customHeight="1" s="40">
      <c r="A922" s="4" t="n"/>
      <c r="B922" s="4" t="n"/>
    </row>
    <row r="923" ht="15.75" customHeight="1" s="40">
      <c r="A923" s="4" t="n"/>
      <c r="B923" s="4" t="n"/>
    </row>
    <row r="924" ht="15.75" customHeight="1" s="40">
      <c r="A924" s="4" t="n"/>
      <c r="B924" s="4" t="n"/>
    </row>
    <row r="925" ht="15.75" customHeight="1" s="40">
      <c r="A925" s="4" t="n"/>
      <c r="B925" s="4" t="n"/>
    </row>
    <row r="926" ht="15.75" customHeight="1" s="40">
      <c r="A926" s="4" t="n"/>
      <c r="B926" s="4" t="n"/>
    </row>
    <row r="927" ht="15.75" customHeight="1" s="40">
      <c r="A927" s="4" t="n"/>
      <c r="B927" s="4" t="n"/>
    </row>
    <row r="928" ht="15.75" customHeight="1" s="40">
      <c r="A928" s="4" t="n"/>
      <c r="B928" s="4" t="n"/>
    </row>
    <row r="929" ht="15.75" customHeight="1" s="40">
      <c r="A929" s="4" t="n"/>
      <c r="B929" s="4" t="n"/>
    </row>
    <row r="930" ht="15.75" customHeight="1" s="40">
      <c r="A930" s="4" t="n"/>
      <c r="B930" s="4" t="n"/>
    </row>
    <row r="931" ht="15.75" customHeight="1" s="40">
      <c r="A931" s="4" t="n"/>
      <c r="B931" s="4" t="n"/>
    </row>
    <row r="932" ht="15.75" customHeight="1" s="40">
      <c r="A932" s="4" t="n"/>
      <c r="B932" s="4" t="n"/>
    </row>
    <row r="933" ht="15.75" customHeight="1" s="40">
      <c r="A933" s="4" t="n"/>
      <c r="B933" s="4" t="n"/>
    </row>
    <row r="934" ht="15.75" customHeight="1" s="40">
      <c r="A934" s="4" t="n"/>
      <c r="B934" s="4" t="n"/>
    </row>
    <row r="935" ht="15.75" customHeight="1" s="40">
      <c r="A935" s="4" t="n"/>
      <c r="B935" s="4" t="n"/>
    </row>
    <row r="936" ht="15.75" customHeight="1" s="40">
      <c r="A936" s="4" t="n"/>
      <c r="B936" s="4" t="n"/>
    </row>
    <row r="937" ht="15.75" customHeight="1" s="40">
      <c r="A937" s="4" t="n"/>
      <c r="B937" s="4" t="n"/>
    </row>
    <row r="938" ht="15.75" customHeight="1" s="40">
      <c r="A938" s="4" t="n"/>
      <c r="B938" s="4" t="n"/>
    </row>
    <row r="939" ht="15.75" customHeight="1" s="40">
      <c r="A939" s="4" t="n"/>
      <c r="B939" s="4" t="n"/>
    </row>
    <row r="940" ht="15.75" customHeight="1" s="40">
      <c r="A940" s="4" t="n"/>
      <c r="B940" s="4" t="n"/>
    </row>
    <row r="941" ht="15.75" customHeight="1" s="40">
      <c r="A941" s="4" t="n"/>
      <c r="B941" s="4" t="n"/>
    </row>
    <row r="942" ht="15.75" customHeight="1" s="40">
      <c r="A942" s="4" t="n"/>
      <c r="B942" s="4" t="n"/>
    </row>
    <row r="943" ht="15.75" customHeight="1" s="40">
      <c r="A943" s="4" t="n"/>
      <c r="B943" s="4" t="n"/>
    </row>
    <row r="944" ht="15.75" customHeight="1" s="40">
      <c r="A944" s="4" t="n"/>
      <c r="B944" s="4" t="n"/>
    </row>
    <row r="945" ht="15.75" customHeight="1" s="40">
      <c r="A945" s="4" t="n"/>
      <c r="B945" s="4" t="n"/>
    </row>
    <row r="946" ht="15.75" customHeight="1" s="40">
      <c r="A946" s="4" t="n"/>
      <c r="B946" s="4" t="n"/>
    </row>
    <row r="947" ht="15.75" customHeight="1" s="40">
      <c r="A947" s="4" t="n"/>
      <c r="B947" s="4" t="n"/>
    </row>
    <row r="948" ht="15.75" customHeight="1" s="40">
      <c r="A948" s="4" t="n"/>
      <c r="B948" s="4" t="n"/>
    </row>
    <row r="949" ht="15.75" customHeight="1" s="40">
      <c r="A949" s="4" t="n"/>
      <c r="B949" s="4" t="n"/>
    </row>
    <row r="950" ht="15.75" customHeight="1" s="40">
      <c r="A950" s="4" t="n"/>
      <c r="B950" s="4" t="n"/>
    </row>
    <row r="951" ht="15.75" customHeight="1" s="40">
      <c r="A951" s="4" t="n"/>
      <c r="B951" s="4" t="n"/>
    </row>
    <row r="952" ht="15.75" customHeight="1" s="40">
      <c r="A952" s="4" t="n"/>
      <c r="B952" s="4" t="n"/>
    </row>
    <row r="953" ht="15.75" customHeight="1" s="40">
      <c r="A953" s="4" t="n"/>
      <c r="B953" s="4" t="n"/>
    </row>
    <row r="954" ht="15.75" customHeight="1" s="40">
      <c r="A954" s="4" t="n"/>
      <c r="B954" s="4" t="n"/>
    </row>
    <row r="955" ht="15.75" customHeight="1" s="40">
      <c r="A955" s="4" t="n"/>
      <c r="B955" s="4" t="n"/>
    </row>
    <row r="956" ht="15.75" customHeight="1" s="40">
      <c r="A956" s="4" t="n"/>
      <c r="B956" s="4" t="n"/>
    </row>
    <row r="957" ht="15.75" customHeight="1" s="40">
      <c r="A957" s="4" t="n"/>
      <c r="B957" s="4" t="n"/>
    </row>
    <row r="958" ht="15.75" customHeight="1" s="40">
      <c r="A958" s="4" t="n"/>
      <c r="B958" s="4" t="n"/>
    </row>
    <row r="959" ht="15.75" customHeight="1" s="40">
      <c r="A959" s="4" t="n"/>
      <c r="B959" s="4" t="n"/>
    </row>
    <row r="960" ht="15.75" customHeight="1" s="40">
      <c r="A960" s="4" t="n"/>
      <c r="B960" s="4" t="n"/>
    </row>
    <row r="961" ht="15.75" customHeight="1" s="40">
      <c r="A961" s="4" t="n"/>
      <c r="B961" s="4" t="n"/>
    </row>
    <row r="962" ht="15.75" customHeight="1" s="40">
      <c r="A962" s="4" t="n"/>
      <c r="B962" s="4" t="n"/>
    </row>
    <row r="963" ht="15.75" customHeight="1" s="40">
      <c r="A963" s="4" t="n"/>
      <c r="B963" s="4" t="n"/>
    </row>
    <row r="964" ht="15.75" customHeight="1" s="40">
      <c r="A964" s="4" t="n"/>
      <c r="B964" s="4" t="n"/>
    </row>
    <row r="965" ht="15.75" customHeight="1" s="40">
      <c r="A965" s="4" t="n"/>
      <c r="B965" s="4" t="n"/>
    </row>
    <row r="966" ht="15.75" customHeight="1" s="40">
      <c r="A966" s="4" t="n"/>
      <c r="B966" s="4" t="n"/>
    </row>
    <row r="967" ht="15.75" customHeight="1" s="40">
      <c r="A967" s="4" t="n"/>
      <c r="B967" s="4" t="n"/>
    </row>
    <row r="968" ht="15.75" customHeight="1" s="40">
      <c r="A968" s="4" t="n"/>
      <c r="B968" s="4" t="n"/>
    </row>
    <row r="969" ht="15.75" customHeight="1" s="40">
      <c r="A969" s="4" t="n"/>
      <c r="B969" s="4" t="n"/>
    </row>
    <row r="970" ht="15.75" customHeight="1" s="40">
      <c r="A970" s="4" t="n"/>
      <c r="B970" s="4" t="n"/>
    </row>
    <row r="971" ht="15.75" customHeight="1" s="40">
      <c r="A971" s="4" t="n"/>
      <c r="B971" s="4" t="n"/>
    </row>
    <row r="972" ht="15.75" customHeight="1" s="40">
      <c r="A972" s="4" t="n"/>
      <c r="B972" s="4" t="n"/>
    </row>
    <row r="973" ht="15.75" customHeight="1" s="40">
      <c r="A973" s="4" t="n"/>
      <c r="B973" s="4" t="n"/>
    </row>
    <row r="974" ht="15.75" customHeight="1" s="40">
      <c r="A974" s="4" t="n"/>
      <c r="B974" s="4" t="n"/>
    </row>
    <row r="975" ht="15.75" customHeight="1" s="40">
      <c r="A975" s="4" t="n"/>
      <c r="B975" s="4" t="n"/>
    </row>
    <row r="976" ht="15.75" customHeight="1" s="40">
      <c r="A976" s="4" t="n"/>
      <c r="B976" s="4" t="n"/>
    </row>
    <row r="977" ht="15.75" customHeight="1" s="40">
      <c r="A977" s="4" t="n"/>
      <c r="B977" s="4" t="n"/>
    </row>
    <row r="978" ht="15.75" customHeight="1" s="40">
      <c r="A978" s="4" t="n"/>
      <c r="B978" s="4" t="n"/>
    </row>
    <row r="979" ht="15.75" customHeight="1" s="40">
      <c r="A979" s="4" t="n"/>
      <c r="B979" s="4" t="n"/>
    </row>
    <row r="980" ht="15.75" customHeight="1" s="40">
      <c r="A980" s="4" t="n"/>
      <c r="B980" s="4" t="n"/>
    </row>
    <row r="981" ht="15.75" customHeight="1" s="40">
      <c r="A981" s="4" t="n"/>
      <c r="B981" s="4" t="n"/>
    </row>
    <row r="982" ht="15.75" customHeight="1" s="40">
      <c r="A982" s="4" t="n"/>
      <c r="B982" s="4" t="n"/>
    </row>
    <row r="983" ht="15.75" customHeight="1" s="40">
      <c r="A983" s="4" t="n"/>
      <c r="B983" s="4" t="n"/>
    </row>
    <row r="984" ht="15.75" customHeight="1" s="40">
      <c r="A984" s="4" t="n"/>
      <c r="B984" s="4" t="n"/>
    </row>
    <row r="985" ht="15.75" customHeight="1" s="40">
      <c r="A985" s="4" t="n"/>
      <c r="B985" s="4" t="n"/>
    </row>
    <row r="986" ht="15.75" customHeight="1" s="40">
      <c r="A986" s="4" t="n"/>
      <c r="B986" s="4" t="n"/>
    </row>
    <row r="987" ht="15.75" customHeight="1" s="40">
      <c r="A987" s="4" t="n"/>
      <c r="B987" s="4" t="n"/>
    </row>
    <row r="988" ht="15.75" customHeight="1" s="40">
      <c r="A988" s="4" t="n"/>
      <c r="B988" s="4" t="n"/>
    </row>
    <row r="989" ht="15.75" customHeight="1" s="40">
      <c r="A989" s="4" t="n"/>
      <c r="B989" s="4" t="n"/>
    </row>
    <row r="990" ht="15.75" customHeight="1" s="40">
      <c r="A990" s="4" t="n"/>
      <c r="B990" s="4" t="n"/>
    </row>
    <row r="991" ht="15.75" customHeight="1" s="40">
      <c r="A991" s="4" t="n"/>
      <c r="B991" s="4" t="n"/>
    </row>
    <row r="992" ht="15.75" customHeight="1" s="40">
      <c r="A992" s="4" t="n"/>
      <c r="B992" s="4" t="n"/>
    </row>
    <row r="993" ht="15.75" customHeight="1" s="40">
      <c r="A993" s="4" t="n"/>
      <c r="B993" s="4" t="n"/>
    </row>
    <row r="994" ht="15.75" customHeight="1" s="40">
      <c r="A994" s="4" t="n"/>
      <c r="B994" s="4" t="n"/>
    </row>
    <row r="995" ht="15.75" customHeight="1" s="40">
      <c r="A995" s="4" t="n"/>
      <c r="B995" s="4" t="n"/>
    </row>
    <row r="996" ht="15.75" customHeight="1" s="40">
      <c r="A996" s="4" t="n"/>
      <c r="B996" s="4" t="n"/>
    </row>
    <row r="997" ht="15.75" customHeight="1" s="40">
      <c r="A997" s="4" t="n"/>
      <c r="B997" s="4" t="n"/>
    </row>
    <row r="998" ht="15.75" customHeight="1" s="40">
      <c r="A998" s="4" t="n"/>
      <c r="B998" s="4" t="n"/>
    </row>
    <row r="999" ht="15.75" customHeight="1" s="40">
      <c r="A999" s="4" t="n"/>
      <c r="B999" s="4" t="n"/>
    </row>
    <row r="1000" ht="15.75" customHeight="1" s="40">
      <c r="A1000" s="4" t="n"/>
      <c r="B1000" s="4" t="n"/>
    </row>
  </sheetData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4" customWidth="1" style="40" min="1" max="1"/>
    <col width="44" customWidth="1" style="40" min="2" max="2"/>
    <col width="26" customWidth="1" style="40" min="3" max="3"/>
    <col width="11" customWidth="1" style="40" min="4" max="4"/>
    <col width="16" customWidth="1" style="40" min="5" max="5"/>
    <col width="20" customWidth="1" style="40" min="6" max="6"/>
    <col width="48" customWidth="1" style="40" min="7" max="7"/>
    <col width="18" customWidth="1" style="40" min="8" max="8"/>
    <col width="12" customWidth="1" style="40" min="9" max="9"/>
    <col width="8.710000000000001" customWidth="1" style="40" min="10" max="26"/>
  </cols>
  <sheetData>
    <row r="1" ht="17.25" customHeight="1" s="40">
      <c r="A1" s="1" t="inlineStr">
        <is>
          <t>Layer 3 —— 总账（GL）映射模板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 ht="15" customHeight="1" s="40">
      <c r="A2" s="9" t="inlineStr">
        <is>
          <t>第 5 行是格式示例，请替换。规则 A1–A6：映射无法解析时应「拒绝记账」，绝不可挂账到暂记科目。关卡 G1 在覆盖率达到 100% 之前阻断投产。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 ht="30" customHeight="1" s="40">
      <c r="A4" s="12" t="inlineStr">
        <is>
          <t>entity 法人机构（填写）</t>
        </is>
      </c>
      <c r="B4" s="12" t="inlineStr">
        <is>
          <t>balance_type（余额类型）</t>
        </is>
      </c>
      <c r="C4" s="12" t="inlineStr">
        <is>
          <t>balance_class（账簿分类）</t>
        </is>
      </c>
      <c r="D4" s="12" t="inlineStr">
        <is>
          <t>ccy 币种（填写）</t>
        </is>
      </c>
      <c r="E4" s="12" t="inlineStr">
        <is>
          <t>product 产品（填写）</t>
        </is>
      </c>
      <c r="F4" s="12" t="inlineStr">
        <is>
          <t>gl_account 总账科目（填写）</t>
        </is>
      </c>
      <c r="G4" s="12" t="inlineStr">
        <is>
          <t>gl_name 科目名称（填写）</t>
        </is>
      </c>
      <c r="H4" s="12" t="inlineStr">
        <is>
          <t>effective_from 生效日（填写）</t>
        </is>
      </c>
      <c r="I4" s="10" t="inlineStr">
        <is>
          <t>是否已映射</t>
        </is>
      </c>
    </row>
    <row r="5" ht="15" customHeight="1" s="40">
      <c r="A5" s="34" t="inlineStr">
        <is>
          <t>HK01</t>
        </is>
      </c>
      <c r="B5" s="19" t="inlineStr">
        <is>
          <t>LC_OUTSTANDING</t>
        </is>
      </c>
      <c r="C5" s="19" t="inlineStr">
        <is>
          <t>CONTINGENT</t>
        </is>
      </c>
      <c r="D5" s="34" t="inlineStr">
        <is>
          <t>USD</t>
        </is>
      </c>
      <c r="E5" s="34" t="inlineStr">
        <is>
          <t>IMPORT_LC</t>
        </is>
      </c>
      <c r="F5" s="34" t="inlineStr">
        <is>
          <t>991010</t>
        </is>
      </c>
      <c r="G5" s="35" t="inlineStr">
        <is>
          <t>Documentary Credits Outstanding — Sight</t>
        </is>
      </c>
      <c r="H5" s="34" t="inlineStr">
        <is>
          <t>2026-01-01</t>
        </is>
      </c>
      <c r="I5" s="29">
        <f>IF(COUNTBLANK($A5:$H5)=0,"OK","INCOMPLETE")</f>
        <v/>
      </c>
    </row>
    <row r="6" ht="15" customHeight="1" s="40">
      <c r="A6" s="16" t="n"/>
      <c r="B6" s="14" t="inlineStr">
        <is>
          <t>LC_CUSTOMER_LIABILITY</t>
        </is>
      </c>
      <c r="C6" s="14" t="inlineStr">
        <is>
          <t>CONTINGENT</t>
        </is>
      </c>
      <c r="D6" s="16" t="n"/>
      <c r="E6" s="16" t="n"/>
      <c r="F6" s="16" t="n"/>
      <c r="G6" s="36" t="n"/>
      <c r="H6" s="16" t="n"/>
      <c r="I6" s="25">
        <f>IF(COUNTBLANK($A6:$H6)=0,"OK","INCOMPLETE")</f>
        <v/>
      </c>
    </row>
    <row r="7" ht="15" customHeight="1" s="40">
      <c r="A7" s="16" t="n"/>
      <c r="B7" s="19" t="inlineStr">
        <is>
          <t>SG_CUSTOMER_LIABILITY</t>
        </is>
      </c>
      <c r="C7" s="19" t="inlineStr">
        <is>
          <t>CONTINGENT</t>
        </is>
      </c>
      <c r="D7" s="16" t="n"/>
      <c r="E7" s="16" t="n"/>
      <c r="F7" s="16" t="n"/>
      <c r="G7" s="36" t="n"/>
      <c r="H7" s="16" t="n"/>
      <c r="I7" s="29">
        <f>IF(COUNTBLANK($A7:$H7)=0,"OK","INCOMPLETE")</f>
        <v/>
      </c>
    </row>
    <row r="8" ht="15" customHeight="1" s="40">
      <c r="A8" s="16" t="n"/>
      <c r="B8" s="14" t="inlineStr">
        <is>
          <t>SG_OUTSTANDING</t>
        </is>
      </c>
      <c r="C8" s="14" t="inlineStr">
        <is>
          <t>CONTINGENT</t>
        </is>
      </c>
      <c r="D8" s="16" t="n"/>
      <c r="E8" s="16" t="n"/>
      <c r="F8" s="16" t="n"/>
      <c r="G8" s="36" t="n"/>
      <c r="H8" s="16" t="n"/>
      <c r="I8" s="25">
        <f>IF(COUNTBLANK($A8:$H8)=0,"OK","INCOMPLETE")</f>
        <v/>
      </c>
    </row>
    <row r="9" ht="15" customHeight="1" s="40">
      <c r="A9" s="16" t="n"/>
      <c r="B9" s="19" t="inlineStr">
        <is>
          <t>CONFIRMATION_EXPOSURE</t>
        </is>
      </c>
      <c r="C9" s="19" t="inlineStr">
        <is>
          <t>CONTINGENT</t>
        </is>
      </c>
      <c r="D9" s="16" t="n"/>
      <c r="E9" s="16" t="n"/>
      <c r="F9" s="16" t="n"/>
      <c r="G9" s="36" t="n"/>
      <c r="H9" s="16" t="n"/>
      <c r="I9" s="29">
        <f>IF(COUNTBLANK($A9:$H9)=0,"OK","INCOMPLETE")</f>
        <v/>
      </c>
    </row>
    <row r="10" ht="15" customHeight="1" s="40">
      <c r="A10" s="16" t="n"/>
      <c r="B10" s="14" t="inlineStr">
        <is>
          <t>CONFIRMATION_OUTSTANDING</t>
        </is>
      </c>
      <c r="C10" s="14" t="inlineStr">
        <is>
          <t>CONTINGENT</t>
        </is>
      </c>
      <c r="D10" s="16" t="n"/>
      <c r="E10" s="16" t="n"/>
      <c r="F10" s="16" t="n"/>
      <c r="G10" s="36" t="n"/>
      <c r="H10" s="16" t="n"/>
      <c r="I10" s="25">
        <f>IF(COUNTBLANK($A10:$H10)=0,"OK","INCOMPLETE")</f>
        <v/>
      </c>
    </row>
    <row r="11" ht="15" customHeight="1" s="40">
      <c r="A11" s="16" t="n"/>
      <c r="B11" s="19" t="inlineStr">
        <is>
          <t>REIMB_UNDERTAKING_EXPOSURE</t>
        </is>
      </c>
      <c r="C11" s="19" t="inlineStr">
        <is>
          <t>CONTINGENT</t>
        </is>
      </c>
      <c r="D11" s="16" t="n"/>
      <c r="E11" s="16" t="n"/>
      <c r="F11" s="16" t="n"/>
      <c r="G11" s="36" t="n"/>
      <c r="H11" s="16" t="n"/>
      <c r="I11" s="29">
        <f>IF(COUNTBLANK($A11:$H11)=0,"OK","INCOMPLETE")</f>
        <v/>
      </c>
    </row>
    <row r="12" ht="15" customHeight="1" s="40">
      <c r="A12" s="16" t="n"/>
      <c r="B12" s="14" t="inlineStr">
        <is>
          <t>REIMB_UNDERTAKING_OUTSTANDING</t>
        </is>
      </c>
      <c r="C12" s="14" t="inlineStr">
        <is>
          <t>CONTINGENT</t>
        </is>
      </c>
      <c r="D12" s="16" t="n"/>
      <c r="E12" s="16" t="n"/>
      <c r="F12" s="16" t="n"/>
      <c r="G12" s="36" t="n"/>
      <c r="H12" s="16" t="n"/>
      <c r="I12" s="25">
        <f>IF(COUNTBLANK($A12:$H12)=0,"OK","INCOMPLETE")</f>
        <v/>
      </c>
    </row>
    <row r="13" ht="15" customHeight="1" s="40">
      <c r="A13" s="16" t="n"/>
      <c r="B13" s="19" t="inlineStr">
        <is>
          <t>IMPORT_BILLS_RECEIVABLE</t>
        </is>
      </c>
      <c r="C13" s="19" t="inlineStr">
        <is>
          <t>ON_BALANCE_ASSET</t>
        </is>
      </c>
      <c r="D13" s="16" t="n"/>
      <c r="E13" s="16" t="n"/>
      <c r="F13" s="16" t="n"/>
      <c r="G13" s="36" t="n"/>
      <c r="H13" s="16" t="n"/>
      <c r="I13" s="29">
        <f>IF(COUNTBLANK($A13:$H13)=0,"OK","INCOMPLETE")</f>
        <v/>
      </c>
    </row>
    <row r="14" ht="15" customHeight="1" s="40">
      <c r="A14" s="16" t="n"/>
      <c r="B14" s="14" t="inlineStr">
        <is>
          <t>ACCEPTANCE_REIMB_RECEIVABLE_APPLICANT</t>
        </is>
      </c>
      <c r="C14" s="14" t="inlineStr">
        <is>
          <t>ON_BALANCE_ASSET</t>
        </is>
      </c>
      <c r="D14" s="16" t="n"/>
      <c r="E14" s="16" t="n"/>
      <c r="F14" s="16" t="n"/>
      <c r="G14" s="36" t="n"/>
      <c r="H14" s="16" t="n"/>
      <c r="I14" s="25">
        <f>IF(COUNTBLANK($A14:$H14)=0,"OK","INCOMPLETE")</f>
        <v/>
      </c>
    </row>
    <row r="15" ht="15" customHeight="1" s="40">
      <c r="A15" s="16" t="n"/>
      <c r="B15" s="19" t="inlineStr">
        <is>
          <t>ACCEPTANCE_REIMB_RECEIVABLE_ISSUING_BANK</t>
        </is>
      </c>
      <c r="C15" s="19" t="inlineStr">
        <is>
          <t>ON_BALANCE_ASSET</t>
        </is>
      </c>
      <c r="D15" s="16" t="n"/>
      <c r="E15" s="16" t="n"/>
      <c r="F15" s="16" t="n"/>
      <c r="G15" s="36" t="n"/>
      <c r="H15" s="16" t="n"/>
      <c r="I15" s="29">
        <f>IF(COUNTBLANK($A15:$H15)=0,"OK","INCOMPLETE")</f>
        <v/>
      </c>
    </row>
    <row r="16" ht="15" customHeight="1" s="40">
      <c r="A16" s="16" t="n"/>
      <c r="B16" s="14" t="inlineStr">
        <is>
          <t>IMPORT_USANCE_FINANCING</t>
        </is>
      </c>
      <c r="C16" s="14" t="inlineStr">
        <is>
          <t>ON_BALANCE_ASSET</t>
        </is>
      </c>
      <c r="D16" s="16" t="n"/>
      <c r="E16" s="16" t="n"/>
      <c r="F16" s="16" t="n"/>
      <c r="G16" s="36" t="n"/>
      <c r="H16" s="16" t="n"/>
      <c r="I16" s="25">
        <f>IF(COUNTBLANK($A16:$H16)=0,"OK","INCOMPLETE")</f>
        <v/>
      </c>
    </row>
    <row r="17" ht="15" customHeight="1" s="40">
      <c r="A17" s="16" t="n"/>
      <c r="B17" s="19" t="inlineStr">
        <is>
          <t>IMPORT_USANCE_RECEIVABLE_APPLICANT</t>
        </is>
      </c>
      <c r="C17" s="19" t="inlineStr">
        <is>
          <t>ON_BALANCE_ASSET</t>
        </is>
      </c>
      <c r="D17" s="16" t="n"/>
      <c r="E17" s="16" t="n"/>
      <c r="F17" s="16" t="n"/>
      <c r="G17" s="36" t="n"/>
      <c r="H17" s="16" t="n"/>
      <c r="I17" s="29">
        <f>IF(COUNTBLANK($A17:$H17)=0,"OK","INCOMPLETE")</f>
        <v/>
      </c>
    </row>
    <row r="18" ht="15" customHeight="1" s="40">
      <c r="A18" s="16" t="n"/>
      <c r="B18" s="14" t="inlineStr">
        <is>
          <t>TRUST_RECEIPT_LOAN</t>
        </is>
      </c>
      <c r="C18" s="14" t="inlineStr">
        <is>
          <t>ON_BALANCE_ASSET</t>
        </is>
      </c>
      <c r="D18" s="16" t="n"/>
      <c r="E18" s="16" t="n"/>
      <c r="F18" s="16" t="n"/>
      <c r="G18" s="36" t="n"/>
      <c r="H18" s="16" t="n"/>
      <c r="I18" s="25">
        <f>IF(COUNTBLANK($A18:$H18)=0,"OK","INCOMPLETE")</f>
        <v/>
      </c>
    </row>
    <row r="19" ht="15" customHeight="1" s="40">
      <c r="A19" s="16" t="n"/>
      <c r="B19" s="19" t="inlineStr">
        <is>
          <t>IMPORT_ADVANCE_FORCED</t>
        </is>
      </c>
      <c r="C19" s="19" t="inlineStr">
        <is>
          <t>ON_BALANCE_ASSET</t>
        </is>
      </c>
      <c r="D19" s="16" t="n"/>
      <c r="E19" s="16" t="n"/>
      <c r="F19" s="16" t="n"/>
      <c r="G19" s="36" t="n"/>
      <c r="H19" s="16" t="n"/>
      <c r="I19" s="29">
        <f>IF(COUNTBLANK($A19:$H19)=0,"OK","INCOMPLETE")</f>
        <v/>
      </c>
    </row>
    <row r="20" ht="15" customHeight="1" s="40">
      <c r="A20" s="16" t="n"/>
      <c r="B20" s="14" t="inlineStr">
        <is>
          <t>ADVANCE_UNDER_RESERVE</t>
        </is>
      </c>
      <c r="C20" s="14" t="inlineStr">
        <is>
          <t>ON_BALANCE_ASSET</t>
        </is>
      </c>
      <c r="D20" s="16" t="n"/>
      <c r="E20" s="16" t="n"/>
      <c r="F20" s="16" t="n"/>
      <c r="G20" s="36" t="n"/>
      <c r="H20" s="16" t="n"/>
      <c r="I20" s="25">
        <f>IF(COUNTBLANK($A20:$H20)=0,"OK","INCOMPLETE")</f>
        <v/>
      </c>
    </row>
    <row r="21" ht="15" customHeight="1" s="40">
      <c r="A21" s="16" t="n"/>
      <c r="B21" s="19" t="inlineStr">
        <is>
          <t>SG_CLAIM_RECEIVABLE</t>
        </is>
      </c>
      <c r="C21" s="19" t="inlineStr">
        <is>
          <t>ON_BALANCE_ASSET</t>
        </is>
      </c>
      <c r="D21" s="16" t="n"/>
      <c r="E21" s="16" t="n"/>
      <c r="F21" s="16" t="n"/>
      <c r="G21" s="36" t="n"/>
      <c r="H21" s="16" t="n"/>
      <c r="I21" s="29">
        <f>IF(COUNTBLANK($A21:$H21)=0,"OK","INCOMPLETE")</f>
        <v/>
      </c>
    </row>
    <row r="22" ht="15" customHeight="1" s="40">
      <c r="A22" s="16" t="n"/>
      <c r="B22" s="14" t="inlineStr">
        <is>
          <t>DUE_FROM_ISSUING_BANK</t>
        </is>
      </c>
      <c r="C22" s="14" t="inlineStr">
        <is>
          <t>ON_BALANCE_ASSET</t>
        </is>
      </c>
      <c r="D22" s="16" t="n"/>
      <c r="E22" s="16" t="n"/>
      <c r="F22" s="16" t="n"/>
      <c r="G22" s="36" t="n"/>
      <c r="H22" s="16" t="n"/>
      <c r="I22" s="25">
        <f>IF(COUNTBLANK($A22:$H22)=0,"OK","INCOMPLETE")</f>
        <v/>
      </c>
    </row>
    <row r="23" ht="15" customHeight="1" s="40">
      <c r="A23" s="16" t="n"/>
      <c r="B23" s="19" t="inlineStr">
        <is>
          <t>EXPORT_BILLS_DISCOUNTED</t>
        </is>
      </c>
      <c r="C23" s="19" t="inlineStr">
        <is>
          <t>ON_BALANCE_ASSET</t>
        </is>
      </c>
      <c r="D23" s="16" t="n"/>
      <c r="E23" s="16" t="n"/>
      <c r="F23" s="16" t="n"/>
      <c r="G23" s="36" t="n"/>
      <c r="H23" s="16" t="n"/>
      <c r="I23" s="29">
        <f>IF(COUNTBLANK($A23:$H23)=0,"OK","INCOMPLETE")</f>
        <v/>
      </c>
    </row>
    <row r="24" ht="15" customHeight="1" s="40">
      <c r="A24" s="16" t="n"/>
      <c r="B24" s="14" t="inlineStr">
        <is>
          <t>EXPORT_BILLS_NEGOTIATED_RECOURSE</t>
        </is>
      </c>
      <c r="C24" s="14" t="inlineStr">
        <is>
          <t>ON_BALANCE_ASSET</t>
        </is>
      </c>
      <c r="D24" s="16" t="n"/>
      <c r="E24" s="16" t="n"/>
      <c r="F24" s="16" t="n"/>
      <c r="G24" s="36" t="n"/>
      <c r="H24" s="16" t="n"/>
      <c r="I24" s="25">
        <f>IF(COUNTBLANK($A24:$H24)=0,"OK","INCOMPLETE")</f>
        <v/>
      </c>
    </row>
    <row r="25" ht="15" customHeight="1" s="40">
      <c r="A25" s="16" t="n"/>
      <c r="B25" s="19" t="inlineStr">
        <is>
          <t>REFINANCING_LOAN_TO_ISSUING_BANK</t>
        </is>
      </c>
      <c r="C25" s="19" t="inlineStr">
        <is>
          <t>ON_BALANCE_ASSET</t>
        </is>
      </c>
      <c r="D25" s="16" t="n"/>
      <c r="E25" s="16" t="n"/>
      <c r="F25" s="16" t="n"/>
      <c r="G25" s="36" t="n"/>
      <c r="H25" s="16" t="n"/>
      <c r="I25" s="29">
        <f>IF(COUNTBLANK($A25:$H25)=0,"OK","INCOMPLETE")</f>
        <v/>
      </c>
    </row>
    <row r="26" ht="15" customHeight="1" s="40">
      <c r="A26" s="16" t="n"/>
      <c r="B26" s="14" t="inlineStr">
        <is>
          <t>INTEREST_RECEIVABLE</t>
        </is>
      </c>
      <c r="C26" s="14" t="inlineStr">
        <is>
          <t>ON_BALANCE_ASSET</t>
        </is>
      </c>
      <c r="D26" s="16" t="n"/>
      <c r="E26" s="16" t="n"/>
      <c r="F26" s="16" t="n"/>
      <c r="G26" s="36" t="n"/>
      <c r="H26" s="16" t="n"/>
      <c r="I26" s="25">
        <f>IF(COUNTBLANK($A26:$H26)=0,"OK","INCOMPLETE")</f>
        <v/>
      </c>
    </row>
    <row r="27" ht="15" customHeight="1" s="40">
      <c r="A27" s="16" t="n"/>
      <c r="B27" s="19" t="inlineStr">
        <is>
          <t>NOSTRO</t>
        </is>
      </c>
      <c r="C27" s="19" t="inlineStr">
        <is>
          <t>ON_BALANCE_ASSET</t>
        </is>
      </c>
      <c r="D27" s="16" t="n"/>
      <c r="E27" s="16" t="n"/>
      <c r="F27" s="16" t="n"/>
      <c r="G27" s="36" t="n"/>
      <c r="H27" s="16" t="n"/>
      <c r="I27" s="29">
        <f>IF(COUNTBLANK($A27:$H27)=0,"OK","INCOMPLETE")</f>
        <v/>
      </c>
    </row>
    <row r="28" ht="15" customHeight="1" s="40">
      <c r="A28" s="16" t="n"/>
      <c r="B28" s="14" t="inlineStr">
        <is>
          <t>UNEARNED_DISCOUNT</t>
        </is>
      </c>
      <c r="C28" s="14" t="inlineStr">
        <is>
          <t>ON_BALANCE_ASSET_CONTRA</t>
        </is>
      </c>
      <c r="D28" s="16" t="n"/>
      <c r="E28" s="16" t="n"/>
      <c r="F28" s="16" t="n"/>
      <c r="G28" s="36" t="n"/>
      <c r="H28" s="16" t="n"/>
      <c r="I28" s="25">
        <f>IF(COUNTBLANK($A28:$H28)=0,"OK","INCOMPLETE")</f>
        <v/>
      </c>
    </row>
    <row r="29" ht="15" customHeight="1" s="40">
      <c r="A29" s="16" t="n"/>
      <c r="B29" s="19" t="inlineStr">
        <is>
          <t>ACCEPTANCE_DPU_OUTSTANDING</t>
        </is>
      </c>
      <c r="C29" s="19" t="inlineStr">
        <is>
          <t>ON_BALANCE_LIABILITY</t>
        </is>
      </c>
      <c r="D29" s="16" t="n"/>
      <c r="E29" s="16" t="n"/>
      <c r="F29" s="16" t="n"/>
      <c r="G29" s="36" t="n"/>
      <c r="H29" s="16" t="n"/>
      <c r="I29" s="29">
        <f>IF(COUNTBLANK($A29:$H29)=0,"OK","INCOMPLETE")</f>
        <v/>
      </c>
    </row>
    <row r="30" ht="15" customHeight="1" s="40">
      <c r="A30" s="16" t="n"/>
      <c r="B30" s="14" t="inlineStr">
        <is>
          <t>CONFIRMED_ACCEPTANCE_DPU_OUTSTANDING</t>
        </is>
      </c>
      <c r="C30" s="14" t="inlineStr">
        <is>
          <t>ON_BALANCE_LIABILITY</t>
        </is>
      </c>
      <c r="D30" s="16" t="n"/>
      <c r="E30" s="16" t="n"/>
      <c r="F30" s="16" t="n"/>
      <c r="G30" s="36" t="n"/>
      <c r="H30" s="16" t="n"/>
      <c r="I30" s="25">
        <f>IF(COUNTBLANK($A30:$H30)=0,"OK","INCOMPLETE")</f>
        <v/>
      </c>
    </row>
    <row r="31" ht="15" customHeight="1" s="40">
      <c r="A31" s="16" t="n"/>
      <c r="B31" s="19" t="inlineStr">
        <is>
          <t>LC_SETTLEMENT_PAYABLE</t>
        </is>
      </c>
      <c r="C31" s="19" t="inlineStr">
        <is>
          <t>ON_BALANCE_LIABILITY</t>
        </is>
      </c>
      <c r="D31" s="16" t="n"/>
      <c r="E31" s="16" t="n"/>
      <c r="F31" s="16" t="n"/>
      <c r="G31" s="36" t="n"/>
      <c r="H31" s="16" t="n"/>
      <c r="I31" s="29">
        <f>IF(COUNTBLANK($A31:$H31)=0,"OK","INCOMPLETE")</f>
        <v/>
      </c>
    </row>
    <row r="32" ht="15" customHeight="1" s="40">
      <c r="A32" s="16" t="n"/>
      <c r="B32" s="14" t="inlineStr">
        <is>
          <t>DUE_TO_REFINANCING_BANK</t>
        </is>
      </c>
      <c r="C32" s="14" t="inlineStr">
        <is>
          <t>ON_BALANCE_LIABILITY</t>
        </is>
      </c>
      <c r="D32" s="16" t="n"/>
      <c r="E32" s="16" t="n"/>
      <c r="F32" s="16" t="n"/>
      <c r="G32" s="36" t="n"/>
      <c r="H32" s="16" t="n"/>
      <c r="I32" s="25">
        <f>IF(COUNTBLANK($A32:$H32)=0,"OK","INCOMPLETE")</f>
        <v/>
      </c>
    </row>
    <row r="33" ht="15" customHeight="1" s="40">
      <c r="A33" s="16" t="n"/>
      <c r="B33" s="19" t="inlineStr">
        <is>
          <t>LC_CASH_MARGIN_DEPOSIT</t>
        </is>
      </c>
      <c r="C33" s="19" t="inlineStr">
        <is>
          <t>ON_BALANCE_LIABILITY</t>
        </is>
      </c>
      <c r="D33" s="16" t="n"/>
      <c r="E33" s="16" t="n"/>
      <c r="F33" s="16" t="n"/>
      <c r="G33" s="36" t="n"/>
      <c r="H33" s="16" t="n"/>
      <c r="I33" s="29">
        <f>IF(COUNTBLANK($A33:$H33)=0,"OK","INCOMPLETE")</f>
        <v/>
      </c>
    </row>
    <row r="34" ht="15" customHeight="1" s="40">
      <c r="A34" s="16" t="n"/>
      <c r="B34" s="14" t="inlineStr">
        <is>
          <t>UNEARNED_COMMISSION_INCOME</t>
        </is>
      </c>
      <c r="C34" s="14" t="inlineStr">
        <is>
          <t>ON_BALANCE_LIABILITY</t>
        </is>
      </c>
      <c r="D34" s="16" t="n"/>
      <c r="E34" s="16" t="n"/>
      <c r="F34" s="16" t="n"/>
      <c r="G34" s="36" t="n"/>
      <c r="H34" s="16" t="n"/>
      <c r="I34" s="25">
        <f>IF(COUNTBLANK($A34:$H34)=0,"OK","INCOMPLETE")</f>
        <v/>
      </c>
    </row>
    <row r="35" ht="15" customHeight="1" s="40">
      <c r="A35" s="16" t="n"/>
      <c r="B35" s="19" t="inlineStr">
        <is>
          <t>PROVISION_OFFBS</t>
        </is>
      </c>
      <c r="C35" s="19" t="inlineStr">
        <is>
          <t>ON_BALANCE_LIABILITY</t>
        </is>
      </c>
      <c r="D35" s="16" t="n"/>
      <c r="E35" s="16" t="n"/>
      <c r="F35" s="16" t="n"/>
      <c r="G35" s="36" t="n"/>
      <c r="H35" s="16" t="n"/>
      <c r="I35" s="29">
        <f>IF(COUNTBLANK($A35:$H35)=0,"OK","INCOMPLETE")</f>
        <v/>
      </c>
    </row>
    <row r="36" ht="15" customHeight="1" s="40">
      <c r="A36" s="16" t="n"/>
      <c r="B36" s="14" t="inlineStr">
        <is>
          <t>CUSTOMER_CURRENT_ACCOUNT</t>
        </is>
      </c>
      <c r="C36" s="14" t="inlineStr">
        <is>
          <t>ON_BALANCE_LIABILITY</t>
        </is>
      </c>
      <c r="D36" s="16" t="n"/>
      <c r="E36" s="16" t="n"/>
      <c r="F36" s="16" t="n"/>
      <c r="G36" s="36" t="n"/>
      <c r="H36" s="16" t="n"/>
      <c r="I36" s="25">
        <f>IF(COUNTBLANK($A36:$H36)=0,"OK","INCOMPLETE")</f>
        <v/>
      </c>
    </row>
    <row r="37" ht="15" customHeight="1" s="40">
      <c r="A37" s="16" t="n"/>
      <c r="B37" s="19" t="inlineStr">
        <is>
          <t>BENEFICIARY_ACCOUNT</t>
        </is>
      </c>
      <c r="C37" s="19" t="inlineStr">
        <is>
          <t>ON_BALANCE_LIABILITY</t>
        </is>
      </c>
      <c r="D37" s="16" t="n"/>
      <c r="E37" s="16" t="n"/>
      <c r="F37" s="16" t="n"/>
      <c r="G37" s="36" t="n"/>
      <c r="H37" s="16" t="n"/>
      <c r="I37" s="29">
        <f>IF(COUNTBLANK($A37:$H37)=0,"OK","INCOMPLETE")</f>
        <v/>
      </c>
    </row>
    <row r="38" ht="15" customHeight="1" s="40">
      <c r="A38" s="16" t="n"/>
      <c r="B38" s="14" t="inlineStr">
        <is>
          <t>FEE_COMMISSION_INCOME</t>
        </is>
      </c>
      <c r="C38" s="14" t="inlineStr">
        <is>
          <t>PROFIT_AND_LOSS</t>
        </is>
      </c>
      <c r="D38" s="16" t="n"/>
      <c r="E38" s="16" t="n"/>
      <c r="F38" s="16" t="n"/>
      <c r="G38" s="36" t="n"/>
      <c r="H38" s="16" t="n"/>
      <c r="I38" s="25">
        <f>IF(COUNTBLANK($A38:$H38)=0,"OK","INCOMPLETE")</f>
        <v/>
      </c>
    </row>
    <row r="39" ht="15" customHeight="1" s="40">
      <c r="A39" s="16" t="n"/>
      <c r="B39" s="19" t="inlineStr">
        <is>
          <t>INTEREST_INCOME</t>
        </is>
      </c>
      <c r="C39" s="19" t="inlineStr">
        <is>
          <t>PROFIT_AND_LOSS</t>
        </is>
      </c>
      <c r="D39" s="16" t="n"/>
      <c r="E39" s="16" t="n"/>
      <c r="F39" s="16" t="n"/>
      <c r="G39" s="36" t="n"/>
      <c r="H39" s="16" t="n"/>
      <c r="I39" s="29">
        <f>IF(COUNTBLANK($A39:$H39)=0,"OK","INCOMPLETE")</f>
        <v/>
      </c>
    </row>
    <row r="40" ht="15" customHeight="1" s="40">
      <c r="A40" s="16" t="n"/>
      <c r="B40" s="14" t="inlineStr">
        <is>
          <t>INTEREST_EXPENSE</t>
        </is>
      </c>
      <c r="C40" s="14" t="inlineStr">
        <is>
          <t>PROFIT_AND_LOSS</t>
        </is>
      </c>
      <c r="D40" s="16" t="n"/>
      <c r="E40" s="16" t="n"/>
      <c r="F40" s="16" t="n"/>
      <c r="G40" s="36" t="n"/>
      <c r="H40" s="16" t="n"/>
      <c r="I40" s="25">
        <f>IF(COUNTBLANK($A40:$H40)=0,"OK","INCOMPLETE")</f>
        <v/>
      </c>
    </row>
    <row r="41" ht="15" customHeight="1" s="40">
      <c r="A41" s="16" t="n"/>
      <c r="B41" s="19" t="inlineStr">
        <is>
          <t>IMPAIRMENT_CHARGE_OFFBS</t>
        </is>
      </c>
      <c r="C41" s="19" t="inlineStr">
        <is>
          <t>PROFIT_AND_LOSS</t>
        </is>
      </c>
      <c r="D41" s="16" t="n"/>
      <c r="E41" s="16" t="n"/>
      <c r="F41" s="16" t="n"/>
      <c r="G41" s="36" t="n"/>
      <c r="H41" s="16" t="n"/>
      <c r="I41" s="29">
        <f>IF(COUNTBLANK($A41:$H41)=0,"OK","INCOMPLETE")</f>
        <v/>
      </c>
    </row>
    <row r="42" ht="15" customHeight="1" s="40">
      <c r="A42" s="16" t="n"/>
      <c r="B42" s="14" t="inlineStr">
        <is>
          <t>ACCEPTANCE_SHADOW_DR</t>
        </is>
      </c>
      <c r="C42" s="14" t="inlineStr">
        <is>
          <t>MEMO_ONLY</t>
        </is>
      </c>
      <c r="D42" s="16" t="n"/>
      <c r="E42" s="16" t="n"/>
      <c r="F42" s="16" t="n"/>
      <c r="G42" s="36" t="n"/>
      <c r="H42" s="16" t="n"/>
      <c r="I42" s="25">
        <f>IF(COUNTBLANK($A42:$H42)=0,"OK","INCOMPLETE")</f>
        <v/>
      </c>
    </row>
    <row r="43" ht="15" customHeight="1" s="40">
      <c r="A43" s="16" t="n"/>
      <c r="B43" s="19" t="inlineStr">
        <is>
          <t>ACCEPTANCE_SHADOW_CR</t>
        </is>
      </c>
      <c r="C43" s="19" t="inlineStr">
        <is>
          <t>MEMO_ONLY</t>
        </is>
      </c>
      <c r="D43" s="16" t="n"/>
      <c r="E43" s="16" t="n"/>
      <c r="F43" s="16" t="n"/>
      <c r="G43" s="36" t="n"/>
      <c r="H43" s="16" t="n"/>
      <c r="I43" s="29">
        <f>IF(COUNTBLANK($A43:$H43)=0,"OK","INCOMPLETE")</f>
        <v/>
      </c>
    </row>
    <row r="44" ht="15" customHeight="1" s="40">
      <c r="A44" s="16" t="n"/>
      <c r="B44" s="14" t="inlineStr">
        <is>
          <t>CONFIRMED_ACCEPTANCE_SHADOW_DR</t>
        </is>
      </c>
      <c r="C44" s="14" t="inlineStr">
        <is>
          <t>MEMO_ONLY</t>
        </is>
      </c>
      <c r="D44" s="16" t="n"/>
      <c r="E44" s="16" t="n"/>
      <c r="F44" s="16" t="n"/>
      <c r="G44" s="36" t="n"/>
      <c r="H44" s="16" t="n"/>
      <c r="I44" s="25">
        <f>IF(COUNTBLANK($A44:$H44)=0,"OK","INCOMPLETE")</f>
        <v/>
      </c>
    </row>
    <row r="45" ht="15" customHeight="1" s="40">
      <c r="A45" s="16" t="n"/>
      <c r="B45" s="19" t="inlineStr">
        <is>
          <t>CONFIRMED_ACCEPTANCE_SHADOW_CR</t>
        </is>
      </c>
      <c r="C45" s="19" t="inlineStr">
        <is>
          <t>MEMO_ONLY</t>
        </is>
      </c>
      <c r="D45" s="16" t="n"/>
      <c r="E45" s="16" t="n"/>
      <c r="F45" s="16" t="n"/>
      <c r="G45" s="36" t="n"/>
      <c r="H45" s="16" t="n"/>
      <c r="I45" s="29">
        <f>IF(COUNTBLANK($A45:$H45)=0,"OK","INCOMPLETE")</f>
        <v/>
      </c>
    </row>
    <row r="46" ht="15" customHeight="1" s="40">
      <c r="A46" s="16" t="n"/>
      <c r="B46" s="14" t="inlineStr">
        <is>
          <t>DOCUMENT_UNDER_EXAMINATION</t>
        </is>
      </c>
      <c r="C46" s="14" t="inlineStr">
        <is>
          <t>MEMO_ONLY</t>
        </is>
      </c>
      <c r="D46" s="16" t="n"/>
      <c r="E46" s="16" t="n"/>
      <c r="F46" s="16" t="n"/>
      <c r="G46" s="36" t="n"/>
      <c r="H46" s="16" t="n"/>
      <c r="I46" s="25">
        <f>IF(COUNTBLANK($A46:$H46)=0,"OK","INCOMPLETE")</f>
        <v/>
      </c>
    </row>
    <row r="47" ht="15" customHeight="1" s="40">
      <c r="A47" s="16" t="n"/>
      <c r="B47" s="19" t="inlineStr">
        <is>
          <t>DOCUMENT_AT_PRESENTER_DISPOSAL</t>
        </is>
      </c>
      <c r="C47" s="19" t="inlineStr">
        <is>
          <t>MEMO_ONLY</t>
        </is>
      </c>
      <c r="D47" s="16" t="n"/>
      <c r="E47" s="16" t="n"/>
      <c r="F47" s="16" t="n"/>
      <c r="G47" s="36" t="n"/>
      <c r="H47" s="16" t="n"/>
      <c r="I47" s="29">
        <f>IF(COUNTBLANK($A47:$H47)=0,"OK","INCOMPLETE")</f>
        <v/>
      </c>
    </row>
    <row r="48" ht="15" customHeight="1" s="40">
      <c r="A48" s="16" t="n"/>
      <c r="B48" s="14" t="inlineStr">
        <is>
          <t>EXPORT_BILLS_UNDER_EXAMINATION</t>
        </is>
      </c>
      <c r="C48" s="14" t="inlineStr">
        <is>
          <t>MEMO_ONLY</t>
        </is>
      </c>
      <c r="D48" s="16" t="n"/>
      <c r="E48" s="16" t="n"/>
      <c r="F48" s="16" t="n"/>
      <c r="G48" s="36" t="n"/>
      <c r="H48" s="16" t="n"/>
      <c r="I48" s="25">
        <f>IF(COUNTBLANK($A48:$H48)=0,"OK","INCOMPLETE")</f>
        <v/>
      </c>
    </row>
    <row r="49" ht="15" customHeight="1" s="40">
      <c r="A49" s="16" t="n"/>
      <c r="B49" s="19" t="inlineStr">
        <is>
          <t>AWB_CUSTOMER_LIABILITY</t>
        </is>
      </c>
      <c r="C49" s="19" t="inlineStr">
        <is>
          <t>CONTINGENT</t>
        </is>
      </c>
      <c r="D49" s="16" t="n"/>
      <c r="E49" s="16" t="n"/>
      <c r="F49" s="16" t="n"/>
      <c r="G49" s="36" t="n"/>
      <c r="H49" s="16" t="n"/>
      <c r="I49" s="29">
        <f>IF(COUNTBLANK($A49:$H49)=0,"OK","INCOMPLETE")</f>
        <v/>
      </c>
    </row>
    <row r="50" ht="15" customHeight="1" s="40">
      <c r="A50" s="16" t="n"/>
      <c r="B50" s="14" t="inlineStr">
        <is>
          <t>AWB_OUTSTANDING</t>
        </is>
      </c>
      <c r="C50" s="14" t="inlineStr">
        <is>
          <t>CONTINGENT</t>
        </is>
      </c>
      <c r="D50" s="16" t="n"/>
      <c r="E50" s="16" t="n"/>
      <c r="F50" s="16" t="n"/>
      <c r="G50" s="36" t="n"/>
      <c r="H50" s="16" t="n"/>
      <c r="I50" s="25">
        <f>IF(COUNTBLANK($A50:$H50)=0,"OK","INCOMPLETE")</f>
        <v/>
      </c>
    </row>
    <row r="51" ht="15" customHeight="1" s="40">
      <c r="A51" s="16" t="n"/>
      <c r="B51" s="19" t="inlineStr">
        <is>
          <t>ROUNDING_RESIDUAL</t>
        </is>
      </c>
      <c r="C51" s="19" t="inlineStr">
        <is>
          <t>ON_BALANCE_ASSET</t>
        </is>
      </c>
      <c r="D51" s="16" t="n"/>
      <c r="E51" s="16" t="n"/>
      <c r="F51" s="16" t="n"/>
      <c r="G51" s="36" t="n"/>
      <c r="H51" s="16" t="n"/>
      <c r="I51" s="29">
        <f>IF(COUNTBLANK($A51:$H51)=0,"OK","INCOMPLETE")</f>
        <v/>
      </c>
    </row>
    <row r="52" ht="15" customHeight="1" s="40">
      <c r="A52" s="16" t="n"/>
      <c r="B52" s="14" t="inlineStr">
        <is>
          <t>FX_POSITION</t>
        </is>
      </c>
      <c r="C52" s="14" t="inlineStr">
        <is>
          <t>ON_BALANCE_ASSET</t>
        </is>
      </c>
      <c r="D52" s="16" t="n"/>
      <c r="E52" s="16" t="n"/>
      <c r="F52" s="16" t="n"/>
      <c r="G52" s="36" t="n"/>
      <c r="H52" s="16" t="n"/>
      <c r="I52" s="25">
        <f>IF(COUNTBLANK($A52:$H52)=0,"OK","INCOMPLETE")</f>
        <v/>
      </c>
    </row>
    <row r="53" ht="15" customHeight="1" s="40">
      <c r="A53" s="16" t="n"/>
      <c r="B53" s="19" t="inlineStr">
        <is>
          <t>DOCUMENT_UNDER_EXAMINATION_CONTRA</t>
        </is>
      </c>
      <c r="C53" s="19" t="inlineStr">
        <is>
          <t>MEMO_ONLY</t>
        </is>
      </c>
      <c r="D53" s="16" t="n"/>
      <c r="E53" s="16" t="n"/>
      <c r="F53" s="16" t="n"/>
      <c r="G53" s="36" t="n"/>
      <c r="H53" s="16" t="n"/>
      <c r="I53" s="29">
        <f>IF(COUNTBLANK($A53:$H53)=0,"OK","INCOMPLETE")</f>
        <v/>
      </c>
    </row>
    <row r="54" ht="15" customHeight="1" s="40">
      <c r="A54" s="16" t="n"/>
      <c r="B54" s="14" t="inlineStr">
        <is>
          <t>EXPORT_BILLS_UNDER_EXAMINATION_CONTRA</t>
        </is>
      </c>
      <c r="C54" s="14" t="inlineStr">
        <is>
          <t>MEMO_ONLY</t>
        </is>
      </c>
      <c r="D54" s="16" t="n"/>
      <c r="E54" s="16" t="n"/>
      <c r="F54" s="16" t="n"/>
      <c r="G54" s="36" t="n"/>
      <c r="H54" s="16" t="n"/>
      <c r="I54" s="25">
        <f>IF(COUNTBLANK($A54:$H54)=0,"OK","INCOMPLETE")</f>
        <v/>
      </c>
    </row>
    <row r="55" ht="15" customHeight="1" s="40">
      <c r="A55" s="16" t="n"/>
      <c r="B55" s="19" t="inlineStr">
        <is>
          <t>FX_REVALUATION</t>
        </is>
      </c>
      <c r="C55" s="19" t="inlineStr">
        <is>
          <t>PROFIT_AND_LOSS</t>
        </is>
      </c>
      <c r="D55" s="16" t="n"/>
      <c r="E55" s="16" t="n"/>
      <c r="F55" s="16" t="n"/>
      <c r="G55" s="36" t="n"/>
      <c r="H55" s="16" t="n"/>
      <c r="I55" s="29">
        <f>IF(COUNTBLANK($A55:$H55)=0,"OK","INCOMPLETE")</f>
        <v/>
      </c>
    </row>
    <row r="56" ht="15.75" customHeight="1" s="4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 ht="15.75" customHeight="1" s="4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 ht="15" customHeight="1" s="40">
      <c r="A58" s="27" t="inlineStr">
        <is>
          <t>A4: the balance_type -&gt; gl_account relationship is MANY-TO-MANY. Do not assume 1:1. A2: MEMO_ONLY maps only to memorandum GL ranges. A3: CONTINGENT only to off-BS ranges, in Dr/Cr pairs.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</row>
    <row r="59" ht="15.75" customHeight="1" s="4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 ht="15.75" customHeight="1" s="4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 ht="15.75" customHeight="1" s="4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 ht="15.75" customHeight="1" s="4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 ht="15.75" customHeight="1" s="4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 ht="15.75" customHeight="1" s="4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 ht="15.75" customHeight="1" s="4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 ht="15.75" customHeight="1" s="4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 ht="15.75" customHeight="1" s="4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 ht="15.75" customHeight="1" s="4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 ht="15.75" customHeight="1" s="4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 ht="15.75" customHeight="1" s="4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 ht="15.75" customHeight="1" s="4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 ht="15.75" customHeight="1" s="4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 ht="15.75" customHeight="1" s="4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 ht="15.75" customHeight="1" s="4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 ht="15.75" customHeight="1" s="4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 ht="15.75" customHeight="1" s="4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 ht="15.75" customHeight="1" s="4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 ht="15.75" customHeight="1" s="4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 ht="15.75" customHeight="1" s="4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 ht="15.75" customHeight="1" s="4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 ht="15.75" customHeight="1" s="4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 ht="15.75" customHeight="1" s="4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 ht="15.75" customHeight="1" s="4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 ht="15.75" customHeight="1" s="4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 ht="15.75" customHeight="1" s="4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 ht="15.75" customHeight="1" s="4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 ht="15.75" customHeight="1" s="4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 ht="15.75" customHeight="1" s="4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 ht="15.75" customHeight="1" s="4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 ht="15.75" customHeight="1" s="4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 ht="15.75" customHeight="1" s="4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 ht="15.75" customHeight="1" s="4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 ht="15.75" customHeight="1" s="4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 ht="15.75" customHeight="1" s="4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 ht="15.75" customHeight="1" s="4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 ht="15.75" customHeight="1" s="4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 ht="15.75" customHeight="1" s="4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 ht="15.75" customHeight="1" s="4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 ht="15.75" customHeight="1" s="4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 ht="15.75" customHeight="1" s="4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 ht="15.75" customHeight="1" s="4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 ht="15.75" customHeight="1" s="4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 ht="15.75" customHeight="1" s="4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 ht="15.75" customHeight="1" s="4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 ht="15.75" customHeight="1" s="4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 ht="15.75" customHeight="1" s="4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 ht="15.75" customHeight="1" s="4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 ht="15.75" customHeight="1" s="4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 ht="15.75" customHeight="1" s="4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 ht="15.75" customHeight="1" s="4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 ht="15.75" customHeight="1" s="4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 ht="15.75" customHeight="1" s="4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 ht="15.75" customHeight="1" s="4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 ht="15.75" customHeight="1" s="4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 ht="15.75" customHeight="1" s="4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 ht="15.75" customHeight="1" s="4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 ht="15.75" customHeight="1" s="4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 ht="15.75" customHeight="1" s="4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 ht="15.75" customHeight="1" s="4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 ht="15.75" customHeight="1" s="4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 ht="15.75" customHeight="1" s="4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 ht="15.75" customHeight="1" s="4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 ht="15.75" customHeight="1" s="4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 ht="15.75" customHeight="1" s="4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 ht="15.75" customHeight="1" s="4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 ht="15.75" customHeight="1" s="4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 ht="15.75" customHeight="1" s="4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 ht="15.75" customHeight="1" s="4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 ht="15.75" customHeight="1" s="4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 ht="15.75" customHeight="1" s="4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 ht="15.75" customHeight="1" s="4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 ht="15.75" customHeight="1" s="4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 ht="15.75" customHeight="1" s="4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 ht="15.75" customHeight="1" s="4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 ht="15.75" customHeight="1" s="4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 ht="15.75" customHeight="1" s="4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 ht="15.75" customHeight="1" s="4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 ht="15.75" customHeight="1" s="4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 ht="15.75" customHeight="1" s="4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 ht="15.75" customHeight="1" s="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 ht="15.75" customHeight="1" s="4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 ht="15.75" customHeight="1" s="4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 ht="15.75" customHeight="1" s="4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 ht="15.75" customHeight="1" s="4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 ht="15.75" customHeight="1" s="4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 ht="15.75" customHeight="1" s="4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 ht="15.75" customHeight="1" s="4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 ht="15.75" customHeight="1" s="4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 ht="15.75" customHeight="1" s="4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 ht="15.75" customHeight="1" s="4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 ht="15.75" customHeight="1" s="4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 ht="15.75" customHeight="1" s="4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 ht="15.75" customHeight="1" s="4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 ht="15.75" customHeight="1" s="4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 ht="15.75" customHeight="1" s="4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 ht="15.75" customHeight="1" s="4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 ht="15.75" customHeight="1" s="4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 ht="15.75" customHeight="1" s="4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 ht="15.75" customHeight="1" s="4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 ht="15.75" customHeight="1" s="4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 ht="15.75" customHeight="1" s="4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 ht="15.75" customHeight="1" s="4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 ht="15.75" customHeight="1" s="4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 ht="15.75" customHeight="1" s="4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 ht="15.75" customHeight="1" s="4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 ht="15.75" customHeight="1" s="4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 ht="15.75" customHeight="1" s="4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 ht="15.75" customHeight="1" s="4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 ht="15.75" customHeight="1" s="4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 ht="15.75" customHeight="1" s="4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 ht="15.75" customHeight="1" s="4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 ht="15.75" customHeight="1" s="4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 ht="15.75" customHeight="1" s="4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 ht="15.75" customHeight="1" s="4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 ht="15.75" customHeight="1" s="4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 ht="15.75" customHeight="1" s="4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 ht="15.75" customHeight="1" s="4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 ht="15.75" customHeight="1" s="4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 ht="15.75" customHeight="1" s="4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 ht="15.75" customHeight="1" s="4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 ht="15.75" customHeight="1" s="4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 ht="15.75" customHeight="1" s="4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 ht="15.75" customHeight="1" s="4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 ht="15.75" customHeight="1" s="4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 ht="15.75" customHeight="1" s="4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 ht="15.75" customHeight="1" s="4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 ht="15.75" customHeight="1" s="4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 ht="15.75" customHeight="1" s="4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 ht="15.75" customHeight="1" s="4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 ht="15.75" customHeight="1" s="4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 ht="15.75" customHeight="1" s="4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 ht="15.75" customHeight="1" s="4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 ht="15.75" customHeight="1" s="4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 ht="15.75" customHeight="1" s="4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 ht="15.75" customHeight="1" s="4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 ht="15.75" customHeight="1" s="4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 ht="15.75" customHeight="1" s="4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 ht="15.75" customHeight="1" s="4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 ht="15.75" customHeight="1" s="4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 ht="15.75" customHeight="1" s="4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 ht="15.75" customHeight="1" s="4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</row>
    <row r="202" ht="15.75" customHeight="1" s="4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</row>
    <row r="203" ht="15.75" customHeight="1" s="4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</row>
    <row r="204" ht="15.75" customHeight="1" s="4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</row>
    <row r="205" ht="15.75" customHeight="1" s="4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</row>
    <row r="206" ht="15.75" customHeight="1" s="4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</row>
    <row r="207" ht="15.75" customHeight="1" s="4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</row>
    <row r="208" ht="15.75" customHeight="1" s="4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</row>
    <row r="209" ht="15.75" customHeight="1" s="4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</row>
    <row r="210" ht="15.75" customHeight="1" s="4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</row>
    <row r="211" ht="15.75" customHeight="1" s="4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</row>
    <row r="212" ht="15.75" customHeight="1" s="4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</row>
    <row r="213" ht="15.75" customHeight="1" s="4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</row>
    <row r="214" ht="15.75" customHeight="1" s="4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</row>
    <row r="215" ht="15.75" customHeight="1" s="4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</row>
    <row r="216" ht="15.75" customHeight="1" s="4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</row>
    <row r="217" ht="15.75" customHeight="1" s="4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</row>
    <row r="218" ht="15.75" customHeight="1" s="4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</row>
    <row r="219" ht="15.75" customHeight="1" s="4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</row>
    <row r="220" ht="15.75" customHeight="1" s="4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</row>
    <row r="221" ht="15.75" customHeight="1" s="4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</row>
    <row r="222" ht="15.75" customHeight="1" s="4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</row>
    <row r="223" ht="15.75" customHeight="1" s="4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</row>
    <row r="224" ht="15.75" customHeight="1" s="4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</row>
    <row r="225" ht="15.75" customHeight="1" s="4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</row>
    <row r="226" ht="15.75" customHeight="1" s="4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</row>
    <row r="227" ht="15.75" customHeight="1" s="4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</row>
    <row r="228" ht="15.75" customHeight="1" s="4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</row>
    <row r="229" ht="15.75" customHeight="1" s="4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</row>
    <row r="230" ht="15.75" customHeight="1" s="4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</row>
    <row r="231" ht="15.75" customHeight="1" s="4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</row>
    <row r="232" ht="15.75" customHeight="1" s="4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</row>
    <row r="233" ht="15.75" customHeight="1" s="40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</row>
    <row r="234" ht="15.75" customHeight="1" s="40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</row>
    <row r="235" ht="15.75" customHeight="1" s="40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</row>
    <row r="236" ht="15.75" customHeight="1" s="40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</row>
    <row r="237" ht="15.75" customHeight="1" s="40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</row>
    <row r="238" ht="15.75" customHeight="1" s="40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</row>
    <row r="239" ht="15.75" customHeight="1" s="40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</row>
    <row r="240" ht="15.75" customHeight="1" s="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</row>
    <row r="241" ht="15.75" customHeight="1" s="40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</row>
    <row r="242" ht="15.75" customHeight="1" s="40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</row>
    <row r="243" ht="15.75" customHeight="1" s="40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</row>
    <row r="244" ht="15.75" customHeight="1" s="40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</row>
    <row r="245" ht="15.75" customHeight="1" s="40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</row>
    <row r="246" ht="15.75" customHeight="1" s="40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</row>
    <row r="247" ht="15.75" customHeight="1" s="40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</row>
    <row r="248" ht="15.75" customHeight="1" s="40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</row>
    <row r="249" ht="15.75" customHeight="1" s="40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</row>
    <row r="250" ht="15.75" customHeight="1" s="4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</row>
    <row r="251" ht="15.75" customHeight="1" s="40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</row>
    <row r="252" ht="15.75" customHeight="1" s="40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</row>
    <row r="253" ht="15.75" customHeight="1" s="40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</row>
    <row r="254" ht="15.75" customHeight="1" s="40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</row>
    <row r="255" ht="15.75" customHeight="1" s="40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</row>
    <row r="256" ht="15.75" customHeight="1" s="40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</row>
    <row r="257" ht="15.75" customHeight="1" s="40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</row>
    <row r="258" ht="15.75" customHeight="1" s="40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</row>
    <row r="259" ht="15.75" customHeight="1" s="40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</row>
    <row r="260" ht="15.75" customHeight="1" s="4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</row>
    <row r="261" ht="15.75" customHeight="1" s="40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</row>
    <row r="262" ht="15.75" customHeight="1" s="40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</row>
    <row r="263" ht="15.75" customHeight="1" s="40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</row>
    <row r="264" ht="15.75" customHeight="1" s="40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</row>
    <row r="265" ht="15.75" customHeight="1" s="40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</row>
    <row r="266" ht="15.75" customHeight="1" s="40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</row>
    <row r="267" ht="15.75" customHeight="1" s="40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</row>
    <row r="268" ht="15.75" customHeight="1" s="40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</row>
    <row r="269" ht="15.75" customHeight="1" s="40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</row>
    <row r="270" ht="15.75" customHeight="1" s="4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</row>
    <row r="271" ht="15.75" customHeight="1" s="40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</row>
    <row r="272" ht="15.75" customHeight="1" s="40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</row>
    <row r="273" ht="15.75" customHeight="1" s="40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</row>
    <row r="274" ht="15.75" customHeight="1" s="40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</row>
    <row r="275" ht="15.75" customHeight="1" s="40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</row>
    <row r="276" ht="15.75" customHeight="1" s="40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</row>
    <row r="277" ht="15.75" customHeight="1" s="40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</row>
    <row r="278" ht="15.75" customHeight="1" s="40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</row>
    <row r="279" ht="15.75" customHeight="1" s="40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</row>
    <row r="280" ht="15.75" customHeight="1" s="4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</row>
    <row r="281" ht="15.75" customHeight="1" s="40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</row>
    <row r="282" ht="15.75" customHeight="1" s="40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</row>
    <row r="283" ht="15.75" customHeight="1" s="40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</row>
    <row r="284" ht="15.75" customHeight="1" s="40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</row>
    <row r="285" ht="15.75" customHeight="1" s="40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</row>
    <row r="286" ht="15.75" customHeight="1" s="40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</row>
    <row r="287" ht="15.75" customHeight="1" s="40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</row>
    <row r="288" ht="15.75" customHeight="1" s="40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</row>
    <row r="289" ht="15.75" customHeight="1" s="40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</row>
    <row r="290" ht="15.75" customHeight="1" s="4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</row>
    <row r="291" ht="15.75" customHeight="1" s="40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</row>
    <row r="292" ht="15.75" customHeight="1" s="40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</row>
    <row r="293" ht="15.75" customHeight="1" s="40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</row>
    <row r="294" ht="15.75" customHeight="1" s="40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</row>
    <row r="295" ht="15.75" customHeight="1" s="40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</row>
    <row r="296" ht="15.75" customHeight="1" s="40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</row>
    <row r="297" ht="15.75" customHeight="1" s="40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</row>
    <row r="298" ht="15.75" customHeight="1" s="40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</row>
    <row r="299" ht="15.75" customHeight="1" s="40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</row>
    <row r="300" ht="15.75" customHeight="1" s="4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</row>
    <row r="301" ht="15.75" customHeight="1" s="40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</row>
    <row r="302" ht="15.75" customHeight="1" s="40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</row>
    <row r="303" ht="15.75" customHeight="1" s="40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</row>
    <row r="304" ht="15.75" customHeight="1" s="40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</row>
    <row r="305" ht="15.75" customHeight="1" s="40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</row>
    <row r="306" ht="15.75" customHeight="1" s="40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</row>
    <row r="307" ht="15.75" customHeight="1" s="40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</row>
    <row r="308" ht="15.75" customHeight="1" s="40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</row>
    <row r="309" ht="15.75" customHeight="1" s="40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</row>
    <row r="310" ht="15.75" customHeight="1" s="4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</row>
    <row r="311" ht="15.75" customHeight="1" s="40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</row>
    <row r="312" ht="15.75" customHeight="1" s="40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</row>
    <row r="313" ht="15.75" customHeight="1" s="40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</row>
    <row r="314" ht="15.75" customHeight="1" s="40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</row>
    <row r="315" ht="15.75" customHeight="1" s="40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</row>
    <row r="316" ht="15.75" customHeight="1" s="40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</row>
    <row r="317" ht="15.75" customHeight="1" s="40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</row>
    <row r="318" ht="15.75" customHeight="1" s="40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</row>
    <row r="319" ht="15.75" customHeight="1" s="40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</row>
    <row r="320" ht="15.75" customHeight="1" s="4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</row>
    <row r="321" ht="15.75" customHeight="1" s="40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</row>
    <row r="322" ht="15.75" customHeight="1" s="40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</row>
    <row r="323" ht="15.75" customHeight="1" s="40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</row>
    <row r="324" ht="15.75" customHeight="1" s="40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</row>
    <row r="325" ht="15.75" customHeight="1" s="40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40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40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40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40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4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40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40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40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40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40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40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40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40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40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40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40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40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40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40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40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40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40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40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4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40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40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40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40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40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40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40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40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40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4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40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40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40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40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40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40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40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40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40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4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40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40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40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40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40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40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40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40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40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4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40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40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40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40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40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40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40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40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40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4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40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40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40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40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40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40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40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40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40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4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40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40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40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40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40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40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40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40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40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4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40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40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40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40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40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40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40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40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40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4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40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40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40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40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40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40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40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40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40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4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40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40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40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40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40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40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40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40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40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40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40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40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40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40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40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40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40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40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4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40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40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40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40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40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40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40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40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40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4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40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40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40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40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40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40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40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40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40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4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40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40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40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40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40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40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40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40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40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4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40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40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40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40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40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40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40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40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40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4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40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40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40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40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40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40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40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40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40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4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40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40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40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40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40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40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40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40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40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4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40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40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40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40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40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40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40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40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40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4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40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40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40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40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40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40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40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40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40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4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40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40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40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40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40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40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40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40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40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40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40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40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40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40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40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40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40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40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4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40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40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40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40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40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40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40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40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40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4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40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40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40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40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40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40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40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40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40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4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40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40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40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40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40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40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40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40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40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4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40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40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40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40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40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40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40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40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40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4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40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40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40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40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40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40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40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40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40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4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40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40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40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40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40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40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40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40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40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4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40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40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40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40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40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40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40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40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40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4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40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40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40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40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40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40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40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40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40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4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40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40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40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40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40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40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40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40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40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40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40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40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40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40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40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40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40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40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4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40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40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40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40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40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40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40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40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40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4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40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40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40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40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40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40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40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40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40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4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40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40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40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40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40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40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40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40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40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4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40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40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40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40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40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40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40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40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40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4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40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40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40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40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40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40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40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40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40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4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40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40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40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40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40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40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40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40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40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4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40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40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40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40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40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40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40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40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40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4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40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40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40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40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40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40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40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40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40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4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40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40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40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40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40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40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40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40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40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40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40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40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40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40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40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40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40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40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4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40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40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40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40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40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40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40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40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40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4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40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40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40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40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40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40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40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40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40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4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40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40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40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40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40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40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40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40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40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4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40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40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40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40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40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40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40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40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40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4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40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40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40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40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40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40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40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40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40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4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40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40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40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40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40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40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40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40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40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4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40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40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40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40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40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40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40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40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40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4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40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40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40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40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40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40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40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40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40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4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40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40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40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40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40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40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40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40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40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40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40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40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40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40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40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40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40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40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4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40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40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40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40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40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40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40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40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40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4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40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40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40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40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40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40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40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40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40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4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40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40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40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40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40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40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40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40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40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4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40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40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40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40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40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40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40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40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40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4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40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40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40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40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40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40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40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40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40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4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40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40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40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40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40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40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40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40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40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4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40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40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40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40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40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40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40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40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40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4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40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40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40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40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40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40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40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40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40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4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40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40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40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40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40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40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40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40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40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40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40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40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40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40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40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40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40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40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4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40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40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40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40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40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40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40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40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40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4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40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40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40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40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40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40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40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40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40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4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40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40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40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40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40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40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40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40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40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4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40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40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40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40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40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40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40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40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40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4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40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40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40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40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40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40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40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40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40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4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autoFilter ref="$A$4:$I$55"/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selection activeCell="A1" sqref="A1"/>
    </sheetView>
  </sheetViews>
  <sheetFormatPr baseColWidth="8" defaultColWidth="14.43" defaultRowHeight="15" customHeight="1"/>
  <cols>
    <col width="64" customWidth="1" style="40" min="1" max="1"/>
    <col width="26" customWidth="1" style="40" min="2" max="2"/>
    <col width="8.710000000000001" customWidth="1" style="40" min="3" max="26"/>
  </cols>
  <sheetData>
    <row r="1" ht="17.25" customHeight="1" s="40">
      <c r="A1" s="3" t="inlineStr">
        <is>
          <t>关卡 G1 —— 总账映射完整性</t>
        </is>
      </c>
      <c r="B1" s="4" t="n"/>
    </row>
    <row r="2" ht="15" customHeight="1" s="40">
      <c r="A2" s="9" t="inlineStr">
        <is>
          <t>存在任何必填缺口时不得投产。随 BA 填写 L3_GL_Mapping，覆盖率实时更新。</t>
        </is>
      </c>
      <c r="B2" s="4" t="n"/>
    </row>
    <row r="3">
      <c r="A3" s="4" t="n"/>
      <c r="B3" s="4" t="n"/>
    </row>
    <row r="4" ht="15" customHeight="1" s="40">
      <c r="A4" s="22" t="inlineStr">
        <is>
          <t>检查项</t>
        </is>
      </c>
      <c r="B4" s="22" t="inlineStr">
        <is>
          <t>数值</t>
        </is>
      </c>
    </row>
    <row r="5" ht="15" customHeight="1" s="40">
      <c r="A5" s="30" t="inlineStr">
        <is>
          <t>需映射行数（本模板）</t>
        </is>
      </c>
      <c r="B5" s="31">
        <f>COUNTA(L3_GL_Mapping!$B$5:$B$400)</f>
        <v/>
      </c>
    </row>
    <row r="6" ht="15" customHeight="1" s="40">
      <c r="A6" s="30" t="inlineStr">
        <is>
          <t>已完成映射行数</t>
        </is>
      </c>
      <c r="B6" s="31">
        <f>COUNTIF(L3_GL_Mapping!$I$5:$I$400,"OK")</f>
        <v/>
      </c>
    </row>
    <row r="7" ht="15" customHeight="1" s="40">
      <c r="A7" s="30" t="inlineStr">
        <is>
          <t>缺失</t>
        </is>
      </c>
      <c r="B7" s="31">
        <f>B5-B6</f>
        <v/>
      </c>
    </row>
    <row r="8" ht="15" customHeight="1" s="40">
      <c r="A8" s="30" t="inlineStr">
        <is>
          <t>覆盖率</t>
        </is>
      </c>
      <c r="B8" s="37">
        <f>IF(B5=0,0,B6/B5)</f>
        <v/>
      </c>
    </row>
    <row r="9" ht="15" customHeight="1" s="40">
      <c r="A9" s="33" t="inlineStr">
        <is>
          <t>关卡 G1 结论</t>
        </is>
      </c>
      <c r="B9" s="31">
        <f>IF(B7=0,"PASS","FAIL — BLOCK PRODUCTION")</f>
        <v/>
      </c>
    </row>
    <row r="10">
      <c r="A10" s="4" t="n"/>
      <c r="B10" s="4" t="n"/>
    </row>
    <row r="11">
      <c r="A11" s="4" t="n"/>
      <c r="B11" s="4" t="n"/>
    </row>
    <row r="12" ht="15" customHeight="1" s="40">
      <c r="A12" s="11" t="inlineStr">
        <is>
          <t>投产校验器 —— 本模板所代表的完整展开：</t>
        </is>
      </c>
      <c r="B12" s="4" t="n"/>
    </row>
    <row r="13" ht="15" customHeight="1" s="40">
      <c r="A13" s="38" t="inlineStr">
        <is>
          <t>For every ENABLED combination  entity x product x currency x event_code x balance_type,</t>
        </is>
      </c>
      <c r="B13" s="4" t="n"/>
    </row>
    <row r="14" ht="15" customHeight="1" s="40">
      <c r="A14" s="38" t="inlineStr">
        <is>
          <t>a GL mapping must exist. Required count = SUM over enabled entities of</t>
        </is>
      </c>
      <c r="B14" s="4" t="n"/>
    </row>
    <row r="15" ht="15" customHeight="1" s="40">
      <c r="A15" s="38" t="inlineStr">
        <is>
          <t>(products x currencies x distinct balance_types reachable from L2 for those products).</t>
        </is>
      </c>
      <c r="B15" s="4" t="n"/>
    </row>
    <row r="16" ht="15" customHeight="1" s="40">
      <c r="A16" s="39" t="n"/>
      <c r="B16" s="4" t="n"/>
    </row>
    <row r="17" ht="15" customHeight="1" s="40">
      <c r="A17" s="38" t="inlineStr">
        <is>
          <t>Failure output:</t>
        </is>
      </c>
      <c r="B17" s="4" t="n"/>
    </row>
    <row r="18" ht="15" customHeight="1" s="40">
      <c r="A18" s="38" t="inlineStr">
        <is>
          <t xml:space="preserve">    MISSING_GL_MAPPING</t>
        </is>
      </c>
      <c r="B18" s="4" t="n"/>
    </row>
    <row r="19" ht="15" customHeight="1" s="40">
      <c r="A19" s="38" t="inlineStr">
        <is>
          <t xml:space="preserve">    Entity: TW01 | Product: IMPORT_LC | Currency: JPY</t>
        </is>
      </c>
      <c r="B19" s="4" t="n"/>
    </row>
    <row r="20" ht="15" customHeight="1" s="40">
      <c r="A20" s="38" t="inlineStr">
        <is>
          <t xml:space="preserve">    Balance Type: ACCEPTANCE_DPU_OUTSTANDING | Triggered by: LC_ACCEPT</t>
        </is>
      </c>
      <c r="B20" s="4" t="n"/>
    </row>
    <row r="21" ht="15.75" customHeight="1" s="40">
      <c r="A21" s="4" t="n"/>
      <c r="B21" s="4" t="n"/>
    </row>
    <row r="22" ht="15.75" customHeight="1" s="40">
      <c r="A22" s="4" t="n"/>
      <c r="B22" s="4" t="n"/>
    </row>
    <row r="23" ht="15.75" customHeight="1" s="40">
      <c r="A23" s="4" t="n"/>
      <c r="B23" s="4" t="n"/>
    </row>
    <row r="24" ht="15.75" customHeight="1" s="40">
      <c r="A24" s="4" t="n"/>
      <c r="B24" s="4" t="n"/>
    </row>
    <row r="25" ht="15.75" customHeight="1" s="40">
      <c r="A25" s="4" t="n"/>
      <c r="B25" s="4" t="n"/>
    </row>
    <row r="26" ht="15.75" customHeight="1" s="40">
      <c r="A26" s="4" t="n"/>
      <c r="B26" s="4" t="n"/>
    </row>
    <row r="27" ht="15.75" customHeight="1" s="40">
      <c r="A27" s="4" t="n"/>
      <c r="B27" s="4" t="n"/>
    </row>
    <row r="28" ht="15.75" customHeight="1" s="40">
      <c r="A28" s="4" t="n"/>
      <c r="B28" s="4" t="n"/>
    </row>
    <row r="29" ht="15.75" customHeight="1" s="40">
      <c r="A29" s="4" t="n"/>
      <c r="B29" s="4" t="n"/>
    </row>
    <row r="30" ht="15.75" customHeight="1" s="40">
      <c r="A30" s="4" t="n"/>
      <c r="B30" s="4" t="n"/>
    </row>
    <row r="31" ht="15.75" customHeight="1" s="40">
      <c r="A31" s="4" t="n"/>
      <c r="B31" s="4" t="n"/>
    </row>
    <row r="32" ht="15.75" customHeight="1" s="40">
      <c r="A32" s="4" t="n"/>
      <c r="B32" s="4" t="n"/>
    </row>
    <row r="33" ht="15.75" customHeight="1" s="40">
      <c r="A33" s="4" t="n"/>
      <c r="B33" s="4" t="n"/>
    </row>
    <row r="34" ht="15.75" customHeight="1" s="40">
      <c r="A34" s="4" t="n"/>
      <c r="B34" s="4" t="n"/>
    </row>
    <row r="35" ht="15.75" customHeight="1" s="40">
      <c r="A35" s="4" t="n"/>
      <c r="B35" s="4" t="n"/>
    </row>
    <row r="36" ht="15.75" customHeight="1" s="40">
      <c r="A36" s="4" t="n"/>
      <c r="B36" s="4" t="n"/>
    </row>
    <row r="37" ht="15.75" customHeight="1" s="40">
      <c r="A37" s="4" t="n"/>
      <c r="B37" s="4" t="n"/>
    </row>
    <row r="38" ht="15.75" customHeight="1" s="40">
      <c r="A38" s="4" t="n"/>
      <c r="B38" s="4" t="n"/>
    </row>
    <row r="39" ht="15.75" customHeight="1" s="40">
      <c r="A39" s="4" t="n"/>
      <c r="B39" s="4" t="n"/>
    </row>
    <row r="40" ht="15.75" customHeight="1" s="40">
      <c r="A40" s="4" t="n"/>
      <c r="B40" s="4" t="n"/>
    </row>
    <row r="41" ht="15.75" customHeight="1" s="40">
      <c r="A41" s="4" t="n"/>
      <c r="B41" s="4" t="n"/>
    </row>
    <row r="42" ht="15.75" customHeight="1" s="40">
      <c r="A42" s="4" t="n"/>
      <c r="B42" s="4" t="n"/>
    </row>
    <row r="43" ht="15.75" customHeight="1" s="40">
      <c r="A43" s="4" t="n"/>
      <c r="B43" s="4" t="n"/>
    </row>
    <row r="44" ht="15.75" customHeight="1" s="40">
      <c r="A44" s="4" t="n"/>
      <c r="B44" s="4" t="n"/>
    </row>
    <row r="45" ht="15.75" customHeight="1" s="40">
      <c r="A45" s="4" t="n"/>
      <c r="B45" s="4" t="n"/>
    </row>
    <row r="46" ht="15.75" customHeight="1" s="40">
      <c r="A46" s="4" t="n"/>
      <c r="B46" s="4" t="n"/>
    </row>
    <row r="47" ht="15.75" customHeight="1" s="40">
      <c r="A47" s="4" t="n"/>
      <c r="B47" s="4" t="n"/>
    </row>
    <row r="48" ht="15.75" customHeight="1" s="40">
      <c r="A48" s="4" t="n"/>
      <c r="B48" s="4" t="n"/>
    </row>
    <row r="49" ht="15.75" customHeight="1" s="40">
      <c r="A49" s="4" t="n"/>
      <c r="B49" s="4" t="n"/>
    </row>
    <row r="50" ht="15.75" customHeight="1" s="40">
      <c r="A50" s="4" t="n"/>
      <c r="B50" s="4" t="n"/>
    </row>
    <row r="51" ht="15.75" customHeight="1" s="40">
      <c r="A51" s="4" t="n"/>
      <c r="B51" s="4" t="n"/>
    </row>
    <row r="52" ht="15.75" customHeight="1" s="40">
      <c r="A52" s="4" t="n"/>
      <c r="B52" s="4" t="n"/>
    </row>
    <row r="53" ht="15.75" customHeight="1" s="40">
      <c r="A53" s="4" t="n"/>
      <c r="B53" s="4" t="n"/>
    </row>
    <row r="54" ht="15.75" customHeight="1" s="40">
      <c r="A54" s="4" t="n"/>
      <c r="B54" s="4" t="n"/>
    </row>
    <row r="55" ht="15.75" customHeight="1" s="40">
      <c r="A55" s="4" t="n"/>
      <c r="B55" s="4" t="n"/>
    </row>
    <row r="56" ht="15.75" customHeight="1" s="40">
      <c r="A56" s="4" t="n"/>
      <c r="B56" s="4" t="n"/>
    </row>
    <row r="57" ht="15.75" customHeight="1" s="40">
      <c r="A57" s="4" t="n"/>
      <c r="B57" s="4" t="n"/>
    </row>
    <row r="58" ht="15.75" customHeight="1" s="40">
      <c r="A58" s="4" t="n"/>
      <c r="B58" s="4" t="n"/>
    </row>
    <row r="59" ht="15.75" customHeight="1" s="40">
      <c r="A59" s="4" t="n"/>
      <c r="B59" s="4" t="n"/>
    </row>
    <row r="60" ht="15.75" customHeight="1" s="40">
      <c r="A60" s="4" t="n"/>
      <c r="B60" s="4" t="n"/>
    </row>
    <row r="61" ht="15.75" customHeight="1" s="40">
      <c r="A61" s="4" t="n"/>
      <c r="B61" s="4" t="n"/>
    </row>
    <row r="62" ht="15.75" customHeight="1" s="40">
      <c r="A62" s="4" t="n"/>
      <c r="B62" s="4" t="n"/>
    </row>
    <row r="63" ht="15.75" customHeight="1" s="40">
      <c r="A63" s="4" t="n"/>
      <c r="B63" s="4" t="n"/>
    </row>
    <row r="64" ht="15.75" customHeight="1" s="40">
      <c r="A64" s="4" t="n"/>
      <c r="B64" s="4" t="n"/>
    </row>
    <row r="65" ht="15.75" customHeight="1" s="40">
      <c r="A65" s="4" t="n"/>
      <c r="B65" s="4" t="n"/>
    </row>
    <row r="66" ht="15.75" customHeight="1" s="40">
      <c r="A66" s="4" t="n"/>
      <c r="B66" s="4" t="n"/>
    </row>
    <row r="67" ht="15.75" customHeight="1" s="40">
      <c r="A67" s="4" t="n"/>
      <c r="B67" s="4" t="n"/>
    </row>
    <row r="68" ht="15.75" customHeight="1" s="40">
      <c r="A68" s="4" t="n"/>
      <c r="B68" s="4" t="n"/>
    </row>
    <row r="69" ht="15.75" customHeight="1" s="40">
      <c r="A69" s="4" t="n"/>
      <c r="B69" s="4" t="n"/>
    </row>
    <row r="70" ht="15.75" customHeight="1" s="40">
      <c r="A70" s="4" t="n"/>
      <c r="B70" s="4" t="n"/>
    </row>
    <row r="71" ht="15.75" customHeight="1" s="40">
      <c r="A71" s="4" t="n"/>
      <c r="B71" s="4" t="n"/>
    </row>
    <row r="72" ht="15.75" customHeight="1" s="40">
      <c r="A72" s="4" t="n"/>
      <c r="B72" s="4" t="n"/>
    </row>
    <row r="73" ht="15.75" customHeight="1" s="40">
      <c r="A73" s="4" t="n"/>
      <c r="B73" s="4" t="n"/>
    </row>
    <row r="74" ht="15.75" customHeight="1" s="40">
      <c r="A74" s="4" t="n"/>
      <c r="B74" s="4" t="n"/>
    </row>
    <row r="75" ht="15.75" customHeight="1" s="40">
      <c r="A75" s="4" t="n"/>
      <c r="B75" s="4" t="n"/>
    </row>
    <row r="76" ht="15.75" customHeight="1" s="40">
      <c r="A76" s="4" t="n"/>
      <c r="B76" s="4" t="n"/>
    </row>
    <row r="77" ht="15.75" customHeight="1" s="40">
      <c r="A77" s="4" t="n"/>
      <c r="B77" s="4" t="n"/>
    </row>
    <row r="78" ht="15.75" customHeight="1" s="40">
      <c r="A78" s="4" t="n"/>
      <c r="B78" s="4" t="n"/>
    </row>
    <row r="79" ht="15.75" customHeight="1" s="40">
      <c r="A79" s="4" t="n"/>
      <c r="B79" s="4" t="n"/>
    </row>
    <row r="80" ht="15.75" customHeight="1" s="40">
      <c r="A80" s="4" t="n"/>
      <c r="B80" s="4" t="n"/>
    </row>
    <row r="81" ht="15.75" customHeight="1" s="40">
      <c r="A81" s="4" t="n"/>
      <c r="B81" s="4" t="n"/>
    </row>
    <row r="82" ht="15.75" customHeight="1" s="40">
      <c r="A82" s="4" t="n"/>
      <c r="B82" s="4" t="n"/>
    </row>
    <row r="83" ht="15.75" customHeight="1" s="40">
      <c r="A83" s="4" t="n"/>
      <c r="B83" s="4" t="n"/>
    </row>
    <row r="84" ht="15.75" customHeight="1" s="40">
      <c r="A84" s="4" t="n"/>
      <c r="B84" s="4" t="n"/>
    </row>
    <row r="85" ht="15.75" customHeight="1" s="40">
      <c r="A85" s="4" t="n"/>
      <c r="B85" s="4" t="n"/>
    </row>
    <row r="86" ht="15.75" customHeight="1" s="40">
      <c r="A86" s="4" t="n"/>
      <c r="B86" s="4" t="n"/>
    </row>
    <row r="87" ht="15.75" customHeight="1" s="40">
      <c r="A87" s="4" t="n"/>
      <c r="B87" s="4" t="n"/>
    </row>
    <row r="88" ht="15.75" customHeight="1" s="40">
      <c r="A88" s="4" t="n"/>
      <c r="B88" s="4" t="n"/>
    </row>
    <row r="89" ht="15.75" customHeight="1" s="40">
      <c r="A89" s="4" t="n"/>
      <c r="B89" s="4" t="n"/>
    </row>
    <row r="90" ht="15.75" customHeight="1" s="40">
      <c r="A90" s="4" t="n"/>
      <c r="B90" s="4" t="n"/>
    </row>
    <row r="91" ht="15.75" customHeight="1" s="40">
      <c r="A91" s="4" t="n"/>
      <c r="B91" s="4" t="n"/>
    </row>
    <row r="92" ht="15.75" customHeight="1" s="40">
      <c r="A92" s="4" t="n"/>
      <c r="B92" s="4" t="n"/>
    </row>
    <row r="93" ht="15.75" customHeight="1" s="40">
      <c r="A93" s="4" t="n"/>
      <c r="B93" s="4" t="n"/>
    </row>
    <row r="94" ht="15.75" customHeight="1" s="40">
      <c r="A94" s="4" t="n"/>
      <c r="B94" s="4" t="n"/>
    </row>
    <row r="95" ht="15.75" customHeight="1" s="40">
      <c r="A95" s="4" t="n"/>
      <c r="B95" s="4" t="n"/>
    </row>
    <row r="96" ht="15.75" customHeight="1" s="40">
      <c r="A96" s="4" t="n"/>
      <c r="B96" s="4" t="n"/>
    </row>
    <row r="97" ht="15.75" customHeight="1" s="40">
      <c r="A97" s="4" t="n"/>
      <c r="B97" s="4" t="n"/>
    </row>
    <row r="98" ht="15.75" customHeight="1" s="40">
      <c r="A98" s="4" t="n"/>
      <c r="B98" s="4" t="n"/>
    </row>
    <row r="99" ht="15.75" customHeight="1" s="40">
      <c r="A99" s="4" t="n"/>
      <c r="B99" s="4" t="n"/>
    </row>
    <row r="100" ht="15.75" customHeight="1" s="40">
      <c r="A100" s="4" t="n"/>
      <c r="B100" s="4" t="n"/>
    </row>
    <row r="101" ht="15.75" customHeight="1" s="40">
      <c r="A101" s="4" t="n"/>
      <c r="B101" s="4" t="n"/>
    </row>
    <row r="102" ht="15.75" customHeight="1" s="40">
      <c r="A102" s="4" t="n"/>
      <c r="B102" s="4" t="n"/>
    </row>
    <row r="103" ht="15.75" customHeight="1" s="40">
      <c r="A103" s="4" t="n"/>
      <c r="B103" s="4" t="n"/>
    </row>
    <row r="104" ht="15.75" customHeight="1" s="40">
      <c r="A104" s="4" t="n"/>
      <c r="B104" s="4" t="n"/>
    </row>
    <row r="105" ht="15.75" customHeight="1" s="40">
      <c r="A105" s="4" t="n"/>
      <c r="B105" s="4" t="n"/>
    </row>
    <row r="106" ht="15.75" customHeight="1" s="40">
      <c r="A106" s="4" t="n"/>
      <c r="B106" s="4" t="n"/>
    </row>
    <row r="107" ht="15.75" customHeight="1" s="40">
      <c r="A107" s="4" t="n"/>
      <c r="B107" s="4" t="n"/>
    </row>
    <row r="108" ht="15.75" customHeight="1" s="40">
      <c r="A108" s="4" t="n"/>
      <c r="B108" s="4" t="n"/>
    </row>
    <row r="109" ht="15.75" customHeight="1" s="40">
      <c r="A109" s="4" t="n"/>
      <c r="B109" s="4" t="n"/>
    </row>
    <row r="110" ht="15.75" customHeight="1" s="40">
      <c r="A110" s="4" t="n"/>
      <c r="B110" s="4" t="n"/>
    </row>
    <row r="111" ht="15.75" customHeight="1" s="40">
      <c r="A111" s="4" t="n"/>
      <c r="B111" s="4" t="n"/>
    </row>
    <row r="112" ht="15.75" customHeight="1" s="40">
      <c r="A112" s="4" t="n"/>
      <c r="B112" s="4" t="n"/>
    </row>
    <row r="113" ht="15.75" customHeight="1" s="40">
      <c r="A113" s="4" t="n"/>
      <c r="B113" s="4" t="n"/>
    </row>
    <row r="114" ht="15.75" customHeight="1" s="40">
      <c r="A114" s="4" t="n"/>
      <c r="B114" s="4" t="n"/>
    </row>
    <row r="115" ht="15.75" customHeight="1" s="40">
      <c r="A115" s="4" t="n"/>
      <c r="B115" s="4" t="n"/>
    </row>
    <row r="116" ht="15.75" customHeight="1" s="40">
      <c r="A116" s="4" t="n"/>
      <c r="B116" s="4" t="n"/>
    </row>
    <row r="117" ht="15.75" customHeight="1" s="40">
      <c r="A117" s="4" t="n"/>
      <c r="B117" s="4" t="n"/>
    </row>
    <row r="118" ht="15.75" customHeight="1" s="40">
      <c r="A118" s="4" t="n"/>
      <c r="B118" s="4" t="n"/>
    </row>
    <row r="119" ht="15.75" customHeight="1" s="40">
      <c r="A119" s="4" t="n"/>
      <c r="B119" s="4" t="n"/>
    </row>
    <row r="120" ht="15.75" customHeight="1" s="40">
      <c r="A120" s="4" t="n"/>
      <c r="B120" s="4" t="n"/>
    </row>
    <row r="121" ht="15.75" customHeight="1" s="40">
      <c r="A121" s="4" t="n"/>
      <c r="B121" s="4" t="n"/>
    </row>
    <row r="122" ht="15.75" customHeight="1" s="40">
      <c r="A122" s="4" t="n"/>
      <c r="B122" s="4" t="n"/>
    </row>
    <row r="123" ht="15.75" customHeight="1" s="40">
      <c r="A123" s="4" t="n"/>
      <c r="B123" s="4" t="n"/>
    </row>
    <row r="124" ht="15.75" customHeight="1" s="40">
      <c r="A124" s="4" t="n"/>
      <c r="B124" s="4" t="n"/>
    </row>
    <row r="125" ht="15.75" customHeight="1" s="40">
      <c r="A125" s="4" t="n"/>
      <c r="B125" s="4" t="n"/>
    </row>
    <row r="126" ht="15.75" customHeight="1" s="40">
      <c r="A126" s="4" t="n"/>
      <c r="B126" s="4" t="n"/>
    </row>
    <row r="127" ht="15.75" customHeight="1" s="40">
      <c r="A127" s="4" t="n"/>
      <c r="B127" s="4" t="n"/>
    </row>
    <row r="128" ht="15.75" customHeight="1" s="40">
      <c r="A128" s="4" t="n"/>
      <c r="B128" s="4" t="n"/>
    </row>
    <row r="129" ht="15.75" customHeight="1" s="40">
      <c r="A129" s="4" t="n"/>
      <c r="B129" s="4" t="n"/>
    </row>
    <row r="130" ht="15.75" customHeight="1" s="40">
      <c r="A130" s="4" t="n"/>
      <c r="B130" s="4" t="n"/>
    </row>
    <row r="131" ht="15.75" customHeight="1" s="40">
      <c r="A131" s="4" t="n"/>
      <c r="B131" s="4" t="n"/>
    </row>
    <row r="132" ht="15.75" customHeight="1" s="40">
      <c r="A132" s="4" t="n"/>
      <c r="B132" s="4" t="n"/>
    </row>
    <row r="133" ht="15.75" customHeight="1" s="40">
      <c r="A133" s="4" t="n"/>
      <c r="B133" s="4" t="n"/>
    </row>
    <row r="134" ht="15.75" customHeight="1" s="40">
      <c r="A134" s="4" t="n"/>
      <c r="B134" s="4" t="n"/>
    </row>
    <row r="135" ht="15.75" customHeight="1" s="40">
      <c r="A135" s="4" t="n"/>
      <c r="B135" s="4" t="n"/>
    </row>
    <row r="136" ht="15.75" customHeight="1" s="40">
      <c r="A136" s="4" t="n"/>
      <c r="B136" s="4" t="n"/>
    </row>
    <row r="137" ht="15.75" customHeight="1" s="40">
      <c r="A137" s="4" t="n"/>
      <c r="B137" s="4" t="n"/>
    </row>
    <row r="138" ht="15.75" customHeight="1" s="40">
      <c r="A138" s="4" t="n"/>
      <c r="B138" s="4" t="n"/>
    </row>
    <row r="139" ht="15.75" customHeight="1" s="40">
      <c r="A139" s="4" t="n"/>
      <c r="B139" s="4" t="n"/>
    </row>
    <row r="140" ht="15.75" customHeight="1" s="40">
      <c r="A140" s="4" t="n"/>
      <c r="B140" s="4" t="n"/>
    </row>
    <row r="141" ht="15.75" customHeight="1" s="40">
      <c r="A141" s="4" t="n"/>
      <c r="B141" s="4" t="n"/>
    </row>
    <row r="142" ht="15.75" customHeight="1" s="40">
      <c r="A142" s="4" t="n"/>
      <c r="B142" s="4" t="n"/>
    </row>
    <row r="143" ht="15.75" customHeight="1" s="40">
      <c r="A143" s="4" t="n"/>
      <c r="B143" s="4" t="n"/>
    </row>
    <row r="144" ht="15.75" customHeight="1" s="40">
      <c r="A144" s="4" t="n"/>
      <c r="B144" s="4" t="n"/>
    </row>
    <row r="145" ht="15.75" customHeight="1" s="40">
      <c r="A145" s="4" t="n"/>
      <c r="B145" s="4" t="n"/>
    </row>
    <row r="146" ht="15.75" customHeight="1" s="40">
      <c r="A146" s="4" t="n"/>
      <c r="B146" s="4" t="n"/>
    </row>
    <row r="147" ht="15.75" customHeight="1" s="40">
      <c r="A147" s="4" t="n"/>
      <c r="B147" s="4" t="n"/>
    </row>
    <row r="148" ht="15.75" customHeight="1" s="40">
      <c r="A148" s="4" t="n"/>
      <c r="B148" s="4" t="n"/>
    </row>
    <row r="149" ht="15.75" customHeight="1" s="40">
      <c r="A149" s="4" t="n"/>
      <c r="B149" s="4" t="n"/>
    </row>
    <row r="150" ht="15.75" customHeight="1" s="40">
      <c r="A150" s="4" t="n"/>
      <c r="B150" s="4" t="n"/>
    </row>
    <row r="151" ht="15.75" customHeight="1" s="40">
      <c r="A151" s="4" t="n"/>
      <c r="B151" s="4" t="n"/>
    </row>
    <row r="152" ht="15.75" customHeight="1" s="40">
      <c r="A152" s="4" t="n"/>
      <c r="B152" s="4" t="n"/>
    </row>
    <row r="153" ht="15.75" customHeight="1" s="40">
      <c r="A153" s="4" t="n"/>
      <c r="B153" s="4" t="n"/>
    </row>
    <row r="154" ht="15.75" customHeight="1" s="40">
      <c r="A154" s="4" t="n"/>
      <c r="B154" s="4" t="n"/>
    </row>
    <row r="155" ht="15.75" customHeight="1" s="40">
      <c r="A155" s="4" t="n"/>
      <c r="B155" s="4" t="n"/>
    </row>
    <row r="156" ht="15.75" customHeight="1" s="40">
      <c r="A156" s="4" t="n"/>
      <c r="B156" s="4" t="n"/>
    </row>
    <row r="157" ht="15.75" customHeight="1" s="40">
      <c r="A157" s="4" t="n"/>
      <c r="B157" s="4" t="n"/>
    </row>
    <row r="158" ht="15.75" customHeight="1" s="40">
      <c r="A158" s="4" t="n"/>
      <c r="B158" s="4" t="n"/>
    </row>
    <row r="159" ht="15.75" customHeight="1" s="40">
      <c r="A159" s="4" t="n"/>
      <c r="B159" s="4" t="n"/>
    </row>
    <row r="160" ht="15.75" customHeight="1" s="40">
      <c r="A160" s="4" t="n"/>
      <c r="B160" s="4" t="n"/>
    </row>
    <row r="161" ht="15.75" customHeight="1" s="40">
      <c r="A161" s="4" t="n"/>
      <c r="B161" s="4" t="n"/>
    </row>
    <row r="162" ht="15.75" customHeight="1" s="40">
      <c r="A162" s="4" t="n"/>
      <c r="B162" s="4" t="n"/>
    </row>
    <row r="163" ht="15.75" customHeight="1" s="40">
      <c r="A163" s="4" t="n"/>
      <c r="B163" s="4" t="n"/>
    </row>
    <row r="164" ht="15.75" customHeight="1" s="40">
      <c r="A164" s="4" t="n"/>
      <c r="B164" s="4" t="n"/>
    </row>
    <row r="165" ht="15.75" customHeight="1" s="40">
      <c r="A165" s="4" t="n"/>
      <c r="B165" s="4" t="n"/>
    </row>
    <row r="166" ht="15.75" customHeight="1" s="40">
      <c r="A166" s="4" t="n"/>
      <c r="B166" s="4" t="n"/>
    </row>
    <row r="167" ht="15.75" customHeight="1" s="40">
      <c r="A167" s="4" t="n"/>
      <c r="B167" s="4" t="n"/>
    </row>
    <row r="168" ht="15.75" customHeight="1" s="40">
      <c r="A168" s="4" t="n"/>
      <c r="B168" s="4" t="n"/>
    </row>
    <row r="169" ht="15.75" customHeight="1" s="40">
      <c r="A169" s="4" t="n"/>
      <c r="B169" s="4" t="n"/>
    </row>
    <row r="170" ht="15.75" customHeight="1" s="40">
      <c r="A170" s="4" t="n"/>
      <c r="B170" s="4" t="n"/>
    </row>
    <row r="171" ht="15.75" customHeight="1" s="40">
      <c r="A171" s="4" t="n"/>
      <c r="B171" s="4" t="n"/>
    </row>
    <row r="172" ht="15.75" customHeight="1" s="40">
      <c r="A172" s="4" t="n"/>
      <c r="B172" s="4" t="n"/>
    </row>
    <row r="173" ht="15.75" customHeight="1" s="40">
      <c r="A173" s="4" t="n"/>
      <c r="B173" s="4" t="n"/>
    </row>
    <row r="174" ht="15.75" customHeight="1" s="40">
      <c r="A174" s="4" t="n"/>
      <c r="B174" s="4" t="n"/>
    </row>
    <row r="175" ht="15.75" customHeight="1" s="40">
      <c r="A175" s="4" t="n"/>
      <c r="B175" s="4" t="n"/>
    </row>
    <row r="176" ht="15.75" customHeight="1" s="40">
      <c r="A176" s="4" t="n"/>
      <c r="B176" s="4" t="n"/>
    </row>
    <row r="177" ht="15.75" customHeight="1" s="40">
      <c r="A177" s="4" t="n"/>
      <c r="B177" s="4" t="n"/>
    </row>
    <row r="178" ht="15.75" customHeight="1" s="40">
      <c r="A178" s="4" t="n"/>
      <c r="B178" s="4" t="n"/>
    </row>
    <row r="179" ht="15.75" customHeight="1" s="40">
      <c r="A179" s="4" t="n"/>
      <c r="B179" s="4" t="n"/>
    </row>
    <row r="180" ht="15.75" customHeight="1" s="40">
      <c r="A180" s="4" t="n"/>
      <c r="B180" s="4" t="n"/>
    </row>
    <row r="181" ht="15.75" customHeight="1" s="40">
      <c r="A181" s="4" t="n"/>
      <c r="B181" s="4" t="n"/>
    </row>
    <row r="182" ht="15.75" customHeight="1" s="40">
      <c r="A182" s="4" t="n"/>
      <c r="B182" s="4" t="n"/>
    </row>
    <row r="183" ht="15.75" customHeight="1" s="40">
      <c r="A183" s="4" t="n"/>
      <c r="B183" s="4" t="n"/>
    </row>
    <row r="184" ht="15.75" customHeight="1" s="40">
      <c r="A184" s="4" t="n"/>
      <c r="B184" s="4" t="n"/>
    </row>
    <row r="185" ht="15.75" customHeight="1" s="40">
      <c r="A185" s="4" t="n"/>
      <c r="B185" s="4" t="n"/>
    </row>
    <row r="186" ht="15.75" customHeight="1" s="40">
      <c r="A186" s="4" t="n"/>
      <c r="B186" s="4" t="n"/>
    </row>
    <row r="187" ht="15.75" customHeight="1" s="40">
      <c r="A187" s="4" t="n"/>
      <c r="B187" s="4" t="n"/>
    </row>
    <row r="188" ht="15.75" customHeight="1" s="40">
      <c r="A188" s="4" t="n"/>
      <c r="B188" s="4" t="n"/>
    </row>
    <row r="189" ht="15.75" customHeight="1" s="40">
      <c r="A189" s="4" t="n"/>
      <c r="B189" s="4" t="n"/>
    </row>
    <row r="190" ht="15.75" customHeight="1" s="40">
      <c r="A190" s="4" t="n"/>
      <c r="B190" s="4" t="n"/>
    </row>
    <row r="191" ht="15.75" customHeight="1" s="40">
      <c r="A191" s="4" t="n"/>
      <c r="B191" s="4" t="n"/>
    </row>
    <row r="192" ht="15.75" customHeight="1" s="40">
      <c r="A192" s="4" t="n"/>
      <c r="B192" s="4" t="n"/>
    </row>
    <row r="193" ht="15.75" customHeight="1" s="40">
      <c r="A193" s="4" t="n"/>
      <c r="B193" s="4" t="n"/>
    </row>
    <row r="194" ht="15.75" customHeight="1" s="40">
      <c r="A194" s="4" t="n"/>
      <c r="B194" s="4" t="n"/>
    </row>
    <row r="195" ht="15.75" customHeight="1" s="40">
      <c r="A195" s="4" t="n"/>
      <c r="B195" s="4" t="n"/>
    </row>
    <row r="196" ht="15.75" customHeight="1" s="40">
      <c r="A196" s="4" t="n"/>
      <c r="B196" s="4" t="n"/>
    </row>
    <row r="197" ht="15.75" customHeight="1" s="40">
      <c r="A197" s="4" t="n"/>
      <c r="B197" s="4" t="n"/>
    </row>
    <row r="198" ht="15.75" customHeight="1" s="40">
      <c r="A198" s="4" t="n"/>
      <c r="B198" s="4" t="n"/>
    </row>
    <row r="199" ht="15.75" customHeight="1" s="40">
      <c r="A199" s="4" t="n"/>
      <c r="B199" s="4" t="n"/>
    </row>
    <row r="200" ht="15.75" customHeight="1" s="40">
      <c r="A200" s="4" t="n"/>
      <c r="B200" s="4" t="n"/>
    </row>
    <row r="201" ht="15.75" customHeight="1" s="40">
      <c r="A201" s="4" t="n"/>
      <c r="B201" s="4" t="n"/>
    </row>
    <row r="202" ht="15.75" customHeight="1" s="40">
      <c r="A202" s="4" t="n"/>
      <c r="B202" s="4" t="n"/>
    </row>
    <row r="203" ht="15.75" customHeight="1" s="40">
      <c r="A203" s="4" t="n"/>
      <c r="B203" s="4" t="n"/>
    </row>
    <row r="204" ht="15.75" customHeight="1" s="40">
      <c r="A204" s="4" t="n"/>
      <c r="B204" s="4" t="n"/>
    </row>
    <row r="205" ht="15.75" customHeight="1" s="40">
      <c r="A205" s="4" t="n"/>
      <c r="B205" s="4" t="n"/>
    </row>
    <row r="206" ht="15.75" customHeight="1" s="40">
      <c r="A206" s="4" t="n"/>
      <c r="B206" s="4" t="n"/>
    </row>
    <row r="207" ht="15.75" customHeight="1" s="40">
      <c r="A207" s="4" t="n"/>
      <c r="B207" s="4" t="n"/>
    </row>
    <row r="208" ht="15.75" customHeight="1" s="40">
      <c r="A208" s="4" t="n"/>
      <c r="B208" s="4" t="n"/>
    </row>
    <row r="209" ht="15.75" customHeight="1" s="40">
      <c r="A209" s="4" t="n"/>
      <c r="B209" s="4" t="n"/>
    </row>
    <row r="210" ht="15.75" customHeight="1" s="40">
      <c r="A210" s="4" t="n"/>
      <c r="B210" s="4" t="n"/>
    </row>
    <row r="211" ht="15.75" customHeight="1" s="40">
      <c r="A211" s="4" t="n"/>
      <c r="B211" s="4" t="n"/>
    </row>
    <row r="212" ht="15.75" customHeight="1" s="40">
      <c r="A212" s="4" t="n"/>
      <c r="B212" s="4" t="n"/>
    </row>
    <row r="213" ht="15.75" customHeight="1" s="40">
      <c r="A213" s="4" t="n"/>
      <c r="B213" s="4" t="n"/>
    </row>
    <row r="214" ht="15.75" customHeight="1" s="40">
      <c r="A214" s="4" t="n"/>
      <c r="B214" s="4" t="n"/>
    </row>
    <row r="215" ht="15.75" customHeight="1" s="40">
      <c r="A215" s="4" t="n"/>
      <c r="B215" s="4" t="n"/>
    </row>
    <row r="216" ht="15.75" customHeight="1" s="40">
      <c r="A216" s="4" t="n"/>
      <c r="B216" s="4" t="n"/>
    </row>
    <row r="217" ht="15.75" customHeight="1" s="40">
      <c r="A217" s="4" t="n"/>
      <c r="B217" s="4" t="n"/>
    </row>
    <row r="218" ht="15.75" customHeight="1" s="40">
      <c r="A218" s="4" t="n"/>
      <c r="B218" s="4" t="n"/>
    </row>
    <row r="219" ht="15.75" customHeight="1" s="40">
      <c r="A219" s="4" t="n"/>
      <c r="B219" s="4" t="n"/>
    </row>
    <row r="220" ht="15.75" customHeight="1" s="40">
      <c r="A220" s="4" t="n"/>
      <c r="B220" s="4" t="n"/>
    </row>
    <row r="221" ht="15.75" customHeight="1" s="40">
      <c r="A221" s="4" t="n"/>
      <c r="B221" s="4" t="n"/>
    </row>
    <row r="222" ht="15.75" customHeight="1" s="40">
      <c r="A222" s="4" t="n"/>
      <c r="B222" s="4" t="n"/>
    </row>
    <row r="223" ht="15.75" customHeight="1" s="40">
      <c r="A223" s="4" t="n"/>
      <c r="B223" s="4" t="n"/>
    </row>
    <row r="224" ht="15.75" customHeight="1" s="40">
      <c r="A224" s="4" t="n"/>
      <c r="B224" s="4" t="n"/>
    </row>
    <row r="225" ht="15.75" customHeight="1" s="40">
      <c r="A225" s="4" t="n"/>
      <c r="B225" s="4" t="n"/>
    </row>
    <row r="226" ht="15.75" customHeight="1" s="40">
      <c r="A226" s="4" t="n"/>
      <c r="B226" s="4" t="n"/>
    </row>
    <row r="227" ht="15.75" customHeight="1" s="40">
      <c r="A227" s="4" t="n"/>
      <c r="B227" s="4" t="n"/>
    </row>
    <row r="228" ht="15.75" customHeight="1" s="40">
      <c r="A228" s="4" t="n"/>
      <c r="B228" s="4" t="n"/>
    </row>
    <row r="229" ht="15.75" customHeight="1" s="40">
      <c r="A229" s="4" t="n"/>
      <c r="B229" s="4" t="n"/>
    </row>
    <row r="230" ht="15.75" customHeight="1" s="40">
      <c r="A230" s="4" t="n"/>
      <c r="B230" s="4" t="n"/>
    </row>
    <row r="231" ht="15.75" customHeight="1" s="40">
      <c r="A231" s="4" t="n"/>
      <c r="B231" s="4" t="n"/>
    </row>
    <row r="232" ht="15.75" customHeight="1" s="40">
      <c r="A232" s="4" t="n"/>
      <c r="B232" s="4" t="n"/>
    </row>
    <row r="233" ht="15.75" customHeight="1" s="40">
      <c r="A233" s="4" t="n"/>
      <c r="B233" s="4" t="n"/>
    </row>
    <row r="234" ht="15.75" customHeight="1" s="40">
      <c r="A234" s="4" t="n"/>
      <c r="B234" s="4" t="n"/>
    </row>
    <row r="235" ht="15.75" customHeight="1" s="40">
      <c r="A235" s="4" t="n"/>
      <c r="B235" s="4" t="n"/>
    </row>
    <row r="236" ht="15.75" customHeight="1" s="40">
      <c r="A236" s="4" t="n"/>
      <c r="B236" s="4" t="n"/>
    </row>
    <row r="237" ht="15.75" customHeight="1" s="40">
      <c r="A237" s="4" t="n"/>
      <c r="B237" s="4" t="n"/>
    </row>
    <row r="238" ht="15.75" customHeight="1" s="40">
      <c r="A238" s="4" t="n"/>
      <c r="B238" s="4" t="n"/>
    </row>
    <row r="239" ht="15.75" customHeight="1" s="40">
      <c r="A239" s="4" t="n"/>
      <c r="B239" s="4" t="n"/>
    </row>
    <row r="240" ht="15.75" customHeight="1" s="40">
      <c r="A240" s="4" t="n"/>
      <c r="B240" s="4" t="n"/>
    </row>
    <row r="241" ht="15.75" customHeight="1" s="40">
      <c r="A241" s="4" t="n"/>
      <c r="B241" s="4" t="n"/>
    </row>
    <row r="242" ht="15.75" customHeight="1" s="40">
      <c r="A242" s="4" t="n"/>
      <c r="B242" s="4" t="n"/>
    </row>
    <row r="243" ht="15.75" customHeight="1" s="40">
      <c r="A243" s="4" t="n"/>
      <c r="B243" s="4" t="n"/>
    </row>
    <row r="244" ht="15.75" customHeight="1" s="40">
      <c r="A244" s="4" t="n"/>
      <c r="B244" s="4" t="n"/>
    </row>
    <row r="245" ht="15.75" customHeight="1" s="40">
      <c r="A245" s="4" t="n"/>
      <c r="B245" s="4" t="n"/>
    </row>
    <row r="246" ht="15.75" customHeight="1" s="40">
      <c r="A246" s="4" t="n"/>
      <c r="B246" s="4" t="n"/>
    </row>
    <row r="247" ht="15.75" customHeight="1" s="40">
      <c r="A247" s="4" t="n"/>
      <c r="B247" s="4" t="n"/>
    </row>
    <row r="248" ht="15.75" customHeight="1" s="40">
      <c r="A248" s="4" t="n"/>
      <c r="B248" s="4" t="n"/>
    </row>
    <row r="249" ht="15.75" customHeight="1" s="40">
      <c r="A249" s="4" t="n"/>
      <c r="B249" s="4" t="n"/>
    </row>
    <row r="250" ht="15.75" customHeight="1" s="40">
      <c r="A250" s="4" t="n"/>
      <c r="B250" s="4" t="n"/>
    </row>
    <row r="251" ht="15.75" customHeight="1" s="40">
      <c r="A251" s="4" t="n"/>
      <c r="B251" s="4" t="n"/>
    </row>
    <row r="252" ht="15.75" customHeight="1" s="40">
      <c r="A252" s="4" t="n"/>
      <c r="B252" s="4" t="n"/>
    </row>
    <row r="253" ht="15.75" customHeight="1" s="40">
      <c r="A253" s="4" t="n"/>
      <c r="B253" s="4" t="n"/>
    </row>
    <row r="254" ht="15.75" customHeight="1" s="40">
      <c r="A254" s="4" t="n"/>
      <c r="B254" s="4" t="n"/>
    </row>
    <row r="255" ht="15.75" customHeight="1" s="40">
      <c r="A255" s="4" t="n"/>
      <c r="B255" s="4" t="n"/>
    </row>
    <row r="256" ht="15.75" customHeight="1" s="40">
      <c r="A256" s="4" t="n"/>
      <c r="B256" s="4" t="n"/>
    </row>
    <row r="257" ht="15.75" customHeight="1" s="40">
      <c r="A257" s="4" t="n"/>
      <c r="B257" s="4" t="n"/>
    </row>
    <row r="258" ht="15.75" customHeight="1" s="40">
      <c r="A258" s="4" t="n"/>
      <c r="B258" s="4" t="n"/>
    </row>
    <row r="259" ht="15.75" customHeight="1" s="40">
      <c r="A259" s="4" t="n"/>
      <c r="B259" s="4" t="n"/>
    </row>
    <row r="260" ht="15.75" customHeight="1" s="40">
      <c r="A260" s="4" t="n"/>
      <c r="B260" s="4" t="n"/>
    </row>
    <row r="261" ht="15.75" customHeight="1" s="40">
      <c r="A261" s="4" t="n"/>
      <c r="B261" s="4" t="n"/>
    </row>
    <row r="262" ht="15.75" customHeight="1" s="40">
      <c r="A262" s="4" t="n"/>
      <c r="B262" s="4" t="n"/>
    </row>
    <row r="263" ht="15.75" customHeight="1" s="40">
      <c r="A263" s="4" t="n"/>
      <c r="B263" s="4" t="n"/>
    </row>
    <row r="264" ht="15.75" customHeight="1" s="40">
      <c r="A264" s="4" t="n"/>
      <c r="B264" s="4" t="n"/>
    </row>
    <row r="265" ht="15.75" customHeight="1" s="40">
      <c r="A265" s="4" t="n"/>
      <c r="B265" s="4" t="n"/>
    </row>
    <row r="266" ht="15.75" customHeight="1" s="40">
      <c r="A266" s="4" t="n"/>
      <c r="B266" s="4" t="n"/>
    </row>
    <row r="267" ht="15.75" customHeight="1" s="40">
      <c r="A267" s="4" t="n"/>
      <c r="B267" s="4" t="n"/>
    </row>
    <row r="268" ht="15.75" customHeight="1" s="40">
      <c r="A268" s="4" t="n"/>
      <c r="B268" s="4" t="n"/>
    </row>
    <row r="269" ht="15.75" customHeight="1" s="40">
      <c r="A269" s="4" t="n"/>
      <c r="B269" s="4" t="n"/>
    </row>
    <row r="270" ht="15.75" customHeight="1" s="40">
      <c r="A270" s="4" t="n"/>
      <c r="B270" s="4" t="n"/>
    </row>
    <row r="271" ht="15.75" customHeight="1" s="40">
      <c r="A271" s="4" t="n"/>
      <c r="B271" s="4" t="n"/>
    </row>
    <row r="272" ht="15.75" customHeight="1" s="40">
      <c r="A272" s="4" t="n"/>
      <c r="B272" s="4" t="n"/>
    </row>
    <row r="273" ht="15.75" customHeight="1" s="40">
      <c r="A273" s="4" t="n"/>
      <c r="B273" s="4" t="n"/>
    </row>
    <row r="274" ht="15.75" customHeight="1" s="40">
      <c r="A274" s="4" t="n"/>
      <c r="B274" s="4" t="n"/>
    </row>
    <row r="275" ht="15.75" customHeight="1" s="40">
      <c r="A275" s="4" t="n"/>
      <c r="B275" s="4" t="n"/>
    </row>
    <row r="276" ht="15.75" customHeight="1" s="40">
      <c r="A276" s="4" t="n"/>
      <c r="B276" s="4" t="n"/>
    </row>
    <row r="277" ht="15.75" customHeight="1" s="40">
      <c r="A277" s="4" t="n"/>
      <c r="B277" s="4" t="n"/>
    </row>
    <row r="278" ht="15.75" customHeight="1" s="40">
      <c r="A278" s="4" t="n"/>
      <c r="B278" s="4" t="n"/>
    </row>
    <row r="279" ht="15.75" customHeight="1" s="40">
      <c r="A279" s="4" t="n"/>
      <c r="B279" s="4" t="n"/>
    </row>
    <row r="280" ht="15.75" customHeight="1" s="40">
      <c r="A280" s="4" t="n"/>
      <c r="B280" s="4" t="n"/>
    </row>
    <row r="281" ht="15.75" customHeight="1" s="40">
      <c r="A281" s="4" t="n"/>
      <c r="B281" s="4" t="n"/>
    </row>
    <row r="282" ht="15.75" customHeight="1" s="40">
      <c r="A282" s="4" t="n"/>
      <c r="B282" s="4" t="n"/>
    </row>
    <row r="283" ht="15.75" customHeight="1" s="40">
      <c r="A283" s="4" t="n"/>
      <c r="B283" s="4" t="n"/>
    </row>
    <row r="284" ht="15.75" customHeight="1" s="40">
      <c r="A284" s="4" t="n"/>
      <c r="B284" s="4" t="n"/>
    </row>
    <row r="285" ht="15.75" customHeight="1" s="40">
      <c r="A285" s="4" t="n"/>
      <c r="B285" s="4" t="n"/>
    </row>
    <row r="286" ht="15.75" customHeight="1" s="40">
      <c r="A286" s="4" t="n"/>
      <c r="B286" s="4" t="n"/>
    </row>
    <row r="287" ht="15.75" customHeight="1" s="40">
      <c r="A287" s="4" t="n"/>
      <c r="B287" s="4" t="n"/>
    </row>
    <row r="288" ht="15.75" customHeight="1" s="40">
      <c r="A288" s="4" t="n"/>
      <c r="B288" s="4" t="n"/>
    </row>
    <row r="289" ht="15.75" customHeight="1" s="40">
      <c r="A289" s="4" t="n"/>
      <c r="B289" s="4" t="n"/>
    </row>
    <row r="290" ht="15.75" customHeight="1" s="40">
      <c r="A290" s="4" t="n"/>
      <c r="B290" s="4" t="n"/>
    </row>
    <row r="291" ht="15.75" customHeight="1" s="40">
      <c r="A291" s="4" t="n"/>
      <c r="B291" s="4" t="n"/>
    </row>
    <row r="292" ht="15.75" customHeight="1" s="40">
      <c r="A292" s="4" t="n"/>
      <c r="B292" s="4" t="n"/>
    </row>
    <row r="293" ht="15.75" customHeight="1" s="40">
      <c r="A293" s="4" t="n"/>
      <c r="B293" s="4" t="n"/>
    </row>
    <row r="294" ht="15.75" customHeight="1" s="40">
      <c r="A294" s="4" t="n"/>
      <c r="B294" s="4" t="n"/>
    </row>
    <row r="295" ht="15.75" customHeight="1" s="40">
      <c r="A295" s="4" t="n"/>
      <c r="B295" s="4" t="n"/>
    </row>
    <row r="296" ht="15.75" customHeight="1" s="40">
      <c r="A296" s="4" t="n"/>
      <c r="B296" s="4" t="n"/>
    </row>
    <row r="297" ht="15.75" customHeight="1" s="40">
      <c r="A297" s="4" t="n"/>
      <c r="B297" s="4" t="n"/>
    </row>
    <row r="298" ht="15.75" customHeight="1" s="40">
      <c r="A298" s="4" t="n"/>
      <c r="B298" s="4" t="n"/>
    </row>
    <row r="299" ht="15.75" customHeight="1" s="40">
      <c r="A299" s="4" t="n"/>
      <c r="B299" s="4" t="n"/>
    </row>
    <row r="300" ht="15.75" customHeight="1" s="40">
      <c r="A300" s="4" t="n"/>
      <c r="B300" s="4" t="n"/>
    </row>
    <row r="301" ht="15.75" customHeight="1" s="40">
      <c r="A301" s="4" t="n"/>
      <c r="B301" s="4" t="n"/>
    </row>
    <row r="302" ht="15.75" customHeight="1" s="40">
      <c r="A302" s="4" t="n"/>
      <c r="B302" s="4" t="n"/>
    </row>
    <row r="303" ht="15.75" customHeight="1" s="40">
      <c r="A303" s="4" t="n"/>
      <c r="B303" s="4" t="n"/>
    </row>
    <row r="304" ht="15.75" customHeight="1" s="40">
      <c r="A304" s="4" t="n"/>
      <c r="B304" s="4" t="n"/>
    </row>
    <row r="305" ht="15.75" customHeight="1" s="40">
      <c r="A305" s="4" t="n"/>
      <c r="B305" s="4" t="n"/>
    </row>
    <row r="306" ht="15.75" customHeight="1" s="40">
      <c r="A306" s="4" t="n"/>
      <c r="B306" s="4" t="n"/>
    </row>
    <row r="307" ht="15.75" customHeight="1" s="40">
      <c r="A307" s="4" t="n"/>
      <c r="B307" s="4" t="n"/>
    </row>
    <row r="308" ht="15.75" customHeight="1" s="40">
      <c r="A308" s="4" t="n"/>
      <c r="B308" s="4" t="n"/>
    </row>
    <row r="309" ht="15.75" customHeight="1" s="40">
      <c r="A309" s="4" t="n"/>
      <c r="B309" s="4" t="n"/>
    </row>
    <row r="310" ht="15.75" customHeight="1" s="40">
      <c r="A310" s="4" t="n"/>
      <c r="B310" s="4" t="n"/>
    </row>
    <row r="311" ht="15.75" customHeight="1" s="40">
      <c r="A311" s="4" t="n"/>
      <c r="B311" s="4" t="n"/>
    </row>
    <row r="312" ht="15.75" customHeight="1" s="40">
      <c r="A312" s="4" t="n"/>
      <c r="B312" s="4" t="n"/>
    </row>
    <row r="313" ht="15.75" customHeight="1" s="40">
      <c r="A313" s="4" t="n"/>
      <c r="B313" s="4" t="n"/>
    </row>
    <row r="314" ht="15.75" customHeight="1" s="40">
      <c r="A314" s="4" t="n"/>
      <c r="B314" s="4" t="n"/>
    </row>
    <row r="315" ht="15.75" customHeight="1" s="40">
      <c r="A315" s="4" t="n"/>
      <c r="B315" s="4" t="n"/>
    </row>
    <row r="316" ht="15.75" customHeight="1" s="40">
      <c r="A316" s="4" t="n"/>
      <c r="B316" s="4" t="n"/>
    </row>
    <row r="317" ht="15.75" customHeight="1" s="40">
      <c r="A317" s="4" t="n"/>
      <c r="B317" s="4" t="n"/>
    </row>
    <row r="318" ht="15.75" customHeight="1" s="40">
      <c r="A318" s="4" t="n"/>
      <c r="B318" s="4" t="n"/>
    </row>
    <row r="319" ht="15.75" customHeight="1" s="40">
      <c r="A319" s="4" t="n"/>
      <c r="B319" s="4" t="n"/>
    </row>
    <row r="320" ht="15.75" customHeight="1" s="40">
      <c r="A320" s="4" t="n"/>
      <c r="B320" s="4" t="n"/>
    </row>
    <row r="321" ht="15.75" customHeight="1" s="40">
      <c r="A321" s="4" t="n"/>
      <c r="B321" s="4" t="n"/>
    </row>
    <row r="322" ht="15.75" customHeight="1" s="40">
      <c r="A322" s="4" t="n"/>
      <c r="B322" s="4" t="n"/>
    </row>
    <row r="323" ht="15.75" customHeight="1" s="40">
      <c r="A323" s="4" t="n"/>
      <c r="B323" s="4" t="n"/>
    </row>
    <row r="324" ht="15.75" customHeight="1" s="40">
      <c r="A324" s="4" t="n"/>
      <c r="B324" s="4" t="n"/>
    </row>
    <row r="325" ht="15.75" customHeight="1" s="40">
      <c r="A325" s="4" t="n"/>
      <c r="B325" s="4" t="n"/>
    </row>
    <row r="326" ht="15.75" customHeight="1" s="40">
      <c r="A326" s="4" t="n"/>
      <c r="B326" s="4" t="n"/>
    </row>
    <row r="327" ht="15.75" customHeight="1" s="40">
      <c r="A327" s="4" t="n"/>
      <c r="B327" s="4" t="n"/>
    </row>
    <row r="328" ht="15.75" customHeight="1" s="40">
      <c r="A328" s="4" t="n"/>
      <c r="B328" s="4" t="n"/>
    </row>
    <row r="329" ht="15.75" customHeight="1" s="40">
      <c r="A329" s="4" t="n"/>
      <c r="B329" s="4" t="n"/>
    </row>
    <row r="330" ht="15.75" customHeight="1" s="40">
      <c r="A330" s="4" t="n"/>
      <c r="B330" s="4" t="n"/>
    </row>
    <row r="331" ht="15.75" customHeight="1" s="40">
      <c r="A331" s="4" t="n"/>
      <c r="B331" s="4" t="n"/>
    </row>
    <row r="332" ht="15.75" customHeight="1" s="40">
      <c r="A332" s="4" t="n"/>
      <c r="B332" s="4" t="n"/>
    </row>
    <row r="333" ht="15.75" customHeight="1" s="40">
      <c r="A333" s="4" t="n"/>
      <c r="B333" s="4" t="n"/>
    </row>
    <row r="334" ht="15.75" customHeight="1" s="40">
      <c r="A334" s="4" t="n"/>
      <c r="B334" s="4" t="n"/>
    </row>
    <row r="335" ht="15.75" customHeight="1" s="40">
      <c r="A335" s="4" t="n"/>
      <c r="B335" s="4" t="n"/>
    </row>
    <row r="336" ht="15.75" customHeight="1" s="40">
      <c r="A336" s="4" t="n"/>
      <c r="B336" s="4" t="n"/>
    </row>
    <row r="337" ht="15.75" customHeight="1" s="40">
      <c r="A337" s="4" t="n"/>
      <c r="B337" s="4" t="n"/>
    </row>
    <row r="338" ht="15.75" customHeight="1" s="40">
      <c r="A338" s="4" t="n"/>
      <c r="B338" s="4" t="n"/>
    </row>
    <row r="339" ht="15.75" customHeight="1" s="40">
      <c r="A339" s="4" t="n"/>
      <c r="B339" s="4" t="n"/>
    </row>
    <row r="340" ht="15.75" customHeight="1" s="40">
      <c r="A340" s="4" t="n"/>
      <c r="B340" s="4" t="n"/>
    </row>
    <row r="341" ht="15.75" customHeight="1" s="40">
      <c r="A341" s="4" t="n"/>
      <c r="B341" s="4" t="n"/>
    </row>
    <row r="342" ht="15.75" customHeight="1" s="40">
      <c r="A342" s="4" t="n"/>
      <c r="B342" s="4" t="n"/>
    </row>
    <row r="343" ht="15.75" customHeight="1" s="40">
      <c r="A343" s="4" t="n"/>
      <c r="B343" s="4" t="n"/>
    </row>
    <row r="344" ht="15.75" customHeight="1" s="40">
      <c r="A344" s="4" t="n"/>
      <c r="B344" s="4" t="n"/>
    </row>
    <row r="345" ht="15.75" customHeight="1" s="40">
      <c r="A345" s="4" t="n"/>
      <c r="B345" s="4" t="n"/>
    </row>
    <row r="346" ht="15.75" customHeight="1" s="40">
      <c r="A346" s="4" t="n"/>
      <c r="B346" s="4" t="n"/>
    </row>
    <row r="347" ht="15.75" customHeight="1" s="40">
      <c r="A347" s="4" t="n"/>
      <c r="B347" s="4" t="n"/>
    </row>
    <row r="348" ht="15.75" customHeight="1" s="40">
      <c r="A348" s="4" t="n"/>
      <c r="B348" s="4" t="n"/>
    </row>
    <row r="349" ht="15.75" customHeight="1" s="40">
      <c r="A349" s="4" t="n"/>
      <c r="B349" s="4" t="n"/>
    </row>
    <row r="350" ht="15.75" customHeight="1" s="40">
      <c r="A350" s="4" t="n"/>
      <c r="B350" s="4" t="n"/>
    </row>
    <row r="351" ht="15.75" customHeight="1" s="40">
      <c r="A351" s="4" t="n"/>
      <c r="B351" s="4" t="n"/>
    </row>
    <row r="352" ht="15.75" customHeight="1" s="40">
      <c r="A352" s="4" t="n"/>
      <c r="B352" s="4" t="n"/>
    </row>
    <row r="353" ht="15.75" customHeight="1" s="40">
      <c r="A353" s="4" t="n"/>
      <c r="B353" s="4" t="n"/>
    </row>
    <row r="354" ht="15.75" customHeight="1" s="40">
      <c r="A354" s="4" t="n"/>
      <c r="B354" s="4" t="n"/>
    </row>
    <row r="355" ht="15.75" customHeight="1" s="40">
      <c r="A355" s="4" t="n"/>
      <c r="B355" s="4" t="n"/>
    </row>
    <row r="356" ht="15.75" customHeight="1" s="40">
      <c r="A356" s="4" t="n"/>
      <c r="B356" s="4" t="n"/>
    </row>
    <row r="357" ht="15.75" customHeight="1" s="40">
      <c r="A357" s="4" t="n"/>
      <c r="B357" s="4" t="n"/>
    </row>
    <row r="358" ht="15.75" customHeight="1" s="40">
      <c r="A358" s="4" t="n"/>
      <c r="B358" s="4" t="n"/>
    </row>
    <row r="359" ht="15.75" customHeight="1" s="40">
      <c r="A359" s="4" t="n"/>
      <c r="B359" s="4" t="n"/>
    </row>
    <row r="360" ht="15.75" customHeight="1" s="40">
      <c r="A360" s="4" t="n"/>
      <c r="B360" s="4" t="n"/>
    </row>
    <row r="361" ht="15.75" customHeight="1" s="40">
      <c r="A361" s="4" t="n"/>
      <c r="B361" s="4" t="n"/>
    </row>
    <row r="362" ht="15.75" customHeight="1" s="40">
      <c r="A362" s="4" t="n"/>
      <c r="B362" s="4" t="n"/>
    </row>
    <row r="363" ht="15.75" customHeight="1" s="40">
      <c r="A363" s="4" t="n"/>
      <c r="B363" s="4" t="n"/>
    </row>
    <row r="364" ht="15.75" customHeight="1" s="40">
      <c r="A364" s="4" t="n"/>
      <c r="B364" s="4" t="n"/>
    </row>
    <row r="365" ht="15.75" customHeight="1" s="40">
      <c r="A365" s="4" t="n"/>
      <c r="B365" s="4" t="n"/>
    </row>
    <row r="366" ht="15.75" customHeight="1" s="40">
      <c r="A366" s="4" t="n"/>
      <c r="B366" s="4" t="n"/>
    </row>
    <row r="367" ht="15.75" customHeight="1" s="40">
      <c r="A367" s="4" t="n"/>
      <c r="B367" s="4" t="n"/>
    </row>
    <row r="368" ht="15.75" customHeight="1" s="40">
      <c r="A368" s="4" t="n"/>
      <c r="B368" s="4" t="n"/>
    </row>
    <row r="369" ht="15.75" customHeight="1" s="40">
      <c r="A369" s="4" t="n"/>
      <c r="B369" s="4" t="n"/>
    </row>
    <row r="370" ht="15.75" customHeight="1" s="40">
      <c r="A370" s="4" t="n"/>
      <c r="B370" s="4" t="n"/>
    </row>
    <row r="371" ht="15.75" customHeight="1" s="40">
      <c r="A371" s="4" t="n"/>
      <c r="B371" s="4" t="n"/>
    </row>
    <row r="372" ht="15.75" customHeight="1" s="40">
      <c r="A372" s="4" t="n"/>
      <c r="B372" s="4" t="n"/>
    </row>
    <row r="373" ht="15.75" customHeight="1" s="40">
      <c r="A373" s="4" t="n"/>
      <c r="B373" s="4" t="n"/>
    </row>
    <row r="374" ht="15.75" customHeight="1" s="40">
      <c r="A374" s="4" t="n"/>
      <c r="B374" s="4" t="n"/>
    </row>
    <row r="375" ht="15.75" customHeight="1" s="40">
      <c r="A375" s="4" t="n"/>
      <c r="B375" s="4" t="n"/>
    </row>
    <row r="376" ht="15.75" customHeight="1" s="40">
      <c r="A376" s="4" t="n"/>
      <c r="B376" s="4" t="n"/>
    </row>
    <row r="377" ht="15.75" customHeight="1" s="40">
      <c r="A377" s="4" t="n"/>
      <c r="B377" s="4" t="n"/>
    </row>
    <row r="378" ht="15.75" customHeight="1" s="40">
      <c r="A378" s="4" t="n"/>
      <c r="B378" s="4" t="n"/>
    </row>
    <row r="379" ht="15.75" customHeight="1" s="40">
      <c r="A379" s="4" t="n"/>
      <c r="B379" s="4" t="n"/>
    </row>
    <row r="380" ht="15.75" customHeight="1" s="40">
      <c r="A380" s="4" t="n"/>
      <c r="B380" s="4" t="n"/>
    </row>
    <row r="381" ht="15.75" customHeight="1" s="40">
      <c r="A381" s="4" t="n"/>
      <c r="B381" s="4" t="n"/>
    </row>
    <row r="382" ht="15.75" customHeight="1" s="40">
      <c r="A382" s="4" t="n"/>
      <c r="B382" s="4" t="n"/>
    </row>
    <row r="383" ht="15.75" customHeight="1" s="40">
      <c r="A383" s="4" t="n"/>
      <c r="B383" s="4" t="n"/>
    </row>
    <row r="384" ht="15.75" customHeight="1" s="40">
      <c r="A384" s="4" t="n"/>
      <c r="B384" s="4" t="n"/>
    </row>
    <row r="385" ht="15.75" customHeight="1" s="40">
      <c r="A385" s="4" t="n"/>
      <c r="B385" s="4" t="n"/>
    </row>
    <row r="386" ht="15.75" customHeight="1" s="40">
      <c r="A386" s="4" t="n"/>
      <c r="B386" s="4" t="n"/>
    </row>
    <row r="387" ht="15.75" customHeight="1" s="40">
      <c r="A387" s="4" t="n"/>
      <c r="B387" s="4" t="n"/>
    </row>
    <row r="388" ht="15.75" customHeight="1" s="40">
      <c r="A388" s="4" t="n"/>
      <c r="B388" s="4" t="n"/>
    </row>
    <row r="389" ht="15.75" customHeight="1" s="40">
      <c r="A389" s="4" t="n"/>
      <c r="B389" s="4" t="n"/>
    </row>
    <row r="390" ht="15.75" customHeight="1" s="40">
      <c r="A390" s="4" t="n"/>
      <c r="B390" s="4" t="n"/>
    </row>
    <row r="391" ht="15.75" customHeight="1" s="40">
      <c r="A391" s="4" t="n"/>
      <c r="B391" s="4" t="n"/>
    </row>
    <row r="392" ht="15.75" customHeight="1" s="40">
      <c r="A392" s="4" t="n"/>
      <c r="B392" s="4" t="n"/>
    </row>
    <row r="393" ht="15.75" customHeight="1" s="40">
      <c r="A393" s="4" t="n"/>
      <c r="B393" s="4" t="n"/>
    </row>
    <row r="394" ht="15.75" customHeight="1" s="40">
      <c r="A394" s="4" t="n"/>
      <c r="B394" s="4" t="n"/>
    </row>
    <row r="395" ht="15.75" customHeight="1" s="40">
      <c r="A395" s="4" t="n"/>
      <c r="B395" s="4" t="n"/>
    </row>
    <row r="396" ht="15.75" customHeight="1" s="40">
      <c r="A396" s="4" t="n"/>
      <c r="B396" s="4" t="n"/>
    </row>
    <row r="397" ht="15.75" customHeight="1" s="40">
      <c r="A397" s="4" t="n"/>
      <c r="B397" s="4" t="n"/>
    </row>
    <row r="398" ht="15.75" customHeight="1" s="40">
      <c r="A398" s="4" t="n"/>
      <c r="B398" s="4" t="n"/>
    </row>
    <row r="399" ht="15.75" customHeight="1" s="40">
      <c r="A399" s="4" t="n"/>
      <c r="B399" s="4" t="n"/>
    </row>
    <row r="400" ht="15.75" customHeight="1" s="40">
      <c r="A400" s="4" t="n"/>
      <c r="B400" s="4" t="n"/>
    </row>
    <row r="401" ht="15.75" customHeight="1" s="40">
      <c r="A401" s="4" t="n"/>
      <c r="B401" s="4" t="n"/>
    </row>
    <row r="402" ht="15.75" customHeight="1" s="40">
      <c r="A402" s="4" t="n"/>
      <c r="B402" s="4" t="n"/>
    </row>
    <row r="403" ht="15.75" customHeight="1" s="40">
      <c r="A403" s="4" t="n"/>
      <c r="B403" s="4" t="n"/>
    </row>
    <row r="404" ht="15.75" customHeight="1" s="40">
      <c r="A404" s="4" t="n"/>
      <c r="B404" s="4" t="n"/>
    </row>
    <row r="405" ht="15.75" customHeight="1" s="40">
      <c r="A405" s="4" t="n"/>
      <c r="B405" s="4" t="n"/>
    </row>
    <row r="406" ht="15.75" customHeight="1" s="40">
      <c r="A406" s="4" t="n"/>
      <c r="B406" s="4" t="n"/>
    </row>
    <row r="407" ht="15.75" customHeight="1" s="40">
      <c r="A407" s="4" t="n"/>
      <c r="B407" s="4" t="n"/>
    </row>
    <row r="408" ht="15.75" customHeight="1" s="40">
      <c r="A408" s="4" t="n"/>
      <c r="B408" s="4" t="n"/>
    </row>
    <row r="409" ht="15.75" customHeight="1" s="40">
      <c r="A409" s="4" t="n"/>
      <c r="B409" s="4" t="n"/>
    </row>
    <row r="410" ht="15.75" customHeight="1" s="40">
      <c r="A410" s="4" t="n"/>
      <c r="B410" s="4" t="n"/>
    </row>
    <row r="411" ht="15.75" customHeight="1" s="40">
      <c r="A411" s="4" t="n"/>
      <c r="B411" s="4" t="n"/>
    </row>
    <row r="412" ht="15.75" customHeight="1" s="40">
      <c r="A412" s="4" t="n"/>
      <c r="B412" s="4" t="n"/>
    </row>
    <row r="413" ht="15.75" customHeight="1" s="40">
      <c r="A413" s="4" t="n"/>
      <c r="B413" s="4" t="n"/>
    </row>
    <row r="414" ht="15.75" customHeight="1" s="40">
      <c r="A414" s="4" t="n"/>
      <c r="B414" s="4" t="n"/>
    </row>
    <row r="415" ht="15.75" customHeight="1" s="40">
      <c r="A415" s="4" t="n"/>
      <c r="B415" s="4" t="n"/>
    </row>
    <row r="416" ht="15.75" customHeight="1" s="40">
      <c r="A416" s="4" t="n"/>
      <c r="B416" s="4" t="n"/>
    </row>
    <row r="417" ht="15.75" customHeight="1" s="40">
      <c r="A417" s="4" t="n"/>
      <c r="B417" s="4" t="n"/>
    </row>
    <row r="418" ht="15.75" customHeight="1" s="40">
      <c r="A418" s="4" t="n"/>
      <c r="B418" s="4" t="n"/>
    </row>
    <row r="419" ht="15.75" customHeight="1" s="40">
      <c r="A419" s="4" t="n"/>
      <c r="B419" s="4" t="n"/>
    </row>
    <row r="420" ht="15.75" customHeight="1" s="40">
      <c r="A420" s="4" t="n"/>
      <c r="B420" s="4" t="n"/>
    </row>
    <row r="421" ht="15.75" customHeight="1" s="40">
      <c r="A421" s="4" t="n"/>
      <c r="B421" s="4" t="n"/>
    </row>
    <row r="422" ht="15.75" customHeight="1" s="40">
      <c r="A422" s="4" t="n"/>
      <c r="B422" s="4" t="n"/>
    </row>
    <row r="423" ht="15.75" customHeight="1" s="40">
      <c r="A423" s="4" t="n"/>
      <c r="B423" s="4" t="n"/>
    </row>
    <row r="424" ht="15.75" customHeight="1" s="40">
      <c r="A424" s="4" t="n"/>
      <c r="B424" s="4" t="n"/>
    </row>
    <row r="425" ht="15.75" customHeight="1" s="40">
      <c r="A425" s="4" t="n"/>
      <c r="B425" s="4" t="n"/>
    </row>
    <row r="426" ht="15.75" customHeight="1" s="40">
      <c r="A426" s="4" t="n"/>
      <c r="B426" s="4" t="n"/>
    </row>
    <row r="427" ht="15.75" customHeight="1" s="40">
      <c r="A427" s="4" t="n"/>
      <c r="B427" s="4" t="n"/>
    </row>
    <row r="428" ht="15.75" customHeight="1" s="40">
      <c r="A428" s="4" t="n"/>
      <c r="B428" s="4" t="n"/>
    </row>
    <row r="429" ht="15.75" customHeight="1" s="40">
      <c r="A429" s="4" t="n"/>
      <c r="B429" s="4" t="n"/>
    </row>
    <row r="430" ht="15.75" customHeight="1" s="40">
      <c r="A430" s="4" t="n"/>
      <c r="B430" s="4" t="n"/>
    </row>
    <row r="431" ht="15.75" customHeight="1" s="40">
      <c r="A431" s="4" t="n"/>
      <c r="B431" s="4" t="n"/>
    </row>
    <row r="432" ht="15.75" customHeight="1" s="40">
      <c r="A432" s="4" t="n"/>
      <c r="B432" s="4" t="n"/>
    </row>
    <row r="433" ht="15.75" customHeight="1" s="40">
      <c r="A433" s="4" t="n"/>
      <c r="B433" s="4" t="n"/>
    </row>
    <row r="434" ht="15.75" customHeight="1" s="40">
      <c r="A434" s="4" t="n"/>
      <c r="B434" s="4" t="n"/>
    </row>
    <row r="435" ht="15.75" customHeight="1" s="40">
      <c r="A435" s="4" t="n"/>
      <c r="B435" s="4" t="n"/>
    </row>
    <row r="436" ht="15.75" customHeight="1" s="40">
      <c r="A436" s="4" t="n"/>
      <c r="B436" s="4" t="n"/>
    </row>
    <row r="437" ht="15.75" customHeight="1" s="40">
      <c r="A437" s="4" t="n"/>
      <c r="B437" s="4" t="n"/>
    </row>
    <row r="438" ht="15.75" customHeight="1" s="40">
      <c r="A438" s="4" t="n"/>
      <c r="B438" s="4" t="n"/>
    </row>
    <row r="439" ht="15.75" customHeight="1" s="40">
      <c r="A439" s="4" t="n"/>
      <c r="B439" s="4" t="n"/>
    </row>
    <row r="440" ht="15.75" customHeight="1" s="40">
      <c r="A440" s="4" t="n"/>
      <c r="B440" s="4" t="n"/>
    </row>
    <row r="441" ht="15.75" customHeight="1" s="40">
      <c r="A441" s="4" t="n"/>
      <c r="B441" s="4" t="n"/>
    </row>
    <row r="442" ht="15.75" customHeight="1" s="40">
      <c r="A442" s="4" t="n"/>
      <c r="B442" s="4" t="n"/>
    </row>
    <row r="443" ht="15.75" customHeight="1" s="40">
      <c r="A443" s="4" t="n"/>
      <c r="B443" s="4" t="n"/>
    </row>
    <row r="444" ht="15.75" customHeight="1" s="40">
      <c r="A444" s="4" t="n"/>
      <c r="B444" s="4" t="n"/>
    </row>
    <row r="445" ht="15.75" customHeight="1" s="40">
      <c r="A445" s="4" t="n"/>
      <c r="B445" s="4" t="n"/>
    </row>
    <row r="446" ht="15.75" customHeight="1" s="40">
      <c r="A446" s="4" t="n"/>
      <c r="B446" s="4" t="n"/>
    </row>
    <row r="447" ht="15.75" customHeight="1" s="40">
      <c r="A447" s="4" t="n"/>
      <c r="B447" s="4" t="n"/>
    </row>
    <row r="448" ht="15.75" customHeight="1" s="40">
      <c r="A448" s="4" t="n"/>
      <c r="B448" s="4" t="n"/>
    </row>
    <row r="449" ht="15.75" customHeight="1" s="40">
      <c r="A449" s="4" t="n"/>
      <c r="B449" s="4" t="n"/>
    </row>
    <row r="450" ht="15.75" customHeight="1" s="40">
      <c r="A450" s="4" t="n"/>
      <c r="B450" s="4" t="n"/>
    </row>
    <row r="451" ht="15.75" customHeight="1" s="40">
      <c r="A451" s="4" t="n"/>
      <c r="B451" s="4" t="n"/>
    </row>
    <row r="452" ht="15.75" customHeight="1" s="40">
      <c r="A452" s="4" t="n"/>
      <c r="B452" s="4" t="n"/>
    </row>
    <row r="453" ht="15.75" customHeight="1" s="40">
      <c r="A453" s="4" t="n"/>
      <c r="B453" s="4" t="n"/>
    </row>
    <row r="454" ht="15.75" customHeight="1" s="40">
      <c r="A454" s="4" t="n"/>
      <c r="B454" s="4" t="n"/>
    </row>
    <row r="455" ht="15.75" customHeight="1" s="40">
      <c r="A455" s="4" t="n"/>
      <c r="B455" s="4" t="n"/>
    </row>
    <row r="456" ht="15.75" customHeight="1" s="40">
      <c r="A456" s="4" t="n"/>
      <c r="B456" s="4" t="n"/>
    </row>
    <row r="457" ht="15.75" customHeight="1" s="40">
      <c r="A457" s="4" t="n"/>
      <c r="B457" s="4" t="n"/>
    </row>
    <row r="458" ht="15.75" customHeight="1" s="40">
      <c r="A458" s="4" t="n"/>
      <c r="B458" s="4" t="n"/>
    </row>
    <row r="459" ht="15.75" customHeight="1" s="40">
      <c r="A459" s="4" t="n"/>
      <c r="B459" s="4" t="n"/>
    </row>
    <row r="460" ht="15.75" customHeight="1" s="40">
      <c r="A460" s="4" t="n"/>
      <c r="B460" s="4" t="n"/>
    </row>
    <row r="461" ht="15.75" customHeight="1" s="40">
      <c r="A461" s="4" t="n"/>
      <c r="B461" s="4" t="n"/>
    </row>
    <row r="462" ht="15.75" customHeight="1" s="40">
      <c r="A462" s="4" t="n"/>
      <c r="B462" s="4" t="n"/>
    </row>
    <row r="463" ht="15.75" customHeight="1" s="40">
      <c r="A463" s="4" t="n"/>
      <c r="B463" s="4" t="n"/>
    </row>
    <row r="464" ht="15.75" customHeight="1" s="40">
      <c r="A464" s="4" t="n"/>
      <c r="B464" s="4" t="n"/>
    </row>
    <row r="465" ht="15.75" customHeight="1" s="40">
      <c r="A465" s="4" t="n"/>
      <c r="B465" s="4" t="n"/>
    </row>
    <row r="466" ht="15.75" customHeight="1" s="40">
      <c r="A466" s="4" t="n"/>
      <c r="B466" s="4" t="n"/>
    </row>
    <row r="467" ht="15.75" customHeight="1" s="40">
      <c r="A467" s="4" t="n"/>
      <c r="B467" s="4" t="n"/>
    </row>
    <row r="468" ht="15.75" customHeight="1" s="40">
      <c r="A468" s="4" t="n"/>
      <c r="B468" s="4" t="n"/>
    </row>
    <row r="469" ht="15.75" customHeight="1" s="40">
      <c r="A469" s="4" t="n"/>
      <c r="B469" s="4" t="n"/>
    </row>
    <row r="470" ht="15.75" customHeight="1" s="40">
      <c r="A470" s="4" t="n"/>
      <c r="B470" s="4" t="n"/>
    </row>
    <row r="471" ht="15.75" customHeight="1" s="40">
      <c r="A471" s="4" t="n"/>
      <c r="B471" s="4" t="n"/>
    </row>
    <row r="472" ht="15.75" customHeight="1" s="40">
      <c r="A472" s="4" t="n"/>
      <c r="B472" s="4" t="n"/>
    </row>
    <row r="473" ht="15.75" customHeight="1" s="40">
      <c r="A473" s="4" t="n"/>
      <c r="B473" s="4" t="n"/>
    </row>
    <row r="474" ht="15.75" customHeight="1" s="40">
      <c r="A474" s="4" t="n"/>
      <c r="B474" s="4" t="n"/>
    </row>
    <row r="475" ht="15.75" customHeight="1" s="40">
      <c r="A475" s="4" t="n"/>
      <c r="B475" s="4" t="n"/>
    </row>
    <row r="476" ht="15.75" customHeight="1" s="40">
      <c r="A476" s="4" t="n"/>
      <c r="B476" s="4" t="n"/>
    </row>
    <row r="477" ht="15.75" customHeight="1" s="40">
      <c r="A477" s="4" t="n"/>
      <c r="B477" s="4" t="n"/>
    </row>
    <row r="478" ht="15.75" customHeight="1" s="40">
      <c r="A478" s="4" t="n"/>
      <c r="B478" s="4" t="n"/>
    </row>
    <row r="479" ht="15.75" customHeight="1" s="40">
      <c r="A479" s="4" t="n"/>
      <c r="B479" s="4" t="n"/>
    </row>
    <row r="480" ht="15.75" customHeight="1" s="40">
      <c r="A480" s="4" t="n"/>
      <c r="B480" s="4" t="n"/>
    </row>
    <row r="481" ht="15.75" customHeight="1" s="40">
      <c r="A481" s="4" t="n"/>
      <c r="B481" s="4" t="n"/>
    </row>
    <row r="482" ht="15.75" customHeight="1" s="40">
      <c r="A482" s="4" t="n"/>
      <c r="B482" s="4" t="n"/>
    </row>
    <row r="483" ht="15.75" customHeight="1" s="40">
      <c r="A483" s="4" t="n"/>
      <c r="B483" s="4" t="n"/>
    </row>
    <row r="484" ht="15.75" customHeight="1" s="40">
      <c r="A484" s="4" t="n"/>
      <c r="B484" s="4" t="n"/>
    </row>
    <row r="485" ht="15.75" customHeight="1" s="40">
      <c r="A485" s="4" t="n"/>
      <c r="B485" s="4" t="n"/>
    </row>
    <row r="486" ht="15.75" customHeight="1" s="40">
      <c r="A486" s="4" t="n"/>
      <c r="B486" s="4" t="n"/>
    </row>
    <row r="487" ht="15.75" customHeight="1" s="40">
      <c r="A487" s="4" t="n"/>
      <c r="B487" s="4" t="n"/>
    </row>
    <row r="488" ht="15.75" customHeight="1" s="40">
      <c r="A488" s="4" t="n"/>
      <c r="B488" s="4" t="n"/>
    </row>
    <row r="489" ht="15.75" customHeight="1" s="40">
      <c r="A489" s="4" t="n"/>
      <c r="B489" s="4" t="n"/>
    </row>
    <row r="490" ht="15.75" customHeight="1" s="40">
      <c r="A490" s="4" t="n"/>
      <c r="B490" s="4" t="n"/>
    </row>
    <row r="491" ht="15.75" customHeight="1" s="40">
      <c r="A491" s="4" t="n"/>
      <c r="B491" s="4" t="n"/>
    </row>
    <row r="492" ht="15.75" customHeight="1" s="40">
      <c r="A492" s="4" t="n"/>
      <c r="B492" s="4" t="n"/>
    </row>
    <row r="493" ht="15.75" customHeight="1" s="40">
      <c r="A493" s="4" t="n"/>
      <c r="B493" s="4" t="n"/>
    </row>
    <row r="494" ht="15.75" customHeight="1" s="40">
      <c r="A494" s="4" t="n"/>
      <c r="B494" s="4" t="n"/>
    </row>
    <row r="495" ht="15.75" customHeight="1" s="40">
      <c r="A495" s="4" t="n"/>
      <c r="B495" s="4" t="n"/>
    </row>
    <row r="496" ht="15.75" customHeight="1" s="40">
      <c r="A496" s="4" t="n"/>
      <c r="B496" s="4" t="n"/>
    </row>
    <row r="497" ht="15.75" customHeight="1" s="40">
      <c r="A497" s="4" t="n"/>
      <c r="B497" s="4" t="n"/>
    </row>
    <row r="498" ht="15.75" customHeight="1" s="40">
      <c r="A498" s="4" t="n"/>
      <c r="B498" s="4" t="n"/>
    </row>
    <row r="499" ht="15.75" customHeight="1" s="40">
      <c r="A499" s="4" t="n"/>
      <c r="B499" s="4" t="n"/>
    </row>
    <row r="500" ht="15.75" customHeight="1" s="40">
      <c r="A500" s="4" t="n"/>
      <c r="B500" s="4" t="n"/>
    </row>
    <row r="501" ht="15.75" customHeight="1" s="40">
      <c r="A501" s="4" t="n"/>
      <c r="B501" s="4" t="n"/>
    </row>
    <row r="502" ht="15.75" customHeight="1" s="40">
      <c r="A502" s="4" t="n"/>
      <c r="B502" s="4" t="n"/>
    </row>
    <row r="503" ht="15.75" customHeight="1" s="40">
      <c r="A503" s="4" t="n"/>
      <c r="B503" s="4" t="n"/>
    </row>
    <row r="504" ht="15.75" customHeight="1" s="40">
      <c r="A504" s="4" t="n"/>
      <c r="B504" s="4" t="n"/>
    </row>
    <row r="505" ht="15.75" customHeight="1" s="40">
      <c r="A505" s="4" t="n"/>
      <c r="B505" s="4" t="n"/>
    </row>
    <row r="506" ht="15.75" customHeight="1" s="40">
      <c r="A506" s="4" t="n"/>
      <c r="B506" s="4" t="n"/>
    </row>
    <row r="507" ht="15.75" customHeight="1" s="40">
      <c r="A507" s="4" t="n"/>
      <c r="B507" s="4" t="n"/>
    </row>
    <row r="508" ht="15.75" customHeight="1" s="40">
      <c r="A508" s="4" t="n"/>
      <c r="B508" s="4" t="n"/>
    </row>
    <row r="509" ht="15.75" customHeight="1" s="40">
      <c r="A509" s="4" t="n"/>
      <c r="B509" s="4" t="n"/>
    </row>
    <row r="510" ht="15.75" customHeight="1" s="40">
      <c r="A510" s="4" t="n"/>
      <c r="B510" s="4" t="n"/>
    </row>
    <row r="511" ht="15.75" customHeight="1" s="40">
      <c r="A511" s="4" t="n"/>
      <c r="B511" s="4" t="n"/>
    </row>
    <row r="512" ht="15.75" customHeight="1" s="40">
      <c r="A512" s="4" t="n"/>
      <c r="B512" s="4" t="n"/>
    </row>
    <row r="513" ht="15.75" customHeight="1" s="40">
      <c r="A513" s="4" t="n"/>
      <c r="B513" s="4" t="n"/>
    </row>
    <row r="514" ht="15.75" customHeight="1" s="40">
      <c r="A514" s="4" t="n"/>
      <c r="B514" s="4" t="n"/>
    </row>
    <row r="515" ht="15.75" customHeight="1" s="40">
      <c r="A515" s="4" t="n"/>
      <c r="B515" s="4" t="n"/>
    </row>
    <row r="516" ht="15.75" customHeight="1" s="40">
      <c r="A516" s="4" t="n"/>
      <c r="B516" s="4" t="n"/>
    </row>
    <row r="517" ht="15.75" customHeight="1" s="40">
      <c r="A517" s="4" t="n"/>
      <c r="B517" s="4" t="n"/>
    </row>
    <row r="518" ht="15.75" customHeight="1" s="40">
      <c r="A518" s="4" t="n"/>
      <c r="B518" s="4" t="n"/>
    </row>
    <row r="519" ht="15.75" customHeight="1" s="40">
      <c r="A519" s="4" t="n"/>
      <c r="B519" s="4" t="n"/>
    </row>
    <row r="520" ht="15.75" customHeight="1" s="40">
      <c r="A520" s="4" t="n"/>
      <c r="B520" s="4" t="n"/>
    </row>
    <row r="521" ht="15.75" customHeight="1" s="40">
      <c r="A521" s="4" t="n"/>
      <c r="B521" s="4" t="n"/>
    </row>
    <row r="522" ht="15.75" customHeight="1" s="40">
      <c r="A522" s="4" t="n"/>
      <c r="B522" s="4" t="n"/>
    </row>
    <row r="523" ht="15.75" customHeight="1" s="40">
      <c r="A523" s="4" t="n"/>
      <c r="B523" s="4" t="n"/>
    </row>
    <row r="524" ht="15.75" customHeight="1" s="40">
      <c r="A524" s="4" t="n"/>
      <c r="B524" s="4" t="n"/>
    </row>
    <row r="525" ht="15.75" customHeight="1" s="40">
      <c r="A525" s="4" t="n"/>
      <c r="B525" s="4" t="n"/>
    </row>
    <row r="526" ht="15.75" customHeight="1" s="40">
      <c r="A526" s="4" t="n"/>
      <c r="B526" s="4" t="n"/>
    </row>
    <row r="527" ht="15.75" customHeight="1" s="40">
      <c r="A527" s="4" t="n"/>
      <c r="B527" s="4" t="n"/>
    </row>
    <row r="528" ht="15.75" customHeight="1" s="40">
      <c r="A528" s="4" t="n"/>
      <c r="B528" s="4" t="n"/>
    </row>
    <row r="529" ht="15.75" customHeight="1" s="40">
      <c r="A529" s="4" t="n"/>
      <c r="B529" s="4" t="n"/>
    </row>
    <row r="530" ht="15.75" customHeight="1" s="40">
      <c r="A530" s="4" t="n"/>
      <c r="B530" s="4" t="n"/>
    </row>
    <row r="531" ht="15.75" customHeight="1" s="40">
      <c r="A531" s="4" t="n"/>
      <c r="B531" s="4" t="n"/>
    </row>
    <row r="532" ht="15.75" customHeight="1" s="40">
      <c r="A532" s="4" t="n"/>
      <c r="B532" s="4" t="n"/>
    </row>
    <row r="533" ht="15.75" customHeight="1" s="40">
      <c r="A533" s="4" t="n"/>
      <c r="B533" s="4" t="n"/>
    </row>
    <row r="534" ht="15.75" customHeight="1" s="40">
      <c r="A534" s="4" t="n"/>
      <c r="B534" s="4" t="n"/>
    </row>
    <row r="535" ht="15.75" customHeight="1" s="40">
      <c r="A535" s="4" t="n"/>
      <c r="B535" s="4" t="n"/>
    </row>
    <row r="536" ht="15.75" customHeight="1" s="40">
      <c r="A536" s="4" t="n"/>
      <c r="B536" s="4" t="n"/>
    </row>
    <row r="537" ht="15.75" customHeight="1" s="40">
      <c r="A537" s="4" t="n"/>
      <c r="B537" s="4" t="n"/>
    </row>
    <row r="538" ht="15.75" customHeight="1" s="40">
      <c r="A538" s="4" t="n"/>
      <c r="B538" s="4" t="n"/>
    </row>
    <row r="539" ht="15.75" customHeight="1" s="40">
      <c r="A539" s="4" t="n"/>
      <c r="B539" s="4" t="n"/>
    </row>
    <row r="540" ht="15.75" customHeight="1" s="40">
      <c r="A540" s="4" t="n"/>
      <c r="B540" s="4" t="n"/>
    </row>
    <row r="541" ht="15.75" customHeight="1" s="40">
      <c r="A541" s="4" t="n"/>
      <c r="B541" s="4" t="n"/>
    </row>
    <row r="542" ht="15.75" customHeight="1" s="40">
      <c r="A542" s="4" t="n"/>
      <c r="B542" s="4" t="n"/>
    </row>
    <row r="543" ht="15.75" customHeight="1" s="40">
      <c r="A543" s="4" t="n"/>
      <c r="B543" s="4" t="n"/>
    </row>
    <row r="544" ht="15.75" customHeight="1" s="40">
      <c r="A544" s="4" t="n"/>
      <c r="B544" s="4" t="n"/>
    </row>
    <row r="545" ht="15.75" customHeight="1" s="40">
      <c r="A545" s="4" t="n"/>
      <c r="B545" s="4" t="n"/>
    </row>
    <row r="546" ht="15.75" customHeight="1" s="40">
      <c r="A546" s="4" t="n"/>
      <c r="B546" s="4" t="n"/>
    </row>
    <row r="547" ht="15.75" customHeight="1" s="40">
      <c r="A547" s="4" t="n"/>
      <c r="B547" s="4" t="n"/>
    </row>
    <row r="548" ht="15.75" customHeight="1" s="40">
      <c r="A548" s="4" t="n"/>
      <c r="B548" s="4" t="n"/>
    </row>
    <row r="549" ht="15.75" customHeight="1" s="40">
      <c r="A549" s="4" t="n"/>
      <c r="B549" s="4" t="n"/>
    </row>
    <row r="550" ht="15.75" customHeight="1" s="40">
      <c r="A550" s="4" t="n"/>
      <c r="B550" s="4" t="n"/>
    </row>
    <row r="551" ht="15.75" customHeight="1" s="40">
      <c r="A551" s="4" t="n"/>
      <c r="B551" s="4" t="n"/>
    </row>
    <row r="552" ht="15.75" customHeight="1" s="40">
      <c r="A552" s="4" t="n"/>
      <c r="B552" s="4" t="n"/>
    </row>
    <row r="553" ht="15.75" customHeight="1" s="40">
      <c r="A553" s="4" t="n"/>
      <c r="B553" s="4" t="n"/>
    </row>
    <row r="554" ht="15.75" customHeight="1" s="40">
      <c r="A554" s="4" t="n"/>
      <c r="B554" s="4" t="n"/>
    </row>
    <row r="555" ht="15.75" customHeight="1" s="40">
      <c r="A555" s="4" t="n"/>
      <c r="B555" s="4" t="n"/>
    </row>
    <row r="556" ht="15.75" customHeight="1" s="40">
      <c r="A556" s="4" t="n"/>
      <c r="B556" s="4" t="n"/>
    </row>
    <row r="557" ht="15.75" customHeight="1" s="40">
      <c r="A557" s="4" t="n"/>
      <c r="B557" s="4" t="n"/>
    </row>
    <row r="558" ht="15.75" customHeight="1" s="40">
      <c r="A558" s="4" t="n"/>
      <c r="B558" s="4" t="n"/>
    </row>
    <row r="559" ht="15.75" customHeight="1" s="40">
      <c r="A559" s="4" t="n"/>
      <c r="B559" s="4" t="n"/>
    </row>
    <row r="560" ht="15.75" customHeight="1" s="40">
      <c r="A560" s="4" t="n"/>
      <c r="B560" s="4" t="n"/>
    </row>
    <row r="561" ht="15.75" customHeight="1" s="40">
      <c r="A561" s="4" t="n"/>
      <c r="B561" s="4" t="n"/>
    </row>
    <row r="562" ht="15.75" customHeight="1" s="40">
      <c r="A562" s="4" t="n"/>
      <c r="B562" s="4" t="n"/>
    </row>
    <row r="563" ht="15.75" customHeight="1" s="40">
      <c r="A563" s="4" t="n"/>
      <c r="B563" s="4" t="n"/>
    </row>
    <row r="564" ht="15.75" customHeight="1" s="40">
      <c r="A564" s="4" t="n"/>
      <c r="B564" s="4" t="n"/>
    </row>
    <row r="565" ht="15.75" customHeight="1" s="40">
      <c r="A565" s="4" t="n"/>
      <c r="B565" s="4" t="n"/>
    </row>
    <row r="566" ht="15.75" customHeight="1" s="40">
      <c r="A566" s="4" t="n"/>
      <c r="B566" s="4" t="n"/>
    </row>
    <row r="567" ht="15.75" customHeight="1" s="40">
      <c r="A567" s="4" t="n"/>
      <c r="B567" s="4" t="n"/>
    </row>
    <row r="568" ht="15.75" customHeight="1" s="40">
      <c r="A568" s="4" t="n"/>
      <c r="B568" s="4" t="n"/>
    </row>
    <row r="569" ht="15.75" customHeight="1" s="40">
      <c r="A569" s="4" t="n"/>
      <c r="B569" s="4" t="n"/>
    </row>
    <row r="570" ht="15.75" customHeight="1" s="40">
      <c r="A570" s="4" t="n"/>
      <c r="B570" s="4" t="n"/>
    </row>
    <row r="571" ht="15.75" customHeight="1" s="40">
      <c r="A571" s="4" t="n"/>
      <c r="B571" s="4" t="n"/>
    </row>
    <row r="572" ht="15.75" customHeight="1" s="40">
      <c r="A572" s="4" t="n"/>
      <c r="B572" s="4" t="n"/>
    </row>
    <row r="573" ht="15.75" customHeight="1" s="40">
      <c r="A573" s="4" t="n"/>
      <c r="B573" s="4" t="n"/>
    </row>
    <row r="574" ht="15.75" customHeight="1" s="40">
      <c r="A574" s="4" t="n"/>
      <c r="B574" s="4" t="n"/>
    </row>
    <row r="575" ht="15.75" customHeight="1" s="40">
      <c r="A575" s="4" t="n"/>
      <c r="B575" s="4" t="n"/>
    </row>
    <row r="576" ht="15.75" customHeight="1" s="40">
      <c r="A576" s="4" t="n"/>
      <c r="B576" s="4" t="n"/>
    </row>
    <row r="577" ht="15.75" customHeight="1" s="40">
      <c r="A577" s="4" t="n"/>
      <c r="B577" s="4" t="n"/>
    </row>
    <row r="578" ht="15.75" customHeight="1" s="40">
      <c r="A578" s="4" t="n"/>
      <c r="B578" s="4" t="n"/>
    </row>
    <row r="579" ht="15.75" customHeight="1" s="40">
      <c r="A579" s="4" t="n"/>
      <c r="B579" s="4" t="n"/>
    </row>
    <row r="580" ht="15.75" customHeight="1" s="40">
      <c r="A580" s="4" t="n"/>
      <c r="B580" s="4" t="n"/>
    </row>
    <row r="581" ht="15.75" customHeight="1" s="40">
      <c r="A581" s="4" t="n"/>
      <c r="B581" s="4" t="n"/>
    </row>
    <row r="582" ht="15.75" customHeight="1" s="40">
      <c r="A582" s="4" t="n"/>
      <c r="B582" s="4" t="n"/>
    </row>
    <row r="583" ht="15.75" customHeight="1" s="40">
      <c r="A583" s="4" t="n"/>
      <c r="B583" s="4" t="n"/>
    </row>
    <row r="584" ht="15.75" customHeight="1" s="40">
      <c r="A584" s="4" t="n"/>
      <c r="B584" s="4" t="n"/>
    </row>
    <row r="585" ht="15.75" customHeight="1" s="40">
      <c r="A585" s="4" t="n"/>
      <c r="B585" s="4" t="n"/>
    </row>
    <row r="586" ht="15.75" customHeight="1" s="40">
      <c r="A586" s="4" t="n"/>
      <c r="B586" s="4" t="n"/>
    </row>
    <row r="587" ht="15.75" customHeight="1" s="40">
      <c r="A587" s="4" t="n"/>
      <c r="B587" s="4" t="n"/>
    </row>
    <row r="588" ht="15.75" customHeight="1" s="40">
      <c r="A588" s="4" t="n"/>
      <c r="B588" s="4" t="n"/>
    </row>
    <row r="589" ht="15.75" customHeight="1" s="40">
      <c r="A589" s="4" t="n"/>
      <c r="B589" s="4" t="n"/>
    </row>
    <row r="590" ht="15.75" customHeight="1" s="40">
      <c r="A590" s="4" t="n"/>
      <c r="B590" s="4" t="n"/>
    </row>
    <row r="591" ht="15.75" customHeight="1" s="40">
      <c r="A591" s="4" t="n"/>
      <c r="B591" s="4" t="n"/>
    </row>
    <row r="592" ht="15.75" customHeight="1" s="40">
      <c r="A592" s="4" t="n"/>
      <c r="B592" s="4" t="n"/>
    </row>
    <row r="593" ht="15.75" customHeight="1" s="40">
      <c r="A593" s="4" t="n"/>
      <c r="B593" s="4" t="n"/>
    </row>
    <row r="594" ht="15.75" customHeight="1" s="40">
      <c r="A594" s="4" t="n"/>
      <c r="B594" s="4" t="n"/>
    </row>
    <row r="595" ht="15.75" customHeight="1" s="40">
      <c r="A595" s="4" t="n"/>
      <c r="B595" s="4" t="n"/>
    </row>
    <row r="596" ht="15.75" customHeight="1" s="40">
      <c r="A596" s="4" t="n"/>
      <c r="B596" s="4" t="n"/>
    </row>
    <row r="597" ht="15.75" customHeight="1" s="40">
      <c r="A597" s="4" t="n"/>
      <c r="B597" s="4" t="n"/>
    </row>
    <row r="598" ht="15.75" customHeight="1" s="40">
      <c r="A598" s="4" t="n"/>
      <c r="B598" s="4" t="n"/>
    </row>
    <row r="599" ht="15.75" customHeight="1" s="40">
      <c r="A599" s="4" t="n"/>
      <c r="B599" s="4" t="n"/>
    </row>
    <row r="600" ht="15.75" customHeight="1" s="40">
      <c r="A600" s="4" t="n"/>
      <c r="B600" s="4" t="n"/>
    </row>
    <row r="601" ht="15.75" customHeight="1" s="40">
      <c r="A601" s="4" t="n"/>
      <c r="B601" s="4" t="n"/>
    </row>
    <row r="602" ht="15.75" customHeight="1" s="40">
      <c r="A602" s="4" t="n"/>
      <c r="B602" s="4" t="n"/>
    </row>
    <row r="603" ht="15.75" customHeight="1" s="40">
      <c r="A603" s="4" t="n"/>
      <c r="B603" s="4" t="n"/>
    </row>
    <row r="604" ht="15.75" customHeight="1" s="40">
      <c r="A604" s="4" t="n"/>
      <c r="B604" s="4" t="n"/>
    </row>
    <row r="605" ht="15.75" customHeight="1" s="40">
      <c r="A605" s="4" t="n"/>
      <c r="B605" s="4" t="n"/>
    </row>
    <row r="606" ht="15.75" customHeight="1" s="40">
      <c r="A606" s="4" t="n"/>
      <c r="B606" s="4" t="n"/>
    </row>
    <row r="607" ht="15.75" customHeight="1" s="40">
      <c r="A607" s="4" t="n"/>
      <c r="B607" s="4" t="n"/>
    </row>
    <row r="608" ht="15.75" customHeight="1" s="40">
      <c r="A608" s="4" t="n"/>
      <c r="B608" s="4" t="n"/>
    </row>
    <row r="609" ht="15.75" customHeight="1" s="40">
      <c r="A609" s="4" t="n"/>
      <c r="B609" s="4" t="n"/>
    </row>
    <row r="610" ht="15.75" customHeight="1" s="40">
      <c r="A610" s="4" t="n"/>
      <c r="B610" s="4" t="n"/>
    </row>
    <row r="611" ht="15.75" customHeight="1" s="40">
      <c r="A611" s="4" t="n"/>
      <c r="B611" s="4" t="n"/>
    </row>
    <row r="612" ht="15.75" customHeight="1" s="40">
      <c r="A612" s="4" t="n"/>
      <c r="B612" s="4" t="n"/>
    </row>
    <row r="613" ht="15.75" customHeight="1" s="40">
      <c r="A613" s="4" t="n"/>
      <c r="B613" s="4" t="n"/>
    </row>
    <row r="614" ht="15.75" customHeight="1" s="40">
      <c r="A614" s="4" t="n"/>
      <c r="B614" s="4" t="n"/>
    </row>
    <row r="615" ht="15.75" customHeight="1" s="40">
      <c r="A615" s="4" t="n"/>
      <c r="B615" s="4" t="n"/>
    </row>
    <row r="616" ht="15.75" customHeight="1" s="40">
      <c r="A616" s="4" t="n"/>
      <c r="B616" s="4" t="n"/>
    </row>
    <row r="617" ht="15.75" customHeight="1" s="40">
      <c r="A617" s="4" t="n"/>
      <c r="B617" s="4" t="n"/>
    </row>
    <row r="618" ht="15.75" customHeight="1" s="40">
      <c r="A618" s="4" t="n"/>
      <c r="B618" s="4" t="n"/>
    </row>
    <row r="619" ht="15.75" customHeight="1" s="40">
      <c r="A619" s="4" t="n"/>
      <c r="B619" s="4" t="n"/>
    </row>
    <row r="620" ht="15.75" customHeight="1" s="40">
      <c r="A620" s="4" t="n"/>
      <c r="B620" s="4" t="n"/>
    </row>
    <row r="621" ht="15.75" customHeight="1" s="40">
      <c r="A621" s="4" t="n"/>
      <c r="B621" s="4" t="n"/>
    </row>
    <row r="622" ht="15.75" customHeight="1" s="40">
      <c r="A622" s="4" t="n"/>
      <c r="B622" s="4" t="n"/>
    </row>
    <row r="623" ht="15.75" customHeight="1" s="40">
      <c r="A623" s="4" t="n"/>
      <c r="B623" s="4" t="n"/>
    </row>
    <row r="624" ht="15.75" customHeight="1" s="40">
      <c r="A624" s="4" t="n"/>
      <c r="B624" s="4" t="n"/>
    </row>
    <row r="625" ht="15.75" customHeight="1" s="40">
      <c r="A625" s="4" t="n"/>
      <c r="B625" s="4" t="n"/>
    </row>
    <row r="626" ht="15.75" customHeight="1" s="40">
      <c r="A626" s="4" t="n"/>
      <c r="B626" s="4" t="n"/>
    </row>
    <row r="627" ht="15.75" customHeight="1" s="40">
      <c r="A627" s="4" t="n"/>
      <c r="B627" s="4" t="n"/>
    </row>
    <row r="628" ht="15.75" customHeight="1" s="40">
      <c r="A628" s="4" t="n"/>
      <c r="B628" s="4" t="n"/>
    </row>
    <row r="629" ht="15.75" customHeight="1" s="40">
      <c r="A629" s="4" t="n"/>
      <c r="B629" s="4" t="n"/>
    </row>
    <row r="630" ht="15.75" customHeight="1" s="40">
      <c r="A630" s="4" t="n"/>
      <c r="B630" s="4" t="n"/>
    </row>
    <row r="631" ht="15.75" customHeight="1" s="40">
      <c r="A631" s="4" t="n"/>
      <c r="B631" s="4" t="n"/>
    </row>
    <row r="632" ht="15.75" customHeight="1" s="40">
      <c r="A632" s="4" t="n"/>
      <c r="B632" s="4" t="n"/>
    </row>
    <row r="633" ht="15.75" customHeight="1" s="40">
      <c r="A633" s="4" t="n"/>
      <c r="B633" s="4" t="n"/>
    </row>
    <row r="634" ht="15.75" customHeight="1" s="40">
      <c r="A634" s="4" t="n"/>
      <c r="B634" s="4" t="n"/>
    </row>
    <row r="635" ht="15.75" customHeight="1" s="40">
      <c r="A635" s="4" t="n"/>
      <c r="B635" s="4" t="n"/>
    </row>
    <row r="636" ht="15.75" customHeight="1" s="40">
      <c r="A636" s="4" t="n"/>
      <c r="B636" s="4" t="n"/>
    </row>
    <row r="637" ht="15.75" customHeight="1" s="40">
      <c r="A637" s="4" t="n"/>
      <c r="B637" s="4" t="n"/>
    </row>
    <row r="638" ht="15.75" customHeight="1" s="40">
      <c r="A638" s="4" t="n"/>
      <c r="B638" s="4" t="n"/>
    </row>
    <row r="639" ht="15.75" customHeight="1" s="40">
      <c r="A639" s="4" t="n"/>
      <c r="B639" s="4" t="n"/>
    </row>
    <row r="640" ht="15.75" customHeight="1" s="40">
      <c r="A640" s="4" t="n"/>
      <c r="B640" s="4" t="n"/>
    </row>
    <row r="641" ht="15.75" customHeight="1" s="40">
      <c r="A641" s="4" t="n"/>
      <c r="B641" s="4" t="n"/>
    </row>
    <row r="642" ht="15.75" customHeight="1" s="40">
      <c r="A642" s="4" t="n"/>
      <c r="B642" s="4" t="n"/>
    </row>
    <row r="643" ht="15.75" customHeight="1" s="40">
      <c r="A643" s="4" t="n"/>
      <c r="B643" s="4" t="n"/>
    </row>
    <row r="644" ht="15.75" customHeight="1" s="40">
      <c r="A644" s="4" t="n"/>
      <c r="B644" s="4" t="n"/>
    </row>
    <row r="645" ht="15.75" customHeight="1" s="40">
      <c r="A645" s="4" t="n"/>
      <c r="B645" s="4" t="n"/>
    </row>
    <row r="646" ht="15.75" customHeight="1" s="40">
      <c r="A646" s="4" t="n"/>
      <c r="B646" s="4" t="n"/>
    </row>
    <row r="647" ht="15.75" customHeight="1" s="40">
      <c r="A647" s="4" t="n"/>
      <c r="B647" s="4" t="n"/>
    </row>
    <row r="648" ht="15.75" customHeight="1" s="40">
      <c r="A648" s="4" t="n"/>
      <c r="B648" s="4" t="n"/>
    </row>
    <row r="649" ht="15.75" customHeight="1" s="40">
      <c r="A649" s="4" t="n"/>
      <c r="B649" s="4" t="n"/>
    </row>
    <row r="650" ht="15.75" customHeight="1" s="40">
      <c r="A650" s="4" t="n"/>
      <c r="B650" s="4" t="n"/>
    </row>
    <row r="651" ht="15.75" customHeight="1" s="40">
      <c r="A651" s="4" t="n"/>
      <c r="B651" s="4" t="n"/>
    </row>
    <row r="652" ht="15.75" customHeight="1" s="40">
      <c r="A652" s="4" t="n"/>
      <c r="B652" s="4" t="n"/>
    </row>
    <row r="653" ht="15.75" customHeight="1" s="40">
      <c r="A653" s="4" t="n"/>
      <c r="B653" s="4" t="n"/>
    </row>
    <row r="654" ht="15.75" customHeight="1" s="40">
      <c r="A654" s="4" t="n"/>
      <c r="B654" s="4" t="n"/>
    </row>
    <row r="655" ht="15.75" customHeight="1" s="40">
      <c r="A655" s="4" t="n"/>
      <c r="B655" s="4" t="n"/>
    </row>
    <row r="656" ht="15.75" customHeight="1" s="40">
      <c r="A656" s="4" t="n"/>
      <c r="B656" s="4" t="n"/>
    </row>
    <row r="657" ht="15.75" customHeight="1" s="40">
      <c r="A657" s="4" t="n"/>
      <c r="B657" s="4" t="n"/>
    </row>
    <row r="658" ht="15.75" customHeight="1" s="40">
      <c r="A658" s="4" t="n"/>
      <c r="B658" s="4" t="n"/>
    </row>
    <row r="659" ht="15.75" customHeight="1" s="40">
      <c r="A659" s="4" t="n"/>
      <c r="B659" s="4" t="n"/>
    </row>
    <row r="660" ht="15.75" customHeight="1" s="40">
      <c r="A660" s="4" t="n"/>
      <c r="B660" s="4" t="n"/>
    </row>
    <row r="661" ht="15.75" customHeight="1" s="40">
      <c r="A661" s="4" t="n"/>
      <c r="B661" s="4" t="n"/>
    </row>
    <row r="662" ht="15.75" customHeight="1" s="40">
      <c r="A662" s="4" t="n"/>
      <c r="B662" s="4" t="n"/>
    </row>
    <row r="663" ht="15.75" customHeight="1" s="40">
      <c r="A663" s="4" t="n"/>
      <c r="B663" s="4" t="n"/>
    </row>
    <row r="664" ht="15.75" customHeight="1" s="40">
      <c r="A664" s="4" t="n"/>
      <c r="B664" s="4" t="n"/>
    </row>
    <row r="665" ht="15.75" customHeight="1" s="40">
      <c r="A665" s="4" t="n"/>
      <c r="B665" s="4" t="n"/>
    </row>
    <row r="666" ht="15.75" customHeight="1" s="40">
      <c r="A666" s="4" t="n"/>
      <c r="B666" s="4" t="n"/>
    </row>
    <row r="667" ht="15.75" customHeight="1" s="40">
      <c r="A667" s="4" t="n"/>
      <c r="B667" s="4" t="n"/>
    </row>
    <row r="668" ht="15.75" customHeight="1" s="40">
      <c r="A668" s="4" t="n"/>
      <c r="B668" s="4" t="n"/>
    </row>
    <row r="669" ht="15.75" customHeight="1" s="40">
      <c r="A669" s="4" t="n"/>
      <c r="B669" s="4" t="n"/>
    </row>
    <row r="670" ht="15.75" customHeight="1" s="40">
      <c r="A670" s="4" t="n"/>
      <c r="B670" s="4" t="n"/>
    </row>
    <row r="671" ht="15.75" customHeight="1" s="40">
      <c r="A671" s="4" t="n"/>
      <c r="B671" s="4" t="n"/>
    </row>
    <row r="672" ht="15.75" customHeight="1" s="40">
      <c r="A672" s="4" t="n"/>
      <c r="B672" s="4" t="n"/>
    </row>
    <row r="673" ht="15.75" customHeight="1" s="40">
      <c r="A673" s="4" t="n"/>
      <c r="B673" s="4" t="n"/>
    </row>
    <row r="674" ht="15.75" customHeight="1" s="40">
      <c r="A674" s="4" t="n"/>
      <c r="B674" s="4" t="n"/>
    </row>
    <row r="675" ht="15.75" customHeight="1" s="40">
      <c r="A675" s="4" t="n"/>
      <c r="B675" s="4" t="n"/>
    </row>
    <row r="676" ht="15.75" customHeight="1" s="40">
      <c r="A676" s="4" t="n"/>
      <c r="B676" s="4" t="n"/>
    </row>
    <row r="677" ht="15.75" customHeight="1" s="40">
      <c r="A677" s="4" t="n"/>
      <c r="B677" s="4" t="n"/>
    </row>
    <row r="678" ht="15.75" customHeight="1" s="40">
      <c r="A678" s="4" t="n"/>
      <c r="B678" s="4" t="n"/>
    </row>
    <row r="679" ht="15.75" customHeight="1" s="40">
      <c r="A679" s="4" t="n"/>
      <c r="B679" s="4" t="n"/>
    </row>
    <row r="680" ht="15.75" customHeight="1" s="40">
      <c r="A680" s="4" t="n"/>
      <c r="B680" s="4" t="n"/>
    </row>
    <row r="681" ht="15.75" customHeight="1" s="40">
      <c r="A681" s="4" t="n"/>
      <c r="B681" s="4" t="n"/>
    </row>
    <row r="682" ht="15.75" customHeight="1" s="40">
      <c r="A682" s="4" t="n"/>
      <c r="B682" s="4" t="n"/>
    </row>
    <row r="683" ht="15.75" customHeight="1" s="40">
      <c r="A683" s="4" t="n"/>
      <c r="B683" s="4" t="n"/>
    </row>
    <row r="684" ht="15.75" customHeight="1" s="40">
      <c r="A684" s="4" t="n"/>
      <c r="B684" s="4" t="n"/>
    </row>
    <row r="685" ht="15.75" customHeight="1" s="40">
      <c r="A685" s="4" t="n"/>
      <c r="B685" s="4" t="n"/>
    </row>
    <row r="686" ht="15.75" customHeight="1" s="40">
      <c r="A686" s="4" t="n"/>
      <c r="B686" s="4" t="n"/>
    </row>
    <row r="687" ht="15.75" customHeight="1" s="40">
      <c r="A687" s="4" t="n"/>
      <c r="B687" s="4" t="n"/>
    </row>
    <row r="688" ht="15.75" customHeight="1" s="40">
      <c r="A688" s="4" t="n"/>
      <c r="B688" s="4" t="n"/>
    </row>
    <row r="689" ht="15.75" customHeight="1" s="40">
      <c r="A689" s="4" t="n"/>
      <c r="B689" s="4" t="n"/>
    </row>
    <row r="690" ht="15.75" customHeight="1" s="40">
      <c r="A690" s="4" t="n"/>
      <c r="B690" s="4" t="n"/>
    </row>
    <row r="691" ht="15.75" customHeight="1" s="40">
      <c r="A691" s="4" t="n"/>
      <c r="B691" s="4" t="n"/>
    </row>
    <row r="692" ht="15.75" customHeight="1" s="40">
      <c r="A692" s="4" t="n"/>
      <c r="B692" s="4" t="n"/>
    </row>
    <row r="693" ht="15.75" customHeight="1" s="40">
      <c r="A693" s="4" t="n"/>
      <c r="B693" s="4" t="n"/>
    </row>
    <row r="694" ht="15.75" customHeight="1" s="40">
      <c r="A694" s="4" t="n"/>
      <c r="B694" s="4" t="n"/>
    </row>
    <row r="695" ht="15.75" customHeight="1" s="40">
      <c r="A695" s="4" t="n"/>
      <c r="B695" s="4" t="n"/>
    </row>
    <row r="696" ht="15.75" customHeight="1" s="40">
      <c r="A696" s="4" t="n"/>
      <c r="B696" s="4" t="n"/>
    </row>
    <row r="697" ht="15.75" customHeight="1" s="40">
      <c r="A697" s="4" t="n"/>
      <c r="B697" s="4" t="n"/>
    </row>
    <row r="698" ht="15.75" customHeight="1" s="40">
      <c r="A698" s="4" t="n"/>
      <c r="B698" s="4" t="n"/>
    </row>
    <row r="699" ht="15.75" customHeight="1" s="40">
      <c r="A699" s="4" t="n"/>
      <c r="B699" s="4" t="n"/>
    </row>
    <row r="700" ht="15.75" customHeight="1" s="40">
      <c r="A700" s="4" t="n"/>
      <c r="B700" s="4" t="n"/>
    </row>
    <row r="701" ht="15.75" customHeight="1" s="40">
      <c r="A701" s="4" t="n"/>
      <c r="B701" s="4" t="n"/>
    </row>
    <row r="702" ht="15.75" customHeight="1" s="40">
      <c r="A702" s="4" t="n"/>
      <c r="B702" s="4" t="n"/>
    </row>
    <row r="703" ht="15.75" customHeight="1" s="40">
      <c r="A703" s="4" t="n"/>
      <c r="B703" s="4" t="n"/>
    </row>
    <row r="704" ht="15.75" customHeight="1" s="40">
      <c r="A704" s="4" t="n"/>
      <c r="B704" s="4" t="n"/>
    </row>
    <row r="705" ht="15.75" customHeight="1" s="40">
      <c r="A705" s="4" t="n"/>
      <c r="B705" s="4" t="n"/>
    </row>
    <row r="706" ht="15.75" customHeight="1" s="40">
      <c r="A706" s="4" t="n"/>
      <c r="B706" s="4" t="n"/>
    </row>
    <row r="707" ht="15.75" customHeight="1" s="40">
      <c r="A707" s="4" t="n"/>
      <c r="B707" s="4" t="n"/>
    </row>
    <row r="708" ht="15.75" customHeight="1" s="40">
      <c r="A708" s="4" t="n"/>
      <c r="B708" s="4" t="n"/>
    </row>
    <row r="709" ht="15.75" customHeight="1" s="40">
      <c r="A709" s="4" t="n"/>
      <c r="B709" s="4" t="n"/>
    </row>
    <row r="710" ht="15.75" customHeight="1" s="40">
      <c r="A710" s="4" t="n"/>
      <c r="B710" s="4" t="n"/>
    </row>
    <row r="711" ht="15.75" customHeight="1" s="40">
      <c r="A711" s="4" t="n"/>
      <c r="B711" s="4" t="n"/>
    </row>
    <row r="712" ht="15.75" customHeight="1" s="40">
      <c r="A712" s="4" t="n"/>
      <c r="B712" s="4" t="n"/>
    </row>
    <row r="713" ht="15.75" customHeight="1" s="40">
      <c r="A713" s="4" t="n"/>
      <c r="B713" s="4" t="n"/>
    </row>
    <row r="714" ht="15.75" customHeight="1" s="40">
      <c r="A714" s="4" t="n"/>
      <c r="B714" s="4" t="n"/>
    </row>
    <row r="715" ht="15.75" customHeight="1" s="40">
      <c r="A715" s="4" t="n"/>
      <c r="B715" s="4" t="n"/>
    </row>
    <row r="716" ht="15.75" customHeight="1" s="40">
      <c r="A716" s="4" t="n"/>
      <c r="B716" s="4" t="n"/>
    </row>
    <row r="717" ht="15.75" customHeight="1" s="40">
      <c r="A717" s="4" t="n"/>
      <c r="B717" s="4" t="n"/>
    </row>
    <row r="718" ht="15.75" customHeight="1" s="40">
      <c r="A718" s="4" t="n"/>
      <c r="B718" s="4" t="n"/>
    </row>
    <row r="719" ht="15.75" customHeight="1" s="40">
      <c r="A719" s="4" t="n"/>
      <c r="B719" s="4" t="n"/>
    </row>
    <row r="720" ht="15.75" customHeight="1" s="40">
      <c r="A720" s="4" t="n"/>
      <c r="B720" s="4" t="n"/>
    </row>
    <row r="721" ht="15.75" customHeight="1" s="40">
      <c r="A721" s="4" t="n"/>
      <c r="B721" s="4" t="n"/>
    </row>
    <row r="722" ht="15.75" customHeight="1" s="40">
      <c r="A722" s="4" t="n"/>
      <c r="B722" s="4" t="n"/>
    </row>
    <row r="723" ht="15.75" customHeight="1" s="40">
      <c r="A723" s="4" t="n"/>
      <c r="B723" s="4" t="n"/>
    </row>
    <row r="724" ht="15.75" customHeight="1" s="40">
      <c r="A724" s="4" t="n"/>
      <c r="B724" s="4" t="n"/>
    </row>
    <row r="725" ht="15.75" customHeight="1" s="40">
      <c r="A725" s="4" t="n"/>
      <c r="B725" s="4" t="n"/>
    </row>
    <row r="726" ht="15.75" customHeight="1" s="40">
      <c r="A726" s="4" t="n"/>
      <c r="B726" s="4" t="n"/>
    </row>
    <row r="727" ht="15.75" customHeight="1" s="40">
      <c r="A727" s="4" t="n"/>
      <c r="B727" s="4" t="n"/>
    </row>
    <row r="728" ht="15.75" customHeight="1" s="40">
      <c r="A728" s="4" t="n"/>
      <c r="B728" s="4" t="n"/>
    </row>
    <row r="729" ht="15.75" customHeight="1" s="40">
      <c r="A729" s="4" t="n"/>
      <c r="B729" s="4" t="n"/>
    </row>
    <row r="730" ht="15.75" customHeight="1" s="40">
      <c r="A730" s="4" t="n"/>
      <c r="B730" s="4" t="n"/>
    </row>
    <row r="731" ht="15.75" customHeight="1" s="40">
      <c r="A731" s="4" t="n"/>
      <c r="B731" s="4" t="n"/>
    </row>
    <row r="732" ht="15.75" customHeight="1" s="40">
      <c r="A732" s="4" t="n"/>
      <c r="B732" s="4" t="n"/>
    </row>
    <row r="733" ht="15.75" customHeight="1" s="40">
      <c r="A733" s="4" t="n"/>
      <c r="B733" s="4" t="n"/>
    </row>
    <row r="734" ht="15.75" customHeight="1" s="40">
      <c r="A734" s="4" t="n"/>
      <c r="B734" s="4" t="n"/>
    </row>
    <row r="735" ht="15.75" customHeight="1" s="40">
      <c r="A735" s="4" t="n"/>
      <c r="B735" s="4" t="n"/>
    </row>
    <row r="736" ht="15.75" customHeight="1" s="40">
      <c r="A736" s="4" t="n"/>
      <c r="B736" s="4" t="n"/>
    </row>
    <row r="737" ht="15.75" customHeight="1" s="40">
      <c r="A737" s="4" t="n"/>
      <c r="B737" s="4" t="n"/>
    </row>
    <row r="738" ht="15.75" customHeight="1" s="40">
      <c r="A738" s="4" t="n"/>
      <c r="B738" s="4" t="n"/>
    </row>
    <row r="739" ht="15.75" customHeight="1" s="40">
      <c r="A739" s="4" t="n"/>
      <c r="B739" s="4" t="n"/>
    </row>
    <row r="740" ht="15.75" customHeight="1" s="40">
      <c r="A740" s="4" t="n"/>
      <c r="B740" s="4" t="n"/>
    </row>
    <row r="741" ht="15.75" customHeight="1" s="40">
      <c r="A741" s="4" t="n"/>
      <c r="B741" s="4" t="n"/>
    </row>
    <row r="742" ht="15.75" customHeight="1" s="40">
      <c r="A742" s="4" t="n"/>
      <c r="B742" s="4" t="n"/>
    </row>
    <row r="743" ht="15.75" customHeight="1" s="40">
      <c r="A743" s="4" t="n"/>
      <c r="B743" s="4" t="n"/>
    </row>
    <row r="744" ht="15.75" customHeight="1" s="40">
      <c r="A744" s="4" t="n"/>
      <c r="B744" s="4" t="n"/>
    </row>
    <row r="745" ht="15.75" customHeight="1" s="40">
      <c r="A745" s="4" t="n"/>
      <c r="B745" s="4" t="n"/>
    </row>
    <row r="746" ht="15.75" customHeight="1" s="40">
      <c r="A746" s="4" t="n"/>
      <c r="B746" s="4" t="n"/>
    </row>
    <row r="747" ht="15.75" customHeight="1" s="40">
      <c r="A747" s="4" t="n"/>
      <c r="B747" s="4" t="n"/>
    </row>
    <row r="748" ht="15.75" customHeight="1" s="40">
      <c r="A748" s="4" t="n"/>
      <c r="B748" s="4" t="n"/>
    </row>
    <row r="749" ht="15.75" customHeight="1" s="40">
      <c r="A749" s="4" t="n"/>
      <c r="B749" s="4" t="n"/>
    </row>
    <row r="750" ht="15.75" customHeight="1" s="40">
      <c r="A750" s="4" t="n"/>
      <c r="B750" s="4" t="n"/>
    </row>
    <row r="751" ht="15.75" customHeight="1" s="40">
      <c r="A751" s="4" t="n"/>
      <c r="B751" s="4" t="n"/>
    </row>
    <row r="752" ht="15.75" customHeight="1" s="40">
      <c r="A752" s="4" t="n"/>
      <c r="B752" s="4" t="n"/>
    </row>
    <row r="753" ht="15.75" customHeight="1" s="40">
      <c r="A753" s="4" t="n"/>
      <c r="B753" s="4" t="n"/>
    </row>
    <row r="754" ht="15.75" customHeight="1" s="40">
      <c r="A754" s="4" t="n"/>
      <c r="B754" s="4" t="n"/>
    </row>
    <row r="755" ht="15.75" customHeight="1" s="40">
      <c r="A755" s="4" t="n"/>
      <c r="B755" s="4" t="n"/>
    </row>
    <row r="756" ht="15.75" customHeight="1" s="40">
      <c r="A756" s="4" t="n"/>
      <c r="B756" s="4" t="n"/>
    </row>
    <row r="757" ht="15.75" customHeight="1" s="40">
      <c r="A757" s="4" t="n"/>
      <c r="B757" s="4" t="n"/>
    </row>
    <row r="758" ht="15.75" customHeight="1" s="40">
      <c r="A758" s="4" t="n"/>
      <c r="B758" s="4" t="n"/>
    </row>
    <row r="759" ht="15.75" customHeight="1" s="40">
      <c r="A759" s="4" t="n"/>
      <c r="B759" s="4" t="n"/>
    </row>
    <row r="760" ht="15.75" customHeight="1" s="40">
      <c r="A760" s="4" t="n"/>
      <c r="B760" s="4" t="n"/>
    </row>
    <row r="761" ht="15.75" customHeight="1" s="40">
      <c r="A761" s="4" t="n"/>
      <c r="B761" s="4" t="n"/>
    </row>
    <row r="762" ht="15.75" customHeight="1" s="40">
      <c r="A762" s="4" t="n"/>
      <c r="B762" s="4" t="n"/>
    </row>
    <row r="763" ht="15.75" customHeight="1" s="40">
      <c r="A763" s="4" t="n"/>
      <c r="B763" s="4" t="n"/>
    </row>
    <row r="764" ht="15.75" customHeight="1" s="40">
      <c r="A764" s="4" t="n"/>
      <c r="B764" s="4" t="n"/>
    </row>
    <row r="765" ht="15.75" customHeight="1" s="40">
      <c r="A765" s="4" t="n"/>
      <c r="B765" s="4" t="n"/>
    </row>
    <row r="766" ht="15.75" customHeight="1" s="40">
      <c r="A766" s="4" t="n"/>
      <c r="B766" s="4" t="n"/>
    </row>
    <row r="767" ht="15.75" customHeight="1" s="40">
      <c r="A767" s="4" t="n"/>
      <c r="B767" s="4" t="n"/>
    </row>
    <row r="768" ht="15.75" customHeight="1" s="40">
      <c r="A768" s="4" t="n"/>
      <c r="B768" s="4" t="n"/>
    </row>
    <row r="769" ht="15.75" customHeight="1" s="40">
      <c r="A769" s="4" t="n"/>
      <c r="B769" s="4" t="n"/>
    </row>
    <row r="770" ht="15.75" customHeight="1" s="40">
      <c r="A770" s="4" t="n"/>
      <c r="B770" s="4" t="n"/>
    </row>
    <row r="771" ht="15.75" customHeight="1" s="40">
      <c r="A771" s="4" t="n"/>
      <c r="B771" s="4" t="n"/>
    </row>
    <row r="772" ht="15.75" customHeight="1" s="40">
      <c r="A772" s="4" t="n"/>
      <c r="B772" s="4" t="n"/>
    </row>
    <row r="773" ht="15.75" customHeight="1" s="40">
      <c r="A773" s="4" t="n"/>
      <c r="B773" s="4" t="n"/>
    </row>
    <row r="774" ht="15.75" customHeight="1" s="40">
      <c r="A774" s="4" t="n"/>
      <c r="B774" s="4" t="n"/>
    </row>
    <row r="775" ht="15.75" customHeight="1" s="40">
      <c r="A775" s="4" t="n"/>
      <c r="B775" s="4" t="n"/>
    </row>
    <row r="776" ht="15.75" customHeight="1" s="40">
      <c r="A776" s="4" t="n"/>
      <c r="B776" s="4" t="n"/>
    </row>
    <row r="777" ht="15.75" customHeight="1" s="40">
      <c r="A777" s="4" t="n"/>
      <c r="B777" s="4" t="n"/>
    </row>
    <row r="778" ht="15.75" customHeight="1" s="40">
      <c r="A778" s="4" t="n"/>
      <c r="B778" s="4" t="n"/>
    </row>
    <row r="779" ht="15.75" customHeight="1" s="40">
      <c r="A779" s="4" t="n"/>
      <c r="B779" s="4" t="n"/>
    </row>
    <row r="780" ht="15.75" customHeight="1" s="40">
      <c r="A780" s="4" t="n"/>
      <c r="B780" s="4" t="n"/>
    </row>
    <row r="781" ht="15.75" customHeight="1" s="40">
      <c r="A781" s="4" t="n"/>
      <c r="B781" s="4" t="n"/>
    </row>
    <row r="782" ht="15.75" customHeight="1" s="40">
      <c r="A782" s="4" t="n"/>
      <c r="B782" s="4" t="n"/>
    </row>
    <row r="783" ht="15.75" customHeight="1" s="40">
      <c r="A783" s="4" t="n"/>
      <c r="B783" s="4" t="n"/>
    </row>
    <row r="784" ht="15.75" customHeight="1" s="40">
      <c r="A784" s="4" t="n"/>
      <c r="B784" s="4" t="n"/>
    </row>
    <row r="785" ht="15.75" customHeight="1" s="40">
      <c r="A785" s="4" t="n"/>
      <c r="B785" s="4" t="n"/>
    </row>
    <row r="786" ht="15.75" customHeight="1" s="40">
      <c r="A786" s="4" t="n"/>
      <c r="B786" s="4" t="n"/>
    </row>
    <row r="787" ht="15.75" customHeight="1" s="40">
      <c r="A787" s="4" t="n"/>
      <c r="B787" s="4" t="n"/>
    </row>
    <row r="788" ht="15.75" customHeight="1" s="40">
      <c r="A788" s="4" t="n"/>
      <c r="B788" s="4" t="n"/>
    </row>
    <row r="789" ht="15.75" customHeight="1" s="40">
      <c r="A789" s="4" t="n"/>
      <c r="B789" s="4" t="n"/>
    </row>
    <row r="790" ht="15.75" customHeight="1" s="40">
      <c r="A790" s="4" t="n"/>
      <c r="B790" s="4" t="n"/>
    </row>
    <row r="791" ht="15.75" customHeight="1" s="40">
      <c r="A791" s="4" t="n"/>
      <c r="B791" s="4" t="n"/>
    </row>
    <row r="792" ht="15.75" customHeight="1" s="40">
      <c r="A792" s="4" t="n"/>
      <c r="B792" s="4" t="n"/>
    </row>
    <row r="793" ht="15.75" customHeight="1" s="40">
      <c r="A793" s="4" t="n"/>
      <c r="B793" s="4" t="n"/>
    </row>
    <row r="794" ht="15.75" customHeight="1" s="40">
      <c r="A794" s="4" t="n"/>
      <c r="B794" s="4" t="n"/>
    </row>
    <row r="795" ht="15.75" customHeight="1" s="40">
      <c r="A795" s="4" t="n"/>
      <c r="B795" s="4" t="n"/>
    </row>
    <row r="796" ht="15.75" customHeight="1" s="40">
      <c r="A796" s="4" t="n"/>
      <c r="B796" s="4" t="n"/>
    </row>
    <row r="797" ht="15.75" customHeight="1" s="40">
      <c r="A797" s="4" t="n"/>
      <c r="B797" s="4" t="n"/>
    </row>
    <row r="798" ht="15.75" customHeight="1" s="40">
      <c r="A798" s="4" t="n"/>
      <c r="B798" s="4" t="n"/>
    </row>
    <row r="799" ht="15.75" customHeight="1" s="40">
      <c r="A799" s="4" t="n"/>
      <c r="B799" s="4" t="n"/>
    </row>
    <row r="800" ht="15.75" customHeight="1" s="40">
      <c r="A800" s="4" t="n"/>
      <c r="B800" s="4" t="n"/>
    </row>
    <row r="801" ht="15.75" customHeight="1" s="40">
      <c r="A801" s="4" t="n"/>
      <c r="B801" s="4" t="n"/>
    </row>
    <row r="802" ht="15.75" customHeight="1" s="40">
      <c r="A802" s="4" t="n"/>
      <c r="B802" s="4" t="n"/>
    </row>
    <row r="803" ht="15.75" customHeight="1" s="40">
      <c r="A803" s="4" t="n"/>
      <c r="B803" s="4" t="n"/>
    </row>
    <row r="804" ht="15.75" customHeight="1" s="40">
      <c r="A804" s="4" t="n"/>
      <c r="B804" s="4" t="n"/>
    </row>
    <row r="805" ht="15.75" customHeight="1" s="40">
      <c r="A805" s="4" t="n"/>
      <c r="B805" s="4" t="n"/>
    </row>
    <row r="806" ht="15.75" customHeight="1" s="40">
      <c r="A806" s="4" t="n"/>
      <c r="B806" s="4" t="n"/>
    </row>
    <row r="807" ht="15.75" customHeight="1" s="40">
      <c r="A807" s="4" t="n"/>
      <c r="B807" s="4" t="n"/>
    </row>
    <row r="808" ht="15.75" customHeight="1" s="40">
      <c r="A808" s="4" t="n"/>
      <c r="B808" s="4" t="n"/>
    </row>
    <row r="809" ht="15.75" customHeight="1" s="40">
      <c r="A809" s="4" t="n"/>
      <c r="B809" s="4" t="n"/>
    </row>
    <row r="810" ht="15.75" customHeight="1" s="40">
      <c r="A810" s="4" t="n"/>
      <c r="B810" s="4" t="n"/>
    </row>
    <row r="811" ht="15.75" customHeight="1" s="40">
      <c r="A811" s="4" t="n"/>
      <c r="B811" s="4" t="n"/>
    </row>
    <row r="812" ht="15.75" customHeight="1" s="40">
      <c r="A812" s="4" t="n"/>
      <c r="B812" s="4" t="n"/>
    </row>
    <row r="813" ht="15.75" customHeight="1" s="40">
      <c r="A813" s="4" t="n"/>
      <c r="B813" s="4" t="n"/>
    </row>
    <row r="814" ht="15.75" customHeight="1" s="40">
      <c r="A814" s="4" t="n"/>
      <c r="B814" s="4" t="n"/>
    </row>
    <row r="815" ht="15.75" customHeight="1" s="40">
      <c r="A815" s="4" t="n"/>
      <c r="B815" s="4" t="n"/>
    </row>
    <row r="816" ht="15.75" customHeight="1" s="40">
      <c r="A816" s="4" t="n"/>
      <c r="B816" s="4" t="n"/>
    </row>
    <row r="817" ht="15.75" customHeight="1" s="40">
      <c r="A817" s="4" t="n"/>
      <c r="B817" s="4" t="n"/>
    </row>
    <row r="818" ht="15.75" customHeight="1" s="40">
      <c r="A818" s="4" t="n"/>
      <c r="B818" s="4" t="n"/>
    </row>
    <row r="819" ht="15.75" customHeight="1" s="40">
      <c r="A819" s="4" t="n"/>
      <c r="B819" s="4" t="n"/>
    </row>
    <row r="820" ht="15.75" customHeight="1" s="40">
      <c r="A820" s="4" t="n"/>
      <c r="B820" s="4" t="n"/>
    </row>
    <row r="821" ht="15.75" customHeight="1" s="40">
      <c r="A821" s="4" t="n"/>
      <c r="B821" s="4" t="n"/>
    </row>
    <row r="822" ht="15.75" customHeight="1" s="40">
      <c r="A822" s="4" t="n"/>
      <c r="B822" s="4" t="n"/>
    </row>
    <row r="823" ht="15.75" customHeight="1" s="40">
      <c r="A823" s="4" t="n"/>
      <c r="B823" s="4" t="n"/>
    </row>
    <row r="824" ht="15.75" customHeight="1" s="40">
      <c r="A824" s="4" t="n"/>
      <c r="B824" s="4" t="n"/>
    </row>
    <row r="825" ht="15.75" customHeight="1" s="40">
      <c r="A825" s="4" t="n"/>
      <c r="B825" s="4" t="n"/>
    </row>
    <row r="826" ht="15.75" customHeight="1" s="40">
      <c r="A826" s="4" t="n"/>
      <c r="B826" s="4" t="n"/>
    </row>
    <row r="827" ht="15.75" customHeight="1" s="40">
      <c r="A827" s="4" t="n"/>
      <c r="B827" s="4" t="n"/>
    </row>
    <row r="828" ht="15.75" customHeight="1" s="40">
      <c r="A828" s="4" t="n"/>
      <c r="B828" s="4" t="n"/>
    </row>
    <row r="829" ht="15.75" customHeight="1" s="40">
      <c r="A829" s="4" t="n"/>
      <c r="B829" s="4" t="n"/>
    </row>
    <row r="830" ht="15.75" customHeight="1" s="40">
      <c r="A830" s="4" t="n"/>
      <c r="B830" s="4" t="n"/>
    </row>
    <row r="831" ht="15.75" customHeight="1" s="40">
      <c r="A831" s="4" t="n"/>
      <c r="B831" s="4" t="n"/>
    </row>
    <row r="832" ht="15.75" customHeight="1" s="40">
      <c r="A832" s="4" t="n"/>
      <c r="B832" s="4" t="n"/>
    </row>
    <row r="833" ht="15.75" customHeight="1" s="40">
      <c r="A833" s="4" t="n"/>
      <c r="B833" s="4" t="n"/>
    </row>
    <row r="834" ht="15.75" customHeight="1" s="40">
      <c r="A834" s="4" t="n"/>
      <c r="B834" s="4" t="n"/>
    </row>
    <row r="835" ht="15.75" customHeight="1" s="40">
      <c r="A835" s="4" t="n"/>
      <c r="B835" s="4" t="n"/>
    </row>
    <row r="836" ht="15.75" customHeight="1" s="40">
      <c r="A836" s="4" t="n"/>
      <c r="B836" s="4" t="n"/>
    </row>
    <row r="837" ht="15.75" customHeight="1" s="40">
      <c r="A837" s="4" t="n"/>
      <c r="B837" s="4" t="n"/>
    </row>
    <row r="838" ht="15.75" customHeight="1" s="40">
      <c r="A838" s="4" t="n"/>
      <c r="B838" s="4" t="n"/>
    </row>
    <row r="839" ht="15.75" customHeight="1" s="40">
      <c r="A839" s="4" t="n"/>
      <c r="B839" s="4" t="n"/>
    </row>
    <row r="840" ht="15.75" customHeight="1" s="40">
      <c r="A840" s="4" t="n"/>
      <c r="B840" s="4" t="n"/>
    </row>
    <row r="841" ht="15.75" customHeight="1" s="40">
      <c r="A841" s="4" t="n"/>
      <c r="B841" s="4" t="n"/>
    </row>
    <row r="842" ht="15.75" customHeight="1" s="40">
      <c r="A842" s="4" t="n"/>
      <c r="B842" s="4" t="n"/>
    </row>
    <row r="843" ht="15.75" customHeight="1" s="40">
      <c r="A843" s="4" t="n"/>
      <c r="B843" s="4" t="n"/>
    </row>
    <row r="844" ht="15.75" customHeight="1" s="40">
      <c r="A844" s="4" t="n"/>
      <c r="B844" s="4" t="n"/>
    </row>
    <row r="845" ht="15.75" customHeight="1" s="40">
      <c r="A845" s="4" t="n"/>
      <c r="B845" s="4" t="n"/>
    </row>
    <row r="846" ht="15.75" customHeight="1" s="40">
      <c r="A846" s="4" t="n"/>
      <c r="B846" s="4" t="n"/>
    </row>
    <row r="847" ht="15.75" customHeight="1" s="40">
      <c r="A847" s="4" t="n"/>
      <c r="B847" s="4" t="n"/>
    </row>
    <row r="848" ht="15.75" customHeight="1" s="40">
      <c r="A848" s="4" t="n"/>
      <c r="B848" s="4" t="n"/>
    </row>
    <row r="849" ht="15.75" customHeight="1" s="40">
      <c r="A849" s="4" t="n"/>
      <c r="B849" s="4" t="n"/>
    </row>
    <row r="850" ht="15.75" customHeight="1" s="40">
      <c r="A850" s="4" t="n"/>
      <c r="B850" s="4" t="n"/>
    </row>
    <row r="851" ht="15.75" customHeight="1" s="40">
      <c r="A851" s="4" t="n"/>
      <c r="B851" s="4" t="n"/>
    </row>
    <row r="852" ht="15.75" customHeight="1" s="40">
      <c r="A852" s="4" t="n"/>
      <c r="B852" s="4" t="n"/>
    </row>
    <row r="853" ht="15.75" customHeight="1" s="40">
      <c r="A853" s="4" t="n"/>
      <c r="B853" s="4" t="n"/>
    </row>
    <row r="854" ht="15.75" customHeight="1" s="40">
      <c r="A854" s="4" t="n"/>
      <c r="B854" s="4" t="n"/>
    </row>
    <row r="855" ht="15.75" customHeight="1" s="40">
      <c r="A855" s="4" t="n"/>
      <c r="B855" s="4" t="n"/>
    </row>
    <row r="856" ht="15.75" customHeight="1" s="40">
      <c r="A856" s="4" t="n"/>
      <c r="B856" s="4" t="n"/>
    </row>
    <row r="857" ht="15.75" customHeight="1" s="40">
      <c r="A857" s="4" t="n"/>
      <c r="B857" s="4" t="n"/>
    </row>
    <row r="858" ht="15.75" customHeight="1" s="40">
      <c r="A858" s="4" t="n"/>
      <c r="B858" s="4" t="n"/>
    </row>
    <row r="859" ht="15.75" customHeight="1" s="40">
      <c r="A859" s="4" t="n"/>
      <c r="B859" s="4" t="n"/>
    </row>
    <row r="860" ht="15.75" customHeight="1" s="40">
      <c r="A860" s="4" t="n"/>
      <c r="B860" s="4" t="n"/>
    </row>
    <row r="861" ht="15.75" customHeight="1" s="40">
      <c r="A861" s="4" t="n"/>
      <c r="B861" s="4" t="n"/>
    </row>
    <row r="862" ht="15.75" customHeight="1" s="40">
      <c r="A862" s="4" t="n"/>
      <c r="B862" s="4" t="n"/>
    </row>
    <row r="863" ht="15.75" customHeight="1" s="40">
      <c r="A863" s="4" t="n"/>
      <c r="B863" s="4" t="n"/>
    </row>
    <row r="864" ht="15.75" customHeight="1" s="40">
      <c r="A864" s="4" t="n"/>
      <c r="B864" s="4" t="n"/>
    </row>
    <row r="865" ht="15.75" customHeight="1" s="40">
      <c r="A865" s="4" t="n"/>
      <c r="B865" s="4" t="n"/>
    </row>
    <row r="866" ht="15.75" customHeight="1" s="40">
      <c r="A866" s="4" t="n"/>
      <c r="B866" s="4" t="n"/>
    </row>
    <row r="867" ht="15.75" customHeight="1" s="40">
      <c r="A867" s="4" t="n"/>
      <c r="B867" s="4" t="n"/>
    </row>
    <row r="868" ht="15.75" customHeight="1" s="40">
      <c r="A868" s="4" t="n"/>
      <c r="B868" s="4" t="n"/>
    </row>
    <row r="869" ht="15.75" customHeight="1" s="40">
      <c r="A869" s="4" t="n"/>
      <c r="B869" s="4" t="n"/>
    </row>
    <row r="870" ht="15.75" customHeight="1" s="40">
      <c r="A870" s="4" t="n"/>
      <c r="B870" s="4" t="n"/>
    </row>
    <row r="871" ht="15.75" customHeight="1" s="40">
      <c r="A871" s="4" t="n"/>
      <c r="B871" s="4" t="n"/>
    </row>
    <row r="872" ht="15.75" customHeight="1" s="40">
      <c r="A872" s="4" t="n"/>
      <c r="B872" s="4" t="n"/>
    </row>
    <row r="873" ht="15.75" customHeight="1" s="40">
      <c r="A873" s="4" t="n"/>
      <c r="B873" s="4" t="n"/>
    </row>
    <row r="874" ht="15.75" customHeight="1" s="40">
      <c r="A874" s="4" t="n"/>
      <c r="B874" s="4" t="n"/>
    </row>
    <row r="875" ht="15.75" customHeight="1" s="40">
      <c r="A875" s="4" t="n"/>
      <c r="B875" s="4" t="n"/>
    </row>
    <row r="876" ht="15.75" customHeight="1" s="40">
      <c r="A876" s="4" t="n"/>
      <c r="B876" s="4" t="n"/>
    </row>
    <row r="877" ht="15.75" customHeight="1" s="40">
      <c r="A877" s="4" t="n"/>
      <c r="B877" s="4" t="n"/>
    </row>
    <row r="878" ht="15.75" customHeight="1" s="40">
      <c r="A878" s="4" t="n"/>
      <c r="B878" s="4" t="n"/>
    </row>
    <row r="879" ht="15.75" customHeight="1" s="40">
      <c r="A879" s="4" t="n"/>
      <c r="B879" s="4" t="n"/>
    </row>
    <row r="880" ht="15.75" customHeight="1" s="40">
      <c r="A880" s="4" t="n"/>
      <c r="B880" s="4" t="n"/>
    </row>
    <row r="881" ht="15.75" customHeight="1" s="40">
      <c r="A881" s="4" t="n"/>
      <c r="B881" s="4" t="n"/>
    </row>
    <row r="882" ht="15.75" customHeight="1" s="40">
      <c r="A882" s="4" t="n"/>
      <c r="B882" s="4" t="n"/>
    </row>
    <row r="883" ht="15.75" customHeight="1" s="40">
      <c r="A883" s="4" t="n"/>
      <c r="B883" s="4" t="n"/>
    </row>
    <row r="884" ht="15.75" customHeight="1" s="40">
      <c r="A884" s="4" t="n"/>
      <c r="B884" s="4" t="n"/>
    </row>
    <row r="885" ht="15.75" customHeight="1" s="40">
      <c r="A885" s="4" t="n"/>
      <c r="B885" s="4" t="n"/>
    </row>
    <row r="886" ht="15.75" customHeight="1" s="40">
      <c r="A886" s="4" t="n"/>
      <c r="B886" s="4" t="n"/>
    </row>
    <row r="887" ht="15.75" customHeight="1" s="40">
      <c r="A887" s="4" t="n"/>
      <c r="B887" s="4" t="n"/>
    </row>
    <row r="888" ht="15.75" customHeight="1" s="40">
      <c r="A888" s="4" t="n"/>
      <c r="B888" s="4" t="n"/>
    </row>
    <row r="889" ht="15.75" customHeight="1" s="40">
      <c r="A889" s="4" t="n"/>
      <c r="B889" s="4" t="n"/>
    </row>
    <row r="890" ht="15.75" customHeight="1" s="40">
      <c r="A890" s="4" t="n"/>
      <c r="B890" s="4" t="n"/>
    </row>
    <row r="891" ht="15.75" customHeight="1" s="40">
      <c r="A891" s="4" t="n"/>
      <c r="B891" s="4" t="n"/>
    </row>
    <row r="892" ht="15.75" customHeight="1" s="40">
      <c r="A892" s="4" t="n"/>
      <c r="B892" s="4" t="n"/>
    </row>
    <row r="893" ht="15.75" customHeight="1" s="40">
      <c r="A893" s="4" t="n"/>
      <c r="B893" s="4" t="n"/>
    </row>
    <row r="894" ht="15.75" customHeight="1" s="40">
      <c r="A894" s="4" t="n"/>
      <c r="B894" s="4" t="n"/>
    </row>
    <row r="895" ht="15.75" customHeight="1" s="40">
      <c r="A895" s="4" t="n"/>
      <c r="B895" s="4" t="n"/>
    </row>
    <row r="896" ht="15.75" customHeight="1" s="40">
      <c r="A896" s="4" t="n"/>
      <c r="B896" s="4" t="n"/>
    </row>
    <row r="897" ht="15.75" customHeight="1" s="40">
      <c r="A897" s="4" t="n"/>
      <c r="B897" s="4" t="n"/>
    </row>
    <row r="898" ht="15.75" customHeight="1" s="40">
      <c r="A898" s="4" t="n"/>
      <c r="B898" s="4" t="n"/>
    </row>
    <row r="899" ht="15.75" customHeight="1" s="40">
      <c r="A899" s="4" t="n"/>
      <c r="B899" s="4" t="n"/>
    </row>
    <row r="900" ht="15.75" customHeight="1" s="40">
      <c r="A900" s="4" t="n"/>
      <c r="B900" s="4" t="n"/>
    </row>
    <row r="901" ht="15.75" customHeight="1" s="40">
      <c r="A901" s="4" t="n"/>
      <c r="B901" s="4" t="n"/>
    </row>
    <row r="902" ht="15.75" customHeight="1" s="40">
      <c r="A902" s="4" t="n"/>
      <c r="B902" s="4" t="n"/>
    </row>
    <row r="903" ht="15.75" customHeight="1" s="40">
      <c r="A903" s="4" t="n"/>
      <c r="B903" s="4" t="n"/>
    </row>
    <row r="904" ht="15.75" customHeight="1" s="40">
      <c r="A904" s="4" t="n"/>
      <c r="B904" s="4" t="n"/>
    </row>
    <row r="905" ht="15.75" customHeight="1" s="40">
      <c r="A905" s="4" t="n"/>
      <c r="B905" s="4" t="n"/>
    </row>
    <row r="906" ht="15.75" customHeight="1" s="40">
      <c r="A906" s="4" t="n"/>
      <c r="B906" s="4" t="n"/>
    </row>
    <row r="907" ht="15.75" customHeight="1" s="40">
      <c r="A907" s="4" t="n"/>
      <c r="B907" s="4" t="n"/>
    </row>
    <row r="908" ht="15.75" customHeight="1" s="40">
      <c r="A908" s="4" t="n"/>
      <c r="B908" s="4" t="n"/>
    </row>
    <row r="909" ht="15.75" customHeight="1" s="40">
      <c r="A909" s="4" t="n"/>
      <c r="B909" s="4" t="n"/>
    </row>
    <row r="910" ht="15.75" customHeight="1" s="40">
      <c r="A910" s="4" t="n"/>
      <c r="B910" s="4" t="n"/>
    </row>
    <row r="911" ht="15.75" customHeight="1" s="40">
      <c r="A911" s="4" t="n"/>
      <c r="B911" s="4" t="n"/>
    </row>
    <row r="912" ht="15.75" customHeight="1" s="40">
      <c r="A912" s="4" t="n"/>
      <c r="B912" s="4" t="n"/>
    </row>
    <row r="913" ht="15.75" customHeight="1" s="40">
      <c r="A913" s="4" t="n"/>
      <c r="B913" s="4" t="n"/>
    </row>
    <row r="914" ht="15.75" customHeight="1" s="40">
      <c r="A914" s="4" t="n"/>
      <c r="B914" s="4" t="n"/>
    </row>
    <row r="915" ht="15.75" customHeight="1" s="40">
      <c r="A915" s="4" t="n"/>
      <c r="B915" s="4" t="n"/>
    </row>
    <row r="916" ht="15.75" customHeight="1" s="40">
      <c r="A916" s="4" t="n"/>
      <c r="B916" s="4" t="n"/>
    </row>
    <row r="917" ht="15.75" customHeight="1" s="40">
      <c r="A917" s="4" t="n"/>
      <c r="B917" s="4" t="n"/>
    </row>
    <row r="918" ht="15.75" customHeight="1" s="40">
      <c r="A918" s="4" t="n"/>
      <c r="B918" s="4" t="n"/>
    </row>
    <row r="919" ht="15.75" customHeight="1" s="40">
      <c r="A919" s="4" t="n"/>
      <c r="B919" s="4" t="n"/>
    </row>
    <row r="920" ht="15.75" customHeight="1" s="40">
      <c r="A920" s="4" t="n"/>
      <c r="B920" s="4" t="n"/>
    </row>
    <row r="921" ht="15.75" customHeight="1" s="40">
      <c r="A921" s="4" t="n"/>
      <c r="B921" s="4" t="n"/>
    </row>
    <row r="922" ht="15.75" customHeight="1" s="40">
      <c r="A922" s="4" t="n"/>
      <c r="B922" s="4" t="n"/>
    </row>
    <row r="923" ht="15.75" customHeight="1" s="40">
      <c r="A923" s="4" t="n"/>
      <c r="B923" s="4" t="n"/>
    </row>
    <row r="924" ht="15.75" customHeight="1" s="40">
      <c r="A924" s="4" t="n"/>
      <c r="B924" s="4" t="n"/>
    </row>
    <row r="925" ht="15.75" customHeight="1" s="40">
      <c r="A925" s="4" t="n"/>
      <c r="B925" s="4" t="n"/>
    </row>
    <row r="926" ht="15.75" customHeight="1" s="40">
      <c r="A926" s="4" t="n"/>
      <c r="B926" s="4" t="n"/>
    </row>
    <row r="927" ht="15.75" customHeight="1" s="40">
      <c r="A927" s="4" t="n"/>
      <c r="B927" s="4" t="n"/>
    </row>
    <row r="928" ht="15.75" customHeight="1" s="40">
      <c r="A928" s="4" t="n"/>
      <c r="B928" s="4" t="n"/>
    </row>
    <row r="929" ht="15.75" customHeight="1" s="40">
      <c r="A929" s="4" t="n"/>
      <c r="B929" s="4" t="n"/>
    </row>
    <row r="930" ht="15.75" customHeight="1" s="40">
      <c r="A930" s="4" t="n"/>
      <c r="B930" s="4" t="n"/>
    </row>
    <row r="931" ht="15.75" customHeight="1" s="40">
      <c r="A931" s="4" t="n"/>
      <c r="B931" s="4" t="n"/>
    </row>
    <row r="932" ht="15.75" customHeight="1" s="40">
      <c r="A932" s="4" t="n"/>
      <c r="B932" s="4" t="n"/>
    </row>
    <row r="933" ht="15.75" customHeight="1" s="40">
      <c r="A933" s="4" t="n"/>
      <c r="B933" s="4" t="n"/>
    </row>
    <row r="934" ht="15.75" customHeight="1" s="40">
      <c r="A934" s="4" t="n"/>
      <c r="B934" s="4" t="n"/>
    </row>
    <row r="935" ht="15.75" customHeight="1" s="40">
      <c r="A935" s="4" t="n"/>
      <c r="B935" s="4" t="n"/>
    </row>
    <row r="936" ht="15.75" customHeight="1" s="40">
      <c r="A936" s="4" t="n"/>
      <c r="B936" s="4" t="n"/>
    </row>
    <row r="937" ht="15.75" customHeight="1" s="40">
      <c r="A937" s="4" t="n"/>
      <c r="B937" s="4" t="n"/>
    </row>
    <row r="938" ht="15.75" customHeight="1" s="40">
      <c r="A938" s="4" t="n"/>
      <c r="B938" s="4" t="n"/>
    </row>
    <row r="939" ht="15.75" customHeight="1" s="40">
      <c r="A939" s="4" t="n"/>
      <c r="B939" s="4" t="n"/>
    </row>
    <row r="940" ht="15.75" customHeight="1" s="40">
      <c r="A940" s="4" t="n"/>
      <c r="B940" s="4" t="n"/>
    </row>
    <row r="941" ht="15.75" customHeight="1" s="40">
      <c r="A941" s="4" t="n"/>
      <c r="B941" s="4" t="n"/>
    </row>
    <row r="942" ht="15.75" customHeight="1" s="40">
      <c r="A942" s="4" t="n"/>
      <c r="B942" s="4" t="n"/>
    </row>
    <row r="943" ht="15.75" customHeight="1" s="40">
      <c r="A943" s="4" t="n"/>
      <c r="B943" s="4" t="n"/>
    </row>
    <row r="944" ht="15.75" customHeight="1" s="40">
      <c r="A944" s="4" t="n"/>
      <c r="B944" s="4" t="n"/>
    </row>
    <row r="945" ht="15.75" customHeight="1" s="40">
      <c r="A945" s="4" t="n"/>
      <c r="B945" s="4" t="n"/>
    </row>
    <row r="946" ht="15.75" customHeight="1" s="40">
      <c r="A946" s="4" t="n"/>
      <c r="B946" s="4" t="n"/>
    </row>
    <row r="947" ht="15.75" customHeight="1" s="40">
      <c r="A947" s="4" t="n"/>
      <c r="B947" s="4" t="n"/>
    </row>
    <row r="948" ht="15.75" customHeight="1" s="40">
      <c r="A948" s="4" t="n"/>
      <c r="B948" s="4" t="n"/>
    </row>
    <row r="949" ht="15.75" customHeight="1" s="40">
      <c r="A949" s="4" t="n"/>
      <c r="B949" s="4" t="n"/>
    </row>
    <row r="950" ht="15.75" customHeight="1" s="40">
      <c r="A950" s="4" t="n"/>
      <c r="B950" s="4" t="n"/>
    </row>
    <row r="951" ht="15.75" customHeight="1" s="40">
      <c r="A951" s="4" t="n"/>
      <c r="B951" s="4" t="n"/>
    </row>
    <row r="952" ht="15.75" customHeight="1" s="40">
      <c r="A952" s="4" t="n"/>
      <c r="B952" s="4" t="n"/>
    </row>
    <row r="953" ht="15.75" customHeight="1" s="40">
      <c r="A953" s="4" t="n"/>
      <c r="B953" s="4" t="n"/>
    </row>
    <row r="954" ht="15.75" customHeight="1" s="40">
      <c r="A954" s="4" t="n"/>
      <c r="B954" s="4" t="n"/>
    </row>
    <row r="955" ht="15.75" customHeight="1" s="40">
      <c r="A955" s="4" t="n"/>
      <c r="B955" s="4" t="n"/>
    </row>
    <row r="956" ht="15.75" customHeight="1" s="40">
      <c r="A956" s="4" t="n"/>
      <c r="B956" s="4" t="n"/>
    </row>
    <row r="957" ht="15.75" customHeight="1" s="40">
      <c r="A957" s="4" t="n"/>
      <c r="B957" s="4" t="n"/>
    </row>
    <row r="958" ht="15.75" customHeight="1" s="40">
      <c r="A958" s="4" t="n"/>
      <c r="B958" s="4" t="n"/>
    </row>
    <row r="959" ht="15.75" customHeight="1" s="40">
      <c r="A959" s="4" t="n"/>
      <c r="B959" s="4" t="n"/>
    </row>
    <row r="960" ht="15.75" customHeight="1" s="40">
      <c r="A960" s="4" t="n"/>
      <c r="B960" s="4" t="n"/>
    </row>
    <row r="961" ht="15.75" customHeight="1" s="40">
      <c r="A961" s="4" t="n"/>
      <c r="B961" s="4" t="n"/>
    </row>
    <row r="962" ht="15.75" customHeight="1" s="40">
      <c r="A962" s="4" t="n"/>
      <c r="B962" s="4" t="n"/>
    </row>
    <row r="963" ht="15.75" customHeight="1" s="40">
      <c r="A963" s="4" t="n"/>
      <c r="B963" s="4" t="n"/>
    </row>
    <row r="964" ht="15.75" customHeight="1" s="40">
      <c r="A964" s="4" t="n"/>
      <c r="B964" s="4" t="n"/>
    </row>
    <row r="965" ht="15.75" customHeight="1" s="40">
      <c r="A965" s="4" t="n"/>
      <c r="B965" s="4" t="n"/>
    </row>
    <row r="966" ht="15.75" customHeight="1" s="40">
      <c r="A966" s="4" t="n"/>
      <c r="B966" s="4" t="n"/>
    </row>
    <row r="967" ht="15.75" customHeight="1" s="40">
      <c r="A967" s="4" t="n"/>
      <c r="B967" s="4" t="n"/>
    </row>
    <row r="968" ht="15.75" customHeight="1" s="40">
      <c r="A968" s="4" t="n"/>
      <c r="B968" s="4" t="n"/>
    </row>
    <row r="969" ht="15.75" customHeight="1" s="40">
      <c r="A969" s="4" t="n"/>
      <c r="B969" s="4" t="n"/>
    </row>
    <row r="970" ht="15.75" customHeight="1" s="40">
      <c r="A970" s="4" t="n"/>
      <c r="B970" s="4" t="n"/>
    </row>
    <row r="971" ht="15.75" customHeight="1" s="40">
      <c r="A971" s="4" t="n"/>
      <c r="B971" s="4" t="n"/>
    </row>
    <row r="972" ht="15.75" customHeight="1" s="40">
      <c r="A972" s="4" t="n"/>
      <c r="B972" s="4" t="n"/>
    </row>
    <row r="973" ht="15.75" customHeight="1" s="40">
      <c r="A973" s="4" t="n"/>
      <c r="B973" s="4" t="n"/>
    </row>
    <row r="974" ht="15.75" customHeight="1" s="40">
      <c r="A974" s="4" t="n"/>
      <c r="B974" s="4" t="n"/>
    </row>
    <row r="975" ht="15.75" customHeight="1" s="40">
      <c r="A975" s="4" t="n"/>
      <c r="B975" s="4" t="n"/>
    </row>
    <row r="976" ht="15.75" customHeight="1" s="40">
      <c r="A976" s="4" t="n"/>
      <c r="B976" s="4" t="n"/>
    </row>
    <row r="977" ht="15.75" customHeight="1" s="40">
      <c r="A977" s="4" t="n"/>
      <c r="B977" s="4" t="n"/>
    </row>
    <row r="978" ht="15.75" customHeight="1" s="40">
      <c r="A978" s="4" t="n"/>
      <c r="B978" s="4" t="n"/>
    </row>
    <row r="979" ht="15.75" customHeight="1" s="40">
      <c r="A979" s="4" t="n"/>
      <c r="B979" s="4" t="n"/>
    </row>
    <row r="980" ht="15.75" customHeight="1" s="40">
      <c r="A980" s="4" t="n"/>
      <c r="B980" s="4" t="n"/>
    </row>
    <row r="981" ht="15.75" customHeight="1" s="40">
      <c r="A981" s="4" t="n"/>
      <c r="B981" s="4" t="n"/>
    </row>
    <row r="982" ht="15.75" customHeight="1" s="40">
      <c r="A982" s="4" t="n"/>
      <c r="B982" s="4" t="n"/>
    </row>
    <row r="983" ht="15.75" customHeight="1" s="40">
      <c r="A983" s="4" t="n"/>
      <c r="B983" s="4" t="n"/>
    </row>
    <row r="984" ht="15.75" customHeight="1" s="40">
      <c r="A984" s="4" t="n"/>
      <c r="B984" s="4" t="n"/>
    </row>
    <row r="985" ht="15.75" customHeight="1" s="40">
      <c r="A985" s="4" t="n"/>
      <c r="B985" s="4" t="n"/>
    </row>
    <row r="986" ht="15.75" customHeight="1" s="40">
      <c r="A986" s="4" t="n"/>
      <c r="B986" s="4" t="n"/>
    </row>
    <row r="987" ht="15.75" customHeight="1" s="40">
      <c r="A987" s="4" t="n"/>
      <c r="B987" s="4" t="n"/>
    </row>
    <row r="988" ht="15.75" customHeight="1" s="40">
      <c r="A988" s="4" t="n"/>
      <c r="B988" s="4" t="n"/>
    </row>
    <row r="989" ht="15.75" customHeight="1" s="40">
      <c r="A989" s="4" t="n"/>
      <c r="B989" s="4" t="n"/>
    </row>
    <row r="990" ht="15.75" customHeight="1" s="40">
      <c r="A990" s="4" t="n"/>
      <c r="B990" s="4" t="n"/>
    </row>
    <row r="991" ht="15.75" customHeight="1" s="40">
      <c r="A991" s="4" t="n"/>
      <c r="B991" s="4" t="n"/>
    </row>
    <row r="992" ht="15.75" customHeight="1" s="40">
      <c r="A992" s="4" t="n"/>
      <c r="B992" s="4" t="n"/>
    </row>
    <row r="993" ht="15.75" customHeight="1" s="40">
      <c r="A993" s="4" t="n"/>
      <c r="B993" s="4" t="n"/>
    </row>
    <row r="994" ht="15.75" customHeight="1" s="40">
      <c r="A994" s="4" t="n"/>
      <c r="B994" s="4" t="n"/>
    </row>
    <row r="995" ht="15.75" customHeight="1" s="40">
      <c r="A995" s="4" t="n"/>
      <c r="B995" s="4" t="n"/>
    </row>
    <row r="996" ht="15.75" customHeight="1" s="40">
      <c r="A996" s="4" t="n"/>
      <c r="B996" s="4" t="n"/>
    </row>
    <row r="997" ht="15.75" customHeight="1" s="40">
      <c r="A997" s="4" t="n"/>
      <c r="B997" s="4" t="n"/>
    </row>
    <row r="998" ht="15.75" customHeight="1" s="40">
      <c r="A998" s="4" t="n"/>
      <c r="B998" s="4" t="n"/>
    </row>
    <row r="999" ht="15.75" customHeight="1" s="40">
      <c r="A999" s="4" t="n"/>
      <c r="B999" s="4" t="n"/>
    </row>
    <row r="1000" ht="15.75" customHeight="1" s="40">
      <c r="A1000" s="4" t="n"/>
      <c r="B1000" s="4" t="n"/>
    </row>
  </sheetData>
  <pageMargins left="0.75" right="0.75" top="1" bottom="1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0" customWidth="1" style="40" min="1" max="1"/>
    <col width="22" customWidth="1" style="40" min="2" max="2"/>
    <col width="26" customWidth="1" style="40" min="3" max="3"/>
    <col width="20" customWidth="1" style="40" min="4" max="5"/>
    <col width="24" customWidth="1" style="40" min="6" max="7"/>
    <col width="60" customWidth="1" style="40" min="8" max="8"/>
    <col width="10" customWidth="1" style="40" min="9" max="9"/>
    <col width="52" customWidth="1" style="40" min="10" max="10"/>
    <col width="8.710000000000001" customWidth="1" style="40" min="11" max="26"/>
  </cols>
  <sheetData>
    <row r="1" ht="17.25" customHeight="1" s="40">
      <c r="A1" s="3" t="inlineStr">
        <is>
          <t>期限模型 —— 业务分类与会计驱动属性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 ht="15" customHeight="1" s="40">
      <c r="A2" s="5" t="inlineStr">
        <is>
          <t>tenorType 保留用于产品设置、界面与管理报表，但会计、风险与监管逻辑「绝不」读取该字段（V1，构建期静态检查会阻断）。派生须经操作员确认并留存溯源信息 —— 规范 §4.3。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30" customHeight="1" s="40">
      <c r="A4" s="10" t="inlineStr">
        <is>
          <t>方向</t>
        </is>
      </c>
      <c r="B4" s="12" t="inlineStr">
        <is>
          <t>tenorType（业务/界面分类）</t>
        </is>
      </c>
      <c r="C4" s="12" t="inlineStr">
        <is>
          <t>undertakingAvailability（兑用方式）</t>
        </is>
      </c>
      <c r="D4" s="12" t="inlineStr">
        <is>
          <t>financingStructure（融资结构）</t>
        </is>
      </c>
      <c r="E4" s="12" t="inlineStr">
        <is>
          <t>fundingParty（出资方）</t>
        </is>
      </c>
      <c r="F4" s="12" t="inlineStr">
        <is>
          <t>availableWith（兑用行）</t>
        </is>
      </c>
      <c r="G4" s="10" t="inlineStr">
        <is>
          <t>承付事件</t>
        </is>
      </c>
      <c r="H4" s="10" t="inlineStr">
        <is>
          <t>会计结果</t>
        </is>
      </c>
      <c r="I4" s="12" t="inlineStr">
        <is>
          <t>v2 出处</t>
        </is>
      </c>
      <c r="J4" s="10" t="inlineStr">
        <is>
          <t>溯源字段</t>
        </is>
      </c>
    </row>
    <row r="5" ht="23.25" customHeight="1" s="40">
      <c r="A5" s="14" t="inlineStr">
        <is>
          <t>Import</t>
        </is>
      </c>
      <c r="B5" s="14" t="inlineStr">
        <is>
          <t>SIGHT</t>
        </is>
      </c>
      <c r="C5" s="14" t="inlineStr">
        <is>
          <t>SIGHT</t>
        </is>
      </c>
      <c r="D5" s="14" t="inlineStr">
        <is>
          <t>NONE</t>
        </is>
      </c>
      <c r="E5" s="14" t="inlineStr">
        <is>
          <t>—</t>
        </is>
      </c>
      <c r="F5" s="14" t="inlineStr">
        <is>
          <t>—</t>
        </is>
      </c>
      <c r="G5" s="14" t="inlineStr">
        <is>
          <t>LC_HONOUR_SIGHT</t>
        </is>
      </c>
      <c r="H5" s="15" t="inlineStr">
        <is>
          <t>Bills receivable + settlement payable</t>
        </is>
      </c>
      <c r="I5" s="14" t="inlineStr">
        <is>
          <t>§3.5</t>
        </is>
      </c>
      <c r="J5" s="15" t="inlineStr">
        <is>
          <t>derived_from_tenor_type / derivation_rule_version / operator_confirmed_by / _at / overridden / override_reason</t>
        </is>
      </c>
    </row>
    <row r="6" ht="23.25" customHeight="1" s="40">
      <c r="A6" s="14" t="inlineStr">
        <is>
          <t>Import</t>
        </is>
      </c>
      <c r="B6" s="14" t="inlineStr">
        <is>
          <t>BUYERS_USANCE</t>
        </is>
      </c>
      <c r="C6" s="14" t="inlineStr">
        <is>
          <t>SIGHT</t>
        </is>
      </c>
      <c r="D6" s="14" t="inlineStr">
        <is>
          <t>BUYER_USANCE</t>
        </is>
      </c>
      <c r="E6" s="14" t="inlineStr">
        <is>
          <t>SELF</t>
        </is>
      </c>
      <c r="F6" s="14" t="inlineStr">
        <is>
          <t>—</t>
        </is>
      </c>
      <c r="G6" s="14" t="inlineStr">
        <is>
          <t>LC_HONOUR_BU_A</t>
        </is>
      </c>
      <c r="H6" s="15" t="inlineStr">
        <is>
          <t>Import usance financing (applicant)</t>
        </is>
      </c>
      <c r="I6" s="14" t="inlineStr">
        <is>
          <t>§3.6</t>
        </is>
      </c>
      <c r="J6" s="15" t="inlineStr">
        <is>
          <t>derived_from_tenor_type / derivation_rule_version / operator_confirmed_by / _at / overridden / override_reason</t>
        </is>
      </c>
    </row>
    <row r="7" ht="23.25" customHeight="1" s="40">
      <c r="A7" s="14" t="inlineStr">
        <is>
          <t>Import</t>
        </is>
      </c>
      <c r="B7" s="14" t="inlineStr">
        <is>
          <t>BUYERS_USANCE</t>
        </is>
      </c>
      <c r="C7" s="14" t="inlineStr">
        <is>
          <t>SIGHT</t>
        </is>
      </c>
      <c r="D7" s="14" t="inlineStr">
        <is>
          <t>BUYER_USANCE</t>
        </is>
      </c>
      <c r="E7" s="14" t="inlineStr">
        <is>
          <t>REFINANCING_BANK</t>
        </is>
      </c>
      <c r="F7" s="14" t="inlineStr">
        <is>
          <t>—</t>
        </is>
      </c>
      <c r="G7" s="14" t="inlineStr">
        <is>
          <t>LC_HONOUR_BU_B</t>
        </is>
      </c>
      <c r="H7" s="15" t="inlineStr">
        <is>
          <t>Applicant receivable AND due to refinancing bank</t>
        </is>
      </c>
      <c r="I7" s="14" t="inlineStr">
        <is>
          <t>§3.6</t>
        </is>
      </c>
      <c r="J7" s="15" t="inlineStr">
        <is>
          <t>derived_from_tenor_type / derivation_rule_version / operator_confirmed_by / _at / overridden / override_reason</t>
        </is>
      </c>
    </row>
    <row r="8" ht="23.25" customHeight="1" s="40">
      <c r="A8" s="14" t="inlineStr">
        <is>
          <t>Import</t>
        </is>
      </c>
      <c r="B8" s="14" t="inlineStr">
        <is>
          <t>SELLERS_USANCE</t>
        </is>
      </c>
      <c r="C8" s="14" t="inlineStr">
        <is>
          <t>ACCEPTANCE</t>
        </is>
      </c>
      <c r="D8" s="14" t="inlineStr">
        <is>
          <t>SELLER_USANCE</t>
        </is>
      </c>
      <c r="E8" s="14" t="inlineStr">
        <is>
          <t>—</t>
        </is>
      </c>
      <c r="F8" s="14" t="inlineStr">
        <is>
          <t>—</t>
        </is>
      </c>
      <c r="G8" s="14" t="inlineStr">
        <is>
          <t>LC_ACCEPT</t>
        </is>
      </c>
      <c r="H8" s="15" t="inlineStr">
        <is>
          <t>On-BS acceptance liability + reimbursement receivable</t>
        </is>
      </c>
      <c r="I8" s="14" t="inlineStr">
        <is>
          <t>§3.7</t>
        </is>
      </c>
      <c r="J8" s="15" t="inlineStr">
        <is>
          <t>derived_from_tenor_type / derivation_rule_version / operator_confirmed_by / _at / overridden / override_reason</t>
        </is>
      </c>
    </row>
    <row r="9" ht="23.25" customHeight="1" s="40">
      <c r="A9" s="14" t="inlineStr">
        <is>
          <t>Import</t>
        </is>
      </c>
      <c r="B9" s="14" t="inlineStr">
        <is>
          <t>SELLERS_USANCE</t>
        </is>
      </c>
      <c r="C9" s="14" t="inlineStr">
        <is>
          <t>DEF_PAYMENT</t>
        </is>
      </c>
      <c r="D9" s="14" t="inlineStr">
        <is>
          <t>SELLER_USANCE</t>
        </is>
      </c>
      <c r="E9" s="14" t="inlineStr">
        <is>
          <t>—</t>
        </is>
      </c>
      <c r="F9" s="14" t="inlineStr">
        <is>
          <t>—</t>
        </is>
      </c>
      <c r="G9" s="14" t="inlineStr">
        <is>
          <t>LC_ACCEPT</t>
        </is>
      </c>
      <c r="H9" s="15" t="inlineStr">
        <is>
          <t>As above; instrumentType = DPU</t>
        </is>
      </c>
      <c r="I9" s="14" t="inlineStr">
        <is>
          <t>§3.7</t>
        </is>
      </c>
      <c r="J9" s="15" t="inlineStr">
        <is>
          <t>derived_from_tenor_type / derivation_rule_version / operator_confirmed_by / _at / overridden / override_reason</t>
        </is>
      </c>
    </row>
    <row r="10" ht="23.25" customHeight="1" s="40">
      <c r="A10" s="14" t="inlineStr">
        <is>
          <t>Import</t>
        </is>
      </c>
      <c r="B10" s="14" t="inlineStr">
        <is>
          <t>(any)</t>
        </is>
      </c>
      <c r="C10" s="14" t="inlineStr">
        <is>
          <t>(any)</t>
        </is>
      </c>
      <c r="D10" s="14" t="inlineStr">
        <is>
          <t>BUYER_USANCE</t>
        </is>
      </c>
      <c r="E10" s="14" t="inlineStr">
        <is>
          <t>APPLICANT</t>
        </is>
      </c>
      <c r="F10" s="14" t="inlineStr">
        <is>
          <t>—</t>
        </is>
      </c>
      <c r="G10" s="14" t="inlineStr">
        <is>
          <t>REJECT AT VALIDATION</t>
        </is>
      </c>
      <c r="H10" s="15" t="inlineStr">
        <is>
          <t>fundingParty = APPLICANT does not exist. Buyer's usance is defined by the buyer bearing the discount cost.</t>
        </is>
      </c>
      <c r="I10" s="14" t="inlineStr">
        <is>
          <t>§3.6</t>
        </is>
      </c>
      <c r="J10" s="15" t="inlineStr">
        <is>
          <t>derived_from_tenor_type / derivation_rule_version / operator_confirmed_by / _at / overridden / override_reason</t>
        </is>
      </c>
    </row>
    <row r="11" ht="23.25" customHeight="1" s="40">
      <c r="A11" s="19" t="inlineStr">
        <is>
          <t>Export</t>
        </is>
      </c>
      <c r="B11" s="19" t="inlineStr">
        <is>
          <t>SIGHT</t>
        </is>
      </c>
      <c r="C11" s="19" t="inlineStr">
        <is>
          <t>SIGHT</t>
        </is>
      </c>
      <c r="D11" s="19" t="inlineStr">
        <is>
          <t>—</t>
        </is>
      </c>
      <c r="E11" s="19" t="inlineStr">
        <is>
          <t>—</t>
        </is>
      </c>
      <c r="F11" s="19" t="inlineStr">
        <is>
          <t>any</t>
        </is>
      </c>
      <c r="G11" s="19" t="inlineStr">
        <is>
          <t>CNF_HONOUR_SIGHT</t>
        </is>
      </c>
      <c r="H11" s="21" t="inlineStr">
        <is>
          <t>Due from issuing bank, no recourse</t>
        </is>
      </c>
      <c r="I11" s="19" t="inlineStr">
        <is>
          <t>§7.4a</t>
        </is>
      </c>
      <c r="J11" s="21" t="inlineStr">
        <is>
          <t>derived_from_tenor_type / derivation_rule_version / operator_confirmed_by / _at / overridden / override_reason</t>
        </is>
      </c>
    </row>
    <row r="12" ht="23.25" customHeight="1" s="40">
      <c r="A12" s="19" t="inlineStr">
        <is>
          <t>Export</t>
        </is>
      </c>
      <c r="B12" s="19" t="inlineStr">
        <is>
          <t>BUYERS_USANCE</t>
        </is>
      </c>
      <c r="C12" s="19" t="inlineStr">
        <is>
          <t>SIGHT or NEGOTIATION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ISSUING_BANK / ANY_BANK</t>
        </is>
      </c>
      <c r="G12" s="19" t="inlineStr">
        <is>
          <t>CNF_HONOUR_BU</t>
        </is>
      </c>
      <c r="H12" s="21" t="inlineStr">
        <is>
          <t>Due from issuing bank AT SIGHT. No deferred receivable.</t>
        </is>
      </c>
      <c r="I12" s="19" t="inlineStr">
        <is>
          <t>§7.5</t>
        </is>
      </c>
      <c r="J12" s="21" t="inlineStr">
        <is>
          <t>derived_from_tenor_type / derivation_rule_version / operator_confirmed_by / _at / overridden / override_reason</t>
        </is>
      </c>
    </row>
    <row r="13" ht="23.25" customHeight="1" s="40">
      <c r="A13" s="19" t="inlineStr">
        <is>
          <t>Export</t>
        </is>
      </c>
      <c r="B13" s="19" t="inlineStr">
        <is>
          <t>BUYERS_USANCE</t>
        </is>
      </c>
      <c r="C13" s="19" t="inlineStr">
        <is>
          <t>ACCEPTANCE / DEF_PAYMENT</t>
        </is>
      </c>
      <c r="D13" s="19" t="inlineStr">
        <is>
          <t>—</t>
        </is>
      </c>
      <c r="E13" s="19" t="inlineStr">
        <is>
          <t>—</t>
        </is>
      </c>
      <c r="F13" s="19" t="inlineStr">
        <is>
          <t>THIS_BANK</t>
        </is>
      </c>
      <c r="G13" s="19" t="inlineStr">
        <is>
          <t>CNF_ACCEPT</t>
        </is>
      </c>
      <c r="H13" s="21" t="inlineStr">
        <is>
          <t>Reimbursement due AT MATURITY (Art. 7(c))</t>
        </is>
      </c>
      <c r="I13" s="19" t="inlineStr">
        <is>
          <t>§7.5</t>
        </is>
      </c>
      <c r="J13" s="21" t="inlineStr">
        <is>
          <t>derived_from_tenor_type / derivation_rule_version / operator_confirmed_by / _at / overridden / override_reason</t>
        </is>
      </c>
    </row>
    <row r="14" ht="23.25" customHeight="1" s="40">
      <c r="A14" s="19" t="inlineStr">
        <is>
          <t>Export</t>
        </is>
      </c>
      <c r="B14" s="19" t="inlineStr">
        <is>
          <t>SELLERS_USANCE</t>
        </is>
      </c>
      <c r="C14" s="19" t="inlineStr">
        <is>
          <t>ACCEPTANCE / DEF_PAYMENT</t>
        </is>
      </c>
      <c r="D14" s="19" t="inlineStr">
        <is>
          <t>—</t>
        </is>
      </c>
      <c r="E14" s="19" t="inlineStr">
        <is>
          <t>—</t>
        </is>
      </c>
      <c r="F14" s="19" t="inlineStr">
        <is>
          <t>THIS_BANK</t>
        </is>
      </c>
      <c r="G14" s="19" t="inlineStr">
        <is>
          <t>CNF_ACCEPT</t>
        </is>
      </c>
      <c r="H14" s="21" t="inlineStr">
        <is>
          <t>On-BS acceptance liability + issuing-bank receivable</t>
        </is>
      </c>
      <c r="I14" s="19" t="inlineStr">
        <is>
          <t>§7.6</t>
        </is>
      </c>
      <c r="J14" s="21" t="inlineStr">
        <is>
          <t>derived_from_tenor_type / derivation_rule_version / operator_confirmed_by / _at / overridden / override_reason</t>
        </is>
      </c>
    </row>
    <row r="15" ht="23.25" customHeight="1" s="40">
      <c r="A15" s="19" t="inlineStr">
        <is>
          <t>Export</t>
        </is>
      </c>
      <c r="B15" s="19" t="inlineStr">
        <is>
          <t>SELLERS_USANCE</t>
        </is>
      </c>
      <c r="C15" s="19" t="inlineStr">
        <is>
          <t>ACCEPTANCE / DEF_PAYMENT</t>
        </is>
      </c>
      <c r="D15" s="19" t="inlineStr">
        <is>
          <t>—</t>
        </is>
      </c>
      <c r="E15" s="19" t="inlineStr">
        <is>
          <t>—</t>
        </is>
      </c>
      <c r="F15" s="19" t="inlineStr">
        <is>
          <t>ISSUING_BANK</t>
        </is>
      </c>
      <c r="G15" s="19" t="inlineStr">
        <is>
          <t>(no event)</t>
        </is>
      </c>
      <c r="H15" s="21" t="inlineStr">
        <is>
          <t>Issuing bank's acceptance only fixes the maturity date. Test T14.</t>
        </is>
      </c>
      <c r="I15" s="19" t="inlineStr">
        <is>
          <t>§7.6</t>
        </is>
      </c>
      <c r="J15" s="21" t="inlineStr">
        <is>
          <t>derived_from_tenor_type / derivation_rule_version / operator_confirmed_by / _at / overridden / override_reason</t>
        </is>
      </c>
    </row>
    <row r="16" ht="23.25" customHeight="1" s="40">
      <c r="A16" s="19" t="inlineStr">
        <is>
          <t>Export</t>
        </is>
      </c>
      <c r="B16" s="19" t="inlineStr">
        <is>
          <t>(any)</t>
        </is>
      </c>
      <c r="C16" s="19" t="inlineStr">
        <is>
          <t>(any)</t>
        </is>
      </c>
      <c r="D16" s="19" t="inlineStr">
        <is>
          <t>—</t>
        </is>
      </c>
      <c r="E16" s="19" t="inlineStr">
        <is>
          <t>—</t>
        </is>
      </c>
      <c r="F16" s="19" t="inlineStr">
        <is>
          <t>any</t>
        </is>
      </c>
      <c r="G16" s="19" t="inlineStr">
        <is>
          <t>EX_NEGOTIATE</t>
        </is>
      </c>
      <c r="H16" s="21" t="inlineStr">
        <is>
          <t>bankRole = NOMINATED, unconfirmed: obligor is the EXPORTER</t>
        </is>
      </c>
      <c r="I16" s="19" t="inlineStr">
        <is>
          <t>§7.4b</t>
        </is>
      </c>
      <c r="J16" s="21" t="inlineStr">
        <is>
          <t>derived_from_tenor_type / derivation_rule_version / operator_confirmed_by / _at / overridden / override_reason</t>
        </is>
      </c>
    </row>
    <row r="17" ht="23.25" customHeight="1" s="40">
      <c r="A17" s="19" t="inlineStr">
        <is>
          <t>Export</t>
        </is>
      </c>
      <c r="B17" s="19" t="inlineStr">
        <is>
          <t>(any)</t>
        </is>
      </c>
      <c r="C17" s="19" t="inlineStr">
        <is>
          <t>(any)</t>
        </is>
      </c>
      <c r="D17" s="19" t="inlineStr">
        <is>
          <t>—</t>
        </is>
      </c>
      <c r="E17" s="19" t="inlineStr">
        <is>
          <t>—</t>
        </is>
      </c>
      <c r="F17" s="19" t="inlineStr">
        <is>
          <t>any</t>
        </is>
      </c>
      <c r="G17" s="19" t="inlineStr">
        <is>
          <t>(none)</t>
        </is>
      </c>
      <c r="H17" s="21" t="inlineStr">
        <is>
          <t>bankRole = ADVISING: no contingent, no asset</t>
        </is>
      </c>
      <c r="I17" s="19" t="inlineStr">
        <is>
          <t>§6</t>
        </is>
      </c>
      <c r="J17" s="21" t="inlineStr">
        <is>
          <t>derived_from_tenor_type / derivation_rule_version / operator_confirmed_by / _at / overridden / override_reason</t>
        </is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15.75" customHeight="1" s="40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 ht="15.75" customHeight="1" s="40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 ht="15.75" customHeight="1" s="40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 ht="15.75" customHeight="1" s="40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15.75" customHeight="1" s="40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 ht="15.75" customHeight="1" s="40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 ht="15.75" customHeight="1" s="40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 ht="15.75" customHeight="1" s="40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15.75" customHeight="1" s="40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15.75" customHeight="1" s="4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 ht="15.75" customHeight="1" s="40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15.75" customHeight="1" s="40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15.75" customHeight="1" s="4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15.75" customHeight="1" s="4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15.75" customHeight="1" s="4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15.75" customHeight="1" s="4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15.75" customHeight="1" s="4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15.75" customHeight="1" s="4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75" customHeight="1" s="4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75" customHeight="1" s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15.75" customHeight="1" s="4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15.75" customHeight="1" s="4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15.75" customHeight="1" s="4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15.75" customHeight="1" s="4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75" customHeight="1" s="4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15.75" customHeight="1" s="4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15.75" customHeight="1" s="4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5.75" customHeight="1" s="4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.75" customHeight="1" s="4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.75" customHeight="1" s="4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.75" customHeight="1" s="4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.75" customHeight="1" s="4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.75" customHeight="1" s="4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.75" customHeight="1" s="4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.75" customHeight="1" s="4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.75" customHeight="1" s="4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.75" customHeight="1" s="4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.75" customHeight="1" s="4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.75" customHeight="1" s="4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4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4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4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4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4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4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4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4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4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4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4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4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4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4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4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4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4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4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4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4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4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4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4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4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4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4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4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4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4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4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4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4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4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4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4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4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4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4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4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4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4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4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4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4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4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4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4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4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4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4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4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4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4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4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4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4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4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4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4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4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4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4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4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4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4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4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4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4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4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4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4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4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4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4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4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4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4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4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4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4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4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4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4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4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4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4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4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4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4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4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4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4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4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4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4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4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4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4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4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4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4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4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4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4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4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4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4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4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4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4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4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4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4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4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4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4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4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4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4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4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4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4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4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4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4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4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4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4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4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4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4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4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4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4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4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4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4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4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4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4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4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4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4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4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4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4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4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4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4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4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4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4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4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4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4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4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4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4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4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4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4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4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4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4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4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4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4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4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4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4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4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4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40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40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40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40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40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40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40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40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40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40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40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40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40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40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40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40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4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40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40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40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40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40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40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40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40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40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4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40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40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40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40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40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40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40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40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40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4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40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40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40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40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40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40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40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40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40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4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40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40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40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40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40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40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40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40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40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4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40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40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40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40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40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40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40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40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40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4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40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40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40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40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40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40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40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40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40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4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40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40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40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40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40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40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40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40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40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4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40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40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40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40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40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40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40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40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40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4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40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40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40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40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40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40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40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40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40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40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40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40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40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40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40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40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40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40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4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40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40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40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40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40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40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40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40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40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4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40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40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40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40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40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40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40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40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40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4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40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40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40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40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40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40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40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40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40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4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40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40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40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40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40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40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40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40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40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4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40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40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40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40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40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40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40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40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40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4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40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40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40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40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40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40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40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40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40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4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40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40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40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40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40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40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40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40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40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4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40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40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40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40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40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40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40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40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40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4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40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40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40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40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40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40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40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40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40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40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40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40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40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40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40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40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40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40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4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40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40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40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40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40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40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40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40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40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4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40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40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40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40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40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40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40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40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40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4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40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40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40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40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40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40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40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40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40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4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40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40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40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40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40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40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40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40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40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4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40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40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40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40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40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40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40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40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40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4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40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40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40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40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40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40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40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40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40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4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40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40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40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40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40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40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40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40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40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4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40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40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40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40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40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40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40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40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40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4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40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40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40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40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40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40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40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40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40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40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40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40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40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40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40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40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40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40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4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40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40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40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40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40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40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40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40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40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4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40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40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40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40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40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40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40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40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40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4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40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40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40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40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40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40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40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40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40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4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40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40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40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40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40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40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40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40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40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4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40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40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40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40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40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40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40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40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40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4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40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40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40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40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40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40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40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40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40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4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40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40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40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40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40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40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40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40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40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4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40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40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40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40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40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40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40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40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40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4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40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40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40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40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40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40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40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40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40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40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40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40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40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40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40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40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40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40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4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40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40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40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40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40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40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40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40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40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4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40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40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40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40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40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40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40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40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40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4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40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40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40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40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40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40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40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40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40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4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40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40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40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40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40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40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40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40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40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4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40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40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40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40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40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40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40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40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40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4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40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40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40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40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40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40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40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40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40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4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40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40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40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40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40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40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40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40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40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4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40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40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40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40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40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40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40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40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40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4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40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40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40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40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40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40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40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40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40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40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40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40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40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40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40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40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40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40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4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40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40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40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40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40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40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40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40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40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4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40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40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40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40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40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40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40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40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40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4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40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40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40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40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40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40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40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40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40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4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40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40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40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40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40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40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40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40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40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4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40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40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40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40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40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40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40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40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40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4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40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40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40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40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40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40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40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40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40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4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40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40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40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40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40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40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40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40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40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4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40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40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40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40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40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40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40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40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40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4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40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40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40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40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40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40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40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40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40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40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40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40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40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40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40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40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40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40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4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40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40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40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40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40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40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40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40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40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4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40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40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40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40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40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40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40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40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40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4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40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40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40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40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40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40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40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40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40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4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40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40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40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40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40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40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40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40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40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4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40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40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40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40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40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40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40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40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40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4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40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40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40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40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40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40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40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40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40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4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40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40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40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40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40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40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40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40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40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4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40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40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40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40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40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40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40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40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40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4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40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40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40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40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40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40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40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40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40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40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40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40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40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40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40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40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40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40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4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40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40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40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40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40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40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40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40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40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4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40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40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40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40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40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40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40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40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40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4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40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40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40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40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40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40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40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40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40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4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40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40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40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40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40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40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40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40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40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4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40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40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40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40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40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40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40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40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40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4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$A$4:$J$17"/>
  <pageMargins left="0.75" right="0.75" top="1" bottom="1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0" customWidth="1" style="40" min="1" max="1"/>
    <col width="30" customWidth="1" style="40" min="2" max="2"/>
    <col width="18" customWidth="1" style="40" min="3" max="3"/>
    <col width="10" customWidth="1" style="40" min="4" max="4"/>
    <col width="26" customWidth="1" style="40" min="5" max="5"/>
    <col width="66" customWidth="1" style="40" min="6" max="6"/>
    <col width="10" customWidth="1" style="40" min="7" max="7"/>
    <col width="8.710000000000001" customWidth="1" style="40" min="8" max="26"/>
  </cols>
  <sheetData>
    <row r="1" ht="17.25" customHeight="1" s="40">
      <c r="A1" s="1" t="inlineStr">
        <is>
          <t>Layer 4 —— 风险：债务人认定、EAD 与阶段划分</t>
        </is>
      </c>
      <c r="B1" s="4" t="n"/>
      <c r="C1" s="4" t="n"/>
      <c r="D1" s="4" t="n"/>
      <c r="E1" s="4" t="n"/>
      <c r="F1" s="4" t="n"/>
      <c r="G1" s="4" t="n"/>
    </row>
    <row r="2" ht="15" customHeight="1" s="40">
      <c r="A2" s="9" t="inlineStr">
        <is>
          <t>风险模块只读取账簿，绝不写入。I9：ecl_ead_factor 与 ccf_regulatory 绝不可取自同一字段。五个独立命名的敞口输出见规范 §8.5。</t>
        </is>
      </c>
      <c r="B2" s="4" t="n"/>
      <c r="C2" s="4" t="n"/>
      <c r="D2" s="4" t="n"/>
      <c r="E2" s="4" t="n"/>
      <c r="F2" s="4" t="n"/>
      <c r="G2" s="4" t="n"/>
    </row>
    <row r="3">
      <c r="A3" s="4" t="n"/>
      <c r="B3" s="4" t="n"/>
      <c r="C3" s="4" t="n"/>
      <c r="D3" s="4" t="n"/>
      <c r="E3" s="4" t="n"/>
      <c r="F3" s="4" t="n"/>
      <c r="G3" s="4" t="n"/>
    </row>
    <row r="4" ht="30" customHeight="1" s="40">
      <c r="A4" s="10" t="inlineStr">
        <is>
          <t>产品 / 事件</t>
        </is>
      </c>
      <c r="B4" s="12" t="inlineStr">
        <is>
          <t>obligor_party（债务人）</t>
        </is>
      </c>
      <c r="C4" s="12" t="inlineStr">
        <is>
          <t>obligor_type（债务人类型）</t>
        </is>
      </c>
      <c r="D4" s="12" t="inlineStr">
        <is>
          <t>recourse（追索权）</t>
        </is>
      </c>
      <c r="E4" s="10" t="inlineStr">
        <is>
          <t>占用额度</t>
        </is>
      </c>
      <c r="F4" s="10" t="inlineStr">
        <is>
          <t>说明</t>
        </is>
      </c>
      <c r="G4" s="12" t="inlineStr">
        <is>
          <t>v2 出处</t>
        </is>
      </c>
    </row>
    <row r="5" ht="15" customHeight="1" s="40">
      <c r="A5" s="19" t="inlineStr">
        <is>
          <t>Import LC, SG, acceptance, all import financing</t>
        </is>
      </c>
      <c r="B5" s="19" t="inlineStr">
        <is>
          <t>Applicant</t>
        </is>
      </c>
      <c r="C5" s="19" t="inlineStr">
        <is>
          <t>CORPORATE</t>
        </is>
      </c>
      <c r="D5" s="19" t="inlineStr">
        <is>
          <t>FALSE</t>
        </is>
      </c>
      <c r="E5" s="19" t="inlineStr">
        <is>
          <t>Customer trade limit</t>
        </is>
      </c>
      <c r="F5" s="23" t="n"/>
      <c r="G5" s="19" t="inlineStr">
        <is>
          <t>§10.1</t>
        </is>
      </c>
    </row>
    <row r="6" ht="23.25" customHeight="1" s="40">
      <c r="A6" s="14" t="inlineStr">
        <is>
          <t>Export confirmation, confirmed acceptance, discounted export bill</t>
        </is>
      </c>
      <c r="B6" s="14" t="inlineStr">
        <is>
          <t>Issuing bank</t>
        </is>
      </c>
      <c r="C6" s="14" t="inlineStr">
        <is>
          <t>FI</t>
        </is>
      </c>
      <c r="D6" s="14" t="inlineStr">
        <is>
          <t>FALSE</t>
        </is>
      </c>
      <c r="E6" s="14" t="inlineStr">
        <is>
          <t>FI limit + COUNTRY limit</t>
        </is>
      </c>
      <c r="F6" s="15" t="inlineStr">
        <is>
          <t>Not the exporter's limit — the practical reason for the Issuing Bank Confirmation Exposure naming.</t>
        </is>
      </c>
      <c r="G6" s="14" t="inlineStr">
        <is>
          <t>§7.1</t>
        </is>
      </c>
    </row>
    <row r="7" ht="15" customHeight="1" s="40">
      <c r="A7" s="19" t="inlineStr">
        <is>
          <t>Refinancing loan to issuing bank (EX_REFIN)</t>
        </is>
      </c>
      <c r="B7" s="19" t="inlineStr">
        <is>
          <t>Issuing bank</t>
        </is>
      </c>
      <c r="C7" s="19" t="inlineStr">
        <is>
          <t>FI</t>
        </is>
      </c>
      <c r="D7" s="19" t="inlineStr">
        <is>
          <t>FALSE</t>
        </is>
      </c>
      <c r="E7" s="19" t="inlineStr">
        <is>
          <t>FI limit + country</t>
        </is>
      </c>
      <c r="F7" s="21" t="inlineStr">
        <is>
          <t>Separate FI credit approval.</t>
        </is>
      </c>
      <c r="G7" s="19" t="inlineStr">
        <is>
          <t>§7.5</t>
        </is>
      </c>
    </row>
    <row r="8" ht="15" customHeight="1" s="40">
      <c r="A8" s="14" t="inlineStr">
        <is>
          <t>Reimbursement undertaking (RMB_UNDERTAKE)</t>
        </is>
      </c>
      <c r="B8" s="14" t="inlineStr">
        <is>
          <t>Issuing bank</t>
        </is>
      </c>
      <c r="C8" s="14" t="inlineStr">
        <is>
          <t>FI</t>
        </is>
      </c>
      <c r="D8" s="14" t="inlineStr">
        <is>
          <t>FALSE</t>
        </is>
      </c>
      <c r="E8" s="14" t="inlineStr">
        <is>
          <t>FI limit + country</t>
        </is>
      </c>
      <c r="F8" s="20" t="n"/>
      <c r="G8" s="14" t="inlineStr">
        <is>
          <t>§7.7</t>
        </is>
      </c>
    </row>
    <row r="9" ht="15" customHeight="1" s="40">
      <c r="A9" s="19" t="inlineStr">
        <is>
          <t>EX_NEGOTIATE (unconfirmed negotiation)</t>
        </is>
      </c>
      <c r="B9" s="19" t="inlineStr">
        <is>
          <t>Exporter</t>
        </is>
      </c>
      <c r="C9" s="19" t="inlineStr">
        <is>
          <t>CORPORATE</t>
        </is>
      </c>
      <c r="D9" s="19" t="inlineStr">
        <is>
          <t>TRUE</t>
        </is>
      </c>
      <c r="E9" s="19" t="inlineStr">
        <is>
          <t>Exporter limit</t>
        </is>
      </c>
      <c r="F9" s="21" t="inlineStr">
        <is>
          <t>Issuing bank is the secondary source only.</t>
        </is>
      </c>
      <c r="G9" s="19" t="inlineStr">
        <is>
          <t>§7.4b</t>
        </is>
      </c>
    </row>
    <row r="10" ht="15" customHeight="1" s="40">
      <c r="A10" s="14" t="inlineStr">
        <is>
          <t>EX_PAY_RESERVE</t>
        </is>
      </c>
      <c r="B10" s="14" t="inlineStr">
        <is>
          <t>Exporter</t>
        </is>
      </c>
      <c r="C10" s="14" t="inlineStr">
        <is>
          <t>CORPORATE</t>
        </is>
      </c>
      <c r="D10" s="14" t="inlineStr">
        <is>
          <t>TRUE</t>
        </is>
      </c>
      <c r="E10" s="14" t="inlineStr">
        <is>
          <t>Exporter limit</t>
        </is>
      </c>
      <c r="F10" s="20" t="n"/>
      <c r="G10" s="14" t="inlineStr">
        <is>
          <t>§7.3</t>
        </is>
      </c>
    </row>
    <row r="11" ht="15" customHeight="1" s="40">
      <c r="A11" s="19" t="inlineStr">
        <is>
          <t>LC_PAY_RESERVE</t>
        </is>
      </c>
      <c r="B11" s="19" t="inlineStr">
        <is>
          <t>Presenter / beneficiary</t>
        </is>
      </c>
      <c r="C11" s="19" t="inlineStr">
        <is>
          <t>FI or CORPORATE</t>
        </is>
      </c>
      <c r="D11" s="19" t="inlineStr">
        <is>
          <t>TRUE</t>
        </is>
      </c>
      <c r="E11" s="19" t="inlineStr">
        <is>
          <t>Counterparty limit</t>
        </is>
      </c>
      <c r="F11" s="21" t="inlineStr">
        <is>
          <t>Reclassify to a normal applicant receivable once discrepancies are accepted.</t>
        </is>
      </c>
      <c r="G11" s="19" t="inlineStr">
        <is>
          <t>§3.4</t>
        </is>
      </c>
    </row>
    <row r="12" ht="23.25" customHeight="1" s="40">
      <c r="A12" s="14" t="inlineStr">
        <is>
          <t>ALL — general rule</t>
        </is>
      </c>
      <c r="B12" s="14" t="inlineStr">
        <is>
          <t>read obligor_party off the EVENT</t>
        </is>
      </c>
      <c r="C12" s="14" t="inlineStr">
        <is>
          <t>—</t>
        </is>
      </c>
      <c r="D12" s="14" t="inlineStr">
        <is>
          <t>—</t>
        </is>
      </c>
      <c r="E12" s="14" t="inlineStr">
        <is>
          <t>follows the obligor</t>
        </is>
      </c>
      <c r="F12" s="15" t="inlineStr">
        <is>
          <t>There is NO 'never the beneficiary' rule. Hard-coding one misassigns PD/LGD on the riskiest sub-book.</t>
        </is>
      </c>
      <c r="G12" s="14" t="inlineStr">
        <is>
          <t>§9.3</t>
        </is>
      </c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 ht="15.75" customHeight="1" s="40">
      <c r="A21" s="4" t="n"/>
      <c r="B21" s="4" t="n"/>
      <c r="C21" s="4" t="n"/>
      <c r="D21" s="4" t="n"/>
      <c r="E21" s="4" t="n"/>
      <c r="F21" s="4" t="n"/>
      <c r="G21" s="4" t="n"/>
    </row>
    <row r="22" ht="15.75" customHeight="1" s="40">
      <c r="A22" s="4" t="n"/>
      <c r="B22" s="4" t="n"/>
      <c r="C22" s="4" t="n"/>
      <c r="D22" s="4" t="n"/>
      <c r="E22" s="4" t="n"/>
      <c r="F22" s="4" t="n"/>
      <c r="G22" s="4" t="n"/>
    </row>
    <row r="23" ht="15.75" customHeight="1" s="40">
      <c r="A23" s="4" t="n"/>
      <c r="B23" s="4" t="n"/>
      <c r="C23" s="4" t="n"/>
      <c r="D23" s="4" t="n"/>
      <c r="E23" s="4" t="n"/>
      <c r="F23" s="4" t="n"/>
      <c r="G23" s="4" t="n"/>
    </row>
    <row r="24" ht="15.75" customHeight="1" s="40">
      <c r="A24" s="4" t="n"/>
      <c r="B24" s="4" t="n"/>
      <c r="C24" s="4" t="n"/>
      <c r="D24" s="4" t="n"/>
      <c r="E24" s="4" t="n"/>
      <c r="F24" s="4" t="n"/>
      <c r="G24" s="4" t="n"/>
    </row>
    <row r="25" ht="15.75" customHeight="1" s="40">
      <c r="A25" s="4" t="n"/>
      <c r="B25" s="4" t="n"/>
      <c r="C25" s="4" t="n"/>
      <c r="D25" s="4" t="n"/>
      <c r="E25" s="4" t="n"/>
      <c r="F25" s="4" t="n"/>
      <c r="G25" s="4" t="n"/>
    </row>
    <row r="26" ht="15.75" customHeight="1" s="40">
      <c r="A26" s="4" t="n"/>
      <c r="B26" s="4" t="n"/>
      <c r="C26" s="4" t="n"/>
      <c r="D26" s="4" t="n"/>
      <c r="E26" s="4" t="n"/>
      <c r="F26" s="4" t="n"/>
      <c r="G26" s="4" t="n"/>
    </row>
    <row r="27" ht="15.75" customHeight="1" s="40">
      <c r="A27" s="4" t="n"/>
      <c r="B27" s="4" t="n"/>
      <c r="C27" s="4" t="n"/>
      <c r="D27" s="4" t="n"/>
      <c r="E27" s="4" t="n"/>
      <c r="F27" s="4" t="n"/>
      <c r="G27" s="4" t="n"/>
    </row>
    <row r="28" ht="15.75" customHeight="1" s="40">
      <c r="A28" s="4" t="n"/>
      <c r="B28" s="4" t="n"/>
      <c r="C28" s="4" t="n"/>
      <c r="D28" s="4" t="n"/>
      <c r="E28" s="4" t="n"/>
      <c r="F28" s="4" t="n"/>
      <c r="G28" s="4" t="n"/>
    </row>
    <row r="29" ht="15.75" customHeight="1" s="40">
      <c r="A29" s="4" t="n"/>
      <c r="B29" s="4" t="n"/>
      <c r="C29" s="4" t="n"/>
      <c r="D29" s="4" t="n"/>
      <c r="E29" s="4" t="n"/>
      <c r="F29" s="4" t="n"/>
      <c r="G29" s="4" t="n"/>
    </row>
    <row r="30" ht="15.75" customHeight="1" s="40">
      <c r="A30" s="4" t="n"/>
      <c r="B30" s="4" t="n"/>
      <c r="C30" s="4" t="n"/>
      <c r="D30" s="4" t="n"/>
      <c r="E30" s="4" t="n"/>
      <c r="F30" s="4" t="n"/>
      <c r="G30" s="4" t="n"/>
    </row>
    <row r="31" ht="15.75" customHeight="1" s="40">
      <c r="A31" s="4" t="n"/>
      <c r="B31" s="4" t="n"/>
      <c r="C31" s="4" t="n"/>
      <c r="D31" s="4" t="n"/>
      <c r="E31" s="4" t="n"/>
      <c r="F31" s="4" t="n"/>
      <c r="G31" s="4" t="n"/>
    </row>
    <row r="32" ht="15.75" customHeight="1" s="40">
      <c r="A32" s="4" t="n"/>
      <c r="B32" s="4" t="n"/>
      <c r="C32" s="4" t="n"/>
      <c r="D32" s="4" t="n"/>
      <c r="E32" s="4" t="n"/>
      <c r="F32" s="4" t="n"/>
      <c r="G32" s="4" t="n"/>
    </row>
    <row r="33" ht="15.75" customHeight="1" s="40">
      <c r="A33" s="4" t="n"/>
      <c r="B33" s="4" t="n"/>
      <c r="C33" s="4" t="n"/>
      <c r="D33" s="4" t="n"/>
      <c r="E33" s="4" t="n"/>
      <c r="F33" s="4" t="n"/>
      <c r="G33" s="4" t="n"/>
    </row>
    <row r="34" ht="15.75" customHeight="1" s="40">
      <c r="A34" s="4" t="n"/>
      <c r="B34" s="4" t="n"/>
      <c r="C34" s="4" t="n"/>
      <c r="D34" s="4" t="n"/>
      <c r="E34" s="4" t="n"/>
      <c r="F34" s="4" t="n"/>
      <c r="G34" s="4" t="n"/>
    </row>
    <row r="35" ht="15.75" customHeight="1" s="40">
      <c r="A35" s="4" t="n"/>
      <c r="B35" s="4" t="n"/>
      <c r="C35" s="4" t="n"/>
      <c r="D35" s="4" t="n"/>
      <c r="E35" s="4" t="n"/>
      <c r="F35" s="4" t="n"/>
      <c r="G35" s="4" t="n"/>
    </row>
    <row r="36" ht="15.75" customHeight="1" s="40">
      <c r="A36" s="4" t="n"/>
      <c r="B36" s="4" t="n"/>
      <c r="C36" s="4" t="n"/>
      <c r="D36" s="4" t="n"/>
      <c r="E36" s="4" t="n"/>
      <c r="F36" s="4" t="n"/>
      <c r="G36" s="4" t="n"/>
    </row>
    <row r="37" ht="15.75" customHeight="1" s="40">
      <c r="A37" s="4" t="n"/>
      <c r="B37" s="4" t="n"/>
      <c r="C37" s="4" t="n"/>
      <c r="D37" s="4" t="n"/>
      <c r="E37" s="4" t="n"/>
      <c r="F37" s="4" t="n"/>
      <c r="G37" s="4" t="n"/>
    </row>
    <row r="38" ht="15.75" customHeight="1" s="40">
      <c r="A38" s="4" t="n"/>
      <c r="B38" s="4" t="n"/>
      <c r="C38" s="4" t="n"/>
      <c r="D38" s="4" t="n"/>
      <c r="E38" s="4" t="n"/>
      <c r="F38" s="4" t="n"/>
      <c r="G38" s="4" t="n"/>
    </row>
    <row r="39" ht="15.75" customHeight="1" s="40">
      <c r="A39" s="4" t="n"/>
      <c r="B39" s="4" t="n"/>
      <c r="C39" s="4" t="n"/>
      <c r="D39" s="4" t="n"/>
      <c r="E39" s="4" t="n"/>
      <c r="F39" s="4" t="n"/>
      <c r="G39" s="4" t="n"/>
    </row>
    <row r="40" ht="15.75" customHeight="1" s="40">
      <c r="A40" s="4" t="n"/>
      <c r="B40" s="4" t="n"/>
      <c r="C40" s="4" t="n"/>
      <c r="D40" s="4" t="n"/>
      <c r="E40" s="4" t="n"/>
      <c r="F40" s="4" t="n"/>
      <c r="G40" s="4" t="n"/>
    </row>
    <row r="41" ht="15.75" customHeight="1" s="40">
      <c r="A41" s="4" t="n"/>
      <c r="B41" s="4" t="n"/>
      <c r="C41" s="4" t="n"/>
      <c r="D41" s="4" t="n"/>
      <c r="E41" s="4" t="n"/>
      <c r="F41" s="4" t="n"/>
      <c r="G41" s="4" t="n"/>
    </row>
    <row r="42" ht="15.75" customHeight="1" s="40">
      <c r="A42" s="4" t="n"/>
      <c r="B42" s="4" t="n"/>
      <c r="C42" s="4" t="n"/>
      <c r="D42" s="4" t="n"/>
      <c r="E42" s="4" t="n"/>
      <c r="F42" s="4" t="n"/>
      <c r="G42" s="4" t="n"/>
    </row>
    <row r="43" ht="15.75" customHeight="1" s="40">
      <c r="A43" s="4" t="n"/>
      <c r="B43" s="4" t="n"/>
      <c r="C43" s="4" t="n"/>
      <c r="D43" s="4" t="n"/>
      <c r="E43" s="4" t="n"/>
      <c r="F43" s="4" t="n"/>
      <c r="G43" s="4" t="n"/>
    </row>
    <row r="44" ht="15.75" customHeight="1" s="40">
      <c r="A44" s="4" t="n"/>
      <c r="B44" s="4" t="n"/>
      <c r="C44" s="4" t="n"/>
      <c r="D44" s="4" t="n"/>
      <c r="E44" s="4" t="n"/>
      <c r="F44" s="4" t="n"/>
      <c r="G44" s="4" t="n"/>
    </row>
    <row r="45" ht="15.75" customHeight="1" s="40">
      <c r="A45" s="4" t="n"/>
      <c r="B45" s="4" t="n"/>
      <c r="C45" s="4" t="n"/>
      <c r="D45" s="4" t="n"/>
      <c r="E45" s="4" t="n"/>
      <c r="F45" s="4" t="n"/>
      <c r="G45" s="4" t="n"/>
    </row>
    <row r="46" ht="15.75" customHeight="1" s="40">
      <c r="A46" s="4" t="n"/>
      <c r="B46" s="4" t="n"/>
      <c r="C46" s="4" t="n"/>
      <c r="D46" s="4" t="n"/>
      <c r="E46" s="4" t="n"/>
      <c r="F46" s="4" t="n"/>
      <c r="G46" s="4" t="n"/>
    </row>
    <row r="47" ht="15.75" customHeight="1" s="40">
      <c r="A47" s="4" t="n"/>
      <c r="B47" s="4" t="n"/>
      <c r="C47" s="4" t="n"/>
      <c r="D47" s="4" t="n"/>
      <c r="E47" s="4" t="n"/>
      <c r="F47" s="4" t="n"/>
      <c r="G47" s="4" t="n"/>
    </row>
    <row r="48" ht="15.75" customHeight="1" s="40">
      <c r="A48" s="4" t="n"/>
      <c r="B48" s="4" t="n"/>
      <c r="C48" s="4" t="n"/>
      <c r="D48" s="4" t="n"/>
      <c r="E48" s="4" t="n"/>
      <c r="F48" s="4" t="n"/>
      <c r="G48" s="4" t="n"/>
    </row>
    <row r="49" ht="15.75" customHeight="1" s="40">
      <c r="A49" s="4" t="n"/>
      <c r="B49" s="4" t="n"/>
      <c r="C49" s="4" t="n"/>
      <c r="D49" s="4" t="n"/>
      <c r="E49" s="4" t="n"/>
      <c r="F49" s="4" t="n"/>
      <c r="G49" s="4" t="n"/>
    </row>
    <row r="50" ht="15.75" customHeight="1" s="40">
      <c r="A50" s="4" t="n"/>
      <c r="B50" s="4" t="n"/>
      <c r="C50" s="4" t="n"/>
      <c r="D50" s="4" t="n"/>
      <c r="E50" s="4" t="n"/>
      <c r="F50" s="4" t="n"/>
      <c r="G50" s="4" t="n"/>
    </row>
    <row r="51" ht="15.75" customHeight="1" s="40">
      <c r="A51" s="4" t="n"/>
      <c r="B51" s="4" t="n"/>
      <c r="C51" s="4" t="n"/>
      <c r="D51" s="4" t="n"/>
      <c r="E51" s="4" t="n"/>
      <c r="F51" s="4" t="n"/>
      <c r="G51" s="4" t="n"/>
    </row>
    <row r="52" ht="15.75" customHeight="1" s="40">
      <c r="A52" s="4" t="n"/>
      <c r="B52" s="4" t="n"/>
      <c r="C52" s="4" t="n"/>
      <c r="D52" s="4" t="n"/>
      <c r="E52" s="4" t="n"/>
      <c r="F52" s="4" t="n"/>
      <c r="G52" s="4" t="n"/>
    </row>
    <row r="53" ht="15.75" customHeight="1" s="40">
      <c r="A53" s="4" t="n"/>
      <c r="B53" s="4" t="n"/>
      <c r="C53" s="4" t="n"/>
      <c r="D53" s="4" t="n"/>
      <c r="E53" s="4" t="n"/>
      <c r="F53" s="4" t="n"/>
      <c r="G53" s="4" t="n"/>
    </row>
    <row r="54" ht="15.75" customHeight="1" s="40">
      <c r="A54" s="4" t="n"/>
      <c r="B54" s="4" t="n"/>
      <c r="C54" s="4" t="n"/>
      <c r="D54" s="4" t="n"/>
      <c r="E54" s="4" t="n"/>
      <c r="F54" s="4" t="n"/>
      <c r="G54" s="4" t="n"/>
    </row>
    <row r="55" ht="15.75" customHeight="1" s="40">
      <c r="A55" s="4" t="n"/>
      <c r="B55" s="4" t="n"/>
      <c r="C55" s="4" t="n"/>
      <c r="D55" s="4" t="n"/>
      <c r="E55" s="4" t="n"/>
      <c r="F55" s="4" t="n"/>
      <c r="G55" s="4" t="n"/>
    </row>
    <row r="56" ht="15.75" customHeight="1" s="40">
      <c r="A56" s="4" t="n"/>
      <c r="B56" s="4" t="n"/>
      <c r="C56" s="4" t="n"/>
      <c r="D56" s="4" t="n"/>
      <c r="E56" s="4" t="n"/>
      <c r="F56" s="4" t="n"/>
      <c r="G56" s="4" t="n"/>
    </row>
    <row r="57" ht="15.75" customHeight="1" s="40">
      <c r="A57" s="4" t="n"/>
      <c r="B57" s="4" t="n"/>
      <c r="C57" s="4" t="n"/>
      <c r="D57" s="4" t="n"/>
      <c r="E57" s="4" t="n"/>
      <c r="F57" s="4" t="n"/>
      <c r="G57" s="4" t="n"/>
    </row>
    <row r="58" ht="15.75" customHeight="1" s="40">
      <c r="A58" s="4" t="n"/>
      <c r="B58" s="4" t="n"/>
      <c r="C58" s="4" t="n"/>
      <c r="D58" s="4" t="n"/>
      <c r="E58" s="4" t="n"/>
      <c r="F58" s="4" t="n"/>
      <c r="G58" s="4" t="n"/>
    </row>
    <row r="59" ht="15.75" customHeight="1" s="40">
      <c r="A59" s="4" t="n"/>
      <c r="B59" s="4" t="n"/>
      <c r="C59" s="4" t="n"/>
      <c r="D59" s="4" t="n"/>
      <c r="E59" s="4" t="n"/>
      <c r="F59" s="4" t="n"/>
      <c r="G59" s="4" t="n"/>
    </row>
    <row r="60" ht="15.75" customHeight="1" s="40">
      <c r="A60" s="4" t="n"/>
      <c r="B60" s="4" t="n"/>
      <c r="C60" s="4" t="n"/>
      <c r="D60" s="4" t="n"/>
      <c r="E60" s="4" t="n"/>
      <c r="F60" s="4" t="n"/>
      <c r="G60" s="4" t="n"/>
    </row>
    <row r="61" ht="15.75" customHeight="1" s="40">
      <c r="A61" s="4" t="n"/>
      <c r="B61" s="4" t="n"/>
      <c r="C61" s="4" t="n"/>
      <c r="D61" s="4" t="n"/>
      <c r="E61" s="4" t="n"/>
      <c r="F61" s="4" t="n"/>
      <c r="G61" s="4" t="n"/>
    </row>
    <row r="62" ht="15.75" customHeight="1" s="40">
      <c r="A62" s="4" t="n"/>
      <c r="B62" s="4" t="n"/>
      <c r="C62" s="4" t="n"/>
      <c r="D62" s="4" t="n"/>
      <c r="E62" s="4" t="n"/>
      <c r="F62" s="4" t="n"/>
      <c r="G62" s="4" t="n"/>
    </row>
    <row r="63" ht="15.75" customHeight="1" s="40">
      <c r="A63" s="4" t="n"/>
      <c r="B63" s="4" t="n"/>
      <c r="C63" s="4" t="n"/>
      <c r="D63" s="4" t="n"/>
      <c r="E63" s="4" t="n"/>
      <c r="F63" s="4" t="n"/>
      <c r="G63" s="4" t="n"/>
    </row>
    <row r="64" ht="15.75" customHeight="1" s="40">
      <c r="A64" s="4" t="n"/>
      <c r="B64" s="4" t="n"/>
      <c r="C64" s="4" t="n"/>
      <c r="D64" s="4" t="n"/>
      <c r="E64" s="4" t="n"/>
      <c r="F64" s="4" t="n"/>
      <c r="G64" s="4" t="n"/>
    </row>
    <row r="65" ht="15.75" customHeight="1" s="40">
      <c r="A65" s="4" t="n"/>
      <c r="B65" s="4" t="n"/>
      <c r="C65" s="4" t="n"/>
      <c r="D65" s="4" t="n"/>
      <c r="E65" s="4" t="n"/>
      <c r="F65" s="4" t="n"/>
      <c r="G65" s="4" t="n"/>
    </row>
    <row r="66" ht="15.75" customHeight="1" s="40">
      <c r="A66" s="4" t="n"/>
      <c r="B66" s="4" t="n"/>
      <c r="C66" s="4" t="n"/>
      <c r="D66" s="4" t="n"/>
      <c r="E66" s="4" t="n"/>
      <c r="F66" s="4" t="n"/>
      <c r="G66" s="4" t="n"/>
    </row>
    <row r="67" ht="15.75" customHeight="1" s="40">
      <c r="A67" s="4" t="n"/>
      <c r="B67" s="4" t="n"/>
      <c r="C67" s="4" t="n"/>
      <c r="D67" s="4" t="n"/>
      <c r="E67" s="4" t="n"/>
      <c r="F67" s="4" t="n"/>
      <c r="G67" s="4" t="n"/>
    </row>
    <row r="68" ht="15.75" customHeight="1" s="40">
      <c r="A68" s="4" t="n"/>
      <c r="B68" s="4" t="n"/>
      <c r="C68" s="4" t="n"/>
      <c r="D68" s="4" t="n"/>
      <c r="E68" s="4" t="n"/>
      <c r="F68" s="4" t="n"/>
      <c r="G68" s="4" t="n"/>
    </row>
    <row r="69" ht="15.75" customHeight="1" s="40">
      <c r="A69" s="4" t="n"/>
      <c r="B69" s="4" t="n"/>
      <c r="C69" s="4" t="n"/>
      <c r="D69" s="4" t="n"/>
      <c r="E69" s="4" t="n"/>
      <c r="F69" s="4" t="n"/>
      <c r="G69" s="4" t="n"/>
    </row>
    <row r="70" ht="15.75" customHeight="1" s="40">
      <c r="A70" s="4" t="n"/>
      <c r="B70" s="4" t="n"/>
      <c r="C70" s="4" t="n"/>
      <c r="D70" s="4" t="n"/>
      <c r="E70" s="4" t="n"/>
      <c r="F70" s="4" t="n"/>
      <c r="G70" s="4" t="n"/>
    </row>
    <row r="71" ht="15.75" customHeight="1" s="40">
      <c r="A71" s="4" t="n"/>
      <c r="B71" s="4" t="n"/>
      <c r="C71" s="4" t="n"/>
      <c r="D71" s="4" t="n"/>
      <c r="E71" s="4" t="n"/>
      <c r="F71" s="4" t="n"/>
      <c r="G71" s="4" t="n"/>
    </row>
    <row r="72" ht="15.75" customHeight="1" s="40">
      <c r="A72" s="4" t="n"/>
      <c r="B72" s="4" t="n"/>
      <c r="C72" s="4" t="n"/>
      <c r="D72" s="4" t="n"/>
      <c r="E72" s="4" t="n"/>
      <c r="F72" s="4" t="n"/>
      <c r="G72" s="4" t="n"/>
    </row>
    <row r="73" ht="15.75" customHeight="1" s="40">
      <c r="A73" s="4" t="n"/>
      <c r="B73" s="4" t="n"/>
      <c r="C73" s="4" t="n"/>
      <c r="D73" s="4" t="n"/>
      <c r="E73" s="4" t="n"/>
      <c r="F73" s="4" t="n"/>
      <c r="G73" s="4" t="n"/>
    </row>
    <row r="74" ht="15.75" customHeight="1" s="40">
      <c r="A74" s="4" t="n"/>
      <c r="B74" s="4" t="n"/>
      <c r="C74" s="4" t="n"/>
      <c r="D74" s="4" t="n"/>
      <c r="E74" s="4" t="n"/>
      <c r="F74" s="4" t="n"/>
      <c r="G74" s="4" t="n"/>
    </row>
    <row r="75" ht="15.75" customHeight="1" s="40">
      <c r="A75" s="4" t="n"/>
      <c r="B75" s="4" t="n"/>
      <c r="C75" s="4" t="n"/>
      <c r="D75" s="4" t="n"/>
      <c r="E75" s="4" t="n"/>
      <c r="F75" s="4" t="n"/>
      <c r="G75" s="4" t="n"/>
    </row>
    <row r="76" ht="15.75" customHeight="1" s="40">
      <c r="A76" s="4" t="n"/>
      <c r="B76" s="4" t="n"/>
      <c r="C76" s="4" t="n"/>
      <c r="D76" s="4" t="n"/>
      <c r="E76" s="4" t="n"/>
      <c r="F76" s="4" t="n"/>
      <c r="G76" s="4" t="n"/>
    </row>
    <row r="77" ht="15.75" customHeight="1" s="40">
      <c r="A77" s="4" t="n"/>
      <c r="B77" s="4" t="n"/>
      <c r="C77" s="4" t="n"/>
      <c r="D77" s="4" t="n"/>
      <c r="E77" s="4" t="n"/>
      <c r="F77" s="4" t="n"/>
      <c r="G77" s="4" t="n"/>
    </row>
    <row r="78" ht="15.75" customHeight="1" s="40">
      <c r="A78" s="4" t="n"/>
      <c r="B78" s="4" t="n"/>
      <c r="C78" s="4" t="n"/>
      <c r="D78" s="4" t="n"/>
      <c r="E78" s="4" t="n"/>
      <c r="F78" s="4" t="n"/>
      <c r="G78" s="4" t="n"/>
    </row>
    <row r="79" ht="15.75" customHeight="1" s="40">
      <c r="A79" s="4" t="n"/>
      <c r="B79" s="4" t="n"/>
      <c r="C79" s="4" t="n"/>
      <c r="D79" s="4" t="n"/>
      <c r="E79" s="4" t="n"/>
      <c r="F79" s="4" t="n"/>
      <c r="G79" s="4" t="n"/>
    </row>
    <row r="80" ht="15.75" customHeight="1" s="40">
      <c r="A80" s="4" t="n"/>
      <c r="B80" s="4" t="n"/>
      <c r="C80" s="4" t="n"/>
      <c r="D80" s="4" t="n"/>
      <c r="E80" s="4" t="n"/>
      <c r="F80" s="4" t="n"/>
      <c r="G80" s="4" t="n"/>
    </row>
    <row r="81" ht="15.75" customHeight="1" s="40">
      <c r="A81" s="4" t="n"/>
      <c r="B81" s="4" t="n"/>
      <c r="C81" s="4" t="n"/>
      <c r="D81" s="4" t="n"/>
      <c r="E81" s="4" t="n"/>
      <c r="F81" s="4" t="n"/>
      <c r="G81" s="4" t="n"/>
    </row>
    <row r="82" ht="15.75" customHeight="1" s="40">
      <c r="A82" s="4" t="n"/>
      <c r="B82" s="4" t="n"/>
      <c r="C82" s="4" t="n"/>
      <c r="D82" s="4" t="n"/>
      <c r="E82" s="4" t="n"/>
      <c r="F82" s="4" t="n"/>
      <c r="G82" s="4" t="n"/>
    </row>
    <row r="83" ht="15.75" customHeight="1" s="40">
      <c r="A83" s="4" t="n"/>
      <c r="B83" s="4" t="n"/>
      <c r="C83" s="4" t="n"/>
      <c r="D83" s="4" t="n"/>
      <c r="E83" s="4" t="n"/>
      <c r="F83" s="4" t="n"/>
      <c r="G83" s="4" t="n"/>
    </row>
    <row r="84" ht="15.75" customHeight="1" s="40">
      <c r="A84" s="4" t="n"/>
      <c r="B84" s="4" t="n"/>
      <c r="C84" s="4" t="n"/>
      <c r="D84" s="4" t="n"/>
      <c r="E84" s="4" t="n"/>
      <c r="F84" s="4" t="n"/>
      <c r="G84" s="4" t="n"/>
    </row>
    <row r="85" ht="15.75" customHeight="1" s="40">
      <c r="A85" s="4" t="n"/>
      <c r="B85" s="4" t="n"/>
      <c r="C85" s="4" t="n"/>
      <c r="D85" s="4" t="n"/>
      <c r="E85" s="4" t="n"/>
      <c r="F85" s="4" t="n"/>
      <c r="G85" s="4" t="n"/>
    </row>
    <row r="86" ht="15.75" customHeight="1" s="40">
      <c r="A86" s="4" t="n"/>
      <c r="B86" s="4" t="n"/>
      <c r="C86" s="4" t="n"/>
      <c r="D86" s="4" t="n"/>
      <c r="E86" s="4" t="n"/>
      <c r="F86" s="4" t="n"/>
      <c r="G86" s="4" t="n"/>
    </row>
    <row r="87" ht="15.75" customHeight="1" s="40">
      <c r="A87" s="4" t="n"/>
      <c r="B87" s="4" t="n"/>
      <c r="C87" s="4" t="n"/>
      <c r="D87" s="4" t="n"/>
      <c r="E87" s="4" t="n"/>
      <c r="F87" s="4" t="n"/>
      <c r="G87" s="4" t="n"/>
    </row>
    <row r="88" ht="15.75" customHeight="1" s="40">
      <c r="A88" s="4" t="n"/>
      <c r="B88" s="4" t="n"/>
      <c r="C88" s="4" t="n"/>
      <c r="D88" s="4" t="n"/>
      <c r="E88" s="4" t="n"/>
      <c r="F88" s="4" t="n"/>
      <c r="G88" s="4" t="n"/>
    </row>
    <row r="89" ht="15.75" customHeight="1" s="40">
      <c r="A89" s="4" t="n"/>
      <c r="B89" s="4" t="n"/>
      <c r="C89" s="4" t="n"/>
      <c r="D89" s="4" t="n"/>
      <c r="E89" s="4" t="n"/>
      <c r="F89" s="4" t="n"/>
      <c r="G89" s="4" t="n"/>
    </row>
    <row r="90" ht="15.75" customHeight="1" s="40">
      <c r="A90" s="4" t="n"/>
      <c r="B90" s="4" t="n"/>
      <c r="C90" s="4" t="n"/>
      <c r="D90" s="4" t="n"/>
      <c r="E90" s="4" t="n"/>
      <c r="F90" s="4" t="n"/>
      <c r="G90" s="4" t="n"/>
    </row>
    <row r="91" ht="15.75" customHeight="1" s="40">
      <c r="A91" s="4" t="n"/>
      <c r="B91" s="4" t="n"/>
      <c r="C91" s="4" t="n"/>
      <c r="D91" s="4" t="n"/>
      <c r="E91" s="4" t="n"/>
      <c r="F91" s="4" t="n"/>
      <c r="G91" s="4" t="n"/>
    </row>
    <row r="92" ht="15.75" customHeight="1" s="40">
      <c r="A92" s="4" t="n"/>
      <c r="B92" s="4" t="n"/>
      <c r="C92" s="4" t="n"/>
      <c r="D92" s="4" t="n"/>
      <c r="E92" s="4" t="n"/>
      <c r="F92" s="4" t="n"/>
      <c r="G92" s="4" t="n"/>
    </row>
    <row r="93" ht="15.75" customHeight="1" s="40">
      <c r="A93" s="4" t="n"/>
      <c r="B93" s="4" t="n"/>
      <c r="C93" s="4" t="n"/>
      <c r="D93" s="4" t="n"/>
      <c r="E93" s="4" t="n"/>
      <c r="F93" s="4" t="n"/>
      <c r="G93" s="4" t="n"/>
    </row>
    <row r="94" ht="15.75" customHeight="1" s="40">
      <c r="A94" s="4" t="n"/>
      <c r="B94" s="4" t="n"/>
      <c r="C94" s="4" t="n"/>
      <c r="D94" s="4" t="n"/>
      <c r="E94" s="4" t="n"/>
      <c r="F94" s="4" t="n"/>
      <c r="G94" s="4" t="n"/>
    </row>
    <row r="95" ht="15.75" customHeight="1" s="40">
      <c r="A95" s="4" t="n"/>
      <c r="B95" s="4" t="n"/>
      <c r="C95" s="4" t="n"/>
      <c r="D95" s="4" t="n"/>
      <c r="E95" s="4" t="n"/>
      <c r="F95" s="4" t="n"/>
      <c r="G95" s="4" t="n"/>
    </row>
    <row r="96" ht="15.75" customHeight="1" s="40">
      <c r="A96" s="4" t="n"/>
      <c r="B96" s="4" t="n"/>
      <c r="C96" s="4" t="n"/>
      <c r="D96" s="4" t="n"/>
      <c r="E96" s="4" t="n"/>
      <c r="F96" s="4" t="n"/>
      <c r="G96" s="4" t="n"/>
    </row>
    <row r="97" ht="15.75" customHeight="1" s="40">
      <c r="A97" s="4" t="n"/>
      <c r="B97" s="4" t="n"/>
      <c r="C97" s="4" t="n"/>
      <c r="D97" s="4" t="n"/>
      <c r="E97" s="4" t="n"/>
      <c r="F97" s="4" t="n"/>
      <c r="G97" s="4" t="n"/>
    </row>
    <row r="98" ht="15.75" customHeight="1" s="40">
      <c r="A98" s="4" t="n"/>
      <c r="B98" s="4" t="n"/>
      <c r="C98" s="4" t="n"/>
      <c r="D98" s="4" t="n"/>
      <c r="E98" s="4" t="n"/>
      <c r="F98" s="4" t="n"/>
      <c r="G98" s="4" t="n"/>
    </row>
    <row r="99" ht="15.75" customHeight="1" s="40">
      <c r="A99" s="4" t="n"/>
      <c r="B99" s="4" t="n"/>
      <c r="C99" s="4" t="n"/>
      <c r="D99" s="4" t="n"/>
      <c r="E99" s="4" t="n"/>
      <c r="F99" s="4" t="n"/>
      <c r="G99" s="4" t="n"/>
    </row>
    <row r="100" ht="15.75" customHeight="1" s="40">
      <c r="A100" s="4" t="n"/>
      <c r="B100" s="4" t="n"/>
      <c r="C100" s="4" t="n"/>
      <c r="D100" s="4" t="n"/>
      <c r="E100" s="4" t="n"/>
      <c r="F100" s="4" t="n"/>
      <c r="G100" s="4" t="n"/>
    </row>
    <row r="101" ht="15.75" customHeight="1" s="40">
      <c r="A101" s="4" t="n"/>
      <c r="B101" s="4" t="n"/>
      <c r="C101" s="4" t="n"/>
      <c r="D101" s="4" t="n"/>
      <c r="E101" s="4" t="n"/>
      <c r="F101" s="4" t="n"/>
      <c r="G101" s="4" t="n"/>
    </row>
    <row r="102" ht="15.75" customHeight="1" s="40">
      <c r="A102" s="4" t="n"/>
      <c r="B102" s="4" t="n"/>
      <c r="C102" s="4" t="n"/>
      <c r="D102" s="4" t="n"/>
      <c r="E102" s="4" t="n"/>
      <c r="F102" s="4" t="n"/>
      <c r="G102" s="4" t="n"/>
    </row>
    <row r="103" ht="15.75" customHeight="1" s="40">
      <c r="A103" s="4" t="n"/>
      <c r="B103" s="4" t="n"/>
      <c r="C103" s="4" t="n"/>
      <c r="D103" s="4" t="n"/>
      <c r="E103" s="4" t="n"/>
      <c r="F103" s="4" t="n"/>
      <c r="G103" s="4" t="n"/>
    </row>
    <row r="104" ht="15.75" customHeight="1" s="40">
      <c r="A104" s="4" t="n"/>
      <c r="B104" s="4" t="n"/>
      <c r="C104" s="4" t="n"/>
      <c r="D104" s="4" t="n"/>
      <c r="E104" s="4" t="n"/>
      <c r="F104" s="4" t="n"/>
      <c r="G104" s="4" t="n"/>
    </row>
    <row r="105" ht="15.75" customHeight="1" s="40">
      <c r="A105" s="4" t="n"/>
      <c r="B105" s="4" t="n"/>
      <c r="C105" s="4" t="n"/>
      <c r="D105" s="4" t="n"/>
      <c r="E105" s="4" t="n"/>
      <c r="F105" s="4" t="n"/>
      <c r="G105" s="4" t="n"/>
    </row>
    <row r="106" ht="15.75" customHeight="1" s="40">
      <c r="A106" s="4" t="n"/>
      <c r="B106" s="4" t="n"/>
      <c r="C106" s="4" t="n"/>
      <c r="D106" s="4" t="n"/>
      <c r="E106" s="4" t="n"/>
      <c r="F106" s="4" t="n"/>
      <c r="G106" s="4" t="n"/>
    </row>
    <row r="107" ht="15.75" customHeight="1" s="40">
      <c r="A107" s="4" t="n"/>
      <c r="B107" s="4" t="n"/>
      <c r="C107" s="4" t="n"/>
      <c r="D107" s="4" t="n"/>
      <c r="E107" s="4" t="n"/>
      <c r="F107" s="4" t="n"/>
      <c r="G107" s="4" t="n"/>
    </row>
    <row r="108" ht="15.75" customHeight="1" s="40">
      <c r="A108" s="4" t="n"/>
      <c r="B108" s="4" t="n"/>
      <c r="C108" s="4" t="n"/>
      <c r="D108" s="4" t="n"/>
      <c r="E108" s="4" t="n"/>
      <c r="F108" s="4" t="n"/>
      <c r="G108" s="4" t="n"/>
    </row>
    <row r="109" ht="15.75" customHeight="1" s="40">
      <c r="A109" s="4" t="n"/>
      <c r="B109" s="4" t="n"/>
      <c r="C109" s="4" t="n"/>
      <c r="D109" s="4" t="n"/>
      <c r="E109" s="4" t="n"/>
      <c r="F109" s="4" t="n"/>
      <c r="G109" s="4" t="n"/>
    </row>
    <row r="110" ht="15.75" customHeight="1" s="40">
      <c r="A110" s="4" t="n"/>
      <c r="B110" s="4" t="n"/>
      <c r="C110" s="4" t="n"/>
      <c r="D110" s="4" t="n"/>
      <c r="E110" s="4" t="n"/>
      <c r="F110" s="4" t="n"/>
      <c r="G110" s="4" t="n"/>
    </row>
    <row r="111" ht="15.75" customHeight="1" s="40">
      <c r="A111" s="4" t="n"/>
      <c r="B111" s="4" t="n"/>
      <c r="C111" s="4" t="n"/>
      <c r="D111" s="4" t="n"/>
      <c r="E111" s="4" t="n"/>
      <c r="F111" s="4" t="n"/>
      <c r="G111" s="4" t="n"/>
    </row>
    <row r="112" ht="15.75" customHeight="1" s="40">
      <c r="A112" s="4" t="n"/>
      <c r="B112" s="4" t="n"/>
      <c r="C112" s="4" t="n"/>
      <c r="D112" s="4" t="n"/>
      <c r="E112" s="4" t="n"/>
      <c r="F112" s="4" t="n"/>
      <c r="G112" s="4" t="n"/>
    </row>
    <row r="113" ht="15.75" customHeight="1" s="40">
      <c r="A113" s="4" t="n"/>
      <c r="B113" s="4" t="n"/>
      <c r="C113" s="4" t="n"/>
      <c r="D113" s="4" t="n"/>
      <c r="E113" s="4" t="n"/>
      <c r="F113" s="4" t="n"/>
      <c r="G113" s="4" t="n"/>
    </row>
    <row r="114" ht="15.75" customHeight="1" s="40">
      <c r="A114" s="4" t="n"/>
      <c r="B114" s="4" t="n"/>
      <c r="C114" s="4" t="n"/>
      <c r="D114" s="4" t="n"/>
      <c r="E114" s="4" t="n"/>
      <c r="F114" s="4" t="n"/>
      <c r="G114" s="4" t="n"/>
    </row>
    <row r="115" ht="15.75" customHeight="1" s="40">
      <c r="A115" s="4" t="n"/>
      <c r="B115" s="4" t="n"/>
      <c r="C115" s="4" t="n"/>
      <c r="D115" s="4" t="n"/>
      <c r="E115" s="4" t="n"/>
      <c r="F115" s="4" t="n"/>
      <c r="G115" s="4" t="n"/>
    </row>
    <row r="116" ht="15.75" customHeight="1" s="40">
      <c r="A116" s="4" t="n"/>
      <c r="B116" s="4" t="n"/>
      <c r="C116" s="4" t="n"/>
      <c r="D116" s="4" t="n"/>
      <c r="E116" s="4" t="n"/>
      <c r="F116" s="4" t="n"/>
      <c r="G116" s="4" t="n"/>
    </row>
    <row r="117" ht="15.75" customHeight="1" s="40">
      <c r="A117" s="4" t="n"/>
      <c r="B117" s="4" t="n"/>
      <c r="C117" s="4" t="n"/>
      <c r="D117" s="4" t="n"/>
      <c r="E117" s="4" t="n"/>
      <c r="F117" s="4" t="n"/>
      <c r="G117" s="4" t="n"/>
    </row>
    <row r="118" ht="15.75" customHeight="1" s="40">
      <c r="A118" s="4" t="n"/>
      <c r="B118" s="4" t="n"/>
      <c r="C118" s="4" t="n"/>
      <c r="D118" s="4" t="n"/>
      <c r="E118" s="4" t="n"/>
      <c r="F118" s="4" t="n"/>
      <c r="G118" s="4" t="n"/>
    </row>
    <row r="119" ht="15.75" customHeight="1" s="40">
      <c r="A119" s="4" t="n"/>
      <c r="B119" s="4" t="n"/>
      <c r="C119" s="4" t="n"/>
      <c r="D119" s="4" t="n"/>
      <c r="E119" s="4" t="n"/>
      <c r="F119" s="4" t="n"/>
      <c r="G119" s="4" t="n"/>
    </row>
    <row r="120" ht="15.75" customHeight="1" s="40">
      <c r="A120" s="4" t="n"/>
      <c r="B120" s="4" t="n"/>
      <c r="C120" s="4" t="n"/>
      <c r="D120" s="4" t="n"/>
      <c r="E120" s="4" t="n"/>
      <c r="F120" s="4" t="n"/>
      <c r="G120" s="4" t="n"/>
    </row>
    <row r="121" ht="15.75" customHeight="1" s="40">
      <c r="A121" s="4" t="n"/>
      <c r="B121" s="4" t="n"/>
      <c r="C121" s="4" t="n"/>
      <c r="D121" s="4" t="n"/>
      <c r="E121" s="4" t="n"/>
      <c r="F121" s="4" t="n"/>
      <c r="G121" s="4" t="n"/>
    </row>
    <row r="122" ht="15.75" customHeight="1" s="40">
      <c r="A122" s="4" t="n"/>
      <c r="B122" s="4" t="n"/>
      <c r="C122" s="4" t="n"/>
      <c r="D122" s="4" t="n"/>
      <c r="E122" s="4" t="n"/>
      <c r="F122" s="4" t="n"/>
      <c r="G122" s="4" t="n"/>
    </row>
    <row r="123" ht="15.75" customHeight="1" s="40">
      <c r="A123" s="4" t="n"/>
      <c r="B123" s="4" t="n"/>
      <c r="C123" s="4" t="n"/>
      <c r="D123" s="4" t="n"/>
      <c r="E123" s="4" t="n"/>
      <c r="F123" s="4" t="n"/>
      <c r="G123" s="4" t="n"/>
    </row>
    <row r="124" ht="15.75" customHeight="1" s="40">
      <c r="A124" s="4" t="n"/>
      <c r="B124" s="4" t="n"/>
      <c r="C124" s="4" t="n"/>
      <c r="D124" s="4" t="n"/>
      <c r="E124" s="4" t="n"/>
      <c r="F124" s="4" t="n"/>
      <c r="G124" s="4" t="n"/>
    </row>
    <row r="125" ht="15.75" customHeight="1" s="40">
      <c r="A125" s="4" t="n"/>
      <c r="B125" s="4" t="n"/>
      <c r="C125" s="4" t="n"/>
      <c r="D125" s="4" t="n"/>
      <c r="E125" s="4" t="n"/>
      <c r="F125" s="4" t="n"/>
      <c r="G125" s="4" t="n"/>
    </row>
    <row r="126" ht="15.75" customHeight="1" s="40">
      <c r="A126" s="4" t="n"/>
      <c r="B126" s="4" t="n"/>
      <c r="C126" s="4" t="n"/>
      <c r="D126" s="4" t="n"/>
      <c r="E126" s="4" t="n"/>
      <c r="F126" s="4" t="n"/>
      <c r="G126" s="4" t="n"/>
    </row>
    <row r="127" ht="15.75" customHeight="1" s="40">
      <c r="A127" s="4" t="n"/>
      <c r="B127" s="4" t="n"/>
      <c r="C127" s="4" t="n"/>
      <c r="D127" s="4" t="n"/>
      <c r="E127" s="4" t="n"/>
      <c r="F127" s="4" t="n"/>
      <c r="G127" s="4" t="n"/>
    </row>
    <row r="128" ht="15.75" customHeight="1" s="40">
      <c r="A128" s="4" t="n"/>
      <c r="B128" s="4" t="n"/>
      <c r="C128" s="4" t="n"/>
      <c r="D128" s="4" t="n"/>
      <c r="E128" s="4" t="n"/>
      <c r="F128" s="4" t="n"/>
      <c r="G128" s="4" t="n"/>
    </row>
    <row r="129" ht="15.75" customHeight="1" s="40">
      <c r="A129" s="4" t="n"/>
      <c r="B129" s="4" t="n"/>
      <c r="C129" s="4" t="n"/>
      <c r="D129" s="4" t="n"/>
      <c r="E129" s="4" t="n"/>
      <c r="F129" s="4" t="n"/>
      <c r="G129" s="4" t="n"/>
    </row>
    <row r="130" ht="15.75" customHeight="1" s="40">
      <c r="A130" s="4" t="n"/>
      <c r="B130" s="4" t="n"/>
      <c r="C130" s="4" t="n"/>
      <c r="D130" s="4" t="n"/>
      <c r="E130" s="4" t="n"/>
      <c r="F130" s="4" t="n"/>
      <c r="G130" s="4" t="n"/>
    </row>
    <row r="131" ht="15.75" customHeight="1" s="40">
      <c r="A131" s="4" t="n"/>
      <c r="B131" s="4" t="n"/>
      <c r="C131" s="4" t="n"/>
      <c r="D131" s="4" t="n"/>
      <c r="E131" s="4" t="n"/>
      <c r="F131" s="4" t="n"/>
      <c r="G131" s="4" t="n"/>
    </row>
    <row r="132" ht="15.75" customHeight="1" s="40">
      <c r="A132" s="4" t="n"/>
      <c r="B132" s="4" t="n"/>
      <c r="C132" s="4" t="n"/>
      <c r="D132" s="4" t="n"/>
      <c r="E132" s="4" t="n"/>
      <c r="F132" s="4" t="n"/>
      <c r="G132" s="4" t="n"/>
    </row>
    <row r="133" ht="15.75" customHeight="1" s="40">
      <c r="A133" s="4" t="n"/>
      <c r="B133" s="4" t="n"/>
      <c r="C133" s="4" t="n"/>
      <c r="D133" s="4" t="n"/>
      <c r="E133" s="4" t="n"/>
      <c r="F133" s="4" t="n"/>
      <c r="G133" s="4" t="n"/>
    </row>
    <row r="134" ht="15.75" customHeight="1" s="40">
      <c r="A134" s="4" t="n"/>
      <c r="B134" s="4" t="n"/>
      <c r="C134" s="4" t="n"/>
      <c r="D134" s="4" t="n"/>
      <c r="E134" s="4" t="n"/>
      <c r="F134" s="4" t="n"/>
      <c r="G134" s="4" t="n"/>
    </row>
    <row r="135" ht="15.75" customHeight="1" s="40">
      <c r="A135" s="4" t="n"/>
      <c r="B135" s="4" t="n"/>
      <c r="C135" s="4" t="n"/>
      <c r="D135" s="4" t="n"/>
      <c r="E135" s="4" t="n"/>
      <c r="F135" s="4" t="n"/>
      <c r="G135" s="4" t="n"/>
    </row>
    <row r="136" ht="15.75" customHeight="1" s="40">
      <c r="A136" s="4" t="n"/>
      <c r="B136" s="4" t="n"/>
      <c r="C136" s="4" t="n"/>
      <c r="D136" s="4" t="n"/>
      <c r="E136" s="4" t="n"/>
      <c r="F136" s="4" t="n"/>
      <c r="G136" s="4" t="n"/>
    </row>
    <row r="137" ht="15.75" customHeight="1" s="40">
      <c r="A137" s="4" t="n"/>
      <c r="B137" s="4" t="n"/>
      <c r="C137" s="4" t="n"/>
      <c r="D137" s="4" t="n"/>
      <c r="E137" s="4" t="n"/>
      <c r="F137" s="4" t="n"/>
      <c r="G137" s="4" t="n"/>
    </row>
    <row r="138" ht="15.75" customHeight="1" s="40">
      <c r="A138" s="4" t="n"/>
      <c r="B138" s="4" t="n"/>
      <c r="C138" s="4" t="n"/>
      <c r="D138" s="4" t="n"/>
      <c r="E138" s="4" t="n"/>
      <c r="F138" s="4" t="n"/>
      <c r="G138" s="4" t="n"/>
    </row>
    <row r="139" ht="15.75" customHeight="1" s="40">
      <c r="A139" s="4" t="n"/>
      <c r="B139" s="4" t="n"/>
      <c r="C139" s="4" t="n"/>
      <c r="D139" s="4" t="n"/>
      <c r="E139" s="4" t="n"/>
      <c r="F139" s="4" t="n"/>
      <c r="G139" s="4" t="n"/>
    </row>
    <row r="140" ht="15.75" customHeight="1" s="40">
      <c r="A140" s="4" t="n"/>
      <c r="B140" s="4" t="n"/>
      <c r="C140" s="4" t="n"/>
      <c r="D140" s="4" t="n"/>
      <c r="E140" s="4" t="n"/>
      <c r="F140" s="4" t="n"/>
      <c r="G140" s="4" t="n"/>
    </row>
    <row r="141" ht="15.75" customHeight="1" s="40">
      <c r="A141" s="4" t="n"/>
      <c r="B141" s="4" t="n"/>
      <c r="C141" s="4" t="n"/>
      <c r="D141" s="4" t="n"/>
      <c r="E141" s="4" t="n"/>
      <c r="F141" s="4" t="n"/>
      <c r="G141" s="4" t="n"/>
    </row>
    <row r="142" ht="15.75" customHeight="1" s="40">
      <c r="A142" s="4" t="n"/>
      <c r="B142" s="4" t="n"/>
      <c r="C142" s="4" t="n"/>
      <c r="D142" s="4" t="n"/>
      <c r="E142" s="4" t="n"/>
      <c r="F142" s="4" t="n"/>
      <c r="G142" s="4" t="n"/>
    </row>
    <row r="143" ht="15.75" customHeight="1" s="40">
      <c r="A143" s="4" t="n"/>
      <c r="B143" s="4" t="n"/>
      <c r="C143" s="4" t="n"/>
      <c r="D143" s="4" t="n"/>
      <c r="E143" s="4" t="n"/>
      <c r="F143" s="4" t="n"/>
      <c r="G143" s="4" t="n"/>
    </row>
    <row r="144" ht="15.75" customHeight="1" s="40">
      <c r="A144" s="4" t="n"/>
      <c r="B144" s="4" t="n"/>
      <c r="C144" s="4" t="n"/>
      <c r="D144" s="4" t="n"/>
      <c r="E144" s="4" t="n"/>
      <c r="F144" s="4" t="n"/>
      <c r="G144" s="4" t="n"/>
    </row>
    <row r="145" ht="15.75" customHeight="1" s="40">
      <c r="A145" s="4" t="n"/>
      <c r="B145" s="4" t="n"/>
      <c r="C145" s="4" t="n"/>
      <c r="D145" s="4" t="n"/>
      <c r="E145" s="4" t="n"/>
      <c r="F145" s="4" t="n"/>
      <c r="G145" s="4" t="n"/>
    </row>
    <row r="146" ht="15.75" customHeight="1" s="40">
      <c r="A146" s="4" t="n"/>
      <c r="B146" s="4" t="n"/>
      <c r="C146" s="4" t="n"/>
      <c r="D146" s="4" t="n"/>
      <c r="E146" s="4" t="n"/>
      <c r="F146" s="4" t="n"/>
      <c r="G146" s="4" t="n"/>
    </row>
    <row r="147" ht="15.75" customHeight="1" s="40">
      <c r="A147" s="4" t="n"/>
      <c r="B147" s="4" t="n"/>
      <c r="C147" s="4" t="n"/>
      <c r="D147" s="4" t="n"/>
      <c r="E147" s="4" t="n"/>
      <c r="F147" s="4" t="n"/>
      <c r="G147" s="4" t="n"/>
    </row>
    <row r="148" ht="15.75" customHeight="1" s="40">
      <c r="A148" s="4" t="n"/>
      <c r="B148" s="4" t="n"/>
      <c r="C148" s="4" t="n"/>
      <c r="D148" s="4" t="n"/>
      <c r="E148" s="4" t="n"/>
      <c r="F148" s="4" t="n"/>
      <c r="G148" s="4" t="n"/>
    </row>
    <row r="149" ht="15.75" customHeight="1" s="40">
      <c r="A149" s="4" t="n"/>
      <c r="B149" s="4" t="n"/>
      <c r="C149" s="4" t="n"/>
      <c r="D149" s="4" t="n"/>
      <c r="E149" s="4" t="n"/>
      <c r="F149" s="4" t="n"/>
      <c r="G149" s="4" t="n"/>
    </row>
    <row r="150" ht="15.75" customHeight="1" s="40">
      <c r="A150" s="4" t="n"/>
      <c r="B150" s="4" t="n"/>
      <c r="C150" s="4" t="n"/>
      <c r="D150" s="4" t="n"/>
      <c r="E150" s="4" t="n"/>
      <c r="F150" s="4" t="n"/>
      <c r="G150" s="4" t="n"/>
    </row>
    <row r="151" ht="15.75" customHeight="1" s="40">
      <c r="A151" s="4" t="n"/>
      <c r="B151" s="4" t="n"/>
      <c r="C151" s="4" t="n"/>
      <c r="D151" s="4" t="n"/>
      <c r="E151" s="4" t="n"/>
      <c r="F151" s="4" t="n"/>
      <c r="G151" s="4" t="n"/>
    </row>
    <row r="152" ht="15.75" customHeight="1" s="40">
      <c r="A152" s="4" t="n"/>
      <c r="B152" s="4" t="n"/>
      <c r="C152" s="4" t="n"/>
      <c r="D152" s="4" t="n"/>
      <c r="E152" s="4" t="n"/>
      <c r="F152" s="4" t="n"/>
      <c r="G152" s="4" t="n"/>
    </row>
    <row r="153" ht="15.75" customHeight="1" s="40">
      <c r="A153" s="4" t="n"/>
      <c r="B153" s="4" t="n"/>
      <c r="C153" s="4" t="n"/>
      <c r="D153" s="4" t="n"/>
      <c r="E153" s="4" t="n"/>
      <c r="F153" s="4" t="n"/>
      <c r="G153" s="4" t="n"/>
    </row>
    <row r="154" ht="15.75" customHeight="1" s="40">
      <c r="A154" s="4" t="n"/>
      <c r="B154" s="4" t="n"/>
      <c r="C154" s="4" t="n"/>
      <c r="D154" s="4" t="n"/>
      <c r="E154" s="4" t="n"/>
      <c r="F154" s="4" t="n"/>
      <c r="G154" s="4" t="n"/>
    </row>
    <row r="155" ht="15.75" customHeight="1" s="40">
      <c r="A155" s="4" t="n"/>
      <c r="B155" s="4" t="n"/>
      <c r="C155" s="4" t="n"/>
      <c r="D155" s="4" t="n"/>
      <c r="E155" s="4" t="n"/>
      <c r="F155" s="4" t="n"/>
      <c r="G155" s="4" t="n"/>
    </row>
    <row r="156" ht="15.75" customHeight="1" s="40">
      <c r="A156" s="4" t="n"/>
      <c r="B156" s="4" t="n"/>
      <c r="C156" s="4" t="n"/>
      <c r="D156" s="4" t="n"/>
      <c r="E156" s="4" t="n"/>
      <c r="F156" s="4" t="n"/>
      <c r="G156" s="4" t="n"/>
    </row>
    <row r="157" ht="15.75" customHeight="1" s="40">
      <c r="A157" s="4" t="n"/>
      <c r="B157" s="4" t="n"/>
      <c r="C157" s="4" t="n"/>
      <c r="D157" s="4" t="n"/>
      <c r="E157" s="4" t="n"/>
      <c r="F157" s="4" t="n"/>
      <c r="G157" s="4" t="n"/>
    </row>
    <row r="158" ht="15.75" customHeight="1" s="40">
      <c r="A158" s="4" t="n"/>
      <c r="B158" s="4" t="n"/>
      <c r="C158" s="4" t="n"/>
      <c r="D158" s="4" t="n"/>
      <c r="E158" s="4" t="n"/>
      <c r="F158" s="4" t="n"/>
      <c r="G158" s="4" t="n"/>
    </row>
    <row r="159" ht="15.75" customHeight="1" s="40">
      <c r="A159" s="4" t="n"/>
      <c r="B159" s="4" t="n"/>
      <c r="C159" s="4" t="n"/>
      <c r="D159" s="4" t="n"/>
      <c r="E159" s="4" t="n"/>
      <c r="F159" s="4" t="n"/>
      <c r="G159" s="4" t="n"/>
    </row>
    <row r="160" ht="15.75" customHeight="1" s="40">
      <c r="A160" s="4" t="n"/>
      <c r="B160" s="4" t="n"/>
      <c r="C160" s="4" t="n"/>
      <c r="D160" s="4" t="n"/>
      <c r="E160" s="4" t="n"/>
      <c r="F160" s="4" t="n"/>
      <c r="G160" s="4" t="n"/>
    </row>
    <row r="161" ht="15.75" customHeight="1" s="40">
      <c r="A161" s="4" t="n"/>
      <c r="B161" s="4" t="n"/>
      <c r="C161" s="4" t="n"/>
      <c r="D161" s="4" t="n"/>
      <c r="E161" s="4" t="n"/>
      <c r="F161" s="4" t="n"/>
      <c r="G161" s="4" t="n"/>
    </row>
    <row r="162" ht="15.75" customHeight="1" s="40">
      <c r="A162" s="4" t="n"/>
      <c r="B162" s="4" t="n"/>
      <c r="C162" s="4" t="n"/>
      <c r="D162" s="4" t="n"/>
      <c r="E162" s="4" t="n"/>
      <c r="F162" s="4" t="n"/>
      <c r="G162" s="4" t="n"/>
    </row>
    <row r="163" ht="15.75" customHeight="1" s="40">
      <c r="A163" s="4" t="n"/>
      <c r="B163" s="4" t="n"/>
      <c r="C163" s="4" t="n"/>
      <c r="D163" s="4" t="n"/>
      <c r="E163" s="4" t="n"/>
      <c r="F163" s="4" t="n"/>
      <c r="G163" s="4" t="n"/>
    </row>
    <row r="164" ht="15.75" customHeight="1" s="40">
      <c r="A164" s="4" t="n"/>
      <c r="B164" s="4" t="n"/>
      <c r="C164" s="4" t="n"/>
      <c r="D164" s="4" t="n"/>
      <c r="E164" s="4" t="n"/>
      <c r="F164" s="4" t="n"/>
      <c r="G164" s="4" t="n"/>
    </row>
    <row r="165" ht="15.75" customHeight="1" s="40">
      <c r="A165" s="4" t="n"/>
      <c r="B165" s="4" t="n"/>
      <c r="C165" s="4" t="n"/>
      <c r="D165" s="4" t="n"/>
      <c r="E165" s="4" t="n"/>
      <c r="F165" s="4" t="n"/>
      <c r="G165" s="4" t="n"/>
    </row>
    <row r="166" ht="15.75" customHeight="1" s="40">
      <c r="A166" s="4" t="n"/>
      <c r="B166" s="4" t="n"/>
      <c r="C166" s="4" t="n"/>
      <c r="D166" s="4" t="n"/>
      <c r="E166" s="4" t="n"/>
      <c r="F166" s="4" t="n"/>
      <c r="G166" s="4" t="n"/>
    </row>
    <row r="167" ht="15.75" customHeight="1" s="40">
      <c r="A167" s="4" t="n"/>
      <c r="B167" s="4" t="n"/>
      <c r="C167" s="4" t="n"/>
      <c r="D167" s="4" t="n"/>
      <c r="E167" s="4" t="n"/>
      <c r="F167" s="4" t="n"/>
      <c r="G167" s="4" t="n"/>
    </row>
    <row r="168" ht="15.75" customHeight="1" s="40">
      <c r="A168" s="4" t="n"/>
      <c r="B168" s="4" t="n"/>
      <c r="C168" s="4" t="n"/>
      <c r="D168" s="4" t="n"/>
      <c r="E168" s="4" t="n"/>
      <c r="F168" s="4" t="n"/>
      <c r="G168" s="4" t="n"/>
    </row>
    <row r="169" ht="15.75" customHeight="1" s="40">
      <c r="A169" s="4" t="n"/>
      <c r="B169" s="4" t="n"/>
      <c r="C169" s="4" t="n"/>
      <c r="D169" s="4" t="n"/>
      <c r="E169" s="4" t="n"/>
      <c r="F169" s="4" t="n"/>
      <c r="G169" s="4" t="n"/>
    </row>
    <row r="170" ht="15.75" customHeight="1" s="40">
      <c r="A170" s="4" t="n"/>
      <c r="B170" s="4" t="n"/>
      <c r="C170" s="4" t="n"/>
      <c r="D170" s="4" t="n"/>
      <c r="E170" s="4" t="n"/>
      <c r="F170" s="4" t="n"/>
      <c r="G170" s="4" t="n"/>
    </row>
    <row r="171" ht="15.75" customHeight="1" s="40">
      <c r="A171" s="4" t="n"/>
      <c r="B171" s="4" t="n"/>
      <c r="C171" s="4" t="n"/>
      <c r="D171" s="4" t="n"/>
      <c r="E171" s="4" t="n"/>
      <c r="F171" s="4" t="n"/>
      <c r="G171" s="4" t="n"/>
    </row>
    <row r="172" ht="15.75" customHeight="1" s="40">
      <c r="A172" s="4" t="n"/>
      <c r="B172" s="4" t="n"/>
      <c r="C172" s="4" t="n"/>
      <c r="D172" s="4" t="n"/>
      <c r="E172" s="4" t="n"/>
      <c r="F172" s="4" t="n"/>
      <c r="G172" s="4" t="n"/>
    </row>
    <row r="173" ht="15.75" customHeight="1" s="40">
      <c r="A173" s="4" t="n"/>
      <c r="B173" s="4" t="n"/>
      <c r="C173" s="4" t="n"/>
      <c r="D173" s="4" t="n"/>
      <c r="E173" s="4" t="n"/>
      <c r="F173" s="4" t="n"/>
      <c r="G173" s="4" t="n"/>
    </row>
    <row r="174" ht="15.75" customHeight="1" s="40">
      <c r="A174" s="4" t="n"/>
      <c r="B174" s="4" t="n"/>
      <c r="C174" s="4" t="n"/>
      <c r="D174" s="4" t="n"/>
      <c r="E174" s="4" t="n"/>
      <c r="F174" s="4" t="n"/>
      <c r="G174" s="4" t="n"/>
    </row>
    <row r="175" ht="15.75" customHeight="1" s="40">
      <c r="A175" s="4" t="n"/>
      <c r="B175" s="4" t="n"/>
      <c r="C175" s="4" t="n"/>
      <c r="D175" s="4" t="n"/>
      <c r="E175" s="4" t="n"/>
      <c r="F175" s="4" t="n"/>
      <c r="G175" s="4" t="n"/>
    </row>
    <row r="176" ht="15.75" customHeight="1" s="40">
      <c r="A176" s="4" t="n"/>
      <c r="B176" s="4" t="n"/>
      <c r="C176" s="4" t="n"/>
      <c r="D176" s="4" t="n"/>
      <c r="E176" s="4" t="n"/>
      <c r="F176" s="4" t="n"/>
      <c r="G176" s="4" t="n"/>
    </row>
    <row r="177" ht="15.75" customHeight="1" s="40">
      <c r="A177" s="4" t="n"/>
      <c r="B177" s="4" t="n"/>
      <c r="C177" s="4" t="n"/>
      <c r="D177" s="4" t="n"/>
      <c r="E177" s="4" t="n"/>
      <c r="F177" s="4" t="n"/>
      <c r="G177" s="4" t="n"/>
    </row>
    <row r="178" ht="15.75" customHeight="1" s="40">
      <c r="A178" s="4" t="n"/>
      <c r="B178" s="4" t="n"/>
      <c r="C178" s="4" t="n"/>
      <c r="D178" s="4" t="n"/>
      <c r="E178" s="4" t="n"/>
      <c r="F178" s="4" t="n"/>
      <c r="G178" s="4" t="n"/>
    </row>
    <row r="179" ht="15.75" customHeight="1" s="40">
      <c r="A179" s="4" t="n"/>
      <c r="B179" s="4" t="n"/>
      <c r="C179" s="4" t="n"/>
      <c r="D179" s="4" t="n"/>
      <c r="E179" s="4" t="n"/>
      <c r="F179" s="4" t="n"/>
      <c r="G179" s="4" t="n"/>
    </row>
    <row r="180" ht="15.75" customHeight="1" s="40">
      <c r="A180" s="4" t="n"/>
      <c r="B180" s="4" t="n"/>
      <c r="C180" s="4" t="n"/>
      <c r="D180" s="4" t="n"/>
      <c r="E180" s="4" t="n"/>
      <c r="F180" s="4" t="n"/>
      <c r="G180" s="4" t="n"/>
    </row>
    <row r="181" ht="15.75" customHeight="1" s="40">
      <c r="A181" s="4" t="n"/>
      <c r="B181" s="4" t="n"/>
      <c r="C181" s="4" t="n"/>
      <c r="D181" s="4" t="n"/>
      <c r="E181" s="4" t="n"/>
      <c r="F181" s="4" t="n"/>
      <c r="G181" s="4" t="n"/>
    </row>
    <row r="182" ht="15.75" customHeight="1" s="40">
      <c r="A182" s="4" t="n"/>
      <c r="B182" s="4" t="n"/>
      <c r="C182" s="4" t="n"/>
      <c r="D182" s="4" t="n"/>
      <c r="E182" s="4" t="n"/>
      <c r="F182" s="4" t="n"/>
      <c r="G182" s="4" t="n"/>
    </row>
    <row r="183" ht="15.75" customHeight="1" s="40">
      <c r="A183" s="4" t="n"/>
      <c r="B183" s="4" t="n"/>
      <c r="C183" s="4" t="n"/>
      <c r="D183" s="4" t="n"/>
      <c r="E183" s="4" t="n"/>
      <c r="F183" s="4" t="n"/>
      <c r="G183" s="4" t="n"/>
    </row>
    <row r="184" ht="15.75" customHeight="1" s="40">
      <c r="A184" s="4" t="n"/>
      <c r="B184" s="4" t="n"/>
      <c r="C184" s="4" t="n"/>
      <c r="D184" s="4" t="n"/>
      <c r="E184" s="4" t="n"/>
      <c r="F184" s="4" t="n"/>
      <c r="G184" s="4" t="n"/>
    </row>
    <row r="185" ht="15.75" customHeight="1" s="40">
      <c r="A185" s="4" t="n"/>
      <c r="B185" s="4" t="n"/>
      <c r="C185" s="4" t="n"/>
      <c r="D185" s="4" t="n"/>
      <c r="E185" s="4" t="n"/>
      <c r="F185" s="4" t="n"/>
      <c r="G185" s="4" t="n"/>
    </row>
    <row r="186" ht="15.75" customHeight="1" s="40">
      <c r="A186" s="4" t="n"/>
      <c r="B186" s="4" t="n"/>
      <c r="C186" s="4" t="n"/>
      <c r="D186" s="4" t="n"/>
      <c r="E186" s="4" t="n"/>
      <c r="F186" s="4" t="n"/>
      <c r="G186" s="4" t="n"/>
    </row>
    <row r="187" ht="15.75" customHeight="1" s="40">
      <c r="A187" s="4" t="n"/>
      <c r="B187" s="4" t="n"/>
      <c r="C187" s="4" t="n"/>
      <c r="D187" s="4" t="n"/>
      <c r="E187" s="4" t="n"/>
      <c r="F187" s="4" t="n"/>
      <c r="G187" s="4" t="n"/>
    </row>
    <row r="188" ht="15.75" customHeight="1" s="40">
      <c r="A188" s="4" t="n"/>
      <c r="B188" s="4" t="n"/>
      <c r="C188" s="4" t="n"/>
      <c r="D188" s="4" t="n"/>
      <c r="E188" s="4" t="n"/>
      <c r="F188" s="4" t="n"/>
      <c r="G188" s="4" t="n"/>
    </row>
    <row r="189" ht="15.75" customHeight="1" s="40">
      <c r="A189" s="4" t="n"/>
      <c r="B189" s="4" t="n"/>
      <c r="C189" s="4" t="n"/>
      <c r="D189" s="4" t="n"/>
      <c r="E189" s="4" t="n"/>
      <c r="F189" s="4" t="n"/>
      <c r="G189" s="4" t="n"/>
    </row>
    <row r="190" ht="15.75" customHeight="1" s="40">
      <c r="A190" s="4" t="n"/>
      <c r="B190" s="4" t="n"/>
      <c r="C190" s="4" t="n"/>
      <c r="D190" s="4" t="n"/>
      <c r="E190" s="4" t="n"/>
      <c r="F190" s="4" t="n"/>
      <c r="G190" s="4" t="n"/>
    </row>
    <row r="191" ht="15.75" customHeight="1" s="40">
      <c r="A191" s="4" t="n"/>
      <c r="B191" s="4" t="n"/>
      <c r="C191" s="4" t="n"/>
      <c r="D191" s="4" t="n"/>
      <c r="E191" s="4" t="n"/>
      <c r="F191" s="4" t="n"/>
      <c r="G191" s="4" t="n"/>
    </row>
    <row r="192" ht="15.75" customHeight="1" s="40">
      <c r="A192" s="4" t="n"/>
      <c r="B192" s="4" t="n"/>
      <c r="C192" s="4" t="n"/>
      <c r="D192" s="4" t="n"/>
      <c r="E192" s="4" t="n"/>
      <c r="F192" s="4" t="n"/>
      <c r="G192" s="4" t="n"/>
    </row>
    <row r="193" ht="15.75" customHeight="1" s="40">
      <c r="A193" s="4" t="n"/>
      <c r="B193" s="4" t="n"/>
      <c r="C193" s="4" t="n"/>
      <c r="D193" s="4" t="n"/>
      <c r="E193" s="4" t="n"/>
      <c r="F193" s="4" t="n"/>
      <c r="G193" s="4" t="n"/>
    </row>
    <row r="194" ht="15.75" customHeight="1" s="40">
      <c r="A194" s="4" t="n"/>
      <c r="B194" s="4" t="n"/>
      <c r="C194" s="4" t="n"/>
      <c r="D194" s="4" t="n"/>
      <c r="E194" s="4" t="n"/>
      <c r="F194" s="4" t="n"/>
      <c r="G194" s="4" t="n"/>
    </row>
    <row r="195" ht="15.75" customHeight="1" s="40">
      <c r="A195" s="4" t="n"/>
      <c r="B195" s="4" t="n"/>
      <c r="C195" s="4" t="n"/>
      <c r="D195" s="4" t="n"/>
      <c r="E195" s="4" t="n"/>
      <c r="F195" s="4" t="n"/>
      <c r="G195" s="4" t="n"/>
    </row>
    <row r="196" ht="15.75" customHeight="1" s="40">
      <c r="A196" s="4" t="n"/>
      <c r="B196" s="4" t="n"/>
      <c r="C196" s="4" t="n"/>
      <c r="D196" s="4" t="n"/>
      <c r="E196" s="4" t="n"/>
      <c r="F196" s="4" t="n"/>
      <c r="G196" s="4" t="n"/>
    </row>
    <row r="197" ht="15.75" customHeight="1" s="40">
      <c r="A197" s="4" t="n"/>
      <c r="B197" s="4" t="n"/>
      <c r="C197" s="4" t="n"/>
      <c r="D197" s="4" t="n"/>
      <c r="E197" s="4" t="n"/>
      <c r="F197" s="4" t="n"/>
      <c r="G197" s="4" t="n"/>
    </row>
    <row r="198" ht="15.75" customHeight="1" s="40">
      <c r="A198" s="4" t="n"/>
      <c r="B198" s="4" t="n"/>
      <c r="C198" s="4" t="n"/>
      <c r="D198" s="4" t="n"/>
      <c r="E198" s="4" t="n"/>
      <c r="F198" s="4" t="n"/>
      <c r="G198" s="4" t="n"/>
    </row>
    <row r="199" ht="15.75" customHeight="1" s="40">
      <c r="A199" s="4" t="n"/>
      <c r="B199" s="4" t="n"/>
      <c r="C199" s="4" t="n"/>
      <c r="D199" s="4" t="n"/>
      <c r="E199" s="4" t="n"/>
      <c r="F199" s="4" t="n"/>
      <c r="G199" s="4" t="n"/>
    </row>
    <row r="200" ht="15.75" customHeight="1" s="40">
      <c r="A200" s="4" t="n"/>
      <c r="B200" s="4" t="n"/>
      <c r="C200" s="4" t="n"/>
      <c r="D200" s="4" t="n"/>
      <c r="E200" s="4" t="n"/>
      <c r="F200" s="4" t="n"/>
      <c r="G200" s="4" t="n"/>
    </row>
    <row r="201" ht="15.75" customHeight="1" s="40">
      <c r="A201" s="4" t="n"/>
      <c r="B201" s="4" t="n"/>
      <c r="C201" s="4" t="n"/>
      <c r="D201" s="4" t="n"/>
      <c r="E201" s="4" t="n"/>
      <c r="F201" s="4" t="n"/>
      <c r="G201" s="4" t="n"/>
    </row>
    <row r="202" ht="15.75" customHeight="1" s="40">
      <c r="A202" s="4" t="n"/>
      <c r="B202" s="4" t="n"/>
      <c r="C202" s="4" t="n"/>
      <c r="D202" s="4" t="n"/>
      <c r="E202" s="4" t="n"/>
      <c r="F202" s="4" t="n"/>
      <c r="G202" s="4" t="n"/>
    </row>
    <row r="203" ht="15.75" customHeight="1" s="40">
      <c r="A203" s="4" t="n"/>
      <c r="B203" s="4" t="n"/>
      <c r="C203" s="4" t="n"/>
      <c r="D203" s="4" t="n"/>
      <c r="E203" s="4" t="n"/>
      <c r="F203" s="4" t="n"/>
      <c r="G203" s="4" t="n"/>
    </row>
    <row r="204" ht="15.75" customHeight="1" s="40">
      <c r="A204" s="4" t="n"/>
      <c r="B204" s="4" t="n"/>
      <c r="C204" s="4" t="n"/>
      <c r="D204" s="4" t="n"/>
      <c r="E204" s="4" t="n"/>
      <c r="F204" s="4" t="n"/>
      <c r="G204" s="4" t="n"/>
    </row>
    <row r="205" ht="15.75" customHeight="1" s="40">
      <c r="A205" s="4" t="n"/>
      <c r="B205" s="4" t="n"/>
      <c r="C205" s="4" t="n"/>
      <c r="D205" s="4" t="n"/>
      <c r="E205" s="4" t="n"/>
      <c r="F205" s="4" t="n"/>
      <c r="G205" s="4" t="n"/>
    </row>
    <row r="206" ht="15.75" customHeight="1" s="40">
      <c r="A206" s="4" t="n"/>
      <c r="B206" s="4" t="n"/>
      <c r="C206" s="4" t="n"/>
      <c r="D206" s="4" t="n"/>
      <c r="E206" s="4" t="n"/>
      <c r="F206" s="4" t="n"/>
      <c r="G206" s="4" t="n"/>
    </row>
    <row r="207" ht="15.75" customHeight="1" s="40">
      <c r="A207" s="4" t="n"/>
      <c r="B207" s="4" t="n"/>
      <c r="C207" s="4" t="n"/>
      <c r="D207" s="4" t="n"/>
      <c r="E207" s="4" t="n"/>
      <c r="F207" s="4" t="n"/>
      <c r="G207" s="4" t="n"/>
    </row>
    <row r="208" ht="15.75" customHeight="1" s="40">
      <c r="A208" s="4" t="n"/>
      <c r="B208" s="4" t="n"/>
      <c r="C208" s="4" t="n"/>
      <c r="D208" s="4" t="n"/>
      <c r="E208" s="4" t="n"/>
      <c r="F208" s="4" t="n"/>
      <c r="G208" s="4" t="n"/>
    </row>
    <row r="209" ht="15.75" customHeight="1" s="40">
      <c r="A209" s="4" t="n"/>
      <c r="B209" s="4" t="n"/>
      <c r="C209" s="4" t="n"/>
      <c r="D209" s="4" t="n"/>
      <c r="E209" s="4" t="n"/>
      <c r="F209" s="4" t="n"/>
      <c r="G209" s="4" t="n"/>
    </row>
    <row r="210" ht="15.75" customHeight="1" s="40">
      <c r="A210" s="4" t="n"/>
      <c r="B210" s="4" t="n"/>
      <c r="C210" s="4" t="n"/>
      <c r="D210" s="4" t="n"/>
      <c r="E210" s="4" t="n"/>
      <c r="F210" s="4" t="n"/>
      <c r="G210" s="4" t="n"/>
    </row>
    <row r="211" ht="15.75" customHeight="1" s="40">
      <c r="A211" s="4" t="n"/>
      <c r="B211" s="4" t="n"/>
      <c r="C211" s="4" t="n"/>
      <c r="D211" s="4" t="n"/>
      <c r="E211" s="4" t="n"/>
      <c r="F211" s="4" t="n"/>
      <c r="G211" s="4" t="n"/>
    </row>
    <row r="212" ht="15.75" customHeight="1" s="40">
      <c r="A212" s="4" t="n"/>
      <c r="B212" s="4" t="n"/>
      <c r="C212" s="4" t="n"/>
      <c r="D212" s="4" t="n"/>
      <c r="E212" s="4" t="n"/>
      <c r="F212" s="4" t="n"/>
      <c r="G212" s="4" t="n"/>
    </row>
    <row r="213" ht="15.75" customHeight="1" s="40">
      <c r="A213" s="4" t="n"/>
      <c r="B213" s="4" t="n"/>
      <c r="C213" s="4" t="n"/>
      <c r="D213" s="4" t="n"/>
      <c r="E213" s="4" t="n"/>
      <c r="F213" s="4" t="n"/>
      <c r="G213" s="4" t="n"/>
    </row>
    <row r="214" ht="15.75" customHeight="1" s="40">
      <c r="A214" s="4" t="n"/>
      <c r="B214" s="4" t="n"/>
      <c r="C214" s="4" t="n"/>
      <c r="D214" s="4" t="n"/>
      <c r="E214" s="4" t="n"/>
      <c r="F214" s="4" t="n"/>
      <c r="G214" s="4" t="n"/>
    </row>
    <row r="215" ht="15.75" customHeight="1" s="40">
      <c r="A215" s="4" t="n"/>
      <c r="B215" s="4" t="n"/>
      <c r="C215" s="4" t="n"/>
      <c r="D215" s="4" t="n"/>
      <c r="E215" s="4" t="n"/>
      <c r="F215" s="4" t="n"/>
      <c r="G215" s="4" t="n"/>
    </row>
    <row r="216" ht="15.75" customHeight="1" s="40">
      <c r="A216" s="4" t="n"/>
      <c r="B216" s="4" t="n"/>
      <c r="C216" s="4" t="n"/>
      <c r="D216" s="4" t="n"/>
      <c r="E216" s="4" t="n"/>
      <c r="F216" s="4" t="n"/>
      <c r="G216" s="4" t="n"/>
    </row>
    <row r="217" ht="15.75" customHeight="1" s="40">
      <c r="A217" s="4" t="n"/>
      <c r="B217" s="4" t="n"/>
      <c r="C217" s="4" t="n"/>
      <c r="D217" s="4" t="n"/>
      <c r="E217" s="4" t="n"/>
      <c r="F217" s="4" t="n"/>
      <c r="G217" s="4" t="n"/>
    </row>
    <row r="218" ht="15.75" customHeight="1" s="40">
      <c r="A218" s="4" t="n"/>
      <c r="B218" s="4" t="n"/>
      <c r="C218" s="4" t="n"/>
      <c r="D218" s="4" t="n"/>
      <c r="E218" s="4" t="n"/>
      <c r="F218" s="4" t="n"/>
      <c r="G218" s="4" t="n"/>
    </row>
    <row r="219" ht="15.75" customHeight="1" s="40">
      <c r="A219" s="4" t="n"/>
      <c r="B219" s="4" t="n"/>
      <c r="C219" s="4" t="n"/>
      <c r="D219" s="4" t="n"/>
      <c r="E219" s="4" t="n"/>
      <c r="F219" s="4" t="n"/>
      <c r="G219" s="4" t="n"/>
    </row>
    <row r="220" ht="15.75" customHeight="1" s="40">
      <c r="A220" s="4" t="n"/>
      <c r="B220" s="4" t="n"/>
      <c r="C220" s="4" t="n"/>
      <c r="D220" s="4" t="n"/>
      <c r="E220" s="4" t="n"/>
      <c r="F220" s="4" t="n"/>
      <c r="G220" s="4" t="n"/>
    </row>
    <row r="221" ht="15.75" customHeight="1" s="40">
      <c r="A221" s="4" t="n"/>
      <c r="B221" s="4" t="n"/>
      <c r="C221" s="4" t="n"/>
      <c r="D221" s="4" t="n"/>
      <c r="E221" s="4" t="n"/>
      <c r="F221" s="4" t="n"/>
      <c r="G221" s="4" t="n"/>
    </row>
    <row r="222" ht="15.75" customHeight="1" s="40">
      <c r="A222" s="4" t="n"/>
      <c r="B222" s="4" t="n"/>
      <c r="C222" s="4" t="n"/>
      <c r="D222" s="4" t="n"/>
      <c r="E222" s="4" t="n"/>
      <c r="F222" s="4" t="n"/>
      <c r="G222" s="4" t="n"/>
    </row>
    <row r="223" ht="15.75" customHeight="1" s="40">
      <c r="A223" s="4" t="n"/>
      <c r="B223" s="4" t="n"/>
      <c r="C223" s="4" t="n"/>
      <c r="D223" s="4" t="n"/>
      <c r="E223" s="4" t="n"/>
      <c r="F223" s="4" t="n"/>
      <c r="G223" s="4" t="n"/>
    </row>
    <row r="224" ht="15.75" customHeight="1" s="40">
      <c r="A224" s="4" t="n"/>
      <c r="B224" s="4" t="n"/>
      <c r="C224" s="4" t="n"/>
      <c r="D224" s="4" t="n"/>
      <c r="E224" s="4" t="n"/>
      <c r="F224" s="4" t="n"/>
      <c r="G224" s="4" t="n"/>
    </row>
    <row r="225" ht="15.75" customHeight="1" s="40">
      <c r="A225" s="4" t="n"/>
      <c r="B225" s="4" t="n"/>
      <c r="C225" s="4" t="n"/>
      <c r="D225" s="4" t="n"/>
      <c r="E225" s="4" t="n"/>
      <c r="F225" s="4" t="n"/>
      <c r="G225" s="4" t="n"/>
    </row>
    <row r="226" ht="15.75" customHeight="1" s="40">
      <c r="A226" s="4" t="n"/>
      <c r="B226" s="4" t="n"/>
      <c r="C226" s="4" t="n"/>
      <c r="D226" s="4" t="n"/>
      <c r="E226" s="4" t="n"/>
      <c r="F226" s="4" t="n"/>
      <c r="G226" s="4" t="n"/>
    </row>
    <row r="227" ht="15.75" customHeight="1" s="40">
      <c r="A227" s="4" t="n"/>
      <c r="B227" s="4" t="n"/>
      <c r="C227" s="4" t="n"/>
      <c r="D227" s="4" t="n"/>
      <c r="E227" s="4" t="n"/>
      <c r="F227" s="4" t="n"/>
      <c r="G227" s="4" t="n"/>
    </row>
    <row r="228" ht="15.75" customHeight="1" s="40">
      <c r="A228" s="4" t="n"/>
      <c r="B228" s="4" t="n"/>
      <c r="C228" s="4" t="n"/>
      <c r="D228" s="4" t="n"/>
      <c r="E228" s="4" t="n"/>
      <c r="F228" s="4" t="n"/>
      <c r="G228" s="4" t="n"/>
    </row>
    <row r="229" ht="15.75" customHeight="1" s="40">
      <c r="A229" s="4" t="n"/>
      <c r="B229" s="4" t="n"/>
      <c r="C229" s="4" t="n"/>
      <c r="D229" s="4" t="n"/>
      <c r="E229" s="4" t="n"/>
      <c r="F229" s="4" t="n"/>
      <c r="G229" s="4" t="n"/>
    </row>
    <row r="230" ht="15.75" customHeight="1" s="40">
      <c r="A230" s="4" t="n"/>
      <c r="B230" s="4" t="n"/>
      <c r="C230" s="4" t="n"/>
      <c r="D230" s="4" t="n"/>
      <c r="E230" s="4" t="n"/>
      <c r="F230" s="4" t="n"/>
      <c r="G230" s="4" t="n"/>
    </row>
    <row r="231" ht="15.75" customHeight="1" s="40">
      <c r="A231" s="4" t="n"/>
      <c r="B231" s="4" t="n"/>
      <c r="C231" s="4" t="n"/>
      <c r="D231" s="4" t="n"/>
      <c r="E231" s="4" t="n"/>
      <c r="F231" s="4" t="n"/>
      <c r="G231" s="4" t="n"/>
    </row>
    <row r="232" ht="15.75" customHeight="1" s="40">
      <c r="A232" s="4" t="n"/>
      <c r="B232" s="4" t="n"/>
      <c r="C232" s="4" t="n"/>
      <c r="D232" s="4" t="n"/>
      <c r="E232" s="4" t="n"/>
      <c r="F232" s="4" t="n"/>
      <c r="G232" s="4" t="n"/>
    </row>
    <row r="233" ht="15.75" customHeight="1" s="40">
      <c r="A233" s="4" t="n"/>
      <c r="B233" s="4" t="n"/>
      <c r="C233" s="4" t="n"/>
      <c r="D233" s="4" t="n"/>
      <c r="E233" s="4" t="n"/>
      <c r="F233" s="4" t="n"/>
      <c r="G233" s="4" t="n"/>
    </row>
    <row r="234" ht="15.75" customHeight="1" s="40">
      <c r="A234" s="4" t="n"/>
      <c r="B234" s="4" t="n"/>
      <c r="C234" s="4" t="n"/>
      <c r="D234" s="4" t="n"/>
      <c r="E234" s="4" t="n"/>
      <c r="F234" s="4" t="n"/>
      <c r="G234" s="4" t="n"/>
    </row>
    <row r="235" ht="15.75" customHeight="1" s="40">
      <c r="A235" s="4" t="n"/>
      <c r="B235" s="4" t="n"/>
      <c r="C235" s="4" t="n"/>
      <c r="D235" s="4" t="n"/>
      <c r="E235" s="4" t="n"/>
      <c r="F235" s="4" t="n"/>
      <c r="G235" s="4" t="n"/>
    </row>
    <row r="236" ht="15.75" customHeight="1" s="40">
      <c r="A236" s="4" t="n"/>
      <c r="B236" s="4" t="n"/>
      <c r="C236" s="4" t="n"/>
      <c r="D236" s="4" t="n"/>
      <c r="E236" s="4" t="n"/>
      <c r="F236" s="4" t="n"/>
      <c r="G236" s="4" t="n"/>
    </row>
    <row r="237" ht="15.75" customHeight="1" s="40">
      <c r="A237" s="4" t="n"/>
      <c r="B237" s="4" t="n"/>
      <c r="C237" s="4" t="n"/>
      <c r="D237" s="4" t="n"/>
      <c r="E237" s="4" t="n"/>
      <c r="F237" s="4" t="n"/>
      <c r="G237" s="4" t="n"/>
    </row>
    <row r="238" ht="15.75" customHeight="1" s="40">
      <c r="A238" s="4" t="n"/>
      <c r="B238" s="4" t="n"/>
      <c r="C238" s="4" t="n"/>
      <c r="D238" s="4" t="n"/>
      <c r="E238" s="4" t="n"/>
      <c r="F238" s="4" t="n"/>
      <c r="G238" s="4" t="n"/>
    </row>
    <row r="239" ht="15.75" customHeight="1" s="40">
      <c r="A239" s="4" t="n"/>
      <c r="B239" s="4" t="n"/>
      <c r="C239" s="4" t="n"/>
      <c r="D239" s="4" t="n"/>
      <c r="E239" s="4" t="n"/>
      <c r="F239" s="4" t="n"/>
      <c r="G239" s="4" t="n"/>
    </row>
    <row r="240" ht="15.75" customHeight="1" s="40">
      <c r="A240" s="4" t="n"/>
      <c r="B240" s="4" t="n"/>
      <c r="C240" s="4" t="n"/>
      <c r="D240" s="4" t="n"/>
      <c r="E240" s="4" t="n"/>
      <c r="F240" s="4" t="n"/>
      <c r="G240" s="4" t="n"/>
    </row>
    <row r="241" ht="15.75" customHeight="1" s="40">
      <c r="A241" s="4" t="n"/>
      <c r="B241" s="4" t="n"/>
      <c r="C241" s="4" t="n"/>
      <c r="D241" s="4" t="n"/>
      <c r="E241" s="4" t="n"/>
      <c r="F241" s="4" t="n"/>
      <c r="G241" s="4" t="n"/>
    </row>
    <row r="242" ht="15.75" customHeight="1" s="40">
      <c r="A242" s="4" t="n"/>
      <c r="B242" s="4" t="n"/>
      <c r="C242" s="4" t="n"/>
      <c r="D242" s="4" t="n"/>
      <c r="E242" s="4" t="n"/>
      <c r="F242" s="4" t="n"/>
      <c r="G242" s="4" t="n"/>
    </row>
    <row r="243" ht="15.75" customHeight="1" s="40">
      <c r="A243" s="4" t="n"/>
      <c r="B243" s="4" t="n"/>
      <c r="C243" s="4" t="n"/>
      <c r="D243" s="4" t="n"/>
      <c r="E243" s="4" t="n"/>
      <c r="F243" s="4" t="n"/>
      <c r="G243" s="4" t="n"/>
    </row>
    <row r="244" ht="15.75" customHeight="1" s="40">
      <c r="A244" s="4" t="n"/>
      <c r="B244" s="4" t="n"/>
      <c r="C244" s="4" t="n"/>
      <c r="D244" s="4" t="n"/>
      <c r="E244" s="4" t="n"/>
      <c r="F244" s="4" t="n"/>
      <c r="G244" s="4" t="n"/>
    </row>
    <row r="245" ht="15.75" customHeight="1" s="40">
      <c r="A245" s="4" t="n"/>
      <c r="B245" s="4" t="n"/>
      <c r="C245" s="4" t="n"/>
      <c r="D245" s="4" t="n"/>
      <c r="E245" s="4" t="n"/>
      <c r="F245" s="4" t="n"/>
      <c r="G245" s="4" t="n"/>
    </row>
    <row r="246" ht="15.75" customHeight="1" s="40">
      <c r="A246" s="4" t="n"/>
      <c r="B246" s="4" t="n"/>
      <c r="C246" s="4" t="n"/>
      <c r="D246" s="4" t="n"/>
      <c r="E246" s="4" t="n"/>
      <c r="F246" s="4" t="n"/>
      <c r="G246" s="4" t="n"/>
    </row>
    <row r="247" ht="15.75" customHeight="1" s="40">
      <c r="A247" s="4" t="n"/>
      <c r="B247" s="4" t="n"/>
      <c r="C247" s="4" t="n"/>
      <c r="D247" s="4" t="n"/>
      <c r="E247" s="4" t="n"/>
      <c r="F247" s="4" t="n"/>
      <c r="G247" s="4" t="n"/>
    </row>
    <row r="248" ht="15.75" customHeight="1" s="40">
      <c r="A248" s="4" t="n"/>
      <c r="B248" s="4" t="n"/>
      <c r="C248" s="4" t="n"/>
      <c r="D248" s="4" t="n"/>
      <c r="E248" s="4" t="n"/>
      <c r="F248" s="4" t="n"/>
      <c r="G248" s="4" t="n"/>
    </row>
    <row r="249" ht="15.75" customHeight="1" s="40">
      <c r="A249" s="4" t="n"/>
      <c r="B249" s="4" t="n"/>
      <c r="C249" s="4" t="n"/>
      <c r="D249" s="4" t="n"/>
      <c r="E249" s="4" t="n"/>
      <c r="F249" s="4" t="n"/>
      <c r="G249" s="4" t="n"/>
    </row>
    <row r="250" ht="15.75" customHeight="1" s="40">
      <c r="A250" s="4" t="n"/>
      <c r="B250" s="4" t="n"/>
      <c r="C250" s="4" t="n"/>
      <c r="D250" s="4" t="n"/>
      <c r="E250" s="4" t="n"/>
      <c r="F250" s="4" t="n"/>
      <c r="G250" s="4" t="n"/>
    </row>
    <row r="251" ht="15.75" customHeight="1" s="40">
      <c r="A251" s="4" t="n"/>
      <c r="B251" s="4" t="n"/>
      <c r="C251" s="4" t="n"/>
      <c r="D251" s="4" t="n"/>
      <c r="E251" s="4" t="n"/>
      <c r="F251" s="4" t="n"/>
      <c r="G251" s="4" t="n"/>
    </row>
    <row r="252" ht="15.75" customHeight="1" s="40">
      <c r="A252" s="4" t="n"/>
      <c r="B252" s="4" t="n"/>
      <c r="C252" s="4" t="n"/>
      <c r="D252" s="4" t="n"/>
      <c r="E252" s="4" t="n"/>
      <c r="F252" s="4" t="n"/>
      <c r="G252" s="4" t="n"/>
    </row>
    <row r="253" ht="15.75" customHeight="1" s="40">
      <c r="A253" s="4" t="n"/>
      <c r="B253" s="4" t="n"/>
      <c r="C253" s="4" t="n"/>
      <c r="D253" s="4" t="n"/>
      <c r="E253" s="4" t="n"/>
      <c r="F253" s="4" t="n"/>
      <c r="G253" s="4" t="n"/>
    </row>
    <row r="254" ht="15.75" customHeight="1" s="40">
      <c r="A254" s="4" t="n"/>
      <c r="B254" s="4" t="n"/>
      <c r="C254" s="4" t="n"/>
      <c r="D254" s="4" t="n"/>
      <c r="E254" s="4" t="n"/>
      <c r="F254" s="4" t="n"/>
      <c r="G254" s="4" t="n"/>
    </row>
    <row r="255" ht="15.75" customHeight="1" s="40">
      <c r="A255" s="4" t="n"/>
      <c r="B255" s="4" t="n"/>
      <c r="C255" s="4" t="n"/>
      <c r="D255" s="4" t="n"/>
      <c r="E255" s="4" t="n"/>
      <c r="F255" s="4" t="n"/>
      <c r="G255" s="4" t="n"/>
    </row>
    <row r="256" ht="15.75" customHeight="1" s="40">
      <c r="A256" s="4" t="n"/>
      <c r="B256" s="4" t="n"/>
      <c r="C256" s="4" t="n"/>
      <c r="D256" s="4" t="n"/>
      <c r="E256" s="4" t="n"/>
      <c r="F256" s="4" t="n"/>
      <c r="G256" s="4" t="n"/>
    </row>
    <row r="257" ht="15.75" customHeight="1" s="40">
      <c r="A257" s="4" t="n"/>
      <c r="B257" s="4" t="n"/>
      <c r="C257" s="4" t="n"/>
      <c r="D257" s="4" t="n"/>
      <c r="E257" s="4" t="n"/>
      <c r="F257" s="4" t="n"/>
      <c r="G257" s="4" t="n"/>
    </row>
    <row r="258" ht="15.75" customHeight="1" s="40">
      <c r="A258" s="4" t="n"/>
      <c r="B258" s="4" t="n"/>
      <c r="C258" s="4" t="n"/>
      <c r="D258" s="4" t="n"/>
      <c r="E258" s="4" t="n"/>
      <c r="F258" s="4" t="n"/>
      <c r="G258" s="4" t="n"/>
    </row>
    <row r="259" ht="15.75" customHeight="1" s="40">
      <c r="A259" s="4" t="n"/>
      <c r="B259" s="4" t="n"/>
      <c r="C259" s="4" t="n"/>
      <c r="D259" s="4" t="n"/>
      <c r="E259" s="4" t="n"/>
      <c r="F259" s="4" t="n"/>
      <c r="G259" s="4" t="n"/>
    </row>
    <row r="260" ht="15.75" customHeight="1" s="40">
      <c r="A260" s="4" t="n"/>
      <c r="B260" s="4" t="n"/>
      <c r="C260" s="4" t="n"/>
      <c r="D260" s="4" t="n"/>
      <c r="E260" s="4" t="n"/>
      <c r="F260" s="4" t="n"/>
      <c r="G260" s="4" t="n"/>
    </row>
    <row r="261" ht="15.75" customHeight="1" s="40">
      <c r="A261" s="4" t="n"/>
      <c r="B261" s="4" t="n"/>
      <c r="C261" s="4" t="n"/>
      <c r="D261" s="4" t="n"/>
      <c r="E261" s="4" t="n"/>
      <c r="F261" s="4" t="n"/>
      <c r="G261" s="4" t="n"/>
    </row>
    <row r="262" ht="15.75" customHeight="1" s="40">
      <c r="A262" s="4" t="n"/>
      <c r="B262" s="4" t="n"/>
      <c r="C262" s="4" t="n"/>
      <c r="D262" s="4" t="n"/>
      <c r="E262" s="4" t="n"/>
      <c r="F262" s="4" t="n"/>
      <c r="G262" s="4" t="n"/>
    </row>
    <row r="263" ht="15.75" customHeight="1" s="40">
      <c r="A263" s="4" t="n"/>
      <c r="B263" s="4" t="n"/>
      <c r="C263" s="4" t="n"/>
      <c r="D263" s="4" t="n"/>
      <c r="E263" s="4" t="n"/>
      <c r="F263" s="4" t="n"/>
      <c r="G263" s="4" t="n"/>
    </row>
    <row r="264" ht="15.75" customHeight="1" s="40">
      <c r="A264" s="4" t="n"/>
      <c r="B264" s="4" t="n"/>
      <c r="C264" s="4" t="n"/>
      <c r="D264" s="4" t="n"/>
      <c r="E264" s="4" t="n"/>
      <c r="F264" s="4" t="n"/>
      <c r="G264" s="4" t="n"/>
    </row>
    <row r="265" ht="15.75" customHeight="1" s="40">
      <c r="A265" s="4" t="n"/>
      <c r="B265" s="4" t="n"/>
      <c r="C265" s="4" t="n"/>
      <c r="D265" s="4" t="n"/>
      <c r="E265" s="4" t="n"/>
      <c r="F265" s="4" t="n"/>
      <c r="G265" s="4" t="n"/>
    </row>
    <row r="266" ht="15.75" customHeight="1" s="40">
      <c r="A266" s="4" t="n"/>
      <c r="B266" s="4" t="n"/>
      <c r="C266" s="4" t="n"/>
      <c r="D266" s="4" t="n"/>
      <c r="E266" s="4" t="n"/>
      <c r="F266" s="4" t="n"/>
      <c r="G266" s="4" t="n"/>
    </row>
    <row r="267" ht="15.75" customHeight="1" s="40">
      <c r="A267" s="4" t="n"/>
      <c r="B267" s="4" t="n"/>
      <c r="C267" s="4" t="n"/>
      <c r="D267" s="4" t="n"/>
      <c r="E267" s="4" t="n"/>
      <c r="F267" s="4" t="n"/>
      <c r="G267" s="4" t="n"/>
    </row>
    <row r="268" ht="15.75" customHeight="1" s="40">
      <c r="A268" s="4" t="n"/>
      <c r="B268" s="4" t="n"/>
      <c r="C268" s="4" t="n"/>
      <c r="D268" s="4" t="n"/>
      <c r="E268" s="4" t="n"/>
      <c r="F268" s="4" t="n"/>
      <c r="G268" s="4" t="n"/>
    </row>
    <row r="269" ht="15.75" customHeight="1" s="40">
      <c r="A269" s="4" t="n"/>
      <c r="B269" s="4" t="n"/>
      <c r="C269" s="4" t="n"/>
      <c r="D269" s="4" t="n"/>
      <c r="E269" s="4" t="n"/>
      <c r="F269" s="4" t="n"/>
      <c r="G269" s="4" t="n"/>
    </row>
    <row r="270" ht="15.75" customHeight="1" s="40">
      <c r="A270" s="4" t="n"/>
      <c r="B270" s="4" t="n"/>
      <c r="C270" s="4" t="n"/>
      <c r="D270" s="4" t="n"/>
      <c r="E270" s="4" t="n"/>
      <c r="F270" s="4" t="n"/>
      <c r="G270" s="4" t="n"/>
    </row>
    <row r="271" ht="15.75" customHeight="1" s="40">
      <c r="A271" s="4" t="n"/>
      <c r="B271" s="4" t="n"/>
      <c r="C271" s="4" t="n"/>
      <c r="D271" s="4" t="n"/>
      <c r="E271" s="4" t="n"/>
      <c r="F271" s="4" t="n"/>
      <c r="G271" s="4" t="n"/>
    </row>
    <row r="272" ht="15.75" customHeight="1" s="40">
      <c r="A272" s="4" t="n"/>
      <c r="B272" s="4" t="n"/>
      <c r="C272" s="4" t="n"/>
      <c r="D272" s="4" t="n"/>
      <c r="E272" s="4" t="n"/>
      <c r="F272" s="4" t="n"/>
      <c r="G272" s="4" t="n"/>
    </row>
    <row r="273" ht="15.75" customHeight="1" s="40">
      <c r="A273" s="4" t="n"/>
      <c r="B273" s="4" t="n"/>
      <c r="C273" s="4" t="n"/>
      <c r="D273" s="4" t="n"/>
      <c r="E273" s="4" t="n"/>
      <c r="F273" s="4" t="n"/>
      <c r="G273" s="4" t="n"/>
    </row>
    <row r="274" ht="15.75" customHeight="1" s="40">
      <c r="A274" s="4" t="n"/>
      <c r="B274" s="4" t="n"/>
      <c r="C274" s="4" t="n"/>
      <c r="D274" s="4" t="n"/>
      <c r="E274" s="4" t="n"/>
      <c r="F274" s="4" t="n"/>
      <c r="G274" s="4" t="n"/>
    </row>
    <row r="275" ht="15.75" customHeight="1" s="40">
      <c r="A275" s="4" t="n"/>
      <c r="B275" s="4" t="n"/>
      <c r="C275" s="4" t="n"/>
      <c r="D275" s="4" t="n"/>
      <c r="E275" s="4" t="n"/>
      <c r="F275" s="4" t="n"/>
      <c r="G275" s="4" t="n"/>
    </row>
    <row r="276" ht="15.75" customHeight="1" s="40">
      <c r="A276" s="4" t="n"/>
      <c r="B276" s="4" t="n"/>
      <c r="C276" s="4" t="n"/>
      <c r="D276" s="4" t="n"/>
      <c r="E276" s="4" t="n"/>
      <c r="F276" s="4" t="n"/>
      <c r="G276" s="4" t="n"/>
    </row>
    <row r="277" ht="15.75" customHeight="1" s="40">
      <c r="A277" s="4" t="n"/>
      <c r="B277" s="4" t="n"/>
      <c r="C277" s="4" t="n"/>
      <c r="D277" s="4" t="n"/>
      <c r="E277" s="4" t="n"/>
      <c r="F277" s="4" t="n"/>
      <c r="G277" s="4" t="n"/>
    </row>
    <row r="278" ht="15.75" customHeight="1" s="40">
      <c r="A278" s="4" t="n"/>
      <c r="B278" s="4" t="n"/>
      <c r="C278" s="4" t="n"/>
      <c r="D278" s="4" t="n"/>
      <c r="E278" s="4" t="n"/>
      <c r="F278" s="4" t="n"/>
      <c r="G278" s="4" t="n"/>
    </row>
    <row r="279" ht="15.75" customHeight="1" s="40">
      <c r="A279" s="4" t="n"/>
      <c r="B279" s="4" t="n"/>
      <c r="C279" s="4" t="n"/>
      <c r="D279" s="4" t="n"/>
      <c r="E279" s="4" t="n"/>
      <c r="F279" s="4" t="n"/>
      <c r="G279" s="4" t="n"/>
    </row>
    <row r="280" ht="15.75" customHeight="1" s="40">
      <c r="A280" s="4" t="n"/>
      <c r="B280" s="4" t="n"/>
      <c r="C280" s="4" t="n"/>
      <c r="D280" s="4" t="n"/>
      <c r="E280" s="4" t="n"/>
      <c r="F280" s="4" t="n"/>
      <c r="G280" s="4" t="n"/>
    </row>
    <row r="281" ht="15.75" customHeight="1" s="40">
      <c r="A281" s="4" t="n"/>
      <c r="B281" s="4" t="n"/>
      <c r="C281" s="4" t="n"/>
      <c r="D281" s="4" t="n"/>
      <c r="E281" s="4" t="n"/>
      <c r="F281" s="4" t="n"/>
      <c r="G281" s="4" t="n"/>
    </row>
    <row r="282" ht="15.75" customHeight="1" s="40">
      <c r="A282" s="4" t="n"/>
      <c r="B282" s="4" t="n"/>
      <c r="C282" s="4" t="n"/>
      <c r="D282" s="4" t="n"/>
      <c r="E282" s="4" t="n"/>
      <c r="F282" s="4" t="n"/>
      <c r="G282" s="4" t="n"/>
    </row>
    <row r="283" ht="15.75" customHeight="1" s="40">
      <c r="A283" s="4" t="n"/>
      <c r="B283" s="4" t="n"/>
      <c r="C283" s="4" t="n"/>
      <c r="D283" s="4" t="n"/>
      <c r="E283" s="4" t="n"/>
      <c r="F283" s="4" t="n"/>
      <c r="G283" s="4" t="n"/>
    </row>
    <row r="284" ht="15.75" customHeight="1" s="40">
      <c r="A284" s="4" t="n"/>
      <c r="B284" s="4" t="n"/>
      <c r="C284" s="4" t="n"/>
      <c r="D284" s="4" t="n"/>
      <c r="E284" s="4" t="n"/>
      <c r="F284" s="4" t="n"/>
      <c r="G284" s="4" t="n"/>
    </row>
    <row r="285" ht="15.75" customHeight="1" s="40">
      <c r="A285" s="4" t="n"/>
      <c r="B285" s="4" t="n"/>
      <c r="C285" s="4" t="n"/>
      <c r="D285" s="4" t="n"/>
      <c r="E285" s="4" t="n"/>
      <c r="F285" s="4" t="n"/>
      <c r="G285" s="4" t="n"/>
    </row>
    <row r="286" ht="15.75" customHeight="1" s="40">
      <c r="A286" s="4" t="n"/>
      <c r="B286" s="4" t="n"/>
      <c r="C286" s="4" t="n"/>
      <c r="D286" s="4" t="n"/>
      <c r="E286" s="4" t="n"/>
      <c r="F286" s="4" t="n"/>
      <c r="G286" s="4" t="n"/>
    </row>
    <row r="287" ht="15.75" customHeight="1" s="40">
      <c r="A287" s="4" t="n"/>
      <c r="B287" s="4" t="n"/>
      <c r="C287" s="4" t="n"/>
      <c r="D287" s="4" t="n"/>
      <c r="E287" s="4" t="n"/>
      <c r="F287" s="4" t="n"/>
      <c r="G287" s="4" t="n"/>
    </row>
    <row r="288" ht="15.75" customHeight="1" s="40">
      <c r="A288" s="4" t="n"/>
      <c r="B288" s="4" t="n"/>
      <c r="C288" s="4" t="n"/>
      <c r="D288" s="4" t="n"/>
      <c r="E288" s="4" t="n"/>
      <c r="F288" s="4" t="n"/>
      <c r="G288" s="4" t="n"/>
    </row>
    <row r="289" ht="15.75" customHeight="1" s="40">
      <c r="A289" s="4" t="n"/>
      <c r="B289" s="4" t="n"/>
      <c r="C289" s="4" t="n"/>
      <c r="D289" s="4" t="n"/>
      <c r="E289" s="4" t="n"/>
      <c r="F289" s="4" t="n"/>
      <c r="G289" s="4" t="n"/>
    </row>
    <row r="290" ht="15.75" customHeight="1" s="40">
      <c r="A290" s="4" t="n"/>
      <c r="B290" s="4" t="n"/>
      <c r="C290" s="4" t="n"/>
      <c r="D290" s="4" t="n"/>
      <c r="E290" s="4" t="n"/>
      <c r="F290" s="4" t="n"/>
      <c r="G290" s="4" t="n"/>
    </row>
    <row r="291" ht="15.75" customHeight="1" s="40">
      <c r="A291" s="4" t="n"/>
      <c r="B291" s="4" t="n"/>
      <c r="C291" s="4" t="n"/>
      <c r="D291" s="4" t="n"/>
      <c r="E291" s="4" t="n"/>
      <c r="F291" s="4" t="n"/>
      <c r="G291" s="4" t="n"/>
    </row>
    <row r="292" ht="15.75" customHeight="1" s="40">
      <c r="A292" s="4" t="n"/>
      <c r="B292" s="4" t="n"/>
      <c r="C292" s="4" t="n"/>
      <c r="D292" s="4" t="n"/>
      <c r="E292" s="4" t="n"/>
      <c r="F292" s="4" t="n"/>
      <c r="G292" s="4" t="n"/>
    </row>
    <row r="293" ht="15.75" customHeight="1" s="40">
      <c r="A293" s="4" t="n"/>
      <c r="B293" s="4" t="n"/>
      <c r="C293" s="4" t="n"/>
      <c r="D293" s="4" t="n"/>
      <c r="E293" s="4" t="n"/>
      <c r="F293" s="4" t="n"/>
      <c r="G293" s="4" t="n"/>
    </row>
    <row r="294" ht="15.75" customHeight="1" s="40">
      <c r="A294" s="4" t="n"/>
      <c r="B294" s="4" t="n"/>
      <c r="C294" s="4" t="n"/>
      <c r="D294" s="4" t="n"/>
      <c r="E294" s="4" t="n"/>
      <c r="F294" s="4" t="n"/>
      <c r="G294" s="4" t="n"/>
    </row>
    <row r="295" ht="15.75" customHeight="1" s="40">
      <c r="A295" s="4" t="n"/>
      <c r="B295" s="4" t="n"/>
      <c r="C295" s="4" t="n"/>
      <c r="D295" s="4" t="n"/>
      <c r="E295" s="4" t="n"/>
      <c r="F295" s="4" t="n"/>
      <c r="G295" s="4" t="n"/>
    </row>
    <row r="296" ht="15.75" customHeight="1" s="40">
      <c r="A296" s="4" t="n"/>
      <c r="B296" s="4" t="n"/>
      <c r="C296" s="4" t="n"/>
      <c r="D296" s="4" t="n"/>
      <c r="E296" s="4" t="n"/>
      <c r="F296" s="4" t="n"/>
      <c r="G296" s="4" t="n"/>
    </row>
    <row r="297" ht="15.75" customHeight="1" s="40">
      <c r="A297" s="4" t="n"/>
      <c r="B297" s="4" t="n"/>
      <c r="C297" s="4" t="n"/>
      <c r="D297" s="4" t="n"/>
      <c r="E297" s="4" t="n"/>
      <c r="F297" s="4" t="n"/>
      <c r="G297" s="4" t="n"/>
    </row>
    <row r="298" ht="15.75" customHeight="1" s="40">
      <c r="A298" s="4" t="n"/>
      <c r="B298" s="4" t="n"/>
      <c r="C298" s="4" t="n"/>
      <c r="D298" s="4" t="n"/>
      <c r="E298" s="4" t="n"/>
      <c r="F298" s="4" t="n"/>
      <c r="G298" s="4" t="n"/>
    </row>
    <row r="299" ht="15.75" customHeight="1" s="40">
      <c r="A299" s="4" t="n"/>
      <c r="B299" s="4" t="n"/>
      <c r="C299" s="4" t="n"/>
      <c r="D299" s="4" t="n"/>
      <c r="E299" s="4" t="n"/>
      <c r="F299" s="4" t="n"/>
      <c r="G299" s="4" t="n"/>
    </row>
    <row r="300" ht="15.75" customHeight="1" s="40">
      <c r="A300" s="4" t="n"/>
      <c r="B300" s="4" t="n"/>
      <c r="C300" s="4" t="n"/>
      <c r="D300" s="4" t="n"/>
      <c r="E300" s="4" t="n"/>
      <c r="F300" s="4" t="n"/>
      <c r="G300" s="4" t="n"/>
    </row>
    <row r="301" ht="15.75" customHeight="1" s="40">
      <c r="A301" s="4" t="n"/>
      <c r="B301" s="4" t="n"/>
      <c r="C301" s="4" t="n"/>
      <c r="D301" s="4" t="n"/>
      <c r="E301" s="4" t="n"/>
      <c r="F301" s="4" t="n"/>
      <c r="G301" s="4" t="n"/>
    </row>
    <row r="302" ht="15.75" customHeight="1" s="40">
      <c r="A302" s="4" t="n"/>
      <c r="B302" s="4" t="n"/>
      <c r="C302" s="4" t="n"/>
      <c r="D302" s="4" t="n"/>
      <c r="E302" s="4" t="n"/>
      <c r="F302" s="4" t="n"/>
      <c r="G302" s="4" t="n"/>
    </row>
    <row r="303" ht="15.75" customHeight="1" s="40">
      <c r="A303" s="4" t="n"/>
      <c r="B303" s="4" t="n"/>
      <c r="C303" s="4" t="n"/>
      <c r="D303" s="4" t="n"/>
      <c r="E303" s="4" t="n"/>
      <c r="F303" s="4" t="n"/>
      <c r="G303" s="4" t="n"/>
    </row>
    <row r="304" ht="15.75" customHeight="1" s="40">
      <c r="A304" s="4" t="n"/>
      <c r="B304" s="4" t="n"/>
      <c r="C304" s="4" t="n"/>
      <c r="D304" s="4" t="n"/>
      <c r="E304" s="4" t="n"/>
      <c r="F304" s="4" t="n"/>
      <c r="G304" s="4" t="n"/>
    </row>
    <row r="305" ht="15.75" customHeight="1" s="40">
      <c r="A305" s="4" t="n"/>
      <c r="B305" s="4" t="n"/>
      <c r="C305" s="4" t="n"/>
      <c r="D305" s="4" t="n"/>
      <c r="E305" s="4" t="n"/>
      <c r="F305" s="4" t="n"/>
      <c r="G305" s="4" t="n"/>
    </row>
    <row r="306" ht="15.75" customHeight="1" s="40">
      <c r="A306" s="4" t="n"/>
      <c r="B306" s="4" t="n"/>
      <c r="C306" s="4" t="n"/>
      <c r="D306" s="4" t="n"/>
      <c r="E306" s="4" t="n"/>
      <c r="F306" s="4" t="n"/>
      <c r="G306" s="4" t="n"/>
    </row>
    <row r="307" ht="15.75" customHeight="1" s="40">
      <c r="A307" s="4" t="n"/>
      <c r="B307" s="4" t="n"/>
      <c r="C307" s="4" t="n"/>
      <c r="D307" s="4" t="n"/>
      <c r="E307" s="4" t="n"/>
      <c r="F307" s="4" t="n"/>
      <c r="G307" s="4" t="n"/>
    </row>
    <row r="308" ht="15.75" customHeight="1" s="40">
      <c r="A308" s="4" t="n"/>
      <c r="B308" s="4" t="n"/>
      <c r="C308" s="4" t="n"/>
      <c r="D308" s="4" t="n"/>
      <c r="E308" s="4" t="n"/>
      <c r="F308" s="4" t="n"/>
      <c r="G308" s="4" t="n"/>
    </row>
    <row r="309" ht="15.75" customHeight="1" s="40">
      <c r="A309" s="4" t="n"/>
      <c r="B309" s="4" t="n"/>
      <c r="C309" s="4" t="n"/>
      <c r="D309" s="4" t="n"/>
      <c r="E309" s="4" t="n"/>
      <c r="F309" s="4" t="n"/>
      <c r="G309" s="4" t="n"/>
    </row>
    <row r="310" ht="15.75" customHeight="1" s="40">
      <c r="A310" s="4" t="n"/>
      <c r="B310" s="4" t="n"/>
      <c r="C310" s="4" t="n"/>
      <c r="D310" s="4" t="n"/>
      <c r="E310" s="4" t="n"/>
      <c r="F310" s="4" t="n"/>
      <c r="G310" s="4" t="n"/>
    </row>
    <row r="311" ht="15.75" customHeight="1" s="40">
      <c r="A311" s="4" t="n"/>
      <c r="B311" s="4" t="n"/>
      <c r="C311" s="4" t="n"/>
      <c r="D311" s="4" t="n"/>
      <c r="E311" s="4" t="n"/>
      <c r="F311" s="4" t="n"/>
      <c r="G311" s="4" t="n"/>
    </row>
    <row r="312" ht="15.75" customHeight="1" s="40">
      <c r="A312" s="4" t="n"/>
      <c r="B312" s="4" t="n"/>
      <c r="C312" s="4" t="n"/>
      <c r="D312" s="4" t="n"/>
      <c r="E312" s="4" t="n"/>
      <c r="F312" s="4" t="n"/>
      <c r="G312" s="4" t="n"/>
    </row>
    <row r="313" ht="15.75" customHeight="1" s="40">
      <c r="A313" s="4" t="n"/>
      <c r="B313" s="4" t="n"/>
      <c r="C313" s="4" t="n"/>
      <c r="D313" s="4" t="n"/>
      <c r="E313" s="4" t="n"/>
      <c r="F313" s="4" t="n"/>
      <c r="G313" s="4" t="n"/>
    </row>
    <row r="314" ht="15.75" customHeight="1" s="40">
      <c r="A314" s="4" t="n"/>
      <c r="B314" s="4" t="n"/>
      <c r="C314" s="4" t="n"/>
      <c r="D314" s="4" t="n"/>
      <c r="E314" s="4" t="n"/>
      <c r="F314" s="4" t="n"/>
      <c r="G314" s="4" t="n"/>
    </row>
    <row r="315" ht="15.75" customHeight="1" s="40">
      <c r="A315" s="4" t="n"/>
      <c r="B315" s="4" t="n"/>
      <c r="C315" s="4" t="n"/>
      <c r="D315" s="4" t="n"/>
      <c r="E315" s="4" t="n"/>
      <c r="F315" s="4" t="n"/>
      <c r="G315" s="4" t="n"/>
    </row>
    <row r="316" ht="15.75" customHeight="1" s="40">
      <c r="A316" s="4" t="n"/>
      <c r="B316" s="4" t="n"/>
      <c r="C316" s="4" t="n"/>
      <c r="D316" s="4" t="n"/>
      <c r="E316" s="4" t="n"/>
      <c r="F316" s="4" t="n"/>
      <c r="G316" s="4" t="n"/>
    </row>
    <row r="317" ht="15.75" customHeight="1" s="40">
      <c r="A317" s="4" t="n"/>
      <c r="B317" s="4" t="n"/>
      <c r="C317" s="4" t="n"/>
      <c r="D317" s="4" t="n"/>
      <c r="E317" s="4" t="n"/>
      <c r="F317" s="4" t="n"/>
      <c r="G317" s="4" t="n"/>
    </row>
    <row r="318" ht="15.75" customHeight="1" s="40">
      <c r="A318" s="4" t="n"/>
      <c r="B318" s="4" t="n"/>
      <c r="C318" s="4" t="n"/>
      <c r="D318" s="4" t="n"/>
      <c r="E318" s="4" t="n"/>
      <c r="F318" s="4" t="n"/>
      <c r="G318" s="4" t="n"/>
    </row>
    <row r="319" ht="15.75" customHeight="1" s="40">
      <c r="A319" s="4" t="n"/>
      <c r="B319" s="4" t="n"/>
      <c r="C319" s="4" t="n"/>
      <c r="D319" s="4" t="n"/>
      <c r="E319" s="4" t="n"/>
      <c r="F319" s="4" t="n"/>
      <c r="G319" s="4" t="n"/>
    </row>
    <row r="320" ht="15.75" customHeight="1" s="40">
      <c r="A320" s="4" t="n"/>
      <c r="B320" s="4" t="n"/>
      <c r="C320" s="4" t="n"/>
      <c r="D320" s="4" t="n"/>
      <c r="E320" s="4" t="n"/>
      <c r="F320" s="4" t="n"/>
      <c r="G320" s="4" t="n"/>
    </row>
    <row r="321" ht="15.75" customHeight="1" s="40">
      <c r="A321" s="4" t="n"/>
      <c r="B321" s="4" t="n"/>
      <c r="C321" s="4" t="n"/>
      <c r="D321" s="4" t="n"/>
      <c r="E321" s="4" t="n"/>
      <c r="F321" s="4" t="n"/>
      <c r="G321" s="4" t="n"/>
    </row>
    <row r="322" ht="15.75" customHeight="1" s="40">
      <c r="A322" s="4" t="n"/>
      <c r="B322" s="4" t="n"/>
      <c r="C322" s="4" t="n"/>
      <c r="D322" s="4" t="n"/>
      <c r="E322" s="4" t="n"/>
      <c r="F322" s="4" t="n"/>
      <c r="G322" s="4" t="n"/>
    </row>
    <row r="323" ht="15.75" customHeight="1" s="40">
      <c r="A323" s="4" t="n"/>
      <c r="B323" s="4" t="n"/>
      <c r="C323" s="4" t="n"/>
      <c r="D323" s="4" t="n"/>
      <c r="E323" s="4" t="n"/>
      <c r="F323" s="4" t="n"/>
      <c r="G323" s="4" t="n"/>
    </row>
    <row r="324" ht="15.75" customHeight="1" s="40">
      <c r="A324" s="4" t="n"/>
      <c r="B324" s="4" t="n"/>
      <c r="C324" s="4" t="n"/>
      <c r="D324" s="4" t="n"/>
      <c r="E324" s="4" t="n"/>
      <c r="F324" s="4" t="n"/>
      <c r="G324" s="4" t="n"/>
    </row>
    <row r="325" ht="15.75" customHeight="1" s="40">
      <c r="A325" s="4" t="n"/>
      <c r="B325" s="4" t="n"/>
      <c r="C325" s="4" t="n"/>
      <c r="D325" s="4" t="n"/>
      <c r="E325" s="4" t="n"/>
      <c r="F325" s="4" t="n"/>
      <c r="G325" s="4" t="n"/>
    </row>
    <row r="326" ht="15.75" customHeight="1" s="40">
      <c r="A326" s="4" t="n"/>
      <c r="B326" s="4" t="n"/>
      <c r="C326" s="4" t="n"/>
      <c r="D326" s="4" t="n"/>
      <c r="E326" s="4" t="n"/>
      <c r="F326" s="4" t="n"/>
      <c r="G326" s="4" t="n"/>
    </row>
    <row r="327" ht="15.75" customHeight="1" s="40">
      <c r="A327" s="4" t="n"/>
      <c r="B327" s="4" t="n"/>
      <c r="C327" s="4" t="n"/>
      <c r="D327" s="4" t="n"/>
      <c r="E327" s="4" t="n"/>
      <c r="F327" s="4" t="n"/>
      <c r="G327" s="4" t="n"/>
    </row>
    <row r="328" ht="15.75" customHeight="1" s="40">
      <c r="A328" s="4" t="n"/>
      <c r="B328" s="4" t="n"/>
      <c r="C328" s="4" t="n"/>
      <c r="D328" s="4" t="n"/>
      <c r="E328" s="4" t="n"/>
      <c r="F328" s="4" t="n"/>
      <c r="G328" s="4" t="n"/>
    </row>
    <row r="329" ht="15.75" customHeight="1" s="40">
      <c r="A329" s="4" t="n"/>
      <c r="B329" s="4" t="n"/>
      <c r="C329" s="4" t="n"/>
      <c r="D329" s="4" t="n"/>
      <c r="E329" s="4" t="n"/>
      <c r="F329" s="4" t="n"/>
      <c r="G329" s="4" t="n"/>
    </row>
    <row r="330" ht="15.75" customHeight="1" s="40">
      <c r="A330" s="4" t="n"/>
      <c r="B330" s="4" t="n"/>
      <c r="C330" s="4" t="n"/>
      <c r="D330" s="4" t="n"/>
      <c r="E330" s="4" t="n"/>
      <c r="F330" s="4" t="n"/>
      <c r="G330" s="4" t="n"/>
    </row>
    <row r="331" ht="15.75" customHeight="1" s="40">
      <c r="A331" s="4" t="n"/>
      <c r="B331" s="4" t="n"/>
      <c r="C331" s="4" t="n"/>
      <c r="D331" s="4" t="n"/>
      <c r="E331" s="4" t="n"/>
      <c r="F331" s="4" t="n"/>
      <c r="G331" s="4" t="n"/>
    </row>
    <row r="332" ht="15.75" customHeight="1" s="40">
      <c r="A332" s="4" t="n"/>
      <c r="B332" s="4" t="n"/>
      <c r="C332" s="4" t="n"/>
      <c r="D332" s="4" t="n"/>
      <c r="E332" s="4" t="n"/>
      <c r="F332" s="4" t="n"/>
      <c r="G332" s="4" t="n"/>
    </row>
    <row r="333" ht="15.75" customHeight="1" s="40">
      <c r="A333" s="4" t="n"/>
      <c r="B333" s="4" t="n"/>
      <c r="C333" s="4" t="n"/>
      <c r="D333" s="4" t="n"/>
      <c r="E333" s="4" t="n"/>
      <c r="F333" s="4" t="n"/>
      <c r="G333" s="4" t="n"/>
    </row>
    <row r="334" ht="15.75" customHeight="1" s="40">
      <c r="A334" s="4" t="n"/>
      <c r="B334" s="4" t="n"/>
      <c r="C334" s="4" t="n"/>
      <c r="D334" s="4" t="n"/>
      <c r="E334" s="4" t="n"/>
      <c r="F334" s="4" t="n"/>
      <c r="G334" s="4" t="n"/>
    </row>
    <row r="335" ht="15.75" customHeight="1" s="40">
      <c r="A335" s="4" t="n"/>
      <c r="B335" s="4" t="n"/>
      <c r="C335" s="4" t="n"/>
      <c r="D335" s="4" t="n"/>
      <c r="E335" s="4" t="n"/>
      <c r="F335" s="4" t="n"/>
      <c r="G335" s="4" t="n"/>
    </row>
    <row r="336" ht="15.75" customHeight="1" s="40">
      <c r="A336" s="4" t="n"/>
      <c r="B336" s="4" t="n"/>
      <c r="C336" s="4" t="n"/>
      <c r="D336" s="4" t="n"/>
      <c r="E336" s="4" t="n"/>
      <c r="F336" s="4" t="n"/>
      <c r="G336" s="4" t="n"/>
    </row>
    <row r="337" ht="15.75" customHeight="1" s="40">
      <c r="A337" s="4" t="n"/>
      <c r="B337" s="4" t="n"/>
      <c r="C337" s="4" t="n"/>
      <c r="D337" s="4" t="n"/>
      <c r="E337" s="4" t="n"/>
      <c r="F337" s="4" t="n"/>
      <c r="G337" s="4" t="n"/>
    </row>
    <row r="338" ht="15.75" customHeight="1" s="40">
      <c r="A338" s="4" t="n"/>
      <c r="B338" s="4" t="n"/>
      <c r="C338" s="4" t="n"/>
      <c r="D338" s="4" t="n"/>
      <c r="E338" s="4" t="n"/>
      <c r="F338" s="4" t="n"/>
      <c r="G338" s="4" t="n"/>
    </row>
    <row r="339" ht="15.75" customHeight="1" s="40">
      <c r="A339" s="4" t="n"/>
      <c r="B339" s="4" t="n"/>
      <c r="C339" s="4" t="n"/>
      <c r="D339" s="4" t="n"/>
      <c r="E339" s="4" t="n"/>
      <c r="F339" s="4" t="n"/>
      <c r="G339" s="4" t="n"/>
    </row>
    <row r="340" ht="15.75" customHeight="1" s="40">
      <c r="A340" s="4" t="n"/>
      <c r="B340" s="4" t="n"/>
      <c r="C340" s="4" t="n"/>
      <c r="D340" s="4" t="n"/>
      <c r="E340" s="4" t="n"/>
      <c r="F340" s="4" t="n"/>
      <c r="G340" s="4" t="n"/>
    </row>
    <row r="341" ht="15.75" customHeight="1" s="40">
      <c r="A341" s="4" t="n"/>
      <c r="B341" s="4" t="n"/>
      <c r="C341" s="4" t="n"/>
      <c r="D341" s="4" t="n"/>
      <c r="E341" s="4" t="n"/>
      <c r="F341" s="4" t="n"/>
      <c r="G341" s="4" t="n"/>
    </row>
    <row r="342" ht="15.75" customHeight="1" s="40">
      <c r="A342" s="4" t="n"/>
      <c r="B342" s="4" t="n"/>
      <c r="C342" s="4" t="n"/>
      <c r="D342" s="4" t="n"/>
      <c r="E342" s="4" t="n"/>
      <c r="F342" s="4" t="n"/>
      <c r="G342" s="4" t="n"/>
    </row>
    <row r="343" ht="15.75" customHeight="1" s="40">
      <c r="A343" s="4" t="n"/>
      <c r="B343" s="4" t="n"/>
      <c r="C343" s="4" t="n"/>
      <c r="D343" s="4" t="n"/>
      <c r="E343" s="4" t="n"/>
      <c r="F343" s="4" t="n"/>
      <c r="G343" s="4" t="n"/>
    </row>
    <row r="344" ht="15.75" customHeight="1" s="40">
      <c r="A344" s="4" t="n"/>
      <c r="B344" s="4" t="n"/>
      <c r="C344" s="4" t="n"/>
      <c r="D344" s="4" t="n"/>
      <c r="E344" s="4" t="n"/>
      <c r="F344" s="4" t="n"/>
      <c r="G344" s="4" t="n"/>
    </row>
    <row r="345" ht="15.75" customHeight="1" s="40">
      <c r="A345" s="4" t="n"/>
      <c r="B345" s="4" t="n"/>
      <c r="C345" s="4" t="n"/>
      <c r="D345" s="4" t="n"/>
      <c r="E345" s="4" t="n"/>
      <c r="F345" s="4" t="n"/>
      <c r="G345" s="4" t="n"/>
    </row>
    <row r="346" ht="15.75" customHeight="1" s="40">
      <c r="A346" s="4" t="n"/>
      <c r="B346" s="4" t="n"/>
      <c r="C346" s="4" t="n"/>
      <c r="D346" s="4" t="n"/>
      <c r="E346" s="4" t="n"/>
      <c r="F346" s="4" t="n"/>
      <c r="G346" s="4" t="n"/>
    </row>
    <row r="347" ht="15.75" customHeight="1" s="40">
      <c r="A347" s="4" t="n"/>
      <c r="B347" s="4" t="n"/>
      <c r="C347" s="4" t="n"/>
      <c r="D347" s="4" t="n"/>
      <c r="E347" s="4" t="n"/>
      <c r="F347" s="4" t="n"/>
      <c r="G347" s="4" t="n"/>
    </row>
    <row r="348" ht="15.75" customHeight="1" s="40">
      <c r="A348" s="4" t="n"/>
      <c r="B348" s="4" t="n"/>
      <c r="C348" s="4" t="n"/>
      <c r="D348" s="4" t="n"/>
      <c r="E348" s="4" t="n"/>
      <c r="F348" s="4" t="n"/>
      <c r="G348" s="4" t="n"/>
    </row>
    <row r="349" ht="15.75" customHeight="1" s="40">
      <c r="A349" s="4" t="n"/>
      <c r="B349" s="4" t="n"/>
      <c r="C349" s="4" t="n"/>
      <c r="D349" s="4" t="n"/>
      <c r="E349" s="4" t="n"/>
      <c r="F349" s="4" t="n"/>
      <c r="G349" s="4" t="n"/>
    </row>
    <row r="350" ht="15.75" customHeight="1" s="40">
      <c r="A350" s="4" t="n"/>
      <c r="B350" s="4" t="n"/>
      <c r="C350" s="4" t="n"/>
      <c r="D350" s="4" t="n"/>
      <c r="E350" s="4" t="n"/>
      <c r="F350" s="4" t="n"/>
      <c r="G350" s="4" t="n"/>
    </row>
    <row r="351" ht="15.75" customHeight="1" s="40">
      <c r="A351" s="4" t="n"/>
      <c r="B351" s="4" t="n"/>
      <c r="C351" s="4" t="n"/>
      <c r="D351" s="4" t="n"/>
      <c r="E351" s="4" t="n"/>
      <c r="F351" s="4" t="n"/>
      <c r="G351" s="4" t="n"/>
    </row>
    <row r="352" ht="15.75" customHeight="1" s="40">
      <c r="A352" s="4" t="n"/>
      <c r="B352" s="4" t="n"/>
      <c r="C352" s="4" t="n"/>
      <c r="D352" s="4" t="n"/>
      <c r="E352" s="4" t="n"/>
      <c r="F352" s="4" t="n"/>
      <c r="G352" s="4" t="n"/>
    </row>
    <row r="353" ht="15.75" customHeight="1" s="40">
      <c r="A353" s="4" t="n"/>
      <c r="B353" s="4" t="n"/>
      <c r="C353" s="4" t="n"/>
      <c r="D353" s="4" t="n"/>
      <c r="E353" s="4" t="n"/>
      <c r="F353" s="4" t="n"/>
      <c r="G353" s="4" t="n"/>
    </row>
    <row r="354" ht="15.75" customHeight="1" s="40">
      <c r="A354" s="4" t="n"/>
      <c r="B354" s="4" t="n"/>
      <c r="C354" s="4" t="n"/>
      <c r="D354" s="4" t="n"/>
      <c r="E354" s="4" t="n"/>
      <c r="F354" s="4" t="n"/>
      <c r="G354" s="4" t="n"/>
    </row>
    <row r="355" ht="15.75" customHeight="1" s="40">
      <c r="A355" s="4" t="n"/>
      <c r="B355" s="4" t="n"/>
      <c r="C355" s="4" t="n"/>
      <c r="D355" s="4" t="n"/>
      <c r="E355" s="4" t="n"/>
      <c r="F355" s="4" t="n"/>
      <c r="G355" s="4" t="n"/>
    </row>
    <row r="356" ht="15.75" customHeight="1" s="40">
      <c r="A356" s="4" t="n"/>
      <c r="B356" s="4" t="n"/>
      <c r="C356" s="4" t="n"/>
      <c r="D356" s="4" t="n"/>
      <c r="E356" s="4" t="n"/>
      <c r="F356" s="4" t="n"/>
      <c r="G356" s="4" t="n"/>
    </row>
    <row r="357" ht="15.75" customHeight="1" s="40">
      <c r="A357" s="4" t="n"/>
      <c r="B357" s="4" t="n"/>
      <c r="C357" s="4" t="n"/>
      <c r="D357" s="4" t="n"/>
      <c r="E357" s="4" t="n"/>
      <c r="F357" s="4" t="n"/>
      <c r="G357" s="4" t="n"/>
    </row>
    <row r="358" ht="15.75" customHeight="1" s="40">
      <c r="A358" s="4" t="n"/>
      <c r="B358" s="4" t="n"/>
      <c r="C358" s="4" t="n"/>
      <c r="D358" s="4" t="n"/>
      <c r="E358" s="4" t="n"/>
      <c r="F358" s="4" t="n"/>
      <c r="G358" s="4" t="n"/>
    </row>
    <row r="359" ht="15.75" customHeight="1" s="40">
      <c r="A359" s="4" t="n"/>
      <c r="B359" s="4" t="n"/>
      <c r="C359" s="4" t="n"/>
      <c r="D359" s="4" t="n"/>
      <c r="E359" s="4" t="n"/>
      <c r="F359" s="4" t="n"/>
      <c r="G359" s="4" t="n"/>
    </row>
    <row r="360" ht="15.75" customHeight="1" s="40">
      <c r="A360" s="4" t="n"/>
      <c r="B360" s="4" t="n"/>
      <c r="C360" s="4" t="n"/>
      <c r="D360" s="4" t="n"/>
      <c r="E360" s="4" t="n"/>
      <c r="F360" s="4" t="n"/>
      <c r="G360" s="4" t="n"/>
    </row>
    <row r="361" ht="15.75" customHeight="1" s="40">
      <c r="A361" s="4" t="n"/>
      <c r="B361" s="4" t="n"/>
      <c r="C361" s="4" t="n"/>
      <c r="D361" s="4" t="n"/>
      <c r="E361" s="4" t="n"/>
      <c r="F361" s="4" t="n"/>
      <c r="G361" s="4" t="n"/>
    </row>
    <row r="362" ht="15.75" customHeight="1" s="40">
      <c r="A362" s="4" t="n"/>
      <c r="B362" s="4" t="n"/>
      <c r="C362" s="4" t="n"/>
      <c r="D362" s="4" t="n"/>
      <c r="E362" s="4" t="n"/>
      <c r="F362" s="4" t="n"/>
      <c r="G362" s="4" t="n"/>
    </row>
    <row r="363" ht="15.75" customHeight="1" s="40">
      <c r="A363" s="4" t="n"/>
      <c r="B363" s="4" t="n"/>
      <c r="C363" s="4" t="n"/>
      <c r="D363" s="4" t="n"/>
      <c r="E363" s="4" t="n"/>
      <c r="F363" s="4" t="n"/>
      <c r="G363" s="4" t="n"/>
    </row>
    <row r="364" ht="15.75" customHeight="1" s="40">
      <c r="A364" s="4" t="n"/>
      <c r="B364" s="4" t="n"/>
      <c r="C364" s="4" t="n"/>
      <c r="D364" s="4" t="n"/>
      <c r="E364" s="4" t="n"/>
      <c r="F364" s="4" t="n"/>
      <c r="G364" s="4" t="n"/>
    </row>
    <row r="365" ht="15.75" customHeight="1" s="40">
      <c r="A365" s="4" t="n"/>
      <c r="B365" s="4" t="n"/>
      <c r="C365" s="4" t="n"/>
      <c r="D365" s="4" t="n"/>
      <c r="E365" s="4" t="n"/>
      <c r="F365" s="4" t="n"/>
      <c r="G365" s="4" t="n"/>
    </row>
    <row r="366" ht="15.75" customHeight="1" s="40">
      <c r="A366" s="4" t="n"/>
      <c r="B366" s="4" t="n"/>
      <c r="C366" s="4" t="n"/>
      <c r="D366" s="4" t="n"/>
      <c r="E366" s="4" t="n"/>
      <c r="F366" s="4" t="n"/>
      <c r="G366" s="4" t="n"/>
    </row>
    <row r="367" ht="15.75" customHeight="1" s="40">
      <c r="A367" s="4" t="n"/>
      <c r="B367" s="4" t="n"/>
      <c r="C367" s="4" t="n"/>
      <c r="D367" s="4" t="n"/>
      <c r="E367" s="4" t="n"/>
      <c r="F367" s="4" t="n"/>
      <c r="G367" s="4" t="n"/>
    </row>
    <row r="368" ht="15.75" customHeight="1" s="40">
      <c r="A368" s="4" t="n"/>
      <c r="B368" s="4" t="n"/>
      <c r="C368" s="4" t="n"/>
      <c r="D368" s="4" t="n"/>
      <c r="E368" s="4" t="n"/>
      <c r="F368" s="4" t="n"/>
      <c r="G368" s="4" t="n"/>
    </row>
    <row r="369" ht="15.75" customHeight="1" s="40">
      <c r="A369" s="4" t="n"/>
      <c r="B369" s="4" t="n"/>
      <c r="C369" s="4" t="n"/>
      <c r="D369" s="4" t="n"/>
      <c r="E369" s="4" t="n"/>
      <c r="F369" s="4" t="n"/>
      <c r="G369" s="4" t="n"/>
    </row>
    <row r="370" ht="15.75" customHeight="1" s="40">
      <c r="A370" s="4" t="n"/>
      <c r="B370" s="4" t="n"/>
      <c r="C370" s="4" t="n"/>
      <c r="D370" s="4" t="n"/>
      <c r="E370" s="4" t="n"/>
      <c r="F370" s="4" t="n"/>
      <c r="G370" s="4" t="n"/>
    </row>
    <row r="371" ht="15.75" customHeight="1" s="40">
      <c r="A371" s="4" t="n"/>
      <c r="B371" s="4" t="n"/>
      <c r="C371" s="4" t="n"/>
      <c r="D371" s="4" t="n"/>
      <c r="E371" s="4" t="n"/>
      <c r="F371" s="4" t="n"/>
      <c r="G371" s="4" t="n"/>
    </row>
    <row r="372" ht="15.75" customHeight="1" s="40">
      <c r="A372" s="4" t="n"/>
      <c r="B372" s="4" t="n"/>
      <c r="C372" s="4" t="n"/>
      <c r="D372" s="4" t="n"/>
      <c r="E372" s="4" t="n"/>
      <c r="F372" s="4" t="n"/>
      <c r="G372" s="4" t="n"/>
    </row>
    <row r="373" ht="15.75" customHeight="1" s="40">
      <c r="A373" s="4" t="n"/>
      <c r="B373" s="4" t="n"/>
      <c r="C373" s="4" t="n"/>
      <c r="D373" s="4" t="n"/>
      <c r="E373" s="4" t="n"/>
      <c r="F373" s="4" t="n"/>
      <c r="G373" s="4" t="n"/>
    </row>
    <row r="374" ht="15.75" customHeight="1" s="40">
      <c r="A374" s="4" t="n"/>
      <c r="B374" s="4" t="n"/>
      <c r="C374" s="4" t="n"/>
      <c r="D374" s="4" t="n"/>
      <c r="E374" s="4" t="n"/>
      <c r="F374" s="4" t="n"/>
      <c r="G374" s="4" t="n"/>
    </row>
    <row r="375" ht="15.75" customHeight="1" s="40">
      <c r="A375" s="4" t="n"/>
      <c r="B375" s="4" t="n"/>
      <c r="C375" s="4" t="n"/>
      <c r="D375" s="4" t="n"/>
      <c r="E375" s="4" t="n"/>
      <c r="F375" s="4" t="n"/>
      <c r="G375" s="4" t="n"/>
    </row>
    <row r="376" ht="15.75" customHeight="1" s="40">
      <c r="A376" s="4" t="n"/>
      <c r="B376" s="4" t="n"/>
      <c r="C376" s="4" t="n"/>
      <c r="D376" s="4" t="n"/>
      <c r="E376" s="4" t="n"/>
      <c r="F376" s="4" t="n"/>
      <c r="G376" s="4" t="n"/>
    </row>
    <row r="377" ht="15.75" customHeight="1" s="40">
      <c r="A377" s="4" t="n"/>
      <c r="B377" s="4" t="n"/>
      <c r="C377" s="4" t="n"/>
      <c r="D377" s="4" t="n"/>
      <c r="E377" s="4" t="n"/>
      <c r="F377" s="4" t="n"/>
      <c r="G377" s="4" t="n"/>
    </row>
    <row r="378" ht="15.75" customHeight="1" s="40">
      <c r="A378" s="4" t="n"/>
      <c r="B378" s="4" t="n"/>
      <c r="C378" s="4" t="n"/>
      <c r="D378" s="4" t="n"/>
      <c r="E378" s="4" t="n"/>
      <c r="F378" s="4" t="n"/>
      <c r="G378" s="4" t="n"/>
    </row>
    <row r="379" ht="15.75" customHeight="1" s="40">
      <c r="A379" s="4" t="n"/>
      <c r="B379" s="4" t="n"/>
      <c r="C379" s="4" t="n"/>
      <c r="D379" s="4" t="n"/>
      <c r="E379" s="4" t="n"/>
      <c r="F379" s="4" t="n"/>
      <c r="G379" s="4" t="n"/>
    </row>
    <row r="380" ht="15.75" customHeight="1" s="40">
      <c r="A380" s="4" t="n"/>
      <c r="B380" s="4" t="n"/>
      <c r="C380" s="4" t="n"/>
      <c r="D380" s="4" t="n"/>
      <c r="E380" s="4" t="n"/>
      <c r="F380" s="4" t="n"/>
      <c r="G380" s="4" t="n"/>
    </row>
    <row r="381" ht="15.75" customHeight="1" s="40">
      <c r="A381" s="4" t="n"/>
      <c r="B381" s="4" t="n"/>
      <c r="C381" s="4" t="n"/>
      <c r="D381" s="4" t="n"/>
      <c r="E381" s="4" t="n"/>
      <c r="F381" s="4" t="n"/>
      <c r="G381" s="4" t="n"/>
    </row>
    <row r="382" ht="15.75" customHeight="1" s="40">
      <c r="A382" s="4" t="n"/>
      <c r="B382" s="4" t="n"/>
      <c r="C382" s="4" t="n"/>
      <c r="D382" s="4" t="n"/>
      <c r="E382" s="4" t="n"/>
      <c r="F382" s="4" t="n"/>
      <c r="G382" s="4" t="n"/>
    </row>
    <row r="383" ht="15.75" customHeight="1" s="40">
      <c r="A383" s="4" t="n"/>
      <c r="B383" s="4" t="n"/>
      <c r="C383" s="4" t="n"/>
      <c r="D383" s="4" t="n"/>
      <c r="E383" s="4" t="n"/>
      <c r="F383" s="4" t="n"/>
      <c r="G383" s="4" t="n"/>
    </row>
    <row r="384" ht="15.75" customHeight="1" s="40">
      <c r="A384" s="4" t="n"/>
      <c r="B384" s="4" t="n"/>
      <c r="C384" s="4" t="n"/>
      <c r="D384" s="4" t="n"/>
      <c r="E384" s="4" t="n"/>
      <c r="F384" s="4" t="n"/>
      <c r="G384" s="4" t="n"/>
    </row>
    <row r="385" ht="15.75" customHeight="1" s="40">
      <c r="A385" s="4" t="n"/>
      <c r="B385" s="4" t="n"/>
      <c r="C385" s="4" t="n"/>
      <c r="D385" s="4" t="n"/>
      <c r="E385" s="4" t="n"/>
      <c r="F385" s="4" t="n"/>
      <c r="G385" s="4" t="n"/>
    </row>
    <row r="386" ht="15.75" customHeight="1" s="40">
      <c r="A386" s="4" t="n"/>
      <c r="B386" s="4" t="n"/>
      <c r="C386" s="4" t="n"/>
      <c r="D386" s="4" t="n"/>
      <c r="E386" s="4" t="n"/>
      <c r="F386" s="4" t="n"/>
      <c r="G386" s="4" t="n"/>
    </row>
    <row r="387" ht="15.75" customHeight="1" s="40">
      <c r="A387" s="4" t="n"/>
      <c r="B387" s="4" t="n"/>
      <c r="C387" s="4" t="n"/>
      <c r="D387" s="4" t="n"/>
      <c r="E387" s="4" t="n"/>
      <c r="F387" s="4" t="n"/>
      <c r="G387" s="4" t="n"/>
    </row>
    <row r="388" ht="15.75" customHeight="1" s="40">
      <c r="A388" s="4" t="n"/>
      <c r="B388" s="4" t="n"/>
      <c r="C388" s="4" t="n"/>
      <c r="D388" s="4" t="n"/>
      <c r="E388" s="4" t="n"/>
      <c r="F388" s="4" t="n"/>
      <c r="G388" s="4" t="n"/>
    </row>
    <row r="389" ht="15.75" customHeight="1" s="40">
      <c r="A389" s="4" t="n"/>
      <c r="B389" s="4" t="n"/>
      <c r="C389" s="4" t="n"/>
      <c r="D389" s="4" t="n"/>
      <c r="E389" s="4" t="n"/>
      <c r="F389" s="4" t="n"/>
      <c r="G389" s="4" t="n"/>
    </row>
    <row r="390" ht="15.75" customHeight="1" s="40">
      <c r="A390" s="4" t="n"/>
      <c r="B390" s="4" t="n"/>
      <c r="C390" s="4" t="n"/>
      <c r="D390" s="4" t="n"/>
      <c r="E390" s="4" t="n"/>
      <c r="F390" s="4" t="n"/>
      <c r="G390" s="4" t="n"/>
    </row>
    <row r="391" ht="15.75" customHeight="1" s="40">
      <c r="A391" s="4" t="n"/>
      <c r="B391" s="4" t="n"/>
      <c r="C391" s="4" t="n"/>
      <c r="D391" s="4" t="n"/>
      <c r="E391" s="4" t="n"/>
      <c r="F391" s="4" t="n"/>
      <c r="G391" s="4" t="n"/>
    </row>
    <row r="392" ht="15.75" customHeight="1" s="40">
      <c r="A392" s="4" t="n"/>
      <c r="B392" s="4" t="n"/>
      <c r="C392" s="4" t="n"/>
      <c r="D392" s="4" t="n"/>
      <c r="E392" s="4" t="n"/>
      <c r="F392" s="4" t="n"/>
      <c r="G392" s="4" t="n"/>
    </row>
    <row r="393" ht="15.75" customHeight="1" s="40">
      <c r="A393" s="4" t="n"/>
      <c r="B393" s="4" t="n"/>
      <c r="C393" s="4" t="n"/>
      <c r="D393" s="4" t="n"/>
      <c r="E393" s="4" t="n"/>
      <c r="F393" s="4" t="n"/>
      <c r="G393" s="4" t="n"/>
    </row>
    <row r="394" ht="15.75" customHeight="1" s="40">
      <c r="A394" s="4" t="n"/>
      <c r="B394" s="4" t="n"/>
      <c r="C394" s="4" t="n"/>
      <c r="D394" s="4" t="n"/>
      <c r="E394" s="4" t="n"/>
      <c r="F394" s="4" t="n"/>
      <c r="G394" s="4" t="n"/>
    </row>
    <row r="395" ht="15.75" customHeight="1" s="40">
      <c r="A395" s="4" t="n"/>
      <c r="B395" s="4" t="n"/>
      <c r="C395" s="4" t="n"/>
      <c r="D395" s="4" t="n"/>
      <c r="E395" s="4" t="n"/>
      <c r="F395" s="4" t="n"/>
      <c r="G395" s="4" t="n"/>
    </row>
    <row r="396" ht="15.75" customHeight="1" s="40">
      <c r="A396" s="4" t="n"/>
      <c r="B396" s="4" t="n"/>
      <c r="C396" s="4" t="n"/>
      <c r="D396" s="4" t="n"/>
      <c r="E396" s="4" t="n"/>
      <c r="F396" s="4" t="n"/>
      <c r="G396" s="4" t="n"/>
    </row>
    <row r="397" ht="15.75" customHeight="1" s="40">
      <c r="A397" s="4" t="n"/>
      <c r="B397" s="4" t="n"/>
      <c r="C397" s="4" t="n"/>
      <c r="D397" s="4" t="n"/>
      <c r="E397" s="4" t="n"/>
      <c r="F397" s="4" t="n"/>
      <c r="G397" s="4" t="n"/>
    </row>
    <row r="398" ht="15.75" customHeight="1" s="40">
      <c r="A398" s="4" t="n"/>
      <c r="B398" s="4" t="n"/>
      <c r="C398" s="4" t="n"/>
      <c r="D398" s="4" t="n"/>
      <c r="E398" s="4" t="n"/>
      <c r="F398" s="4" t="n"/>
      <c r="G398" s="4" t="n"/>
    </row>
    <row r="399" ht="15.75" customHeight="1" s="40">
      <c r="A399" s="4" t="n"/>
      <c r="B399" s="4" t="n"/>
      <c r="C399" s="4" t="n"/>
      <c r="D399" s="4" t="n"/>
      <c r="E399" s="4" t="n"/>
      <c r="F399" s="4" t="n"/>
      <c r="G399" s="4" t="n"/>
    </row>
    <row r="400" ht="15.75" customHeight="1" s="40">
      <c r="A400" s="4" t="n"/>
      <c r="B400" s="4" t="n"/>
      <c r="C400" s="4" t="n"/>
      <c r="D400" s="4" t="n"/>
      <c r="E400" s="4" t="n"/>
      <c r="F400" s="4" t="n"/>
      <c r="G400" s="4" t="n"/>
    </row>
    <row r="401" ht="15.75" customHeight="1" s="40">
      <c r="A401" s="4" t="n"/>
      <c r="B401" s="4" t="n"/>
      <c r="C401" s="4" t="n"/>
      <c r="D401" s="4" t="n"/>
      <c r="E401" s="4" t="n"/>
      <c r="F401" s="4" t="n"/>
      <c r="G401" s="4" t="n"/>
    </row>
    <row r="402" ht="15.75" customHeight="1" s="40">
      <c r="A402" s="4" t="n"/>
      <c r="B402" s="4" t="n"/>
      <c r="C402" s="4" t="n"/>
      <c r="D402" s="4" t="n"/>
      <c r="E402" s="4" t="n"/>
      <c r="F402" s="4" t="n"/>
      <c r="G402" s="4" t="n"/>
    </row>
    <row r="403" ht="15.75" customHeight="1" s="40">
      <c r="A403" s="4" t="n"/>
      <c r="B403" s="4" t="n"/>
      <c r="C403" s="4" t="n"/>
      <c r="D403" s="4" t="n"/>
      <c r="E403" s="4" t="n"/>
      <c r="F403" s="4" t="n"/>
      <c r="G403" s="4" t="n"/>
    </row>
    <row r="404" ht="15.75" customHeight="1" s="40">
      <c r="A404" s="4" t="n"/>
      <c r="B404" s="4" t="n"/>
      <c r="C404" s="4" t="n"/>
      <c r="D404" s="4" t="n"/>
      <c r="E404" s="4" t="n"/>
      <c r="F404" s="4" t="n"/>
      <c r="G404" s="4" t="n"/>
    </row>
    <row r="405" ht="15.75" customHeight="1" s="40">
      <c r="A405" s="4" t="n"/>
      <c r="B405" s="4" t="n"/>
      <c r="C405" s="4" t="n"/>
      <c r="D405" s="4" t="n"/>
      <c r="E405" s="4" t="n"/>
      <c r="F405" s="4" t="n"/>
      <c r="G405" s="4" t="n"/>
    </row>
    <row r="406" ht="15.75" customHeight="1" s="40">
      <c r="A406" s="4" t="n"/>
      <c r="B406" s="4" t="n"/>
      <c r="C406" s="4" t="n"/>
      <c r="D406" s="4" t="n"/>
      <c r="E406" s="4" t="n"/>
      <c r="F406" s="4" t="n"/>
      <c r="G406" s="4" t="n"/>
    </row>
    <row r="407" ht="15.75" customHeight="1" s="40">
      <c r="A407" s="4" t="n"/>
      <c r="B407" s="4" t="n"/>
      <c r="C407" s="4" t="n"/>
      <c r="D407" s="4" t="n"/>
      <c r="E407" s="4" t="n"/>
      <c r="F407" s="4" t="n"/>
      <c r="G407" s="4" t="n"/>
    </row>
    <row r="408" ht="15.75" customHeight="1" s="40">
      <c r="A408" s="4" t="n"/>
      <c r="B408" s="4" t="n"/>
      <c r="C408" s="4" t="n"/>
      <c r="D408" s="4" t="n"/>
      <c r="E408" s="4" t="n"/>
      <c r="F408" s="4" t="n"/>
      <c r="G408" s="4" t="n"/>
    </row>
    <row r="409" ht="15.75" customHeight="1" s="40">
      <c r="A409" s="4" t="n"/>
      <c r="B409" s="4" t="n"/>
      <c r="C409" s="4" t="n"/>
      <c r="D409" s="4" t="n"/>
      <c r="E409" s="4" t="n"/>
      <c r="F409" s="4" t="n"/>
      <c r="G409" s="4" t="n"/>
    </row>
    <row r="410" ht="15.75" customHeight="1" s="40">
      <c r="A410" s="4" t="n"/>
      <c r="B410" s="4" t="n"/>
      <c r="C410" s="4" t="n"/>
      <c r="D410" s="4" t="n"/>
      <c r="E410" s="4" t="n"/>
      <c r="F410" s="4" t="n"/>
      <c r="G410" s="4" t="n"/>
    </row>
    <row r="411" ht="15.75" customHeight="1" s="40">
      <c r="A411" s="4" t="n"/>
      <c r="B411" s="4" t="n"/>
      <c r="C411" s="4" t="n"/>
      <c r="D411" s="4" t="n"/>
      <c r="E411" s="4" t="n"/>
      <c r="F411" s="4" t="n"/>
      <c r="G411" s="4" t="n"/>
    </row>
    <row r="412" ht="15.75" customHeight="1" s="40">
      <c r="A412" s="4" t="n"/>
      <c r="B412" s="4" t="n"/>
      <c r="C412" s="4" t="n"/>
      <c r="D412" s="4" t="n"/>
      <c r="E412" s="4" t="n"/>
      <c r="F412" s="4" t="n"/>
      <c r="G412" s="4" t="n"/>
    </row>
    <row r="413" ht="15.75" customHeight="1" s="40">
      <c r="A413" s="4" t="n"/>
      <c r="B413" s="4" t="n"/>
      <c r="C413" s="4" t="n"/>
      <c r="D413" s="4" t="n"/>
      <c r="E413" s="4" t="n"/>
      <c r="F413" s="4" t="n"/>
      <c r="G413" s="4" t="n"/>
    </row>
    <row r="414" ht="15.75" customHeight="1" s="40">
      <c r="A414" s="4" t="n"/>
      <c r="B414" s="4" t="n"/>
      <c r="C414" s="4" t="n"/>
      <c r="D414" s="4" t="n"/>
      <c r="E414" s="4" t="n"/>
      <c r="F414" s="4" t="n"/>
      <c r="G414" s="4" t="n"/>
    </row>
    <row r="415" ht="15.75" customHeight="1" s="40">
      <c r="A415" s="4" t="n"/>
      <c r="B415" s="4" t="n"/>
      <c r="C415" s="4" t="n"/>
      <c r="D415" s="4" t="n"/>
      <c r="E415" s="4" t="n"/>
      <c r="F415" s="4" t="n"/>
      <c r="G415" s="4" t="n"/>
    </row>
    <row r="416" ht="15.75" customHeight="1" s="40">
      <c r="A416" s="4" t="n"/>
      <c r="B416" s="4" t="n"/>
      <c r="C416" s="4" t="n"/>
      <c r="D416" s="4" t="n"/>
      <c r="E416" s="4" t="n"/>
      <c r="F416" s="4" t="n"/>
      <c r="G416" s="4" t="n"/>
    </row>
    <row r="417" ht="15.75" customHeight="1" s="40">
      <c r="A417" s="4" t="n"/>
      <c r="B417" s="4" t="n"/>
      <c r="C417" s="4" t="n"/>
      <c r="D417" s="4" t="n"/>
      <c r="E417" s="4" t="n"/>
      <c r="F417" s="4" t="n"/>
      <c r="G417" s="4" t="n"/>
    </row>
    <row r="418" ht="15.75" customHeight="1" s="40">
      <c r="A418" s="4" t="n"/>
      <c r="B418" s="4" t="n"/>
      <c r="C418" s="4" t="n"/>
      <c r="D418" s="4" t="n"/>
      <c r="E418" s="4" t="n"/>
      <c r="F418" s="4" t="n"/>
      <c r="G418" s="4" t="n"/>
    </row>
    <row r="419" ht="15.75" customHeight="1" s="40">
      <c r="A419" s="4" t="n"/>
      <c r="B419" s="4" t="n"/>
      <c r="C419" s="4" t="n"/>
      <c r="D419" s="4" t="n"/>
      <c r="E419" s="4" t="n"/>
      <c r="F419" s="4" t="n"/>
      <c r="G419" s="4" t="n"/>
    </row>
    <row r="420" ht="15.75" customHeight="1" s="40">
      <c r="A420" s="4" t="n"/>
      <c r="B420" s="4" t="n"/>
      <c r="C420" s="4" t="n"/>
      <c r="D420" s="4" t="n"/>
      <c r="E420" s="4" t="n"/>
      <c r="F420" s="4" t="n"/>
      <c r="G420" s="4" t="n"/>
    </row>
    <row r="421" ht="15.75" customHeight="1" s="40">
      <c r="A421" s="4" t="n"/>
      <c r="B421" s="4" t="n"/>
      <c r="C421" s="4" t="n"/>
      <c r="D421" s="4" t="n"/>
      <c r="E421" s="4" t="n"/>
      <c r="F421" s="4" t="n"/>
      <c r="G421" s="4" t="n"/>
    </row>
    <row r="422" ht="15.75" customHeight="1" s="40">
      <c r="A422" s="4" t="n"/>
      <c r="B422" s="4" t="n"/>
      <c r="C422" s="4" t="n"/>
      <c r="D422" s="4" t="n"/>
      <c r="E422" s="4" t="n"/>
      <c r="F422" s="4" t="n"/>
      <c r="G422" s="4" t="n"/>
    </row>
    <row r="423" ht="15.75" customHeight="1" s="40">
      <c r="A423" s="4" t="n"/>
      <c r="B423" s="4" t="n"/>
      <c r="C423" s="4" t="n"/>
      <c r="D423" s="4" t="n"/>
      <c r="E423" s="4" t="n"/>
      <c r="F423" s="4" t="n"/>
      <c r="G423" s="4" t="n"/>
    </row>
    <row r="424" ht="15.75" customHeight="1" s="40">
      <c r="A424" s="4" t="n"/>
      <c r="B424" s="4" t="n"/>
      <c r="C424" s="4" t="n"/>
      <c r="D424" s="4" t="n"/>
      <c r="E424" s="4" t="n"/>
      <c r="F424" s="4" t="n"/>
      <c r="G424" s="4" t="n"/>
    </row>
    <row r="425" ht="15.75" customHeight="1" s="40">
      <c r="A425" s="4" t="n"/>
      <c r="B425" s="4" t="n"/>
      <c r="C425" s="4" t="n"/>
      <c r="D425" s="4" t="n"/>
      <c r="E425" s="4" t="n"/>
      <c r="F425" s="4" t="n"/>
      <c r="G425" s="4" t="n"/>
    </row>
    <row r="426" ht="15.75" customHeight="1" s="40">
      <c r="A426" s="4" t="n"/>
      <c r="B426" s="4" t="n"/>
      <c r="C426" s="4" t="n"/>
      <c r="D426" s="4" t="n"/>
      <c r="E426" s="4" t="n"/>
      <c r="F426" s="4" t="n"/>
      <c r="G426" s="4" t="n"/>
    </row>
    <row r="427" ht="15.75" customHeight="1" s="40">
      <c r="A427" s="4" t="n"/>
      <c r="B427" s="4" t="n"/>
      <c r="C427" s="4" t="n"/>
      <c r="D427" s="4" t="n"/>
      <c r="E427" s="4" t="n"/>
      <c r="F427" s="4" t="n"/>
      <c r="G427" s="4" t="n"/>
    </row>
    <row r="428" ht="15.75" customHeight="1" s="40">
      <c r="A428" s="4" t="n"/>
      <c r="B428" s="4" t="n"/>
      <c r="C428" s="4" t="n"/>
      <c r="D428" s="4" t="n"/>
      <c r="E428" s="4" t="n"/>
      <c r="F428" s="4" t="n"/>
      <c r="G428" s="4" t="n"/>
    </row>
    <row r="429" ht="15.75" customHeight="1" s="40">
      <c r="A429" s="4" t="n"/>
      <c r="B429" s="4" t="n"/>
      <c r="C429" s="4" t="n"/>
      <c r="D429" s="4" t="n"/>
      <c r="E429" s="4" t="n"/>
      <c r="F429" s="4" t="n"/>
      <c r="G429" s="4" t="n"/>
    </row>
    <row r="430" ht="15.75" customHeight="1" s="40">
      <c r="A430" s="4" t="n"/>
      <c r="B430" s="4" t="n"/>
      <c r="C430" s="4" t="n"/>
      <c r="D430" s="4" t="n"/>
      <c r="E430" s="4" t="n"/>
      <c r="F430" s="4" t="n"/>
      <c r="G430" s="4" t="n"/>
    </row>
    <row r="431" ht="15.75" customHeight="1" s="40">
      <c r="A431" s="4" t="n"/>
      <c r="B431" s="4" t="n"/>
      <c r="C431" s="4" t="n"/>
      <c r="D431" s="4" t="n"/>
      <c r="E431" s="4" t="n"/>
      <c r="F431" s="4" t="n"/>
      <c r="G431" s="4" t="n"/>
    </row>
    <row r="432" ht="15.75" customHeight="1" s="40">
      <c r="A432" s="4" t="n"/>
      <c r="B432" s="4" t="n"/>
      <c r="C432" s="4" t="n"/>
      <c r="D432" s="4" t="n"/>
      <c r="E432" s="4" t="n"/>
      <c r="F432" s="4" t="n"/>
      <c r="G432" s="4" t="n"/>
    </row>
    <row r="433" ht="15.75" customHeight="1" s="40">
      <c r="A433" s="4" t="n"/>
      <c r="B433" s="4" t="n"/>
      <c r="C433" s="4" t="n"/>
      <c r="D433" s="4" t="n"/>
      <c r="E433" s="4" t="n"/>
      <c r="F433" s="4" t="n"/>
      <c r="G433" s="4" t="n"/>
    </row>
    <row r="434" ht="15.75" customHeight="1" s="40">
      <c r="A434" s="4" t="n"/>
      <c r="B434" s="4" t="n"/>
      <c r="C434" s="4" t="n"/>
      <c r="D434" s="4" t="n"/>
      <c r="E434" s="4" t="n"/>
      <c r="F434" s="4" t="n"/>
      <c r="G434" s="4" t="n"/>
    </row>
    <row r="435" ht="15.75" customHeight="1" s="40">
      <c r="A435" s="4" t="n"/>
      <c r="B435" s="4" t="n"/>
      <c r="C435" s="4" t="n"/>
      <c r="D435" s="4" t="n"/>
      <c r="E435" s="4" t="n"/>
      <c r="F435" s="4" t="n"/>
      <c r="G435" s="4" t="n"/>
    </row>
    <row r="436" ht="15.75" customHeight="1" s="40">
      <c r="A436" s="4" t="n"/>
      <c r="B436" s="4" t="n"/>
      <c r="C436" s="4" t="n"/>
      <c r="D436" s="4" t="n"/>
      <c r="E436" s="4" t="n"/>
      <c r="F436" s="4" t="n"/>
      <c r="G436" s="4" t="n"/>
    </row>
    <row r="437" ht="15.75" customHeight="1" s="40">
      <c r="A437" s="4" t="n"/>
      <c r="B437" s="4" t="n"/>
      <c r="C437" s="4" t="n"/>
      <c r="D437" s="4" t="n"/>
      <c r="E437" s="4" t="n"/>
      <c r="F437" s="4" t="n"/>
      <c r="G437" s="4" t="n"/>
    </row>
    <row r="438" ht="15.75" customHeight="1" s="40">
      <c r="A438" s="4" t="n"/>
      <c r="B438" s="4" t="n"/>
      <c r="C438" s="4" t="n"/>
      <c r="D438" s="4" t="n"/>
      <c r="E438" s="4" t="n"/>
      <c r="F438" s="4" t="n"/>
      <c r="G438" s="4" t="n"/>
    </row>
    <row r="439" ht="15.75" customHeight="1" s="40">
      <c r="A439" s="4" t="n"/>
      <c r="B439" s="4" t="n"/>
      <c r="C439" s="4" t="n"/>
      <c r="D439" s="4" t="n"/>
      <c r="E439" s="4" t="n"/>
      <c r="F439" s="4" t="n"/>
      <c r="G439" s="4" t="n"/>
    </row>
    <row r="440" ht="15.75" customHeight="1" s="40">
      <c r="A440" s="4" t="n"/>
      <c r="B440" s="4" t="n"/>
      <c r="C440" s="4" t="n"/>
      <c r="D440" s="4" t="n"/>
      <c r="E440" s="4" t="n"/>
      <c r="F440" s="4" t="n"/>
      <c r="G440" s="4" t="n"/>
    </row>
    <row r="441" ht="15.75" customHeight="1" s="40">
      <c r="A441" s="4" t="n"/>
      <c r="B441" s="4" t="n"/>
      <c r="C441" s="4" t="n"/>
      <c r="D441" s="4" t="n"/>
      <c r="E441" s="4" t="n"/>
      <c r="F441" s="4" t="n"/>
      <c r="G441" s="4" t="n"/>
    </row>
    <row r="442" ht="15.75" customHeight="1" s="40">
      <c r="A442" s="4" t="n"/>
      <c r="B442" s="4" t="n"/>
      <c r="C442" s="4" t="n"/>
      <c r="D442" s="4" t="n"/>
      <c r="E442" s="4" t="n"/>
      <c r="F442" s="4" t="n"/>
      <c r="G442" s="4" t="n"/>
    </row>
    <row r="443" ht="15.75" customHeight="1" s="40">
      <c r="A443" s="4" t="n"/>
      <c r="B443" s="4" t="n"/>
      <c r="C443" s="4" t="n"/>
      <c r="D443" s="4" t="n"/>
      <c r="E443" s="4" t="n"/>
      <c r="F443" s="4" t="n"/>
      <c r="G443" s="4" t="n"/>
    </row>
    <row r="444" ht="15.75" customHeight="1" s="40">
      <c r="A444" s="4" t="n"/>
      <c r="B444" s="4" t="n"/>
      <c r="C444" s="4" t="n"/>
      <c r="D444" s="4" t="n"/>
      <c r="E444" s="4" t="n"/>
      <c r="F444" s="4" t="n"/>
      <c r="G444" s="4" t="n"/>
    </row>
    <row r="445" ht="15.75" customHeight="1" s="40">
      <c r="A445" s="4" t="n"/>
      <c r="B445" s="4" t="n"/>
      <c r="C445" s="4" t="n"/>
      <c r="D445" s="4" t="n"/>
      <c r="E445" s="4" t="n"/>
      <c r="F445" s="4" t="n"/>
      <c r="G445" s="4" t="n"/>
    </row>
    <row r="446" ht="15.75" customHeight="1" s="40">
      <c r="A446" s="4" t="n"/>
      <c r="B446" s="4" t="n"/>
      <c r="C446" s="4" t="n"/>
      <c r="D446" s="4" t="n"/>
      <c r="E446" s="4" t="n"/>
      <c r="F446" s="4" t="n"/>
      <c r="G446" s="4" t="n"/>
    </row>
    <row r="447" ht="15.75" customHeight="1" s="40">
      <c r="A447" s="4" t="n"/>
      <c r="B447" s="4" t="n"/>
      <c r="C447" s="4" t="n"/>
      <c r="D447" s="4" t="n"/>
      <c r="E447" s="4" t="n"/>
      <c r="F447" s="4" t="n"/>
      <c r="G447" s="4" t="n"/>
    </row>
    <row r="448" ht="15.75" customHeight="1" s="40">
      <c r="A448" s="4" t="n"/>
      <c r="B448" s="4" t="n"/>
      <c r="C448" s="4" t="n"/>
      <c r="D448" s="4" t="n"/>
      <c r="E448" s="4" t="n"/>
      <c r="F448" s="4" t="n"/>
      <c r="G448" s="4" t="n"/>
    </row>
    <row r="449" ht="15.75" customHeight="1" s="40">
      <c r="A449" s="4" t="n"/>
      <c r="B449" s="4" t="n"/>
      <c r="C449" s="4" t="n"/>
      <c r="D449" s="4" t="n"/>
      <c r="E449" s="4" t="n"/>
      <c r="F449" s="4" t="n"/>
      <c r="G449" s="4" t="n"/>
    </row>
    <row r="450" ht="15.75" customHeight="1" s="40">
      <c r="A450" s="4" t="n"/>
      <c r="B450" s="4" t="n"/>
      <c r="C450" s="4" t="n"/>
      <c r="D450" s="4" t="n"/>
      <c r="E450" s="4" t="n"/>
      <c r="F450" s="4" t="n"/>
      <c r="G450" s="4" t="n"/>
    </row>
    <row r="451" ht="15.75" customHeight="1" s="40">
      <c r="A451" s="4" t="n"/>
      <c r="B451" s="4" t="n"/>
      <c r="C451" s="4" t="n"/>
      <c r="D451" s="4" t="n"/>
      <c r="E451" s="4" t="n"/>
      <c r="F451" s="4" t="n"/>
      <c r="G451" s="4" t="n"/>
    </row>
    <row r="452" ht="15.75" customHeight="1" s="40">
      <c r="A452" s="4" t="n"/>
      <c r="B452" s="4" t="n"/>
      <c r="C452" s="4" t="n"/>
      <c r="D452" s="4" t="n"/>
      <c r="E452" s="4" t="n"/>
      <c r="F452" s="4" t="n"/>
      <c r="G452" s="4" t="n"/>
    </row>
    <row r="453" ht="15.75" customHeight="1" s="40">
      <c r="A453" s="4" t="n"/>
      <c r="B453" s="4" t="n"/>
      <c r="C453" s="4" t="n"/>
      <c r="D453" s="4" t="n"/>
      <c r="E453" s="4" t="n"/>
      <c r="F453" s="4" t="n"/>
      <c r="G453" s="4" t="n"/>
    </row>
    <row r="454" ht="15.75" customHeight="1" s="40">
      <c r="A454" s="4" t="n"/>
      <c r="B454" s="4" t="n"/>
      <c r="C454" s="4" t="n"/>
      <c r="D454" s="4" t="n"/>
      <c r="E454" s="4" t="n"/>
      <c r="F454" s="4" t="n"/>
      <c r="G454" s="4" t="n"/>
    </row>
    <row r="455" ht="15.75" customHeight="1" s="40">
      <c r="A455" s="4" t="n"/>
      <c r="B455" s="4" t="n"/>
      <c r="C455" s="4" t="n"/>
      <c r="D455" s="4" t="n"/>
      <c r="E455" s="4" t="n"/>
      <c r="F455" s="4" t="n"/>
      <c r="G455" s="4" t="n"/>
    </row>
    <row r="456" ht="15.75" customHeight="1" s="40">
      <c r="A456" s="4" t="n"/>
      <c r="B456" s="4" t="n"/>
      <c r="C456" s="4" t="n"/>
      <c r="D456" s="4" t="n"/>
      <c r="E456" s="4" t="n"/>
      <c r="F456" s="4" t="n"/>
      <c r="G456" s="4" t="n"/>
    </row>
    <row r="457" ht="15.75" customHeight="1" s="40">
      <c r="A457" s="4" t="n"/>
      <c r="B457" s="4" t="n"/>
      <c r="C457" s="4" t="n"/>
      <c r="D457" s="4" t="n"/>
      <c r="E457" s="4" t="n"/>
      <c r="F457" s="4" t="n"/>
      <c r="G457" s="4" t="n"/>
    </row>
    <row r="458" ht="15.75" customHeight="1" s="40">
      <c r="A458" s="4" t="n"/>
      <c r="B458" s="4" t="n"/>
      <c r="C458" s="4" t="n"/>
      <c r="D458" s="4" t="n"/>
      <c r="E458" s="4" t="n"/>
      <c r="F458" s="4" t="n"/>
      <c r="G458" s="4" t="n"/>
    </row>
    <row r="459" ht="15.75" customHeight="1" s="40">
      <c r="A459" s="4" t="n"/>
      <c r="B459" s="4" t="n"/>
      <c r="C459" s="4" t="n"/>
      <c r="D459" s="4" t="n"/>
      <c r="E459" s="4" t="n"/>
      <c r="F459" s="4" t="n"/>
      <c r="G459" s="4" t="n"/>
    </row>
    <row r="460" ht="15.75" customHeight="1" s="40">
      <c r="A460" s="4" t="n"/>
      <c r="B460" s="4" t="n"/>
      <c r="C460" s="4" t="n"/>
      <c r="D460" s="4" t="n"/>
      <c r="E460" s="4" t="n"/>
      <c r="F460" s="4" t="n"/>
      <c r="G460" s="4" t="n"/>
    </row>
    <row r="461" ht="15.75" customHeight="1" s="40">
      <c r="A461" s="4" t="n"/>
      <c r="B461" s="4" t="n"/>
      <c r="C461" s="4" t="n"/>
      <c r="D461" s="4" t="n"/>
      <c r="E461" s="4" t="n"/>
      <c r="F461" s="4" t="n"/>
      <c r="G461" s="4" t="n"/>
    </row>
    <row r="462" ht="15.75" customHeight="1" s="40">
      <c r="A462" s="4" t="n"/>
      <c r="B462" s="4" t="n"/>
      <c r="C462" s="4" t="n"/>
      <c r="D462" s="4" t="n"/>
      <c r="E462" s="4" t="n"/>
      <c r="F462" s="4" t="n"/>
      <c r="G462" s="4" t="n"/>
    </row>
    <row r="463" ht="15.75" customHeight="1" s="40">
      <c r="A463" s="4" t="n"/>
      <c r="B463" s="4" t="n"/>
      <c r="C463" s="4" t="n"/>
      <c r="D463" s="4" t="n"/>
      <c r="E463" s="4" t="n"/>
      <c r="F463" s="4" t="n"/>
      <c r="G463" s="4" t="n"/>
    </row>
    <row r="464" ht="15.75" customHeight="1" s="40">
      <c r="A464" s="4" t="n"/>
      <c r="B464" s="4" t="n"/>
      <c r="C464" s="4" t="n"/>
      <c r="D464" s="4" t="n"/>
      <c r="E464" s="4" t="n"/>
      <c r="F464" s="4" t="n"/>
      <c r="G464" s="4" t="n"/>
    </row>
    <row r="465" ht="15.75" customHeight="1" s="40">
      <c r="A465" s="4" t="n"/>
      <c r="B465" s="4" t="n"/>
      <c r="C465" s="4" t="n"/>
      <c r="D465" s="4" t="n"/>
      <c r="E465" s="4" t="n"/>
      <c r="F465" s="4" t="n"/>
      <c r="G465" s="4" t="n"/>
    </row>
    <row r="466" ht="15.75" customHeight="1" s="40">
      <c r="A466" s="4" t="n"/>
      <c r="B466" s="4" t="n"/>
      <c r="C466" s="4" t="n"/>
      <c r="D466" s="4" t="n"/>
      <c r="E466" s="4" t="n"/>
      <c r="F466" s="4" t="n"/>
      <c r="G466" s="4" t="n"/>
    </row>
    <row r="467" ht="15.75" customHeight="1" s="40">
      <c r="A467" s="4" t="n"/>
      <c r="B467" s="4" t="n"/>
      <c r="C467" s="4" t="n"/>
      <c r="D467" s="4" t="n"/>
      <c r="E467" s="4" t="n"/>
      <c r="F467" s="4" t="n"/>
      <c r="G467" s="4" t="n"/>
    </row>
    <row r="468" ht="15.75" customHeight="1" s="40">
      <c r="A468" s="4" t="n"/>
      <c r="B468" s="4" t="n"/>
      <c r="C468" s="4" t="n"/>
      <c r="D468" s="4" t="n"/>
      <c r="E468" s="4" t="n"/>
      <c r="F468" s="4" t="n"/>
      <c r="G468" s="4" t="n"/>
    </row>
    <row r="469" ht="15.75" customHeight="1" s="40">
      <c r="A469" s="4" t="n"/>
      <c r="B469" s="4" t="n"/>
      <c r="C469" s="4" t="n"/>
      <c r="D469" s="4" t="n"/>
      <c r="E469" s="4" t="n"/>
      <c r="F469" s="4" t="n"/>
      <c r="G469" s="4" t="n"/>
    </row>
    <row r="470" ht="15.75" customHeight="1" s="40">
      <c r="A470" s="4" t="n"/>
      <c r="B470" s="4" t="n"/>
      <c r="C470" s="4" t="n"/>
      <c r="D470" s="4" t="n"/>
      <c r="E470" s="4" t="n"/>
      <c r="F470" s="4" t="n"/>
      <c r="G470" s="4" t="n"/>
    </row>
    <row r="471" ht="15.75" customHeight="1" s="40">
      <c r="A471" s="4" t="n"/>
      <c r="B471" s="4" t="n"/>
      <c r="C471" s="4" t="n"/>
      <c r="D471" s="4" t="n"/>
      <c r="E471" s="4" t="n"/>
      <c r="F471" s="4" t="n"/>
      <c r="G471" s="4" t="n"/>
    </row>
    <row r="472" ht="15.75" customHeight="1" s="40">
      <c r="A472" s="4" t="n"/>
      <c r="B472" s="4" t="n"/>
      <c r="C472" s="4" t="n"/>
      <c r="D472" s="4" t="n"/>
      <c r="E472" s="4" t="n"/>
      <c r="F472" s="4" t="n"/>
      <c r="G472" s="4" t="n"/>
    </row>
    <row r="473" ht="15.75" customHeight="1" s="40">
      <c r="A473" s="4" t="n"/>
      <c r="B473" s="4" t="n"/>
      <c r="C473" s="4" t="n"/>
      <c r="D473" s="4" t="n"/>
      <c r="E473" s="4" t="n"/>
      <c r="F473" s="4" t="n"/>
      <c r="G473" s="4" t="n"/>
    </row>
    <row r="474" ht="15.75" customHeight="1" s="40">
      <c r="A474" s="4" t="n"/>
      <c r="B474" s="4" t="n"/>
      <c r="C474" s="4" t="n"/>
      <c r="D474" s="4" t="n"/>
      <c r="E474" s="4" t="n"/>
      <c r="F474" s="4" t="n"/>
      <c r="G474" s="4" t="n"/>
    </row>
    <row r="475" ht="15.75" customHeight="1" s="40">
      <c r="A475" s="4" t="n"/>
      <c r="B475" s="4" t="n"/>
      <c r="C475" s="4" t="n"/>
      <c r="D475" s="4" t="n"/>
      <c r="E475" s="4" t="n"/>
      <c r="F475" s="4" t="n"/>
      <c r="G475" s="4" t="n"/>
    </row>
    <row r="476" ht="15.75" customHeight="1" s="40">
      <c r="A476" s="4" t="n"/>
      <c r="B476" s="4" t="n"/>
      <c r="C476" s="4" t="n"/>
      <c r="D476" s="4" t="n"/>
      <c r="E476" s="4" t="n"/>
      <c r="F476" s="4" t="n"/>
      <c r="G476" s="4" t="n"/>
    </row>
    <row r="477" ht="15.75" customHeight="1" s="40">
      <c r="A477" s="4" t="n"/>
      <c r="B477" s="4" t="n"/>
      <c r="C477" s="4" t="n"/>
      <c r="D477" s="4" t="n"/>
      <c r="E477" s="4" t="n"/>
      <c r="F477" s="4" t="n"/>
      <c r="G477" s="4" t="n"/>
    </row>
    <row r="478" ht="15.75" customHeight="1" s="40">
      <c r="A478" s="4" t="n"/>
      <c r="B478" s="4" t="n"/>
      <c r="C478" s="4" t="n"/>
      <c r="D478" s="4" t="n"/>
      <c r="E478" s="4" t="n"/>
      <c r="F478" s="4" t="n"/>
      <c r="G478" s="4" t="n"/>
    </row>
    <row r="479" ht="15.75" customHeight="1" s="40">
      <c r="A479" s="4" t="n"/>
      <c r="B479" s="4" t="n"/>
      <c r="C479" s="4" t="n"/>
      <c r="D479" s="4" t="n"/>
      <c r="E479" s="4" t="n"/>
      <c r="F479" s="4" t="n"/>
      <c r="G479" s="4" t="n"/>
    </row>
    <row r="480" ht="15.75" customHeight="1" s="40">
      <c r="A480" s="4" t="n"/>
      <c r="B480" s="4" t="n"/>
      <c r="C480" s="4" t="n"/>
      <c r="D480" s="4" t="n"/>
      <c r="E480" s="4" t="n"/>
      <c r="F480" s="4" t="n"/>
      <c r="G480" s="4" t="n"/>
    </row>
    <row r="481" ht="15.75" customHeight="1" s="40">
      <c r="A481" s="4" t="n"/>
      <c r="B481" s="4" t="n"/>
      <c r="C481" s="4" t="n"/>
      <c r="D481" s="4" t="n"/>
      <c r="E481" s="4" t="n"/>
      <c r="F481" s="4" t="n"/>
      <c r="G481" s="4" t="n"/>
    </row>
    <row r="482" ht="15.75" customHeight="1" s="40">
      <c r="A482" s="4" t="n"/>
      <c r="B482" s="4" t="n"/>
      <c r="C482" s="4" t="n"/>
      <c r="D482" s="4" t="n"/>
      <c r="E482" s="4" t="n"/>
      <c r="F482" s="4" t="n"/>
      <c r="G482" s="4" t="n"/>
    </row>
    <row r="483" ht="15.75" customHeight="1" s="40">
      <c r="A483" s="4" t="n"/>
      <c r="B483" s="4" t="n"/>
      <c r="C483" s="4" t="n"/>
      <c r="D483" s="4" t="n"/>
      <c r="E483" s="4" t="n"/>
      <c r="F483" s="4" t="n"/>
      <c r="G483" s="4" t="n"/>
    </row>
    <row r="484" ht="15.75" customHeight="1" s="40">
      <c r="A484" s="4" t="n"/>
      <c r="B484" s="4" t="n"/>
      <c r="C484" s="4" t="n"/>
      <c r="D484" s="4" t="n"/>
      <c r="E484" s="4" t="n"/>
      <c r="F484" s="4" t="n"/>
      <c r="G484" s="4" t="n"/>
    </row>
    <row r="485" ht="15.75" customHeight="1" s="40">
      <c r="A485" s="4" t="n"/>
      <c r="B485" s="4" t="n"/>
      <c r="C485" s="4" t="n"/>
      <c r="D485" s="4" t="n"/>
      <c r="E485" s="4" t="n"/>
      <c r="F485" s="4" t="n"/>
      <c r="G485" s="4" t="n"/>
    </row>
    <row r="486" ht="15.75" customHeight="1" s="40">
      <c r="A486" s="4" t="n"/>
      <c r="B486" s="4" t="n"/>
      <c r="C486" s="4" t="n"/>
      <c r="D486" s="4" t="n"/>
      <c r="E486" s="4" t="n"/>
      <c r="F486" s="4" t="n"/>
      <c r="G486" s="4" t="n"/>
    </row>
    <row r="487" ht="15.75" customHeight="1" s="40">
      <c r="A487" s="4" t="n"/>
      <c r="B487" s="4" t="n"/>
      <c r="C487" s="4" t="n"/>
      <c r="D487" s="4" t="n"/>
      <c r="E487" s="4" t="n"/>
      <c r="F487" s="4" t="n"/>
      <c r="G487" s="4" t="n"/>
    </row>
    <row r="488" ht="15.75" customHeight="1" s="40">
      <c r="A488" s="4" t="n"/>
      <c r="B488" s="4" t="n"/>
      <c r="C488" s="4" t="n"/>
      <c r="D488" s="4" t="n"/>
      <c r="E488" s="4" t="n"/>
      <c r="F488" s="4" t="n"/>
      <c r="G488" s="4" t="n"/>
    </row>
    <row r="489" ht="15.75" customHeight="1" s="40">
      <c r="A489" s="4" t="n"/>
      <c r="B489" s="4" t="n"/>
      <c r="C489" s="4" t="n"/>
      <c r="D489" s="4" t="n"/>
      <c r="E489" s="4" t="n"/>
      <c r="F489" s="4" t="n"/>
      <c r="G489" s="4" t="n"/>
    </row>
    <row r="490" ht="15.75" customHeight="1" s="40">
      <c r="A490" s="4" t="n"/>
      <c r="B490" s="4" t="n"/>
      <c r="C490" s="4" t="n"/>
      <c r="D490" s="4" t="n"/>
      <c r="E490" s="4" t="n"/>
      <c r="F490" s="4" t="n"/>
      <c r="G490" s="4" t="n"/>
    </row>
    <row r="491" ht="15.75" customHeight="1" s="40">
      <c r="A491" s="4" t="n"/>
      <c r="B491" s="4" t="n"/>
      <c r="C491" s="4" t="n"/>
      <c r="D491" s="4" t="n"/>
      <c r="E491" s="4" t="n"/>
      <c r="F491" s="4" t="n"/>
      <c r="G491" s="4" t="n"/>
    </row>
    <row r="492" ht="15.75" customHeight="1" s="40">
      <c r="A492" s="4" t="n"/>
      <c r="B492" s="4" t="n"/>
      <c r="C492" s="4" t="n"/>
      <c r="D492" s="4" t="n"/>
      <c r="E492" s="4" t="n"/>
      <c r="F492" s="4" t="n"/>
      <c r="G492" s="4" t="n"/>
    </row>
    <row r="493" ht="15.75" customHeight="1" s="40">
      <c r="A493" s="4" t="n"/>
      <c r="B493" s="4" t="n"/>
      <c r="C493" s="4" t="n"/>
      <c r="D493" s="4" t="n"/>
      <c r="E493" s="4" t="n"/>
      <c r="F493" s="4" t="n"/>
      <c r="G493" s="4" t="n"/>
    </row>
    <row r="494" ht="15.75" customHeight="1" s="40">
      <c r="A494" s="4" t="n"/>
      <c r="B494" s="4" t="n"/>
      <c r="C494" s="4" t="n"/>
      <c r="D494" s="4" t="n"/>
      <c r="E494" s="4" t="n"/>
      <c r="F494" s="4" t="n"/>
      <c r="G494" s="4" t="n"/>
    </row>
    <row r="495" ht="15.75" customHeight="1" s="40">
      <c r="A495" s="4" t="n"/>
      <c r="B495" s="4" t="n"/>
      <c r="C495" s="4" t="n"/>
      <c r="D495" s="4" t="n"/>
      <c r="E495" s="4" t="n"/>
      <c r="F495" s="4" t="n"/>
      <c r="G495" s="4" t="n"/>
    </row>
    <row r="496" ht="15.75" customHeight="1" s="40">
      <c r="A496" s="4" t="n"/>
      <c r="B496" s="4" t="n"/>
      <c r="C496" s="4" t="n"/>
      <c r="D496" s="4" t="n"/>
      <c r="E496" s="4" t="n"/>
      <c r="F496" s="4" t="n"/>
      <c r="G496" s="4" t="n"/>
    </row>
    <row r="497" ht="15.75" customHeight="1" s="40">
      <c r="A497" s="4" t="n"/>
      <c r="B497" s="4" t="n"/>
      <c r="C497" s="4" t="n"/>
      <c r="D497" s="4" t="n"/>
      <c r="E497" s="4" t="n"/>
      <c r="F497" s="4" t="n"/>
      <c r="G497" s="4" t="n"/>
    </row>
    <row r="498" ht="15.75" customHeight="1" s="40">
      <c r="A498" s="4" t="n"/>
      <c r="B498" s="4" t="n"/>
      <c r="C498" s="4" t="n"/>
      <c r="D498" s="4" t="n"/>
      <c r="E498" s="4" t="n"/>
      <c r="F498" s="4" t="n"/>
      <c r="G498" s="4" t="n"/>
    </row>
    <row r="499" ht="15.75" customHeight="1" s="40">
      <c r="A499" s="4" t="n"/>
      <c r="B499" s="4" t="n"/>
      <c r="C499" s="4" t="n"/>
      <c r="D499" s="4" t="n"/>
      <c r="E499" s="4" t="n"/>
      <c r="F499" s="4" t="n"/>
      <c r="G499" s="4" t="n"/>
    </row>
    <row r="500" ht="15.75" customHeight="1" s="40">
      <c r="A500" s="4" t="n"/>
      <c r="B500" s="4" t="n"/>
      <c r="C500" s="4" t="n"/>
      <c r="D500" s="4" t="n"/>
      <c r="E500" s="4" t="n"/>
      <c r="F500" s="4" t="n"/>
      <c r="G500" s="4" t="n"/>
    </row>
    <row r="501" ht="15.75" customHeight="1" s="40">
      <c r="A501" s="4" t="n"/>
      <c r="B501" s="4" t="n"/>
      <c r="C501" s="4" t="n"/>
      <c r="D501" s="4" t="n"/>
      <c r="E501" s="4" t="n"/>
      <c r="F501" s="4" t="n"/>
      <c r="G501" s="4" t="n"/>
    </row>
    <row r="502" ht="15.75" customHeight="1" s="40">
      <c r="A502" s="4" t="n"/>
      <c r="B502" s="4" t="n"/>
      <c r="C502" s="4" t="n"/>
      <c r="D502" s="4" t="n"/>
      <c r="E502" s="4" t="n"/>
      <c r="F502" s="4" t="n"/>
      <c r="G502" s="4" t="n"/>
    </row>
    <row r="503" ht="15.75" customHeight="1" s="40">
      <c r="A503" s="4" t="n"/>
      <c r="B503" s="4" t="n"/>
      <c r="C503" s="4" t="n"/>
      <c r="D503" s="4" t="n"/>
      <c r="E503" s="4" t="n"/>
      <c r="F503" s="4" t="n"/>
      <c r="G503" s="4" t="n"/>
    </row>
    <row r="504" ht="15.75" customHeight="1" s="40">
      <c r="A504" s="4" t="n"/>
      <c r="B504" s="4" t="n"/>
      <c r="C504" s="4" t="n"/>
      <c r="D504" s="4" t="n"/>
      <c r="E504" s="4" t="n"/>
      <c r="F504" s="4" t="n"/>
      <c r="G504" s="4" t="n"/>
    </row>
    <row r="505" ht="15.75" customHeight="1" s="40">
      <c r="A505" s="4" t="n"/>
      <c r="B505" s="4" t="n"/>
      <c r="C505" s="4" t="n"/>
      <c r="D505" s="4" t="n"/>
      <c r="E505" s="4" t="n"/>
      <c r="F505" s="4" t="n"/>
      <c r="G505" s="4" t="n"/>
    </row>
    <row r="506" ht="15.75" customHeight="1" s="40">
      <c r="A506" s="4" t="n"/>
      <c r="B506" s="4" t="n"/>
      <c r="C506" s="4" t="n"/>
      <c r="D506" s="4" t="n"/>
      <c r="E506" s="4" t="n"/>
      <c r="F506" s="4" t="n"/>
      <c r="G506" s="4" t="n"/>
    </row>
    <row r="507" ht="15.75" customHeight="1" s="40">
      <c r="A507" s="4" t="n"/>
      <c r="B507" s="4" t="n"/>
      <c r="C507" s="4" t="n"/>
      <c r="D507" s="4" t="n"/>
      <c r="E507" s="4" t="n"/>
      <c r="F507" s="4" t="n"/>
      <c r="G507" s="4" t="n"/>
    </row>
    <row r="508" ht="15.75" customHeight="1" s="40">
      <c r="A508" s="4" t="n"/>
      <c r="B508" s="4" t="n"/>
      <c r="C508" s="4" t="n"/>
      <c r="D508" s="4" t="n"/>
      <c r="E508" s="4" t="n"/>
      <c r="F508" s="4" t="n"/>
      <c r="G508" s="4" t="n"/>
    </row>
    <row r="509" ht="15.75" customHeight="1" s="40">
      <c r="A509" s="4" t="n"/>
      <c r="B509" s="4" t="n"/>
      <c r="C509" s="4" t="n"/>
      <c r="D509" s="4" t="n"/>
      <c r="E509" s="4" t="n"/>
      <c r="F509" s="4" t="n"/>
      <c r="G509" s="4" t="n"/>
    </row>
    <row r="510" ht="15.75" customHeight="1" s="40">
      <c r="A510" s="4" t="n"/>
      <c r="B510" s="4" t="n"/>
      <c r="C510" s="4" t="n"/>
      <c r="D510" s="4" t="n"/>
      <c r="E510" s="4" t="n"/>
      <c r="F510" s="4" t="n"/>
      <c r="G510" s="4" t="n"/>
    </row>
    <row r="511" ht="15.75" customHeight="1" s="40">
      <c r="A511" s="4" t="n"/>
      <c r="B511" s="4" t="n"/>
      <c r="C511" s="4" t="n"/>
      <c r="D511" s="4" t="n"/>
      <c r="E511" s="4" t="n"/>
      <c r="F511" s="4" t="n"/>
      <c r="G511" s="4" t="n"/>
    </row>
    <row r="512" ht="15.75" customHeight="1" s="40">
      <c r="A512" s="4" t="n"/>
      <c r="B512" s="4" t="n"/>
      <c r="C512" s="4" t="n"/>
      <c r="D512" s="4" t="n"/>
      <c r="E512" s="4" t="n"/>
      <c r="F512" s="4" t="n"/>
      <c r="G512" s="4" t="n"/>
    </row>
    <row r="513" ht="15.75" customHeight="1" s="40">
      <c r="A513" s="4" t="n"/>
      <c r="B513" s="4" t="n"/>
      <c r="C513" s="4" t="n"/>
      <c r="D513" s="4" t="n"/>
      <c r="E513" s="4" t="n"/>
      <c r="F513" s="4" t="n"/>
      <c r="G513" s="4" t="n"/>
    </row>
    <row r="514" ht="15.75" customHeight="1" s="40">
      <c r="A514" s="4" t="n"/>
      <c r="B514" s="4" t="n"/>
      <c r="C514" s="4" t="n"/>
      <c r="D514" s="4" t="n"/>
      <c r="E514" s="4" t="n"/>
      <c r="F514" s="4" t="n"/>
      <c r="G514" s="4" t="n"/>
    </row>
    <row r="515" ht="15.75" customHeight="1" s="40">
      <c r="A515" s="4" t="n"/>
      <c r="B515" s="4" t="n"/>
      <c r="C515" s="4" t="n"/>
      <c r="D515" s="4" t="n"/>
      <c r="E515" s="4" t="n"/>
      <c r="F515" s="4" t="n"/>
      <c r="G515" s="4" t="n"/>
    </row>
    <row r="516" ht="15.75" customHeight="1" s="40">
      <c r="A516" s="4" t="n"/>
      <c r="B516" s="4" t="n"/>
      <c r="C516" s="4" t="n"/>
      <c r="D516" s="4" t="n"/>
      <c r="E516" s="4" t="n"/>
      <c r="F516" s="4" t="n"/>
      <c r="G516" s="4" t="n"/>
    </row>
    <row r="517" ht="15.75" customHeight="1" s="40">
      <c r="A517" s="4" t="n"/>
      <c r="B517" s="4" t="n"/>
      <c r="C517" s="4" t="n"/>
      <c r="D517" s="4" t="n"/>
      <c r="E517" s="4" t="n"/>
      <c r="F517" s="4" t="n"/>
      <c r="G517" s="4" t="n"/>
    </row>
    <row r="518" ht="15.75" customHeight="1" s="40">
      <c r="A518" s="4" t="n"/>
      <c r="B518" s="4" t="n"/>
      <c r="C518" s="4" t="n"/>
      <c r="D518" s="4" t="n"/>
      <c r="E518" s="4" t="n"/>
      <c r="F518" s="4" t="n"/>
      <c r="G518" s="4" t="n"/>
    </row>
    <row r="519" ht="15.75" customHeight="1" s="40">
      <c r="A519" s="4" t="n"/>
      <c r="B519" s="4" t="n"/>
      <c r="C519" s="4" t="n"/>
      <c r="D519" s="4" t="n"/>
      <c r="E519" s="4" t="n"/>
      <c r="F519" s="4" t="n"/>
      <c r="G519" s="4" t="n"/>
    </row>
    <row r="520" ht="15.75" customHeight="1" s="40">
      <c r="A520" s="4" t="n"/>
      <c r="B520" s="4" t="n"/>
      <c r="C520" s="4" t="n"/>
      <c r="D520" s="4" t="n"/>
      <c r="E520" s="4" t="n"/>
      <c r="F520" s="4" t="n"/>
      <c r="G520" s="4" t="n"/>
    </row>
    <row r="521" ht="15.75" customHeight="1" s="40">
      <c r="A521" s="4" t="n"/>
      <c r="B521" s="4" t="n"/>
      <c r="C521" s="4" t="n"/>
      <c r="D521" s="4" t="n"/>
      <c r="E521" s="4" t="n"/>
      <c r="F521" s="4" t="n"/>
      <c r="G521" s="4" t="n"/>
    </row>
    <row r="522" ht="15.75" customHeight="1" s="40">
      <c r="A522" s="4" t="n"/>
      <c r="B522" s="4" t="n"/>
      <c r="C522" s="4" t="n"/>
      <c r="D522" s="4" t="n"/>
      <c r="E522" s="4" t="n"/>
      <c r="F522" s="4" t="n"/>
      <c r="G522" s="4" t="n"/>
    </row>
    <row r="523" ht="15.75" customHeight="1" s="40">
      <c r="A523" s="4" t="n"/>
      <c r="B523" s="4" t="n"/>
      <c r="C523" s="4" t="n"/>
      <c r="D523" s="4" t="n"/>
      <c r="E523" s="4" t="n"/>
      <c r="F523" s="4" t="n"/>
      <c r="G523" s="4" t="n"/>
    </row>
    <row r="524" ht="15.75" customHeight="1" s="40">
      <c r="A524" s="4" t="n"/>
      <c r="B524" s="4" t="n"/>
      <c r="C524" s="4" t="n"/>
      <c r="D524" s="4" t="n"/>
      <c r="E524" s="4" t="n"/>
      <c r="F524" s="4" t="n"/>
      <c r="G524" s="4" t="n"/>
    </row>
    <row r="525" ht="15.75" customHeight="1" s="40">
      <c r="A525" s="4" t="n"/>
      <c r="B525" s="4" t="n"/>
      <c r="C525" s="4" t="n"/>
      <c r="D525" s="4" t="n"/>
      <c r="E525" s="4" t="n"/>
      <c r="F525" s="4" t="n"/>
      <c r="G525" s="4" t="n"/>
    </row>
    <row r="526" ht="15.75" customHeight="1" s="40">
      <c r="A526" s="4" t="n"/>
      <c r="B526" s="4" t="n"/>
      <c r="C526" s="4" t="n"/>
      <c r="D526" s="4" t="n"/>
      <c r="E526" s="4" t="n"/>
      <c r="F526" s="4" t="n"/>
      <c r="G526" s="4" t="n"/>
    </row>
    <row r="527" ht="15.75" customHeight="1" s="40">
      <c r="A527" s="4" t="n"/>
      <c r="B527" s="4" t="n"/>
      <c r="C527" s="4" t="n"/>
      <c r="D527" s="4" t="n"/>
      <c r="E527" s="4" t="n"/>
      <c r="F527" s="4" t="n"/>
      <c r="G527" s="4" t="n"/>
    </row>
    <row r="528" ht="15.75" customHeight="1" s="40">
      <c r="A528" s="4" t="n"/>
      <c r="B528" s="4" t="n"/>
      <c r="C528" s="4" t="n"/>
      <c r="D528" s="4" t="n"/>
      <c r="E528" s="4" t="n"/>
      <c r="F528" s="4" t="n"/>
      <c r="G528" s="4" t="n"/>
    </row>
    <row r="529" ht="15.75" customHeight="1" s="40">
      <c r="A529" s="4" t="n"/>
      <c r="B529" s="4" t="n"/>
      <c r="C529" s="4" t="n"/>
      <c r="D529" s="4" t="n"/>
      <c r="E529" s="4" t="n"/>
      <c r="F529" s="4" t="n"/>
      <c r="G529" s="4" t="n"/>
    </row>
    <row r="530" ht="15.75" customHeight="1" s="40">
      <c r="A530" s="4" t="n"/>
      <c r="B530" s="4" t="n"/>
      <c r="C530" s="4" t="n"/>
      <c r="D530" s="4" t="n"/>
      <c r="E530" s="4" t="n"/>
      <c r="F530" s="4" t="n"/>
      <c r="G530" s="4" t="n"/>
    </row>
    <row r="531" ht="15.75" customHeight="1" s="40">
      <c r="A531" s="4" t="n"/>
      <c r="B531" s="4" t="n"/>
      <c r="C531" s="4" t="n"/>
      <c r="D531" s="4" t="n"/>
      <c r="E531" s="4" t="n"/>
      <c r="F531" s="4" t="n"/>
      <c r="G531" s="4" t="n"/>
    </row>
    <row r="532" ht="15.75" customHeight="1" s="40">
      <c r="A532" s="4" t="n"/>
      <c r="B532" s="4" t="n"/>
      <c r="C532" s="4" t="n"/>
      <c r="D532" s="4" t="n"/>
      <c r="E532" s="4" t="n"/>
      <c r="F532" s="4" t="n"/>
      <c r="G532" s="4" t="n"/>
    </row>
    <row r="533" ht="15.75" customHeight="1" s="40">
      <c r="A533" s="4" t="n"/>
      <c r="B533" s="4" t="n"/>
      <c r="C533" s="4" t="n"/>
      <c r="D533" s="4" t="n"/>
      <c r="E533" s="4" t="n"/>
      <c r="F533" s="4" t="n"/>
      <c r="G533" s="4" t="n"/>
    </row>
    <row r="534" ht="15.75" customHeight="1" s="40">
      <c r="A534" s="4" t="n"/>
      <c r="B534" s="4" t="n"/>
      <c r="C534" s="4" t="n"/>
      <c r="D534" s="4" t="n"/>
      <c r="E534" s="4" t="n"/>
      <c r="F534" s="4" t="n"/>
      <c r="G534" s="4" t="n"/>
    </row>
    <row r="535" ht="15.75" customHeight="1" s="40">
      <c r="A535" s="4" t="n"/>
      <c r="B535" s="4" t="n"/>
      <c r="C535" s="4" t="n"/>
      <c r="D535" s="4" t="n"/>
      <c r="E535" s="4" t="n"/>
      <c r="F535" s="4" t="n"/>
      <c r="G535" s="4" t="n"/>
    </row>
    <row r="536" ht="15.75" customHeight="1" s="40">
      <c r="A536" s="4" t="n"/>
      <c r="B536" s="4" t="n"/>
      <c r="C536" s="4" t="n"/>
      <c r="D536" s="4" t="n"/>
      <c r="E536" s="4" t="n"/>
      <c r="F536" s="4" t="n"/>
      <c r="G536" s="4" t="n"/>
    </row>
    <row r="537" ht="15.75" customHeight="1" s="40">
      <c r="A537" s="4" t="n"/>
      <c r="B537" s="4" t="n"/>
      <c r="C537" s="4" t="n"/>
      <c r="D537" s="4" t="n"/>
      <c r="E537" s="4" t="n"/>
      <c r="F537" s="4" t="n"/>
      <c r="G537" s="4" t="n"/>
    </row>
    <row r="538" ht="15.75" customHeight="1" s="40">
      <c r="A538" s="4" t="n"/>
      <c r="B538" s="4" t="n"/>
      <c r="C538" s="4" t="n"/>
      <c r="D538" s="4" t="n"/>
      <c r="E538" s="4" t="n"/>
      <c r="F538" s="4" t="n"/>
      <c r="G538" s="4" t="n"/>
    </row>
    <row r="539" ht="15.75" customHeight="1" s="40">
      <c r="A539" s="4" t="n"/>
      <c r="B539" s="4" t="n"/>
      <c r="C539" s="4" t="n"/>
      <c r="D539" s="4" t="n"/>
      <c r="E539" s="4" t="n"/>
      <c r="F539" s="4" t="n"/>
      <c r="G539" s="4" t="n"/>
    </row>
    <row r="540" ht="15.75" customHeight="1" s="40">
      <c r="A540" s="4" t="n"/>
      <c r="B540" s="4" t="n"/>
      <c r="C540" s="4" t="n"/>
      <c r="D540" s="4" t="n"/>
      <c r="E540" s="4" t="n"/>
      <c r="F540" s="4" t="n"/>
      <c r="G540" s="4" t="n"/>
    </row>
    <row r="541" ht="15.75" customHeight="1" s="40">
      <c r="A541" s="4" t="n"/>
      <c r="B541" s="4" t="n"/>
      <c r="C541" s="4" t="n"/>
      <c r="D541" s="4" t="n"/>
      <c r="E541" s="4" t="n"/>
      <c r="F541" s="4" t="n"/>
      <c r="G541" s="4" t="n"/>
    </row>
    <row r="542" ht="15.75" customHeight="1" s="40">
      <c r="A542" s="4" t="n"/>
      <c r="B542" s="4" t="n"/>
      <c r="C542" s="4" t="n"/>
      <c r="D542" s="4" t="n"/>
      <c r="E542" s="4" t="n"/>
      <c r="F542" s="4" t="n"/>
      <c r="G542" s="4" t="n"/>
    </row>
    <row r="543" ht="15.75" customHeight="1" s="40">
      <c r="A543" s="4" t="n"/>
      <c r="B543" s="4" t="n"/>
      <c r="C543" s="4" t="n"/>
      <c r="D543" s="4" t="n"/>
      <c r="E543" s="4" t="n"/>
      <c r="F543" s="4" t="n"/>
      <c r="G543" s="4" t="n"/>
    </row>
    <row r="544" ht="15.75" customHeight="1" s="40">
      <c r="A544" s="4" t="n"/>
      <c r="B544" s="4" t="n"/>
      <c r="C544" s="4" t="n"/>
      <c r="D544" s="4" t="n"/>
      <c r="E544" s="4" t="n"/>
      <c r="F544" s="4" t="n"/>
      <c r="G544" s="4" t="n"/>
    </row>
    <row r="545" ht="15.75" customHeight="1" s="40">
      <c r="A545" s="4" t="n"/>
      <c r="B545" s="4" t="n"/>
      <c r="C545" s="4" t="n"/>
      <c r="D545" s="4" t="n"/>
      <c r="E545" s="4" t="n"/>
      <c r="F545" s="4" t="n"/>
      <c r="G545" s="4" t="n"/>
    </row>
    <row r="546" ht="15.75" customHeight="1" s="40">
      <c r="A546" s="4" t="n"/>
      <c r="B546" s="4" t="n"/>
      <c r="C546" s="4" t="n"/>
      <c r="D546" s="4" t="n"/>
      <c r="E546" s="4" t="n"/>
      <c r="F546" s="4" t="n"/>
      <c r="G546" s="4" t="n"/>
    </row>
    <row r="547" ht="15.75" customHeight="1" s="40">
      <c r="A547" s="4" t="n"/>
      <c r="B547" s="4" t="n"/>
      <c r="C547" s="4" t="n"/>
      <c r="D547" s="4" t="n"/>
      <c r="E547" s="4" t="n"/>
      <c r="F547" s="4" t="n"/>
      <c r="G547" s="4" t="n"/>
    </row>
    <row r="548" ht="15.75" customHeight="1" s="40">
      <c r="A548" s="4" t="n"/>
      <c r="B548" s="4" t="n"/>
      <c r="C548" s="4" t="n"/>
      <c r="D548" s="4" t="n"/>
      <c r="E548" s="4" t="n"/>
      <c r="F548" s="4" t="n"/>
      <c r="G548" s="4" t="n"/>
    </row>
    <row r="549" ht="15.75" customHeight="1" s="40">
      <c r="A549" s="4" t="n"/>
      <c r="B549" s="4" t="n"/>
      <c r="C549" s="4" t="n"/>
      <c r="D549" s="4" t="n"/>
      <c r="E549" s="4" t="n"/>
      <c r="F549" s="4" t="n"/>
      <c r="G549" s="4" t="n"/>
    </row>
    <row r="550" ht="15.75" customHeight="1" s="40">
      <c r="A550" s="4" t="n"/>
      <c r="B550" s="4" t="n"/>
      <c r="C550" s="4" t="n"/>
      <c r="D550" s="4" t="n"/>
      <c r="E550" s="4" t="n"/>
      <c r="F550" s="4" t="n"/>
      <c r="G550" s="4" t="n"/>
    </row>
    <row r="551" ht="15.75" customHeight="1" s="40">
      <c r="A551" s="4" t="n"/>
      <c r="B551" s="4" t="n"/>
      <c r="C551" s="4" t="n"/>
      <c r="D551" s="4" t="n"/>
      <c r="E551" s="4" t="n"/>
      <c r="F551" s="4" t="n"/>
      <c r="G551" s="4" t="n"/>
    </row>
    <row r="552" ht="15.75" customHeight="1" s="40">
      <c r="A552" s="4" t="n"/>
      <c r="B552" s="4" t="n"/>
      <c r="C552" s="4" t="n"/>
      <c r="D552" s="4" t="n"/>
      <c r="E552" s="4" t="n"/>
      <c r="F552" s="4" t="n"/>
      <c r="G552" s="4" t="n"/>
    </row>
    <row r="553" ht="15.75" customHeight="1" s="40">
      <c r="A553" s="4" t="n"/>
      <c r="B553" s="4" t="n"/>
      <c r="C553" s="4" t="n"/>
      <c r="D553" s="4" t="n"/>
      <c r="E553" s="4" t="n"/>
      <c r="F553" s="4" t="n"/>
      <c r="G553" s="4" t="n"/>
    </row>
    <row r="554" ht="15.75" customHeight="1" s="40">
      <c r="A554" s="4" t="n"/>
      <c r="B554" s="4" t="n"/>
      <c r="C554" s="4" t="n"/>
      <c r="D554" s="4" t="n"/>
      <c r="E554" s="4" t="n"/>
      <c r="F554" s="4" t="n"/>
      <c r="G554" s="4" t="n"/>
    </row>
    <row r="555" ht="15.75" customHeight="1" s="40">
      <c r="A555" s="4" t="n"/>
      <c r="B555" s="4" t="n"/>
      <c r="C555" s="4" t="n"/>
      <c r="D555" s="4" t="n"/>
      <c r="E555" s="4" t="n"/>
      <c r="F555" s="4" t="n"/>
      <c r="G555" s="4" t="n"/>
    </row>
    <row r="556" ht="15.75" customHeight="1" s="40">
      <c r="A556" s="4" t="n"/>
      <c r="B556" s="4" t="n"/>
      <c r="C556" s="4" t="n"/>
      <c r="D556" s="4" t="n"/>
      <c r="E556" s="4" t="n"/>
      <c r="F556" s="4" t="n"/>
      <c r="G556" s="4" t="n"/>
    </row>
    <row r="557" ht="15.75" customHeight="1" s="40">
      <c r="A557" s="4" t="n"/>
      <c r="B557" s="4" t="n"/>
      <c r="C557" s="4" t="n"/>
      <c r="D557" s="4" t="n"/>
      <c r="E557" s="4" t="n"/>
      <c r="F557" s="4" t="n"/>
      <c r="G557" s="4" t="n"/>
    </row>
    <row r="558" ht="15.75" customHeight="1" s="40">
      <c r="A558" s="4" t="n"/>
      <c r="B558" s="4" t="n"/>
      <c r="C558" s="4" t="n"/>
      <c r="D558" s="4" t="n"/>
      <c r="E558" s="4" t="n"/>
      <c r="F558" s="4" t="n"/>
      <c r="G558" s="4" t="n"/>
    </row>
    <row r="559" ht="15.75" customHeight="1" s="40">
      <c r="A559" s="4" t="n"/>
      <c r="B559" s="4" t="n"/>
      <c r="C559" s="4" t="n"/>
      <c r="D559" s="4" t="n"/>
      <c r="E559" s="4" t="n"/>
      <c r="F559" s="4" t="n"/>
      <c r="G559" s="4" t="n"/>
    </row>
    <row r="560" ht="15.75" customHeight="1" s="40">
      <c r="A560" s="4" t="n"/>
      <c r="B560" s="4" t="n"/>
      <c r="C560" s="4" t="n"/>
      <c r="D560" s="4" t="n"/>
      <c r="E560" s="4" t="n"/>
      <c r="F560" s="4" t="n"/>
      <c r="G560" s="4" t="n"/>
    </row>
    <row r="561" ht="15.75" customHeight="1" s="40">
      <c r="A561" s="4" t="n"/>
      <c r="B561" s="4" t="n"/>
      <c r="C561" s="4" t="n"/>
      <c r="D561" s="4" t="n"/>
      <c r="E561" s="4" t="n"/>
      <c r="F561" s="4" t="n"/>
      <c r="G561" s="4" t="n"/>
    </row>
    <row r="562" ht="15.75" customHeight="1" s="40">
      <c r="A562" s="4" t="n"/>
      <c r="B562" s="4" t="n"/>
      <c r="C562" s="4" t="n"/>
      <c r="D562" s="4" t="n"/>
      <c r="E562" s="4" t="n"/>
      <c r="F562" s="4" t="n"/>
      <c r="G562" s="4" t="n"/>
    </row>
    <row r="563" ht="15.75" customHeight="1" s="40">
      <c r="A563" s="4" t="n"/>
      <c r="B563" s="4" t="n"/>
      <c r="C563" s="4" t="n"/>
      <c r="D563" s="4" t="n"/>
      <c r="E563" s="4" t="n"/>
      <c r="F563" s="4" t="n"/>
      <c r="G563" s="4" t="n"/>
    </row>
    <row r="564" ht="15.75" customHeight="1" s="40">
      <c r="A564" s="4" t="n"/>
      <c r="B564" s="4" t="n"/>
      <c r="C564" s="4" t="n"/>
      <c r="D564" s="4" t="n"/>
      <c r="E564" s="4" t="n"/>
      <c r="F564" s="4" t="n"/>
      <c r="G564" s="4" t="n"/>
    </row>
    <row r="565" ht="15.75" customHeight="1" s="40">
      <c r="A565" s="4" t="n"/>
      <c r="B565" s="4" t="n"/>
      <c r="C565" s="4" t="n"/>
      <c r="D565" s="4" t="n"/>
      <c r="E565" s="4" t="n"/>
      <c r="F565" s="4" t="n"/>
      <c r="G565" s="4" t="n"/>
    </row>
    <row r="566" ht="15.75" customHeight="1" s="40">
      <c r="A566" s="4" t="n"/>
      <c r="B566" s="4" t="n"/>
      <c r="C566" s="4" t="n"/>
      <c r="D566" s="4" t="n"/>
      <c r="E566" s="4" t="n"/>
      <c r="F566" s="4" t="n"/>
      <c r="G566" s="4" t="n"/>
    </row>
    <row r="567" ht="15.75" customHeight="1" s="40">
      <c r="A567" s="4" t="n"/>
      <c r="B567" s="4" t="n"/>
      <c r="C567" s="4" t="n"/>
      <c r="D567" s="4" t="n"/>
      <c r="E567" s="4" t="n"/>
      <c r="F567" s="4" t="n"/>
      <c r="G567" s="4" t="n"/>
    </row>
    <row r="568" ht="15.75" customHeight="1" s="40">
      <c r="A568" s="4" t="n"/>
      <c r="B568" s="4" t="n"/>
      <c r="C568" s="4" t="n"/>
      <c r="D568" s="4" t="n"/>
      <c r="E568" s="4" t="n"/>
      <c r="F568" s="4" t="n"/>
      <c r="G568" s="4" t="n"/>
    </row>
    <row r="569" ht="15.75" customHeight="1" s="40">
      <c r="A569" s="4" t="n"/>
      <c r="B569" s="4" t="n"/>
      <c r="C569" s="4" t="n"/>
      <c r="D569" s="4" t="n"/>
      <c r="E569" s="4" t="n"/>
      <c r="F569" s="4" t="n"/>
      <c r="G569" s="4" t="n"/>
    </row>
    <row r="570" ht="15.75" customHeight="1" s="40">
      <c r="A570" s="4" t="n"/>
      <c r="B570" s="4" t="n"/>
      <c r="C570" s="4" t="n"/>
      <c r="D570" s="4" t="n"/>
      <c r="E570" s="4" t="n"/>
      <c r="F570" s="4" t="n"/>
      <c r="G570" s="4" t="n"/>
    </row>
    <row r="571" ht="15.75" customHeight="1" s="40">
      <c r="A571" s="4" t="n"/>
      <c r="B571" s="4" t="n"/>
      <c r="C571" s="4" t="n"/>
      <c r="D571" s="4" t="n"/>
      <c r="E571" s="4" t="n"/>
      <c r="F571" s="4" t="n"/>
      <c r="G571" s="4" t="n"/>
    </row>
    <row r="572" ht="15.75" customHeight="1" s="40">
      <c r="A572" s="4" t="n"/>
      <c r="B572" s="4" t="n"/>
      <c r="C572" s="4" t="n"/>
      <c r="D572" s="4" t="n"/>
      <c r="E572" s="4" t="n"/>
      <c r="F572" s="4" t="n"/>
      <c r="G572" s="4" t="n"/>
    </row>
    <row r="573" ht="15.75" customHeight="1" s="40">
      <c r="A573" s="4" t="n"/>
      <c r="B573" s="4" t="n"/>
      <c r="C573" s="4" t="n"/>
      <c r="D573" s="4" t="n"/>
      <c r="E573" s="4" t="n"/>
      <c r="F573" s="4" t="n"/>
      <c r="G573" s="4" t="n"/>
    </row>
    <row r="574" ht="15.75" customHeight="1" s="40">
      <c r="A574" s="4" t="n"/>
      <c r="B574" s="4" t="n"/>
      <c r="C574" s="4" t="n"/>
      <c r="D574" s="4" t="n"/>
      <c r="E574" s="4" t="n"/>
      <c r="F574" s="4" t="n"/>
      <c r="G574" s="4" t="n"/>
    </row>
    <row r="575" ht="15.75" customHeight="1" s="40">
      <c r="A575" s="4" t="n"/>
      <c r="B575" s="4" t="n"/>
      <c r="C575" s="4" t="n"/>
      <c r="D575" s="4" t="n"/>
      <c r="E575" s="4" t="n"/>
      <c r="F575" s="4" t="n"/>
      <c r="G575" s="4" t="n"/>
    </row>
    <row r="576" ht="15.75" customHeight="1" s="40">
      <c r="A576" s="4" t="n"/>
      <c r="B576" s="4" t="n"/>
      <c r="C576" s="4" t="n"/>
      <c r="D576" s="4" t="n"/>
      <c r="E576" s="4" t="n"/>
      <c r="F576" s="4" t="n"/>
      <c r="G576" s="4" t="n"/>
    </row>
    <row r="577" ht="15.75" customHeight="1" s="40">
      <c r="A577" s="4" t="n"/>
      <c r="B577" s="4" t="n"/>
      <c r="C577" s="4" t="n"/>
      <c r="D577" s="4" t="n"/>
      <c r="E577" s="4" t="n"/>
      <c r="F577" s="4" t="n"/>
      <c r="G577" s="4" t="n"/>
    </row>
    <row r="578" ht="15.75" customHeight="1" s="40">
      <c r="A578" s="4" t="n"/>
      <c r="B578" s="4" t="n"/>
      <c r="C578" s="4" t="n"/>
      <c r="D578" s="4" t="n"/>
      <c r="E578" s="4" t="n"/>
      <c r="F578" s="4" t="n"/>
      <c r="G578" s="4" t="n"/>
    </row>
    <row r="579" ht="15.75" customHeight="1" s="40">
      <c r="A579" s="4" t="n"/>
      <c r="B579" s="4" t="n"/>
      <c r="C579" s="4" t="n"/>
      <c r="D579" s="4" t="n"/>
      <c r="E579" s="4" t="n"/>
      <c r="F579" s="4" t="n"/>
      <c r="G579" s="4" t="n"/>
    </row>
    <row r="580" ht="15.75" customHeight="1" s="40">
      <c r="A580" s="4" t="n"/>
      <c r="B580" s="4" t="n"/>
      <c r="C580" s="4" t="n"/>
      <c r="D580" s="4" t="n"/>
      <c r="E580" s="4" t="n"/>
      <c r="F580" s="4" t="n"/>
      <c r="G580" s="4" t="n"/>
    </row>
    <row r="581" ht="15.75" customHeight="1" s="40">
      <c r="A581" s="4" t="n"/>
      <c r="B581" s="4" t="n"/>
      <c r="C581" s="4" t="n"/>
      <c r="D581" s="4" t="n"/>
      <c r="E581" s="4" t="n"/>
      <c r="F581" s="4" t="n"/>
      <c r="G581" s="4" t="n"/>
    </row>
    <row r="582" ht="15.75" customHeight="1" s="40">
      <c r="A582" s="4" t="n"/>
      <c r="B582" s="4" t="n"/>
      <c r="C582" s="4" t="n"/>
      <c r="D582" s="4" t="n"/>
      <c r="E582" s="4" t="n"/>
      <c r="F582" s="4" t="n"/>
      <c r="G582" s="4" t="n"/>
    </row>
    <row r="583" ht="15.75" customHeight="1" s="40">
      <c r="A583" s="4" t="n"/>
      <c r="B583" s="4" t="n"/>
      <c r="C583" s="4" t="n"/>
      <c r="D583" s="4" t="n"/>
      <c r="E583" s="4" t="n"/>
      <c r="F583" s="4" t="n"/>
      <c r="G583" s="4" t="n"/>
    </row>
    <row r="584" ht="15.75" customHeight="1" s="40">
      <c r="A584" s="4" t="n"/>
      <c r="B584" s="4" t="n"/>
      <c r="C584" s="4" t="n"/>
      <c r="D584" s="4" t="n"/>
      <c r="E584" s="4" t="n"/>
      <c r="F584" s="4" t="n"/>
      <c r="G584" s="4" t="n"/>
    </row>
    <row r="585" ht="15.75" customHeight="1" s="40">
      <c r="A585" s="4" t="n"/>
      <c r="B585" s="4" t="n"/>
      <c r="C585" s="4" t="n"/>
      <c r="D585" s="4" t="n"/>
      <c r="E585" s="4" t="n"/>
      <c r="F585" s="4" t="n"/>
      <c r="G585" s="4" t="n"/>
    </row>
    <row r="586" ht="15.75" customHeight="1" s="40">
      <c r="A586" s="4" t="n"/>
      <c r="B586" s="4" t="n"/>
      <c r="C586" s="4" t="n"/>
      <c r="D586" s="4" t="n"/>
      <c r="E586" s="4" t="n"/>
      <c r="F586" s="4" t="n"/>
      <c r="G586" s="4" t="n"/>
    </row>
    <row r="587" ht="15.75" customHeight="1" s="40">
      <c r="A587" s="4" t="n"/>
      <c r="B587" s="4" t="n"/>
      <c r="C587" s="4" t="n"/>
      <c r="D587" s="4" t="n"/>
      <c r="E587" s="4" t="n"/>
      <c r="F587" s="4" t="n"/>
      <c r="G587" s="4" t="n"/>
    </row>
    <row r="588" ht="15.75" customHeight="1" s="40">
      <c r="A588" s="4" t="n"/>
      <c r="B588" s="4" t="n"/>
      <c r="C588" s="4" t="n"/>
      <c r="D588" s="4" t="n"/>
      <c r="E588" s="4" t="n"/>
      <c r="F588" s="4" t="n"/>
      <c r="G588" s="4" t="n"/>
    </row>
    <row r="589" ht="15.75" customHeight="1" s="40">
      <c r="A589" s="4" t="n"/>
      <c r="B589" s="4" t="n"/>
      <c r="C589" s="4" t="n"/>
      <c r="D589" s="4" t="n"/>
      <c r="E589" s="4" t="n"/>
      <c r="F589" s="4" t="n"/>
      <c r="G589" s="4" t="n"/>
    </row>
    <row r="590" ht="15.75" customHeight="1" s="40">
      <c r="A590" s="4" t="n"/>
      <c r="B590" s="4" t="n"/>
      <c r="C590" s="4" t="n"/>
      <c r="D590" s="4" t="n"/>
      <c r="E590" s="4" t="n"/>
      <c r="F590" s="4" t="n"/>
      <c r="G590" s="4" t="n"/>
    </row>
    <row r="591" ht="15.75" customHeight="1" s="40">
      <c r="A591" s="4" t="n"/>
      <c r="B591" s="4" t="n"/>
      <c r="C591" s="4" t="n"/>
      <c r="D591" s="4" t="n"/>
      <c r="E591" s="4" t="n"/>
      <c r="F591" s="4" t="n"/>
      <c r="G591" s="4" t="n"/>
    </row>
    <row r="592" ht="15.75" customHeight="1" s="40">
      <c r="A592" s="4" t="n"/>
      <c r="B592" s="4" t="n"/>
      <c r="C592" s="4" t="n"/>
      <c r="D592" s="4" t="n"/>
      <c r="E592" s="4" t="n"/>
      <c r="F592" s="4" t="n"/>
      <c r="G592" s="4" t="n"/>
    </row>
    <row r="593" ht="15.75" customHeight="1" s="40">
      <c r="A593" s="4" t="n"/>
      <c r="B593" s="4" t="n"/>
      <c r="C593" s="4" t="n"/>
      <c r="D593" s="4" t="n"/>
      <c r="E593" s="4" t="n"/>
      <c r="F593" s="4" t="n"/>
      <c r="G593" s="4" t="n"/>
    </row>
    <row r="594" ht="15.75" customHeight="1" s="40">
      <c r="A594" s="4" t="n"/>
      <c r="B594" s="4" t="n"/>
      <c r="C594" s="4" t="n"/>
      <c r="D594" s="4" t="n"/>
      <c r="E594" s="4" t="n"/>
      <c r="F594" s="4" t="n"/>
      <c r="G594" s="4" t="n"/>
    </row>
    <row r="595" ht="15.75" customHeight="1" s="40">
      <c r="A595" s="4" t="n"/>
      <c r="B595" s="4" t="n"/>
      <c r="C595" s="4" t="n"/>
      <c r="D595" s="4" t="n"/>
      <c r="E595" s="4" t="n"/>
      <c r="F595" s="4" t="n"/>
      <c r="G595" s="4" t="n"/>
    </row>
    <row r="596" ht="15.75" customHeight="1" s="40">
      <c r="A596" s="4" t="n"/>
      <c r="B596" s="4" t="n"/>
      <c r="C596" s="4" t="n"/>
      <c r="D596" s="4" t="n"/>
      <c r="E596" s="4" t="n"/>
      <c r="F596" s="4" t="n"/>
      <c r="G596" s="4" t="n"/>
    </row>
    <row r="597" ht="15.75" customHeight="1" s="40">
      <c r="A597" s="4" t="n"/>
      <c r="B597" s="4" t="n"/>
      <c r="C597" s="4" t="n"/>
      <c r="D597" s="4" t="n"/>
      <c r="E597" s="4" t="n"/>
      <c r="F597" s="4" t="n"/>
      <c r="G597" s="4" t="n"/>
    </row>
    <row r="598" ht="15.75" customHeight="1" s="40">
      <c r="A598" s="4" t="n"/>
      <c r="B598" s="4" t="n"/>
      <c r="C598" s="4" t="n"/>
      <c r="D598" s="4" t="n"/>
      <c r="E598" s="4" t="n"/>
      <c r="F598" s="4" t="n"/>
      <c r="G598" s="4" t="n"/>
    </row>
    <row r="599" ht="15.75" customHeight="1" s="40">
      <c r="A599" s="4" t="n"/>
      <c r="B599" s="4" t="n"/>
      <c r="C599" s="4" t="n"/>
      <c r="D599" s="4" t="n"/>
      <c r="E599" s="4" t="n"/>
      <c r="F599" s="4" t="n"/>
      <c r="G599" s="4" t="n"/>
    </row>
    <row r="600" ht="15.75" customHeight="1" s="40">
      <c r="A600" s="4" t="n"/>
      <c r="B600" s="4" t="n"/>
      <c r="C600" s="4" t="n"/>
      <c r="D600" s="4" t="n"/>
      <c r="E600" s="4" t="n"/>
      <c r="F600" s="4" t="n"/>
      <c r="G600" s="4" t="n"/>
    </row>
    <row r="601" ht="15.75" customHeight="1" s="40">
      <c r="A601" s="4" t="n"/>
      <c r="B601" s="4" t="n"/>
      <c r="C601" s="4" t="n"/>
      <c r="D601" s="4" t="n"/>
      <c r="E601" s="4" t="n"/>
      <c r="F601" s="4" t="n"/>
      <c r="G601" s="4" t="n"/>
    </row>
    <row r="602" ht="15.75" customHeight="1" s="40">
      <c r="A602" s="4" t="n"/>
      <c r="B602" s="4" t="n"/>
      <c r="C602" s="4" t="n"/>
      <c r="D602" s="4" t="n"/>
      <c r="E602" s="4" t="n"/>
      <c r="F602" s="4" t="n"/>
      <c r="G602" s="4" t="n"/>
    </row>
    <row r="603" ht="15.75" customHeight="1" s="40">
      <c r="A603" s="4" t="n"/>
      <c r="B603" s="4" t="n"/>
      <c r="C603" s="4" t="n"/>
      <c r="D603" s="4" t="n"/>
      <c r="E603" s="4" t="n"/>
      <c r="F603" s="4" t="n"/>
      <c r="G603" s="4" t="n"/>
    </row>
    <row r="604" ht="15.75" customHeight="1" s="40">
      <c r="A604" s="4" t="n"/>
      <c r="B604" s="4" t="n"/>
      <c r="C604" s="4" t="n"/>
      <c r="D604" s="4" t="n"/>
      <c r="E604" s="4" t="n"/>
      <c r="F604" s="4" t="n"/>
      <c r="G604" s="4" t="n"/>
    </row>
    <row r="605" ht="15.75" customHeight="1" s="40">
      <c r="A605" s="4" t="n"/>
      <c r="B605" s="4" t="n"/>
      <c r="C605" s="4" t="n"/>
      <c r="D605" s="4" t="n"/>
      <c r="E605" s="4" t="n"/>
      <c r="F605" s="4" t="n"/>
      <c r="G605" s="4" t="n"/>
    </row>
    <row r="606" ht="15.75" customHeight="1" s="40">
      <c r="A606" s="4" t="n"/>
      <c r="B606" s="4" t="n"/>
      <c r="C606" s="4" t="n"/>
      <c r="D606" s="4" t="n"/>
      <c r="E606" s="4" t="n"/>
      <c r="F606" s="4" t="n"/>
      <c r="G606" s="4" t="n"/>
    </row>
    <row r="607" ht="15.75" customHeight="1" s="40">
      <c r="A607" s="4" t="n"/>
      <c r="B607" s="4" t="n"/>
      <c r="C607" s="4" t="n"/>
      <c r="D607" s="4" t="n"/>
      <c r="E607" s="4" t="n"/>
      <c r="F607" s="4" t="n"/>
      <c r="G607" s="4" t="n"/>
    </row>
    <row r="608" ht="15.75" customHeight="1" s="40">
      <c r="A608" s="4" t="n"/>
      <c r="B608" s="4" t="n"/>
      <c r="C608" s="4" t="n"/>
      <c r="D608" s="4" t="n"/>
      <c r="E608" s="4" t="n"/>
      <c r="F608" s="4" t="n"/>
      <c r="G608" s="4" t="n"/>
    </row>
    <row r="609" ht="15.75" customHeight="1" s="40">
      <c r="A609" s="4" t="n"/>
      <c r="B609" s="4" t="n"/>
      <c r="C609" s="4" t="n"/>
      <c r="D609" s="4" t="n"/>
      <c r="E609" s="4" t="n"/>
      <c r="F609" s="4" t="n"/>
      <c r="G609" s="4" t="n"/>
    </row>
    <row r="610" ht="15.75" customHeight="1" s="40">
      <c r="A610" s="4" t="n"/>
      <c r="B610" s="4" t="n"/>
      <c r="C610" s="4" t="n"/>
      <c r="D610" s="4" t="n"/>
      <c r="E610" s="4" t="n"/>
      <c r="F610" s="4" t="n"/>
      <c r="G610" s="4" t="n"/>
    </row>
    <row r="611" ht="15.75" customHeight="1" s="40">
      <c r="A611" s="4" t="n"/>
      <c r="B611" s="4" t="n"/>
      <c r="C611" s="4" t="n"/>
      <c r="D611" s="4" t="n"/>
      <c r="E611" s="4" t="n"/>
      <c r="F611" s="4" t="n"/>
      <c r="G611" s="4" t="n"/>
    </row>
    <row r="612" ht="15.75" customHeight="1" s="40">
      <c r="A612" s="4" t="n"/>
      <c r="B612" s="4" t="n"/>
      <c r="C612" s="4" t="n"/>
      <c r="D612" s="4" t="n"/>
      <c r="E612" s="4" t="n"/>
      <c r="F612" s="4" t="n"/>
      <c r="G612" s="4" t="n"/>
    </row>
    <row r="613" ht="15.75" customHeight="1" s="40">
      <c r="A613" s="4" t="n"/>
      <c r="B613" s="4" t="n"/>
      <c r="C613" s="4" t="n"/>
      <c r="D613" s="4" t="n"/>
      <c r="E613" s="4" t="n"/>
      <c r="F613" s="4" t="n"/>
      <c r="G613" s="4" t="n"/>
    </row>
    <row r="614" ht="15.75" customHeight="1" s="40">
      <c r="A614" s="4" t="n"/>
      <c r="B614" s="4" t="n"/>
      <c r="C614" s="4" t="n"/>
      <c r="D614" s="4" t="n"/>
      <c r="E614" s="4" t="n"/>
      <c r="F614" s="4" t="n"/>
      <c r="G614" s="4" t="n"/>
    </row>
    <row r="615" ht="15.75" customHeight="1" s="40">
      <c r="A615" s="4" t="n"/>
      <c r="B615" s="4" t="n"/>
      <c r="C615" s="4" t="n"/>
      <c r="D615" s="4" t="n"/>
      <c r="E615" s="4" t="n"/>
      <c r="F615" s="4" t="n"/>
      <c r="G615" s="4" t="n"/>
    </row>
    <row r="616" ht="15.75" customHeight="1" s="40">
      <c r="A616" s="4" t="n"/>
      <c r="B616" s="4" t="n"/>
      <c r="C616" s="4" t="n"/>
      <c r="D616" s="4" t="n"/>
      <c r="E616" s="4" t="n"/>
      <c r="F616" s="4" t="n"/>
      <c r="G616" s="4" t="n"/>
    </row>
    <row r="617" ht="15.75" customHeight="1" s="40">
      <c r="A617" s="4" t="n"/>
      <c r="B617" s="4" t="n"/>
      <c r="C617" s="4" t="n"/>
      <c r="D617" s="4" t="n"/>
      <c r="E617" s="4" t="n"/>
      <c r="F617" s="4" t="n"/>
      <c r="G617" s="4" t="n"/>
    </row>
    <row r="618" ht="15.75" customHeight="1" s="40">
      <c r="A618" s="4" t="n"/>
      <c r="B618" s="4" t="n"/>
      <c r="C618" s="4" t="n"/>
      <c r="D618" s="4" t="n"/>
      <c r="E618" s="4" t="n"/>
      <c r="F618" s="4" t="n"/>
      <c r="G618" s="4" t="n"/>
    </row>
    <row r="619" ht="15.75" customHeight="1" s="40">
      <c r="A619" s="4" t="n"/>
      <c r="B619" s="4" t="n"/>
      <c r="C619" s="4" t="n"/>
      <c r="D619" s="4" t="n"/>
      <c r="E619" s="4" t="n"/>
      <c r="F619" s="4" t="n"/>
      <c r="G619" s="4" t="n"/>
    </row>
    <row r="620" ht="15.75" customHeight="1" s="40">
      <c r="A620" s="4" t="n"/>
      <c r="B620" s="4" t="n"/>
      <c r="C620" s="4" t="n"/>
      <c r="D620" s="4" t="n"/>
      <c r="E620" s="4" t="n"/>
      <c r="F620" s="4" t="n"/>
      <c r="G620" s="4" t="n"/>
    </row>
    <row r="621" ht="15.75" customHeight="1" s="40">
      <c r="A621" s="4" t="n"/>
      <c r="B621" s="4" t="n"/>
      <c r="C621" s="4" t="n"/>
      <c r="D621" s="4" t="n"/>
      <c r="E621" s="4" t="n"/>
      <c r="F621" s="4" t="n"/>
      <c r="G621" s="4" t="n"/>
    </row>
    <row r="622" ht="15.75" customHeight="1" s="40">
      <c r="A622" s="4" t="n"/>
      <c r="B622" s="4" t="n"/>
      <c r="C622" s="4" t="n"/>
      <c r="D622" s="4" t="n"/>
      <c r="E622" s="4" t="n"/>
      <c r="F622" s="4" t="n"/>
      <c r="G622" s="4" t="n"/>
    </row>
    <row r="623" ht="15.75" customHeight="1" s="40">
      <c r="A623" s="4" t="n"/>
      <c r="B623" s="4" t="n"/>
      <c r="C623" s="4" t="n"/>
      <c r="D623" s="4" t="n"/>
      <c r="E623" s="4" t="n"/>
      <c r="F623" s="4" t="n"/>
      <c r="G623" s="4" t="n"/>
    </row>
    <row r="624" ht="15.75" customHeight="1" s="40">
      <c r="A624" s="4" t="n"/>
      <c r="B624" s="4" t="n"/>
      <c r="C624" s="4" t="n"/>
      <c r="D624" s="4" t="n"/>
      <c r="E624" s="4" t="n"/>
      <c r="F624" s="4" t="n"/>
      <c r="G624" s="4" t="n"/>
    </row>
    <row r="625" ht="15.75" customHeight="1" s="40">
      <c r="A625" s="4" t="n"/>
      <c r="B625" s="4" t="n"/>
      <c r="C625" s="4" t="n"/>
      <c r="D625" s="4" t="n"/>
      <c r="E625" s="4" t="n"/>
      <c r="F625" s="4" t="n"/>
      <c r="G625" s="4" t="n"/>
    </row>
    <row r="626" ht="15.75" customHeight="1" s="40">
      <c r="A626" s="4" t="n"/>
      <c r="B626" s="4" t="n"/>
      <c r="C626" s="4" t="n"/>
      <c r="D626" s="4" t="n"/>
      <c r="E626" s="4" t="n"/>
      <c r="F626" s="4" t="n"/>
      <c r="G626" s="4" t="n"/>
    </row>
    <row r="627" ht="15.75" customHeight="1" s="40">
      <c r="A627" s="4" t="n"/>
      <c r="B627" s="4" t="n"/>
      <c r="C627" s="4" t="n"/>
      <c r="D627" s="4" t="n"/>
      <c r="E627" s="4" t="n"/>
      <c r="F627" s="4" t="n"/>
      <c r="G627" s="4" t="n"/>
    </row>
    <row r="628" ht="15.75" customHeight="1" s="40">
      <c r="A628" s="4" t="n"/>
      <c r="B628" s="4" t="n"/>
      <c r="C628" s="4" t="n"/>
      <c r="D628" s="4" t="n"/>
      <c r="E628" s="4" t="n"/>
      <c r="F628" s="4" t="n"/>
      <c r="G628" s="4" t="n"/>
    </row>
    <row r="629" ht="15.75" customHeight="1" s="40">
      <c r="A629" s="4" t="n"/>
      <c r="B629" s="4" t="n"/>
      <c r="C629" s="4" t="n"/>
      <c r="D629" s="4" t="n"/>
      <c r="E629" s="4" t="n"/>
      <c r="F629" s="4" t="n"/>
      <c r="G629" s="4" t="n"/>
    </row>
    <row r="630" ht="15.75" customHeight="1" s="40">
      <c r="A630" s="4" t="n"/>
      <c r="B630" s="4" t="n"/>
      <c r="C630" s="4" t="n"/>
      <c r="D630" s="4" t="n"/>
      <c r="E630" s="4" t="n"/>
      <c r="F630" s="4" t="n"/>
      <c r="G630" s="4" t="n"/>
    </row>
    <row r="631" ht="15.75" customHeight="1" s="40">
      <c r="A631" s="4" t="n"/>
      <c r="B631" s="4" t="n"/>
      <c r="C631" s="4" t="n"/>
      <c r="D631" s="4" t="n"/>
      <c r="E631" s="4" t="n"/>
      <c r="F631" s="4" t="n"/>
      <c r="G631" s="4" t="n"/>
    </row>
    <row r="632" ht="15.75" customHeight="1" s="40">
      <c r="A632" s="4" t="n"/>
      <c r="B632" s="4" t="n"/>
      <c r="C632" s="4" t="n"/>
      <c r="D632" s="4" t="n"/>
      <c r="E632" s="4" t="n"/>
      <c r="F632" s="4" t="n"/>
      <c r="G632" s="4" t="n"/>
    </row>
    <row r="633" ht="15.75" customHeight="1" s="40">
      <c r="A633" s="4" t="n"/>
      <c r="B633" s="4" t="n"/>
      <c r="C633" s="4" t="n"/>
      <c r="D633" s="4" t="n"/>
      <c r="E633" s="4" t="n"/>
      <c r="F633" s="4" t="n"/>
      <c r="G633" s="4" t="n"/>
    </row>
    <row r="634" ht="15.75" customHeight="1" s="40">
      <c r="A634" s="4" t="n"/>
      <c r="B634" s="4" t="n"/>
      <c r="C634" s="4" t="n"/>
      <c r="D634" s="4" t="n"/>
      <c r="E634" s="4" t="n"/>
      <c r="F634" s="4" t="n"/>
      <c r="G634" s="4" t="n"/>
    </row>
    <row r="635" ht="15.75" customHeight="1" s="40">
      <c r="A635" s="4" t="n"/>
      <c r="B635" s="4" t="n"/>
      <c r="C635" s="4" t="n"/>
      <c r="D635" s="4" t="n"/>
      <c r="E635" s="4" t="n"/>
      <c r="F635" s="4" t="n"/>
      <c r="G635" s="4" t="n"/>
    </row>
    <row r="636" ht="15.75" customHeight="1" s="40">
      <c r="A636" s="4" t="n"/>
      <c r="B636" s="4" t="n"/>
      <c r="C636" s="4" t="n"/>
      <c r="D636" s="4" t="n"/>
      <c r="E636" s="4" t="n"/>
      <c r="F636" s="4" t="n"/>
      <c r="G636" s="4" t="n"/>
    </row>
    <row r="637" ht="15.75" customHeight="1" s="40">
      <c r="A637" s="4" t="n"/>
      <c r="B637" s="4" t="n"/>
      <c r="C637" s="4" t="n"/>
      <c r="D637" s="4" t="n"/>
      <c r="E637" s="4" t="n"/>
      <c r="F637" s="4" t="n"/>
      <c r="G637" s="4" t="n"/>
    </row>
    <row r="638" ht="15.75" customHeight="1" s="40">
      <c r="A638" s="4" t="n"/>
      <c r="B638" s="4" t="n"/>
      <c r="C638" s="4" t="n"/>
      <c r="D638" s="4" t="n"/>
      <c r="E638" s="4" t="n"/>
      <c r="F638" s="4" t="n"/>
      <c r="G638" s="4" t="n"/>
    </row>
    <row r="639" ht="15.75" customHeight="1" s="40">
      <c r="A639" s="4" t="n"/>
      <c r="B639" s="4" t="n"/>
      <c r="C639" s="4" t="n"/>
      <c r="D639" s="4" t="n"/>
      <c r="E639" s="4" t="n"/>
      <c r="F639" s="4" t="n"/>
      <c r="G639" s="4" t="n"/>
    </row>
    <row r="640" ht="15.75" customHeight="1" s="40">
      <c r="A640" s="4" t="n"/>
      <c r="B640" s="4" t="n"/>
      <c r="C640" s="4" t="n"/>
      <c r="D640" s="4" t="n"/>
      <c r="E640" s="4" t="n"/>
      <c r="F640" s="4" t="n"/>
      <c r="G640" s="4" t="n"/>
    </row>
    <row r="641" ht="15.75" customHeight="1" s="40">
      <c r="A641" s="4" t="n"/>
      <c r="B641" s="4" t="n"/>
      <c r="C641" s="4" t="n"/>
      <c r="D641" s="4" t="n"/>
      <c r="E641" s="4" t="n"/>
      <c r="F641" s="4" t="n"/>
      <c r="G641" s="4" t="n"/>
    </row>
    <row r="642" ht="15.75" customHeight="1" s="40">
      <c r="A642" s="4" t="n"/>
      <c r="B642" s="4" t="n"/>
      <c r="C642" s="4" t="n"/>
      <c r="D642" s="4" t="n"/>
      <c r="E642" s="4" t="n"/>
      <c r="F642" s="4" t="n"/>
      <c r="G642" s="4" t="n"/>
    </row>
    <row r="643" ht="15.75" customHeight="1" s="40">
      <c r="A643" s="4" t="n"/>
      <c r="B643" s="4" t="n"/>
      <c r="C643" s="4" t="n"/>
      <c r="D643" s="4" t="n"/>
      <c r="E643" s="4" t="n"/>
      <c r="F643" s="4" t="n"/>
      <c r="G643" s="4" t="n"/>
    </row>
    <row r="644" ht="15.75" customHeight="1" s="40">
      <c r="A644" s="4" t="n"/>
      <c r="B644" s="4" t="n"/>
      <c r="C644" s="4" t="n"/>
      <c r="D644" s="4" t="n"/>
      <c r="E644" s="4" t="n"/>
      <c r="F644" s="4" t="n"/>
      <c r="G644" s="4" t="n"/>
    </row>
    <row r="645" ht="15.75" customHeight="1" s="40">
      <c r="A645" s="4" t="n"/>
      <c r="B645" s="4" t="n"/>
      <c r="C645" s="4" t="n"/>
      <c r="D645" s="4" t="n"/>
      <c r="E645" s="4" t="n"/>
      <c r="F645" s="4" t="n"/>
      <c r="G645" s="4" t="n"/>
    </row>
    <row r="646" ht="15.75" customHeight="1" s="40">
      <c r="A646" s="4" t="n"/>
      <c r="B646" s="4" t="n"/>
      <c r="C646" s="4" t="n"/>
      <c r="D646" s="4" t="n"/>
      <c r="E646" s="4" t="n"/>
      <c r="F646" s="4" t="n"/>
      <c r="G646" s="4" t="n"/>
    </row>
    <row r="647" ht="15.75" customHeight="1" s="40">
      <c r="A647" s="4" t="n"/>
      <c r="B647" s="4" t="n"/>
      <c r="C647" s="4" t="n"/>
      <c r="D647" s="4" t="n"/>
      <c r="E647" s="4" t="n"/>
      <c r="F647" s="4" t="n"/>
      <c r="G647" s="4" t="n"/>
    </row>
    <row r="648" ht="15.75" customHeight="1" s="40">
      <c r="A648" s="4" t="n"/>
      <c r="B648" s="4" t="n"/>
      <c r="C648" s="4" t="n"/>
      <c r="D648" s="4" t="n"/>
      <c r="E648" s="4" t="n"/>
      <c r="F648" s="4" t="n"/>
      <c r="G648" s="4" t="n"/>
    </row>
    <row r="649" ht="15.75" customHeight="1" s="40">
      <c r="A649" s="4" t="n"/>
      <c r="B649" s="4" t="n"/>
      <c r="C649" s="4" t="n"/>
      <c r="D649" s="4" t="n"/>
      <c r="E649" s="4" t="n"/>
      <c r="F649" s="4" t="n"/>
      <c r="G649" s="4" t="n"/>
    </row>
    <row r="650" ht="15.75" customHeight="1" s="40">
      <c r="A650" s="4" t="n"/>
      <c r="B650" s="4" t="n"/>
      <c r="C650" s="4" t="n"/>
      <c r="D650" s="4" t="n"/>
      <c r="E650" s="4" t="n"/>
      <c r="F650" s="4" t="n"/>
      <c r="G650" s="4" t="n"/>
    </row>
    <row r="651" ht="15.75" customHeight="1" s="40">
      <c r="A651" s="4" t="n"/>
      <c r="B651" s="4" t="n"/>
      <c r="C651" s="4" t="n"/>
      <c r="D651" s="4" t="n"/>
      <c r="E651" s="4" t="n"/>
      <c r="F651" s="4" t="n"/>
      <c r="G651" s="4" t="n"/>
    </row>
    <row r="652" ht="15.75" customHeight="1" s="40">
      <c r="A652" s="4" t="n"/>
      <c r="B652" s="4" t="n"/>
      <c r="C652" s="4" t="n"/>
      <c r="D652" s="4" t="n"/>
      <c r="E652" s="4" t="n"/>
      <c r="F652" s="4" t="n"/>
      <c r="G652" s="4" t="n"/>
    </row>
    <row r="653" ht="15.75" customHeight="1" s="40">
      <c r="A653" s="4" t="n"/>
      <c r="B653" s="4" t="n"/>
      <c r="C653" s="4" t="n"/>
      <c r="D653" s="4" t="n"/>
      <c r="E653" s="4" t="n"/>
      <c r="F653" s="4" t="n"/>
      <c r="G653" s="4" t="n"/>
    </row>
    <row r="654" ht="15.75" customHeight="1" s="40">
      <c r="A654" s="4" t="n"/>
      <c r="B654" s="4" t="n"/>
      <c r="C654" s="4" t="n"/>
      <c r="D654" s="4" t="n"/>
      <c r="E654" s="4" t="n"/>
      <c r="F654" s="4" t="n"/>
      <c r="G654" s="4" t="n"/>
    </row>
    <row r="655" ht="15.75" customHeight="1" s="40">
      <c r="A655" s="4" t="n"/>
      <c r="B655" s="4" t="n"/>
      <c r="C655" s="4" t="n"/>
      <c r="D655" s="4" t="n"/>
      <c r="E655" s="4" t="n"/>
      <c r="F655" s="4" t="n"/>
      <c r="G655" s="4" t="n"/>
    </row>
    <row r="656" ht="15.75" customHeight="1" s="40">
      <c r="A656" s="4" t="n"/>
      <c r="B656" s="4" t="n"/>
      <c r="C656" s="4" t="n"/>
      <c r="D656" s="4" t="n"/>
      <c r="E656" s="4" t="n"/>
      <c r="F656" s="4" t="n"/>
      <c r="G656" s="4" t="n"/>
    </row>
    <row r="657" ht="15.75" customHeight="1" s="40">
      <c r="A657" s="4" t="n"/>
      <c r="B657" s="4" t="n"/>
      <c r="C657" s="4" t="n"/>
      <c r="D657" s="4" t="n"/>
      <c r="E657" s="4" t="n"/>
      <c r="F657" s="4" t="n"/>
      <c r="G657" s="4" t="n"/>
    </row>
    <row r="658" ht="15.75" customHeight="1" s="40">
      <c r="A658" s="4" t="n"/>
      <c r="B658" s="4" t="n"/>
      <c r="C658" s="4" t="n"/>
      <c r="D658" s="4" t="n"/>
      <c r="E658" s="4" t="n"/>
      <c r="F658" s="4" t="n"/>
      <c r="G658" s="4" t="n"/>
    </row>
    <row r="659" ht="15.75" customHeight="1" s="40">
      <c r="A659" s="4" t="n"/>
      <c r="B659" s="4" t="n"/>
      <c r="C659" s="4" t="n"/>
      <c r="D659" s="4" t="n"/>
      <c r="E659" s="4" t="n"/>
      <c r="F659" s="4" t="n"/>
      <c r="G659" s="4" t="n"/>
    </row>
    <row r="660" ht="15.75" customHeight="1" s="40">
      <c r="A660" s="4" t="n"/>
      <c r="B660" s="4" t="n"/>
      <c r="C660" s="4" t="n"/>
      <c r="D660" s="4" t="n"/>
      <c r="E660" s="4" t="n"/>
      <c r="F660" s="4" t="n"/>
      <c r="G660" s="4" t="n"/>
    </row>
    <row r="661" ht="15.75" customHeight="1" s="40">
      <c r="A661" s="4" t="n"/>
      <c r="B661" s="4" t="n"/>
      <c r="C661" s="4" t="n"/>
      <c r="D661" s="4" t="n"/>
      <c r="E661" s="4" t="n"/>
      <c r="F661" s="4" t="n"/>
      <c r="G661" s="4" t="n"/>
    </row>
    <row r="662" ht="15.75" customHeight="1" s="40">
      <c r="A662" s="4" t="n"/>
      <c r="B662" s="4" t="n"/>
      <c r="C662" s="4" t="n"/>
      <c r="D662" s="4" t="n"/>
      <c r="E662" s="4" t="n"/>
      <c r="F662" s="4" t="n"/>
      <c r="G662" s="4" t="n"/>
    </row>
    <row r="663" ht="15.75" customHeight="1" s="40">
      <c r="A663" s="4" t="n"/>
      <c r="B663" s="4" t="n"/>
      <c r="C663" s="4" t="n"/>
      <c r="D663" s="4" t="n"/>
      <c r="E663" s="4" t="n"/>
      <c r="F663" s="4" t="n"/>
      <c r="G663" s="4" t="n"/>
    </row>
    <row r="664" ht="15.75" customHeight="1" s="40">
      <c r="A664" s="4" t="n"/>
      <c r="B664" s="4" t="n"/>
      <c r="C664" s="4" t="n"/>
      <c r="D664" s="4" t="n"/>
      <c r="E664" s="4" t="n"/>
      <c r="F664" s="4" t="n"/>
      <c r="G664" s="4" t="n"/>
    </row>
    <row r="665" ht="15.75" customHeight="1" s="40">
      <c r="A665" s="4" t="n"/>
      <c r="B665" s="4" t="n"/>
      <c r="C665" s="4" t="n"/>
      <c r="D665" s="4" t="n"/>
      <c r="E665" s="4" t="n"/>
      <c r="F665" s="4" t="n"/>
      <c r="G665" s="4" t="n"/>
    </row>
    <row r="666" ht="15.75" customHeight="1" s="40">
      <c r="A666" s="4" t="n"/>
      <c r="B666" s="4" t="n"/>
      <c r="C666" s="4" t="n"/>
      <c r="D666" s="4" t="n"/>
      <c r="E666" s="4" t="n"/>
      <c r="F666" s="4" t="n"/>
      <c r="G666" s="4" t="n"/>
    </row>
    <row r="667" ht="15.75" customHeight="1" s="40">
      <c r="A667" s="4" t="n"/>
      <c r="B667" s="4" t="n"/>
      <c r="C667" s="4" t="n"/>
      <c r="D667" s="4" t="n"/>
      <c r="E667" s="4" t="n"/>
      <c r="F667" s="4" t="n"/>
      <c r="G667" s="4" t="n"/>
    </row>
    <row r="668" ht="15.75" customHeight="1" s="40">
      <c r="A668" s="4" t="n"/>
      <c r="B668" s="4" t="n"/>
      <c r="C668" s="4" t="n"/>
      <c r="D668" s="4" t="n"/>
      <c r="E668" s="4" t="n"/>
      <c r="F668" s="4" t="n"/>
      <c r="G668" s="4" t="n"/>
    </row>
    <row r="669" ht="15.75" customHeight="1" s="40">
      <c r="A669" s="4" t="n"/>
      <c r="B669" s="4" t="n"/>
      <c r="C669" s="4" t="n"/>
      <c r="D669" s="4" t="n"/>
      <c r="E669" s="4" t="n"/>
      <c r="F669" s="4" t="n"/>
      <c r="G669" s="4" t="n"/>
    </row>
    <row r="670" ht="15.75" customHeight="1" s="40">
      <c r="A670" s="4" t="n"/>
      <c r="B670" s="4" t="n"/>
      <c r="C670" s="4" t="n"/>
      <c r="D670" s="4" t="n"/>
      <c r="E670" s="4" t="n"/>
      <c r="F670" s="4" t="n"/>
      <c r="G670" s="4" t="n"/>
    </row>
    <row r="671" ht="15.75" customHeight="1" s="40">
      <c r="A671" s="4" t="n"/>
      <c r="B671" s="4" t="n"/>
      <c r="C671" s="4" t="n"/>
      <c r="D671" s="4" t="n"/>
      <c r="E671" s="4" t="n"/>
      <c r="F671" s="4" t="n"/>
      <c r="G671" s="4" t="n"/>
    </row>
    <row r="672" ht="15.75" customHeight="1" s="40">
      <c r="A672" s="4" t="n"/>
      <c r="B672" s="4" t="n"/>
      <c r="C672" s="4" t="n"/>
      <c r="D672" s="4" t="n"/>
      <c r="E672" s="4" t="n"/>
      <c r="F672" s="4" t="n"/>
      <c r="G672" s="4" t="n"/>
    </row>
    <row r="673" ht="15.75" customHeight="1" s="40">
      <c r="A673" s="4" t="n"/>
      <c r="B673" s="4" t="n"/>
      <c r="C673" s="4" t="n"/>
      <c r="D673" s="4" t="n"/>
      <c r="E673" s="4" t="n"/>
      <c r="F673" s="4" t="n"/>
      <c r="G673" s="4" t="n"/>
    </row>
    <row r="674" ht="15.75" customHeight="1" s="40">
      <c r="A674" s="4" t="n"/>
      <c r="B674" s="4" t="n"/>
      <c r="C674" s="4" t="n"/>
      <c r="D674" s="4" t="n"/>
      <c r="E674" s="4" t="n"/>
      <c r="F674" s="4" t="n"/>
      <c r="G674" s="4" t="n"/>
    </row>
    <row r="675" ht="15.75" customHeight="1" s="40">
      <c r="A675" s="4" t="n"/>
      <c r="B675" s="4" t="n"/>
      <c r="C675" s="4" t="n"/>
      <c r="D675" s="4" t="n"/>
      <c r="E675" s="4" t="n"/>
      <c r="F675" s="4" t="n"/>
      <c r="G675" s="4" t="n"/>
    </row>
    <row r="676" ht="15.75" customHeight="1" s="40">
      <c r="A676" s="4" t="n"/>
      <c r="B676" s="4" t="n"/>
      <c r="C676" s="4" t="n"/>
      <c r="D676" s="4" t="n"/>
      <c r="E676" s="4" t="n"/>
      <c r="F676" s="4" t="n"/>
      <c r="G676" s="4" t="n"/>
    </row>
    <row r="677" ht="15.75" customHeight="1" s="40">
      <c r="A677" s="4" t="n"/>
      <c r="B677" s="4" t="n"/>
      <c r="C677" s="4" t="n"/>
      <c r="D677" s="4" t="n"/>
      <c r="E677" s="4" t="n"/>
      <c r="F677" s="4" t="n"/>
      <c r="G677" s="4" t="n"/>
    </row>
    <row r="678" ht="15.75" customHeight="1" s="40">
      <c r="A678" s="4" t="n"/>
      <c r="B678" s="4" t="n"/>
      <c r="C678" s="4" t="n"/>
      <c r="D678" s="4" t="n"/>
      <c r="E678" s="4" t="n"/>
      <c r="F678" s="4" t="n"/>
      <c r="G678" s="4" t="n"/>
    </row>
    <row r="679" ht="15.75" customHeight="1" s="40">
      <c r="A679" s="4" t="n"/>
      <c r="B679" s="4" t="n"/>
      <c r="C679" s="4" t="n"/>
      <c r="D679" s="4" t="n"/>
      <c r="E679" s="4" t="n"/>
      <c r="F679" s="4" t="n"/>
      <c r="G679" s="4" t="n"/>
    </row>
    <row r="680" ht="15.75" customHeight="1" s="40">
      <c r="A680" s="4" t="n"/>
      <c r="B680" s="4" t="n"/>
      <c r="C680" s="4" t="n"/>
      <c r="D680" s="4" t="n"/>
      <c r="E680" s="4" t="n"/>
      <c r="F680" s="4" t="n"/>
      <c r="G680" s="4" t="n"/>
    </row>
    <row r="681" ht="15.75" customHeight="1" s="40">
      <c r="A681" s="4" t="n"/>
      <c r="B681" s="4" t="n"/>
      <c r="C681" s="4" t="n"/>
      <c r="D681" s="4" t="n"/>
      <c r="E681" s="4" t="n"/>
      <c r="F681" s="4" t="n"/>
      <c r="G681" s="4" t="n"/>
    </row>
    <row r="682" ht="15.75" customHeight="1" s="40">
      <c r="A682" s="4" t="n"/>
      <c r="B682" s="4" t="n"/>
      <c r="C682" s="4" t="n"/>
      <c r="D682" s="4" t="n"/>
      <c r="E682" s="4" t="n"/>
      <c r="F682" s="4" t="n"/>
      <c r="G682" s="4" t="n"/>
    </row>
    <row r="683" ht="15.75" customHeight="1" s="40">
      <c r="A683" s="4" t="n"/>
      <c r="B683" s="4" t="n"/>
      <c r="C683" s="4" t="n"/>
      <c r="D683" s="4" t="n"/>
      <c r="E683" s="4" t="n"/>
      <c r="F683" s="4" t="n"/>
      <c r="G683" s="4" t="n"/>
    </row>
    <row r="684" ht="15.75" customHeight="1" s="40">
      <c r="A684" s="4" t="n"/>
      <c r="B684" s="4" t="n"/>
      <c r="C684" s="4" t="n"/>
      <c r="D684" s="4" t="n"/>
      <c r="E684" s="4" t="n"/>
      <c r="F684" s="4" t="n"/>
      <c r="G684" s="4" t="n"/>
    </row>
    <row r="685" ht="15.75" customHeight="1" s="40">
      <c r="A685" s="4" t="n"/>
      <c r="B685" s="4" t="n"/>
      <c r="C685" s="4" t="n"/>
      <c r="D685" s="4" t="n"/>
      <c r="E685" s="4" t="n"/>
      <c r="F685" s="4" t="n"/>
      <c r="G685" s="4" t="n"/>
    </row>
    <row r="686" ht="15.75" customHeight="1" s="40">
      <c r="A686" s="4" t="n"/>
      <c r="B686" s="4" t="n"/>
      <c r="C686" s="4" t="n"/>
      <c r="D686" s="4" t="n"/>
      <c r="E686" s="4" t="n"/>
      <c r="F686" s="4" t="n"/>
      <c r="G686" s="4" t="n"/>
    </row>
    <row r="687" ht="15.75" customHeight="1" s="40">
      <c r="A687" s="4" t="n"/>
      <c r="B687" s="4" t="n"/>
      <c r="C687" s="4" t="n"/>
      <c r="D687" s="4" t="n"/>
      <c r="E687" s="4" t="n"/>
      <c r="F687" s="4" t="n"/>
      <c r="G687" s="4" t="n"/>
    </row>
    <row r="688" ht="15.75" customHeight="1" s="40">
      <c r="A688" s="4" t="n"/>
      <c r="B688" s="4" t="n"/>
      <c r="C688" s="4" t="n"/>
      <c r="D688" s="4" t="n"/>
      <c r="E688" s="4" t="n"/>
      <c r="F688" s="4" t="n"/>
      <c r="G688" s="4" t="n"/>
    </row>
    <row r="689" ht="15.75" customHeight="1" s="40">
      <c r="A689" s="4" t="n"/>
      <c r="B689" s="4" t="n"/>
      <c r="C689" s="4" t="n"/>
      <c r="D689" s="4" t="n"/>
      <c r="E689" s="4" t="n"/>
      <c r="F689" s="4" t="n"/>
      <c r="G689" s="4" t="n"/>
    </row>
    <row r="690" ht="15.75" customHeight="1" s="40">
      <c r="A690" s="4" t="n"/>
      <c r="B690" s="4" t="n"/>
      <c r="C690" s="4" t="n"/>
      <c r="D690" s="4" t="n"/>
      <c r="E690" s="4" t="n"/>
      <c r="F690" s="4" t="n"/>
      <c r="G690" s="4" t="n"/>
    </row>
    <row r="691" ht="15.75" customHeight="1" s="40">
      <c r="A691" s="4" t="n"/>
      <c r="B691" s="4" t="n"/>
      <c r="C691" s="4" t="n"/>
      <c r="D691" s="4" t="n"/>
      <c r="E691" s="4" t="n"/>
      <c r="F691" s="4" t="n"/>
      <c r="G691" s="4" t="n"/>
    </row>
    <row r="692" ht="15.75" customHeight="1" s="40">
      <c r="A692" s="4" t="n"/>
      <c r="B692" s="4" t="n"/>
      <c r="C692" s="4" t="n"/>
      <c r="D692" s="4" t="n"/>
      <c r="E692" s="4" t="n"/>
      <c r="F692" s="4" t="n"/>
      <c r="G692" s="4" t="n"/>
    </row>
    <row r="693" ht="15.75" customHeight="1" s="40">
      <c r="A693" s="4" t="n"/>
      <c r="B693" s="4" t="n"/>
      <c r="C693" s="4" t="n"/>
      <c r="D693" s="4" t="n"/>
      <c r="E693" s="4" t="n"/>
      <c r="F693" s="4" t="n"/>
      <c r="G693" s="4" t="n"/>
    </row>
    <row r="694" ht="15.75" customHeight="1" s="40">
      <c r="A694" s="4" t="n"/>
      <c r="B694" s="4" t="n"/>
      <c r="C694" s="4" t="n"/>
      <c r="D694" s="4" t="n"/>
      <c r="E694" s="4" t="n"/>
      <c r="F694" s="4" t="n"/>
      <c r="G694" s="4" t="n"/>
    </row>
    <row r="695" ht="15.75" customHeight="1" s="40">
      <c r="A695" s="4" t="n"/>
      <c r="B695" s="4" t="n"/>
      <c r="C695" s="4" t="n"/>
      <c r="D695" s="4" t="n"/>
      <c r="E695" s="4" t="n"/>
      <c r="F695" s="4" t="n"/>
      <c r="G695" s="4" t="n"/>
    </row>
    <row r="696" ht="15.75" customHeight="1" s="40">
      <c r="A696" s="4" t="n"/>
      <c r="B696" s="4" t="n"/>
      <c r="C696" s="4" t="n"/>
      <c r="D696" s="4" t="n"/>
      <c r="E696" s="4" t="n"/>
      <c r="F696" s="4" t="n"/>
      <c r="G696" s="4" t="n"/>
    </row>
    <row r="697" ht="15.75" customHeight="1" s="40">
      <c r="A697" s="4" t="n"/>
      <c r="B697" s="4" t="n"/>
      <c r="C697" s="4" t="n"/>
      <c r="D697" s="4" t="n"/>
      <c r="E697" s="4" t="n"/>
      <c r="F697" s="4" t="n"/>
      <c r="G697" s="4" t="n"/>
    </row>
    <row r="698" ht="15.75" customHeight="1" s="40">
      <c r="A698" s="4" t="n"/>
      <c r="B698" s="4" t="n"/>
      <c r="C698" s="4" t="n"/>
      <c r="D698" s="4" t="n"/>
      <c r="E698" s="4" t="n"/>
      <c r="F698" s="4" t="n"/>
      <c r="G698" s="4" t="n"/>
    </row>
    <row r="699" ht="15.75" customHeight="1" s="40">
      <c r="A699" s="4" t="n"/>
      <c r="B699" s="4" t="n"/>
      <c r="C699" s="4" t="n"/>
      <c r="D699" s="4" t="n"/>
      <c r="E699" s="4" t="n"/>
      <c r="F699" s="4" t="n"/>
      <c r="G699" s="4" t="n"/>
    </row>
    <row r="700" ht="15.75" customHeight="1" s="40">
      <c r="A700" s="4" t="n"/>
      <c r="B700" s="4" t="n"/>
      <c r="C700" s="4" t="n"/>
      <c r="D700" s="4" t="n"/>
      <c r="E700" s="4" t="n"/>
      <c r="F700" s="4" t="n"/>
      <c r="G700" s="4" t="n"/>
    </row>
    <row r="701" ht="15.75" customHeight="1" s="40">
      <c r="A701" s="4" t="n"/>
      <c r="B701" s="4" t="n"/>
      <c r="C701" s="4" t="n"/>
      <c r="D701" s="4" t="n"/>
      <c r="E701" s="4" t="n"/>
      <c r="F701" s="4" t="n"/>
      <c r="G701" s="4" t="n"/>
    </row>
    <row r="702" ht="15.75" customHeight="1" s="40">
      <c r="A702" s="4" t="n"/>
      <c r="B702" s="4" t="n"/>
      <c r="C702" s="4" t="n"/>
      <c r="D702" s="4" t="n"/>
      <c r="E702" s="4" t="n"/>
      <c r="F702" s="4" t="n"/>
      <c r="G702" s="4" t="n"/>
    </row>
    <row r="703" ht="15.75" customHeight="1" s="40">
      <c r="A703" s="4" t="n"/>
      <c r="B703" s="4" t="n"/>
      <c r="C703" s="4" t="n"/>
      <c r="D703" s="4" t="n"/>
      <c r="E703" s="4" t="n"/>
      <c r="F703" s="4" t="n"/>
      <c r="G703" s="4" t="n"/>
    </row>
    <row r="704" ht="15.75" customHeight="1" s="40">
      <c r="A704" s="4" t="n"/>
      <c r="B704" s="4" t="n"/>
      <c r="C704" s="4" t="n"/>
      <c r="D704" s="4" t="n"/>
      <c r="E704" s="4" t="n"/>
      <c r="F704" s="4" t="n"/>
      <c r="G704" s="4" t="n"/>
    </row>
    <row r="705" ht="15.75" customHeight="1" s="40">
      <c r="A705" s="4" t="n"/>
      <c r="B705" s="4" t="n"/>
      <c r="C705" s="4" t="n"/>
      <c r="D705" s="4" t="n"/>
      <c r="E705" s="4" t="n"/>
      <c r="F705" s="4" t="n"/>
      <c r="G705" s="4" t="n"/>
    </row>
    <row r="706" ht="15.75" customHeight="1" s="40">
      <c r="A706" s="4" t="n"/>
      <c r="B706" s="4" t="n"/>
      <c r="C706" s="4" t="n"/>
      <c r="D706" s="4" t="n"/>
      <c r="E706" s="4" t="n"/>
      <c r="F706" s="4" t="n"/>
      <c r="G706" s="4" t="n"/>
    </row>
    <row r="707" ht="15.75" customHeight="1" s="40">
      <c r="A707" s="4" t="n"/>
      <c r="B707" s="4" t="n"/>
      <c r="C707" s="4" t="n"/>
      <c r="D707" s="4" t="n"/>
      <c r="E707" s="4" t="n"/>
      <c r="F707" s="4" t="n"/>
      <c r="G707" s="4" t="n"/>
    </row>
    <row r="708" ht="15.75" customHeight="1" s="40">
      <c r="A708" s="4" t="n"/>
      <c r="B708" s="4" t="n"/>
      <c r="C708" s="4" t="n"/>
      <c r="D708" s="4" t="n"/>
      <c r="E708" s="4" t="n"/>
      <c r="F708" s="4" t="n"/>
      <c r="G708" s="4" t="n"/>
    </row>
    <row r="709" ht="15.75" customHeight="1" s="40">
      <c r="A709" s="4" t="n"/>
      <c r="B709" s="4" t="n"/>
      <c r="C709" s="4" t="n"/>
      <c r="D709" s="4" t="n"/>
      <c r="E709" s="4" t="n"/>
      <c r="F709" s="4" t="n"/>
      <c r="G709" s="4" t="n"/>
    </row>
    <row r="710" ht="15.75" customHeight="1" s="40">
      <c r="A710" s="4" t="n"/>
      <c r="B710" s="4" t="n"/>
      <c r="C710" s="4" t="n"/>
      <c r="D710" s="4" t="n"/>
      <c r="E710" s="4" t="n"/>
      <c r="F710" s="4" t="n"/>
      <c r="G710" s="4" t="n"/>
    </row>
    <row r="711" ht="15.75" customHeight="1" s="40">
      <c r="A711" s="4" t="n"/>
      <c r="B711" s="4" t="n"/>
      <c r="C711" s="4" t="n"/>
      <c r="D711" s="4" t="n"/>
      <c r="E711" s="4" t="n"/>
      <c r="F711" s="4" t="n"/>
      <c r="G711" s="4" t="n"/>
    </row>
    <row r="712" ht="15.75" customHeight="1" s="40">
      <c r="A712" s="4" t="n"/>
      <c r="B712" s="4" t="n"/>
      <c r="C712" s="4" t="n"/>
      <c r="D712" s="4" t="n"/>
      <c r="E712" s="4" t="n"/>
      <c r="F712" s="4" t="n"/>
      <c r="G712" s="4" t="n"/>
    </row>
    <row r="713" ht="15.75" customHeight="1" s="40">
      <c r="A713" s="4" t="n"/>
      <c r="B713" s="4" t="n"/>
      <c r="C713" s="4" t="n"/>
      <c r="D713" s="4" t="n"/>
      <c r="E713" s="4" t="n"/>
      <c r="F713" s="4" t="n"/>
      <c r="G713" s="4" t="n"/>
    </row>
    <row r="714" ht="15.75" customHeight="1" s="40">
      <c r="A714" s="4" t="n"/>
      <c r="B714" s="4" t="n"/>
      <c r="C714" s="4" t="n"/>
      <c r="D714" s="4" t="n"/>
      <c r="E714" s="4" t="n"/>
      <c r="F714" s="4" t="n"/>
      <c r="G714" s="4" t="n"/>
    </row>
    <row r="715" ht="15.75" customHeight="1" s="40">
      <c r="A715" s="4" t="n"/>
      <c r="B715" s="4" t="n"/>
      <c r="C715" s="4" t="n"/>
      <c r="D715" s="4" t="n"/>
      <c r="E715" s="4" t="n"/>
      <c r="F715" s="4" t="n"/>
      <c r="G715" s="4" t="n"/>
    </row>
    <row r="716" ht="15.75" customHeight="1" s="40">
      <c r="A716" s="4" t="n"/>
      <c r="B716" s="4" t="n"/>
      <c r="C716" s="4" t="n"/>
      <c r="D716" s="4" t="n"/>
      <c r="E716" s="4" t="n"/>
      <c r="F716" s="4" t="n"/>
      <c r="G716" s="4" t="n"/>
    </row>
    <row r="717" ht="15.75" customHeight="1" s="40">
      <c r="A717" s="4" t="n"/>
      <c r="B717" s="4" t="n"/>
      <c r="C717" s="4" t="n"/>
      <c r="D717" s="4" t="n"/>
      <c r="E717" s="4" t="n"/>
      <c r="F717" s="4" t="n"/>
      <c r="G717" s="4" t="n"/>
    </row>
    <row r="718" ht="15.75" customHeight="1" s="40">
      <c r="A718" s="4" t="n"/>
      <c r="B718" s="4" t="n"/>
      <c r="C718" s="4" t="n"/>
      <c r="D718" s="4" t="n"/>
      <c r="E718" s="4" t="n"/>
      <c r="F718" s="4" t="n"/>
      <c r="G718" s="4" t="n"/>
    </row>
    <row r="719" ht="15.75" customHeight="1" s="40">
      <c r="A719" s="4" t="n"/>
      <c r="B719" s="4" t="n"/>
      <c r="C719" s="4" t="n"/>
      <c r="D719" s="4" t="n"/>
      <c r="E719" s="4" t="n"/>
      <c r="F719" s="4" t="n"/>
      <c r="G719" s="4" t="n"/>
    </row>
    <row r="720" ht="15.75" customHeight="1" s="40">
      <c r="A720" s="4" t="n"/>
      <c r="B720" s="4" t="n"/>
      <c r="C720" s="4" t="n"/>
      <c r="D720" s="4" t="n"/>
      <c r="E720" s="4" t="n"/>
      <c r="F720" s="4" t="n"/>
      <c r="G720" s="4" t="n"/>
    </row>
    <row r="721" ht="15.75" customHeight="1" s="40">
      <c r="A721" s="4" t="n"/>
      <c r="B721" s="4" t="n"/>
      <c r="C721" s="4" t="n"/>
      <c r="D721" s="4" t="n"/>
      <c r="E721" s="4" t="n"/>
      <c r="F721" s="4" t="n"/>
      <c r="G721" s="4" t="n"/>
    </row>
    <row r="722" ht="15.75" customHeight="1" s="40">
      <c r="A722" s="4" t="n"/>
      <c r="B722" s="4" t="n"/>
      <c r="C722" s="4" t="n"/>
      <c r="D722" s="4" t="n"/>
      <c r="E722" s="4" t="n"/>
      <c r="F722" s="4" t="n"/>
      <c r="G722" s="4" t="n"/>
    </row>
    <row r="723" ht="15.75" customHeight="1" s="40">
      <c r="A723" s="4" t="n"/>
      <c r="B723" s="4" t="n"/>
      <c r="C723" s="4" t="n"/>
      <c r="D723" s="4" t="n"/>
      <c r="E723" s="4" t="n"/>
      <c r="F723" s="4" t="n"/>
      <c r="G723" s="4" t="n"/>
    </row>
    <row r="724" ht="15.75" customHeight="1" s="40">
      <c r="A724" s="4" t="n"/>
      <c r="B724" s="4" t="n"/>
      <c r="C724" s="4" t="n"/>
      <c r="D724" s="4" t="n"/>
      <c r="E724" s="4" t="n"/>
      <c r="F724" s="4" t="n"/>
      <c r="G724" s="4" t="n"/>
    </row>
    <row r="725" ht="15.75" customHeight="1" s="40">
      <c r="A725" s="4" t="n"/>
      <c r="B725" s="4" t="n"/>
      <c r="C725" s="4" t="n"/>
      <c r="D725" s="4" t="n"/>
      <c r="E725" s="4" t="n"/>
      <c r="F725" s="4" t="n"/>
      <c r="G725" s="4" t="n"/>
    </row>
    <row r="726" ht="15.75" customHeight="1" s="40">
      <c r="A726" s="4" t="n"/>
      <c r="B726" s="4" t="n"/>
      <c r="C726" s="4" t="n"/>
      <c r="D726" s="4" t="n"/>
      <c r="E726" s="4" t="n"/>
      <c r="F726" s="4" t="n"/>
      <c r="G726" s="4" t="n"/>
    </row>
    <row r="727" ht="15.75" customHeight="1" s="40">
      <c r="A727" s="4" t="n"/>
      <c r="B727" s="4" t="n"/>
      <c r="C727" s="4" t="n"/>
      <c r="D727" s="4" t="n"/>
      <c r="E727" s="4" t="n"/>
      <c r="F727" s="4" t="n"/>
      <c r="G727" s="4" t="n"/>
    </row>
    <row r="728" ht="15.75" customHeight="1" s="40">
      <c r="A728" s="4" t="n"/>
      <c r="B728" s="4" t="n"/>
      <c r="C728" s="4" t="n"/>
      <c r="D728" s="4" t="n"/>
      <c r="E728" s="4" t="n"/>
      <c r="F728" s="4" t="n"/>
      <c r="G728" s="4" t="n"/>
    </row>
    <row r="729" ht="15.75" customHeight="1" s="40">
      <c r="A729" s="4" t="n"/>
      <c r="B729" s="4" t="n"/>
      <c r="C729" s="4" t="n"/>
      <c r="D729" s="4" t="n"/>
      <c r="E729" s="4" t="n"/>
      <c r="F729" s="4" t="n"/>
      <c r="G729" s="4" t="n"/>
    </row>
    <row r="730" ht="15.75" customHeight="1" s="40">
      <c r="A730" s="4" t="n"/>
      <c r="B730" s="4" t="n"/>
      <c r="C730" s="4" t="n"/>
      <c r="D730" s="4" t="n"/>
      <c r="E730" s="4" t="n"/>
      <c r="F730" s="4" t="n"/>
      <c r="G730" s="4" t="n"/>
    </row>
    <row r="731" ht="15.75" customHeight="1" s="40">
      <c r="A731" s="4" t="n"/>
      <c r="B731" s="4" t="n"/>
      <c r="C731" s="4" t="n"/>
      <c r="D731" s="4" t="n"/>
      <c r="E731" s="4" t="n"/>
      <c r="F731" s="4" t="n"/>
      <c r="G731" s="4" t="n"/>
    </row>
    <row r="732" ht="15.75" customHeight="1" s="40">
      <c r="A732" s="4" t="n"/>
      <c r="B732" s="4" t="n"/>
      <c r="C732" s="4" t="n"/>
      <c r="D732" s="4" t="n"/>
      <c r="E732" s="4" t="n"/>
      <c r="F732" s="4" t="n"/>
      <c r="G732" s="4" t="n"/>
    </row>
    <row r="733" ht="15.75" customHeight="1" s="40">
      <c r="A733" s="4" t="n"/>
      <c r="B733" s="4" t="n"/>
      <c r="C733" s="4" t="n"/>
      <c r="D733" s="4" t="n"/>
      <c r="E733" s="4" t="n"/>
      <c r="F733" s="4" t="n"/>
      <c r="G733" s="4" t="n"/>
    </row>
    <row r="734" ht="15.75" customHeight="1" s="40">
      <c r="A734" s="4" t="n"/>
      <c r="B734" s="4" t="n"/>
      <c r="C734" s="4" t="n"/>
      <c r="D734" s="4" t="n"/>
      <c r="E734" s="4" t="n"/>
      <c r="F734" s="4" t="n"/>
      <c r="G734" s="4" t="n"/>
    </row>
    <row r="735" ht="15.75" customHeight="1" s="40">
      <c r="A735" s="4" t="n"/>
      <c r="B735" s="4" t="n"/>
      <c r="C735" s="4" t="n"/>
      <c r="D735" s="4" t="n"/>
      <c r="E735" s="4" t="n"/>
      <c r="F735" s="4" t="n"/>
      <c r="G735" s="4" t="n"/>
    </row>
    <row r="736" ht="15.75" customHeight="1" s="40">
      <c r="A736" s="4" t="n"/>
      <c r="B736" s="4" t="n"/>
      <c r="C736" s="4" t="n"/>
      <c r="D736" s="4" t="n"/>
      <c r="E736" s="4" t="n"/>
      <c r="F736" s="4" t="n"/>
      <c r="G736" s="4" t="n"/>
    </row>
    <row r="737" ht="15.75" customHeight="1" s="40">
      <c r="A737" s="4" t="n"/>
      <c r="B737" s="4" t="n"/>
      <c r="C737" s="4" t="n"/>
      <c r="D737" s="4" t="n"/>
      <c r="E737" s="4" t="n"/>
      <c r="F737" s="4" t="n"/>
      <c r="G737" s="4" t="n"/>
    </row>
    <row r="738" ht="15.75" customHeight="1" s="40">
      <c r="A738" s="4" t="n"/>
      <c r="B738" s="4" t="n"/>
      <c r="C738" s="4" t="n"/>
      <c r="D738" s="4" t="n"/>
      <c r="E738" s="4" t="n"/>
      <c r="F738" s="4" t="n"/>
      <c r="G738" s="4" t="n"/>
    </row>
    <row r="739" ht="15.75" customHeight="1" s="40">
      <c r="A739" s="4" t="n"/>
      <c r="B739" s="4" t="n"/>
      <c r="C739" s="4" t="n"/>
      <c r="D739" s="4" t="n"/>
      <c r="E739" s="4" t="n"/>
      <c r="F739" s="4" t="n"/>
      <c r="G739" s="4" t="n"/>
    </row>
    <row r="740" ht="15.75" customHeight="1" s="40">
      <c r="A740" s="4" t="n"/>
      <c r="B740" s="4" t="n"/>
      <c r="C740" s="4" t="n"/>
      <c r="D740" s="4" t="n"/>
      <c r="E740" s="4" t="n"/>
      <c r="F740" s="4" t="n"/>
      <c r="G740" s="4" t="n"/>
    </row>
    <row r="741" ht="15.75" customHeight="1" s="40">
      <c r="A741" s="4" t="n"/>
      <c r="B741" s="4" t="n"/>
      <c r="C741" s="4" t="n"/>
      <c r="D741" s="4" t="n"/>
      <c r="E741" s="4" t="n"/>
      <c r="F741" s="4" t="n"/>
      <c r="G741" s="4" t="n"/>
    </row>
    <row r="742" ht="15.75" customHeight="1" s="40">
      <c r="A742" s="4" t="n"/>
      <c r="B742" s="4" t="n"/>
      <c r="C742" s="4" t="n"/>
      <c r="D742" s="4" t="n"/>
      <c r="E742" s="4" t="n"/>
      <c r="F742" s="4" t="n"/>
      <c r="G742" s="4" t="n"/>
    </row>
    <row r="743" ht="15.75" customHeight="1" s="40">
      <c r="A743" s="4" t="n"/>
      <c r="B743" s="4" t="n"/>
      <c r="C743" s="4" t="n"/>
      <c r="D743" s="4" t="n"/>
      <c r="E743" s="4" t="n"/>
      <c r="F743" s="4" t="n"/>
      <c r="G743" s="4" t="n"/>
    </row>
    <row r="744" ht="15.75" customHeight="1" s="40">
      <c r="A744" s="4" t="n"/>
      <c r="B744" s="4" t="n"/>
      <c r="C744" s="4" t="n"/>
      <c r="D744" s="4" t="n"/>
      <c r="E744" s="4" t="n"/>
      <c r="F744" s="4" t="n"/>
      <c r="G744" s="4" t="n"/>
    </row>
    <row r="745" ht="15.75" customHeight="1" s="40">
      <c r="A745" s="4" t="n"/>
      <c r="B745" s="4" t="n"/>
      <c r="C745" s="4" t="n"/>
      <c r="D745" s="4" t="n"/>
      <c r="E745" s="4" t="n"/>
      <c r="F745" s="4" t="n"/>
      <c r="G745" s="4" t="n"/>
    </row>
    <row r="746" ht="15.75" customHeight="1" s="40">
      <c r="A746" s="4" t="n"/>
      <c r="B746" s="4" t="n"/>
      <c r="C746" s="4" t="n"/>
      <c r="D746" s="4" t="n"/>
      <c r="E746" s="4" t="n"/>
      <c r="F746" s="4" t="n"/>
      <c r="G746" s="4" t="n"/>
    </row>
    <row r="747" ht="15.75" customHeight="1" s="40">
      <c r="A747" s="4" t="n"/>
      <c r="B747" s="4" t="n"/>
      <c r="C747" s="4" t="n"/>
      <c r="D747" s="4" t="n"/>
      <c r="E747" s="4" t="n"/>
      <c r="F747" s="4" t="n"/>
      <c r="G747" s="4" t="n"/>
    </row>
    <row r="748" ht="15.75" customHeight="1" s="40">
      <c r="A748" s="4" t="n"/>
      <c r="B748" s="4" t="n"/>
      <c r="C748" s="4" t="n"/>
      <c r="D748" s="4" t="n"/>
      <c r="E748" s="4" t="n"/>
      <c r="F748" s="4" t="n"/>
      <c r="G748" s="4" t="n"/>
    </row>
    <row r="749" ht="15.75" customHeight="1" s="40">
      <c r="A749" s="4" t="n"/>
      <c r="B749" s="4" t="n"/>
      <c r="C749" s="4" t="n"/>
      <c r="D749" s="4" t="n"/>
      <c r="E749" s="4" t="n"/>
      <c r="F749" s="4" t="n"/>
      <c r="G749" s="4" t="n"/>
    </row>
    <row r="750" ht="15.75" customHeight="1" s="40">
      <c r="A750" s="4" t="n"/>
      <c r="B750" s="4" t="n"/>
      <c r="C750" s="4" t="n"/>
      <c r="D750" s="4" t="n"/>
      <c r="E750" s="4" t="n"/>
      <c r="F750" s="4" t="n"/>
      <c r="G750" s="4" t="n"/>
    </row>
    <row r="751" ht="15.75" customHeight="1" s="40">
      <c r="A751" s="4" t="n"/>
      <c r="B751" s="4" t="n"/>
      <c r="C751" s="4" t="n"/>
      <c r="D751" s="4" t="n"/>
      <c r="E751" s="4" t="n"/>
      <c r="F751" s="4" t="n"/>
      <c r="G751" s="4" t="n"/>
    </row>
    <row r="752" ht="15.75" customHeight="1" s="40">
      <c r="A752" s="4" t="n"/>
      <c r="B752" s="4" t="n"/>
      <c r="C752" s="4" t="n"/>
      <c r="D752" s="4" t="n"/>
      <c r="E752" s="4" t="n"/>
      <c r="F752" s="4" t="n"/>
      <c r="G752" s="4" t="n"/>
    </row>
    <row r="753" ht="15.75" customHeight="1" s="40">
      <c r="A753" s="4" t="n"/>
      <c r="B753" s="4" t="n"/>
      <c r="C753" s="4" t="n"/>
      <c r="D753" s="4" t="n"/>
      <c r="E753" s="4" t="n"/>
      <c r="F753" s="4" t="n"/>
      <c r="G753" s="4" t="n"/>
    </row>
    <row r="754" ht="15.75" customHeight="1" s="40">
      <c r="A754" s="4" t="n"/>
      <c r="B754" s="4" t="n"/>
      <c r="C754" s="4" t="n"/>
      <c r="D754" s="4" t="n"/>
      <c r="E754" s="4" t="n"/>
      <c r="F754" s="4" t="n"/>
      <c r="G754" s="4" t="n"/>
    </row>
    <row r="755" ht="15.75" customHeight="1" s="40">
      <c r="A755" s="4" t="n"/>
      <c r="B755" s="4" t="n"/>
      <c r="C755" s="4" t="n"/>
      <c r="D755" s="4" t="n"/>
      <c r="E755" s="4" t="n"/>
      <c r="F755" s="4" t="n"/>
      <c r="G755" s="4" t="n"/>
    </row>
    <row r="756" ht="15.75" customHeight="1" s="40">
      <c r="A756" s="4" t="n"/>
      <c r="B756" s="4" t="n"/>
      <c r="C756" s="4" t="n"/>
      <c r="D756" s="4" t="n"/>
      <c r="E756" s="4" t="n"/>
      <c r="F756" s="4" t="n"/>
      <c r="G756" s="4" t="n"/>
    </row>
    <row r="757" ht="15.75" customHeight="1" s="40">
      <c r="A757" s="4" t="n"/>
      <c r="B757" s="4" t="n"/>
      <c r="C757" s="4" t="n"/>
      <c r="D757" s="4" t="n"/>
      <c r="E757" s="4" t="n"/>
      <c r="F757" s="4" t="n"/>
      <c r="G757" s="4" t="n"/>
    </row>
    <row r="758" ht="15.75" customHeight="1" s="40">
      <c r="A758" s="4" t="n"/>
      <c r="B758" s="4" t="n"/>
      <c r="C758" s="4" t="n"/>
      <c r="D758" s="4" t="n"/>
      <c r="E758" s="4" t="n"/>
      <c r="F758" s="4" t="n"/>
      <c r="G758" s="4" t="n"/>
    </row>
    <row r="759" ht="15.75" customHeight="1" s="40">
      <c r="A759" s="4" t="n"/>
      <c r="B759" s="4" t="n"/>
      <c r="C759" s="4" t="n"/>
      <c r="D759" s="4" t="n"/>
      <c r="E759" s="4" t="n"/>
      <c r="F759" s="4" t="n"/>
      <c r="G759" s="4" t="n"/>
    </row>
    <row r="760" ht="15.75" customHeight="1" s="40">
      <c r="A760" s="4" t="n"/>
      <c r="B760" s="4" t="n"/>
      <c r="C760" s="4" t="n"/>
      <c r="D760" s="4" t="n"/>
      <c r="E760" s="4" t="n"/>
      <c r="F760" s="4" t="n"/>
      <c r="G760" s="4" t="n"/>
    </row>
    <row r="761" ht="15.75" customHeight="1" s="40">
      <c r="A761" s="4" t="n"/>
      <c r="B761" s="4" t="n"/>
      <c r="C761" s="4" t="n"/>
      <c r="D761" s="4" t="n"/>
      <c r="E761" s="4" t="n"/>
      <c r="F761" s="4" t="n"/>
      <c r="G761" s="4" t="n"/>
    </row>
    <row r="762" ht="15.75" customHeight="1" s="40">
      <c r="A762" s="4" t="n"/>
      <c r="B762" s="4" t="n"/>
      <c r="C762" s="4" t="n"/>
      <c r="D762" s="4" t="n"/>
      <c r="E762" s="4" t="n"/>
      <c r="F762" s="4" t="n"/>
      <c r="G762" s="4" t="n"/>
    </row>
    <row r="763" ht="15.75" customHeight="1" s="40">
      <c r="A763" s="4" t="n"/>
      <c r="B763" s="4" t="n"/>
      <c r="C763" s="4" t="n"/>
      <c r="D763" s="4" t="n"/>
      <c r="E763" s="4" t="n"/>
      <c r="F763" s="4" t="n"/>
      <c r="G763" s="4" t="n"/>
    </row>
    <row r="764" ht="15.75" customHeight="1" s="40">
      <c r="A764" s="4" t="n"/>
      <c r="B764" s="4" t="n"/>
      <c r="C764" s="4" t="n"/>
      <c r="D764" s="4" t="n"/>
      <c r="E764" s="4" t="n"/>
      <c r="F764" s="4" t="n"/>
      <c r="G764" s="4" t="n"/>
    </row>
    <row r="765" ht="15.75" customHeight="1" s="40">
      <c r="A765" s="4" t="n"/>
      <c r="B765" s="4" t="n"/>
      <c r="C765" s="4" t="n"/>
      <c r="D765" s="4" t="n"/>
      <c r="E765" s="4" t="n"/>
      <c r="F765" s="4" t="n"/>
      <c r="G765" s="4" t="n"/>
    </row>
    <row r="766" ht="15.75" customHeight="1" s="40">
      <c r="A766" s="4" t="n"/>
      <c r="B766" s="4" t="n"/>
      <c r="C766" s="4" t="n"/>
      <c r="D766" s="4" t="n"/>
      <c r="E766" s="4" t="n"/>
      <c r="F766" s="4" t="n"/>
      <c r="G766" s="4" t="n"/>
    </row>
    <row r="767" ht="15.75" customHeight="1" s="40">
      <c r="A767" s="4" t="n"/>
      <c r="B767" s="4" t="n"/>
      <c r="C767" s="4" t="n"/>
      <c r="D767" s="4" t="n"/>
      <c r="E767" s="4" t="n"/>
      <c r="F767" s="4" t="n"/>
      <c r="G767" s="4" t="n"/>
    </row>
    <row r="768" ht="15.75" customHeight="1" s="40">
      <c r="A768" s="4" t="n"/>
      <c r="B768" s="4" t="n"/>
      <c r="C768" s="4" t="n"/>
      <c r="D768" s="4" t="n"/>
      <c r="E768" s="4" t="n"/>
      <c r="F768" s="4" t="n"/>
      <c r="G768" s="4" t="n"/>
    </row>
    <row r="769" ht="15.75" customHeight="1" s="40">
      <c r="A769" s="4" t="n"/>
      <c r="B769" s="4" t="n"/>
      <c r="C769" s="4" t="n"/>
      <c r="D769" s="4" t="n"/>
      <c r="E769" s="4" t="n"/>
      <c r="F769" s="4" t="n"/>
      <c r="G769" s="4" t="n"/>
    </row>
    <row r="770" ht="15.75" customHeight="1" s="40">
      <c r="A770" s="4" t="n"/>
      <c r="B770" s="4" t="n"/>
      <c r="C770" s="4" t="n"/>
      <c r="D770" s="4" t="n"/>
      <c r="E770" s="4" t="n"/>
      <c r="F770" s="4" t="n"/>
      <c r="G770" s="4" t="n"/>
    </row>
    <row r="771" ht="15.75" customHeight="1" s="40">
      <c r="A771" s="4" t="n"/>
      <c r="B771" s="4" t="n"/>
      <c r="C771" s="4" t="n"/>
      <c r="D771" s="4" t="n"/>
      <c r="E771" s="4" t="n"/>
      <c r="F771" s="4" t="n"/>
      <c r="G771" s="4" t="n"/>
    </row>
    <row r="772" ht="15.75" customHeight="1" s="40">
      <c r="A772" s="4" t="n"/>
      <c r="B772" s="4" t="n"/>
      <c r="C772" s="4" t="n"/>
      <c r="D772" s="4" t="n"/>
      <c r="E772" s="4" t="n"/>
      <c r="F772" s="4" t="n"/>
      <c r="G772" s="4" t="n"/>
    </row>
    <row r="773" ht="15.75" customHeight="1" s="40">
      <c r="A773" s="4" t="n"/>
      <c r="B773" s="4" t="n"/>
      <c r="C773" s="4" t="n"/>
      <c r="D773" s="4" t="n"/>
      <c r="E773" s="4" t="n"/>
      <c r="F773" s="4" t="n"/>
      <c r="G773" s="4" t="n"/>
    </row>
    <row r="774" ht="15.75" customHeight="1" s="40">
      <c r="A774" s="4" t="n"/>
      <c r="B774" s="4" t="n"/>
      <c r="C774" s="4" t="n"/>
      <c r="D774" s="4" t="n"/>
      <c r="E774" s="4" t="n"/>
      <c r="F774" s="4" t="n"/>
      <c r="G774" s="4" t="n"/>
    </row>
    <row r="775" ht="15.75" customHeight="1" s="40">
      <c r="A775" s="4" t="n"/>
      <c r="B775" s="4" t="n"/>
      <c r="C775" s="4" t="n"/>
      <c r="D775" s="4" t="n"/>
      <c r="E775" s="4" t="n"/>
      <c r="F775" s="4" t="n"/>
      <c r="G775" s="4" t="n"/>
    </row>
    <row r="776" ht="15.75" customHeight="1" s="40">
      <c r="A776" s="4" t="n"/>
      <c r="B776" s="4" t="n"/>
      <c r="C776" s="4" t="n"/>
      <c r="D776" s="4" t="n"/>
      <c r="E776" s="4" t="n"/>
      <c r="F776" s="4" t="n"/>
      <c r="G776" s="4" t="n"/>
    </row>
    <row r="777" ht="15.75" customHeight="1" s="40">
      <c r="A777" s="4" t="n"/>
      <c r="B777" s="4" t="n"/>
      <c r="C777" s="4" t="n"/>
      <c r="D777" s="4" t="n"/>
      <c r="E777" s="4" t="n"/>
      <c r="F777" s="4" t="n"/>
      <c r="G777" s="4" t="n"/>
    </row>
    <row r="778" ht="15.75" customHeight="1" s="40">
      <c r="A778" s="4" t="n"/>
      <c r="B778" s="4" t="n"/>
      <c r="C778" s="4" t="n"/>
      <c r="D778" s="4" t="n"/>
      <c r="E778" s="4" t="n"/>
      <c r="F778" s="4" t="n"/>
      <c r="G778" s="4" t="n"/>
    </row>
    <row r="779" ht="15.75" customHeight="1" s="40">
      <c r="A779" s="4" t="n"/>
      <c r="B779" s="4" t="n"/>
      <c r="C779" s="4" t="n"/>
      <c r="D779" s="4" t="n"/>
      <c r="E779" s="4" t="n"/>
      <c r="F779" s="4" t="n"/>
      <c r="G779" s="4" t="n"/>
    </row>
    <row r="780" ht="15.75" customHeight="1" s="40">
      <c r="A780" s="4" t="n"/>
      <c r="B780" s="4" t="n"/>
      <c r="C780" s="4" t="n"/>
      <c r="D780" s="4" t="n"/>
      <c r="E780" s="4" t="n"/>
      <c r="F780" s="4" t="n"/>
      <c r="G780" s="4" t="n"/>
    </row>
    <row r="781" ht="15.75" customHeight="1" s="40">
      <c r="A781" s="4" t="n"/>
      <c r="B781" s="4" t="n"/>
      <c r="C781" s="4" t="n"/>
      <c r="D781" s="4" t="n"/>
      <c r="E781" s="4" t="n"/>
      <c r="F781" s="4" t="n"/>
      <c r="G781" s="4" t="n"/>
    </row>
    <row r="782" ht="15.75" customHeight="1" s="40">
      <c r="A782" s="4" t="n"/>
      <c r="B782" s="4" t="n"/>
      <c r="C782" s="4" t="n"/>
      <c r="D782" s="4" t="n"/>
      <c r="E782" s="4" t="n"/>
      <c r="F782" s="4" t="n"/>
      <c r="G782" s="4" t="n"/>
    </row>
    <row r="783" ht="15.75" customHeight="1" s="40">
      <c r="A783" s="4" t="n"/>
      <c r="B783" s="4" t="n"/>
      <c r="C783" s="4" t="n"/>
      <c r="D783" s="4" t="n"/>
      <c r="E783" s="4" t="n"/>
      <c r="F783" s="4" t="n"/>
      <c r="G783" s="4" t="n"/>
    </row>
    <row r="784" ht="15.75" customHeight="1" s="40">
      <c r="A784" s="4" t="n"/>
      <c r="B784" s="4" t="n"/>
      <c r="C784" s="4" t="n"/>
      <c r="D784" s="4" t="n"/>
      <c r="E784" s="4" t="n"/>
      <c r="F784" s="4" t="n"/>
      <c r="G784" s="4" t="n"/>
    </row>
    <row r="785" ht="15.75" customHeight="1" s="40">
      <c r="A785" s="4" t="n"/>
      <c r="B785" s="4" t="n"/>
      <c r="C785" s="4" t="n"/>
      <c r="D785" s="4" t="n"/>
      <c r="E785" s="4" t="n"/>
      <c r="F785" s="4" t="n"/>
      <c r="G785" s="4" t="n"/>
    </row>
    <row r="786" ht="15.75" customHeight="1" s="40">
      <c r="A786" s="4" t="n"/>
      <c r="B786" s="4" t="n"/>
      <c r="C786" s="4" t="n"/>
      <c r="D786" s="4" t="n"/>
      <c r="E786" s="4" t="n"/>
      <c r="F786" s="4" t="n"/>
      <c r="G786" s="4" t="n"/>
    </row>
    <row r="787" ht="15.75" customHeight="1" s="40">
      <c r="A787" s="4" t="n"/>
      <c r="B787" s="4" t="n"/>
      <c r="C787" s="4" t="n"/>
      <c r="D787" s="4" t="n"/>
      <c r="E787" s="4" t="n"/>
      <c r="F787" s="4" t="n"/>
      <c r="G787" s="4" t="n"/>
    </row>
    <row r="788" ht="15.75" customHeight="1" s="40">
      <c r="A788" s="4" t="n"/>
      <c r="B788" s="4" t="n"/>
      <c r="C788" s="4" t="n"/>
      <c r="D788" s="4" t="n"/>
      <c r="E788" s="4" t="n"/>
      <c r="F788" s="4" t="n"/>
      <c r="G788" s="4" t="n"/>
    </row>
    <row r="789" ht="15.75" customHeight="1" s="40">
      <c r="A789" s="4" t="n"/>
      <c r="B789" s="4" t="n"/>
      <c r="C789" s="4" t="n"/>
      <c r="D789" s="4" t="n"/>
      <c r="E789" s="4" t="n"/>
      <c r="F789" s="4" t="n"/>
      <c r="G789" s="4" t="n"/>
    </row>
    <row r="790" ht="15.75" customHeight="1" s="40">
      <c r="A790" s="4" t="n"/>
      <c r="B790" s="4" t="n"/>
      <c r="C790" s="4" t="n"/>
      <c r="D790" s="4" t="n"/>
      <c r="E790" s="4" t="n"/>
      <c r="F790" s="4" t="n"/>
      <c r="G790" s="4" t="n"/>
    </row>
    <row r="791" ht="15.75" customHeight="1" s="40">
      <c r="A791" s="4" t="n"/>
      <c r="B791" s="4" t="n"/>
      <c r="C791" s="4" t="n"/>
      <c r="D791" s="4" t="n"/>
      <c r="E791" s="4" t="n"/>
      <c r="F791" s="4" t="n"/>
      <c r="G791" s="4" t="n"/>
    </row>
    <row r="792" ht="15.75" customHeight="1" s="40">
      <c r="A792" s="4" t="n"/>
      <c r="B792" s="4" t="n"/>
      <c r="C792" s="4" t="n"/>
      <c r="D792" s="4" t="n"/>
      <c r="E792" s="4" t="n"/>
      <c r="F792" s="4" t="n"/>
      <c r="G792" s="4" t="n"/>
    </row>
    <row r="793" ht="15.75" customHeight="1" s="40">
      <c r="A793" s="4" t="n"/>
      <c r="B793" s="4" t="n"/>
      <c r="C793" s="4" t="n"/>
      <c r="D793" s="4" t="n"/>
      <c r="E793" s="4" t="n"/>
      <c r="F793" s="4" t="n"/>
      <c r="G793" s="4" t="n"/>
    </row>
    <row r="794" ht="15.75" customHeight="1" s="40">
      <c r="A794" s="4" t="n"/>
      <c r="B794" s="4" t="n"/>
      <c r="C794" s="4" t="n"/>
      <c r="D794" s="4" t="n"/>
      <c r="E794" s="4" t="n"/>
      <c r="F794" s="4" t="n"/>
      <c r="G794" s="4" t="n"/>
    </row>
    <row r="795" ht="15.75" customHeight="1" s="40">
      <c r="A795" s="4" t="n"/>
      <c r="B795" s="4" t="n"/>
      <c r="C795" s="4" t="n"/>
      <c r="D795" s="4" t="n"/>
      <c r="E795" s="4" t="n"/>
      <c r="F795" s="4" t="n"/>
      <c r="G795" s="4" t="n"/>
    </row>
    <row r="796" ht="15.75" customHeight="1" s="40">
      <c r="A796" s="4" t="n"/>
      <c r="B796" s="4" t="n"/>
      <c r="C796" s="4" t="n"/>
      <c r="D796" s="4" t="n"/>
      <c r="E796" s="4" t="n"/>
      <c r="F796" s="4" t="n"/>
      <c r="G796" s="4" t="n"/>
    </row>
    <row r="797" ht="15.75" customHeight="1" s="40">
      <c r="A797" s="4" t="n"/>
      <c r="B797" s="4" t="n"/>
      <c r="C797" s="4" t="n"/>
      <c r="D797" s="4" t="n"/>
      <c r="E797" s="4" t="n"/>
      <c r="F797" s="4" t="n"/>
      <c r="G797" s="4" t="n"/>
    </row>
    <row r="798" ht="15.75" customHeight="1" s="40">
      <c r="A798" s="4" t="n"/>
      <c r="B798" s="4" t="n"/>
      <c r="C798" s="4" t="n"/>
      <c r="D798" s="4" t="n"/>
      <c r="E798" s="4" t="n"/>
      <c r="F798" s="4" t="n"/>
      <c r="G798" s="4" t="n"/>
    </row>
    <row r="799" ht="15.75" customHeight="1" s="40">
      <c r="A799" s="4" t="n"/>
      <c r="B799" s="4" t="n"/>
      <c r="C799" s="4" t="n"/>
      <c r="D799" s="4" t="n"/>
      <c r="E799" s="4" t="n"/>
      <c r="F799" s="4" t="n"/>
      <c r="G799" s="4" t="n"/>
    </row>
    <row r="800" ht="15.75" customHeight="1" s="40">
      <c r="A800" s="4" t="n"/>
      <c r="B800" s="4" t="n"/>
      <c r="C800" s="4" t="n"/>
      <c r="D800" s="4" t="n"/>
      <c r="E800" s="4" t="n"/>
      <c r="F800" s="4" t="n"/>
      <c r="G800" s="4" t="n"/>
    </row>
    <row r="801" ht="15.75" customHeight="1" s="40">
      <c r="A801" s="4" t="n"/>
      <c r="B801" s="4" t="n"/>
      <c r="C801" s="4" t="n"/>
      <c r="D801" s="4" t="n"/>
      <c r="E801" s="4" t="n"/>
      <c r="F801" s="4" t="n"/>
      <c r="G801" s="4" t="n"/>
    </row>
    <row r="802" ht="15.75" customHeight="1" s="40">
      <c r="A802" s="4" t="n"/>
      <c r="B802" s="4" t="n"/>
      <c r="C802" s="4" t="n"/>
      <c r="D802" s="4" t="n"/>
      <c r="E802" s="4" t="n"/>
      <c r="F802" s="4" t="n"/>
      <c r="G802" s="4" t="n"/>
    </row>
    <row r="803" ht="15.75" customHeight="1" s="40">
      <c r="A803" s="4" t="n"/>
      <c r="B803" s="4" t="n"/>
      <c r="C803" s="4" t="n"/>
      <c r="D803" s="4" t="n"/>
      <c r="E803" s="4" t="n"/>
      <c r="F803" s="4" t="n"/>
      <c r="G803" s="4" t="n"/>
    </row>
    <row r="804" ht="15.75" customHeight="1" s="40">
      <c r="A804" s="4" t="n"/>
      <c r="B804" s="4" t="n"/>
      <c r="C804" s="4" t="n"/>
      <c r="D804" s="4" t="n"/>
      <c r="E804" s="4" t="n"/>
      <c r="F804" s="4" t="n"/>
      <c r="G804" s="4" t="n"/>
    </row>
    <row r="805" ht="15.75" customHeight="1" s="40">
      <c r="A805" s="4" t="n"/>
      <c r="B805" s="4" t="n"/>
      <c r="C805" s="4" t="n"/>
      <c r="D805" s="4" t="n"/>
      <c r="E805" s="4" t="n"/>
      <c r="F805" s="4" t="n"/>
      <c r="G805" s="4" t="n"/>
    </row>
    <row r="806" ht="15.75" customHeight="1" s="40">
      <c r="A806" s="4" t="n"/>
      <c r="B806" s="4" t="n"/>
      <c r="C806" s="4" t="n"/>
      <c r="D806" s="4" t="n"/>
      <c r="E806" s="4" t="n"/>
      <c r="F806" s="4" t="n"/>
      <c r="G806" s="4" t="n"/>
    </row>
    <row r="807" ht="15.75" customHeight="1" s="40">
      <c r="A807" s="4" t="n"/>
      <c r="B807" s="4" t="n"/>
      <c r="C807" s="4" t="n"/>
      <c r="D807" s="4" t="n"/>
      <c r="E807" s="4" t="n"/>
      <c r="F807" s="4" t="n"/>
      <c r="G807" s="4" t="n"/>
    </row>
    <row r="808" ht="15.75" customHeight="1" s="40">
      <c r="A808" s="4" t="n"/>
      <c r="B808" s="4" t="n"/>
      <c r="C808" s="4" t="n"/>
      <c r="D808" s="4" t="n"/>
      <c r="E808" s="4" t="n"/>
      <c r="F808" s="4" t="n"/>
      <c r="G808" s="4" t="n"/>
    </row>
    <row r="809" ht="15.75" customHeight="1" s="40">
      <c r="A809" s="4" t="n"/>
      <c r="B809" s="4" t="n"/>
      <c r="C809" s="4" t="n"/>
      <c r="D809" s="4" t="n"/>
      <c r="E809" s="4" t="n"/>
      <c r="F809" s="4" t="n"/>
      <c r="G809" s="4" t="n"/>
    </row>
    <row r="810" ht="15.75" customHeight="1" s="40">
      <c r="A810" s="4" t="n"/>
      <c r="B810" s="4" t="n"/>
      <c r="C810" s="4" t="n"/>
      <c r="D810" s="4" t="n"/>
      <c r="E810" s="4" t="n"/>
      <c r="F810" s="4" t="n"/>
      <c r="G810" s="4" t="n"/>
    </row>
    <row r="811" ht="15.75" customHeight="1" s="40">
      <c r="A811" s="4" t="n"/>
      <c r="B811" s="4" t="n"/>
      <c r="C811" s="4" t="n"/>
      <c r="D811" s="4" t="n"/>
      <c r="E811" s="4" t="n"/>
      <c r="F811" s="4" t="n"/>
      <c r="G811" s="4" t="n"/>
    </row>
    <row r="812" ht="15.75" customHeight="1" s="40">
      <c r="A812" s="4" t="n"/>
      <c r="B812" s="4" t="n"/>
      <c r="C812" s="4" t="n"/>
      <c r="D812" s="4" t="n"/>
      <c r="E812" s="4" t="n"/>
      <c r="F812" s="4" t="n"/>
      <c r="G812" s="4" t="n"/>
    </row>
    <row r="813" ht="15.75" customHeight="1" s="40">
      <c r="A813" s="4" t="n"/>
      <c r="B813" s="4" t="n"/>
      <c r="C813" s="4" t="n"/>
      <c r="D813" s="4" t="n"/>
      <c r="E813" s="4" t="n"/>
      <c r="F813" s="4" t="n"/>
      <c r="G813" s="4" t="n"/>
    </row>
    <row r="814" ht="15.75" customHeight="1" s="40">
      <c r="A814" s="4" t="n"/>
      <c r="B814" s="4" t="n"/>
      <c r="C814" s="4" t="n"/>
      <c r="D814" s="4" t="n"/>
      <c r="E814" s="4" t="n"/>
      <c r="F814" s="4" t="n"/>
      <c r="G814" s="4" t="n"/>
    </row>
    <row r="815" ht="15.75" customHeight="1" s="40">
      <c r="A815" s="4" t="n"/>
      <c r="B815" s="4" t="n"/>
      <c r="C815" s="4" t="n"/>
      <c r="D815" s="4" t="n"/>
      <c r="E815" s="4" t="n"/>
      <c r="F815" s="4" t="n"/>
      <c r="G815" s="4" t="n"/>
    </row>
    <row r="816" ht="15.75" customHeight="1" s="40">
      <c r="A816" s="4" t="n"/>
      <c r="B816" s="4" t="n"/>
      <c r="C816" s="4" t="n"/>
      <c r="D816" s="4" t="n"/>
      <c r="E816" s="4" t="n"/>
      <c r="F816" s="4" t="n"/>
      <c r="G816" s="4" t="n"/>
    </row>
    <row r="817" ht="15.75" customHeight="1" s="40">
      <c r="A817" s="4" t="n"/>
      <c r="B817" s="4" t="n"/>
      <c r="C817" s="4" t="n"/>
      <c r="D817" s="4" t="n"/>
      <c r="E817" s="4" t="n"/>
      <c r="F817" s="4" t="n"/>
      <c r="G817" s="4" t="n"/>
    </row>
    <row r="818" ht="15.75" customHeight="1" s="40">
      <c r="A818" s="4" t="n"/>
      <c r="B818" s="4" t="n"/>
      <c r="C818" s="4" t="n"/>
      <c r="D818" s="4" t="n"/>
      <c r="E818" s="4" t="n"/>
      <c r="F818" s="4" t="n"/>
      <c r="G818" s="4" t="n"/>
    </row>
    <row r="819" ht="15.75" customHeight="1" s="40">
      <c r="A819" s="4" t="n"/>
      <c r="B819" s="4" t="n"/>
      <c r="C819" s="4" t="n"/>
      <c r="D819" s="4" t="n"/>
      <c r="E819" s="4" t="n"/>
      <c r="F819" s="4" t="n"/>
      <c r="G819" s="4" t="n"/>
    </row>
    <row r="820" ht="15.75" customHeight="1" s="40">
      <c r="A820" s="4" t="n"/>
      <c r="B820" s="4" t="n"/>
      <c r="C820" s="4" t="n"/>
      <c r="D820" s="4" t="n"/>
      <c r="E820" s="4" t="n"/>
      <c r="F820" s="4" t="n"/>
      <c r="G820" s="4" t="n"/>
    </row>
    <row r="821" ht="15.75" customHeight="1" s="40">
      <c r="A821" s="4" t="n"/>
      <c r="B821" s="4" t="n"/>
      <c r="C821" s="4" t="n"/>
      <c r="D821" s="4" t="n"/>
      <c r="E821" s="4" t="n"/>
      <c r="F821" s="4" t="n"/>
      <c r="G821" s="4" t="n"/>
    </row>
    <row r="822" ht="15.75" customHeight="1" s="40">
      <c r="A822" s="4" t="n"/>
      <c r="B822" s="4" t="n"/>
      <c r="C822" s="4" t="n"/>
      <c r="D822" s="4" t="n"/>
      <c r="E822" s="4" t="n"/>
      <c r="F822" s="4" t="n"/>
      <c r="G822" s="4" t="n"/>
    </row>
    <row r="823" ht="15.75" customHeight="1" s="40">
      <c r="A823" s="4" t="n"/>
      <c r="B823" s="4" t="n"/>
      <c r="C823" s="4" t="n"/>
      <c r="D823" s="4" t="n"/>
      <c r="E823" s="4" t="n"/>
      <c r="F823" s="4" t="n"/>
      <c r="G823" s="4" t="n"/>
    </row>
    <row r="824" ht="15.75" customHeight="1" s="40">
      <c r="A824" s="4" t="n"/>
      <c r="B824" s="4" t="n"/>
      <c r="C824" s="4" t="n"/>
      <c r="D824" s="4" t="n"/>
      <c r="E824" s="4" t="n"/>
      <c r="F824" s="4" t="n"/>
      <c r="G824" s="4" t="n"/>
    </row>
    <row r="825" ht="15.75" customHeight="1" s="40">
      <c r="A825" s="4" t="n"/>
      <c r="B825" s="4" t="n"/>
      <c r="C825" s="4" t="n"/>
      <c r="D825" s="4" t="n"/>
      <c r="E825" s="4" t="n"/>
      <c r="F825" s="4" t="n"/>
      <c r="G825" s="4" t="n"/>
    </row>
    <row r="826" ht="15.75" customHeight="1" s="40">
      <c r="A826" s="4" t="n"/>
      <c r="B826" s="4" t="n"/>
      <c r="C826" s="4" t="n"/>
      <c r="D826" s="4" t="n"/>
      <c r="E826" s="4" t="n"/>
      <c r="F826" s="4" t="n"/>
      <c r="G826" s="4" t="n"/>
    </row>
    <row r="827" ht="15.75" customHeight="1" s="40">
      <c r="A827" s="4" t="n"/>
      <c r="B827" s="4" t="n"/>
      <c r="C827" s="4" t="n"/>
      <c r="D827" s="4" t="n"/>
      <c r="E827" s="4" t="n"/>
      <c r="F827" s="4" t="n"/>
      <c r="G827" s="4" t="n"/>
    </row>
    <row r="828" ht="15.75" customHeight="1" s="40">
      <c r="A828" s="4" t="n"/>
      <c r="B828" s="4" t="n"/>
      <c r="C828" s="4" t="n"/>
      <c r="D828" s="4" t="n"/>
      <c r="E828" s="4" t="n"/>
      <c r="F828" s="4" t="n"/>
      <c r="G828" s="4" t="n"/>
    </row>
    <row r="829" ht="15.75" customHeight="1" s="40">
      <c r="A829" s="4" t="n"/>
      <c r="B829" s="4" t="n"/>
      <c r="C829" s="4" t="n"/>
      <c r="D829" s="4" t="n"/>
      <c r="E829" s="4" t="n"/>
      <c r="F829" s="4" t="n"/>
      <c r="G829" s="4" t="n"/>
    </row>
    <row r="830" ht="15.75" customHeight="1" s="40">
      <c r="A830" s="4" t="n"/>
      <c r="B830" s="4" t="n"/>
      <c r="C830" s="4" t="n"/>
      <c r="D830" s="4" t="n"/>
      <c r="E830" s="4" t="n"/>
      <c r="F830" s="4" t="n"/>
      <c r="G830" s="4" t="n"/>
    </row>
    <row r="831" ht="15.75" customHeight="1" s="40">
      <c r="A831" s="4" t="n"/>
      <c r="B831" s="4" t="n"/>
      <c r="C831" s="4" t="n"/>
      <c r="D831" s="4" t="n"/>
      <c r="E831" s="4" t="n"/>
      <c r="F831" s="4" t="n"/>
      <c r="G831" s="4" t="n"/>
    </row>
    <row r="832" ht="15.75" customHeight="1" s="40">
      <c r="A832" s="4" t="n"/>
      <c r="B832" s="4" t="n"/>
      <c r="C832" s="4" t="n"/>
      <c r="D832" s="4" t="n"/>
      <c r="E832" s="4" t="n"/>
      <c r="F832" s="4" t="n"/>
      <c r="G832" s="4" t="n"/>
    </row>
    <row r="833" ht="15.75" customHeight="1" s="40">
      <c r="A833" s="4" t="n"/>
      <c r="B833" s="4" t="n"/>
      <c r="C833" s="4" t="n"/>
      <c r="D833" s="4" t="n"/>
      <c r="E833" s="4" t="n"/>
      <c r="F833" s="4" t="n"/>
      <c r="G833" s="4" t="n"/>
    </row>
    <row r="834" ht="15.75" customHeight="1" s="40">
      <c r="A834" s="4" t="n"/>
      <c r="B834" s="4" t="n"/>
      <c r="C834" s="4" t="n"/>
      <c r="D834" s="4" t="n"/>
      <c r="E834" s="4" t="n"/>
      <c r="F834" s="4" t="n"/>
      <c r="G834" s="4" t="n"/>
    </row>
    <row r="835" ht="15.75" customHeight="1" s="40">
      <c r="A835" s="4" t="n"/>
      <c r="B835" s="4" t="n"/>
      <c r="C835" s="4" t="n"/>
      <c r="D835" s="4" t="n"/>
      <c r="E835" s="4" t="n"/>
      <c r="F835" s="4" t="n"/>
      <c r="G835" s="4" t="n"/>
    </row>
    <row r="836" ht="15.75" customHeight="1" s="40">
      <c r="A836" s="4" t="n"/>
      <c r="B836" s="4" t="n"/>
      <c r="C836" s="4" t="n"/>
      <c r="D836" s="4" t="n"/>
      <c r="E836" s="4" t="n"/>
      <c r="F836" s="4" t="n"/>
      <c r="G836" s="4" t="n"/>
    </row>
    <row r="837" ht="15.75" customHeight="1" s="40">
      <c r="A837" s="4" t="n"/>
      <c r="B837" s="4" t="n"/>
      <c r="C837" s="4" t="n"/>
      <c r="D837" s="4" t="n"/>
      <c r="E837" s="4" t="n"/>
      <c r="F837" s="4" t="n"/>
      <c r="G837" s="4" t="n"/>
    </row>
    <row r="838" ht="15.75" customHeight="1" s="40">
      <c r="A838" s="4" t="n"/>
      <c r="B838" s="4" t="n"/>
      <c r="C838" s="4" t="n"/>
      <c r="D838" s="4" t="n"/>
      <c r="E838" s="4" t="n"/>
      <c r="F838" s="4" t="n"/>
      <c r="G838" s="4" t="n"/>
    </row>
    <row r="839" ht="15.75" customHeight="1" s="40">
      <c r="A839" s="4" t="n"/>
      <c r="B839" s="4" t="n"/>
      <c r="C839" s="4" t="n"/>
      <c r="D839" s="4" t="n"/>
      <c r="E839" s="4" t="n"/>
      <c r="F839" s="4" t="n"/>
      <c r="G839" s="4" t="n"/>
    </row>
    <row r="840" ht="15.75" customHeight="1" s="40">
      <c r="A840" s="4" t="n"/>
      <c r="B840" s="4" t="n"/>
      <c r="C840" s="4" t="n"/>
      <c r="D840" s="4" t="n"/>
      <c r="E840" s="4" t="n"/>
      <c r="F840" s="4" t="n"/>
      <c r="G840" s="4" t="n"/>
    </row>
    <row r="841" ht="15.75" customHeight="1" s="40">
      <c r="A841" s="4" t="n"/>
      <c r="B841" s="4" t="n"/>
      <c r="C841" s="4" t="n"/>
      <c r="D841" s="4" t="n"/>
      <c r="E841" s="4" t="n"/>
      <c r="F841" s="4" t="n"/>
      <c r="G841" s="4" t="n"/>
    </row>
    <row r="842" ht="15.75" customHeight="1" s="40">
      <c r="A842" s="4" t="n"/>
      <c r="B842" s="4" t="n"/>
      <c r="C842" s="4" t="n"/>
      <c r="D842" s="4" t="n"/>
      <c r="E842" s="4" t="n"/>
      <c r="F842" s="4" t="n"/>
      <c r="G842" s="4" t="n"/>
    </row>
    <row r="843" ht="15.75" customHeight="1" s="40">
      <c r="A843" s="4" t="n"/>
      <c r="B843" s="4" t="n"/>
      <c r="C843" s="4" t="n"/>
      <c r="D843" s="4" t="n"/>
      <c r="E843" s="4" t="n"/>
      <c r="F843" s="4" t="n"/>
      <c r="G843" s="4" t="n"/>
    </row>
    <row r="844" ht="15.75" customHeight="1" s="40">
      <c r="A844" s="4" t="n"/>
      <c r="B844" s="4" t="n"/>
      <c r="C844" s="4" t="n"/>
      <c r="D844" s="4" t="n"/>
      <c r="E844" s="4" t="n"/>
      <c r="F844" s="4" t="n"/>
      <c r="G844" s="4" t="n"/>
    </row>
    <row r="845" ht="15.75" customHeight="1" s="40">
      <c r="A845" s="4" t="n"/>
      <c r="B845" s="4" t="n"/>
      <c r="C845" s="4" t="n"/>
      <c r="D845" s="4" t="n"/>
      <c r="E845" s="4" t="n"/>
      <c r="F845" s="4" t="n"/>
      <c r="G845" s="4" t="n"/>
    </row>
    <row r="846" ht="15.75" customHeight="1" s="40">
      <c r="A846" s="4" t="n"/>
      <c r="B846" s="4" t="n"/>
      <c r="C846" s="4" t="n"/>
      <c r="D846" s="4" t="n"/>
      <c r="E846" s="4" t="n"/>
      <c r="F846" s="4" t="n"/>
      <c r="G846" s="4" t="n"/>
    </row>
    <row r="847" ht="15.75" customHeight="1" s="40">
      <c r="A847" s="4" t="n"/>
      <c r="B847" s="4" t="n"/>
      <c r="C847" s="4" t="n"/>
      <c r="D847" s="4" t="n"/>
      <c r="E847" s="4" t="n"/>
      <c r="F847" s="4" t="n"/>
      <c r="G847" s="4" t="n"/>
    </row>
    <row r="848" ht="15.75" customHeight="1" s="40">
      <c r="A848" s="4" t="n"/>
      <c r="B848" s="4" t="n"/>
      <c r="C848" s="4" t="n"/>
      <c r="D848" s="4" t="n"/>
      <c r="E848" s="4" t="n"/>
      <c r="F848" s="4" t="n"/>
      <c r="G848" s="4" t="n"/>
    </row>
    <row r="849" ht="15.75" customHeight="1" s="40">
      <c r="A849" s="4" t="n"/>
      <c r="B849" s="4" t="n"/>
      <c r="C849" s="4" t="n"/>
      <c r="D849" s="4" t="n"/>
      <c r="E849" s="4" t="n"/>
      <c r="F849" s="4" t="n"/>
      <c r="G849" s="4" t="n"/>
    </row>
    <row r="850" ht="15.75" customHeight="1" s="40">
      <c r="A850" s="4" t="n"/>
      <c r="B850" s="4" t="n"/>
      <c r="C850" s="4" t="n"/>
      <c r="D850" s="4" t="n"/>
      <c r="E850" s="4" t="n"/>
      <c r="F850" s="4" t="n"/>
      <c r="G850" s="4" t="n"/>
    </row>
    <row r="851" ht="15.75" customHeight="1" s="40">
      <c r="A851" s="4" t="n"/>
      <c r="B851" s="4" t="n"/>
      <c r="C851" s="4" t="n"/>
      <c r="D851" s="4" t="n"/>
      <c r="E851" s="4" t="n"/>
      <c r="F851" s="4" t="n"/>
      <c r="G851" s="4" t="n"/>
    </row>
    <row r="852" ht="15.75" customHeight="1" s="40">
      <c r="A852" s="4" t="n"/>
      <c r="B852" s="4" t="n"/>
      <c r="C852" s="4" t="n"/>
      <c r="D852" s="4" t="n"/>
      <c r="E852" s="4" t="n"/>
      <c r="F852" s="4" t="n"/>
      <c r="G852" s="4" t="n"/>
    </row>
    <row r="853" ht="15.75" customHeight="1" s="40">
      <c r="A853" s="4" t="n"/>
      <c r="B853" s="4" t="n"/>
      <c r="C853" s="4" t="n"/>
      <c r="D853" s="4" t="n"/>
      <c r="E853" s="4" t="n"/>
      <c r="F853" s="4" t="n"/>
      <c r="G853" s="4" t="n"/>
    </row>
    <row r="854" ht="15.75" customHeight="1" s="40">
      <c r="A854" s="4" t="n"/>
      <c r="B854" s="4" t="n"/>
      <c r="C854" s="4" t="n"/>
      <c r="D854" s="4" t="n"/>
      <c r="E854" s="4" t="n"/>
      <c r="F854" s="4" t="n"/>
      <c r="G854" s="4" t="n"/>
    </row>
    <row r="855" ht="15.75" customHeight="1" s="40">
      <c r="A855" s="4" t="n"/>
      <c r="B855" s="4" t="n"/>
      <c r="C855" s="4" t="n"/>
      <c r="D855" s="4" t="n"/>
      <c r="E855" s="4" t="n"/>
      <c r="F855" s="4" t="n"/>
      <c r="G855" s="4" t="n"/>
    </row>
    <row r="856" ht="15.75" customHeight="1" s="40">
      <c r="A856" s="4" t="n"/>
      <c r="B856" s="4" t="n"/>
      <c r="C856" s="4" t="n"/>
      <c r="D856" s="4" t="n"/>
      <c r="E856" s="4" t="n"/>
      <c r="F856" s="4" t="n"/>
      <c r="G856" s="4" t="n"/>
    </row>
    <row r="857" ht="15.75" customHeight="1" s="40">
      <c r="A857" s="4" t="n"/>
      <c r="B857" s="4" t="n"/>
      <c r="C857" s="4" t="n"/>
      <c r="D857" s="4" t="n"/>
      <c r="E857" s="4" t="n"/>
      <c r="F857" s="4" t="n"/>
      <c r="G857" s="4" t="n"/>
    </row>
    <row r="858" ht="15.75" customHeight="1" s="40">
      <c r="A858" s="4" t="n"/>
      <c r="B858" s="4" t="n"/>
      <c r="C858" s="4" t="n"/>
      <c r="D858" s="4" t="n"/>
      <c r="E858" s="4" t="n"/>
      <c r="F858" s="4" t="n"/>
      <c r="G858" s="4" t="n"/>
    </row>
    <row r="859" ht="15.75" customHeight="1" s="40">
      <c r="A859" s="4" t="n"/>
      <c r="B859" s="4" t="n"/>
      <c r="C859" s="4" t="n"/>
      <c r="D859" s="4" t="n"/>
      <c r="E859" s="4" t="n"/>
      <c r="F859" s="4" t="n"/>
      <c r="G859" s="4" t="n"/>
    </row>
    <row r="860" ht="15.75" customHeight="1" s="40">
      <c r="A860" s="4" t="n"/>
      <c r="B860" s="4" t="n"/>
      <c r="C860" s="4" t="n"/>
      <c r="D860" s="4" t="n"/>
      <c r="E860" s="4" t="n"/>
      <c r="F860" s="4" t="n"/>
      <c r="G860" s="4" t="n"/>
    </row>
    <row r="861" ht="15.75" customHeight="1" s="40">
      <c r="A861" s="4" t="n"/>
      <c r="B861" s="4" t="n"/>
      <c r="C861" s="4" t="n"/>
      <c r="D861" s="4" t="n"/>
      <c r="E861" s="4" t="n"/>
      <c r="F861" s="4" t="n"/>
      <c r="G861" s="4" t="n"/>
    </row>
    <row r="862" ht="15.75" customHeight="1" s="40">
      <c r="A862" s="4" t="n"/>
      <c r="B862" s="4" t="n"/>
      <c r="C862" s="4" t="n"/>
      <c r="D862" s="4" t="n"/>
      <c r="E862" s="4" t="n"/>
      <c r="F862" s="4" t="n"/>
      <c r="G862" s="4" t="n"/>
    </row>
    <row r="863" ht="15.75" customHeight="1" s="40">
      <c r="A863" s="4" t="n"/>
      <c r="B863" s="4" t="n"/>
      <c r="C863" s="4" t="n"/>
      <c r="D863" s="4" t="n"/>
      <c r="E863" s="4" t="n"/>
      <c r="F863" s="4" t="n"/>
      <c r="G863" s="4" t="n"/>
    </row>
    <row r="864" ht="15.75" customHeight="1" s="40">
      <c r="A864" s="4" t="n"/>
      <c r="B864" s="4" t="n"/>
      <c r="C864" s="4" t="n"/>
      <c r="D864" s="4" t="n"/>
      <c r="E864" s="4" t="n"/>
      <c r="F864" s="4" t="n"/>
      <c r="G864" s="4" t="n"/>
    </row>
    <row r="865" ht="15.75" customHeight="1" s="40">
      <c r="A865" s="4" t="n"/>
      <c r="B865" s="4" t="n"/>
      <c r="C865" s="4" t="n"/>
      <c r="D865" s="4" t="n"/>
      <c r="E865" s="4" t="n"/>
      <c r="F865" s="4" t="n"/>
      <c r="G865" s="4" t="n"/>
    </row>
    <row r="866" ht="15.75" customHeight="1" s="40">
      <c r="A866" s="4" t="n"/>
      <c r="B866" s="4" t="n"/>
      <c r="C866" s="4" t="n"/>
      <c r="D866" s="4" t="n"/>
      <c r="E866" s="4" t="n"/>
      <c r="F866" s="4" t="n"/>
      <c r="G866" s="4" t="n"/>
    </row>
    <row r="867" ht="15.75" customHeight="1" s="40">
      <c r="A867" s="4" t="n"/>
      <c r="B867" s="4" t="n"/>
      <c r="C867" s="4" t="n"/>
      <c r="D867" s="4" t="n"/>
      <c r="E867" s="4" t="n"/>
      <c r="F867" s="4" t="n"/>
      <c r="G867" s="4" t="n"/>
    </row>
    <row r="868" ht="15.75" customHeight="1" s="40">
      <c r="A868" s="4" t="n"/>
      <c r="B868" s="4" t="n"/>
      <c r="C868" s="4" t="n"/>
      <c r="D868" s="4" t="n"/>
      <c r="E868" s="4" t="n"/>
      <c r="F868" s="4" t="n"/>
      <c r="G868" s="4" t="n"/>
    </row>
    <row r="869" ht="15.75" customHeight="1" s="40">
      <c r="A869" s="4" t="n"/>
      <c r="B869" s="4" t="n"/>
      <c r="C869" s="4" t="n"/>
      <c r="D869" s="4" t="n"/>
      <c r="E869" s="4" t="n"/>
      <c r="F869" s="4" t="n"/>
      <c r="G869" s="4" t="n"/>
    </row>
    <row r="870" ht="15.75" customHeight="1" s="40">
      <c r="A870" s="4" t="n"/>
      <c r="B870" s="4" t="n"/>
      <c r="C870" s="4" t="n"/>
      <c r="D870" s="4" t="n"/>
      <c r="E870" s="4" t="n"/>
      <c r="F870" s="4" t="n"/>
      <c r="G870" s="4" t="n"/>
    </row>
    <row r="871" ht="15.75" customHeight="1" s="40">
      <c r="A871" s="4" t="n"/>
      <c r="B871" s="4" t="n"/>
      <c r="C871" s="4" t="n"/>
      <c r="D871" s="4" t="n"/>
      <c r="E871" s="4" t="n"/>
      <c r="F871" s="4" t="n"/>
      <c r="G871" s="4" t="n"/>
    </row>
    <row r="872" ht="15.75" customHeight="1" s="40">
      <c r="A872" s="4" t="n"/>
      <c r="B872" s="4" t="n"/>
      <c r="C872" s="4" t="n"/>
      <c r="D872" s="4" t="n"/>
      <c r="E872" s="4" t="n"/>
      <c r="F872" s="4" t="n"/>
      <c r="G872" s="4" t="n"/>
    </row>
    <row r="873" ht="15.75" customHeight="1" s="40">
      <c r="A873" s="4" t="n"/>
      <c r="B873" s="4" t="n"/>
      <c r="C873" s="4" t="n"/>
      <c r="D873" s="4" t="n"/>
      <c r="E873" s="4" t="n"/>
      <c r="F873" s="4" t="n"/>
      <c r="G873" s="4" t="n"/>
    </row>
    <row r="874" ht="15.75" customHeight="1" s="40">
      <c r="A874" s="4" t="n"/>
      <c r="B874" s="4" t="n"/>
      <c r="C874" s="4" t="n"/>
      <c r="D874" s="4" t="n"/>
      <c r="E874" s="4" t="n"/>
      <c r="F874" s="4" t="n"/>
      <c r="G874" s="4" t="n"/>
    </row>
    <row r="875" ht="15.75" customHeight="1" s="40">
      <c r="A875" s="4" t="n"/>
      <c r="B875" s="4" t="n"/>
      <c r="C875" s="4" t="n"/>
      <c r="D875" s="4" t="n"/>
      <c r="E875" s="4" t="n"/>
      <c r="F875" s="4" t="n"/>
      <c r="G875" s="4" t="n"/>
    </row>
    <row r="876" ht="15.75" customHeight="1" s="40">
      <c r="A876" s="4" t="n"/>
      <c r="B876" s="4" t="n"/>
      <c r="C876" s="4" t="n"/>
      <c r="D876" s="4" t="n"/>
      <c r="E876" s="4" t="n"/>
      <c r="F876" s="4" t="n"/>
      <c r="G876" s="4" t="n"/>
    </row>
    <row r="877" ht="15.75" customHeight="1" s="40">
      <c r="A877" s="4" t="n"/>
      <c r="B877" s="4" t="n"/>
      <c r="C877" s="4" t="n"/>
      <c r="D877" s="4" t="n"/>
      <c r="E877" s="4" t="n"/>
      <c r="F877" s="4" t="n"/>
      <c r="G877" s="4" t="n"/>
    </row>
    <row r="878" ht="15.75" customHeight="1" s="40">
      <c r="A878" s="4" t="n"/>
      <c r="B878" s="4" t="n"/>
      <c r="C878" s="4" t="n"/>
      <c r="D878" s="4" t="n"/>
      <c r="E878" s="4" t="n"/>
      <c r="F878" s="4" t="n"/>
      <c r="G878" s="4" t="n"/>
    </row>
    <row r="879" ht="15.75" customHeight="1" s="40">
      <c r="A879" s="4" t="n"/>
      <c r="B879" s="4" t="n"/>
      <c r="C879" s="4" t="n"/>
      <c r="D879" s="4" t="n"/>
      <c r="E879" s="4" t="n"/>
      <c r="F879" s="4" t="n"/>
      <c r="G879" s="4" t="n"/>
    </row>
    <row r="880" ht="15.75" customHeight="1" s="40">
      <c r="A880" s="4" t="n"/>
      <c r="B880" s="4" t="n"/>
      <c r="C880" s="4" t="n"/>
      <c r="D880" s="4" t="n"/>
      <c r="E880" s="4" t="n"/>
      <c r="F880" s="4" t="n"/>
      <c r="G880" s="4" t="n"/>
    </row>
    <row r="881" ht="15.75" customHeight="1" s="40">
      <c r="A881" s="4" t="n"/>
      <c r="B881" s="4" t="n"/>
      <c r="C881" s="4" t="n"/>
      <c r="D881" s="4" t="n"/>
      <c r="E881" s="4" t="n"/>
      <c r="F881" s="4" t="n"/>
      <c r="G881" s="4" t="n"/>
    </row>
    <row r="882" ht="15.75" customHeight="1" s="40">
      <c r="A882" s="4" t="n"/>
      <c r="B882" s="4" t="n"/>
      <c r="C882" s="4" t="n"/>
      <c r="D882" s="4" t="n"/>
      <c r="E882" s="4" t="n"/>
      <c r="F882" s="4" t="n"/>
      <c r="G882" s="4" t="n"/>
    </row>
    <row r="883" ht="15.75" customHeight="1" s="40">
      <c r="A883" s="4" t="n"/>
      <c r="B883" s="4" t="n"/>
      <c r="C883" s="4" t="n"/>
      <c r="D883" s="4" t="n"/>
      <c r="E883" s="4" t="n"/>
      <c r="F883" s="4" t="n"/>
      <c r="G883" s="4" t="n"/>
    </row>
    <row r="884" ht="15.75" customHeight="1" s="40">
      <c r="A884" s="4" t="n"/>
      <c r="B884" s="4" t="n"/>
      <c r="C884" s="4" t="n"/>
      <c r="D884" s="4" t="n"/>
      <c r="E884" s="4" t="n"/>
      <c r="F884" s="4" t="n"/>
      <c r="G884" s="4" t="n"/>
    </row>
    <row r="885" ht="15.75" customHeight="1" s="40">
      <c r="A885" s="4" t="n"/>
      <c r="B885" s="4" t="n"/>
      <c r="C885" s="4" t="n"/>
      <c r="D885" s="4" t="n"/>
      <c r="E885" s="4" t="n"/>
      <c r="F885" s="4" t="n"/>
      <c r="G885" s="4" t="n"/>
    </row>
    <row r="886" ht="15.75" customHeight="1" s="40">
      <c r="A886" s="4" t="n"/>
      <c r="B886" s="4" t="n"/>
      <c r="C886" s="4" t="n"/>
      <c r="D886" s="4" t="n"/>
      <c r="E886" s="4" t="n"/>
      <c r="F886" s="4" t="n"/>
      <c r="G886" s="4" t="n"/>
    </row>
    <row r="887" ht="15.75" customHeight="1" s="40">
      <c r="A887" s="4" t="n"/>
      <c r="B887" s="4" t="n"/>
      <c r="C887" s="4" t="n"/>
      <c r="D887" s="4" t="n"/>
      <c r="E887" s="4" t="n"/>
      <c r="F887" s="4" t="n"/>
      <c r="G887" s="4" t="n"/>
    </row>
    <row r="888" ht="15.75" customHeight="1" s="40">
      <c r="A888" s="4" t="n"/>
      <c r="B888" s="4" t="n"/>
      <c r="C888" s="4" t="n"/>
      <c r="D888" s="4" t="n"/>
      <c r="E888" s="4" t="n"/>
      <c r="F888" s="4" t="n"/>
      <c r="G888" s="4" t="n"/>
    </row>
    <row r="889" ht="15.75" customHeight="1" s="40">
      <c r="A889" s="4" t="n"/>
      <c r="B889" s="4" t="n"/>
      <c r="C889" s="4" t="n"/>
      <c r="D889" s="4" t="n"/>
      <c r="E889" s="4" t="n"/>
      <c r="F889" s="4" t="n"/>
      <c r="G889" s="4" t="n"/>
    </row>
    <row r="890" ht="15.75" customHeight="1" s="40">
      <c r="A890" s="4" t="n"/>
      <c r="B890" s="4" t="n"/>
      <c r="C890" s="4" t="n"/>
      <c r="D890" s="4" t="n"/>
      <c r="E890" s="4" t="n"/>
      <c r="F890" s="4" t="n"/>
      <c r="G890" s="4" t="n"/>
    </row>
    <row r="891" ht="15.75" customHeight="1" s="40">
      <c r="A891" s="4" t="n"/>
      <c r="B891" s="4" t="n"/>
      <c r="C891" s="4" t="n"/>
      <c r="D891" s="4" t="n"/>
      <c r="E891" s="4" t="n"/>
      <c r="F891" s="4" t="n"/>
      <c r="G891" s="4" t="n"/>
    </row>
    <row r="892" ht="15.75" customHeight="1" s="40">
      <c r="A892" s="4" t="n"/>
      <c r="B892" s="4" t="n"/>
      <c r="C892" s="4" t="n"/>
      <c r="D892" s="4" t="n"/>
      <c r="E892" s="4" t="n"/>
      <c r="F892" s="4" t="n"/>
      <c r="G892" s="4" t="n"/>
    </row>
    <row r="893" ht="15.75" customHeight="1" s="40">
      <c r="A893" s="4" t="n"/>
      <c r="B893" s="4" t="n"/>
      <c r="C893" s="4" t="n"/>
      <c r="D893" s="4" t="n"/>
      <c r="E893" s="4" t="n"/>
      <c r="F893" s="4" t="n"/>
      <c r="G893" s="4" t="n"/>
    </row>
    <row r="894" ht="15.75" customHeight="1" s="40">
      <c r="A894" s="4" t="n"/>
      <c r="B894" s="4" t="n"/>
      <c r="C894" s="4" t="n"/>
      <c r="D894" s="4" t="n"/>
      <c r="E894" s="4" t="n"/>
      <c r="F894" s="4" t="n"/>
      <c r="G894" s="4" t="n"/>
    </row>
    <row r="895" ht="15.75" customHeight="1" s="40">
      <c r="A895" s="4" t="n"/>
      <c r="B895" s="4" t="n"/>
      <c r="C895" s="4" t="n"/>
      <c r="D895" s="4" t="n"/>
      <c r="E895" s="4" t="n"/>
      <c r="F895" s="4" t="n"/>
      <c r="G895" s="4" t="n"/>
    </row>
    <row r="896" ht="15.75" customHeight="1" s="40">
      <c r="A896" s="4" t="n"/>
      <c r="B896" s="4" t="n"/>
      <c r="C896" s="4" t="n"/>
      <c r="D896" s="4" t="n"/>
      <c r="E896" s="4" t="n"/>
      <c r="F896" s="4" t="n"/>
      <c r="G896" s="4" t="n"/>
    </row>
    <row r="897" ht="15.75" customHeight="1" s="40">
      <c r="A897" s="4" t="n"/>
      <c r="B897" s="4" t="n"/>
      <c r="C897" s="4" t="n"/>
      <c r="D897" s="4" t="n"/>
      <c r="E897" s="4" t="n"/>
      <c r="F897" s="4" t="n"/>
      <c r="G897" s="4" t="n"/>
    </row>
    <row r="898" ht="15.75" customHeight="1" s="40">
      <c r="A898" s="4" t="n"/>
      <c r="B898" s="4" t="n"/>
      <c r="C898" s="4" t="n"/>
      <c r="D898" s="4" t="n"/>
      <c r="E898" s="4" t="n"/>
      <c r="F898" s="4" t="n"/>
      <c r="G898" s="4" t="n"/>
    </row>
    <row r="899" ht="15.75" customHeight="1" s="40">
      <c r="A899" s="4" t="n"/>
      <c r="B899" s="4" t="n"/>
      <c r="C899" s="4" t="n"/>
      <c r="D899" s="4" t="n"/>
      <c r="E899" s="4" t="n"/>
      <c r="F899" s="4" t="n"/>
      <c r="G899" s="4" t="n"/>
    </row>
    <row r="900" ht="15.75" customHeight="1" s="40">
      <c r="A900" s="4" t="n"/>
      <c r="B900" s="4" t="n"/>
      <c r="C900" s="4" t="n"/>
      <c r="D900" s="4" t="n"/>
      <c r="E900" s="4" t="n"/>
      <c r="F900" s="4" t="n"/>
      <c r="G900" s="4" t="n"/>
    </row>
    <row r="901" ht="15.75" customHeight="1" s="40">
      <c r="A901" s="4" t="n"/>
      <c r="B901" s="4" t="n"/>
      <c r="C901" s="4" t="n"/>
      <c r="D901" s="4" t="n"/>
      <c r="E901" s="4" t="n"/>
      <c r="F901" s="4" t="n"/>
      <c r="G901" s="4" t="n"/>
    </row>
    <row r="902" ht="15.75" customHeight="1" s="40">
      <c r="A902" s="4" t="n"/>
      <c r="B902" s="4" t="n"/>
      <c r="C902" s="4" t="n"/>
      <c r="D902" s="4" t="n"/>
      <c r="E902" s="4" t="n"/>
      <c r="F902" s="4" t="n"/>
      <c r="G902" s="4" t="n"/>
    </row>
    <row r="903" ht="15.75" customHeight="1" s="40">
      <c r="A903" s="4" t="n"/>
      <c r="B903" s="4" t="n"/>
      <c r="C903" s="4" t="n"/>
      <c r="D903" s="4" t="n"/>
      <c r="E903" s="4" t="n"/>
      <c r="F903" s="4" t="n"/>
      <c r="G903" s="4" t="n"/>
    </row>
    <row r="904" ht="15.75" customHeight="1" s="40">
      <c r="A904" s="4" t="n"/>
      <c r="B904" s="4" t="n"/>
      <c r="C904" s="4" t="n"/>
      <c r="D904" s="4" t="n"/>
      <c r="E904" s="4" t="n"/>
      <c r="F904" s="4" t="n"/>
      <c r="G904" s="4" t="n"/>
    </row>
    <row r="905" ht="15.75" customHeight="1" s="40">
      <c r="A905" s="4" t="n"/>
      <c r="B905" s="4" t="n"/>
      <c r="C905" s="4" t="n"/>
      <c r="D905" s="4" t="n"/>
      <c r="E905" s="4" t="n"/>
      <c r="F905" s="4" t="n"/>
      <c r="G905" s="4" t="n"/>
    </row>
    <row r="906" ht="15.75" customHeight="1" s="40">
      <c r="A906" s="4" t="n"/>
      <c r="B906" s="4" t="n"/>
      <c r="C906" s="4" t="n"/>
      <c r="D906" s="4" t="n"/>
      <c r="E906" s="4" t="n"/>
      <c r="F906" s="4" t="n"/>
      <c r="G906" s="4" t="n"/>
    </row>
    <row r="907" ht="15.75" customHeight="1" s="40">
      <c r="A907" s="4" t="n"/>
      <c r="B907" s="4" t="n"/>
      <c r="C907" s="4" t="n"/>
      <c r="D907" s="4" t="n"/>
      <c r="E907" s="4" t="n"/>
      <c r="F907" s="4" t="n"/>
      <c r="G907" s="4" t="n"/>
    </row>
    <row r="908" ht="15.75" customHeight="1" s="40">
      <c r="A908" s="4" t="n"/>
      <c r="B908" s="4" t="n"/>
      <c r="C908" s="4" t="n"/>
      <c r="D908" s="4" t="n"/>
      <c r="E908" s="4" t="n"/>
      <c r="F908" s="4" t="n"/>
      <c r="G908" s="4" t="n"/>
    </row>
    <row r="909" ht="15.75" customHeight="1" s="40">
      <c r="A909" s="4" t="n"/>
      <c r="B909" s="4" t="n"/>
      <c r="C909" s="4" t="n"/>
      <c r="D909" s="4" t="n"/>
      <c r="E909" s="4" t="n"/>
      <c r="F909" s="4" t="n"/>
      <c r="G909" s="4" t="n"/>
    </row>
    <row r="910" ht="15.75" customHeight="1" s="40">
      <c r="A910" s="4" t="n"/>
      <c r="B910" s="4" t="n"/>
      <c r="C910" s="4" t="n"/>
      <c r="D910" s="4" t="n"/>
      <c r="E910" s="4" t="n"/>
      <c r="F910" s="4" t="n"/>
      <c r="G910" s="4" t="n"/>
    </row>
    <row r="911" ht="15.75" customHeight="1" s="40">
      <c r="A911" s="4" t="n"/>
      <c r="B911" s="4" t="n"/>
      <c r="C911" s="4" t="n"/>
      <c r="D911" s="4" t="n"/>
      <c r="E911" s="4" t="n"/>
      <c r="F911" s="4" t="n"/>
      <c r="G911" s="4" t="n"/>
    </row>
    <row r="912" ht="15.75" customHeight="1" s="40">
      <c r="A912" s="4" t="n"/>
      <c r="B912" s="4" t="n"/>
      <c r="C912" s="4" t="n"/>
      <c r="D912" s="4" t="n"/>
      <c r="E912" s="4" t="n"/>
      <c r="F912" s="4" t="n"/>
      <c r="G912" s="4" t="n"/>
    </row>
    <row r="913" ht="15.75" customHeight="1" s="40">
      <c r="A913" s="4" t="n"/>
      <c r="B913" s="4" t="n"/>
      <c r="C913" s="4" t="n"/>
      <c r="D913" s="4" t="n"/>
      <c r="E913" s="4" t="n"/>
      <c r="F913" s="4" t="n"/>
      <c r="G913" s="4" t="n"/>
    </row>
    <row r="914" ht="15.75" customHeight="1" s="40">
      <c r="A914" s="4" t="n"/>
      <c r="B914" s="4" t="n"/>
      <c r="C914" s="4" t="n"/>
      <c r="D914" s="4" t="n"/>
      <c r="E914" s="4" t="n"/>
      <c r="F914" s="4" t="n"/>
      <c r="G914" s="4" t="n"/>
    </row>
    <row r="915" ht="15.75" customHeight="1" s="40">
      <c r="A915" s="4" t="n"/>
      <c r="B915" s="4" t="n"/>
      <c r="C915" s="4" t="n"/>
      <c r="D915" s="4" t="n"/>
      <c r="E915" s="4" t="n"/>
      <c r="F915" s="4" t="n"/>
      <c r="G915" s="4" t="n"/>
    </row>
    <row r="916" ht="15.75" customHeight="1" s="40">
      <c r="A916" s="4" t="n"/>
      <c r="B916" s="4" t="n"/>
      <c r="C916" s="4" t="n"/>
      <c r="D916" s="4" t="n"/>
      <c r="E916" s="4" t="n"/>
      <c r="F916" s="4" t="n"/>
      <c r="G916" s="4" t="n"/>
    </row>
    <row r="917" ht="15.75" customHeight="1" s="40">
      <c r="A917" s="4" t="n"/>
      <c r="B917" s="4" t="n"/>
      <c r="C917" s="4" t="n"/>
      <c r="D917" s="4" t="n"/>
      <c r="E917" s="4" t="n"/>
      <c r="F917" s="4" t="n"/>
      <c r="G917" s="4" t="n"/>
    </row>
    <row r="918" ht="15.75" customHeight="1" s="40">
      <c r="A918" s="4" t="n"/>
      <c r="B918" s="4" t="n"/>
      <c r="C918" s="4" t="n"/>
      <c r="D918" s="4" t="n"/>
      <c r="E918" s="4" t="n"/>
      <c r="F918" s="4" t="n"/>
      <c r="G918" s="4" t="n"/>
    </row>
    <row r="919" ht="15.75" customHeight="1" s="40">
      <c r="A919" s="4" t="n"/>
      <c r="B919" s="4" t="n"/>
      <c r="C919" s="4" t="n"/>
      <c r="D919" s="4" t="n"/>
      <c r="E919" s="4" t="n"/>
      <c r="F919" s="4" t="n"/>
      <c r="G919" s="4" t="n"/>
    </row>
    <row r="920" ht="15.75" customHeight="1" s="40">
      <c r="A920" s="4" t="n"/>
      <c r="B920" s="4" t="n"/>
      <c r="C920" s="4" t="n"/>
      <c r="D920" s="4" t="n"/>
      <c r="E920" s="4" t="n"/>
      <c r="F920" s="4" t="n"/>
      <c r="G920" s="4" t="n"/>
    </row>
    <row r="921" ht="15.75" customHeight="1" s="40">
      <c r="A921" s="4" t="n"/>
      <c r="B921" s="4" t="n"/>
      <c r="C921" s="4" t="n"/>
      <c r="D921" s="4" t="n"/>
      <c r="E921" s="4" t="n"/>
      <c r="F921" s="4" t="n"/>
      <c r="G921" s="4" t="n"/>
    </row>
    <row r="922" ht="15.75" customHeight="1" s="40">
      <c r="A922" s="4" t="n"/>
      <c r="B922" s="4" t="n"/>
      <c r="C922" s="4" t="n"/>
      <c r="D922" s="4" t="n"/>
      <c r="E922" s="4" t="n"/>
      <c r="F922" s="4" t="n"/>
      <c r="G922" s="4" t="n"/>
    </row>
    <row r="923" ht="15.75" customHeight="1" s="40">
      <c r="A923" s="4" t="n"/>
      <c r="B923" s="4" t="n"/>
      <c r="C923" s="4" t="n"/>
      <c r="D923" s="4" t="n"/>
      <c r="E923" s="4" t="n"/>
      <c r="F923" s="4" t="n"/>
      <c r="G923" s="4" t="n"/>
    </row>
    <row r="924" ht="15.75" customHeight="1" s="40">
      <c r="A924" s="4" t="n"/>
      <c r="B924" s="4" t="n"/>
      <c r="C924" s="4" t="n"/>
      <c r="D924" s="4" t="n"/>
      <c r="E924" s="4" t="n"/>
      <c r="F924" s="4" t="n"/>
      <c r="G924" s="4" t="n"/>
    </row>
    <row r="925" ht="15.75" customHeight="1" s="40">
      <c r="A925" s="4" t="n"/>
      <c r="B925" s="4" t="n"/>
      <c r="C925" s="4" t="n"/>
      <c r="D925" s="4" t="n"/>
      <c r="E925" s="4" t="n"/>
      <c r="F925" s="4" t="n"/>
      <c r="G925" s="4" t="n"/>
    </row>
    <row r="926" ht="15.75" customHeight="1" s="40">
      <c r="A926" s="4" t="n"/>
      <c r="B926" s="4" t="n"/>
      <c r="C926" s="4" t="n"/>
      <c r="D926" s="4" t="n"/>
      <c r="E926" s="4" t="n"/>
      <c r="F926" s="4" t="n"/>
      <c r="G926" s="4" t="n"/>
    </row>
    <row r="927" ht="15.75" customHeight="1" s="40">
      <c r="A927" s="4" t="n"/>
      <c r="B927" s="4" t="n"/>
      <c r="C927" s="4" t="n"/>
      <c r="D927" s="4" t="n"/>
      <c r="E927" s="4" t="n"/>
      <c r="F927" s="4" t="n"/>
      <c r="G927" s="4" t="n"/>
    </row>
    <row r="928" ht="15.75" customHeight="1" s="40">
      <c r="A928" s="4" t="n"/>
      <c r="B928" s="4" t="n"/>
      <c r="C928" s="4" t="n"/>
      <c r="D928" s="4" t="n"/>
      <c r="E928" s="4" t="n"/>
      <c r="F928" s="4" t="n"/>
      <c r="G928" s="4" t="n"/>
    </row>
    <row r="929" ht="15.75" customHeight="1" s="40">
      <c r="A929" s="4" t="n"/>
      <c r="B929" s="4" t="n"/>
      <c r="C929" s="4" t="n"/>
      <c r="D929" s="4" t="n"/>
      <c r="E929" s="4" t="n"/>
      <c r="F929" s="4" t="n"/>
      <c r="G929" s="4" t="n"/>
    </row>
    <row r="930" ht="15.75" customHeight="1" s="40">
      <c r="A930" s="4" t="n"/>
      <c r="B930" s="4" t="n"/>
      <c r="C930" s="4" t="n"/>
      <c r="D930" s="4" t="n"/>
      <c r="E930" s="4" t="n"/>
      <c r="F930" s="4" t="n"/>
      <c r="G930" s="4" t="n"/>
    </row>
    <row r="931" ht="15.75" customHeight="1" s="40">
      <c r="A931" s="4" t="n"/>
      <c r="B931" s="4" t="n"/>
      <c r="C931" s="4" t="n"/>
      <c r="D931" s="4" t="n"/>
      <c r="E931" s="4" t="n"/>
      <c r="F931" s="4" t="n"/>
      <c r="G931" s="4" t="n"/>
    </row>
    <row r="932" ht="15.75" customHeight="1" s="40">
      <c r="A932" s="4" t="n"/>
      <c r="B932" s="4" t="n"/>
      <c r="C932" s="4" t="n"/>
      <c r="D932" s="4" t="n"/>
      <c r="E932" s="4" t="n"/>
      <c r="F932" s="4" t="n"/>
      <c r="G932" s="4" t="n"/>
    </row>
    <row r="933" ht="15.75" customHeight="1" s="40">
      <c r="A933" s="4" t="n"/>
      <c r="B933" s="4" t="n"/>
      <c r="C933" s="4" t="n"/>
      <c r="D933" s="4" t="n"/>
      <c r="E933" s="4" t="n"/>
      <c r="F933" s="4" t="n"/>
      <c r="G933" s="4" t="n"/>
    </row>
    <row r="934" ht="15.75" customHeight="1" s="40">
      <c r="A934" s="4" t="n"/>
      <c r="B934" s="4" t="n"/>
      <c r="C934" s="4" t="n"/>
      <c r="D934" s="4" t="n"/>
      <c r="E934" s="4" t="n"/>
      <c r="F934" s="4" t="n"/>
      <c r="G934" s="4" t="n"/>
    </row>
    <row r="935" ht="15.75" customHeight="1" s="40">
      <c r="A935" s="4" t="n"/>
      <c r="B935" s="4" t="n"/>
      <c r="C935" s="4" t="n"/>
      <c r="D935" s="4" t="n"/>
      <c r="E935" s="4" t="n"/>
      <c r="F935" s="4" t="n"/>
      <c r="G935" s="4" t="n"/>
    </row>
    <row r="936" ht="15.75" customHeight="1" s="40">
      <c r="A936" s="4" t="n"/>
      <c r="B936" s="4" t="n"/>
      <c r="C936" s="4" t="n"/>
      <c r="D936" s="4" t="n"/>
      <c r="E936" s="4" t="n"/>
      <c r="F936" s="4" t="n"/>
      <c r="G936" s="4" t="n"/>
    </row>
    <row r="937" ht="15.75" customHeight="1" s="40">
      <c r="A937" s="4" t="n"/>
      <c r="B937" s="4" t="n"/>
      <c r="C937" s="4" t="n"/>
      <c r="D937" s="4" t="n"/>
      <c r="E937" s="4" t="n"/>
      <c r="F937" s="4" t="n"/>
      <c r="G937" s="4" t="n"/>
    </row>
    <row r="938" ht="15.75" customHeight="1" s="40">
      <c r="A938" s="4" t="n"/>
      <c r="B938" s="4" t="n"/>
      <c r="C938" s="4" t="n"/>
      <c r="D938" s="4" t="n"/>
      <c r="E938" s="4" t="n"/>
      <c r="F938" s="4" t="n"/>
      <c r="G938" s="4" t="n"/>
    </row>
    <row r="939" ht="15.75" customHeight="1" s="40">
      <c r="A939" s="4" t="n"/>
      <c r="B939" s="4" t="n"/>
      <c r="C939" s="4" t="n"/>
      <c r="D939" s="4" t="n"/>
      <c r="E939" s="4" t="n"/>
      <c r="F939" s="4" t="n"/>
      <c r="G939" s="4" t="n"/>
    </row>
    <row r="940" ht="15.75" customHeight="1" s="40">
      <c r="A940" s="4" t="n"/>
      <c r="B940" s="4" t="n"/>
      <c r="C940" s="4" t="n"/>
      <c r="D940" s="4" t="n"/>
      <c r="E940" s="4" t="n"/>
      <c r="F940" s="4" t="n"/>
      <c r="G940" s="4" t="n"/>
    </row>
    <row r="941" ht="15.75" customHeight="1" s="40">
      <c r="A941" s="4" t="n"/>
      <c r="B941" s="4" t="n"/>
      <c r="C941" s="4" t="n"/>
      <c r="D941" s="4" t="n"/>
      <c r="E941" s="4" t="n"/>
      <c r="F941" s="4" t="n"/>
      <c r="G941" s="4" t="n"/>
    </row>
    <row r="942" ht="15.75" customHeight="1" s="40">
      <c r="A942" s="4" t="n"/>
      <c r="B942" s="4" t="n"/>
      <c r="C942" s="4" t="n"/>
      <c r="D942" s="4" t="n"/>
      <c r="E942" s="4" t="n"/>
      <c r="F942" s="4" t="n"/>
      <c r="G942" s="4" t="n"/>
    </row>
    <row r="943" ht="15.75" customHeight="1" s="40">
      <c r="A943" s="4" t="n"/>
      <c r="B943" s="4" t="n"/>
      <c r="C943" s="4" t="n"/>
      <c r="D943" s="4" t="n"/>
      <c r="E943" s="4" t="n"/>
      <c r="F943" s="4" t="n"/>
      <c r="G943" s="4" t="n"/>
    </row>
    <row r="944" ht="15.75" customHeight="1" s="40">
      <c r="A944" s="4" t="n"/>
      <c r="B944" s="4" t="n"/>
      <c r="C944" s="4" t="n"/>
      <c r="D944" s="4" t="n"/>
      <c r="E944" s="4" t="n"/>
      <c r="F944" s="4" t="n"/>
      <c r="G944" s="4" t="n"/>
    </row>
    <row r="945" ht="15.75" customHeight="1" s="40">
      <c r="A945" s="4" t="n"/>
      <c r="B945" s="4" t="n"/>
      <c r="C945" s="4" t="n"/>
      <c r="D945" s="4" t="n"/>
      <c r="E945" s="4" t="n"/>
      <c r="F945" s="4" t="n"/>
      <c r="G945" s="4" t="n"/>
    </row>
    <row r="946" ht="15.75" customHeight="1" s="40">
      <c r="A946" s="4" t="n"/>
      <c r="B946" s="4" t="n"/>
      <c r="C946" s="4" t="n"/>
      <c r="D946" s="4" t="n"/>
      <c r="E946" s="4" t="n"/>
      <c r="F946" s="4" t="n"/>
      <c r="G946" s="4" t="n"/>
    </row>
    <row r="947" ht="15.75" customHeight="1" s="40">
      <c r="A947" s="4" t="n"/>
      <c r="B947" s="4" t="n"/>
      <c r="C947" s="4" t="n"/>
      <c r="D947" s="4" t="n"/>
      <c r="E947" s="4" t="n"/>
      <c r="F947" s="4" t="n"/>
      <c r="G947" s="4" t="n"/>
    </row>
    <row r="948" ht="15.75" customHeight="1" s="40">
      <c r="A948" s="4" t="n"/>
      <c r="B948" s="4" t="n"/>
      <c r="C948" s="4" t="n"/>
      <c r="D948" s="4" t="n"/>
      <c r="E948" s="4" t="n"/>
      <c r="F948" s="4" t="n"/>
      <c r="G948" s="4" t="n"/>
    </row>
    <row r="949" ht="15.75" customHeight="1" s="40">
      <c r="A949" s="4" t="n"/>
      <c r="B949" s="4" t="n"/>
      <c r="C949" s="4" t="n"/>
      <c r="D949" s="4" t="n"/>
      <c r="E949" s="4" t="n"/>
      <c r="F949" s="4" t="n"/>
      <c r="G949" s="4" t="n"/>
    </row>
    <row r="950" ht="15.75" customHeight="1" s="40">
      <c r="A950" s="4" t="n"/>
      <c r="B950" s="4" t="n"/>
      <c r="C950" s="4" t="n"/>
      <c r="D950" s="4" t="n"/>
      <c r="E950" s="4" t="n"/>
      <c r="F950" s="4" t="n"/>
      <c r="G950" s="4" t="n"/>
    </row>
    <row r="951" ht="15.75" customHeight="1" s="40">
      <c r="A951" s="4" t="n"/>
      <c r="B951" s="4" t="n"/>
      <c r="C951" s="4" t="n"/>
      <c r="D951" s="4" t="n"/>
      <c r="E951" s="4" t="n"/>
      <c r="F951" s="4" t="n"/>
      <c r="G951" s="4" t="n"/>
    </row>
    <row r="952" ht="15.75" customHeight="1" s="40">
      <c r="A952" s="4" t="n"/>
      <c r="B952" s="4" t="n"/>
      <c r="C952" s="4" t="n"/>
      <c r="D952" s="4" t="n"/>
      <c r="E952" s="4" t="n"/>
      <c r="F952" s="4" t="n"/>
      <c r="G952" s="4" t="n"/>
    </row>
    <row r="953" ht="15.75" customHeight="1" s="40">
      <c r="A953" s="4" t="n"/>
      <c r="B953" s="4" t="n"/>
      <c r="C953" s="4" t="n"/>
      <c r="D953" s="4" t="n"/>
      <c r="E953" s="4" t="n"/>
      <c r="F953" s="4" t="n"/>
      <c r="G953" s="4" t="n"/>
    </row>
    <row r="954" ht="15.75" customHeight="1" s="40">
      <c r="A954" s="4" t="n"/>
      <c r="B954" s="4" t="n"/>
      <c r="C954" s="4" t="n"/>
      <c r="D954" s="4" t="n"/>
      <c r="E954" s="4" t="n"/>
      <c r="F954" s="4" t="n"/>
      <c r="G954" s="4" t="n"/>
    </row>
    <row r="955" ht="15.75" customHeight="1" s="40">
      <c r="A955" s="4" t="n"/>
      <c r="B955" s="4" t="n"/>
      <c r="C955" s="4" t="n"/>
      <c r="D955" s="4" t="n"/>
      <c r="E955" s="4" t="n"/>
      <c r="F955" s="4" t="n"/>
      <c r="G955" s="4" t="n"/>
    </row>
    <row r="956" ht="15.75" customHeight="1" s="40">
      <c r="A956" s="4" t="n"/>
      <c r="B956" s="4" t="n"/>
      <c r="C956" s="4" t="n"/>
      <c r="D956" s="4" t="n"/>
      <c r="E956" s="4" t="n"/>
      <c r="F956" s="4" t="n"/>
      <c r="G956" s="4" t="n"/>
    </row>
    <row r="957" ht="15.75" customHeight="1" s="40">
      <c r="A957" s="4" t="n"/>
      <c r="B957" s="4" t="n"/>
      <c r="C957" s="4" t="n"/>
      <c r="D957" s="4" t="n"/>
      <c r="E957" s="4" t="n"/>
      <c r="F957" s="4" t="n"/>
      <c r="G957" s="4" t="n"/>
    </row>
    <row r="958" ht="15.75" customHeight="1" s="40">
      <c r="A958" s="4" t="n"/>
      <c r="B958" s="4" t="n"/>
      <c r="C958" s="4" t="n"/>
      <c r="D958" s="4" t="n"/>
      <c r="E958" s="4" t="n"/>
      <c r="F958" s="4" t="n"/>
      <c r="G958" s="4" t="n"/>
    </row>
    <row r="959" ht="15.75" customHeight="1" s="40">
      <c r="A959" s="4" t="n"/>
      <c r="B959" s="4" t="n"/>
      <c r="C959" s="4" t="n"/>
      <c r="D959" s="4" t="n"/>
      <c r="E959" s="4" t="n"/>
      <c r="F959" s="4" t="n"/>
      <c r="G959" s="4" t="n"/>
    </row>
    <row r="960" ht="15.75" customHeight="1" s="40">
      <c r="A960" s="4" t="n"/>
      <c r="B960" s="4" t="n"/>
      <c r="C960" s="4" t="n"/>
      <c r="D960" s="4" t="n"/>
      <c r="E960" s="4" t="n"/>
      <c r="F960" s="4" t="n"/>
      <c r="G960" s="4" t="n"/>
    </row>
    <row r="961" ht="15.75" customHeight="1" s="40">
      <c r="A961" s="4" t="n"/>
      <c r="B961" s="4" t="n"/>
      <c r="C961" s="4" t="n"/>
      <c r="D961" s="4" t="n"/>
      <c r="E961" s="4" t="n"/>
      <c r="F961" s="4" t="n"/>
      <c r="G961" s="4" t="n"/>
    </row>
    <row r="962" ht="15.75" customHeight="1" s="40">
      <c r="A962" s="4" t="n"/>
      <c r="B962" s="4" t="n"/>
      <c r="C962" s="4" t="n"/>
      <c r="D962" s="4" t="n"/>
      <c r="E962" s="4" t="n"/>
      <c r="F962" s="4" t="n"/>
      <c r="G962" s="4" t="n"/>
    </row>
    <row r="963" ht="15.75" customHeight="1" s="40">
      <c r="A963" s="4" t="n"/>
      <c r="B963" s="4" t="n"/>
      <c r="C963" s="4" t="n"/>
      <c r="D963" s="4" t="n"/>
      <c r="E963" s="4" t="n"/>
      <c r="F963" s="4" t="n"/>
      <c r="G963" s="4" t="n"/>
    </row>
    <row r="964" ht="15.75" customHeight="1" s="40">
      <c r="A964" s="4" t="n"/>
      <c r="B964" s="4" t="n"/>
      <c r="C964" s="4" t="n"/>
      <c r="D964" s="4" t="n"/>
      <c r="E964" s="4" t="n"/>
      <c r="F964" s="4" t="n"/>
      <c r="G964" s="4" t="n"/>
    </row>
    <row r="965" ht="15.75" customHeight="1" s="40">
      <c r="A965" s="4" t="n"/>
      <c r="B965" s="4" t="n"/>
      <c r="C965" s="4" t="n"/>
      <c r="D965" s="4" t="n"/>
      <c r="E965" s="4" t="n"/>
      <c r="F965" s="4" t="n"/>
      <c r="G965" s="4" t="n"/>
    </row>
    <row r="966" ht="15.75" customHeight="1" s="40">
      <c r="A966" s="4" t="n"/>
      <c r="B966" s="4" t="n"/>
      <c r="C966" s="4" t="n"/>
      <c r="D966" s="4" t="n"/>
      <c r="E966" s="4" t="n"/>
      <c r="F966" s="4" t="n"/>
      <c r="G966" s="4" t="n"/>
    </row>
    <row r="967" ht="15.75" customHeight="1" s="40">
      <c r="A967" s="4" t="n"/>
      <c r="B967" s="4" t="n"/>
      <c r="C967" s="4" t="n"/>
      <c r="D967" s="4" t="n"/>
      <c r="E967" s="4" t="n"/>
      <c r="F967" s="4" t="n"/>
      <c r="G967" s="4" t="n"/>
    </row>
    <row r="968" ht="15.75" customHeight="1" s="40">
      <c r="A968" s="4" t="n"/>
      <c r="B968" s="4" t="n"/>
      <c r="C968" s="4" t="n"/>
      <c r="D968" s="4" t="n"/>
      <c r="E968" s="4" t="n"/>
      <c r="F968" s="4" t="n"/>
      <c r="G968" s="4" t="n"/>
    </row>
    <row r="969" ht="15.75" customHeight="1" s="40">
      <c r="A969" s="4" t="n"/>
      <c r="B969" s="4" t="n"/>
      <c r="C969" s="4" t="n"/>
      <c r="D969" s="4" t="n"/>
      <c r="E969" s="4" t="n"/>
      <c r="F969" s="4" t="n"/>
      <c r="G969" s="4" t="n"/>
    </row>
    <row r="970" ht="15.75" customHeight="1" s="40">
      <c r="A970" s="4" t="n"/>
      <c r="B970" s="4" t="n"/>
      <c r="C970" s="4" t="n"/>
      <c r="D970" s="4" t="n"/>
      <c r="E970" s="4" t="n"/>
      <c r="F970" s="4" t="n"/>
      <c r="G970" s="4" t="n"/>
    </row>
    <row r="971" ht="15.75" customHeight="1" s="40">
      <c r="A971" s="4" t="n"/>
      <c r="B971" s="4" t="n"/>
      <c r="C971" s="4" t="n"/>
      <c r="D971" s="4" t="n"/>
      <c r="E971" s="4" t="n"/>
      <c r="F971" s="4" t="n"/>
      <c r="G971" s="4" t="n"/>
    </row>
    <row r="972" ht="15.75" customHeight="1" s="40">
      <c r="A972" s="4" t="n"/>
      <c r="B972" s="4" t="n"/>
      <c r="C972" s="4" t="n"/>
      <c r="D972" s="4" t="n"/>
      <c r="E972" s="4" t="n"/>
      <c r="F972" s="4" t="n"/>
      <c r="G972" s="4" t="n"/>
    </row>
    <row r="973" ht="15.75" customHeight="1" s="40">
      <c r="A973" s="4" t="n"/>
      <c r="B973" s="4" t="n"/>
      <c r="C973" s="4" t="n"/>
      <c r="D973" s="4" t="n"/>
      <c r="E973" s="4" t="n"/>
      <c r="F973" s="4" t="n"/>
      <c r="G973" s="4" t="n"/>
    </row>
    <row r="974" ht="15.75" customHeight="1" s="40">
      <c r="A974" s="4" t="n"/>
      <c r="B974" s="4" t="n"/>
      <c r="C974" s="4" t="n"/>
      <c r="D974" s="4" t="n"/>
      <c r="E974" s="4" t="n"/>
      <c r="F974" s="4" t="n"/>
      <c r="G974" s="4" t="n"/>
    </row>
    <row r="975" ht="15.75" customHeight="1" s="40">
      <c r="A975" s="4" t="n"/>
      <c r="B975" s="4" t="n"/>
      <c r="C975" s="4" t="n"/>
      <c r="D975" s="4" t="n"/>
      <c r="E975" s="4" t="n"/>
      <c r="F975" s="4" t="n"/>
      <c r="G975" s="4" t="n"/>
    </row>
    <row r="976" ht="15.75" customHeight="1" s="40">
      <c r="A976" s="4" t="n"/>
      <c r="B976" s="4" t="n"/>
      <c r="C976" s="4" t="n"/>
      <c r="D976" s="4" t="n"/>
      <c r="E976" s="4" t="n"/>
      <c r="F976" s="4" t="n"/>
      <c r="G976" s="4" t="n"/>
    </row>
    <row r="977" ht="15.75" customHeight="1" s="40">
      <c r="A977" s="4" t="n"/>
      <c r="B977" s="4" t="n"/>
      <c r="C977" s="4" t="n"/>
      <c r="D977" s="4" t="n"/>
      <c r="E977" s="4" t="n"/>
      <c r="F977" s="4" t="n"/>
      <c r="G977" s="4" t="n"/>
    </row>
    <row r="978" ht="15.75" customHeight="1" s="40">
      <c r="A978" s="4" t="n"/>
      <c r="B978" s="4" t="n"/>
      <c r="C978" s="4" t="n"/>
      <c r="D978" s="4" t="n"/>
      <c r="E978" s="4" t="n"/>
      <c r="F978" s="4" t="n"/>
      <c r="G978" s="4" t="n"/>
    </row>
    <row r="979" ht="15.75" customHeight="1" s="40">
      <c r="A979" s="4" t="n"/>
      <c r="B979" s="4" t="n"/>
      <c r="C979" s="4" t="n"/>
      <c r="D979" s="4" t="n"/>
      <c r="E979" s="4" t="n"/>
      <c r="F979" s="4" t="n"/>
      <c r="G979" s="4" t="n"/>
    </row>
    <row r="980" ht="15.75" customHeight="1" s="40">
      <c r="A980" s="4" t="n"/>
      <c r="B980" s="4" t="n"/>
      <c r="C980" s="4" t="n"/>
      <c r="D980" s="4" t="n"/>
      <c r="E980" s="4" t="n"/>
      <c r="F980" s="4" t="n"/>
      <c r="G980" s="4" t="n"/>
    </row>
    <row r="981" ht="15.75" customHeight="1" s="40">
      <c r="A981" s="4" t="n"/>
      <c r="B981" s="4" t="n"/>
      <c r="C981" s="4" t="n"/>
      <c r="D981" s="4" t="n"/>
      <c r="E981" s="4" t="n"/>
      <c r="F981" s="4" t="n"/>
      <c r="G981" s="4" t="n"/>
    </row>
    <row r="982" ht="15.75" customHeight="1" s="40">
      <c r="A982" s="4" t="n"/>
      <c r="B982" s="4" t="n"/>
      <c r="C982" s="4" t="n"/>
      <c r="D982" s="4" t="n"/>
      <c r="E982" s="4" t="n"/>
      <c r="F982" s="4" t="n"/>
      <c r="G982" s="4" t="n"/>
    </row>
    <row r="983" ht="15.75" customHeight="1" s="40">
      <c r="A983" s="4" t="n"/>
      <c r="B983" s="4" t="n"/>
      <c r="C983" s="4" t="n"/>
      <c r="D983" s="4" t="n"/>
      <c r="E983" s="4" t="n"/>
      <c r="F983" s="4" t="n"/>
      <c r="G983" s="4" t="n"/>
    </row>
    <row r="984" ht="15.75" customHeight="1" s="40">
      <c r="A984" s="4" t="n"/>
      <c r="B984" s="4" t="n"/>
      <c r="C984" s="4" t="n"/>
      <c r="D984" s="4" t="n"/>
      <c r="E984" s="4" t="n"/>
      <c r="F984" s="4" t="n"/>
      <c r="G984" s="4" t="n"/>
    </row>
    <row r="985" ht="15.75" customHeight="1" s="40">
      <c r="A985" s="4" t="n"/>
      <c r="B985" s="4" t="n"/>
      <c r="C985" s="4" t="n"/>
      <c r="D985" s="4" t="n"/>
      <c r="E985" s="4" t="n"/>
      <c r="F985" s="4" t="n"/>
      <c r="G985" s="4" t="n"/>
    </row>
    <row r="986" ht="15.75" customHeight="1" s="40">
      <c r="A986" s="4" t="n"/>
      <c r="B986" s="4" t="n"/>
      <c r="C986" s="4" t="n"/>
      <c r="D986" s="4" t="n"/>
      <c r="E986" s="4" t="n"/>
      <c r="F986" s="4" t="n"/>
      <c r="G986" s="4" t="n"/>
    </row>
    <row r="987" ht="15.75" customHeight="1" s="40">
      <c r="A987" s="4" t="n"/>
      <c r="B987" s="4" t="n"/>
      <c r="C987" s="4" t="n"/>
      <c r="D987" s="4" t="n"/>
      <c r="E987" s="4" t="n"/>
      <c r="F987" s="4" t="n"/>
      <c r="G987" s="4" t="n"/>
    </row>
    <row r="988" ht="15.75" customHeight="1" s="40">
      <c r="A988" s="4" t="n"/>
      <c r="B988" s="4" t="n"/>
      <c r="C988" s="4" t="n"/>
      <c r="D988" s="4" t="n"/>
      <c r="E988" s="4" t="n"/>
      <c r="F988" s="4" t="n"/>
      <c r="G988" s="4" t="n"/>
    </row>
    <row r="989" ht="15.75" customHeight="1" s="40">
      <c r="A989" s="4" t="n"/>
      <c r="B989" s="4" t="n"/>
      <c r="C989" s="4" t="n"/>
      <c r="D989" s="4" t="n"/>
      <c r="E989" s="4" t="n"/>
      <c r="F989" s="4" t="n"/>
      <c r="G989" s="4" t="n"/>
    </row>
    <row r="990" ht="15.75" customHeight="1" s="40">
      <c r="A990" s="4" t="n"/>
      <c r="B990" s="4" t="n"/>
      <c r="C990" s="4" t="n"/>
      <c r="D990" s="4" t="n"/>
      <c r="E990" s="4" t="n"/>
      <c r="F990" s="4" t="n"/>
      <c r="G990" s="4" t="n"/>
    </row>
    <row r="991" ht="15.75" customHeight="1" s="40">
      <c r="A991" s="4" t="n"/>
      <c r="B991" s="4" t="n"/>
      <c r="C991" s="4" t="n"/>
      <c r="D991" s="4" t="n"/>
      <c r="E991" s="4" t="n"/>
      <c r="F991" s="4" t="n"/>
      <c r="G991" s="4" t="n"/>
    </row>
    <row r="992" ht="15.75" customHeight="1" s="40">
      <c r="A992" s="4" t="n"/>
      <c r="B992" s="4" t="n"/>
      <c r="C992" s="4" t="n"/>
      <c r="D992" s="4" t="n"/>
      <c r="E992" s="4" t="n"/>
      <c r="F992" s="4" t="n"/>
      <c r="G992" s="4" t="n"/>
    </row>
    <row r="993" ht="15.75" customHeight="1" s="40">
      <c r="A993" s="4" t="n"/>
      <c r="B993" s="4" t="n"/>
      <c r="C993" s="4" t="n"/>
      <c r="D993" s="4" t="n"/>
      <c r="E993" s="4" t="n"/>
      <c r="F993" s="4" t="n"/>
      <c r="G993" s="4" t="n"/>
    </row>
    <row r="994" ht="15.75" customHeight="1" s="40">
      <c r="A994" s="4" t="n"/>
      <c r="B994" s="4" t="n"/>
      <c r="C994" s="4" t="n"/>
      <c r="D994" s="4" t="n"/>
      <c r="E994" s="4" t="n"/>
      <c r="F994" s="4" t="n"/>
      <c r="G994" s="4" t="n"/>
    </row>
    <row r="995" ht="15.75" customHeight="1" s="40">
      <c r="A995" s="4" t="n"/>
      <c r="B995" s="4" t="n"/>
      <c r="C995" s="4" t="n"/>
      <c r="D995" s="4" t="n"/>
      <c r="E995" s="4" t="n"/>
      <c r="F995" s="4" t="n"/>
      <c r="G995" s="4" t="n"/>
    </row>
    <row r="996" ht="15.75" customHeight="1" s="40">
      <c r="A996" s="4" t="n"/>
      <c r="B996" s="4" t="n"/>
      <c r="C996" s="4" t="n"/>
      <c r="D996" s="4" t="n"/>
      <c r="E996" s="4" t="n"/>
      <c r="F996" s="4" t="n"/>
      <c r="G996" s="4" t="n"/>
    </row>
    <row r="997" ht="15.75" customHeight="1" s="40">
      <c r="A997" s="4" t="n"/>
      <c r="B997" s="4" t="n"/>
      <c r="C997" s="4" t="n"/>
      <c r="D997" s="4" t="n"/>
      <c r="E997" s="4" t="n"/>
      <c r="F997" s="4" t="n"/>
      <c r="G997" s="4" t="n"/>
    </row>
    <row r="998" ht="15.75" customHeight="1" s="40">
      <c r="A998" s="4" t="n"/>
      <c r="B998" s="4" t="n"/>
      <c r="C998" s="4" t="n"/>
      <c r="D998" s="4" t="n"/>
      <c r="E998" s="4" t="n"/>
      <c r="F998" s="4" t="n"/>
      <c r="G998" s="4" t="n"/>
    </row>
    <row r="999" ht="15.75" customHeight="1" s="40">
      <c r="A999" s="4" t="n"/>
      <c r="B999" s="4" t="n"/>
      <c r="C999" s="4" t="n"/>
      <c r="D999" s="4" t="n"/>
      <c r="E999" s="4" t="n"/>
      <c r="F999" s="4" t="n"/>
      <c r="G999" s="4" t="n"/>
    </row>
    <row r="1000" ht="15.75" customHeight="1" s="40">
      <c r="A1000" s="4" t="n"/>
      <c r="B1000" s="4" t="n"/>
      <c r="C1000" s="4" t="n"/>
      <c r="D1000" s="4" t="n"/>
      <c r="E1000" s="4" t="n"/>
      <c r="F1000" s="4" t="n"/>
      <c r="G1000" s="4" t="n"/>
    </row>
  </sheetData>
  <autoFilter ref="$A$4:$G$12"/>
  <pageMargins left="0.75" right="0.75" top="1" bottom="1" header="0" footer="0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8" customWidth="1" style="40" min="1" max="1"/>
    <col width="34" customWidth="1" style="40" min="2" max="2"/>
    <col width="20" customWidth="1" style="40" min="3" max="3"/>
    <col width="58" customWidth="1" style="40" min="4" max="4"/>
    <col width="86" customWidth="1" style="40" min="5" max="5"/>
    <col width="10" customWidth="1" style="40" min="6" max="6"/>
    <col width="8.710000000000001" customWidth="1" style="40" min="7" max="26"/>
  </cols>
  <sheetData>
    <row r="1" ht="17.25" customHeight="1" s="40">
      <c r="A1" s="1" t="inlineStr">
        <is>
          <t>Layer 5 —— 监管：CCF 与 ccf_source</t>
        </is>
      </c>
      <c r="B1" s="4" t="n"/>
      <c r="C1" s="4" t="n"/>
      <c r="D1" s="4" t="n"/>
      <c r="E1" s="4" t="n"/>
      <c r="F1" s="4" t="n"/>
    </row>
    <row r="2" ht="15" customHeight="1" s="40">
      <c r="A2" s="5" t="inlineStr">
        <is>
          <t>I10：监管报表「只」读取 ccf_source = REGULATORY。内部政策性重定权重仅进入 ead_economic 与管理报表，绝不进入监管报送。</t>
        </is>
      </c>
      <c r="B2" s="4" t="n"/>
      <c r="C2" s="4" t="n"/>
      <c r="D2" s="4" t="n"/>
      <c r="E2" s="4" t="n"/>
      <c r="F2" s="4" t="n"/>
    </row>
    <row r="3">
      <c r="A3" s="4" t="n"/>
      <c r="B3" s="4" t="n"/>
      <c r="C3" s="4" t="n"/>
      <c r="D3" s="4" t="n"/>
      <c r="E3" s="4" t="n"/>
      <c r="F3" s="4" t="n"/>
    </row>
    <row r="4" ht="30" customHeight="1" s="40">
      <c r="A4" s="12" t="inlineStr">
        <is>
          <t>ccf_class（CCF 类别）</t>
        </is>
      </c>
      <c r="B4" s="12" t="inlineStr">
        <is>
          <t>CCF</t>
        </is>
      </c>
      <c r="C4" s="12" t="inlineStr">
        <is>
          <t>ccf_source（依据来源）</t>
        </is>
      </c>
      <c r="D4" s="10" t="inlineStr">
        <is>
          <t>适用范围</t>
        </is>
      </c>
      <c r="E4" s="10" t="inlineStr">
        <is>
          <t>依据 / 注意事项</t>
        </is>
      </c>
      <c r="F4" s="12" t="inlineStr">
        <is>
          <t>v2 出处</t>
        </is>
      </c>
    </row>
    <row r="5" ht="23.25" customHeight="1" s="40">
      <c r="A5" s="19" t="inlineStr">
        <is>
          <t>TRADE_20</t>
        </is>
      </c>
      <c r="B5" s="19" t="inlineStr">
        <is>
          <t>20%</t>
        </is>
      </c>
      <c r="C5" s="19" t="inlineStr">
        <is>
          <t>REGULATORY</t>
        </is>
      </c>
      <c r="D5" s="21" t="inlineStr">
        <is>
          <t>Import LC; export confirmation — short-term self-liquidating, collateralised by the shipment</t>
        </is>
      </c>
      <c r="E5" s="21" t="inlineStr">
        <is>
          <t>Basel III CRE20.</t>
        </is>
      </c>
      <c r="F5" s="19" t="inlineStr">
        <is>
          <t>§10.3</t>
        </is>
      </c>
    </row>
    <row r="6" ht="15" customHeight="1" s="40">
      <c r="A6" s="14" t="inlineStr">
        <is>
          <t>PERF_50</t>
        </is>
      </c>
      <c r="B6" s="14" t="inlineStr">
        <is>
          <t>50%</t>
        </is>
      </c>
      <c r="C6" s="14" t="inlineStr">
        <is>
          <t>REGULATORY</t>
        </is>
      </c>
      <c r="D6" s="15" t="inlineStr">
        <is>
          <t>Performance guarantees and performance standbys</t>
        </is>
      </c>
      <c r="E6" s="15" t="inlineStr">
        <is>
          <t>CRE20.</t>
        </is>
      </c>
      <c r="F6" s="14" t="inlineStr">
        <is>
          <t>§10.3</t>
        </is>
      </c>
    </row>
    <row r="7" ht="15" customHeight="1" s="40">
      <c r="A7" s="19" t="inlineStr">
        <is>
          <t>DIRECT_CREDIT_SUB_100</t>
        </is>
      </c>
      <c r="B7" s="19" t="inlineStr">
        <is>
          <t>100%</t>
        </is>
      </c>
      <c r="C7" s="19" t="inlineStr">
        <is>
          <t>REGULATORY</t>
        </is>
      </c>
      <c r="D7" s="21" t="inlineStr">
        <is>
          <t>Financial standbys; avalisation of drafts</t>
        </is>
      </c>
      <c r="E7" s="21" t="inlineStr">
        <is>
          <t>CRE20.</t>
        </is>
      </c>
      <c r="F7" s="19" t="inlineStr">
        <is>
          <t>§10.3</t>
        </is>
      </c>
    </row>
    <row r="8" ht="15" customHeight="1" s="40">
      <c r="A8" s="14" t="inlineStr">
        <is>
          <t>COMMITMENT_40</t>
        </is>
      </c>
      <c r="B8" s="14" t="inlineStr">
        <is>
          <t>40%</t>
        </is>
      </c>
      <c r="C8" s="14" t="inlineStr">
        <is>
          <t>REGULATORY</t>
        </is>
      </c>
      <c r="D8" s="15" t="inlineStr">
        <is>
          <t>Advised commitments</t>
        </is>
      </c>
      <c r="E8" s="15" t="inlineStr">
        <is>
          <t>CRE20.</t>
        </is>
      </c>
      <c r="F8" s="14" t="inlineStr">
        <is>
          <t>§10.3</t>
        </is>
      </c>
    </row>
    <row r="9" ht="15" customHeight="1" s="40">
      <c r="A9" s="19" t="inlineStr">
        <is>
          <t>UCC_10</t>
        </is>
      </c>
      <c r="B9" s="19" t="inlineStr">
        <is>
          <t>10%</t>
        </is>
      </c>
      <c r="C9" s="19" t="inlineStr">
        <is>
          <t>REGULATORY</t>
        </is>
      </c>
      <c r="D9" s="21" t="inlineStr">
        <is>
          <t>Advised, unconditionally cancellable commitments</t>
        </is>
      </c>
      <c r="E9" s="21" t="inlineStr">
        <is>
          <t>Basel III raised UCC from 0% to 10%. The Basel II 0% treatment is SUPERSEDED.</t>
        </is>
      </c>
      <c r="F9" s="19" t="inlineStr">
        <is>
          <t>§10.3</t>
        </is>
      </c>
    </row>
    <row r="10" ht="15" customHeight="1" s="40">
      <c r="A10" s="14" t="inlineStr">
        <is>
          <t>SG_DCS_100</t>
        </is>
      </c>
      <c r="B10" s="14" t="inlineStr">
        <is>
          <t>100%</t>
        </is>
      </c>
      <c r="C10" s="26" t="inlineStr">
        <is>
          <t>INTERNAL_POLICY</t>
        </is>
      </c>
      <c r="D10" s="15" t="inlineStr">
        <is>
          <t>Shipping guarantee / delivery order endorsement</t>
        </is>
      </c>
      <c r="E10" s="15" t="inlineStr">
        <is>
          <t>CRE20 does not name shipping guarantees. Reasoned position: an unconditional indemnity to a carrier.</t>
        </is>
      </c>
      <c r="F10" s="14" t="inlineStr">
        <is>
          <t>§10.3</t>
        </is>
      </c>
    </row>
    <row r="11" ht="34.5" customHeight="1" s="40">
      <c r="A11" s="19" t="inlineStr">
        <is>
          <t>LC_POST_SG_100</t>
        </is>
      </c>
      <c r="B11" s="19" t="inlineStr">
        <is>
          <t>100%</t>
        </is>
      </c>
      <c r="C11" s="28" t="inlineStr">
        <is>
          <t>INTERNAL_POLICY</t>
        </is>
      </c>
      <c r="D11" s="21" t="inlineStr">
        <is>
          <t>LC covered by an SG — covered portion only</t>
        </is>
      </c>
      <c r="E11" s="21" t="inlineStr">
        <is>
          <t>CRE20 contains NO such reclassification. Basis: the 20% CCF is conditioned on the credit being self-liquidating and collateralised by the shipment; once the goods are released that condition fails. Agree with your supervisor.</t>
        </is>
      </c>
      <c r="F11" s="19" t="inlineStr">
        <is>
          <t>§10.3</t>
        </is>
      </c>
    </row>
    <row r="12" ht="23.25" customHeight="1" s="40">
      <c r="A12" s="14" t="inlineStr">
        <is>
          <t>RMB_UNDERTAKING</t>
        </is>
      </c>
      <c r="B12" s="14" t="inlineStr">
        <is>
          <t>100% pending supervisory confirmation</t>
        </is>
      </c>
      <c r="C12" s="26" t="inlineStr">
        <is>
          <t>INTERNAL_POLICY</t>
        </is>
      </c>
      <c r="D12" s="15" t="inlineStr">
        <is>
          <t>URR 725 reimbursement undertaking</t>
        </is>
      </c>
      <c r="E12" s="15" t="inlineStr">
        <is>
          <t>The reimbursing bank never sees the shipping documents, so the 'collateralised by the shipment' precondition for the 20% class fails. Do not default to 20%.</t>
        </is>
      </c>
      <c r="F12" s="14" t="inlineStr">
        <is>
          <t>§10.3</t>
        </is>
      </c>
    </row>
    <row r="13" ht="15" customHeight="1" s="40">
      <c r="A13" s="19" t="inlineStr">
        <is>
          <t>(n/a — on balance sheet)</t>
        </is>
      </c>
      <c r="B13" s="19" t="inlineStr">
        <is>
          <t>—</t>
        </is>
      </c>
      <c r="C13" s="19" t="inlineStr">
        <is>
          <t>—</t>
        </is>
      </c>
      <c r="D13" s="21" t="inlineStr">
        <is>
          <t>Acceptances and incurred DPUs</t>
        </is>
      </c>
      <c r="E13" s="21" t="inlineStr">
        <is>
          <t>NOT an off-BS item at all. Risk-weight as a funded claim on the obligor.</t>
        </is>
      </c>
      <c r="F13" s="19" t="inlineStr">
        <is>
          <t>§3.7</t>
        </is>
      </c>
    </row>
    <row r="14" ht="15" customHeight="1" s="40">
      <c r="A14" s="14" t="inlineStr">
        <is>
          <t>(none)</t>
        </is>
      </c>
      <c r="B14" s="14" t="inlineStr">
        <is>
          <t>—</t>
        </is>
      </c>
      <c r="C14" s="14" t="inlineStr">
        <is>
          <t>—</t>
        </is>
      </c>
      <c r="D14" s="15" t="inlineStr">
        <is>
          <t>Unadvised line</t>
        </is>
      </c>
      <c r="E14" s="15" t="inlineStr">
        <is>
          <t>Not a 'commitment' under CRE20 — no arrangement offered AND accepted. Attracts nothing.</t>
        </is>
      </c>
      <c r="F14" s="14" t="inlineStr">
        <is>
          <t>§10.3</t>
        </is>
      </c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 ht="15.75" customHeight="1" s="40">
      <c r="A21" s="4" t="n"/>
      <c r="B21" s="4" t="n"/>
      <c r="C21" s="4" t="n"/>
      <c r="D21" s="4" t="n"/>
      <c r="E21" s="4" t="n"/>
      <c r="F21" s="4" t="n"/>
    </row>
    <row r="22" ht="15.75" customHeight="1" s="40">
      <c r="A22" s="4" t="n"/>
      <c r="B22" s="4" t="n"/>
      <c r="C22" s="4" t="n"/>
      <c r="D22" s="4" t="n"/>
      <c r="E22" s="4" t="n"/>
      <c r="F22" s="4" t="n"/>
    </row>
    <row r="23" ht="15.75" customHeight="1" s="40">
      <c r="A23" s="4" t="n"/>
      <c r="B23" s="4" t="n"/>
      <c r="C23" s="4" t="n"/>
      <c r="D23" s="4" t="n"/>
      <c r="E23" s="4" t="n"/>
      <c r="F23" s="4" t="n"/>
    </row>
    <row r="24" ht="15.75" customHeight="1" s="40">
      <c r="A24" s="4" t="n"/>
      <c r="B24" s="4" t="n"/>
      <c r="C24" s="4" t="n"/>
      <c r="D24" s="4" t="n"/>
      <c r="E24" s="4" t="n"/>
      <c r="F24" s="4" t="n"/>
    </row>
    <row r="25" ht="15.75" customHeight="1" s="40">
      <c r="A25" s="4" t="n"/>
      <c r="B25" s="4" t="n"/>
      <c r="C25" s="4" t="n"/>
      <c r="D25" s="4" t="n"/>
      <c r="E25" s="4" t="n"/>
      <c r="F25" s="4" t="n"/>
    </row>
    <row r="26" ht="15.75" customHeight="1" s="40">
      <c r="A26" s="4" t="n"/>
      <c r="B26" s="4" t="n"/>
      <c r="C26" s="4" t="n"/>
      <c r="D26" s="4" t="n"/>
      <c r="E26" s="4" t="n"/>
      <c r="F26" s="4" t="n"/>
    </row>
    <row r="27" ht="15.75" customHeight="1" s="40">
      <c r="A27" s="4" t="n"/>
      <c r="B27" s="4" t="n"/>
      <c r="C27" s="4" t="n"/>
      <c r="D27" s="4" t="n"/>
      <c r="E27" s="4" t="n"/>
      <c r="F27" s="4" t="n"/>
    </row>
    <row r="28" ht="15.75" customHeight="1" s="40">
      <c r="A28" s="4" t="n"/>
      <c r="B28" s="4" t="n"/>
      <c r="C28" s="4" t="n"/>
      <c r="D28" s="4" t="n"/>
      <c r="E28" s="4" t="n"/>
      <c r="F28" s="4" t="n"/>
    </row>
    <row r="29" ht="15.75" customHeight="1" s="40">
      <c r="A29" s="4" t="n"/>
      <c r="B29" s="4" t="n"/>
      <c r="C29" s="4" t="n"/>
      <c r="D29" s="4" t="n"/>
      <c r="E29" s="4" t="n"/>
      <c r="F29" s="4" t="n"/>
    </row>
    <row r="30" ht="15.75" customHeight="1" s="40">
      <c r="A30" s="4" t="n"/>
      <c r="B30" s="4" t="n"/>
      <c r="C30" s="4" t="n"/>
      <c r="D30" s="4" t="n"/>
      <c r="E30" s="4" t="n"/>
      <c r="F30" s="4" t="n"/>
    </row>
    <row r="31" ht="15.75" customHeight="1" s="40">
      <c r="A31" s="4" t="n"/>
      <c r="B31" s="4" t="n"/>
      <c r="C31" s="4" t="n"/>
      <c r="D31" s="4" t="n"/>
      <c r="E31" s="4" t="n"/>
      <c r="F31" s="4" t="n"/>
    </row>
    <row r="32" ht="15.75" customHeight="1" s="40">
      <c r="A32" s="4" t="n"/>
      <c r="B32" s="4" t="n"/>
      <c r="C32" s="4" t="n"/>
      <c r="D32" s="4" t="n"/>
      <c r="E32" s="4" t="n"/>
      <c r="F32" s="4" t="n"/>
    </row>
    <row r="33" ht="15.75" customHeight="1" s="40">
      <c r="A33" s="4" t="n"/>
      <c r="B33" s="4" t="n"/>
      <c r="C33" s="4" t="n"/>
      <c r="D33" s="4" t="n"/>
      <c r="E33" s="4" t="n"/>
      <c r="F33" s="4" t="n"/>
    </row>
    <row r="34" ht="15.75" customHeight="1" s="40">
      <c r="A34" s="4" t="n"/>
      <c r="B34" s="4" t="n"/>
      <c r="C34" s="4" t="n"/>
      <c r="D34" s="4" t="n"/>
      <c r="E34" s="4" t="n"/>
      <c r="F34" s="4" t="n"/>
    </row>
    <row r="35" ht="15.75" customHeight="1" s="40">
      <c r="A35" s="4" t="n"/>
      <c r="B35" s="4" t="n"/>
      <c r="C35" s="4" t="n"/>
      <c r="D35" s="4" t="n"/>
      <c r="E35" s="4" t="n"/>
      <c r="F35" s="4" t="n"/>
    </row>
    <row r="36" ht="15.75" customHeight="1" s="40">
      <c r="A36" s="4" t="n"/>
      <c r="B36" s="4" t="n"/>
      <c r="C36" s="4" t="n"/>
      <c r="D36" s="4" t="n"/>
      <c r="E36" s="4" t="n"/>
      <c r="F36" s="4" t="n"/>
    </row>
    <row r="37" ht="15.75" customHeight="1" s="40">
      <c r="A37" s="4" t="n"/>
      <c r="B37" s="4" t="n"/>
      <c r="C37" s="4" t="n"/>
      <c r="D37" s="4" t="n"/>
      <c r="E37" s="4" t="n"/>
      <c r="F37" s="4" t="n"/>
    </row>
    <row r="38" ht="15.75" customHeight="1" s="40">
      <c r="A38" s="4" t="n"/>
      <c r="B38" s="4" t="n"/>
      <c r="C38" s="4" t="n"/>
      <c r="D38" s="4" t="n"/>
      <c r="E38" s="4" t="n"/>
      <c r="F38" s="4" t="n"/>
    </row>
    <row r="39" ht="15.75" customHeight="1" s="40">
      <c r="A39" s="4" t="n"/>
      <c r="B39" s="4" t="n"/>
      <c r="C39" s="4" t="n"/>
      <c r="D39" s="4" t="n"/>
      <c r="E39" s="4" t="n"/>
      <c r="F39" s="4" t="n"/>
    </row>
    <row r="40" ht="15.75" customHeight="1" s="40">
      <c r="A40" s="4" t="n"/>
      <c r="B40" s="4" t="n"/>
      <c r="C40" s="4" t="n"/>
      <c r="D40" s="4" t="n"/>
      <c r="E40" s="4" t="n"/>
      <c r="F40" s="4" t="n"/>
    </row>
    <row r="41" ht="15.75" customHeight="1" s="40">
      <c r="A41" s="4" t="n"/>
      <c r="B41" s="4" t="n"/>
      <c r="C41" s="4" t="n"/>
      <c r="D41" s="4" t="n"/>
      <c r="E41" s="4" t="n"/>
      <c r="F41" s="4" t="n"/>
    </row>
    <row r="42" ht="15.75" customHeight="1" s="40">
      <c r="A42" s="4" t="n"/>
      <c r="B42" s="4" t="n"/>
      <c r="C42" s="4" t="n"/>
      <c r="D42" s="4" t="n"/>
      <c r="E42" s="4" t="n"/>
      <c r="F42" s="4" t="n"/>
    </row>
    <row r="43" ht="15.75" customHeight="1" s="40">
      <c r="A43" s="4" t="n"/>
      <c r="B43" s="4" t="n"/>
      <c r="C43" s="4" t="n"/>
      <c r="D43" s="4" t="n"/>
      <c r="E43" s="4" t="n"/>
      <c r="F43" s="4" t="n"/>
    </row>
    <row r="44" ht="15.75" customHeight="1" s="40">
      <c r="A44" s="4" t="n"/>
      <c r="B44" s="4" t="n"/>
      <c r="C44" s="4" t="n"/>
      <c r="D44" s="4" t="n"/>
      <c r="E44" s="4" t="n"/>
      <c r="F44" s="4" t="n"/>
    </row>
    <row r="45" ht="15.75" customHeight="1" s="40">
      <c r="A45" s="4" t="n"/>
      <c r="B45" s="4" t="n"/>
      <c r="C45" s="4" t="n"/>
      <c r="D45" s="4" t="n"/>
      <c r="E45" s="4" t="n"/>
      <c r="F45" s="4" t="n"/>
    </row>
    <row r="46" ht="15.75" customHeight="1" s="40">
      <c r="A46" s="4" t="n"/>
      <c r="B46" s="4" t="n"/>
      <c r="C46" s="4" t="n"/>
      <c r="D46" s="4" t="n"/>
      <c r="E46" s="4" t="n"/>
      <c r="F46" s="4" t="n"/>
    </row>
    <row r="47" ht="15.75" customHeight="1" s="40">
      <c r="A47" s="4" t="n"/>
      <c r="B47" s="4" t="n"/>
      <c r="C47" s="4" t="n"/>
      <c r="D47" s="4" t="n"/>
      <c r="E47" s="4" t="n"/>
      <c r="F47" s="4" t="n"/>
    </row>
    <row r="48" ht="15.75" customHeight="1" s="40">
      <c r="A48" s="4" t="n"/>
      <c r="B48" s="4" t="n"/>
      <c r="C48" s="4" t="n"/>
      <c r="D48" s="4" t="n"/>
      <c r="E48" s="4" t="n"/>
      <c r="F48" s="4" t="n"/>
    </row>
    <row r="49" ht="15.75" customHeight="1" s="40">
      <c r="A49" s="4" t="n"/>
      <c r="B49" s="4" t="n"/>
      <c r="C49" s="4" t="n"/>
      <c r="D49" s="4" t="n"/>
      <c r="E49" s="4" t="n"/>
      <c r="F49" s="4" t="n"/>
    </row>
    <row r="50" ht="15.75" customHeight="1" s="40">
      <c r="A50" s="4" t="n"/>
      <c r="B50" s="4" t="n"/>
      <c r="C50" s="4" t="n"/>
      <c r="D50" s="4" t="n"/>
      <c r="E50" s="4" t="n"/>
      <c r="F50" s="4" t="n"/>
    </row>
    <row r="51" ht="15.75" customHeight="1" s="40">
      <c r="A51" s="4" t="n"/>
      <c r="B51" s="4" t="n"/>
      <c r="C51" s="4" t="n"/>
      <c r="D51" s="4" t="n"/>
      <c r="E51" s="4" t="n"/>
      <c r="F51" s="4" t="n"/>
    </row>
    <row r="52" ht="15.75" customHeight="1" s="40">
      <c r="A52" s="4" t="n"/>
      <c r="B52" s="4" t="n"/>
      <c r="C52" s="4" t="n"/>
      <c r="D52" s="4" t="n"/>
      <c r="E52" s="4" t="n"/>
      <c r="F52" s="4" t="n"/>
    </row>
    <row r="53" ht="15.75" customHeight="1" s="40">
      <c r="A53" s="4" t="n"/>
      <c r="B53" s="4" t="n"/>
      <c r="C53" s="4" t="n"/>
      <c r="D53" s="4" t="n"/>
      <c r="E53" s="4" t="n"/>
      <c r="F53" s="4" t="n"/>
    </row>
    <row r="54" ht="15.75" customHeight="1" s="40">
      <c r="A54" s="4" t="n"/>
      <c r="B54" s="4" t="n"/>
      <c r="C54" s="4" t="n"/>
      <c r="D54" s="4" t="n"/>
      <c r="E54" s="4" t="n"/>
      <c r="F54" s="4" t="n"/>
    </row>
    <row r="55" ht="15.75" customHeight="1" s="40">
      <c r="A55" s="4" t="n"/>
      <c r="B55" s="4" t="n"/>
      <c r="C55" s="4" t="n"/>
      <c r="D55" s="4" t="n"/>
      <c r="E55" s="4" t="n"/>
      <c r="F55" s="4" t="n"/>
    </row>
    <row r="56" ht="15.75" customHeight="1" s="40">
      <c r="A56" s="4" t="n"/>
      <c r="B56" s="4" t="n"/>
      <c r="C56" s="4" t="n"/>
      <c r="D56" s="4" t="n"/>
      <c r="E56" s="4" t="n"/>
      <c r="F56" s="4" t="n"/>
    </row>
    <row r="57" ht="15.75" customHeight="1" s="40">
      <c r="A57" s="4" t="n"/>
      <c r="B57" s="4" t="n"/>
      <c r="C57" s="4" t="n"/>
      <c r="D57" s="4" t="n"/>
      <c r="E57" s="4" t="n"/>
      <c r="F57" s="4" t="n"/>
    </row>
    <row r="58" ht="15.75" customHeight="1" s="40">
      <c r="A58" s="4" t="n"/>
      <c r="B58" s="4" t="n"/>
      <c r="C58" s="4" t="n"/>
      <c r="D58" s="4" t="n"/>
      <c r="E58" s="4" t="n"/>
      <c r="F58" s="4" t="n"/>
    </row>
    <row r="59" ht="15.75" customHeight="1" s="40">
      <c r="A59" s="4" t="n"/>
      <c r="B59" s="4" t="n"/>
      <c r="C59" s="4" t="n"/>
      <c r="D59" s="4" t="n"/>
      <c r="E59" s="4" t="n"/>
      <c r="F59" s="4" t="n"/>
    </row>
    <row r="60" ht="15.75" customHeight="1" s="40">
      <c r="A60" s="4" t="n"/>
      <c r="B60" s="4" t="n"/>
      <c r="C60" s="4" t="n"/>
      <c r="D60" s="4" t="n"/>
      <c r="E60" s="4" t="n"/>
      <c r="F60" s="4" t="n"/>
    </row>
    <row r="61" ht="15.75" customHeight="1" s="40">
      <c r="A61" s="4" t="n"/>
      <c r="B61" s="4" t="n"/>
      <c r="C61" s="4" t="n"/>
      <c r="D61" s="4" t="n"/>
      <c r="E61" s="4" t="n"/>
      <c r="F61" s="4" t="n"/>
    </row>
    <row r="62" ht="15.75" customHeight="1" s="40">
      <c r="A62" s="4" t="n"/>
      <c r="B62" s="4" t="n"/>
      <c r="C62" s="4" t="n"/>
      <c r="D62" s="4" t="n"/>
      <c r="E62" s="4" t="n"/>
      <c r="F62" s="4" t="n"/>
    </row>
    <row r="63" ht="15.75" customHeight="1" s="40">
      <c r="A63" s="4" t="n"/>
      <c r="B63" s="4" t="n"/>
      <c r="C63" s="4" t="n"/>
      <c r="D63" s="4" t="n"/>
      <c r="E63" s="4" t="n"/>
      <c r="F63" s="4" t="n"/>
    </row>
    <row r="64" ht="15.75" customHeight="1" s="40">
      <c r="A64" s="4" t="n"/>
      <c r="B64" s="4" t="n"/>
      <c r="C64" s="4" t="n"/>
      <c r="D64" s="4" t="n"/>
      <c r="E64" s="4" t="n"/>
      <c r="F64" s="4" t="n"/>
    </row>
    <row r="65" ht="15.75" customHeight="1" s="40">
      <c r="A65" s="4" t="n"/>
      <c r="B65" s="4" t="n"/>
      <c r="C65" s="4" t="n"/>
      <c r="D65" s="4" t="n"/>
      <c r="E65" s="4" t="n"/>
      <c r="F65" s="4" t="n"/>
    </row>
    <row r="66" ht="15.75" customHeight="1" s="40">
      <c r="A66" s="4" t="n"/>
      <c r="B66" s="4" t="n"/>
      <c r="C66" s="4" t="n"/>
      <c r="D66" s="4" t="n"/>
      <c r="E66" s="4" t="n"/>
      <c r="F66" s="4" t="n"/>
    </row>
    <row r="67" ht="15.75" customHeight="1" s="40">
      <c r="A67" s="4" t="n"/>
      <c r="B67" s="4" t="n"/>
      <c r="C67" s="4" t="n"/>
      <c r="D67" s="4" t="n"/>
      <c r="E67" s="4" t="n"/>
      <c r="F67" s="4" t="n"/>
    </row>
    <row r="68" ht="15.75" customHeight="1" s="40">
      <c r="A68" s="4" t="n"/>
      <c r="B68" s="4" t="n"/>
      <c r="C68" s="4" t="n"/>
      <c r="D68" s="4" t="n"/>
      <c r="E68" s="4" t="n"/>
      <c r="F68" s="4" t="n"/>
    </row>
    <row r="69" ht="15.75" customHeight="1" s="40">
      <c r="A69" s="4" t="n"/>
      <c r="B69" s="4" t="n"/>
      <c r="C69" s="4" t="n"/>
      <c r="D69" s="4" t="n"/>
      <c r="E69" s="4" t="n"/>
      <c r="F69" s="4" t="n"/>
    </row>
    <row r="70" ht="15.75" customHeight="1" s="40">
      <c r="A70" s="4" t="n"/>
      <c r="B70" s="4" t="n"/>
      <c r="C70" s="4" t="n"/>
      <c r="D70" s="4" t="n"/>
      <c r="E70" s="4" t="n"/>
      <c r="F70" s="4" t="n"/>
    </row>
    <row r="71" ht="15.75" customHeight="1" s="40">
      <c r="A71" s="4" t="n"/>
      <c r="B71" s="4" t="n"/>
      <c r="C71" s="4" t="n"/>
      <c r="D71" s="4" t="n"/>
      <c r="E71" s="4" t="n"/>
      <c r="F71" s="4" t="n"/>
    </row>
    <row r="72" ht="15.75" customHeight="1" s="40">
      <c r="A72" s="4" t="n"/>
      <c r="B72" s="4" t="n"/>
      <c r="C72" s="4" t="n"/>
      <c r="D72" s="4" t="n"/>
      <c r="E72" s="4" t="n"/>
      <c r="F72" s="4" t="n"/>
    </row>
    <row r="73" ht="15.75" customHeight="1" s="40">
      <c r="A73" s="4" t="n"/>
      <c r="B73" s="4" t="n"/>
      <c r="C73" s="4" t="n"/>
      <c r="D73" s="4" t="n"/>
      <c r="E73" s="4" t="n"/>
      <c r="F73" s="4" t="n"/>
    </row>
    <row r="74" ht="15.75" customHeight="1" s="40">
      <c r="A74" s="4" t="n"/>
      <c r="B74" s="4" t="n"/>
      <c r="C74" s="4" t="n"/>
      <c r="D74" s="4" t="n"/>
      <c r="E74" s="4" t="n"/>
      <c r="F74" s="4" t="n"/>
    </row>
    <row r="75" ht="15.75" customHeight="1" s="40">
      <c r="A75" s="4" t="n"/>
      <c r="B75" s="4" t="n"/>
      <c r="C75" s="4" t="n"/>
      <c r="D75" s="4" t="n"/>
      <c r="E75" s="4" t="n"/>
      <c r="F75" s="4" t="n"/>
    </row>
    <row r="76" ht="15.75" customHeight="1" s="40">
      <c r="A76" s="4" t="n"/>
      <c r="B76" s="4" t="n"/>
      <c r="C76" s="4" t="n"/>
      <c r="D76" s="4" t="n"/>
      <c r="E76" s="4" t="n"/>
      <c r="F76" s="4" t="n"/>
    </row>
    <row r="77" ht="15.75" customHeight="1" s="40">
      <c r="A77" s="4" t="n"/>
      <c r="B77" s="4" t="n"/>
      <c r="C77" s="4" t="n"/>
      <c r="D77" s="4" t="n"/>
      <c r="E77" s="4" t="n"/>
      <c r="F77" s="4" t="n"/>
    </row>
    <row r="78" ht="15.75" customHeight="1" s="40">
      <c r="A78" s="4" t="n"/>
      <c r="B78" s="4" t="n"/>
      <c r="C78" s="4" t="n"/>
      <c r="D78" s="4" t="n"/>
      <c r="E78" s="4" t="n"/>
      <c r="F78" s="4" t="n"/>
    </row>
    <row r="79" ht="15.75" customHeight="1" s="40">
      <c r="A79" s="4" t="n"/>
      <c r="B79" s="4" t="n"/>
      <c r="C79" s="4" t="n"/>
      <c r="D79" s="4" t="n"/>
      <c r="E79" s="4" t="n"/>
      <c r="F79" s="4" t="n"/>
    </row>
    <row r="80" ht="15.75" customHeight="1" s="40">
      <c r="A80" s="4" t="n"/>
      <c r="B80" s="4" t="n"/>
      <c r="C80" s="4" t="n"/>
      <c r="D80" s="4" t="n"/>
      <c r="E80" s="4" t="n"/>
      <c r="F80" s="4" t="n"/>
    </row>
    <row r="81" ht="15.75" customHeight="1" s="40">
      <c r="A81" s="4" t="n"/>
      <c r="B81" s="4" t="n"/>
      <c r="C81" s="4" t="n"/>
      <c r="D81" s="4" t="n"/>
      <c r="E81" s="4" t="n"/>
      <c r="F81" s="4" t="n"/>
    </row>
    <row r="82" ht="15.75" customHeight="1" s="40">
      <c r="A82" s="4" t="n"/>
      <c r="B82" s="4" t="n"/>
      <c r="C82" s="4" t="n"/>
      <c r="D82" s="4" t="n"/>
      <c r="E82" s="4" t="n"/>
      <c r="F82" s="4" t="n"/>
    </row>
    <row r="83" ht="15.75" customHeight="1" s="40">
      <c r="A83" s="4" t="n"/>
      <c r="B83" s="4" t="n"/>
      <c r="C83" s="4" t="n"/>
      <c r="D83" s="4" t="n"/>
      <c r="E83" s="4" t="n"/>
      <c r="F83" s="4" t="n"/>
    </row>
    <row r="84" ht="15.75" customHeight="1" s="40">
      <c r="A84" s="4" t="n"/>
      <c r="B84" s="4" t="n"/>
      <c r="C84" s="4" t="n"/>
      <c r="D84" s="4" t="n"/>
      <c r="E84" s="4" t="n"/>
      <c r="F84" s="4" t="n"/>
    </row>
    <row r="85" ht="15.75" customHeight="1" s="40">
      <c r="A85" s="4" t="n"/>
      <c r="B85" s="4" t="n"/>
      <c r="C85" s="4" t="n"/>
      <c r="D85" s="4" t="n"/>
      <c r="E85" s="4" t="n"/>
      <c r="F85" s="4" t="n"/>
    </row>
    <row r="86" ht="15.75" customHeight="1" s="40">
      <c r="A86" s="4" t="n"/>
      <c r="B86" s="4" t="n"/>
      <c r="C86" s="4" t="n"/>
      <c r="D86" s="4" t="n"/>
      <c r="E86" s="4" t="n"/>
      <c r="F86" s="4" t="n"/>
    </row>
    <row r="87" ht="15.75" customHeight="1" s="40">
      <c r="A87" s="4" t="n"/>
      <c r="B87" s="4" t="n"/>
      <c r="C87" s="4" t="n"/>
      <c r="D87" s="4" t="n"/>
      <c r="E87" s="4" t="n"/>
      <c r="F87" s="4" t="n"/>
    </row>
    <row r="88" ht="15.75" customHeight="1" s="40">
      <c r="A88" s="4" t="n"/>
      <c r="B88" s="4" t="n"/>
      <c r="C88" s="4" t="n"/>
      <c r="D88" s="4" t="n"/>
      <c r="E88" s="4" t="n"/>
      <c r="F88" s="4" t="n"/>
    </row>
    <row r="89" ht="15.75" customHeight="1" s="40">
      <c r="A89" s="4" t="n"/>
      <c r="B89" s="4" t="n"/>
      <c r="C89" s="4" t="n"/>
      <c r="D89" s="4" t="n"/>
      <c r="E89" s="4" t="n"/>
      <c r="F89" s="4" t="n"/>
    </row>
    <row r="90" ht="15.75" customHeight="1" s="40">
      <c r="A90" s="4" t="n"/>
      <c r="B90" s="4" t="n"/>
      <c r="C90" s="4" t="n"/>
      <c r="D90" s="4" t="n"/>
      <c r="E90" s="4" t="n"/>
      <c r="F90" s="4" t="n"/>
    </row>
    <row r="91" ht="15.75" customHeight="1" s="40">
      <c r="A91" s="4" t="n"/>
      <c r="B91" s="4" t="n"/>
      <c r="C91" s="4" t="n"/>
      <c r="D91" s="4" t="n"/>
      <c r="E91" s="4" t="n"/>
      <c r="F91" s="4" t="n"/>
    </row>
    <row r="92" ht="15.75" customHeight="1" s="40">
      <c r="A92" s="4" t="n"/>
      <c r="B92" s="4" t="n"/>
      <c r="C92" s="4" t="n"/>
      <c r="D92" s="4" t="n"/>
      <c r="E92" s="4" t="n"/>
      <c r="F92" s="4" t="n"/>
    </row>
    <row r="93" ht="15.75" customHeight="1" s="40">
      <c r="A93" s="4" t="n"/>
      <c r="B93" s="4" t="n"/>
      <c r="C93" s="4" t="n"/>
      <c r="D93" s="4" t="n"/>
      <c r="E93" s="4" t="n"/>
      <c r="F93" s="4" t="n"/>
    </row>
    <row r="94" ht="15.75" customHeight="1" s="40">
      <c r="A94" s="4" t="n"/>
      <c r="B94" s="4" t="n"/>
      <c r="C94" s="4" t="n"/>
      <c r="D94" s="4" t="n"/>
      <c r="E94" s="4" t="n"/>
      <c r="F94" s="4" t="n"/>
    </row>
    <row r="95" ht="15.75" customHeight="1" s="40">
      <c r="A95" s="4" t="n"/>
      <c r="B95" s="4" t="n"/>
      <c r="C95" s="4" t="n"/>
      <c r="D95" s="4" t="n"/>
      <c r="E95" s="4" t="n"/>
      <c r="F95" s="4" t="n"/>
    </row>
    <row r="96" ht="15.75" customHeight="1" s="40">
      <c r="A96" s="4" t="n"/>
      <c r="B96" s="4" t="n"/>
      <c r="C96" s="4" t="n"/>
      <c r="D96" s="4" t="n"/>
      <c r="E96" s="4" t="n"/>
      <c r="F96" s="4" t="n"/>
    </row>
    <row r="97" ht="15.75" customHeight="1" s="40">
      <c r="A97" s="4" t="n"/>
      <c r="B97" s="4" t="n"/>
      <c r="C97" s="4" t="n"/>
      <c r="D97" s="4" t="n"/>
      <c r="E97" s="4" t="n"/>
      <c r="F97" s="4" t="n"/>
    </row>
    <row r="98" ht="15.75" customHeight="1" s="40">
      <c r="A98" s="4" t="n"/>
      <c r="B98" s="4" t="n"/>
      <c r="C98" s="4" t="n"/>
      <c r="D98" s="4" t="n"/>
      <c r="E98" s="4" t="n"/>
      <c r="F98" s="4" t="n"/>
    </row>
    <row r="99" ht="15.75" customHeight="1" s="40">
      <c r="A99" s="4" t="n"/>
      <c r="B99" s="4" t="n"/>
      <c r="C99" s="4" t="n"/>
      <c r="D99" s="4" t="n"/>
      <c r="E99" s="4" t="n"/>
      <c r="F99" s="4" t="n"/>
    </row>
    <row r="100" ht="15.75" customHeight="1" s="40">
      <c r="A100" s="4" t="n"/>
      <c r="B100" s="4" t="n"/>
      <c r="C100" s="4" t="n"/>
      <c r="D100" s="4" t="n"/>
      <c r="E100" s="4" t="n"/>
      <c r="F100" s="4" t="n"/>
    </row>
    <row r="101" ht="15.75" customHeight="1" s="40">
      <c r="A101" s="4" t="n"/>
      <c r="B101" s="4" t="n"/>
      <c r="C101" s="4" t="n"/>
      <c r="D101" s="4" t="n"/>
      <c r="E101" s="4" t="n"/>
      <c r="F101" s="4" t="n"/>
    </row>
    <row r="102" ht="15.75" customHeight="1" s="40">
      <c r="A102" s="4" t="n"/>
      <c r="B102" s="4" t="n"/>
      <c r="C102" s="4" t="n"/>
      <c r="D102" s="4" t="n"/>
      <c r="E102" s="4" t="n"/>
      <c r="F102" s="4" t="n"/>
    </row>
    <row r="103" ht="15.75" customHeight="1" s="40">
      <c r="A103" s="4" t="n"/>
      <c r="B103" s="4" t="n"/>
      <c r="C103" s="4" t="n"/>
      <c r="D103" s="4" t="n"/>
      <c r="E103" s="4" t="n"/>
      <c r="F103" s="4" t="n"/>
    </row>
    <row r="104" ht="15.75" customHeight="1" s="40">
      <c r="A104" s="4" t="n"/>
      <c r="B104" s="4" t="n"/>
      <c r="C104" s="4" t="n"/>
      <c r="D104" s="4" t="n"/>
      <c r="E104" s="4" t="n"/>
      <c r="F104" s="4" t="n"/>
    </row>
    <row r="105" ht="15.75" customHeight="1" s="40">
      <c r="A105" s="4" t="n"/>
      <c r="B105" s="4" t="n"/>
      <c r="C105" s="4" t="n"/>
      <c r="D105" s="4" t="n"/>
      <c r="E105" s="4" t="n"/>
      <c r="F105" s="4" t="n"/>
    </row>
    <row r="106" ht="15.75" customHeight="1" s="40">
      <c r="A106" s="4" t="n"/>
      <c r="B106" s="4" t="n"/>
      <c r="C106" s="4" t="n"/>
      <c r="D106" s="4" t="n"/>
      <c r="E106" s="4" t="n"/>
      <c r="F106" s="4" t="n"/>
    </row>
    <row r="107" ht="15.75" customHeight="1" s="40">
      <c r="A107" s="4" t="n"/>
      <c r="B107" s="4" t="n"/>
      <c r="C107" s="4" t="n"/>
      <c r="D107" s="4" t="n"/>
      <c r="E107" s="4" t="n"/>
      <c r="F107" s="4" t="n"/>
    </row>
    <row r="108" ht="15.75" customHeight="1" s="40">
      <c r="A108" s="4" t="n"/>
      <c r="B108" s="4" t="n"/>
      <c r="C108" s="4" t="n"/>
      <c r="D108" s="4" t="n"/>
      <c r="E108" s="4" t="n"/>
      <c r="F108" s="4" t="n"/>
    </row>
    <row r="109" ht="15.75" customHeight="1" s="40">
      <c r="A109" s="4" t="n"/>
      <c r="B109" s="4" t="n"/>
      <c r="C109" s="4" t="n"/>
      <c r="D109" s="4" t="n"/>
      <c r="E109" s="4" t="n"/>
      <c r="F109" s="4" t="n"/>
    </row>
    <row r="110" ht="15.75" customHeight="1" s="40">
      <c r="A110" s="4" t="n"/>
      <c r="B110" s="4" t="n"/>
      <c r="C110" s="4" t="n"/>
      <c r="D110" s="4" t="n"/>
      <c r="E110" s="4" t="n"/>
      <c r="F110" s="4" t="n"/>
    </row>
    <row r="111" ht="15.75" customHeight="1" s="40">
      <c r="A111" s="4" t="n"/>
      <c r="B111" s="4" t="n"/>
      <c r="C111" s="4" t="n"/>
      <c r="D111" s="4" t="n"/>
      <c r="E111" s="4" t="n"/>
      <c r="F111" s="4" t="n"/>
    </row>
    <row r="112" ht="15.75" customHeight="1" s="40">
      <c r="A112" s="4" t="n"/>
      <c r="B112" s="4" t="n"/>
      <c r="C112" s="4" t="n"/>
      <c r="D112" s="4" t="n"/>
      <c r="E112" s="4" t="n"/>
      <c r="F112" s="4" t="n"/>
    </row>
    <row r="113" ht="15.75" customHeight="1" s="40">
      <c r="A113" s="4" t="n"/>
      <c r="B113" s="4" t="n"/>
      <c r="C113" s="4" t="n"/>
      <c r="D113" s="4" t="n"/>
      <c r="E113" s="4" t="n"/>
      <c r="F113" s="4" t="n"/>
    </row>
    <row r="114" ht="15.75" customHeight="1" s="40">
      <c r="A114" s="4" t="n"/>
      <c r="B114" s="4" t="n"/>
      <c r="C114" s="4" t="n"/>
      <c r="D114" s="4" t="n"/>
      <c r="E114" s="4" t="n"/>
      <c r="F114" s="4" t="n"/>
    </row>
    <row r="115" ht="15.75" customHeight="1" s="40">
      <c r="A115" s="4" t="n"/>
      <c r="B115" s="4" t="n"/>
      <c r="C115" s="4" t="n"/>
      <c r="D115" s="4" t="n"/>
      <c r="E115" s="4" t="n"/>
      <c r="F115" s="4" t="n"/>
    </row>
    <row r="116" ht="15.75" customHeight="1" s="40">
      <c r="A116" s="4" t="n"/>
      <c r="B116" s="4" t="n"/>
      <c r="C116" s="4" t="n"/>
      <c r="D116" s="4" t="n"/>
      <c r="E116" s="4" t="n"/>
      <c r="F116" s="4" t="n"/>
    </row>
    <row r="117" ht="15.75" customHeight="1" s="40">
      <c r="A117" s="4" t="n"/>
      <c r="B117" s="4" t="n"/>
      <c r="C117" s="4" t="n"/>
      <c r="D117" s="4" t="n"/>
      <c r="E117" s="4" t="n"/>
      <c r="F117" s="4" t="n"/>
    </row>
    <row r="118" ht="15.75" customHeight="1" s="40">
      <c r="A118" s="4" t="n"/>
      <c r="B118" s="4" t="n"/>
      <c r="C118" s="4" t="n"/>
      <c r="D118" s="4" t="n"/>
      <c r="E118" s="4" t="n"/>
      <c r="F118" s="4" t="n"/>
    </row>
    <row r="119" ht="15.75" customHeight="1" s="40">
      <c r="A119" s="4" t="n"/>
      <c r="B119" s="4" t="n"/>
      <c r="C119" s="4" t="n"/>
      <c r="D119" s="4" t="n"/>
      <c r="E119" s="4" t="n"/>
      <c r="F119" s="4" t="n"/>
    </row>
    <row r="120" ht="15.75" customHeight="1" s="40">
      <c r="A120" s="4" t="n"/>
      <c r="B120" s="4" t="n"/>
      <c r="C120" s="4" t="n"/>
      <c r="D120" s="4" t="n"/>
      <c r="E120" s="4" t="n"/>
      <c r="F120" s="4" t="n"/>
    </row>
    <row r="121" ht="15.75" customHeight="1" s="40">
      <c r="A121" s="4" t="n"/>
      <c r="B121" s="4" t="n"/>
      <c r="C121" s="4" t="n"/>
      <c r="D121" s="4" t="n"/>
      <c r="E121" s="4" t="n"/>
      <c r="F121" s="4" t="n"/>
    </row>
    <row r="122" ht="15.75" customHeight="1" s="40">
      <c r="A122" s="4" t="n"/>
      <c r="B122" s="4" t="n"/>
      <c r="C122" s="4" t="n"/>
      <c r="D122" s="4" t="n"/>
      <c r="E122" s="4" t="n"/>
      <c r="F122" s="4" t="n"/>
    </row>
    <row r="123" ht="15.75" customHeight="1" s="40">
      <c r="A123" s="4" t="n"/>
      <c r="B123" s="4" t="n"/>
      <c r="C123" s="4" t="n"/>
      <c r="D123" s="4" t="n"/>
      <c r="E123" s="4" t="n"/>
      <c r="F123" s="4" t="n"/>
    </row>
    <row r="124" ht="15.75" customHeight="1" s="40">
      <c r="A124" s="4" t="n"/>
      <c r="B124" s="4" t="n"/>
      <c r="C124" s="4" t="n"/>
      <c r="D124" s="4" t="n"/>
      <c r="E124" s="4" t="n"/>
      <c r="F124" s="4" t="n"/>
    </row>
    <row r="125" ht="15.75" customHeight="1" s="40">
      <c r="A125" s="4" t="n"/>
      <c r="B125" s="4" t="n"/>
      <c r="C125" s="4" t="n"/>
      <c r="D125" s="4" t="n"/>
      <c r="E125" s="4" t="n"/>
      <c r="F125" s="4" t="n"/>
    </row>
    <row r="126" ht="15.75" customHeight="1" s="40">
      <c r="A126" s="4" t="n"/>
      <c r="B126" s="4" t="n"/>
      <c r="C126" s="4" t="n"/>
      <c r="D126" s="4" t="n"/>
      <c r="E126" s="4" t="n"/>
      <c r="F126" s="4" t="n"/>
    </row>
    <row r="127" ht="15.75" customHeight="1" s="40">
      <c r="A127" s="4" t="n"/>
      <c r="B127" s="4" t="n"/>
      <c r="C127" s="4" t="n"/>
      <c r="D127" s="4" t="n"/>
      <c r="E127" s="4" t="n"/>
      <c r="F127" s="4" t="n"/>
    </row>
    <row r="128" ht="15.75" customHeight="1" s="40">
      <c r="A128" s="4" t="n"/>
      <c r="B128" s="4" t="n"/>
      <c r="C128" s="4" t="n"/>
      <c r="D128" s="4" t="n"/>
      <c r="E128" s="4" t="n"/>
      <c r="F128" s="4" t="n"/>
    </row>
    <row r="129" ht="15.75" customHeight="1" s="40">
      <c r="A129" s="4" t="n"/>
      <c r="B129" s="4" t="n"/>
      <c r="C129" s="4" t="n"/>
      <c r="D129" s="4" t="n"/>
      <c r="E129" s="4" t="n"/>
      <c r="F129" s="4" t="n"/>
    </row>
    <row r="130" ht="15.75" customHeight="1" s="40">
      <c r="A130" s="4" t="n"/>
      <c r="B130" s="4" t="n"/>
      <c r="C130" s="4" t="n"/>
      <c r="D130" s="4" t="n"/>
      <c r="E130" s="4" t="n"/>
      <c r="F130" s="4" t="n"/>
    </row>
    <row r="131" ht="15.75" customHeight="1" s="40">
      <c r="A131" s="4" t="n"/>
      <c r="B131" s="4" t="n"/>
      <c r="C131" s="4" t="n"/>
      <c r="D131" s="4" t="n"/>
      <c r="E131" s="4" t="n"/>
      <c r="F131" s="4" t="n"/>
    </row>
    <row r="132" ht="15.75" customHeight="1" s="40">
      <c r="A132" s="4" t="n"/>
      <c r="B132" s="4" t="n"/>
      <c r="C132" s="4" t="n"/>
      <c r="D132" s="4" t="n"/>
      <c r="E132" s="4" t="n"/>
      <c r="F132" s="4" t="n"/>
    </row>
    <row r="133" ht="15.75" customHeight="1" s="40">
      <c r="A133" s="4" t="n"/>
      <c r="B133" s="4" t="n"/>
      <c r="C133" s="4" t="n"/>
      <c r="D133" s="4" t="n"/>
      <c r="E133" s="4" t="n"/>
      <c r="F133" s="4" t="n"/>
    </row>
    <row r="134" ht="15.75" customHeight="1" s="40">
      <c r="A134" s="4" t="n"/>
      <c r="B134" s="4" t="n"/>
      <c r="C134" s="4" t="n"/>
      <c r="D134" s="4" t="n"/>
      <c r="E134" s="4" t="n"/>
      <c r="F134" s="4" t="n"/>
    </row>
    <row r="135" ht="15.75" customHeight="1" s="40">
      <c r="A135" s="4" t="n"/>
      <c r="B135" s="4" t="n"/>
      <c r="C135" s="4" t="n"/>
      <c r="D135" s="4" t="n"/>
      <c r="E135" s="4" t="n"/>
      <c r="F135" s="4" t="n"/>
    </row>
    <row r="136" ht="15.75" customHeight="1" s="40">
      <c r="A136" s="4" t="n"/>
      <c r="B136" s="4" t="n"/>
      <c r="C136" s="4" t="n"/>
      <c r="D136" s="4" t="n"/>
      <c r="E136" s="4" t="n"/>
      <c r="F136" s="4" t="n"/>
    </row>
    <row r="137" ht="15.75" customHeight="1" s="40">
      <c r="A137" s="4" t="n"/>
      <c r="B137" s="4" t="n"/>
      <c r="C137" s="4" t="n"/>
      <c r="D137" s="4" t="n"/>
      <c r="E137" s="4" t="n"/>
      <c r="F137" s="4" t="n"/>
    </row>
    <row r="138" ht="15.75" customHeight="1" s="40">
      <c r="A138" s="4" t="n"/>
      <c r="B138" s="4" t="n"/>
      <c r="C138" s="4" t="n"/>
      <c r="D138" s="4" t="n"/>
      <c r="E138" s="4" t="n"/>
      <c r="F138" s="4" t="n"/>
    </row>
    <row r="139" ht="15.75" customHeight="1" s="40">
      <c r="A139" s="4" t="n"/>
      <c r="B139" s="4" t="n"/>
      <c r="C139" s="4" t="n"/>
      <c r="D139" s="4" t="n"/>
      <c r="E139" s="4" t="n"/>
      <c r="F139" s="4" t="n"/>
    </row>
    <row r="140" ht="15.75" customHeight="1" s="40">
      <c r="A140" s="4" t="n"/>
      <c r="B140" s="4" t="n"/>
      <c r="C140" s="4" t="n"/>
      <c r="D140" s="4" t="n"/>
      <c r="E140" s="4" t="n"/>
      <c r="F140" s="4" t="n"/>
    </row>
    <row r="141" ht="15.75" customHeight="1" s="40">
      <c r="A141" s="4" t="n"/>
      <c r="B141" s="4" t="n"/>
      <c r="C141" s="4" t="n"/>
      <c r="D141" s="4" t="n"/>
      <c r="E141" s="4" t="n"/>
      <c r="F141" s="4" t="n"/>
    </row>
    <row r="142" ht="15.75" customHeight="1" s="40">
      <c r="A142" s="4" t="n"/>
      <c r="B142" s="4" t="n"/>
      <c r="C142" s="4" t="n"/>
      <c r="D142" s="4" t="n"/>
      <c r="E142" s="4" t="n"/>
      <c r="F142" s="4" t="n"/>
    </row>
    <row r="143" ht="15.75" customHeight="1" s="40">
      <c r="A143" s="4" t="n"/>
      <c r="B143" s="4" t="n"/>
      <c r="C143" s="4" t="n"/>
      <c r="D143" s="4" t="n"/>
      <c r="E143" s="4" t="n"/>
      <c r="F143" s="4" t="n"/>
    </row>
    <row r="144" ht="15.75" customHeight="1" s="40">
      <c r="A144" s="4" t="n"/>
      <c r="B144" s="4" t="n"/>
      <c r="C144" s="4" t="n"/>
      <c r="D144" s="4" t="n"/>
      <c r="E144" s="4" t="n"/>
      <c r="F144" s="4" t="n"/>
    </row>
    <row r="145" ht="15.75" customHeight="1" s="40">
      <c r="A145" s="4" t="n"/>
      <c r="B145" s="4" t="n"/>
      <c r="C145" s="4" t="n"/>
      <c r="D145" s="4" t="n"/>
      <c r="E145" s="4" t="n"/>
      <c r="F145" s="4" t="n"/>
    </row>
    <row r="146" ht="15.75" customHeight="1" s="40">
      <c r="A146" s="4" t="n"/>
      <c r="B146" s="4" t="n"/>
      <c r="C146" s="4" t="n"/>
      <c r="D146" s="4" t="n"/>
      <c r="E146" s="4" t="n"/>
      <c r="F146" s="4" t="n"/>
    </row>
    <row r="147" ht="15.75" customHeight="1" s="40">
      <c r="A147" s="4" t="n"/>
      <c r="B147" s="4" t="n"/>
      <c r="C147" s="4" t="n"/>
      <c r="D147" s="4" t="n"/>
      <c r="E147" s="4" t="n"/>
      <c r="F147" s="4" t="n"/>
    </row>
    <row r="148" ht="15.75" customHeight="1" s="40">
      <c r="A148" s="4" t="n"/>
      <c r="B148" s="4" t="n"/>
      <c r="C148" s="4" t="n"/>
      <c r="D148" s="4" t="n"/>
      <c r="E148" s="4" t="n"/>
      <c r="F148" s="4" t="n"/>
    </row>
    <row r="149" ht="15.75" customHeight="1" s="40">
      <c r="A149" s="4" t="n"/>
      <c r="B149" s="4" t="n"/>
      <c r="C149" s="4" t="n"/>
      <c r="D149" s="4" t="n"/>
      <c r="E149" s="4" t="n"/>
      <c r="F149" s="4" t="n"/>
    </row>
    <row r="150" ht="15.75" customHeight="1" s="40">
      <c r="A150" s="4" t="n"/>
      <c r="B150" s="4" t="n"/>
      <c r="C150" s="4" t="n"/>
      <c r="D150" s="4" t="n"/>
      <c r="E150" s="4" t="n"/>
      <c r="F150" s="4" t="n"/>
    </row>
    <row r="151" ht="15.75" customHeight="1" s="40">
      <c r="A151" s="4" t="n"/>
      <c r="B151" s="4" t="n"/>
      <c r="C151" s="4" t="n"/>
      <c r="D151" s="4" t="n"/>
      <c r="E151" s="4" t="n"/>
      <c r="F151" s="4" t="n"/>
    </row>
    <row r="152" ht="15.75" customHeight="1" s="40">
      <c r="A152" s="4" t="n"/>
      <c r="B152" s="4" t="n"/>
      <c r="C152" s="4" t="n"/>
      <c r="D152" s="4" t="n"/>
      <c r="E152" s="4" t="n"/>
      <c r="F152" s="4" t="n"/>
    </row>
    <row r="153" ht="15.75" customHeight="1" s="40">
      <c r="A153" s="4" t="n"/>
      <c r="B153" s="4" t="n"/>
      <c r="C153" s="4" t="n"/>
      <c r="D153" s="4" t="n"/>
      <c r="E153" s="4" t="n"/>
      <c r="F153" s="4" t="n"/>
    </row>
    <row r="154" ht="15.75" customHeight="1" s="40">
      <c r="A154" s="4" t="n"/>
      <c r="B154" s="4" t="n"/>
      <c r="C154" s="4" t="n"/>
      <c r="D154" s="4" t="n"/>
      <c r="E154" s="4" t="n"/>
      <c r="F154" s="4" t="n"/>
    </row>
    <row r="155" ht="15.75" customHeight="1" s="40">
      <c r="A155" s="4" t="n"/>
      <c r="B155" s="4" t="n"/>
      <c r="C155" s="4" t="n"/>
      <c r="D155" s="4" t="n"/>
      <c r="E155" s="4" t="n"/>
      <c r="F155" s="4" t="n"/>
    </row>
    <row r="156" ht="15.75" customHeight="1" s="40">
      <c r="A156" s="4" t="n"/>
      <c r="B156" s="4" t="n"/>
      <c r="C156" s="4" t="n"/>
      <c r="D156" s="4" t="n"/>
      <c r="E156" s="4" t="n"/>
      <c r="F156" s="4" t="n"/>
    </row>
    <row r="157" ht="15.75" customHeight="1" s="40">
      <c r="A157" s="4" t="n"/>
      <c r="B157" s="4" t="n"/>
      <c r="C157" s="4" t="n"/>
      <c r="D157" s="4" t="n"/>
      <c r="E157" s="4" t="n"/>
      <c r="F157" s="4" t="n"/>
    </row>
    <row r="158" ht="15.75" customHeight="1" s="40">
      <c r="A158" s="4" t="n"/>
      <c r="B158" s="4" t="n"/>
      <c r="C158" s="4" t="n"/>
      <c r="D158" s="4" t="n"/>
      <c r="E158" s="4" t="n"/>
      <c r="F158" s="4" t="n"/>
    </row>
    <row r="159" ht="15.75" customHeight="1" s="40">
      <c r="A159" s="4" t="n"/>
      <c r="B159" s="4" t="n"/>
      <c r="C159" s="4" t="n"/>
      <c r="D159" s="4" t="n"/>
      <c r="E159" s="4" t="n"/>
      <c r="F159" s="4" t="n"/>
    </row>
    <row r="160" ht="15.75" customHeight="1" s="40">
      <c r="A160" s="4" t="n"/>
      <c r="B160" s="4" t="n"/>
      <c r="C160" s="4" t="n"/>
      <c r="D160" s="4" t="n"/>
      <c r="E160" s="4" t="n"/>
      <c r="F160" s="4" t="n"/>
    </row>
    <row r="161" ht="15.75" customHeight="1" s="40">
      <c r="A161" s="4" t="n"/>
      <c r="B161" s="4" t="n"/>
      <c r="C161" s="4" t="n"/>
      <c r="D161" s="4" t="n"/>
      <c r="E161" s="4" t="n"/>
      <c r="F161" s="4" t="n"/>
    </row>
    <row r="162" ht="15.75" customHeight="1" s="40">
      <c r="A162" s="4" t="n"/>
      <c r="B162" s="4" t="n"/>
      <c r="C162" s="4" t="n"/>
      <c r="D162" s="4" t="n"/>
      <c r="E162" s="4" t="n"/>
      <c r="F162" s="4" t="n"/>
    </row>
    <row r="163" ht="15.75" customHeight="1" s="40">
      <c r="A163" s="4" t="n"/>
      <c r="B163" s="4" t="n"/>
      <c r="C163" s="4" t="n"/>
      <c r="D163" s="4" t="n"/>
      <c r="E163" s="4" t="n"/>
      <c r="F163" s="4" t="n"/>
    </row>
    <row r="164" ht="15.75" customHeight="1" s="40">
      <c r="A164" s="4" t="n"/>
      <c r="B164" s="4" t="n"/>
      <c r="C164" s="4" t="n"/>
      <c r="D164" s="4" t="n"/>
      <c r="E164" s="4" t="n"/>
      <c r="F164" s="4" t="n"/>
    </row>
    <row r="165" ht="15.75" customHeight="1" s="40">
      <c r="A165" s="4" t="n"/>
      <c r="B165" s="4" t="n"/>
      <c r="C165" s="4" t="n"/>
      <c r="D165" s="4" t="n"/>
      <c r="E165" s="4" t="n"/>
      <c r="F165" s="4" t="n"/>
    </row>
    <row r="166" ht="15.75" customHeight="1" s="40">
      <c r="A166" s="4" t="n"/>
      <c r="B166" s="4" t="n"/>
      <c r="C166" s="4" t="n"/>
      <c r="D166" s="4" t="n"/>
      <c r="E166" s="4" t="n"/>
      <c r="F166" s="4" t="n"/>
    </row>
    <row r="167" ht="15.75" customHeight="1" s="40">
      <c r="A167" s="4" t="n"/>
      <c r="B167" s="4" t="n"/>
      <c r="C167" s="4" t="n"/>
      <c r="D167" s="4" t="n"/>
      <c r="E167" s="4" t="n"/>
      <c r="F167" s="4" t="n"/>
    </row>
    <row r="168" ht="15.75" customHeight="1" s="40">
      <c r="A168" s="4" t="n"/>
      <c r="B168" s="4" t="n"/>
      <c r="C168" s="4" t="n"/>
      <c r="D168" s="4" t="n"/>
      <c r="E168" s="4" t="n"/>
      <c r="F168" s="4" t="n"/>
    </row>
    <row r="169" ht="15.75" customHeight="1" s="40">
      <c r="A169" s="4" t="n"/>
      <c r="B169" s="4" t="n"/>
      <c r="C169" s="4" t="n"/>
      <c r="D169" s="4" t="n"/>
      <c r="E169" s="4" t="n"/>
      <c r="F169" s="4" t="n"/>
    </row>
    <row r="170" ht="15.75" customHeight="1" s="40">
      <c r="A170" s="4" t="n"/>
      <c r="B170" s="4" t="n"/>
      <c r="C170" s="4" t="n"/>
      <c r="D170" s="4" t="n"/>
      <c r="E170" s="4" t="n"/>
      <c r="F170" s="4" t="n"/>
    </row>
    <row r="171" ht="15.75" customHeight="1" s="40">
      <c r="A171" s="4" t="n"/>
      <c r="B171" s="4" t="n"/>
      <c r="C171" s="4" t="n"/>
      <c r="D171" s="4" t="n"/>
      <c r="E171" s="4" t="n"/>
      <c r="F171" s="4" t="n"/>
    </row>
    <row r="172" ht="15.75" customHeight="1" s="40">
      <c r="A172" s="4" t="n"/>
      <c r="B172" s="4" t="n"/>
      <c r="C172" s="4" t="n"/>
      <c r="D172" s="4" t="n"/>
      <c r="E172" s="4" t="n"/>
      <c r="F172" s="4" t="n"/>
    </row>
    <row r="173" ht="15.75" customHeight="1" s="40">
      <c r="A173" s="4" t="n"/>
      <c r="B173" s="4" t="n"/>
      <c r="C173" s="4" t="n"/>
      <c r="D173" s="4" t="n"/>
      <c r="E173" s="4" t="n"/>
      <c r="F173" s="4" t="n"/>
    </row>
    <row r="174" ht="15.75" customHeight="1" s="40">
      <c r="A174" s="4" t="n"/>
      <c r="B174" s="4" t="n"/>
      <c r="C174" s="4" t="n"/>
      <c r="D174" s="4" t="n"/>
      <c r="E174" s="4" t="n"/>
      <c r="F174" s="4" t="n"/>
    </row>
    <row r="175" ht="15.75" customHeight="1" s="40">
      <c r="A175" s="4" t="n"/>
      <c r="B175" s="4" t="n"/>
      <c r="C175" s="4" t="n"/>
      <c r="D175" s="4" t="n"/>
      <c r="E175" s="4" t="n"/>
      <c r="F175" s="4" t="n"/>
    </row>
    <row r="176" ht="15.75" customHeight="1" s="40">
      <c r="A176" s="4" t="n"/>
      <c r="B176" s="4" t="n"/>
      <c r="C176" s="4" t="n"/>
      <c r="D176" s="4" t="n"/>
      <c r="E176" s="4" t="n"/>
      <c r="F176" s="4" t="n"/>
    </row>
    <row r="177" ht="15.75" customHeight="1" s="40">
      <c r="A177" s="4" t="n"/>
      <c r="B177" s="4" t="n"/>
      <c r="C177" s="4" t="n"/>
      <c r="D177" s="4" t="n"/>
      <c r="E177" s="4" t="n"/>
      <c r="F177" s="4" t="n"/>
    </row>
    <row r="178" ht="15.75" customHeight="1" s="40">
      <c r="A178" s="4" t="n"/>
      <c r="B178" s="4" t="n"/>
      <c r="C178" s="4" t="n"/>
      <c r="D178" s="4" t="n"/>
      <c r="E178" s="4" t="n"/>
      <c r="F178" s="4" t="n"/>
    </row>
    <row r="179" ht="15.75" customHeight="1" s="40">
      <c r="A179" s="4" t="n"/>
      <c r="B179" s="4" t="n"/>
      <c r="C179" s="4" t="n"/>
      <c r="D179" s="4" t="n"/>
      <c r="E179" s="4" t="n"/>
      <c r="F179" s="4" t="n"/>
    </row>
    <row r="180" ht="15.75" customHeight="1" s="40">
      <c r="A180" s="4" t="n"/>
      <c r="B180" s="4" t="n"/>
      <c r="C180" s="4" t="n"/>
      <c r="D180" s="4" t="n"/>
      <c r="E180" s="4" t="n"/>
      <c r="F180" s="4" t="n"/>
    </row>
    <row r="181" ht="15.75" customHeight="1" s="40">
      <c r="A181" s="4" t="n"/>
      <c r="B181" s="4" t="n"/>
      <c r="C181" s="4" t="n"/>
      <c r="D181" s="4" t="n"/>
      <c r="E181" s="4" t="n"/>
      <c r="F181" s="4" t="n"/>
    </row>
    <row r="182" ht="15.75" customHeight="1" s="40">
      <c r="A182" s="4" t="n"/>
      <c r="B182" s="4" t="n"/>
      <c r="C182" s="4" t="n"/>
      <c r="D182" s="4" t="n"/>
      <c r="E182" s="4" t="n"/>
      <c r="F182" s="4" t="n"/>
    </row>
    <row r="183" ht="15.75" customHeight="1" s="40">
      <c r="A183" s="4" t="n"/>
      <c r="B183" s="4" t="n"/>
      <c r="C183" s="4" t="n"/>
      <c r="D183" s="4" t="n"/>
      <c r="E183" s="4" t="n"/>
      <c r="F183" s="4" t="n"/>
    </row>
    <row r="184" ht="15.75" customHeight="1" s="40">
      <c r="A184" s="4" t="n"/>
      <c r="B184" s="4" t="n"/>
      <c r="C184" s="4" t="n"/>
      <c r="D184" s="4" t="n"/>
      <c r="E184" s="4" t="n"/>
      <c r="F184" s="4" t="n"/>
    </row>
    <row r="185" ht="15.75" customHeight="1" s="40">
      <c r="A185" s="4" t="n"/>
      <c r="B185" s="4" t="n"/>
      <c r="C185" s="4" t="n"/>
      <c r="D185" s="4" t="n"/>
      <c r="E185" s="4" t="n"/>
      <c r="F185" s="4" t="n"/>
    </row>
    <row r="186" ht="15.75" customHeight="1" s="40">
      <c r="A186" s="4" t="n"/>
      <c r="B186" s="4" t="n"/>
      <c r="C186" s="4" t="n"/>
      <c r="D186" s="4" t="n"/>
      <c r="E186" s="4" t="n"/>
      <c r="F186" s="4" t="n"/>
    </row>
    <row r="187" ht="15.75" customHeight="1" s="40">
      <c r="A187" s="4" t="n"/>
      <c r="B187" s="4" t="n"/>
      <c r="C187" s="4" t="n"/>
      <c r="D187" s="4" t="n"/>
      <c r="E187" s="4" t="n"/>
      <c r="F187" s="4" t="n"/>
    </row>
    <row r="188" ht="15.75" customHeight="1" s="40">
      <c r="A188" s="4" t="n"/>
      <c r="B188" s="4" t="n"/>
      <c r="C188" s="4" t="n"/>
      <c r="D188" s="4" t="n"/>
      <c r="E188" s="4" t="n"/>
      <c r="F188" s="4" t="n"/>
    </row>
    <row r="189" ht="15.75" customHeight="1" s="40">
      <c r="A189" s="4" t="n"/>
      <c r="B189" s="4" t="n"/>
      <c r="C189" s="4" t="n"/>
      <c r="D189" s="4" t="n"/>
      <c r="E189" s="4" t="n"/>
      <c r="F189" s="4" t="n"/>
    </row>
    <row r="190" ht="15.75" customHeight="1" s="40">
      <c r="A190" s="4" t="n"/>
      <c r="B190" s="4" t="n"/>
      <c r="C190" s="4" t="n"/>
      <c r="D190" s="4" t="n"/>
      <c r="E190" s="4" t="n"/>
      <c r="F190" s="4" t="n"/>
    </row>
    <row r="191" ht="15.75" customHeight="1" s="40">
      <c r="A191" s="4" t="n"/>
      <c r="B191" s="4" t="n"/>
      <c r="C191" s="4" t="n"/>
      <c r="D191" s="4" t="n"/>
      <c r="E191" s="4" t="n"/>
      <c r="F191" s="4" t="n"/>
    </row>
    <row r="192" ht="15.75" customHeight="1" s="40">
      <c r="A192" s="4" t="n"/>
      <c r="B192" s="4" t="n"/>
      <c r="C192" s="4" t="n"/>
      <c r="D192" s="4" t="n"/>
      <c r="E192" s="4" t="n"/>
      <c r="F192" s="4" t="n"/>
    </row>
    <row r="193" ht="15.75" customHeight="1" s="40">
      <c r="A193" s="4" t="n"/>
      <c r="B193" s="4" t="n"/>
      <c r="C193" s="4" t="n"/>
      <c r="D193" s="4" t="n"/>
      <c r="E193" s="4" t="n"/>
      <c r="F193" s="4" t="n"/>
    </row>
    <row r="194" ht="15.75" customHeight="1" s="40">
      <c r="A194" s="4" t="n"/>
      <c r="B194" s="4" t="n"/>
      <c r="C194" s="4" t="n"/>
      <c r="D194" s="4" t="n"/>
      <c r="E194" s="4" t="n"/>
      <c r="F194" s="4" t="n"/>
    </row>
    <row r="195" ht="15.75" customHeight="1" s="40">
      <c r="A195" s="4" t="n"/>
      <c r="B195" s="4" t="n"/>
      <c r="C195" s="4" t="n"/>
      <c r="D195" s="4" t="n"/>
      <c r="E195" s="4" t="n"/>
      <c r="F195" s="4" t="n"/>
    </row>
    <row r="196" ht="15.75" customHeight="1" s="40">
      <c r="A196" s="4" t="n"/>
      <c r="B196" s="4" t="n"/>
      <c r="C196" s="4" t="n"/>
      <c r="D196" s="4" t="n"/>
      <c r="E196" s="4" t="n"/>
      <c r="F196" s="4" t="n"/>
    </row>
    <row r="197" ht="15.75" customHeight="1" s="40">
      <c r="A197" s="4" t="n"/>
      <c r="B197" s="4" t="n"/>
      <c r="C197" s="4" t="n"/>
      <c r="D197" s="4" t="n"/>
      <c r="E197" s="4" t="n"/>
      <c r="F197" s="4" t="n"/>
    </row>
    <row r="198" ht="15.75" customHeight="1" s="40">
      <c r="A198" s="4" t="n"/>
      <c r="B198" s="4" t="n"/>
      <c r="C198" s="4" t="n"/>
      <c r="D198" s="4" t="n"/>
      <c r="E198" s="4" t="n"/>
      <c r="F198" s="4" t="n"/>
    </row>
    <row r="199" ht="15.75" customHeight="1" s="40">
      <c r="A199" s="4" t="n"/>
      <c r="B199" s="4" t="n"/>
      <c r="C199" s="4" t="n"/>
      <c r="D199" s="4" t="n"/>
      <c r="E199" s="4" t="n"/>
      <c r="F199" s="4" t="n"/>
    </row>
    <row r="200" ht="15.75" customHeight="1" s="40">
      <c r="A200" s="4" t="n"/>
      <c r="B200" s="4" t="n"/>
      <c r="C200" s="4" t="n"/>
      <c r="D200" s="4" t="n"/>
      <c r="E200" s="4" t="n"/>
      <c r="F200" s="4" t="n"/>
    </row>
    <row r="201" ht="15.75" customHeight="1" s="40">
      <c r="A201" s="4" t="n"/>
      <c r="B201" s="4" t="n"/>
      <c r="C201" s="4" t="n"/>
      <c r="D201" s="4" t="n"/>
      <c r="E201" s="4" t="n"/>
      <c r="F201" s="4" t="n"/>
    </row>
    <row r="202" ht="15.75" customHeight="1" s="40">
      <c r="A202" s="4" t="n"/>
      <c r="B202" s="4" t="n"/>
      <c r="C202" s="4" t="n"/>
      <c r="D202" s="4" t="n"/>
      <c r="E202" s="4" t="n"/>
      <c r="F202" s="4" t="n"/>
    </row>
    <row r="203" ht="15.75" customHeight="1" s="40">
      <c r="A203" s="4" t="n"/>
      <c r="B203" s="4" t="n"/>
      <c r="C203" s="4" t="n"/>
      <c r="D203" s="4" t="n"/>
      <c r="E203" s="4" t="n"/>
      <c r="F203" s="4" t="n"/>
    </row>
    <row r="204" ht="15.75" customHeight="1" s="40">
      <c r="A204" s="4" t="n"/>
      <c r="B204" s="4" t="n"/>
      <c r="C204" s="4" t="n"/>
      <c r="D204" s="4" t="n"/>
      <c r="E204" s="4" t="n"/>
      <c r="F204" s="4" t="n"/>
    </row>
    <row r="205" ht="15.75" customHeight="1" s="40">
      <c r="A205" s="4" t="n"/>
      <c r="B205" s="4" t="n"/>
      <c r="C205" s="4" t="n"/>
      <c r="D205" s="4" t="n"/>
      <c r="E205" s="4" t="n"/>
      <c r="F205" s="4" t="n"/>
    </row>
    <row r="206" ht="15.75" customHeight="1" s="40">
      <c r="A206" s="4" t="n"/>
      <c r="B206" s="4" t="n"/>
      <c r="C206" s="4" t="n"/>
      <c r="D206" s="4" t="n"/>
      <c r="E206" s="4" t="n"/>
      <c r="F206" s="4" t="n"/>
    </row>
    <row r="207" ht="15.75" customHeight="1" s="40">
      <c r="A207" s="4" t="n"/>
      <c r="B207" s="4" t="n"/>
      <c r="C207" s="4" t="n"/>
      <c r="D207" s="4" t="n"/>
      <c r="E207" s="4" t="n"/>
      <c r="F207" s="4" t="n"/>
    </row>
    <row r="208" ht="15.75" customHeight="1" s="40">
      <c r="A208" s="4" t="n"/>
      <c r="B208" s="4" t="n"/>
      <c r="C208" s="4" t="n"/>
      <c r="D208" s="4" t="n"/>
      <c r="E208" s="4" t="n"/>
      <c r="F208" s="4" t="n"/>
    </row>
    <row r="209" ht="15.75" customHeight="1" s="40">
      <c r="A209" s="4" t="n"/>
      <c r="B209" s="4" t="n"/>
      <c r="C209" s="4" t="n"/>
      <c r="D209" s="4" t="n"/>
      <c r="E209" s="4" t="n"/>
      <c r="F209" s="4" t="n"/>
    </row>
    <row r="210" ht="15.75" customHeight="1" s="40">
      <c r="A210" s="4" t="n"/>
      <c r="B210" s="4" t="n"/>
      <c r="C210" s="4" t="n"/>
      <c r="D210" s="4" t="n"/>
      <c r="E210" s="4" t="n"/>
      <c r="F210" s="4" t="n"/>
    </row>
    <row r="211" ht="15.75" customHeight="1" s="40">
      <c r="A211" s="4" t="n"/>
      <c r="B211" s="4" t="n"/>
      <c r="C211" s="4" t="n"/>
      <c r="D211" s="4" t="n"/>
      <c r="E211" s="4" t="n"/>
      <c r="F211" s="4" t="n"/>
    </row>
    <row r="212" ht="15.75" customHeight="1" s="40">
      <c r="A212" s="4" t="n"/>
      <c r="B212" s="4" t="n"/>
      <c r="C212" s="4" t="n"/>
      <c r="D212" s="4" t="n"/>
      <c r="E212" s="4" t="n"/>
      <c r="F212" s="4" t="n"/>
    </row>
    <row r="213" ht="15.75" customHeight="1" s="40">
      <c r="A213" s="4" t="n"/>
      <c r="B213" s="4" t="n"/>
      <c r="C213" s="4" t="n"/>
      <c r="D213" s="4" t="n"/>
      <c r="E213" s="4" t="n"/>
      <c r="F213" s="4" t="n"/>
    </row>
    <row r="214" ht="15.75" customHeight="1" s="40">
      <c r="A214" s="4" t="n"/>
      <c r="B214" s="4" t="n"/>
      <c r="C214" s="4" t="n"/>
      <c r="D214" s="4" t="n"/>
      <c r="E214" s="4" t="n"/>
      <c r="F214" s="4" t="n"/>
    </row>
    <row r="215" ht="15.75" customHeight="1" s="40">
      <c r="A215" s="4" t="n"/>
      <c r="B215" s="4" t="n"/>
      <c r="C215" s="4" t="n"/>
      <c r="D215" s="4" t="n"/>
      <c r="E215" s="4" t="n"/>
      <c r="F215" s="4" t="n"/>
    </row>
    <row r="216" ht="15.75" customHeight="1" s="40">
      <c r="A216" s="4" t="n"/>
      <c r="B216" s="4" t="n"/>
      <c r="C216" s="4" t="n"/>
      <c r="D216" s="4" t="n"/>
      <c r="E216" s="4" t="n"/>
      <c r="F216" s="4" t="n"/>
    </row>
    <row r="217" ht="15.75" customHeight="1" s="40">
      <c r="A217" s="4" t="n"/>
      <c r="B217" s="4" t="n"/>
      <c r="C217" s="4" t="n"/>
      <c r="D217" s="4" t="n"/>
      <c r="E217" s="4" t="n"/>
      <c r="F217" s="4" t="n"/>
    </row>
    <row r="218" ht="15.75" customHeight="1" s="40">
      <c r="A218" s="4" t="n"/>
      <c r="B218" s="4" t="n"/>
      <c r="C218" s="4" t="n"/>
      <c r="D218" s="4" t="n"/>
      <c r="E218" s="4" t="n"/>
      <c r="F218" s="4" t="n"/>
    </row>
    <row r="219" ht="15.75" customHeight="1" s="40">
      <c r="A219" s="4" t="n"/>
      <c r="B219" s="4" t="n"/>
      <c r="C219" s="4" t="n"/>
      <c r="D219" s="4" t="n"/>
      <c r="E219" s="4" t="n"/>
      <c r="F219" s="4" t="n"/>
    </row>
    <row r="220" ht="15.75" customHeight="1" s="40">
      <c r="A220" s="4" t="n"/>
      <c r="B220" s="4" t="n"/>
      <c r="C220" s="4" t="n"/>
      <c r="D220" s="4" t="n"/>
      <c r="E220" s="4" t="n"/>
      <c r="F220" s="4" t="n"/>
    </row>
    <row r="221" ht="15.75" customHeight="1" s="40">
      <c r="A221" s="4" t="n"/>
      <c r="B221" s="4" t="n"/>
      <c r="C221" s="4" t="n"/>
      <c r="D221" s="4" t="n"/>
      <c r="E221" s="4" t="n"/>
      <c r="F221" s="4" t="n"/>
    </row>
    <row r="222" ht="15.75" customHeight="1" s="40">
      <c r="A222" s="4" t="n"/>
      <c r="B222" s="4" t="n"/>
      <c r="C222" s="4" t="n"/>
      <c r="D222" s="4" t="n"/>
      <c r="E222" s="4" t="n"/>
      <c r="F222" s="4" t="n"/>
    </row>
    <row r="223" ht="15.75" customHeight="1" s="40">
      <c r="A223" s="4" t="n"/>
      <c r="B223" s="4" t="n"/>
      <c r="C223" s="4" t="n"/>
      <c r="D223" s="4" t="n"/>
      <c r="E223" s="4" t="n"/>
      <c r="F223" s="4" t="n"/>
    </row>
    <row r="224" ht="15.75" customHeight="1" s="40">
      <c r="A224" s="4" t="n"/>
      <c r="B224" s="4" t="n"/>
      <c r="C224" s="4" t="n"/>
      <c r="D224" s="4" t="n"/>
      <c r="E224" s="4" t="n"/>
      <c r="F224" s="4" t="n"/>
    </row>
    <row r="225" ht="15.75" customHeight="1" s="40">
      <c r="A225" s="4" t="n"/>
      <c r="B225" s="4" t="n"/>
      <c r="C225" s="4" t="n"/>
      <c r="D225" s="4" t="n"/>
      <c r="E225" s="4" t="n"/>
      <c r="F225" s="4" t="n"/>
    </row>
    <row r="226" ht="15.75" customHeight="1" s="40">
      <c r="A226" s="4" t="n"/>
      <c r="B226" s="4" t="n"/>
      <c r="C226" s="4" t="n"/>
      <c r="D226" s="4" t="n"/>
      <c r="E226" s="4" t="n"/>
      <c r="F226" s="4" t="n"/>
    </row>
    <row r="227" ht="15.75" customHeight="1" s="40">
      <c r="A227" s="4" t="n"/>
      <c r="B227" s="4" t="n"/>
      <c r="C227" s="4" t="n"/>
      <c r="D227" s="4" t="n"/>
      <c r="E227" s="4" t="n"/>
      <c r="F227" s="4" t="n"/>
    </row>
    <row r="228" ht="15.75" customHeight="1" s="40">
      <c r="A228" s="4" t="n"/>
      <c r="B228" s="4" t="n"/>
      <c r="C228" s="4" t="n"/>
      <c r="D228" s="4" t="n"/>
      <c r="E228" s="4" t="n"/>
      <c r="F228" s="4" t="n"/>
    </row>
    <row r="229" ht="15.75" customHeight="1" s="40">
      <c r="A229" s="4" t="n"/>
      <c r="B229" s="4" t="n"/>
      <c r="C229" s="4" t="n"/>
      <c r="D229" s="4" t="n"/>
      <c r="E229" s="4" t="n"/>
      <c r="F229" s="4" t="n"/>
    </row>
    <row r="230" ht="15.75" customHeight="1" s="40">
      <c r="A230" s="4" t="n"/>
      <c r="B230" s="4" t="n"/>
      <c r="C230" s="4" t="n"/>
      <c r="D230" s="4" t="n"/>
      <c r="E230" s="4" t="n"/>
      <c r="F230" s="4" t="n"/>
    </row>
    <row r="231" ht="15.75" customHeight="1" s="40">
      <c r="A231" s="4" t="n"/>
      <c r="B231" s="4" t="n"/>
      <c r="C231" s="4" t="n"/>
      <c r="D231" s="4" t="n"/>
      <c r="E231" s="4" t="n"/>
      <c r="F231" s="4" t="n"/>
    </row>
    <row r="232" ht="15.75" customHeight="1" s="40">
      <c r="A232" s="4" t="n"/>
      <c r="B232" s="4" t="n"/>
      <c r="C232" s="4" t="n"/>
      <c r="D232" s="4" t="n"/>
      <c r="E232" s="4" t="n"/>
      <c r="F232" s="4" t="n"/>
    </row>
    <row r="233" ht="15.75" customHeight="1" s="40">
      <c r="A233" s="4" t="n"/>
      <c r="B233" s="4" t="n"/>
      <c r="C233" s="4" t="n"/>
      <c r="D233" s="4" t="n"/>
      <c r="E233" s="4" t="n"/>
      <c r="F233" s="4" t="n"/>
    </row>
    <row r="234" ht="15.75" customHeight="1" s="40">
      <c r="A234" s="4" t="n"/>
      <c r="B234" s="4" t="n"/>
      <c r="C234" s="4" t="n"/>
      <c r="D234" s="4" t="n"/>
      <c r="E234" s="4" t="n"/>
      <c r="F234" s="4" t="n"/>
    </row>
    <row r="235" ht="15.75" customHeight="1" s="40">
      <c r="A235" s="4" t="n"/>
      <c r="B235" s="4" t="n"/>
      <c r="C235" s="4" t="n"/>
      <c r="D235" s="4" t="n"/>
      <c r="E235" s="4" t="n"/>
      <c r="F235" s="4" t="n"/>
    </row>
    <row r="236" ht="15.75" customHeight="1" s="40">
      <c r="A236" s="4" t="n"/>
      <c r="B236" s="4" t="n"/>
      <c r="C236" s="4" t="n"/>
      <c r="D236" s="4" t="n"/>
      <c r="E236" s="4" t="n"/>
      <c r="F236" s="4" t="n"/>
    </row>
    <row r="237" ht="15.75" customHeight="1" s="40">
      <c r="A237" s="4" t="n"/>
      <c r="B237" s="4" t="n"/>
      <c r="C237" s="4" t="n"/>
      <c r="D237" s="4" t="n"/>
      <c r="E237" s="4" t="n"/>
      <c r="F237" s="4" t="n"/>
    </row>
    <row r="238" ht="15.75" customHeight="1" s="40">
      <c r="A238" s="4" t="n"/>
      <c r="B238" s="4" t="n"/>
      <c r="C238" s="4" t="n"/>
      <c r="D238" s="4" t="n"/>
      <c r="E238" s="4" t="n"/>
      <c r="F238" s="4" t="n"/>
    </row>
    <row r="239" ht="15.75" customHeight="1" s="40">
      <c r="A239" s="4" t="n"/>
      <c r="B239" s="4" t="n"/>
      <c r="C239" s="4" t="n"/>
      <c r="D239" s="4" t="n"/>
      <c r="E239" s="4" t="n"/>
      <c r="F239" s="4" t="n"/>
    </row>
    <row r="240" ht="15.75" customHeight="1" s="40">
      <c r="A240" s="4" t="n"/>
      <c r="B240" s="4" t="n"/>
      <c r="C240" s="4" t="n"/>
      <c r="D240" s="4" t="n"/>
      <c r="E240" s="4" t="n"/>
      <c r="F240" s="4" t="n"/>
    </row>
    <row r="241" ht="15.75" customHeight="1" s="40">
      <c r="A241" s="4" t="n"/>
      <c r="B241" s="4" t="n"/>
      <c r="C241" s="4" t="n"/>
      <c r="D241" s="4" t="n"/>
      <c r="E241" s="4" t="n"/>
      <c r="F241" s="4" t="n"/>
    </row>
    <row r="242" ht="15.75" customHeight="1" s="40">
      <c r="A242" s="4" t="n"/>
      <c r="B242" s="4" t="n"/>
      <c r="C242" s="4" t="n"/>
      <c r="D242" s="4" t="n"/>
      <c r="E242" s="4" t="n"/>
      <c r="F242" s="4" t="n"/>
    </row>
    <row r="243" ht="15.75" customHeight="1" s="40">
      <c r="A243" s="4" t="n"/>
      <c r="B243" s="4" t="n"/>
      <c r="C243" s="4" t="n"/>
      <c r="D243" s="4" t="n"/>
      <c r="E243" s="4" t="n"/>
      <c r="F243" s="4" t="n"/>
    </row>
    <row r="244" ht="15.75" customHeight="1" s="40">
      <c r="A244" s="4" t="n"/>
      <c r="B244" s="4" t="n"/>
      <c r="C244" s="4" t="n"/>
      <c r="D244" s="4" t="n"/>
      <c r="E244" s="4" t="n"/>
      <c r="F244" s="4" t="n"/>
    </row>
    <row r="245" ht="15.75" customHeight="1" s="40">
      <c r="A245" s="4" t="n"/>
      <c r="B245" s="4" t="n"/>
      <c r="C245" s="4" t="n"/>
      <c r="D245" s="4" t="n"/>
      <c r="E245" s="4" t="n"/>
      <c r="F245" s="4" t="n"/>
    </row>
    <row r="246" ht="15.75" customHeight="1" s="40">
      <c r="A246" s="4" t="n"/>
      <c r="B246" s="4" t="n"/>
      <c r="C246" s="4" t="n"/>
      <c r="D246" s="4" t="n"/>
      <c r="E246" s="4" t="n"/>
      <c r="F246" s="4" t="n"/>
    </row>
    <row r="247" ht="15.75" customHeight="1" s="40">
      <c r="A247" s="4" t="n"/>
      <c r="B247" s="4" t="n"/>
      <c r="C247" s="4" t="n"/>
      <c r="D247" s="4" t="n"/>
      <c r="E247" s="4" t="n"/>
      <c r="F247" s="4" t="n"/>
    </row>
    <row r="248" ht="15.75" customHeight="1" s="40">
      <c r="A248" s="4" t="n"/>
      <c r="B248" s="4" t="n"/>
      <c r="C248" s="4" t="n"/>
      <c r="D248" s="4" t="n"/>
      <c r="E248" s="4" t="n"/>
      <c r="F248" s="4" t="n"/>
    </row>
    <row r="249" ht="15.75" customHeight="1" s="40">
      <c r="A249" s="4" t="n"/>
      <c r="B249" s="4" t="n"/>
      <c r="C249" s="4" t="n"/>
      <c r="D249" s="4" t="n"/>
      <c r="E249" s="4" t="n"/>
      <c r="F249" s="4" t="n"/>
    </row>
    <row r="250" ht="15.75" customHeight="1" s="40">
      <c r="A250" s="4" t="n"/>
      <c r="B250" s="4" t="n"/>
      <c r="C250" s="4" t="n"/>
      <c r="D250" s="4" t="n"/>
      <c r="E250" s="4" t="n"/>
      <c r="F250" s="4" t="n"/>
    </row>
    <row r="251" ht="15.75" customHeight="1" s="40">
      <c r="A251" s="4" t="n"/>
      <c r="B251" s="4" t="n"/>
      <c r="C251" s="4" t="n"/>
      <c r="D251" s="4" t="n"/>
      <c r="E251" s="4" t="n"/>
      <c r="F251" s="4" t="n"/>
    </row>
    <row r="252" ht="15.75" customHeight="1" s="40">
      <c r="A252" s="4" t="n"/>
      <c r="B252" s="4" t="n"/>
      <c r="C252" s="4" t="n"/>
      <c r="D252" s="4" t="n"/>
      <c r="E252" s="4" t="n"/>
      <c r="F252" s="4" t="n"/>
    </row>
    <row r="253" ht="15.75" customHeight="1" s="40">
      <c r="A253" s="4" t="n"/>
      <c r="B253" s="4" t="n"/>
      <c r="C253" s="4" t="n"/>
      <c r="D253" s="4" t="n"/>
      <c r="E253" s="4" t="n"/>
      <c r="F253" s="4" t="n"/>
    </row>
    <row r="254" ht="15.75" customHeight="1" s="40">
      <c r="A254" s="4" t="n"/>
      <c r="B254" s="4" t="n"/>
      <c r="C254" s="4" t="n"/>
      <c r="D254" s="4" t="n"/>
      <c r="E254" s="4" t="n"/>
      <c r="F254" s="4" t="n"/>
    </row>
    <row r="255" ht="15.75" customHeight="1" s="40">
      <c r="A255" s="4" t="n"/>
      <c r="B255" s="4" t="n"/>
      <c r="C255" s="4" t="n"/>
      <c r="D255" s="4" t="n"/>
      <c r="E255" s="4" t="n"/>
      <c r="F255" s="4" t="n"/>
    </row>
    <row r="256" ht="15.75" customHeight="1" s="40">
      <c r="A256" s="4" t="n"/>
      <c r="B256" s="4" t="n"/>
      <c r="C256" s="4" t="n"/>
      <c r="D256" s="4" t="n"/>
      <c r="E256" s="4" t="n"/>
      <c r="F256" s="4" t="n"/>
    </row>
    <row r="257" ht="15.75" customHeight="1" s="40">
      <c r="A257" s="4" t="n"/>
      <c r="B257" s="4" t="n"/>
      <c r="C257" s="4" t="n"/>
      <c r="D257" s="4" t="n"/>
      <c r="E257" s="4" t="n"/>
      <c r="F257" s="4" t="n"/>
    </row>
    <row r="258" ht="15.75" customHeight="1" s="40">
      <c r="A258" s="4" t="n"/>
      <c r="B258" s="4" t="n"/>
      <c r="C258" s="4" t="n"/>
      <c r="D258" s="4" t="n"/>
      <c r="E258" s="4" t="n"/>
      <c r="F258" s="4" t="n"/>
    </row>
    <row r="259" ht="15.75" customHeight="1" s="40">
      <c r="A259" s="4" t="n"/>
      <c r="B259" s="4" t="n"/>
      <c r="C259" s="4" t="n"/>
      <c r="D259" s="4" t="n"/>
      <c r="E259" s="4" t="n"/>
      <c r="F259" s="4" t="n"/>
    </row>
    <row r="260" ht="15.75" customHeight="1" s="40">
      <c r="A260" s="4" t="n"/>
      <c r="B260" s="4" t="n"/>
      <c r="C260" s="4" t="n"/>
      <c r="D260" s="4" t="n"/>
      <c r="E260" s="4" t="n"/>
      <c r="F260" s="4" t="n"/>
    </row>
    <row r="261" ht="15.75" customHeight="1" s="40">
      <c r="A261" s="4" t="n"/>
      <c r="B261" s="4" t="n"/>
      <c r="C261" s="4" t="n"/>
      <c r="D261" s="4" t="n"/>
      <c r="E261" s="4" t="n"/>
      <c r="F261" s="4" t="n"/>
    </row>
    <row r="262" ht="15.75" customHeight="1" s="40">
      <c r="A262" s="4" t="n"/>
      <c r="B262" s="4" t="n"/>
      <c r="C262" s="4" t="n"/>
      <c r="D262" s="4" t="n"/>
      <c r="E262" s="4" t="n"/>
      <c r="F262" s="4" t="n"/>
    </row>
    <row r="263" ht="15.75" customHeight="1" s="40">
      <c r="A263" s="4" t="n"/>
      <c r="B263" s="4" t="n"/>
      <c r="C263" s="4" t="n"/>
      <c r="D263" s="4" t="n"/>
      <c r="E263" s="4" t="n"/>
      <c r="F263" s="4" t="n"/>
    </row>
    <row r="264" ht="15.75" customHeight="1" s="40">
      <c r="A264" s="4" t="n"/>
      <c r="B264" s="4" t="n"/>
      <c r="C264" s="4" t="n"/>
      <c r="D264" s="4" t="n"/>
      <c r="E264" s="4" t="n"/>
      <c r="F264" s="4" t="n"/>
    </row>
    <row r="265" ht="15.75" customHeight="1" s="40">
      <c r="A265" s="4" t="n"/>
      <c r="B265" s="4" t="n"/>
      <c r="C265" s="4" t="n"/>
      <c r="D265" s="4" t="n"/>
      <c r="E265" s="4" t="n"/>
      <c r="F265" s="4" t="n"/>
    </row>
    <row r="266" ht="15.75" customHeight="1" s="40">
      <c r="A266" s="4" t="n"/>
      <c r="B266" s="4" t="n"/>
      <c r="C266" s="4" t="n"/>
      <c r="D266" s="4" t="n"/>
      <c r="E266" s="4" t="n"/>
      <c r="F266" s="4" t="n"/>
    </row>
    <row r="267" ht="15.75" customHeight="1" s="40">
      <c r="A267" s="4" t="n"/>
      <c r="B267" s="4" t="n"/>
      <c r="C267" s="4" t="n"/>
      <c r="D267" s="4" t="n"/>
      <c r="E267" s="4" t="n"/>
      <c r="F267" s="4" t="n"/>
    </row>
    <row r="268" ht="15.75" customHeight="1" s="40">
      <c r="A268" s="4" t="n"/>
      <c r="B268" s="4" t="n"/>
      <c r="C268" s="4" t="n"/>
      <c r="D268" s="4" t="n"/>
      <c r="E268" s="4" t="n"/>
      <c r="F268" s="4" t="n"/>
    </row>
    <row r="269" ht="15.75" customHeight="1" s="40">
      <c r="A269" s="4" t="n"/>
      <c r="B269" s="4" t="n"/>
      <c r="C269" s="4" t="n"/>
      <c r="D269" s="4" t="n"/>
      <c r="E269" s="4" t="n"/>
      <c r="F269" s="4" t="n"/>
    </row>
    <row r="270" ht="15.75" customHeight="1" s="40">
      <c r="A270" s="4" t="n"/>
      <c r="B270" s="4" t="n"/>
      <c r="C270" s="4" t="n"/>
      <c r="D270" s="4" t="n"/>
      <c r="E270" s="4" t="n"/>
      <c r="F270" s="4" t="n"/>
    </row>
    <row r="271" ht="15.75" customHeight="1" s="40">
      <c r="A271" s="4" t="n"/>
      <c r="B271" s="4" t="n"/>
      <c r="C271" s="4" t="n"/>
      <c r="D271" s="4" t="n"/>
      <c r="E271" s="4" t="n"/>
      <c r="F271" s="4" t="n"/>
    </row>
    <row r="272" ht="15.75" customHeight="1" s="40">
      <c r="A272" s="4" t="n"/>
      <c r="B272" s="4" t="n"/>
      <c r="C272" s="4" t="n"/>
      <c r="D272" s="4" t="n"/>
      <c r="E272" s="4" t="n"/>
      <c r="F272" s="4" t="n"/>
    </row>
    <row r="273" ht="15.75" customHeight="1" s="40">
      <c r="A273" s="4" t="n"/>
      <c r="B273" s="4" t="n"/>
      <c r="C273" s="4" t="n"/>
      <c r="D273" s="4" t="n"/>
      <c r="E273" s="4" t="n"/>
      <c r="F273" s="4" t="n"/>
    </row>
    <row r="274" ht="15.75" customHeight="1" s="40">
      <c r="A274" s="4" t="n"/>
      <c r="B274" s="4" t="n"/>
      <c r="C274" s="4" t="n"/>
      <c r="D274" s="4" t="n"/>
      <c r="E274" s="4" t="n"/>
      <c r="F274" s="4" t="n"/>
    </row>
    <row r="275" ht="15.75" customHeight="1" s="40">
      <c r="A275" s="4" t="n"/>
      <c r="B275" s="4" t="n"/>
      <c r="C275" s="4" t="n"/>
      <c r="D275" s="4" t="n"/>
      <c r="E275" s="4" t="n"/>
      <c r="F275" s="4" t="n"/>
    </row>
    <row r="276" ht="15.75" customHeight="1" s="40">
      <c r="A276" s="4" t="n"/>
      <c r="B276" s="4" t="n"/>
      <c r="C276" s="4" t="n"/>
      <c r="D276" s="4" t="n"/>
      <c r="E276" s="4" t="n"/>
      <c r="F276" s="4" t="n"/>
    </row>
    <row r="277" ht="15.75" customHeight="1" s="40">
      <c r="A277" s="4" t="n"/>
      <c r="B277" s="4" t="n"/>
      <c r="C277" s="4" t="n"/>
      <c r="D277" s="4" t="n"/>
      <c r="E277" s="4" t="n"/>
      <c r="F277" s="4" t="n"/>
    </row>
    <row r="278" ht="15.75" customHeight="1" s="40">
      <c r="A278" s="4" t="n"/>
      <c r="B278" s="4" t="n"/>
      <c r="C278" s="4" t="n"/>
      <c r="D278" s="4" t="n"/>
      <c r="E278" s="4" t="n"/>
      <c r="F278" s="4" t="n"/>
    </row>
    <row r="279" ht="15.75" customHeight="1" s="40">
      <c r="A279" s="4" t="n"/>
      <c r="B279" s="4" t="n"/>
      <c r="C279" s="4" t="n"/>
      <c r="D279" s="4" t="n"/>
      <c r="E279" s="4" t="n"/>
      <c r="F279" s="4" t="n"/>
    </row>
    <row r="280" ht="15.75" customHeight="1" s="40">
      <c r="A280" s="4" t="n"/>
      <c r="B280" s="4" t="n"/>
      <c r="C280" s="4" t="n"/>
      <c r="D280" s="4" t="n"/>
      <c r="E280" s="4" t="n"/>
      <c r="F280" s="4" t="n"/>
    </row>
    <row r="281" ht="15.75" customHeight="1" s="40">
      <c r="A281" s="4" t="n"/>
      <c r="B281" s="4" t="n"/>
      <c r="C281" s="4" t="n"/>
      <c r="D281" s="4" t="n"/>
      <c r="E281" s="4" t="n"/>
      <c r="F281" s="4" t="n"/>
    </row>
    <row r="282" ht="15.75" customHeight="1" s="40">
      <c r="A282" s="4" t="n"/>
      <c r="B282" s="4" t="n"/>
      <c r="C282" s="4" t="n"/>
      <c r="D282" s="4" t="n"/>
      <c r="E282" s="4" t="n"/>
      <c r="F282" s="4" t="n"/>
    </row>
    <row r="283" ht="15.75" customHeight="1" s="40">
      <c r="A283" s="4" t="n"/>
      <c r="B283" s="4" t="n"/>
      <c r="C283" s="4" t="n"/>
      <c r="D283" s="4" t="n"/>
      <c r="E283" s="4" t="n"/>
      <c r="F283" s="4" t="n"/>
    </row>
    <row r="284" ht="15.75" customHeight="1" s="40">
      <c r="A284" s="4" t="n"/>
      <c r="B284" s="4" t="n"/>
      <c r="C284" s="4" t="n"/>
      <c r="D284" s="4" t="n"/>
      <c r="E284" s="4" t="n"/>
      <c r="F284" s="4" t="n"/>
    </row>
    <row r="285" ht="15.75" customHeight="1" s="40">
      <c r="A285" s="4" t="n"/>
      <c r="B285" s="4" t="n"/>
      <c r="C285" s="4" t="n"/>
      <c r="D285" s="4" t="n"/>
      <c r="E285" s="4" t="n"/>
      <c r="F285" s="4" t="n"/>
    </row>
    <row r="286" ht="15.75" customHeight="1" s="40">
      <c r="A286" s="4" t="n"/>
      <c r="B286" s="4" t="n"/>
      <c r="C286" s="4" t="n"/>
      <c r="D286" s="4" t="n"/>
      <c r="E286" s="4" t="n"/>
      <c r="F286" s="4" t="n"/>
    </row>
    <row r="287" ht="15.75" customHeight="1" s="40">
      <c r="A287" s="4" t="n"/>
      <c r="B287" s="4" t="n"/>
      <c r="C287" s="4" t="n"/>
      <c r="D287" s="4" t="n"/>
      <c r="E287" s="4" t="n"/>
      <c r="F287" s="4" t="n"/>
    </row>
    <row r="288" ht="15.75" customHeight="1" s="40">
      <c r="A288" s="4" t="n"/>
      <c r="B288" s="4" t="n"/>
      <c r="C288" s="4" t="n"/>
      <c r="D288" s="4" t="n"/>
      <c r="E288" s="4" t="n"/>
      <c r="F288" s="4" t="n"/>
    </row>
    <row r="289" ht="15.75" customHeight="1" s="40">
      <c r="A289" s="4" t="n"/>
      <c r="B289" s="4" t="n"/>
      <c r="C289" s="4" t="n"/>
      <c r="D289" s="4" t="n"/>
      <c r="E289" s="4" t="n"/>
      <c r="F289" s="4" t="n"/>
    </row>
    <row r="290" ht="15.75" customHeight="1" s="40">
      <c r="A290" s="4" t="n"/>
      <c r="B290" s="4" t="n"/>
      <c r="C290" s="4" t="n"/>
      <c r="D290" s="4" t="n"/>
      <c r="E290" s="4" t="n"/>
      <c r="F290" s="4" t="n"/>
    </row>
    <row r="291" ht="15.75" customHeight="1" s="40">
      <c r="A291" s="4" t="n"/>
      <c r="B291" s="4" t="n"/>
      <c r="C291" s="4" t="n"/>
      <c r="D291" s="4" t="n"/>
      <c r="E291" s="4" t="n"/>
      <c r="F291" s="4" t="n"/>
    </row>
    <row r="292" ht="15.75" customHeight="1" s="40">
      <c r="A292" s="4" t="n"/>
      <c r="B292" s="4" t="n"/>
      <c r="C292" s="4" t="n"/>
      <c r="D292" s="4" t="n"/>
      <c r="E292" s="4" t="n"/>
      <c r="F292" s="4" t="n"/>
    </row>
    <row r="293" ht="15.75" customHeight="1" s="40">
      <c r="A293" s="4" t="n"/>
      <c r="B293" s="4" t="n"/>
      <c r="C293" s="4" t="n"/>
      <c r="D293" s="4" t="n"/>
      <c r="E293" s="4" t="n"/>
      <c r="F293" s="4" t="n"/>
    </row>
    <row r="294" ht="15.75" customHeight="1" s="40">
      <c r="A294" s="4" t="n"/>
      <c r="B294" s="4" t="n"/>
      <c r="C294" s="4" t="n"/>
      <c r="D294" s="4" t="n"/>
      <c r="E294" s="4" t="n"/>
      <c r="F294" s="4" t="n"/>
    </row>
    <row r="295" ht="15.75" customHeight="1" s="40">
      <c r="A295" s="4" t="n"/>
      <c r="B295" s="4" t="n"/>
      <c r="C295" s="4" t="n"/>
      <c r="D295" s="4" t="n"/>
      <c r="E295" s="4" t="n"/>
      <c r="F295" s="4" t="n"/>
    </row>
    <row r="296" ht="15.75" customHeight="1" s="40">
      <c r="A296" s="4" t="n"/>
      <c r="B296" s="4" t="n"/>
      <c r="C296" s="4" t="n"/>
      <c r="D296" s="4" t="n"/>
      <c r="E296" s="4" t="n"/>
      <c r="F296" s="4" t="n"/>
    </row>
    <row r="297" ht="15.75" customHeight="1" s="40">
      <c r="A297" s="4" t="n"/>
      <c r="B297" s="4" t="n"/>
      <c r="C297" s="4" t="n"/>
      <c r="D297" s="4" t="n"/>
      <c r="E297" s="4" t="n"/>
      <c r="F297" s="4" t="n"/>
    </row>
    <row r="298" ht="15.75" customHeight="1" s="40">
      <c r="A298" s="4" t="n"/>
      <c r="B298" s="4" t="n"/>
      <c r="C298" s="4" t="n"/>
      <c r="D298" s="4" t="n"/>
      <c r="E298" s="4" t="n"/>
      <c r="F298" s="4" t="n"/>
    </row>
    <row r="299" ht="15.75" customHeight="1" s="40">
      <c r="A299" s="4" t="n"/>
      <c r="B299" s="4" t="n"/>
      <c r="C299" s="4" t="n"/>
      <c r="D299" s="4" t="n"/>
      <c r="E299" s="4" t="n"/>
      <c r="F299" s="4" t="n"/>
    </row>
    <row r="300" ht="15.75" customHeight="1" s="40">
      <c r="A300" s="4" t="n"/>
      <c r="B300" s="4" t="n"/>
      <c r="C300" s="4" t="n"/>
      <c r="D300" s="4" t="n"/>
      <c r="E300" s="4" t="n"/>
      <c r="F300" s="4" t="n"/>
    </row>
    <row r="301" ht="15.75" customHeight="1" s="40">
      <c r="A301" s="4" t="n"/>
      <c r="B301" s="4" t="n"/>
      <c r="C301" s="4" t="n"/>
      <c r="D301" s="4" t="n"/>
      <c r="E301" s="4" t="n"/>
      <c r="F301" s="4" t="n"/>
    </row>
    <row r="302" ht="15.75" customHeight="1" s="40">
      <c r="A302" s="4" t="n"/>
      <c r="B302" s="4" t="n"/>
      <c r="C302" s="4" t="n"/>
      <c r="D302" s="4" t="n"/>
      <c r="E302" s="4" t="n"/>
      <c r="F302" s="4" t="n"/>
    </row>
    <row r="303" ht="15.75" customHeight="1" s="40">
      <c r="A303" s="4" t="n"/>
      <c r="B303" s="4" t="n"/>
      <c r="C303" s="4" t="n"/>
      <c r="D303" s="4" t="n"/>
      <c r="E303" s="4" t="n"/>
      <c r="F303" s="4" t="n"/>
    </row>
    <row r="304" ht="15.75" customHeight="1" s="40">
      <c r="A304" s="4" t="n"/>
      <c r="B304" s="4" t="n"/>
      <c r="C304" s="4" t="n"/>
      <c r="D304" s="4" t="n"/>
      <c r="E304" s="4" t="n"/>
      <c r="F304" s="4" t="n"/>
    </row>
    <row r="305" ht="15.75" customHeight="1" s="40">
      <c r="A305" s="4" t="n"/>
      <c r="B305" s="4" t="n"/>
      <c r="C305" s="4" t="n"/>
      <c r="D305" s="4" t="n"/>
      <c r="E305" s="4" t="n"/>
      <c r="F305" s="4" t="n"/>
    </row>
    <row r="306" ht="15.75" customHeight="1" s="40">
      <c r="A306" s="4" t="n"/>
      <c r="B306" s="4" t="n"/>
      <c r="C306" s="4" t="n"/>
      <c r="D306" s="4" t="n"/>
      <c r="E306" s="4" t="n"/>
      <c r="F306" s="4" t="n"/>
    </row>
    <row r="307" ht="15.75" customHeight="1" s="40">
      <c r="A307" s="4" t="n"/>
      <c r="B307" s="4" t="n"/>
      <c r="C307" s="4" t="n"/>
      <c r="D307" s="4" t="n"/>
      <c r="E307" s="4" t="n"/>
      <c r="F307" s="4" t="n"/>
    </row>
    <row r="308" ht="15.75" customHeight="1" s="40">
      <c r="A308" s="4" t="n"/>
      <c r="B308" s="4" t="n"/>
      <c r="C308" s="4" t="n"/>
      <c r="D308" s="4" t="n"/>
      <c r="E308" s="4" t="n"/>
      <c r="F308" s="4" t="n"/>
    </row>
    <row r="309" ht="15.75" customHeight="1" s="40">
      <c r="A309" s="4" t="n"/>
      <c r="B309" s="4" t="n"/>
      <c r="C309" s="4" t="n"/>
      <c r="D309" s="4" t="n"/>
      <c r="E309" s="4" t="n"/>
      <c r="F309" s="4" t="n"/>
    </row>
    <row r="310" ht="15.75" customHeight="1" s="40">
      <c r="A310" s="4" t="n"/>
      <c r="B310" s="4" t="n"/>
      <c r="C310" s="4" t="n"/>
      <c r="D310" s="4" t="n"/>
      <c r="E310" s="4" t="n"/>
      <c r="F310" s="4" t="n"/>
    </row>
    <row r="311" ht="15.75" customHeight="1" s="40">
      <c r="A311" s="4" t="n"/>
      <c r="B311" s="4" t="n"/>
      <c r="C311" s="4" t="n"/>
      <c r="D311" s="4" t="n"/>
      <c r="E311" s="4" t="n"/>
      <c r="F311" s="4" t="n"/>
    </row>
    <row r="312" ht="15.75" customHeight="1" s="40">
      <c r="A312" s="4" t="n"/>
      <c r="B312" s="4" t="n"/>
      <c r="C312" s="4" t="n"/>
      <c r="D312" s="4" t="n"/>
      <c r="E312" s="4" t="n"/>
      <c r="F312" s="4" t="n"/>
    </row>
    <row r="313" ht="15.75" customHeight="1" s="40">
      <c r="A313" s="4" t="n"/>
      <c r="B313" s="4" t="n"/>
      <c r="C313" s="4" t="n"/>
      <c r="D313" s="4" t="n"/>
      <c r="E313" s="4" t="n"/>
      <c r="F313" s="4" t="n"/>
    </row>
    <row r="314" ht="15.75" customHeight="1" s="40">
      <c r="A314" s="4" t="n"/>
      <c r="B314" s="4" t="n"/>
      <c r="C314" s="4" t="n"/>
      <c r="D314" s="4" t="n"/>
      <c r="E314" s="4" t="n"/>
      <c r="F314" s="4" t="n"/>
    </row>
    <row r="315" ht="15.75" customHeight="1" s="40">
      <c r="A315" s="4" t="n"/>
      <c r="B315" s="4" t="n"/>
      <c r="C315" s="4" t="n"/>
      <c r="D315" s="4" t="n"/>
      <c r="E315" s="4" t="n"/>
      <c r="F315" s="4" t="n"/>
    </row>
    <row r="316" ht="15.75" customHeight="1" s="40">
      <c r="A316" s="4" t="n"/>
      <c r="B316" s="4" t="n"/>
      <c r="C316" s="4" t="n"/>
      <c r="D316" s="4" t="n"/>
      <c r="E316" s="4" t="n"/>
      <c r="F316" s="4" t="n"/>
    </row>
    <row r="317" ht="15.75" customHeight="1" s="40">
      <c r="A317" s="4" t="n"/>
      <c r="B317" s="4" t="n"/>
      <c r="C317" s="4" t="n"/>
      <c r="D317" s="4" t="n"/>
      <c r="E317" s="4" t="n"/>
      <c r="F317" s="4" t="n"/>
    </row>
    <row r="318" ht="15.75" customHeight="1" s="40">
      <c r="A318" s="4" t="n"/>
      <c r="B318" s="4" t="n"/>
      <c r="C318" s="4" t="n"/>
      <c r="D318" s="4" t="n"/>
      <c r="E318" s="4" t="n"/>
      <c r="F318" s="4" t="n"/>
    </row>
    <row r="319" ht="15.75" customHeight="1" s="40">
      <c r="A319" s="4" t="n"/>
      <c r="B319" s="4" t="n"/>
      <c r="C319" s="4" t="n"/>
      <c r="D319" s="4" t="n"/>
      <c r="E319" s="4" t="n"/>
      <c r="F319" s="4" t="n"/>
    </row>
    <row r="320" ht="15.75" customHeight="1" s="40">
      <c r="A320" s="4" t="n"/>
      <c r="B320" s="4" t="n"/>
      <c r="C320" s="4" t="n"/>
      <c r="D320" s="4" t="n"/>
      <c r="E320" s="4" t="n"/>
      <c r="F320" s="4" t="n"/>
    </row>
    <row r="321" ht="15.75" customHeight="1" s="40">
      <c r="A321" s="4" t="n"/>
      <c r="B321" s="4" t="n"/>
      <c r="C321" s="4" t="n"/>
      <c r="D321" s="4" t="n"/>
      <c r="E321" s="4" t="n"/>
      <c r="F321" s="4" t="n"/>
    </row>
    <row r="322" ht="15.75" customHeight="1" s="40">
      <c r="A322" s="4" t="n"/>
      <c r="B322" s="4" t="n"/>
      <c r="C322" s="4" t="n"/>
      <c r="D322" s="4" t="n"/>
      <c r="E322" s="4" t="n"/>
      <c r="F322" s="4" t="n"/>
    </row>
    <row r="323" ht="15.75" customHeight="1" s="40">
      <c r="A323" s="4" t="n"/>
      <c r="B323" s="4" t="n"/>
      <c r="C323" s="4" t="n"/>
      <c r="D323" s="4" t="n"/>
      <c r="E323" s="4" t="n"/>
      <c r="F323" s="4" t="n"/>
    </row>
    <row r="324" ht="15.75" customHeight="1" s="40">
      <c r="A324" s="4" t="n"/>
      <c r="B324" s="4" t="n"/>
      <c r="C324" s="4" t="n"/>
      <c r="D324" s="4" t="n"/>
      <c r="E324" s="4" t="n"/>
      <c r="F324" s="4" t="n"/>
    </row>
    <row r="325" ht="15.75" customHeight="1" s="40">
      <c r="A325" s="4" t="n"/>
      <c r="B325" s="4" t="n"/>
      <c r="C325" s="4" t="n"/>
      <c r="D325" s="4" t="n"/>
      <c r="E325" s="4" t="n"/>
      <c r="F325" s="4" t="n"/>
    </row>
    <row r="326" ht="15.75" customHeight="1" s="40">
      <c r="A326" s="4" t="n"/>
      <c r="B326" s="4" t="n"/>
      <c r="C326" s="4" t="n"/>
      <c r="D326" s="4" t="n"/>
      <c r="E326" s="4" t="n"/>
      <c r="F326" s="4" t="n"/>
    </row>
    <row r="327" ht="15.75" customHeight="1" s="40">
      <c r="A327" s="4" t="n"/>
      <c r="B327" s="4" t="n"/>
      <c r="C327" s="4" t="n"/>
      <c r="D327" s="4" t="n"/>
      <c r="E327" s="4" t="n"/>
      <c r="F327" s="4" t="n"/>
    </row>
    <row r="328" ht="15.75" customHeight="1" s="40">
      <c r="A328" s="4" t="n"/>
      <c r="B328" s="4" t="n"/>
      <c r="C328" s="4" t="n"/>
      <c r="D328" s="4" t="n"/>
      <c r="E328" s="4" t="n"/>
      <c r="F328" s="4" t="n"/>
    </row>
    <row r="329" ht="15.75" customHeight="1" s="40">
      <c r="A329" s="4" t="n"/>
      <c r="B329" s="4" t="n"/>
      <c r="C329" s="4" t="n"/>
      <c r="D329" s="4" t="n"/>
      <c r="E329" s="4" t="n"/>
      <c r="F329" s="4" t="n"/>
    </row>
    <row r="330" ht="15.75" customHeight="1" s="40">
      <c r="A330" s="4" t="n"/>
      <c r="B330" s="4" t="n"/>
      <c r="C330" s="4" t="n"/>
      <c r="D330" s="4" t="n"/>
      <c r="E330" s="4" t="n"/>
      <c r="F330" s="4" t="n"/>
    </row>
    <row r="331" ht="15.75" customHeight="1" s="40">
      <c r="A331" s="4" t="n"/>
      <c r="B331" s="4" t="n"/>
      <c r="C331" s="4" t="n"/>
      <c r="D331" s="4" t="n"/>
      <c r="E331" s="4" t="n"/>
      <c r="F331" s="4" t="n"/>
    </row>
    <row r="332" ht="15.75" customHeight="1" s="40">
      <c r="A332" s="4" t="n"/>
      <c r="B332" s="4" t="n"/>
      <c r="C332" s="4" t="n"/>
      <c r="D332" s="4" t="n"/>
      <c r="E332" s="4" t="n"/>
      <c r="F332" s="4" t="n"/>
    </row>
    <row r="333" ht="15.75" customHeight="1" s="40">
      <c r="A333" s="4" t="n"/>
      <c r="B333" s="4" t="n"/>
      <c r="C333" s="4" t="n"/>
      <c r="D333" s="4" t="n"/>
      <c r="E333" s="4" t="n"/>
      <c r="F333" s="4" t="n"/>
    </row>
    <row r="334" ht="15.75" customHeight="1" s="40">
      <c r="A334" s="4" t="n"/>
      <c r="B334" s="4" t="n"/>
      <c r="C334" s="4" t="n"/>
      <c r="D334" s="4" t="n"/>
      <c r="E334" s="4" t="n"/>
      <c r="F334" s="4" t="n"/>
    </row>
    <row r="335" ht="15.75" customHeight="1" s="40">
      <c r="A335" s="4" t="n"/>
      <c r="B335" s="4" t="n"/>
      <c r="C335" s="4" t="n"/>
      <c r="D335" s="4" t="n"/>
      <c r="E335" s="4" t="n"/>
      <c r="F335" s="4" t="n"/>
    </row>
    <row r="336" ht="15.75" customHeight="1" s="40">
      <c r="A336" s="4" t="n"/>
      <c r="B336" s="4" t="n"/>
      <c r="C336" s="4" t="n"/>
      <c r="D336" s="4" t="n"/>
      <c r="E336" s="4" t="n"/>
      <c r="F336" s="4" t="n"/>
    </row>
    <row r="337" ht="15.75" customHeight="1" s="40">
      <c r="A337" s="4" t="n"/>
      <c r="B337" s="4" t="n"/>
      <c r="C337" s="4" t="n"/>
      <c r="D337" s="4" t="n"/>
      <c r="E337" s="4" t="n"/>
      <c r="F337" s="4" t="n"/>
    </row>
    <row r="338" ht="15.75" customHeight="1" s="40">
      <c r="A338" s="4" t="n"/>
      <c r="B338" s="4" t="n"/>
      <c r="C338" s="4" t="n"/>
      <c r="D338" s="4" t="n"/>
      <c r="E338" s="4" t="n"/>
      <c r="F338" s="4" t="n"/>
    </row>
    <row r="339" ht="15.75" customHeight="1" s="40">
      <c r="A339" s="4" t="n"/>
      <c r="B339" s="4" t="n"/>
      <c r="C339" s="4" t="n"/>
      <c r="D339" s="4" t="n"/>
      <c r="E339" s="4" t="n"/>
      <c r="F339" s="4" t="n"/>
    </row>
    <row r="340" ht="15.75" customHeight="1" s="40">
      <c r="A340" s="4" t="n"/>
      <c r="B340" s="4" t="n"/>
      <c r="C340" s="4" t="n"/>
      <c r="D340" s="4" t="n"/>
      <c r="E340" s="4" t="n"/>
      <c r="F340" s="4" t="n"/>
    </row>
    <row r="341" ht="15.75" customHeight="1" s="40">
      <c r="A341" s="4" t="n"/>
      <c r="B341" s="4" t="n"/>
      <c r="C341" s="4" t="n"/>
      <c r="D341" s="4" t="n"/>
      <c r="E341" s="4" t="n"/>
      <c r="F341" s="4" t="n"/>
    </row>
    <row r="342" ht="15.75" customHeight="1" s="40">
      <c r="A342" s="4" t="n"/>
      <c r="B342" s="4" t="n"/>
      <c r="C342" s="4" t="n"/>
      <c r="D342" s="4" t="n"/>
      <c r="E342" s="4" t="n"/>
      <c r="F342" s="4" t="n"/>
    </row>
    <row r="343" ht="15.75" customHeight="1" s="40">
      <c r="A343" s="4" t="n"/>
      <c r="B343" s="4" t="n"/>
      <c r="C343" s="4" t="n"/>
      <c r="D343" s="4" t="n"/>
      <c r="E343" s="4" t="n"/>
      <c r="F343" s="4" t="n"/>
    </row>
    <row r="344" ht="15.75" customHeight="1" s="40">
      <c r="A344" s="4" t="n"/>
      <c r="B344" s="4" t="n"/>
      <c r="C344" s="4" t="n"/>
      <c r="D344" s="4" t="n"/>
      <c r="E344" s="4" t="n"/>
      <c r="F344" s="4" t="n"/>
    </row>
    <row r="345" ht="15.75" customHeight="1" s="40">
      <c r="A345" s="4" t="n"/>
      <c r="B345" s="4" t="n"/>
      <c r="C345" s="4" t="n"/>
      <c r="D345" s="4" t="n"/>
      <c r="E345" s="4" t="n"/>
      <c r="F345" s="4" t="n"/>
    </row>
    <row r="346" ht="15.75" customHeight="1" s="40">
      <c r="A346" s="4" t="n"/>
      <c r="B346" s="4" t="n"/>
      <c r="C346" s="4" t="n"/>
      <c r="D346" s="4" t="n"/>
      <c r="E346" s="4" t="n"/>
      <c r="F346" s="4" t="n"/>
    </row>
    <row r="347" ht="15.75" customHeight="1" s="40">
      <c r="A347" s="4" t="n"/>
      <c r="B347" s="4" t="n"/>
      <c r="C347" s="4" t="n"/>
      <c r="D347" s="4" t="n"/>
      <c r="E347" s="4" t="n"/>
      <c r="F347" s="4" t="n"/>
    </row>
    <row r="348" ht="15.75" customHeight="1" s="40">
      <c r="A348" s="4" t="n"/>
      <c r="B348" s="4" t="n"/>
      <c r="C348" s="4" t="n"/>
      <c r="D348" s="4" t="n"/>
      <c r="E348" s="4" t="n"/>
      <c r="F348" s="4" t="n"/>
    </row>
    <row r="349" ht="15.75" customHeight="1" s="40">
      <c r="A349" s="4" t="n"/>
      <c r="B349" s="4" t="n"/>
      <c r="C349" s="4" t="n"/>
      <c r="D349" s="4" t="n"/>
      <c r="E349" s="4" t="n"/>
      <c r="F349" s="4" t="n"/>
    </row>
    <row r="350" ht="15.75" customHeight="1" s="40">
      <c r="A350" s="4" t="n"/>
      <c r="B350" s="4" t="n"/>
      <c r="C350" s="4" t="n"/>
      <c r="D350" s="4" t="n"/>
      <c r="E350" s="4" t="n"/>
      <c r="F350" s="4" t="n"/>
    </row>
    <row r="351" ht="15.75" customHeight="1" s="40">
      <c r="A351" s="4" t="n"/>
      <c r="B351" s="4" t="n"/>
      <c r="C351" s="4" t="n"/>
      <c r="D351" s="4" t="n"/>
      <c r="E351" s="4" t="n"/>
      <c r="F351" s="4" t="n"/>
    </row>
    <row r="352" ht="15.75" customHeight="1" s="40">
      <c r="A352" s="4" t="n"/>
      <c r="B352" s="4" t="n"/>
      <c r="C352" s="4" t="n"/>
      <c r="D352" s="4" t="n"/>
      <c r="E352" s="4" t="n"/>
      <c r="F352" s="4" t="n"/>
    </row>
    <row r="353" ht="15.75" customHeight="1" s="40">
      <c r="A353" s="4" t="n"/>
      <c r="B353" s="4" t="n"/>
      <c r="C353" s="4" t="n"/>
      <c r="D353" s="4" t="n"/>
      <c r="E353" s="4" t="n"/>
      <c r="F353" s="4" t="n"/>
    </row>
    <row r="354" ht="15.75" customHeight="1" s="40">
      <c r="A354" s="4" t="n"/>
      <c r="B354" s="4" t="n"/>
      <c r="C354" s="4" t="n"/>
      <c r="D354" s="4" t="n"/>
      <c r="E354" s="4" t="n"/>
      <c r="F354" s="4" t="n"/>
    </row>
    <row r="355" ht="15.75" customHeight="1" s="40">
      <c r="A355" s="4" t="n"/>
      <c r="B355" s="4" t="n"/>
      <c r="C355" s="4" t="n"/>
      <c r="D355" s="4" t="n"/>
      <c r="E355" s="4" t="n"/>
      <c r="F355" s="4" t="n"/>
    </row>
    <row r="356" ht="15.75" customHeight="1" s="40">
      <c r="A356" s="4" t="n"/>
      <c r="B356" s="4" t="n"/>
      <c r="C356" s="4" t="n"/>
      <c r="D356" s="4" t="n"/>
      <c r="E356" s="4" t="n"/>
      <c r="F356" s="4" t="n"/>
    </row>
    <row r="357" ht="15.75" customHeight="1" s="40">
      <c r="A357" s="4" t="n"/>
      <c r="B357" s="4" t="n"/>
      <c r="C357" s="4" t="n"/>
      <c r="D357" s="4" t="n"/>
      <c r="E357" s="4" t="n"/>
      <c r="F357" s="4" t="n"/>
    </row>
    <row r="358" ht="15.75" customHeight="1" s="40">
      <c r="A358" s="4" t="n"/>
      <c r="B358" s="4" t="n"/>
      <c r="C358" s="4" t="n"/>
      <c r="D358" s="4" t="n"/>
      <c r="E358" s="4" t="n"/>
      <c r="F358" s="4" t="n"/>
    </row>
    <row r="359" ht="15.75" customHeight="1" s="40">
      <c r="A359" s="4" t="n"/>
      <c r="B359" s="4" t="n"/>
      <c r="C359" s="4" t="n"/>
      <c r="D359" s="4" t="n"/>
      <c r="E359" s="4" t="n"/>
      <c r="F359" s="4" t="n"/>
    </row>
    <row r="360" ht="15.75" customHeight="1" s="40">
      <c r="A360" s="4" t="n"/>
      <c r="B360" s="4" t="n"/>
      <c r="C360" s="4" t="n"/>
      <c r="D360" s="4" t="n"/>
      <c r="E360" s="4" t="n"/>
      <c r="F360" s="4" t="n"/>
    </row>
    <row r="361" ht="15.75" customHeight="1" s="40">
      <c r="A361" s="4" t="n"/>
      <c r="B361" s="4" t="n"/>
      <c r="C361" s="4" t="n"/>
      <c r="D361" s="4" t="n"/>
      <c r="E361" s="4" t="n"/>
      <c r="F361" s="4" t="n"/>
    </row>
    <row r="362" ht="15.75" customHeight="1" s="40">
      <c r="A362" s="4" t="n"/>
      <c r="B362" s="4" t="n"/>
      <c r="C362" s="4" t="n"/>
      <c r="D362" s="4" t="n"/>
      <c r="E362" s="4" t="n"/>
      <c r="F362" s="4" t="n"/>
    </row>
    <row r="363" ht="15.75" customHeight="1" s="40">
      <c r="A363" s="4" t="n"/>
      <c r="B363" s="4" t="n"/>
      <c r="C363" s="4" t="n"/>
      <c r="D363" s="4" t="n"/>
      <c r="E363" s="4" t="n"/>
      <c r="F363" s="4" t="n"/>
    </row>
    <row r="364" ht="15.75" customHeight="1" s="40">
      <c r="A364" s="4" t="n"/>
      <c r="B364" s="4" t="n"/>
      <c r="C364" s="4" t="n"/>
      <c r="D364" s="4" t="n"/>
      <c r="E364" s="4" t="n"/>
      <c r="F364" s="4" t="n"/>
    </row>
    <row r="365" ht="15.75" customHeight="1" s="40">
      <c r="A365" s="4" t="n"/>
      <c r="B365" s="4" t="n"/>
      <c r="C365" s="4" t="n"/>
      <c r="D365" s="4" t="n"/>
      <c r="E365" s="4" t="n"/>
      <c r="F365" s="4" t="n"/>
    </row>
    <row r="366" ht="15.75" customHeight="1" s="40">
      <c r="A366" s="4" t="n"/>
      <c r="B366" s="4" t="n"/>
      <c r="C366" s="4" t="n"/>
      <c r="D366" s="4" t="n"/>
      <c r="E366" s="4" t="n"/>
      <c r="F366" s="4" t="n"/>
    </row>
    <row r="367" ht="15.75" customHeight="1" s="40">
      <c r="A367" s="4" t="n"/>
      <c r="B367" s="4" t="n"/>
      <c r="C367" s="4" t="n"/>
      <c r="D367" s="4" t="n"/>
      <c r="E367" s="4" t="n"/>
      <c r="F367" s="4" t="n"/>
    </row>
    <row r="368" ht="15.75" customHeight="1" s="40">
      <c r="A368" s="4" t="n"/>
      <c r="B368" s="4" t="n"/>
      <c r="C368" s="4" t="n"/>
      <c r="D368" s="4" t="n"/>
      <c r="E368" s="4" t="n"/>
      <c r="F368" s="4" t="n"/>
    </row>
    <row r="369" ht="15.75" customHeight="1" s="40">
      <c r="A369" s="4" t="n"/>
      <c r="B369" s="4" t="n"/>
      <c r="C369" s="4" t="n"/>
      <c r="D369" s="4" t="n"/>
      <c r="E369" s="4" t="n"/>
      <c r="F369" s="4" t="n"/>
    </row>
    <row r="370" ht="15.75" customHeight="1" s="40">
      <c r="A370" s="4" t="n"/>
      <c r="B370" s="4" t="n"/>
      <c r="C370" s="4" t="n"/>
      <c r="D370" s="4" t="n"/>
      <c r="E370" s="4" t="n"/>
      <c r="F370" s="4" t="n"/>
    </row>
    <row r="371" ht="15.75" customHeight="1" s="40">
      <c r="A371" s="4" t="n"/>
      <c r="B371" s="4" t="n"/>
      <c r="C371" s="4" t="n"/>
      <c r="D371" s="4" t="n"/>
      <c r="E371" s="4" t="n"/>
      <c r="F371" s="4" t="n"/>
    </row>
    <row r="372" ht="15.75" customHeight="1" s="40">
      <c r="A372" s="4" t="n"/>
      <c r="B372" s="4" t="n"/>
      <c r="C372" s="4" t="n"/>
      <c r="D372" s="4" t="n"/>
      <c r="E372" s="4" t="n"/>
      <c r="F372" s="4" t="n"/>
    </row>
    <row r="373" ht="15.75" customHeight="1" s="40">
      <c r="A373" s="4" t="n"/>
      <c r="B373" s="4" t="n"/>
      <c r="C373" s="4" t="n"/>
      <c r="D373" s="4" t="n"/>
      <c r="E373" s="4" t="n"/>
      <c r="F373" s="4" t="n"/>
    </row>
    <row r="374" ht="15.75" customHeight="1" s="40">
      <c r="A374" s="4" t="n"/>
      <c r="B374" s="4" t="n"/>
      <c r="C374" s="4" t="n"/>
      <c r="D374" s="4" t="n"/>
      <c r="E374" s="4" t="n"/>
      <c r="F374" s="4" t="n"/>
    </row>
    <row r="375" ht="15.75" customHeight="1" s="40">
      <c r="A375" s="4" t="n"/>
      <c r="B375" s="4" t="n"/>
      <c r="C375" s="4" t="n"/>
      <c r="D375" s="4" t="n"/>
      <c r="E375" s="4" t="n"/>
      <c r="F375" s="4" t="n"/>
    </row>
    <row r="376" ht="15.75" customHeight="1" s="40">
      <c r="A376" s="4" t="n"/>
      <c r="B376" s="4" t="n"/>
      <c r="C376" s="4" t="n"/>
      <c r="D376" s="4" t="n"/>
      <c r="E376" s="4" t="n"/>
      <c r="F376" s="4" t="n"/>
    </row>
    <row r="377" ht="15.75" customHeight="1" s="40">
      <c r="A377" s="4" t="n"/>
      <c r="B377" s="4" t="n"/>
      <c r="C377" s="4" t="n"/>
      <c r="D377" s="4" t="n"/>
      <c r="E377" s="4" t="n"/>
      <c r="F377" s="4" t="n"/>
    </row>
    <row r="378" ht="15.75" customHeight="1" s="40">
      <c r="A378" s="4" t="n"/>
      <c r="B378" s="4" t="n"/>
      <c r="C378" s="4" t="n"/>
      <c r="D378" s="4" t="n"/>
      <c r="E378" s="4" t="n"/>
      <c r="F378" s="4" t="n"/>
    </row>
    <row r="379" ht="15.75" customHeight="1" s="40">
      <c r="A379" s="4" t="n"/>
      <c r="B379" s="4" t="n"/>
      <c r="C379" s="4" t="n"/>
      <c r="D379" s="4" t="n"/>
      <c r="E379" s="4" t="n"/>
      <c r="F379" s="4" t="n"/>
    </row>
    <row r="380" ht="15.75" customHeight="1" s="40">
      <c r="A380" s="4" t="n"/>
      <c r="B380" s="4" t="n"/>
      <c r="C380" s="4" t="n"/>
      <c r="D380" s="4" t="n"/>
      <c r="E380" s="4" t="n"/>
      <c r="F380" s="4" t="n"/>
    </row>
    <row r="381" ht="15.75" customHeight="1" s="40">
      <c r="A381" s="4" t="n"/>
      <c r="B381" s="4" t="n"/>
      <c r="C381" s="4" t="n"/>
      <c r="D381" s="4" t="n"/>
      <c r="E381" s="4" t="n"/>
      <c r="F381" s="4" t="n"/>
    </row>
    <row r="382" ht="15.75" customHeight="1" s="40">
      <c r="A382" s="4" t="n"/>
      <c r="B382" s="4" t="n"/>
      <c r="C382" s="4" t="n"/>
      <c r="D382" s="4" t="n"/>
      <c r="E382" s="4" t="n"/>
      <c r="F382" s="4" t="n"/>
    </row>
    <row r="383" ht="15.75" customHeight="1" s="40">
      <c r="A383" s="4" t="n"/>
      <c r="B383" s="4" t="n"/>
      <c r="C383" s="4" t="n"/>
      <c r="D383" s="4" t="n"/>
      <c r="E383" s="4" t="n"/>
      <c r="F383" s="4" t="n"/>
    </row>
    <row r="384" ht="15.75" customHeight="1" s="40">
      <c r="A384" s="4" t="n"/>
      <c r="B384" s="4" t="n"/>
      <c r="C384" s="4" t="n"/>
      <c r="D384" s="4" t="n"/>
      <c r="E384" s="4" t="n"/>
      <c r="F384" s="4" t="n"/>
    </row>
    <row r="385" ht="15.75" customHeight="1" s="40">
      <c r="A385" s="4" t="n"/>
      <c r="B385" s="4" t="n"/>
      <c r="C385" s="4" t="n"/>
      <c r="D385" s="4" t="n"/>
      <c r="E385" s="4" t="n"/>
      <c r="F385" s="4" t="n"/>
    </row>
    <row r="386" ht="15.75" customHeight="1" s="40">
      <c r="A386" s="4" t="n"/>
      <c r="B386" s="4" t="n"/>
      <c r="C386" s="4" t="n"/>
      <c r="D386" s="4" t="n"/>
      <c r="E386" s="4" t="n"/>
      <c r="F386" s="4" t="n"/>
    </row>
    <row r="387" ht="15.75" customHeight="1" s="40">
      <c r="A387" s="4" t="n"/>
      <c r="B387" s="4" t="n"/>
      <c r="C387" s="4" t="n"/>
      <c r="D387" s="4" t="n"/>
      <c r="E387" s="4" t="n"/>
      <c r="F387" s="4" t="n"/>
    </row>
    <row r="388" ht="15.75" customHeight="1" s="40">
      <c r="A388" s="4" t="n"/>
      <c r="B388" s="4" t="n"/>
      <c r="C388" s="4" t="n"/>
      <c r="D388" s="4" t="n"/>
      <c r="E388" s="4" t="n"/>
      <c r="F388" s="4" t="n"/>
    </row>
    <row r="389" ht="15.75" customHeight="1" s="40">
      <c r="A389" s="4" t="n"/>
      <c r="B389" s="4" t="n"/>
      <c r="C389" s="4" t="n"/>
      <c r="D389" s="4" t="n"/>
      <c r="E389" s="4" t="n"/>
      <c r="F389" s="4" t="n"/>
    </row>
    <row r="390" ht="15.75" customHeight="1" s="40">
      <c r="A390" s="4" t="n"/>
      <c r="B390" s="4" t="n"/>
      <c r="C390" s="4" t="n"/>
      <c r="D390" s="4" t="n"/>
      <c r="E390" s="4" t="n"/>
      <c r="F390" s="4" t="n"/>
    </row>
    <row r="391" ht="15.75" customHeight="1" s="40">
      <c r="A391" s="4" t="n"/>
      <c r="B391" s="4" t="n"/>
      <c r="C391" s="4" t="n"/>
      <c r="D391" s="4" t="n"/>
      <c r="E391" s="4" t="n"/>
      <c r="F391" s="4" t="n"/>
    </row>
    <row r="392" ht="15.75" customHeight="1" s="40">
      <c r="A392" s="4" t="n"/>
      <c r="B392" s="4" t="n"/>
      <c r="C392" s="4" t="n"/>
      <c r="D392" s="4" t="n"/>
      <c r="E392" s="4" t="n"/>
      <c r="F392" s="4" t="n"/>
    </row>
    <row r="393" ht="15.75" customHeight="1" s="40">
      <c r="A393" s="4" t="n"/>
      <c r="B393" s="4" t="n"/>
      <c r="C393" s="4" t="n"/>
      <c r="D393" s="4" t="n"/>
      <c r="E393" s="4" t="n"/>
      <c r="F393" s="4" t="n"/>
    </row>
    <row r="394" ht="15.75" customHeight="1" s="40">
      <c r="A394" s="4" t="n"/>
      <c r="B394" s="4" t="n"/>
      <c r="C394" s="4" t="n"/>
      <c r="D394" s="4" t="n"/>
      <c r="E394" s="4" t="n"/>
      <c r="F394" s="4" t="n"/>
    </row>
    <row r="395" ht="15.75" customHeight="1" s="40">
      <c r="A395" s="4" t="n"/>
      <c r="B395" s="4" t="n"/>
      <c r="C395" s="4" t="n"/>
      <c r="D395" s="4" t="n"/>
      <c r="E395" s="4" t="n"/>
      <c r="F395" s="4" t="n"/>
    </row>
    <row r="396" ht="15.75" customHeight="1" s="40">
      <c r="A396" s="4" t="n"/>
      <c r="B396" s="4" t="n"/>
      <c r="C396" s="4" t="n"/>
      <c r="D396" s="4" t="n"/>
      <c r="E396" s="4" t="n"/>
      <c r="F396" s="4" t="n"/>
    </row>
    <row r="397" ht="15.75" customHeight="1" s="40">
      <c r="A397" s="4" t="n"/>
      <c r="B397" s="4" t="n"/>
      <c r="C397" s="4" t="n"/>
      <c r="D397" s="4" t="n"/>
      <c r="E397" s="4" t="n"/>
      <c r="F397" s="4" t="n"/>
    </row>
    <row r="398" ht="15.75" customHeight="1" s="40">
      <c r="A398" s="4" t="n"/>
      <c r="B398" s="4" t="n"/>
      <c r="C398" s="4" t="n"/>
      <c r="D398" s="4" t="n"/>
      <c r="E398" s="4" t="n"/>
      <c r="F398" s="4" t="n"/>
    </row>
    <row r="399" ht="15.75" customHeight="1" s="40">
      <c r="A399" s="4" t="n"/>
      <c r="B399" s="4" t="n"/>
      <c r="C399" s="4" t="n"/>
      <c r="D399" s="4" t="n"/>
      <c r="E399" s="4" t="n"/>
      <c r="F399" s="4" t="n"/>
    </row>
    <row r="400" ht="15.75" customHeight="1" s="40">
      <c r="A400" s="4" t="n"/>
      <c r="B400" s="4" t="n"/>
      <c r="C400" s="4" t="n"/>
      <c r="D400" s="4" t="n"/>
      <c r="E400" s="4" t="n"/>
      <c r="F400" s="4" t="n"/>
    </row>
    <row r="401" ht="15.75" customHeight="1" s="40">
      <c r="A401" s="4" t="n"/>
      <c r="B401" s="4" t="n"/>
      <c r="C401" s="4" t="n"/>
      <c r="D401" s="4" t="n"/>
      <c r="E401" s="4" t="n"/>
      <c r="F401" s="4" t="n"/>
    </row>
    <row r="402" ht="15.75" customHeight="1" s="40">
      <c r="A402" s="4" t="n"/>
      <c r="B402" s="4" t="n"/>
      <c r="C402" s="4" t="n"/>
      <c r="D402" s="4" t="n"/>
      <c r="E402" s="4" t="n"/>
      <c r="F402" s="4" t="n"/>
    </row>
    <row r="403" ht="15.75" customHeight="1" s="40">
      <c r="A403" s="4" t="n"/>
      <c r="B403" s="4" t="n"/>
      <c r="C403" s="4" t="n"/>
      <c r="D403" s="4" t="n"/>
      <c r="E403" s="4" t="n"/>
      <c r="F403" s="4" t="n"/>
    </row>
    <row r="404" ht="15.75" customHeight="1" s="40">
      <c r="A404" s="4" t="n"/>
      <c r="B404" s="4" t="n"/>
      <c r="C404" s="4" t="n"/>
      <c r="D404" s="4" t="n"/>
      <c r="E404" s="4" t="n"/>
      <c r="F404" s="4" t="n"/>
    </row>
    <row r="405" ht="15.75" customHeight="1" s="40">
      <c r="A405" s="4" t="n"/>
      <c r="B405" s="4" t="n"/>
      <c r="C405" s="4" t="n"/>
      <c r="D405" s="4" t="n"/>
      <c r="E405" s="4" t="n"/>
      <c r="F405" s="4" t="n"/>
    </row>
    <row r="406" ht="15.75" customHeight="1" s="40">
      <c r="A406" s="4" t="n"/>
      <c r="B406" s="4" t="n"/>
      <c r="C406" s="4" t="n"/>
      <c r="D406" s="4" t="n"/>
      <c r="E406" s="4" t="n"/>
      <c r="F406" s="4" t="n"/>
    </row>
    <row r="407" ht="15.75" customHeight="1" s="40">
      <c r="A407" s="4" t="n"/>
      <c r="B407" s="4" t="n"/>
      <c r="C407" s="4" t="n"/>
      <c r="D407" s="4" t="n"/>
      <c r="E407" s="4" t="n"/>
      <c r="F407" s="4" t="n"/>
    </row>
    <row r="408" ht="15.75" customHeight="1" s="40">
      <c r="A408" s="4" t="n"/>
      <c r="B408" s="4" t="n"/>
      <c r="C408" s="4" t="n"/>
      <c r="D408" s="4" t="n"/>
      <c r="E408" s="4" t="n"/>
      <c r="F408" s="4" t="n"/>
    </row>
    <row r="409" ht="15.75" customHeight="1" s="40">
      <c r="A409" s="4" t="n"/>
      <c r="B409" s="4" t="n"/>
      <c r="C409" s="4" t="n"/>
      <c r="D409" s="4" t="n"/>
      <c r="E409" s="4" t="n"/>
      <c r="F409" s="4" t="n"/>
    </row>
    <row r="410" ht="15.75" customHeight="1" s="40">
      <c r="A410" s="4" t="n"/>
      <c r="B410" s="4" t="n"/>
      <c r="C410" s="4" t="n"/>
      <c r="D410" s="4" t="n"/>
      <c r="E410" s="4" t="n"/>
      <c r="F410" s="4" t="n"/>
    </row>
    <row r="411" ht="15.75" customHeight="1" s="40">
      <c r="A411" s="4" t="n"/>
      <c r="B411" s="4" t="n"/>
      <c r="C411" s="4" t="n"/>
      <c r="D411" s="4" t="n"/>
      <c r="E411" s="4" t="n"/>
      <c r="F411" s="4" t="n"/>
    </row>
    <row r="412" ht="15.75" customHeight="1" s="40">
      <c r="A412" s="4" t="n"/>
      <c r="B412" s="4" t="n"/>
      <c r="C412" s="4" t="n"/>
      <c r="D412" s="4" t="n"/>
      <c r="E412" s="4" t="n"/>
      <c r="F412" s="4" t="n"/>
    </row>
    <row r="413" ht="15.75" customHeight="1" s="40">
      <c r="A413" s="4" t="n"/>
      <c r="B413" s="4" t="n"/>
      <c r="C413" s="4" t="n"/>
      <c r="D413" s="4" t="n"/>
      <c r="E413" s="4" t="n"/>
      <c r="F413" s="4" t="n"/>
    </row>
    <row r="414" ht="15.75" customHeight="1" s="40">
      <c r="A414" s="4" t="n"/>
      <c r="B414" s="4" t="n"/>
      <c r="C414" s="4" t="n"/>
      <c r="D414" s="4" t="n"/>
      <c r="E414" s="4" t="n"/>
      <c r="F414" s="4" t="n"/>
    </row>
    <row r="415" ht="15.75" customHeight="1" s="40">
      <c r="A415" s="4" t="n"/>
      <c r="B415" s="4" t="n"/>
      <c r="C415" s="4" t="n"/>
      <c r="D415" s="4" t="n"/>
      <c r="E415" s="4" t="n"/>
      <c r="F415" s="4" t="n"/>
    </row>
    <row r="416" ht="15.75" customHeight="1" s="40">
      <c r="A416" s="4" t="n"/>
      <c r="B416" s="4" t="n"/>
      <c r="C416" s="4" t="n"/>
      <c r="D416" s="4" t="n"/>
      <c r="E416" s="4" t="n"/>
      <c r="F416" s="4" t="n"/>
    </row>
    <row r="417" ht="15.75" customHeight="1" s="40">
      <c r="A417" s="4" t="n"/>
      <c r="B417" s="4" t="n"/>
      <c r="C417" s="4" t="n"/>
      <c r="D417" s="4" t="n"/>
      <c r="E417" s="4" t="n"/>
      <c r="F417" s="4" t="n"/>
    </row>
    <row r="418" ht="15.75" customHeight="1" s="40">
      <c r="A418" s="4" t="n"/>
      <c r="B418" s="4" t="n"/>
      <c r="C418" s="4" t="n"/>
      <c r="D418" s="4" t="n"/>
      <c r="E418" s="4" t="n"/>
      <c r="F418" s="4" t="n"/>
    </row>
    <row r="419" ht="15.75" customHeight="1" s="40">
      <c r="A419" s="4" t="n"/>
      <c r="B419" s="4" t="n"/>
      <c r="C419" s="4" t="n"/>
      <c r="D419" s="4" t="n"/>
      <c r="E419" s="4" t="n"/>
      <c r="F419" s="4" t="n"/>
    </row>
    <row r="420" ht="15.75" customHeight="1" s="40">
      <c r="A420" s="4" t="n"/>
      <c r="B420" s="4" t="n"/>
      <c r="C420" s="4" t="n"/>
      <c r="D420" s="4" t="n"/>
      <c r="E420" s="4" t="n"/>
      <c r="F420" s="4" t="n"/>
    </row>
    <row r="421" ht="15.75" customHeight="1" s="40">
      <c r="A421" s="4" t="n"/>
      <c r="B421" s="4" t="n"/>
      <c r="C421" s="4" t="n"/>
      <c r="D421" s="4" t="n"/>
      <c r="E421" s="4" t="n"/>
      <c r="F421" s="4" t="n"/>
    </row>
    <row r="422" ht="15.75" customHeight="1" s="40">
      <c r="A422" s="4" t="n"/>
      <c r="B422" s="4" t="n"/>
      <c r="C422" s="4" t="n"/>
      <c r="D422" s="4" t="n"/>
      <c r="E422" s="4" t="n"/>
      <c r="F422" s="4" t="n"/>
    </row>
    <row r="423" ht="15.75" customHeight="1" s="40">
      <c r="A423" s="4" t="n"/>
      <c r="B423" s="4" t="n"/>
      <c r="C423" s="4" t="n"/>
      <c r="D423" s="4" t="n"/>
      <c r="E423" s="4" t="n"/>
      <c r="F423" s="4" t="n"/>
    </row>
    <row r="424" ht="15.75" customHeight="1" s="40">
      <c r="A424" s="4" t="n"/>
      <c r="B424" s="4" t="n"/>
      <c r="C424" s="4" t="n"/>
      <c r="D424" s="4" t="n"/>
      <c r="E424" s="4" t="n"/>
      <c r="F424" s="4" t="n"/>
    </row>
    <row r="425" ht="15.75" customHeight="1" s="40">
      <c r="A425" s="4" t="n"/>
      <c r="B425" s="4" t="n"/>
      <c r="C425" s="4" t="n"/>
      <c r="D425" s="4" t="n"/>
      <c r="E425" s="4" t="n"/>
      <c r="F425" s="4" t="n"/>
    </row>
    <row r="426" ht="15.75" customHeight="1" s="40">
      <c r="A426" s="4" t="n"/>
      <c r="B426" s="4" t="n"/>
      <c r="C426" s="4" t="n"/>
      <c r="D426" s="4" t="n"/>
      <c r="E426" s="4" t="n"/>
      <c r="F426" s="4" t="n"/>
    </row>
    <row r="427" ht="15.75" customHeight="1" s="40">
      <c r="A427" s="4" t="n"/>
      <c r="B427" s="4" t="n"/>
      <c r="C427" s="4" t="n"/>
      <c r="D427" s="4" t="n"/>
      <c r="E427" s="4" t="n"/>
      <c r="F427" s="4" t="n"/>
    </row>
    <row r="428" ht="15.75" customHeight="1" s="40">
      <c r="A428" s="4" t="n"/>
      <c r="B428" s="4" t="n"/>
      <c r="C428" s="4" t="n"/>
      <c r="D428" s="4" t="n"/>
      <c r="E428" s="4" t="n"/>
      <c r="F428" s="4" t="n"/>
    </row>
    <row r="429" ht="15.75" customHeight="1" s="40">
      <c r="A429" s="4" t="n"/>
      <c r="B429" s="4" t="n"/>
      <c r="C429" s="4" t="n"/>
      <c r="D429" s="4" t="n"/>
      <c r="E429" s="4" t="n"/>
      <c r="F429" s="4" t="n"/>
    </row>
    <row r="430" ht="15.75" customHeight="1" s="40">
      <c r="A430" s="4" t="n"/>
      <c r="B430" s="4" t="n"/>
      <c r="C430" s="4" t="n"/>
      <c r="D430" s="4" t="n"/>
      <c r="E430" s="4" t="n"/>
      <c r="F430" s="4" t="n"/>
    </row>
    <row r="431" ht="15.75" customHeight="1" s="40">
      <c r="A431" s="4" t="n"/>
      <c r="B431" s="4" t="n"/>
      <c r="C431" s="4" t="n"/>
      <c r="D431" s="4" t="n"/>
      <c r="E431" s="4" t="n"/>
      <c r="F431" s="4" t="n"/>
    </row>
    <row r="432" ht="15.75" customHeight="1" s="40">
      <c r="A432" s="4" t="n"/>
      <c r="B432" s="4" t="n"/>
      <c r="C432" s="4" t="n"/>
      <c r="D432" s="4" t="n"/>
      <c r="E432" s="4" t="n"/>
      <c r="F432" s="4" t="n"/>
    </row>
    <row r="433" ht="15.75" customHeight="1" s="40">
      <c r="A433" s="4" t="n"/>
      <c r="B433" s="4" t="n"/>
      <c r="C433" s="4" t="n"/>
      <c r="D433" s="4" t="n"/>
      <c r="E433" s="4" t="n"/>
      <c r="F433" s="4" t="n"/>
    </row>
    <row r="434" ht="15.75" customHeight="1" s="40">
      <c r="A434" s="4" t="n"/>
      <c r="B434" s="4" t="n"/>
      <c r="C434" s="4" t="n"/>
      <c r="D434" s="4" t="n"/>
      <c r="E434" s="4" t="n"/>
      <c r="F434" s="4" t="n"/>
    </row>
    <row r="435" ht="15.75" customHeight="1" s="40">
      <c r="A435" s="4" t="n"/>
      <c r="B435" s="4" t="n"/>
      <c r="C435" s="4" t="n"/>
      <c r="D435" s="4" t="n"/>
      <c r="E435" s="4" t="n"/>
      <c r="F435" s="4" t="n"/>
    </row>
    <row r="436" ht="15.75" customHeight="1" s="40">
      <c r="A436" s="4" t="n"/>
      <c r="B436" s="4" t="n"/>
      <c r="C436" s="4" t="n"/>
      <c r="D436" s="4" t="n"/>
      <c r="E436" s="4" t="n"/>
      <c r="F436" s="4" t="n"/>
    </row>
    <row r="437" ht="15.75" customHeight="1" s="40">
      <c r="A437" s="4" t="n"/>
      <c r="B437" s="4" t="n"/>
      <c r="C437" s="4" t="n"/>
      <c r="D437" s="4" t="n"/>
      <c r="E437" s="4" t="n"/>
      <c r="F437" s="4" t="n"/>
    </row>
    <row r="438" ht="15.75" customHeight="1" s="40">
      <c r="A438" s="4" t="n"/>
      <c r="B438" s="4" t="n"/>
      <c r="C438" s="4" t="n"/>
      <c r="D438" s="4" t="n"/>
      <c r="E438" s="4" t="n"/>
      <c r="F438" s="4" t="n"/>
    </row>
    <row r="439" ht="15.75" customHeight="1" s="40">
      <c r="A439" s="4" t="n"/>
      <c r="B439" s="4" t="n"/>
      <c r="C439" s="4" t="n"/>
      <c r="D439" s="4" t="n"/>
      <c r="E439" s="4" t="n"/>
      <c r="F439" s="4" t="n"/>
    </row>
    <row r="440" ht="15.75" customHeight="1" s="40">
      <c r="A440" s="4" t="n"/>
      <c r="B440" s="4" t="n"/>
      <c r="C440" s="4" t="n"/>
      <c r="D440" s="4" t="n"/>
      <c r="E440" s="4" t="n"/>
      <c r="F440" s="4" t="n"/>
    </row>
    <row r="441" ht="15.75" customHeight="1" s="40">
      <c r="A441" s="4" t="n"/>
      <c r="B441" s="4" t="n"/>
      <c r="C441" s="4" t="n"/>
      <c r="D441" s="4" t="n"/>
      <c r="E441" s="4" t="n"/>
      <c r="F441" s="4" t="n"/>
    </row>
    <row r="442" ht="15.75" customHeight="1" s="40">
      <c r="A442" s="4" t="n"/>
      <c r="B442" s="4" t="n"/>
      <c r="C442" s="4" t="n"/>
      <c r="D442" s="4" t="n"/>
      <c r="E442" s="4" t="n"/>
      <c r="F442" s="4" t="n"/>
    </row>
    <row r="443" ht="15.75" customHeight="1" s="40">
      <c r="A443" s="4" t="n"/>
      <c r="B443" s="4" t="n"/>
      <c r="C443" s="4" t="n"/>
      <c r="D443" s="4" t="n"/>
      <c r="E443" s="4" t="n"/>
      <c r="F443" s="4" t="n"/>
    </row>
    <row r="444" ht="15.75" customHeight="1" s="40">
      <c r="A444" s="4" t="n"/>
      <c r="B444" s="4" t="n"/>
      <c r="C444" s="4" t="n"/>
      <c r="D444" s="4" t="n"/>
      <c r="E444" s="4" t="n"/>
      <c r="F444" s="4" t="n"/>
    </row>
    <row r="445" ht="15.75" customHeight="1" s="40">
      <c r="A445" s="4" t="n"/>
      <c r="B445" s="4" t="n"/>
      <c r="C445" s="4" t="n"/>
      <c r="D445" s="4" t="n"/>
      <c r="E445" s="4" t="n"/>
      <c r="F445" s="4" t="n"/>
    </row>
    <row r="446" ht="15.75" customHeight="1" s="40">
      <c r="A446" s="4" t="n"/>
      <c r="B446" s="4" t="n"/>
      <c r="C446" s="4" t="n"/>
      <c r="D446" s="4" t="n"/>
      <c r="E446" s="4" t="n"/>
      <c r="F446" s="4" t="n"/>
    </row>
    <row r="447" ht="15.75" customHeight="1" s="40">
      <c r="A447" s="4" t="n"/>
      <c r="B447" s="4" t="n"/>
      <c r="C447" s="4" t="n"/>
      <c r="D447" s="4" t="n"/>
      <c r="E447" s="4" t="n"/>
      <c r="F447" s="4" t="n"/>
    </row>
    <row r="448" ht="15.75" customHeight="1" s="40">
      <c r="A448" s="4" t="n"/>
      <c r="B448" s="4" t="n"/>
      <c r="C448" s="4" t="n"/>
      <c r="D448" s="4" t="n"/>
      <c r="E448" s="4" t="n"/>
      <c r="F448" s="4" t="n"/>
    </row>
    <row r="449" ht="15.75" customHeight="1" s="40">
      <c r="A449" s="4" t="n"/>
      <c r="B449" s="4" t="n"/>
      <c r="C449" s="4" t="n"/>
      <c r="D449" s="4" t="n"/>
      <c r="E449" s="4" t="n"/>
      <c r="F449" s="4" t="n"/>
    </row>
    <row r="450" ht="15.75" customHeight="1" s="40">
      <c r="A450" s="4" t="n"/>
      <c r="B450" s="4" t="n"/>
      <c r="C450" s="4" t="n"/>
      <c r="D450" s="4" t="n"/>
      <c r="E450" s="4" t="n"/>
      <c r="F450" s="4" t="n"/>
    </row>
    <row r="451" ht="15.75" customHeight="1" s="40">
      <c r="A451" s="4" t="n"/>
      <c r="B451" s="4" t="n"/>
      <c r="C451" s="4" t="n"/>
      <c r="D451" s="4" t="n"/>
      <c r="E451" s="4" t="n"/>
      <c r="F451" s="4" t="n"/>
    </row>
    <row r="452" ht="15.75" customHeight="1" s="40">
      <c r="A452" s="4" t="n"/>
      <c r="B452" s="4" t="n"/>
      <c r="C452" s="4" t="n"/>
      <c r="D452" s="4" t="n"/>
      <c r="E452" s="4" t="n"/>
      <c r="F452" s="4" t="n"/>
    </row>
    <row r="453" ht="15.75" customHeight="1" s="40">
      <c r="A453" s="4" t="n"/>
      <c r="B453" s="4" t="n"/>
      <c r="C453" s="4" t="n"/>
      <c r="D453" s="4" t="n"/>
      <c r="E453" s="4" t="n"/>
      <c r="F453" s="4" t="n"/>
    </row>
    <row r="454" ht="15.75" customHeight="1" s="40">
      <c r="A454" s="4" t="n"/>
      <c r="B454" s="4" t="n"/>
      <c r="C454" s="4" t="n"/>
      <c r="D454" s="4" t="n"/>
      <c r="E454" s="4" t="n"/>
      <c r="F454" s="4" t="n"/>
    </row>
    <row r="455" ht="15.75" customHeight="1" s="40">
      <c r="A455" s="4" t="n"/>
      <c r="B455" s="4" t="n"/>
      <c r="C455" s="4" t="n"/>
      <c r="D455" s="4" t="n"/>
      <c r="E455" s="4" t="n"/>
      <c r="F455" s="4" t="n"/>
    </row>
    <row r="456" ht="15.75" customHeight="1" s="40">
      <c r="A456" s="4" t="n"/>
      <c r="B456" s="4" t="n"/>
      <c r="C456" s="4" t="n"/>
      <c r="D456" s="4" t="n"/>
      <c r="E456" s="4" t="n"/>
      <c r="F456" s="4" t="n"/>
    </row>
    <row r="457" ht="15.75" customHeight="1" s="40">
      <c r="A457" s="4" t="n"/>
      <c r="B457" s="4" t="n"/>
      <c r="C457" s="4" t="n"/>
      <c r="D457" s="4" t="n"/>
      <c r="E457" s="4" t="n"/>
      <c r="F457" s="4" t="n"/>
    </row>
    <row r="458" ht="15.75" customHeight="1" s="40">
      <c r="A458" s="4" t="n"/>
      <c r="B458" s="4" t="n"/>
      <c r="C458" s="4" t="n"/>
      <c r="D458" s="4" t="n"/>
      <c r="E458" s="4" t="n"/>
      <c r="F458" s="4" t="n"/>
    </row>
    <row r="459" ht="15.75" customHeight="1" s="40">
      <c r="A459" s="4" t="n"/>
      <c r="B459" s="4" t="n"/>
      <c r="C459" s="4" t="n"/>
      <c r="D459" s="4" t="n"/>
      <c r="E459" s="4" t="n"/>
      <c r="F459" s="4" t="n"/>
    </row>
    <row r="460" ht="15.75" customHeight="1" s="40">
      <c r="A460" s="4" t="n"/>
      <c r="B460" s="4" t="n"/>
      <c r="C460" s="4" t="n"/>
      <c r="D460" s="4" t="n"/>
      <c r="E460" s="4" t="n"/>
      <c r="F460" s="4" t="n"/>
    </row>
    <row r="461" ht="15.75" customHeight="1" s="40">
      <c r="A461" s="4" t="n"/>
      <c r="B461" s="4" t="n"/>
      <c r="C461" s="4" t="n"/>
      <c r="D461" s="4" t="n"/>
      <c r="E461" s="4" t="n"/>
      <c r="F461" s="4" t="n"/>
    </row>
    <row r="462" ht="15.75" customHeight="1" s="40">
      <c r="A462" s="4" t="n"/>
      <c r="B462" s="4" t="n"/>
      <c r="C462" s="4" t="n"/>
      <c r="D462" s="4" t="n"/>
      <c r="E462" s="4" t="n"/>
      <c r="F462" s="4" t="n"/>
    </row>
    <row r="463" ht="15.75" customHeight="1" s="40">
      <c r="A463" s="4" t="n"/>
      <c r="B463" s="4" t="n"/>
      <c r="C463" s="4" t="n"/>
      <c r="D463" s="4" t="n"/>
      <c r="E463" s="4" t="n"/>
      <c r="F463" s="4" t="n"/>
    </row>
    <row r="464" ht="15.75" customHeight="1" s="40">
      <c r="A464" s="4" t="n"/>
      <c r="B464" s="4" t="n"/>
      <c r="C464" s="4" t="n"/>
      <c r="D464" s="4" t="n"/>
      <c r="E464" s="4" t="n"/>
      <c r="F464" s="4" t="n"/>
    </row>
    <row r="465" ht="15.75" customHeight="1" s="40">
      <c r="A465" s="4" t="n"/>
      <c r="B465" s="4" t="n"/>
      <c r="C465" s="4" t="n"/>
      <c r="D465" s="4" t="n"/>
      <c r="E465" s="4" t="n"/>
      <c r="F465" s="4" t="n"/>
    </row>
    <row r="466" ht="15.75" customHeight="1" s="40">
      <c r="A466" s="4" t="n"/>
      <c r="B466" s="4" t="n"/>
      <c r="C466" s="4" t="n"/>
      <c r="D466" s="4" t="n"/>
      <c r="E466" s="4" t="n"/>
      <c r="F466" s="4" t="n"/>
    </row>
    <row r="467" ht="15.75" customHeight="1" s="40">
      <c r="A467" s="4" t="n"/>
      <c r="B467" s="4" t="n"/>
      <c r="C467" s="4" t="n"/>
      <c r="D467" s="4" t="n"/>
      <c r="E467" s="4" t="n"/>
      <c r="F467" s="4" t="n"/>
    </row>
    <row r="468" ht="15.75" customHeight="1" s="40">
      <c r="A468" s="4" t="n"/>
      <c r="B468" s="4" t="n"/>
      <c r="C468" s="4" t="n"/>
      <c r="D468" s="4" t="n"/>
      <c r="E468" s="4" t="n"/>
      <c r="F468" s="4" t="n"/>
    </row>
    <row r="469" ht="15.75" customHeight="1" s="40">
      <c r="A469" s="4" t="n"/>
      <c r="B469" s="4" t="n"/>
      <c r="C469" s="4" t="n"/>
      <c r="D469" s="4" t="n"/>
      <c r="E469" s="4" t="n"/>
      <c r="F469" s="4" t="n"/>
    </row>
    <row r="470" ht="15.75" customHeight="1" s="40">
      <c r="A470" s="4" t="n"/>
      <c r="B470" s="4" t="n"/>
      <c r="C470" s="4" t="n"/>
      <c r="D470" s="4" t="n"/>
      <c r="E470" s="4" t="n"/>
      <c r="F470" s="4" t="n"/>
    </row>
    <row r="471" ht="15.75" customHeight="1" s="40">
      <c r="A471" s="4" t="n"/>
      <c r="B471" s="4" t="n"/>
      <c r="C471" s="4" t="n"/>
      <c r="D471" s="4" t="n"/>
      <c r="E471" s="4" t="n"/>
      <c r="F471" s="4" t="n"/>
    </row>
    <row r="472" ht="15.75" customHeight="1" s="40">
      <c r="A472" s="4" t="n"/>
      <c r="B472" s="4" t="n"/>
      <c r="C472" s="4" t="n"/>
      <c r="D472" s="4" t="n"/>
      <c r="E472" s="4" t="n"/>
      <c r="F472" s="4" t="n"/>
    </row>
    <row r="473" ht="15.75" customHeight="1" s="40">
      <c r="A473" s="4" t="n"/>
      <c r="B473" s="4" t="n"/>
      <c r="C473" s="4" t="n"/>
      <c r="D473" s="4" t="n"/>
      <c r="E473" s="4" t="n"/>
      <c r="F473" s="4" t="n"/>
    </row>
    <row r="474" ht="15.75" customHeight="1" s="40">
      <c r="A474" s="4" t="n"/>
      <c r="B474" s="4" t="n"/>
      <c r="C474" s="4" t="n"/>
      <c r="D474" s="4" t="n"/>
      <c r="E474" s="4" t="n"/>
      <c r="F474" s="4" t="n"/>
    </row>
    <row r="475" ht="15.75" customHeight="1" s="40">
      <c r="A475" s="4" t="n"/>
      <c r="B475" s="4" t="n"/>
      <c r="C475" s="4" t="n"/>
      <c r="D475" s="4" t="n"/>
      <c r="E475" s="4" t="n"/>
      <c r="F475" s="4" t="n"/>
    </row>
    <row r="476" ht="15.75" customHeight="1" s="40">
      <c r="A476" s="4" t="n"/>
      <c r="B476" s="4" t="n"/>
      <c r="C476" s="4" t="n"/>
      <c r="D476" s="4" t="n"/>
      <c r="E476" s="4" t="n"/>
      <c r="F476" s="4" t="n"/>
    </row>
    <row r="477" ht="15.75" customHeight="1" s="40">
      <c r="A477" s="4" t="n"/>
      <c r="B477" s="4" t="n"/>
      <c r="C477" s="4" t="n"/>
      <c r="D477" s="4" t="n"/>
      <c r="E477" s="4" t="n"/>
      <c r="F477" s="4" t="n"/>
    </row>
    <row r="478" ht="15.75" customHeight="1" s="40">
      <c r="A478" s="4" t="n"/>
      <c r="B478" s="4" t="n"/>
      <c r="C478" s="4" t="n"/>
      <c r="D478" s="4" t="n"/>
      <c r="E478" s="4" t="n"/>
      <c r="F478" s="4" t="n"/>
    </row>
    <row r="479" ht="15.75" customHeight="1" s="40">
      <c r="A479" s="4" t="n"/>
      <c r="B479" s="4" t="n"/>
      <c r="C479" s="4" t="n"/>
      <c r="D479" s="4" t="n"/>
      <c r="E479" s="4" t="n"/>
      <c r="F479" s="4" t="n"/>
    </row>
    <row r="480" ht="15.75" customHeight="1" s="40">
      <c r="A480" s="4" t="n"/>
      <c r="B480" s="4" t="n"/>
      <c r="C480" s="4" t="n"/>
      <c r="D480" s="4" t="n"/>
      <c r="E480" s="4" t="n"/>
      <c r="F480" s="4" t="n"/>
    </row>
    <row r="481" ht="15.75" customHeight="1" s="40">
      <c r="A481" s="4" t="n"/>
      <c r="B481" s="4" t="n"/>
      <c r="C481" s="4" t="n"/>
      <c r="D481" s="4" t="n"/>
      <c r="E481" s="4" t="n"/>
      <c r="F481" s="4" t="n"/>
    </row>
    <row r="482" ht="15.75" customHeight="1" s="40">
      <c r="A482" s="4" t="n"/>
      <c r="B482" s="4" t="n"/>
      <c r="C482" s="4" t="n"/>
      <c r="D482" s="4" t="n"/>
      <c r="E482" s="4" t="n"/>
      <c r="F482" s="4" t="n"/>
    </row>
    <row r="483" ht="15.75" customHeight="1" s="40">
      <c r="A483" s="4" t="n"/>
      <c r="B483" s="4" t="n"/>
      <c r="C483" s="4" t="n"/>
      <c r="D483" s="4" t="n"/>
      <c r="E483" s="4" t="n"/>
      <c r="F483" s="4" t="n"/>
    </row>
    <row r="484" ht="15.75" customHeight="1" s="40">
      <c r="A484" s="4" t="n"/>
      <c r="B484" s="4" t="n"/>
      <c r="C484" s="4" t="n"/>
      <c r="D484" s="4" t="n"/>
      <c r="E484" s="4" t="n"/>
      <c r="F484" s="4" t="n"/>
    </row>
    <row r="485" ht="15.75" customHeight="1" s="40">
      <c r="A485" s="4" t="n"/>
      <c r="B485" s="4" t="n"/>
      <c r="C485" s="4" t="n"/>
      <c r="D485" s="4" t="n"/>
      <c r="E485" s="4" t="n"/>
      <c r="F485" s="4" t="n"/>
    </row>
    <row r="486" ht="15.75" customHeight="1" s="40">
      <c r="A486" s="4" t="n"/>
      <c r="B486" s="4" t="n"/>
      <c r="C486" s="4" t="n"/>
      <c r="D486" s="4" t="n"/>
      <c r="E486" s="4" t="n"/>
      <c r="F486" s="4" t="n"/>
    </row>
    <row r="487" ht="15.75" customHeight="1" s="40">
      <c r="A487" s="4" t="n"/>
      <c r="B487" s="4" t="n"/>
      <c r="C487" s="4" t="n"/>
      <c r="D487" s="4" t="n"/>
      <c r="E487" s="4" t="n"/>
      <c r="F487" s="4" t="n"/>
    </row>
    <row r="488" ht="15.75" customHeight="1" s="40">
      <c r="A488" s="4" t="n"/>
      <c r="B488" s="4" t="n"/>
      <c r="C488" s="4" t="n"/>
      <c r="D488" s="4" t="n"/>
      <c r="E488" s="4" t="n"/>
      <c r="F488" s="4" t="n"/>
    </row>
    <row r="489" ht="15.75" customHeight="1" s="40">
      <c r="A489" s="4" t="n"/>
      <c r="B489" s="4" t="n"/>
      <c r="C489" s="4" t="n"/>
      <c r="D489" s="4" t="n"/>
      <c r="E489" s="4" t="n"/>
      <c r="F489" s="4" t="n"/>
    </row>
    <row r="490" ht="15.75" customHeight="1" s="40">
      <c r="A490" s="4" t="n"/>
      <c r="B490" s="4" t="n"/>
      <c r="C490" s="4" t="n"/>
      <c r="D490" s="4" t="n"/>
      <c r="E490" s="4" t="n"/>
      <c r="F490" s="4" t="n"/>
    </row>
    <row r="491" ht="15.75" customHeight="1" s="40">
      <c r="A491" s="4" t="n"/>
      <c r="B491" s="4" t="n"/>
      <c r="C491" s="4" t="n"/>
      <c r="D491" s="4" t="n"/>
      <c r="E491" s="4" t="n"/>
      <c r="F491" s="4" t="n"/>
    </row>
    <row r="492" ht="15.75" customHeight="1" s="40">
      <c r="A492" s="4" t="n"/>
      <c r="B492" s="4" t="n"/>
      <c r="C492" s="4" t="n"/>
      <c r="D492" s="4" t="n"/>
      <c r="E492" s="4" t="n"/>
      <c r="F492" s="4" t="n"/>
    </row>
    <row r="493" ht="15.75" customHeight="1" s="40">
      <c r="A493" s="4" t="n"/>
      <c r="B493" s="4" t="n"/>
      <c r="C493" s="4" t="n"/>
      <c r="D493" s="4" t="n"/>
      <c r="E493" s="4" t="n"/>
      <c r="F493" s="4" t="n"/>
    </row>
    <row r="494" ht="15.75" customHeight="1" s="40">
      <c r="A494" s="4" t="n"/>
      <c r="B494" s="4" t="n"/>
      <c r="C494" s="4" t="n"/>
      <c r="D494" s="4" t="n"/>
      <c r="E494" s="4" t="n"/>
      <c r="F494" s="4" t="n"/>
    </row>
    <row r="495" ht="15.75" customHeight="1" s="40">
      <c r="A495" s="4" t="n"/>
      <c r="B495" s="4" t="n"/>
      <c r="C495" s="4" t="n"/>
      <c r="D495" s="4" t="n"/>
      <c r="E495" s="4" t="n"/>
      <c r="F495" s="4" t="n"/>
    </row>
    <row r="496" ht="15.75" customHeight="1" s="40">
      <c r="A496" s="4" t="n"/>
      <c r="B496" s="4" t="n"/>
      <c r="C496" s="4" t="n"/>
      <c r="D496" s="4" t="n"/>
      <c r="E496" s="4" t="n"/>
      <c r="F496" s="4" t="n"/>
    </row>
    <row r="497" ht="15.75" customHeight="1" s="40">
      <c r="A497" s="4" t="n"/>
      <c r="B497" s="4" t="n"/>
      <c r="C497" s="4" t="n"/>
      <c r="D497" s="4" t="n"/>
      <c r="E497" s="4" t="n"/>
      <c r="F497" s="4" t="n"/>
    </row>
    <row r="498" ht="15.75" customHeight="1" s="40">
      <c r="A498" s="4" t="n"/>
      <c r="B498" s="4" t="n"/>
      <c r="C498" s="4" t="n"/>
      <c r="D498" s="4" t="n"/>
      <c r="E498" s="4" t="n"/>
      <c r="F498" s="4" t="n"/>
    </row>
    <row r="499" ht="15.75" customHeight="1" s="40">
      <c r="A499" s="4" t="n"/>
      <c r="B499" s="4" t="n"/>
      <c r="C499" s="4" t="n"/>
      <c r="D499" s="4" t="n"/>
      <c r="E499" s="4" t="n"/>
      <c r="F499" s="4" t="n"/>
    </row>
    <row r="500" ht="15.75" customHeight="1" s="40">
      <c r="A500" s="4" t="n"/>
      <c r="B500" s="4" t="n"/>
      <c r="C500" s="4" t="n"/>
      <c r="D500" s="4" t="n"/>
      <c r="E500" s="4" t="n"/>
      <c r="F500" s="4" t="n"/>
    </row>
    <row r="501" ht="15.75" customHeight="1" s="40">
      <c r="A501" s="4" t="n"/>
      <c r="B501" s="4" t="n"/>
      <c r="C501" s="4" t="n"/>
      <c r="D501" s="4" t="n"/>
      <c r="E501" s="4" t="n"/>
      <c r="F501" s="4" t="n"/>
    </row>
    <row r="502" ht="15.75" customHeight="1" s="40">
      <c r="A502" s="4" t="n"/>
      <c r="B502" s="4" t="n"/>
      <c r="C502" s="4" t="n"/>
      <c r="D502" s="4" t="n"/>
      <c r="E502" s="4" t="n"/>
      <c r="F502" s="4" t="n"/>
    </row>
    <row r="503" ht="15.75" customHeight="1" s="40">
      <c r="A503" s="4" t="n"/>
      <c r="B503" s="4" t="n"/>
      <c r="C503" s="4" t="n"/>
      <c r="D503" s="4" t="n"/>
      <c r="E503" s="4" t="n"/>
      <c r="F503" s="4" t="n"/>
    </row>
    <row r="504" ht="15.75" customHeight="1" s="40">
      <c r="A504" s="4" t="n"/>
      <c r="B504" s="4" t="n"/>
      <c r="C504" s="4" t="n"/>
      <c r="D504" s="4" t="n"/>
      <c r="E504" s="4" t="n"/>
      <c r="F504" s="4" t="n"/>
    </row>
    <row r="505" ht="15.75" customHeight="1" s="40">
      <c r="A505" s="4" t="n"/>
      <c r="B505" s="4" t="n"/>
      <c r="C505" s="4" t="n"/>
      <c r="D505" s="4" t="n"/>
      <c r="E505" s="4" t="n"/>
      <c r="F505" s="4" t="n"/>
    </row>
    <row r="506" ht="15.75" customHeight="1" s="40">
      <c r="A506" s="4" t="n"/>
      <c r="B506" s="4" t="n"/>
      <c r="C506" s="4" t="n"/>
      <c r="D506" s="4" t="n"/>
      <c r="E506" s="4" t="n"/>
      <c r="F506" s="4" t="n"/>
    </row>
    <row r="507" ht="15.75" customHeight="1" s="40">
      <c r="A507" s="4" t="n"/>
      <c r="B507" s="4" t="n"/>
      <c r="C507" s="4" t="n"/>
      <c r="D507" s="4" t="n"/>
      <c r="E507" s="4" t="n"/>
      <c r="F507" s="4" t="n"/>
    </row>
    <row r="508" ht="15.75" customHeight="1" s="40">
      <c r="A508" s="4" t="n"/>
      <c r="B508" s="4" t="n"/>
      <c r="C508" s="4" t="n"/>
      <c r="D508" s="4" t="n"/>
      <c r="E508" s="4" t="n"/>
      <c r="F508" s="4" t="n"/>
    </row>
    <row r="509" ht="15.75" customHeight="1" s="40">
      <c r="A509" s="4" t="n"/>
      <c r="B509" s="4" t="n"/>
      <c r="C509" s="4" t="n"/>
      <c r="D509" s="4" t="n"/>
      <c r="E509" s="4" t="n"/>
      <c r="F509" s="4" t="n"/>
    </row>
    <row r="510" ht="15.75" customHeight="1" s="40">
      <c r="A510" s="4" t="n"/>
      <c r="B510" s="4" t="n"/>
      <c r="C510" s="4" t="n"/>
      <c r="D510" s="4" t="n"/>
      <c r="E510" s="4" t="n"/>
      <c r="F510" s="4" t="n"/>
    </row>
    <row r="511" ht="15.75" customHeight="1" s="40">
      <c r="A511" s="4" t="n"/>
      <c r="B511" s="4" t="n"/>
      <c r="C511" s="4" t="n"/>
      <c r="D511" s="4" t="n"/>
      <c r="E511" s="4" t="n"/>
      <c r="F511" s="4" t="n"/>
    </row>
    <row r="512" ht="15.75" customHeight="1" s="40">
      <c r="A512" s="4" t="n"/>
      <c r="B512" s="4" t="n"/>
      <c r="C512" s="4" t="n"/>
      <c r="D512" s="4" t="n"/>
      <c r="E512" s="4" t="n"/>
      <c r="F512" s="4" t="n"/>
    </row>
    <row r="513" ht="15.75" customHeight="1" s="40">
      <c r="A513" s="4" t="n"/>
      <c r="B513" s="4" t="n"/>
      <c r="C513" s="4" t="n"/>
      <c r="D513" s="4" t="n"/>
      <c r="E513" s="4" t="n"/>
      <c r="F513" s="4" t="n"/>
    </row>
    <row r="514" ht="15.75" customHeight="1" s="40">
      <c r="A514" s="4" t="n"/>
      <c r="B514" s="4" t="n"/>
      <c r="C514" s="4" t="n"/>
      <c r="D514" s="4" t="n"/>
      <c r="E514" s="4" t="n"/>
      <c r="F514" s="4" t="n"/>
    </row>
    <row r="515" ht="15.75" customHeight="1" s="40">
      <c r="A515" s="4" t="n"/>
      <c r="B515" s="4" t="n"/>
      <c r="C515" s="4" t="n"/>
      <c r="D515" s="4" t="n"/>
      <c r="E515" s="4" t="n"/>
      <c r="F515" s="4" t="n"/>
    </row>
    <row r="516" ht="15.75" customHeight="1" s="40">
      <c r="A516" s="4" t="n"/>
      <c r="B516" s="4" t="n"/>
      <c r="C516" s="4" t="n"/>
      <c r="D516" s="4" t="n"/>
      <c r="E516" s="4" t="n"/>
      <c r="F516" s="4" t="n"/>
    </row>
    <row r="517" ht="15.75" customHeight="1" s="40">
      <c r="A517" s="4" t="n"/>
      <c r="B517" s="4" t="n"/>
      <c r="C517" s="4" t="n"/>
      <c r="D517" s="4" t="n"/>
      <c r="E517" s="4" t="n"/>
      <c r="F517" s="4" t="n"/>
    </row>
    <row r="518" ht="15.75" customHeight="1" s="40">
      <c r="A518" s="4" t="n"/>
      <c r="B518" s="4" t="n"/>
      <c r="C518" s="4" t="n"/>
      <c r="D518" s="4" t="n"/>
      <c r="E518" s="4" t="n"/>
      <c r="F518" s="4" t="n"/>
    </row>
    <row r="519" ht="15.75" customHeight="1" s="40">
      <c r="A519" s="4" t="n"/>
      <c r="B519" s="4" t="n"/>
      <c r="C519" s="4" t="n"/>
      <c r="D519" s="4" t="n"/>
      <c r="E519" s="4" t="n"/>
      <c r="F519" s="4" t="n"/>
    </row>
    <row r="520" ht="15.75" customHeight="1" s="40">
      <c r="A520" s="4" t="n"/>
      <c r="B520" s="4" t="n"/>
      <c r="C520" s="4" t="n"/>
      <c r="D520" s="4" t="n"/>
      <c r="E520" s="4" t="n"/>
      <c r="F520" s="4" t="n"/>
    </row>
    <row r="521" ht="15.75" customHeight="1" s="40">
      <c r="A521" s="4" t="n"/>
      <c r="B521" s="4" t="n"/>
      <c r="C521" s="4" t="n"/>
      <c r="D521" s="4" t="n"/>
      <c r="E521" s="4" t="n"/>
      <c r="F521" s="4" t="n"/>
    </row>
    <row r="522" ht="15.75" customHeight="1" s="40">
      <c r="A522" s="4" t="n"/>
      <c r="B522" s="4" t="n"/>
      <c r="C522" s="4" t="n"/>
      <c r="D522" s="4" t="n"/>
      <c r="E522" s="4" t="n"/>
      <c r="F522" s="4" t="n"/>
    </row>
    <row r="523" ht="15.75" customHeight="1" s="40">
      <c r="A523" s="4" t="n"/>
      <c r="B523" s="4" t="n"/>
      <c r="C523" s="4" t="n"/>
      <c r="D523" s="4" t="n"/>
      <c r="E523" s="4" t="n"/>
      <c r="F523" s="4" t="n"/>
    </row>
    <row r="524" ht="15.75" customHeight="1" s="40">
      <c r="A524" s="4" t="n"/>
      <c r="B524" s="4" t="n"/>
      <c r="C524" s="4" t="n"/>
      <c r="D524" s="4" t="n"/>
      <c r="E524" s="4" t="n"/>
      <c r="F524" s="4" t="n"/>
    </row>
    <row r="525" ht="15.75" customHeight="1" s="40">
      <c r="A525" s="4" t="n"/>
      <c r="B525" s="4" t="n"/>
      <c r="C525" s="4" t="n"/>
      <c r="D525" s="4" t="n"/>
      <c r="E525" s="4" t="n"/>
      <c r="F525" s="4" t="n"/>
    </row>
    <row r="526" ht="15.75" customHeight="1" s="40">
      <c r="A526" s="4" t="n"/>
      <c r="B526" s="4" t="n"/>
      <c r="C526" s="4" t="n"/>
      <c r="D526" s="4" t="n"/>
      <c r="E526" s="4" t="n"/>
      <c r="F526" s="4" t="n"/>
    </row>
    <row r="527" ht="15.75" customHeight="1" s="40">
      <c r="A527" s="4" t="n"/>
      <c r="B527" s="4" t="n"/>
      <c r="C527" s="4" t="n"/>
      <c r="D527" s="4" t="n"/>
      <c r="E527" s="4" t="n"/>
      <c r="F527" s="4" t="n"/>
    </row>
    <row r="528" ht="15.75" customHeight="1" s="40">
      <c r="A528" s="4" t="n"/>
      <c r="B528" s="4" t="n"/>
      <c r="C528" s="4" t="n"/>
      <c r="D528" s="4" t="n"/>
      <c r="E528" s="4" t="n"/>
      <c r="F528" s="4" t="n"/>
    </row>
    <row r="529" ht="15.75" customHeight="1" s="40">
      <c r="A529" s="4" t="n"/>
      <c r="B529" s="4" t="n"/>
      <c r="C529" s="4" t="n"/>
      <c r="D529" s="4" t="n"/>
      <c r="E529" s="4" t="n"/>
      <c r="F529" s="4" t="n"/>
    </row>
    <row r="530" ht="15.75" customHeight="1" s="40">
      <c r="A530" s="4" t="n"/>
      <c r="B530" s="4" t="n"/>
      <c r="C530" s="4" t="n"/>
      <c r="D530" s="4" t="n"/>
      <c r="E530" s="4" t="n"/>
      <c r="F530" s="4" t="n"/>
    </row>
    <row r="531" ht="15.75" customHeight="1" s="40">
      <c r="A531" s="4" t="n"/>
      <c r="B531" s="4" t="n"/>
      <c r="C531" s="4" t="n"/>
      <c r="D531" s="4" t="n"/>
      <c r="E531" s="4" t="n"/>
      <c r="F531" s="4" t="n"/>
    </row>
    <row r="532" ht="15.75" customHeight="1" s="40">
      <c r="A532" s="4" t="n"/>
      <c r="B532" s="4" t="n"/>
      <c r="C532" s="4" t="n"/>
      <c r="D532" s="4" t="n"/>
      <c r="E532" s="4" t="n"/>
      <c r="F532" s="4" t="n"/>
    </row>
    <row r="533" ht="15.75" customHeight="1" s="40">
      <c r="A533" s="4" t="n"/>
      <c r="B533" s="4" t="n"/>
      <c r="C533" s="4" t="n"/>
      <c r="D533" s="4" t="n"/>
      <c r="E533" s="4" t="n"/>
      <c r="F533" s="4" t="n"/>
    </row>
    <row r="534" ht="15.75" customHeight="1" s="40">
      <c r="A534" s="4" t="n"/>
      <c r="B534" s="4" t="n"/>
      <c r="C534" s="4" t="n"/>
      <c r="D534" s="4" t="n"/>
      <c r="E534" s="4" t="n"/>
      <c r="F534" s="4" t="n"/>
    </row>
    <row r="535" ht="15.75" customHeight="1" s="40">
      <c r="A535" s="4" t="n"/>
      <c r="B535" s="4" t="n"/>
      <c r="C535" s="4" t="n"/>
      <c r="D535" s="4" t="n"/>
      <c r="E535" s="4" t="n"/>
      <c r="F535" s="4" t="n"/>
    </row>
    <row r="536" ht="15.75" customHeight="1" s="40">
      <c r="A536" s="4" t="n"/>
      <c r="B536" s="4" t="n"/>
      <c r="C536" s="4" t="n"/>
      <c r="D536" s="4" t="n"/>
      <c r="E536" s="4" t="n"/>
      <c r="F536" s="4" t="n"/>
    </row>
    <row r="537" ht="15.75" customHeight="1" s="40">
      <c r="A537" s="4" t="n"/>
      <c r="B537" s="4" t="n"/>
      <c r="C537" s="4" t="n"/>
      <c r="D537" s="4" t="n"/>
      <c r="E537" s="4" t="n"/>
      <c r="F537" s="4" t="n"/>
    </row>
    <row r="538" ht="15.75" customHeight="1" s="40">
      <c r="A538" s="4" t="n"/>
      <c r="B538" s="4" t="n"/>
      <c r="C538" s="4" t="n"/>
      <c r="D538" s="4" t="n"/>
      <c r="E538" s="4" t="n"/>
      <c r="F538" s="4" t="n"/>
    </row>
    <row r="539" ht="15.75" customHeight="1" s="40">
      <c r="A539" s="4" t="n"/>
      <c r="B539" s="4" t="n"/>
      <c r="C539" s="4" t="n"/>
      <c r="D539" s="4" t="n"/>
      <c r="E539" s="4" t="n"/>
      <c r="F539" s="4" t="n"/>
    </row>
    <row r="540" ht="15.75" customHeight="1" s="40">
      <c r="A540" s="4" t="n"/>
      <c r="B540" s="4" t="n"/>
      <c r="C540" s="4" t="n"/>
      <c r="D540" s="4" t="n"/>
      <c r="E540" s="4" t="n"/>
      <c r="F540" s="4" t="n"/>
    </row>
    <row r="541" ht="15.75" customHeight="1" s="40">
      <c r="A541" s="4" t="n"/>
      <c r="B541" s="4" t="n"/>
      <c r="C541" s="4" t="n"/>
      <c r="D541" s="4" t="n"/>
      <c r="E541" s="4" t="n"/>
      <c r="F541" s="4" t="n"/>
    </row>
    <row r="542" ht="15.75" customHeight="1" s="40">
      <c r="A542" s="4" t="n"/>
      <c r="B542" s="4" t="n"/>
      <c r="C542" s="4" t="n"/>
      <c r="D542" s="4" t="n"/>
      <c r="E542" s="4" t="n"/>
      <c r="F542" s="4" t="n"/>
    </row>
    <row r="543" ht="15.75" customHeight="1" s="40">
      <c r="A543" s="4" t="n"/>
      <c r="B543" s="4" t="n"/>
      <c r="C543" s="4" t="n"/>
      <c r="D543" s="4" t="n"/>
      <c r="E543" s="4" t="n"/>
      <c r="F543" s="4" t="n"/>
    </row>
    <row r="544" ht="15.75" customHeight="1" s="40">
      <c r="A544" s="4" t="n"/>
      <c r="B544" s="4" t="n"/>
      <c r="C544" s="4" t="n"/>
      <c r="D544" s="4" t="n"/>
      <c r="E544" s="4" t="n"/>
      <c r="F544" s="4" t="n"/>
    </row>
    <row r="545" ht="15.75" customHeight="1" s="40">
      <c r="A545" s="4" t="n"/>
      <c r="B545" s="4" t="n"/>
      <c r="C545" s="4" t="n"/>
      <c r="D545" s="4" t="n"/>
      <c r="E545" s="4" t="n"/>
      <c r="F545" s="4" t="n"/>
    </row>
    <row r="546" ht="15.75" customHeight="1" s="40">
      <c r="A546" s="4" t="n"/>
      <c r="B546" s="4" t="n"/>
      <c r="C546" s="4" t="n"/>
      <c r="D546" s="4" t="n"/>
      <c r="E546" s="4" t="n"/>
      <c r="F546" s="4" t="n"/>
    </row>
    <row r="547" ht="15.75" customHeight="1" s="40">
      <c r="A547" s="4" t="n"/>
      <c r="B547" s="4" t="n"/>
      <c r="C547" s="4" t="n"/>
      <c r="D547" s="4" t="n"/>
      <c r="E547" s="4" t="n"/>
      <c r="F547" s="4" t="n"/>
    </row>
    <row r="548" ht="15.75" customHeight="1" s="40">
      <c r="A548" s="4" t="n"/>
      <c r="B548" s="4" t="n"/>
      <c r="C548" s="4" t="n"/>
      <c r="D548" s="4" t="n"/>
      <c r="E548" s="4" t="n"/>
      <c r="F548" s="4" t="n"/>
    </row>
    <row r="549" ht="15.75" customHeight="1" s="40">
      <c r="A549" s="4" t="n"/>
      <c r="B549" s="4" t="n"/>
      <c r="C549" s="4" t="n"/>
      <c r="D549" s="4" t="n"/>
      <c r="E549" s="4" t="n"/>
      <c r="F549" s="4" t="n"/>
    </row>
    <row r="550" ht="15.75" customHeight="1" s="40">
      <c r="A550" s="4" t="n"/>
      <c r="B550" s="4" t="n"/>
      <c r="C550" s="4" t="n"/>
      <c r="D550" s="4" t="n"/>
      <c r="E550" s="4" t="n"/>
      <c r="F550" s="4" t="n"/>
    </row>
    <row r="551" ht="15.75" customHeight="1" s="40">
      <c r="A551" s="4" t="n"/>
      <c r="B551" s="4" t="n"/>
      <c r="C551" s="4" t="n"/>
      <c r="D551" s="4" t="n"/>
      <c r="E551" s="4" t="n"/>
      <c r="F551" s="4" t="n"/>
    </row>
    <row r="552" ht="15.75" customHeight="1" s="40">
      <c r="A552" s="4" t="n"/>
      <c r="B552" s="4" t="n"/>
      <c r="C552" s="4" t="n"/>
      <c r="D552" s="4" t="n"/>
      <c r="E552" s="4" t="n"/>
      <c r="F552" s="4" t="n"/>
    </row>
    <row r="553" ht="15.75" customHeight="1" s="40">
      <c r="A553" s="4" t="n"/>
      <c r="B553" s="4" t="n"/>
      <c r="C553" s="4" t="n"/>
      <c r="D553" s="4" t="n"/>
      <c r="E553" s="4" t="n"/>
      <c r="F553" s="4" t="n"/>
    </row>
    <row r="554" ht="15.75" customHeight="1" s="40">
      <c r="A554" s="4" t="n"/>
      <c r="B554" s="4" t="n"/>
      <c r="C554" s="4" t="n"/>
      <c r="D554" s="4" t="n"/>
      <c r="E554" s="4" t="n"/>
      <c r="F554" s="4" t="n"/>
    </row>
    <row r="555" ht="15.75" customHeight="1" s="40">
      <c r="A555" s="4" t="n"/>
      <c r="B555" s="4" t="n"/>
      <c r="C555" s="4" t="n"/>
      <c r="D555" s="4" t="n"/>
      <c r="E555" s="4" t="n"/>
      <c r="F555" s="4" t="n"/>
    </row>
    <row r="556" ht="15.75" customHeight="1" s="40">
      <c r="A556" s="4" t="n"/>
      <c r="B556" s="4" t="n"/>
      <c r="C556" s="4" t="n"/>
      <c r="D556" s="4" t="n"/>
      <c r="E556" s="4" t="n"/>
      <c r="F556" s="4" t="n"/>
    </row>
    <row r="557" ht="15.75" customHeight="1" s="40">
      <c r="A557" s="4" t="n"/>
      <c r="B557" s="4" t="n"/>
      <c r="C557" s="4" t="n"/>
      <c r="D557" s="4" t="n"/>
      <c r="E557" s="4" t="n"/>
      <c r="F557" s="4" t="n"/>
    </row>
    <row r="558" ht="15.75" customHeight="1" s="40">
      <c r="A558" s="4" t="n"/>
      <c r="B558" s="4" t="n"/>
      <c r="C558" s="4" t="n"/>
      <c r="D558" s="4" t="n"/>
      <c r="E558" s="4" t="n"/>
      <c r="F558" s="4" t="n"/>
    </row>
    <row r="559" ht="15.75" customHeight="1" s="40">
      <c r="A559" s="4" t="n"/>
      <c r="B559" s="4" t="n"/>
      <c r="C559" s="4" t="n"/>
      <c r="D559" s="4" t="n"/>
      <c r="E559" s="4" t="n"/>
      <c r="F559" s="4" t="n"/>
    </row>
    <row r="560" ht="15.75" customHeight="1" s="40">
      <c r="A560" s="4" t="n"/>
      <c r="B560" s="4" t="n"/>
      <c r="C560" s="4" t="n"/>
      <c r="D560" s="4" t="n"/>
      <c r="E560" s="4" t="n"/>
      <c r="F560" s="4" t="n"/>
    </row>
    <row r="561" ht="15.75" customHeight="1" s="40">
      <c r="A561" s="4" t="n"/>
      <c r="B561" s="4" t="n"/>
      <c r="C561" s="4" t="n"/>
      <c r="D561" s="4" t="n"/>
      <c r="E561" s="4" t="n"/>
      <c r="F561" s="4" t="n"/>
    </row>
    <row r="562" ht="15.75" customHeight="1" s="40">
      <c r="A562" s="4" t="n"/>
      <c r="B562" s="4" t="n"/>
      <c r="C562" s="4" t="n"/>
      <c r="D562" s="4" t="n"/>
      <c r="E562" s="4" t="n"/>
      <c r="F562" s="4" t="n"/>
    </row>
    <row r="563" ht="15.75" customHeight="1" s="40">
      <c r="A563" s="4" t="n"/>
      <c r="B563" s="4" t="n"/>
      <c r="C563" s="4" t="n"/>
      <c r="D563" s="4" t="n"/>
      <c r="E563" s="4" t="n"/>
      <c r="F563" s="4" t="n"/>
    </row>
    <row r="564" ht="15.75" customHeight="1" s="40">
      <c r="A564" s="4" t="n"/>
      <c r="B564" s="4" t="n"/>
      <c r="C564" s="4" t="n"/>
      <c r="D564" s="4" t="n"/>
      <c r="E564" s="4" t="n"/>
      <c r="F564" s="4" t="n"/>
    </row>
    <row r="565" ht="15.75" customHeight="1" s="40">
      <c r="A565" s="4" t="n"/>
      <c r="B565" s="4" t="n"/>
      <c r="C565" s="4" t="n"/>
      <c r="D565" s="4" t="n"/>
      <c r="E565" s="4" t="n"/>
      <c r="F565" s="4" t="n"/>
    </row>
    <row r="566" ht="15.75" customHeight="1" s="40">
      <c r="A566" s="4" t="n"/>
      <c r="B566" s="4" t="n"/>
      <c r="C566" s="4" t="n"/>
      <c r="D566" s="4" t="n"/>
      <c r="E566" s="4" t="n"/>
      <c r="F566" s="4" t="n"/>
    </row>
    <row r="567" ht="15.75" customHeight="1" s="40">
      <c r="A567" s="4" t="n"/>
      <c r="B567" s="4" t="n"/>
      <c r="C567" s="4" t="n"/>
      <c r="D567" s="4" t="n"/>
      <c r="E567" s="4" t="n"/>
      <c r="F567" s="4" t="n"/>
    </row>
    <row r="568" ht="15.75" customHeight="1" s="40">
      <c r="A568" s="4" t="n"/>
      <c r="B568" s="4" t="n"/>
      <c r="C568" s="4" t="n"/>
      <c r="D568" s="4" t="n"/>
      <c r="E568" s="4" t="n"/>
      <c r="F568" s="4" t="n"/>
    </row>
    <row r="569" ht="15.75" customHeight="1" s="40">
      <c r="A569" s="4" t="n"/>
      <c r="B569" s="4" t="n"/>
      <c r="C569" s="4" t="n"/>
      <c r="D569" s="4" t="n"/>
      <c r="E569" s="4" t="n"/>
      <c r="F569" s="4" t="n"/>
    </row>
    <row r="570" ht="15.75" customHeight="1" s="40">
      <c r="A570" s="4" t="n"/>
      <c r="B570" s="4" t="n"/>
      <c r="C570" s="4" t="n"/>
      <c r="D570" s="4" t="n"/>
      <c r="E570" s="4" t="n"/>
      <c r="F570" s="4" t="n"/>
    </row>
    <row r="571" ht="15.75" customHeight="1" s="40">
      <c r="A571" s="4" t="n"/>
      <c r="B571" s="4" t="n"/>
      <c r="C571" s="4" t="n"/>
      <c r="D571" s="4" t="n"/>
      <c r="E571" s="4" t="n"/>
      <c r="F571" s="4" t="n"/>
    </row>
    <row r="572" ht="15.75" customHeight="1" s="40">
      <c r="A572" s="4" t="n"/>
      <c r="B572" s="4" t="n"/>
      <c r="C572" s="4" t="n"/>
      <c r="D572" s="4" t="n"/>
      <c r="E572" s="4" t="n"/>
      <c r="F572" s="4" t="n"/>
    </row>
    <row r="573" ht="15.75" customHeight="1" s="40">
      <c r="A573" s="4" t="n"/>
      <c r="B573" s="4" t="n"/>
      <c r="C573" s="4" t="n"/>
      <c r="D573" s="4" t="n"/>
      <c r="E573" s="4" t="n"/>
      <c r="F573" s="4" t="n"/>
    </row>
    <row r="574" ht="15.75" customHeight="1" s="40">
      <c r="A574" s="4" t="n"/>
      <c r="B574" s="4" t="n"/>
      <c r="C574" s="4" t="n"/>
      <c r="D574" s="4" t="n"/>
      <c r="E574" s="4" t="n"/>
      <c r="F574" s="4" t="n"/>
    </row>
    <row r="575" ht="15.75" customHeight="1" s="40">
      <c r="A575" s="4" t="n"/>
      <c r="B575" s="4" t="n"/>
      <c r="C575" s="4" t="n"/>
      <c r="D575" s="4" t="n"/>
      <c r="E575" s="4" t="n"/>
      <c r="F575" s="4" t="n"/>
    </row>
    <row r="576" ht="15.75" customHeight="1" s="40">
      <c r="A576" s="4" t="n"/>
      <c r="B576" s="4" t="n"/>
      <c r="C576" s="4" t="n"/>
      <c r="D576" s="4" t="n"/>
      <c r="E576" s="4" t="n"/>
      <c r="F576" s="4" t="n"/>
    </row>
    <row r="577" ht="15.75" customHeight="1" s="40">
      <c r="A577" s="4" t="n"/>
      <c r="B577" s="4" t="n"/>
      <c r="C577" s="4" t="n"/>
      <c r="D577" s="4" t="n"/>
      <c r="E577" s="4" t="n"/>
      <c r="F577" s="4" t="n"/>
    </row>
    <row r="578" ht="15.75" customHeight="1" s="40">
      <c r="A578" s="4" t="n"/>
      <c r="B578" s="4" t="n"/>
      <c r="C578" s="4" t="n"/>
      <c r="D578" s="4" t="n"/>
      <c r="E578" s="4" t="n"/>
      <c r="F578" s="4" t="n"/>
    </row>
    <row r="579" ht="15.75" customHeight="1" s="40">
      <c r="A579" s="4" t="n"/>
      <c r="B579" s="4" t="n"/>
      <c r="C579" s="4" t="n"/>
      <c r="D579" s="4" t="n"/>
      <c r="E579" s="4" t="n"/>
      <c r="F579" s="4" t="n"/>
    </row>
    <row r="580" ht="15.75" customHeight="1" s="40">
      <c r="A580" s="4" t="n"/>
      <c r="B580" s="4" t="n"/>
      <c r="C580" s="4" t="n"/>
      <c r="D580" s="4" t="n"/>
      <c r="E580" s="4" t="n"/>
      <c r="F580" s="4" t="n"/>
    </row>
    <row r="581" ht="15.75" customHeight="1" s="40">
      <c r="A581" s="4" t="n"/>
      <c r="B581" s="4" t="n"/>
      <c r="C581" s="4" t="n"/>
      <c r="D581" s="4" t="n"/>
      <c r="E581" s="4" t="n"/>
      <c r="F581" s="4" t="n"/>
    </row>
    <row r="582" ht="15.75" customHeight="1" s="40">
      <c r="A582" s="4" t="n"/>
      <c r="B582" s="4" t="n"/>
      <c r="C582" s="4" t="n"/>
      <c r="D582" s="4" t="n"/>
      <c r="E582" s="4" t="n"/>
      <c r="F582" s="4" t="n"/>
    </row>
    <row r="583" ht="15.75" customHeight="1" s="40">
      <c r="A583" s="4" t="n"/>
      <c r="B583" s="4" t="n"/>
      <c r="C583" s="4" t="n"/>
      <c r="D583" s="4" t="n"/>
      <c r="E583" s="4" t="n"/>
      <c r="F583" s="4" t="n"/>
    </row>
    <row r="584" ht="15.75" customHeight="1" s="40">
      <c r="A584" s="4" t="n"/>
      <c r="B584" s="4" t="n"/>
      <c r="C584" s="4" t="n"/>
      <c r="D584" s="4" t="n"/>
      <c r="E584" s="4" t="n"/>
      <c r="F584" s="4" t="n"/>
    </row>
    <row r="585" ht="15.75" customHeight="1" s="40">
      <c r="A585" s="4" t="n"/>
      <c r="B585" s="4" t="n"/>
      <c r="C585" s="4" t="n"/>
      <c r="D585" s="4" t="n"/>
      <c r="E585" s="4" t="n"/>
      <c r="F585" s="4" t="n"/>
    </row>
    <row r="586" ht="15.75" customHeight="1" s="40">
      <c r="A586" s="4" t="n"/>
      <c r="B586" s="4" t="n"/>
      <c r="C586" s="4" t="n"/>
      <c r="D586" s="4" t="n"/>
      <c r="E586" s="4" t="n"/>
      <c r="F586" s="4" t="n"/>
    </row>
    <row r="587" ht="15.75" customHeight="1" s="40">
      <c r="A587" s="4" t="n"/>
      <c r="B587" s="4" t="n"/>
      <c r="C587" s="4" t="n"/>
      <c r="D587" s="4" t="n"/>
      <c r="E587" s="4" t="n"/>
      <c r="F587" s="4" t="n"/>
    </row>
    <row r="588" ht="15.75" customHeight="1" s="40">
      <c r="A588" s="4" t="n"/>
      <c r="B588" s="4" t="n"/>
      <c r="C588" s="4" t="n"/>
      <c r="D588" s="4" t="n"/>
      <c r="E588" s="4" t="n"/>
      <c r="F588" s="4" t="n"/>
    </row>
    <row r="589" ht="15.75" customHeight="1" s="40">
      <c r="A589" s="4" t="n"/>
      <c r="B589" s="4" t="n"/>
      <c r="C589" s="4" t="n"/>
      <c r="D589" s="4" t="n"/>
      <c r="E589" s="4" t="n"/>
      <c r="F589" s="4" t="n"/>
    </row>
    <row r="590" ht="15.75" customHeight="1" s="40">
      <c r="A590" s="4" t="n"/>
      <c r="B590" s="4" t="n"/>
      <c r="C590" s="4" t="n"/>
      <c r="D590" s="4" t="n"/>
      <c r="E590" s="4" t="n"/>
      <c r="F590" s="4" t="n"/>
    </row>
    <row r="591" ht="15.75" customHeight="1" s="40">
      <c r="A591" s="4" t="n"/>
      <c r="B591" s="4" t="n"/>
      <c r="C591" s="4" t="n"/>
      <c r="D591" s="4" t="n"/>
      <c r="E591" s="4" t="n"/>
      <c r="F591" s="4" t="n"/>
    </row>
    <row r="592" ht="15.75" customHeight="1" s="40">
      <c r="A592" s="4" t="n"/>
      <c r="B592" s="4" t="n"/>
      <c r="C592" s="4" t="n"/>
      <c r="D592" s="4" t="n"/>
      <c r="E592" s="4" t="n"/>
      <c r="F592" s="4" t="n"/>
    </row>
    <row r="593" ht="15.75" customHeight="1" s="40">
      <c r="A593" s="4" t="n"/>
      <c r="B593" s="4" t="n"/>
      <c r="C593" s="4" t="n"/>
      <c r="D593" s="4" t="n"/>
      <c r="E593" s="4" t="n"/>
      <c r="F593" s="4" t="n"/>
    </row>
    <row r="594" ht="15.75" customHeight="1" s="40">
      <c r="A594" s="4" t="n"/>
      <c r="B594" s="4" t="n"/>
      <c r="C594" s="4" t="n"/>
      <c r="D594" s="4" t="n"/>
      <c r="E594" s="4" t="n"/>
      <c r="F594" s="4" t="n"/>
    </row>
    <row r="595" ht="15.75" customHeight="1" s="40">
      <c r="A595" s="4" t="n"/>
      <c r="B595" s="4" t="n"/>
      <c r="C595" s="4" t="n"/>
      <c r="D595" s="4" t="n"/>
      <c r="E595" s="4" t="n"/>
      <c r="F595" s="4" t="n"/>
    </row>
    <row r="596" ht="15.75" customHeight="1" s="40">
      <c r="A596" s="4" t="n"/>
      <c r="B596" s="4" t="n"/>
      <c r="C596" s="4" t="n"/>
      <c r="D596" s="4" t="n"/>
      <c r="E596" s="4" t="n"/>
      <c r="F596" s="4" t="n"/>
    </row>
    <row r="597" ht="15.75" customHeight="1" s="40">
      <c r="A597" s="4" t="n"/>
      <c r="B597" s="4" t="n"/>
      <c r="C597" s="4" t="n"/>
      <c r="D597" s="4" t="n"/>
      <c r="E597" s="4" t="n"/>
      <c r="F597" s="4" t="n"/>
    </row>
    <row r="598" ht="15.75" customHeight="1" s="40">
      <c r="A598" s="4" t="n"/>
      <c r="B598" s="4" t="n"/>
      <c r="C598" s="4" t="n"/>
      <c r="D598" s="4" t="n"/>
      <c r="E598" s="4" t="n"/>
      <c r="F598" s="4" t="n"/>
    </row>
    <row r="599" ht="15.75" customHeight="1" s="40">
      <c r="A599" s="4" t="n"/>
      <c r="B599" s="4" t="n"/>
      <c r="C599" s="4" t="n"/>
      <c r="D599" s="4" t="n"/>
      <c r="E599" s="4" t="n"/>
      <c r="F599" s="4" t="n"/>
    </row>
    <row r="600" ht="15.75" customHeight="1" s="40">
      <c r="A600" s="4" t="n"/>
      <c r="B600" s="4" t="n"/>
      <c r="C600" s="4" t="n"/>
      <c r="D600" s="4" t="n"/>
      <c r="E600" s="4" t="n"/>
      <c r="F600" s="4" t="n"/>
    </row>
    <row r="601" ht="15.75" customHeight="1" s="40">
      <c r="A601" s="4" t="n"/>
      <c r="B601" s="4" t="n"/>
      <c r="C601" s="4" t="n"/>
      <c r="D601" s="4" t="n"/>
      <c r="E601" s="4" t="n"/>
      <c r="F601" s="4" t="n"/>
    </row>
    <row r="602" ht="15.75" customHeight="1" s="40">
      <c r="A602" s="4" t="n"/>
      <c r="B602" s="4" t="n"/>
      <c r="C602" s="4" t="n"/>
      <c r="D602" s="4" t="n"/>
      <c r="E602" s="4" t="n"/>
      <c r="F602" s="4" t="n"/>
    </row>
    <row r="603" ht="15.75" customHeight="1" s="40">
      <c r="A603" s="4" t="n"/>
      <c r="B603" s="4" t="n"/>
      <c r="C603" s="4" t="n"/>
      <c r="D603" s="4" t="n"/>
      <c r="E603" s="4" t="n"/>
      <c r="F603" s="4" t="n"/>
    </row>
    <row r="604" ht="15.75" customHeight="1" s="40">
      <c r="A604" s="4" t="n"/>
      <c r="B604" s="4" t="n"/>
      <c r="C604" s="4" t="n"/>
      <c r="D604" s="4" t="n"/>
      <c r="E604" s="4" t="n"/>
      <c r="F604" s="4" t="n"/>
    </row>
    <row r="605" ht="15.75" customHeight="1" s="40">
      <c r="A605" s="4" t="n"/>
      <c r="B605" s="4" t="n"/>
      <c r="C605" s="4" t="n"/>
      <c r="D605" s="4" t="n"/>
      <c r="E605" s="4" t="n"/>
      <c r="F605" s="4" t="n"/>
    </row>
    <row r="606" ht="15.75" customHeight="1" s="40">
      <c r="A606" s="4" t="n"/>
      <c r="B606" s="4" t="n"/>
      <c r="C606" s="4" t="n"/>
      <c r="D606" s="4" t="n"/>
      <c r="E606" s="4" t="n"/>
      <c r="F606" s="4" t="n"/>
    </row>
    <row r="607" ht="15.75" customHeight="1" s="40">
      <c r="A607" s="4" t="n"/>
      <c r="B607" s="4" t="n"/>
      <c r="C607" s="4" t="n"/>
      <c r="D607" s="4" t="n"/>
      <c r="E607" s="4" t="n"/>
      <c r="F607" s="4" t="n"/>
    </row>
    <row r="608" ht="15.75" customHeight="1" s="40">
      <c r="A608" s="4" t="n"/>
      <c r="B608" s="4" t="n"/>
      <c r="C608" s="4" t="n"/>
      <c r="D608" s="4" t="n"/>
      <c r="E608" s="4" t="n"/>
      <c r="F608" s="4" t="n"/>
    </row>
    <row r="609" ht="15.75" customHeight="1" s="40">
      <c r="A609" s="4" t="n"/>
      <c r="B609" s="4" t="n"/>
      <c r="C609" s="4" t="n"/>
      <c r="D609" s="4" t="n"/>
      <c r="E609" s="4" t="n"/>
      <c r="F609" s="4" t="n"/>
    </row>
    <row r="610" ht="15.75" customHeight="1" s="40">
      <c r="A610" s="4" t="n"/>
      <c r="B610" s="4" t="n"/>
      <c r="C610" s="4" t="n"/>
      <c r="D610" s="4" t="n"/>
      <c r="E610" s="4" t="n"/>
      <c r="F610" s="4" t="n"/>
    </row>
    <row r="611" ht="15.75" customHeight="1" s="40">
      <c r="A611" s="4" t="n"/>
      <c r="B611" s="4" t="n"/>
      <c r="C611" s="4" t="n"/>
      <c r="D611" s="4" t="n"/>
      <c r="E611" s="4" t="n"/>
      <c r="F611" s="4" t="n"/>
    </row>
    <row r="612" ht="15.75" customHeight="1" s="40">
      <c r="A612" s="4" t="n"/>
      <c r="B612" s="4" t="n"/>
      <c r="C612" s="4" t="n"/>
      <c r="D612" s="4" t="n"/>
      <c r="E612" s="4" t="n"/>
      <c r="F612" s="4" t="n"/>
    </row>
    <row r="613" ht="15.75" customHeight="1" s="40">
      <c r="A613" s="4" t="n"/>
      <c r="B613" s="4" t="n"/>
      <c r="C613" s="4" t="n"/>
      <c r="D613" s="4" t="n"/>
      <c r="E613" s="4" t="n"/>
      <c r="F613" s="4" t="n"/>
    </row>
    <row r="614" ht="15.75" customHeight="1" s="40">
      <c r="A614" s="4" t="n"/>
      <c r="B614" s="4" t="n"/>
      <c r="C614" s="4" t="n"/>
      <c r="D614" s="4" t="n"/>
      <c r="E614" s="4" t="n"/>
      <c r="F614" s="4" t="n"/>
    </row>
    <row r="615" ht="15.75" customHeight="1" s="40">
      <c r="A615" s="4" t="n"/>
      <c r="B615" s="4" t="n"/>
      <c r="C615" s="4" t="n"/>
      <c r="D615" s="4" t="n"/>
      <c r="E615" s="4" t="n"/>
      <c r="F615" s="4" t="n"/>
    </row>
    <row r="616" ht="15.75" customHeight="1" s="40">
      <c r="A616" s="4" t="n"/>
      <c r="B616" s="4" t="n"/>
      <c r="C616" s="4" t="n"/>
      <c r="D616" s="4" t="n"/>
      <c r="E616" s="4" t="n"/>
      <c r="F616" s="4" t="n"/>
    </row>
    <row r="617" ht="15.75" customHeight="1" s="40">
      <c r="A617" s="4" t="n"/>
      <c r="B617" s="4" t="n"/>
      <c r="C617" s="4" t="n"/>
      <c r="D617" s="4" t="n"/>
      <c r="E617" s="4" t="n"/>
      <c r="F617" s="4" t="n"/>
    </row>
    <row r="618" ht="15.75" customHeight="1" s="40">
      <c r="A618" s="4" t="n"/>
      <c r="B618" s="4" t="n"/>
      <c r="C618" s="4" t="n"/>
      <c r="D618" s="4" t="n"/>
      <c r="E618" s="4" t="n"/>
      <c r="F618" s="4" t="n"/>
    </row>
    <row r="619" ht="15.75" customHeight="1" s="40">
      <c r="A619" s="4" t="n"/>
      <c r="B619" s="4" t="n"/>
      <c r="C619" s="4" t="n"/>
      <c r="D619" s="4" t="n"/>
      <c r="E619" s="4" t="n"/>
      <c r="F619" s="4" t="n"/>
    </row>
    <row r="620" ht="15.75" customHeight="1" s="40">
      <c r="A620" s="4" t="n"/>
      <c r="B620" s="4" t="n"/>
      <c r="C620" s="4" t="n"/>
      <c r="D620" s="4" t="n"/>
      <c r="E620" s="4" t="n"/>
      <c r="F620" s="4" t="n"/>
    </row>
    <row r="621" ht="15.75" customHeight="1" s="40">
      <c r="A621" s="4" t="n"/>
      <c r="B621" s="4" t="n"/>
      <c r="C621" s="4" t="n"/>
      <c r="D621" s="4" t="n"/>
      <c r="E621" s="4" t="n"/>
      <c r="F621" s="4" t="n"/>
    </row>
    <row r="622" ht="15.75" customHeight="1" s="40">
      <c r="A622" s="4" t="n"/>
      <c r="B622" s="4" t="n"/>
      <c r="C622" s="4" t="n"/>
      <c r="D622" s="4" t="n"/>
      <c r="E622" s="4" t="n"/>
      <c r="F622" s="4" t="n"/>
    </row>
    <row r="623" ht="15.75" customHeight="1" s="40">
      <c r="A623" s="4" t="n"/>
      <c r="B623" s="4" t="n"/>
      <c r="C623" s="4" t="n"/>
      <c r="D623" s="4" t="n"/>
      <c r="E623" s="4" t="n"/>
      <c r="F623" s="4" t="n"/>
    </row>
    <row r="624" ht="15.75" customHeight="1" s="40">
      <c r="A624" s="4" t="n"/>
      <c r="B624" s="4" t="n"/>
      <c r="C624" s="4" t="n"/>
      <c r="D624" s="4" t="n"/>
      <c r="E624" s="4" t="n"/>
      <c r="F624" s="4" t="n"/>
    </row>
    <row r="625" ht="15.75" customHeight="1" s="40">
      <c r="A625" s="4" t="n"/>
      <c r="B625" s="4" t="n"/>
      <c r="C625" s="4" t="n"/>
      <c r="D625" s="4" t="n"/>
      <c r="E625" s="4" t="n"/>
      <c r="F625" s="4" t="n"/>
    </row>
    <row r="626" ht="15.75" customHeight="1" s="40">
      <c r="A626" s="4" t="n"/>
      <c r="B626" s="4" t="n"/>
      <c r="C626" s="4" t="n"/>
      <c r="D626" s="4" t="n"/>
      <c r="E626" s="4" t="n"/>
      <c r="F626" s="4" t="n"/>
    </row>
    <row r="627" ht="15.75" customHeight="1" s="40">
      <c r="A627" s="4" t="n"/>
      <c r="B627" s="4" t="n"/>
      <c r="C627" s="4" t="n"/>
      <c r="D627" s="4" t="n"/>
      <c r="E627" s="4" t="n"/>
      <c r="F627" s="4" t="n"/>
    </row>
    <row r="628" ht="15.75" customHeight="1" s="40">
      <c r="A628" s="4" t="n"/>
      <c r="B628" s="4" t="n"/>
      <c r="C628" s="4" t="n"/>
      <c r="D628" s="4" t="n"/>
      <c r="E628" s="4" t="n"/>
      <c r="F628" s="4" t="n"/>
    </row>
    <row r="629" ht="15.75" customHeight="1" s="40">
      <c r="A629" s="4" t="n"/>
      <c r="B629" s="4" t="n"/>
      <c r="C629" s="4" t="n"/>
      <c r="D629" s="4" t="n"/>
      <c r="E629" s="4" t="n"/>
      <c r="F629" s="4" t="n"/>
    </row>
    <row r="630" ht="15.75" customHeight="1" s="40">
      <c r="A630" s="4" t="n"/>
      <c r="B630" s="4" t="n"/>
      <c r="C630" s="4" t="n"/>
      <c r="D630" s="4" t="n"/>
      <c r="E630" s="4" t="n"/>
      <c r="F630" s="4" t="n"/>
    </row>
    <row r="631" ht="15.75" customHeight="1" s="40">
      <c r="A631" s="4" t="n"/>
      <c r="B631" s="4" t="n"/>
      <c r="C631" s="4" t="n"/>
      <c r="D631" s="4" t="n"/>
      <c r="E631" s="4" t="n"/>
      <c r="F631" s="4" t="n"/>
    </row>
    <row r="632" ht="15.75" customHeight="1" s="40">
      <c r="A632" s="4" t="n"/>
      <c r="B632" s="4" t="n"/>
      <c r="C632" s="4" t="n"/>
      <c r="D632" s="4" t="n"/>
      <c r="E632" s="4" t="n"/>
      <c r="F632" s="4" t="n"/>
    </row>
    <row r="633" ht="15.75" customHeight="1" s="40">
      <c r="A633" s="4" t="n"/>
      <c r="B633" s="4" t="n"/>
      <c r="C633" s="4" t="n"/>
      <c r="D633" s="4" t="n"/>
      <c r="E633" s="4" t="n"/>
      <c r="F633" s="4" t="n"/>
    </row>
    <row r="634" ht="15.75" customHeight="1" s="40">
      <c r="A634" s="4" t="n"/>
      <c r="B634" s="4" t="n"/>
      <c r="C634" s="4" t="n"/>
      <c r="D634" s="4" t="n"/>
      <c r="E634" s="4" t="n"/>
      <c r="F634" s="4" t="n"/>
    </row>
    <row r="635" ht="15.75" customHeight="1" s="40">
      <c r="A635" s="4" t="n"/>
      <c r="B635" s="4" t="n"/>
      <c r="C635" s="4" t="n"/>
      <c r="D635" s="4" t="n"/>
      <c r="E635" s="4" t="n"/>
      <c r="F635" s="4" t="n"/>
    </row>
    <row r="636" ht="15.75" customHeight="1" s="40">
      <c r="A636" s="4" t="n"/>
      <c r="B636" s="4" t="n"/>
      <c r="C636" s="4" t="n"/>
      <c r="D636" s="4" t="n"/>
      <c r="E636" s="4" t="n"/>
      <c r="F636" s="4" t="n"/>
    </row>
    <row r="637" ht="15.75" customHeight="1" s="40">
      <c r="A637" s="4" t="n"/>
      <c r="B637" s="4" t="n"/>
      <c r="C637" s="4" t="n"/>
      <c r="D637" s="4" t="n"/>
      <c r="E637" s="4" t="n"/>
      <c r="F637" s="4" t="n"/>
    </row>
    <row r="638" ht="15.75" customHeight="1" s="40">
      <c r="A638" s="4" t="n"/>
      <c r="B638" s="4" t="n"/>
      <c r="C638" s="4" t="n"/>
      <c r="D638" s="4" t="n"/>
      <c r="E638" s="4" t="n"/>
      <c r="F638" s="4" t="n"/>
    </row>
    <row r="639" ht="15.75" customHeight="1" s="40">
      <c r="A639" s="4" t="n"/>
      <c r="B639" s="4" t="n"/>
      <c r="C639" s="4" t="n"/>
      <c r="D639" s="4" t="n"/>
      <c r="E639" s="4" t="n"/>
      <c r="F639" s="4" t="n"/>
    </row>
    <row r="640" ht="15.75" customHeight="1" s="40">
      <c r="A640" s="4" t="n"/>
      <c r="B640" s="4" t="n"/>
      <c r="C640" s="4" t="n"/>
      <c r="D640" s="4" t="n"/>
      <c r="E640" s="4" t="n"/>
      <c r="F640" s="4" t="n"/>
    </row>
    <row r="641" ht="15.75" customHeight="1" s="40">
      <c r="A641" s="4" t="n"/>
      <c r="B641" s="4" t="n"/>
      <c r="C641" s="4" t="n"/>
      <c r="D641" s="4" t="n"/>
      <c r="E641" s="4" t="n"/>
      <c r="F641" s="4" t="n"/>
    </row>
    <row r="642" ht="15.75" customHeight="1" s="40">
      <c r="A642" s="4" t="n"/>
      <c r="B642" s="4" t="n"/>
      <c r="C642" s="4" t="n"/>
      <c r="D642" s="4" t="n"/>
      <c r="E642" s="4" t="n"/>
      <c r="F642" s="4" t="n"/>
    </row>
    <row r="643" ht="15.75" customHeight="1" s="40">
      <c r="A643" s="4" t="n"/>
      <c r="B643" s="4" t="n"/>
      <c r="C643" s="4" t="n"/>
      <c r="D643" s="4" t="n"/>
      <c r="E643" s="4" t="n"/>
      <c r="F643" s="4" t="n"/>
    </row>
    <row r="644" ht="15.75" customHeight="1" s="40">
      <c r="A644" s="4" t="n"/>
      <c r="B644" s="4" t="n"/>
      <c r="C644" s="4" t="n"/>
      <c r="D644" s="4" t="n"/>
      <c r="E644" s="4" t="n"/>
      <c r="F644" s="4" t="n"/>
    </row>
    <row r="645" ht="15.75" customHeight="1" s="40">
      <c r="A645" s="4" t="n"/>
      <c r="B645" s="4" t="n"/>
      <c r="C645" s="4" t="n"/>
      <c r="D645" s="4" t="n"/>
      <c r="E645" s="4" t="n"/>
      <c r="F645" s="4" t="n"/>
    </row>
    <row r="646" ht="15.75" customHeight="1" s="40">
      <c r="A646" s="4" t="n"/>
      <c r="B646" s="4" t="n"/>
      <c r="C646" s="4" t="n"/>
      <c r="D646" s="4" t="n"/>
      <c r="E646" s="4" t="n"/>
      <c r="F646" s="4" t="n"/>
    </row>
    <row r="647" ht="15.75" customHeight="1" s="40">
      <c r="A647" s="4" t="n"/>
      <c r="B647" s="4" t="n"/>
      <c r="C647" s="4" t="n"/>
      <c r="D647" s="4" t="n"/>
      <c r="E647" s="4" t="n"/>
      <c r="F647" s="4" t="n"/>
    </row>
    <row r="648" ht="15.75" customHeight="1" s="40">
      <c r="A648" s="4" t="n"/>
      <c r="B648" s="4" t="n"/>
      <c r="C648" s="4" t="n"/>
      <c r="D648" s="4" t="n"/>
      <c r="E648" s="4" t="n"/>
      <c r="F648" s="4" t="n"/>
    </row>
    <row r="649" ht="15.75" customHeight="1" s="40">
      <c r="A649" s="4" t="n"/>
      <c r="B649" s="4" t="n"/>
      <c r="C649" s="4" t="n"/>
      <c r="D649" s="4" t="n"/>
      <c r="E649" s="4" t="n"/>
      <c r="F649" s="4" t="n"/>
    </row>
    <row r="650" ht="15.75" customHeight="1" s="40">
      <c r="A650" s="4" t="n"/>
      <c r="B650" s="4" t="n"/>
      <c r="C650" s="4" t="n"/>
      <c r="D650" s="4" t="n"/>
      <c r="E650" s="4" t="n"/>
      <c r="F650" s="4" t="n"/>
    </row>
    <row r="651" ht="15.75" customHeight="1" s="40">
      <c r="A651" s="4" t="n"/>
      <c r="B651" s="4" t="n"/>
      <c r="C651" s="4" t="n"/>
      <c r="D651" s="4" t="n"/>
      <c r="E651" s="4" t="n"/>
      <c r="F651" s="4" t="n"/>
    </row>
    <row r="652" ht="15.75" customHeight="1" s="40">
      <c r="A652" s="4" t="n"/>
      <c r="B652" s="4" t="n"/>
      <c r="C652" s="4" t="n"/>
      <c r="D652" s="4" t="n"/>
      <c r="E652" s="4" t="n"/>
      <c r="F652" s="4" t="n"/>
    </row>
    <row r="653" ht="15.75" customHeight="1" s="40">
      <c r="A653" s="4" t="n"/>
      <c r="B653" s="4" t="n"/>
      <c r="C653" s="4" t="n"/>
      <c r="D653" s="4" t="n"/>
      <c r="E653" s="4" t="n"/>
      <c r="F653" s="4" t="n"/>
    </row>
    <row r="654" ht="15.75" customHeight="1" s="40">
      <c r="A654" s="4" t="n"/>
      <c r="B654" s="4" t="n"/>
      <c r="C654" s="4" t="n"/>
      <c r="D654" s="4" t="n"/>
      <c r="E654" s="4" t="n"/>
      <c r="F654" s="4" t="n"/>
    </row>
    <row r="655" ht="15.75" customHeight="1" s="40">
      <c r="A655" s="4" t="n"/>
      <c r="B655" s="4" t="n"/>
      <c r="C655" s="4" t="n"/>
      <c r="D655" s="4" t="n"/>
      <c r="E655" s="4" t="n"/>
      <c r="F655" s="4" t="n"/>
    </row>
    <row r="656" ht="15.75" customHeight="1" s="40">
      <c r="A656" s="4" t="n"/>
      <c r="B656" s="4" t="n"/>
      <c r="C656" s="4" t="n"/>
      <c r="D656" s="4" t="n"/>
      <c r="E656" s="4" t="n"/>
      <c r="F656" s="4" t="n"/>
    </row>
    <row r="657" ht="15.75" customHeight="1" s="40">
      <c r="A657" s="4" t="n"/>
      <c r="B657" s="4" t="n"/>
      <c r="C657" s="4" t="n"/>
      <c r="D657" s="4" t="n"/>
      <c r="E657" s="4" t="n"/>
      <c r="F657" s="4" t="n"/>
    </row>
    <row r="658" ht="15.75" customHeight="1" s="40">
      <c r="A658" s="4" t="n"/>
      <c r="B658" s="4" t="n"/>
      <c r="C658" s="4" t="n"/>
      <c r="D658" s="4" t="n"/>
      <c r="E658" s="4" t="n"/>
      <c r="F658" s="4" t="n"/>
    </row>
    <row r="659" ht="15.75" customHeight="1" s="40">
      <c r="A659" s="4" t="n"/>
      <c r="B659" s="4" t="n"/>
      <c r="C659" s="4" t="n"/>
      <c r="D659" s="4" t="n"/>
      <c r="E659" s="4" t="n"/>
      <c r="F659" s="4" t="n"/>
    </row>
    <row r="660" ht="15.75" customHeight="1" s="40">
      <c r="A660" s="4" t="n"/>
      <c r="B660" s="4" t="n"/>
      <c r="C660" s="4" t="n"/>
      <c r="D660" s="4" t="n"/>
      <c r="E660" s="4" t="n"/>
      <c r="F660" s="4" t="n"/>
    </row>
    <row r="661" ht="15.75" customHeight="1" s="40">
      <c r="A661" s="4" t="n"/>
      <c r="B661" s="4" t="n"/>
      <c r="C661" s="4" t="n"/>
      <c r="D661" s="4" t="n"/>
      <c r="E661" s="4" t="n"/>
      <c r="F661" s="4" t="n"/>
    </row>
    <row r="662" ht="15.75" customHeight="1" s="40">
      <c r="A662" s="4" t="n"/>
      <c r="B662" s="4" t="n"/>
      <c r="C662" s="4" t="n"/>
      <c r="D662" s="4" t="n"/>
      <c r="E662" s="4" t="n"/>
      <c r="F662" s="4" t="n"/>
    </row>
    <row r="663" ht="15.75" customHeight="1" s="40">
      <c r="A663" s="4" t="n"/>
      <c r="B663" s="4" t="n"/>
      <c r="C663" s="4" t="n"/>
      <c r="D663" s="4" t="n"/>
      <c r="E663" s="4" t="n"/>
      <c r="F663" s="4" t="n"/>
    </row>
    <row r="664" ht="15.75" customHeight="1" s="40">
      <c r="A664" s="4" t="n"/>
      <c r="B664" s="4" t="n"/>
      <c r="C664" s="4" t="n"/>
      <c r="D664" s="4" t="n"/>
      <c r="E664" s="4" t="n"/>
      <c r="F664" s="4" t="n"/>
    </row>
    <row r="665" ht="15.75" customHeight="1" s="40">
      <c r="A665" s="4" t="n"/>
      <c r="B665" s="4" t="n"/>
      <c r="C665" s="4" t="n"/>
      <c r="D665" s="4" t="n"/>
      <c r="E665" s="4" t="n"/>
      <c r="F665" s="4" t="n"/>
    </row>
    <row r="666" ht="15.75" customHeight="1" s="40">
      <c r="A666" s="4" t="n"/>
      <c r="B666" s="4" t="n"/>
      <c r="C666" s="4" t="n"/>
      <c r="D666" s="4" t="n"/>
      <c r="E666" s="4" t="n"/>
      <c r="F666" s="4" t="n"/>
    </row>
    <row r="667" ht="15.75" customHeight="1" s="40">
      <c r="A667" s="4" t="n"/>
      <c r="B667" s="4" t="n"/>
      <c r="C667" s="4" t="n"/>
      <c r="D667" s="4" t="n"/>
      <c r="E667" s="4" t="n"/>
      <c r="F667" s="4" t="n"/>
    </row>
    <row r="668" ht="15.75" customHeight="1" s="40">
      <c r="A668" s="4" t="n"/>
      <c r="B668" s="4" t="n"/>
      <c r="C668" s="4" t="n"/>
      <c r="D668" s="4" t="n"/>
      <c r="E668" s="4" t="n"/>
      <c r="F668" s="4" t="n"/>
    </row>
    <row r="669" ht="15.75" customHeight="1" s="40">
      <c r="A669" s="4" t="n"/>
      <c r="B669" s="4" t="n"/>
      <c r="C669" s="4" t="n"/>
      <c r="D669" s="4" t="n"/>
      <c r="E669" s="4" t="n"/>
      <c r="F669" s="4" t="n"/>
    </row>
    <row r="670" ht="15.75" customHeight="1" s="40">
      <c r="A670" s="4" t="n"/>
      <c r="B670" s="4" t="n"/>
      <c r="C670" s="4" t="n"/>
      <c r="D670" s="4" t="n"/>
      <c r="E670" s="4" t="n"/>
      <c r="F670" s="4" t="n"/>
    </row>
    <row r="671" ht="15.75" customHeight="1" s="40">
      <c r="A671" s="4" t="n"/>
      <c r="B671" s="4" t="n"/>
      <c r="C671" s="4" t="n"/>
      <c r="D671" s="4" t="n"/>
      <c r="E671" s="4" t="n"/>
      <c r="F671" s="4" t="n"/>
    </row>
    <row r="672" ht="15.75" customHeight="1" s="40">
      <c r="A672" s="4" t="n"/>
      <c r="B672" s="4" t="n"/>
      <c r="C672" s="4" t="n"/>
      <c r="D672" s="4" t="n"/>
      <c r="E672" s="4" t="n"/>
      <c r="F672" s="4" t="n"/>
    </row>
    <row r="673" ht="15.75" customHeight="1" s="40">
      <c r="A673" s="4" t="n"/>
      <c r="B673" s="4" t="n"/>
      <c r="C673" s="4" t="n"/>
      <c r="D673" s="4" t="n"/>
      <c r="E673" s="4" t="n"/>
      <c r="F673" s="4" t="n"/>
    </row>
    <row r="674" ht="15.75" customHeight="1" s="40">
      <c r="A674" s="4" t="n"/>
      <c r="B674" s="4" t="n"/>
      <c r="C674" s="4" t="n"/>
      <c r="D674" s="4" t="n"/>
      <c r="E674" s="4" t="n"/>
      <c r="F674" s="4" t="n"/>
    </row>
    <row r="675" ht="15.75" customHeight="1" s="40">
      <c r="A675" s="4" t="n"/>
      <c r="B675" s="4" t="n"/>
      <c r="C675" s="4" t="n"/>
      <c r="D675" s="4" t="n"/>
      <c r="E675" s="4" t="n"/>
      <c r="F675" s="4" t="n"/>
    </row>
    <row r="676" ht="15.75" customHeight="1" s="40">
      <c r="A676" s="4" t="n"/>
      <c r="B676" s="4" t="n"/>
      <c r="C676" s="4" t="n"/>
      <c r="D676" s="4" t="n"/>
      <c r="E676" s="4" t="n"/>
      <c r="F676" s="4" t="n"/>
    </row>
    <row r="677" ht="15.75" customHeight="1" s="40">
      <c r="A677" s="4" t="n"/>
      <c r="B677" s="4" t="n"/>
      <c r="C677" s="4" t="n"/>
      <c r="D677" s="4" t="n"/>
      <c r="E677" s="4" t="n"/>
      <c r="F677" s="4" t="n"/>
    </row>
    <row r="678" ht="15.75" customHeight="1" s="40">
      <c r="A678" s="4" t="n"/>
      <c r="B678" s="4" t="n"/>
      <c r="C678" s="4" t="n"/>
      <c r="D678" s="4" t="n"/>
      <c r="E678" s="4" t="n"/>
      <c r="F678" s="4" t="n"/>
    </row>
    <row r="679" ht="15.75" customHeight="1" s="40">
      <c r="A679" s="4" t="n"/>
      <c r="B679" s="4" t="n"/>
      <c r="C679" s="4" t="n"/>
      <c r="D679" s="4" t="n"/>
      <c r="E679" s="4" t="n"/>
      <c r="F679" s="4" t="n"/>
    </row>
    <row r="680" ht="15.75" customHeight="1" s="40">
      <c r="A680" s="4" t="n"/>
      <c r="B680" s="4" t="n"/>
      <c r="C680" s="4" t="n"/>
      <c r="D680" s="4" t="n"/>
      <c r="E680" s="4" t="n"/>
      <c r="F680" s="4" t="n"/>
    </row>
    <row r="681" ht="15.75" customHeight="1" s="40">
      <c r="A681" s="4" t="n"/>
      <c r="B681" s="4" t="n"/>
      <c r="C681" s="4" t="n"/>
      <c r="D681" s="4" t="n"/>
      <c r="E681" s="4" t="n"/>
      <c r="F681" s="4" t="n"/>
    </row>
    <row r="682" ht="15.75" customHeight="1" s="40">
      <c r="A682" s="4" t="n"/>
      <c r="B682" s="4" t="n"/>
      <c r="C682" s="4" t="n"/>
      <c r="D682" s="4" t="n"/>
      <c r="E682" s="4" t="n"/>
      <c r="F682" s="4" t="n"/>
    </row>
    <row r="683" ht="15.75" customHeight="1" s="40">
      <c r="A683" s="4" t="n"/>
      <c r="B683" s="4" t="n"/>
      <c r="C683" s="4" t="n"/>
      <c r="D683" s="4" t="n"/>
      <c r="E683" s="4" t="n"/>
      <c r="F683" s="4" t="n"/>
    </row>
    <row r="684" ht="15.75" customHeight="1" s="40">
      <c r="A684" s="4" t="n"/>
      <c r="B684" s="4" t="n"/>
      <c r="C684" s="4" t="n"/>
      <c r="D684" s="4" t="n"/>
      <c r="E684" s="4" t="n"/>
      <c r="F684" s="4" t="n"/>
    </row>
    <row r="685" ht="15.75" customHeight="1" s="40">
      <c r="A685" s="4" t="n"/>
      <c r="B685" s="4" t="n"/>
      <c r="C685" s="4" t="n"/>
      <c r="D685" s="4" t="n"/>
      <c r="E685" s="4" t="n"/>
      <c r="F685" s="4" t="n"/>
    </row>
    <row r="686" ht="15.75" customHeight="1" s="40">
      <c r="A686" s="4" t="n"/>
      <c r="B686" s="4" t="n"/>
      <c r="C686" s="4" t="n"/>
      <c r="D686" s="4" t="n"/>
      <c r="E686" s="4" t="n"/>
      <c r="F686" s="4" t="n"/>
    </row>
    <row r="687" ht="15.75" customHeight="1" s="40">
      <c r="A687" s="4" t="n"/>
      <c r="B687" s="4" t="n"/>
      <c r="C687" s="4" t="n"/>
      <c r="D687" s="4" t="n"/>
      <c r="E687" s="4" t="n"/>
      <c r="F687" s="4" t="n"/>
    </row>
    <row r="688" ht="15.75" customHeight="1" s="40">
      <c r="A688" s="4" t="n"/>
      <c r="B688" s="4" t="n"/>
      <c r="C688" s="4" t="n"/>
      <c r="D688" s="4" t="n"/>
      <c r="E688" s="4" t="n"/>
      <c r="F688" s="4" t="n"/>
    </row>
    <row r="689" ht="15.75" customHeight="1" s="40">
      <c r="A689" s="4" t="n"/>
      <c r="B689" s="4" t="n"/>
      <c r="C689" s="4" t="n"/>
      <c r="D689" s="4" t="n"/>
      <c r="E689" s="4" t="n"/>
      <c r="F689" s="4" t="n"/>
    </row>
    <row r="690" ht="15.75" customHeight="1" s="40">
      <c r="A690" s="4" t="n"/>
      <c r="B690" s="4" t="n"/>
      <c r="C690" s="4" t="n"/>
      <c r="D690" s="4" t="n"/>
      <c r="E690" s="4" t="n"/>
      <c r="F690" s="4" t="n"/>
    </row>
    <row r="691" ht="15.75" customHeight="1" s="40">
      <c r="A691" s="4" t="n"/>
      <c r="B691" s="4" t="n"/>
      <c r="C691" s="4" t="n"/>
      <c r="D691" s="4" t="n"/>
      <c r="E691" s="4" t="n"/>
      <c r="F691" s="4" t="n"/>
    </row>
    <row r="692" ht="15.75" customHeight="1" s="40">
      <c r="A692" s="4" t="n"/>
      <c r="B692" s="4" t="n"/>
      <c r="C692" s="4" t="n"/>
      <c r="D692" s="4" t="n"/>
      <c r="E692" s="4" t="n"/>
      <c r="F692" s="4" t="n"/>
    </row>
    <row r="693" ht="15.75" customHeight="1" s="40">
      <c r="A693" s="4" t="n"/>
      <c r="B693" s="4" t="n"/>
      <c r="C693" s="4" t="n"/>
      <c r="D693" s="4" t="n"/>
      <c r="E693" s="4" t="n"/>
      <c r="F693" s="4" t="n"/>
    </row>
    <row r="694" ht="15.75" customHeight="1" s="40">
      <c r="A694" s="4" t="n"/>
      <c r="B694" s="4" t="n"/>
      <c r="C694" s="4" t="n"/>
      <c r="D694" s="4" t="n"/>
      <c r="E694" s="4" t="n"/>
      <c r="F694" s="4" t="n"/>
    </row>
    <row r="695" ht="15.75" customHeight="1" s="40">
      <c r="A695" s="4" t="n"/>
      <c r="B695" s="4" t="n"/>
      <c r="C695" s="4" t="n"/>
      <c r="D695" s="4" t="n"/>
      <c r="E695" s="4" t="n"/>
      <c r="F695" s="4" t="n"/>
    </row>
    <row r="696" ht="15.75" customHeight="1" s="40">
      <c r="A696" s="4" t="n"/>
      <c r="B696" s="4" t="n"/>
      <c r="C696" s="4" t="n"/>
      <c r="D696" s="4" t="n"/>
      <c r="E696" s="4" t="n"/>
      <c r="F696" s="4" t="n"/>
    </row>
    <row r="697" ht="15.75" customHeight="1" s="40">
      <c r="A697" s="4" t="n"/>
      <c r="B697" s="4" t="n"/>
      <c r="C697" s="4" t="n"/>
      <c r="D697" s="4" t="n"/>
      <c r="E697" s="4" t="n"/>
      <c r="F697" s="4" t="n"/>
    </row>
    <row r="698" ht="15.75" customHeight="1" s="40">
      <c r="A698" s="4" t="n"/>
      <c r="B698" s="4" t="n"/>
      <c r="C698" s="4" t="n"/>
      <c r="D698" s="4" t="n"/>
      <c r="E698" s="4" t="n"/>
      <c r="F698" s="4" t="n"/>
    </row>
    <row r="699" ht="15.75" customHeight="1" s="40">
      <c r="A699" s="4" t="n"/>
      <c r="B699" s="4" t="n"/>
      <c r="C699" s="4" t="n"/>
      <c r="D699" s="4" t="n"/>
      <c r="E699" s="4" t="n"/>
      <c r="F699" s="4" t="n"/>
    </row>
    <row r="700" ht="15.75" customHeight="1" s="40">
      <c r="A700" s="4" t="n"/>
      <c r="B700" s="4" t="n"/>
      <c r="C700" s="4" t="n"/>
      <c r="D700" s="4" t="n"/>
      <c r="E700" s="4" t="n"/>
      <c r="F700" s="4" t="n"/>
    </row>
    <row r="701" ht="15.75" customHeight="1" s="40">
      <c r="A701" s="4" t="n"/>
      <c r="B701" s="4" t="n"/>
      <c r="C701" s="4" t="n"/>
      <c r="D701" s="4" t="n"/>
      <c r="E701" s="4" t="n"/>
      <c r="F701" s="4" t="n"/>
    </row>
    <row r="702" ht="15.75" customHeight="1" s="40">
      <c r="A702" s="4" t="n"/>
      <c r="B702" s="4" t="n"/>
      <c r="C702" s="4" t="n"/>
      <c r="D702" s="4" t="n"/>
      <c r="E702" s="4" t="n"/>
      <c r="F702" s="4" t="n"/>
    </row>
    <row r="703" ht="15.75" customHeight="1" s="40">
      <c r="A703" s="4" t="n"/>
      <c r="B703" s="4" t="n"/>
      <c r="C703" s="4" t="n"/>
      <c r="D703" s="4" t="n"/>
      <c r="E703" s="4" t="n"/>
      <c r="F703" s="4" t="n"/>
    </row>
    <row r="704" ht="15.75" customHeight="1" s="40">
      <c r="A704" s="4" t="n"/>
      <c r="B704" s="4" t="n"/>
      <c r="C704" s="4" t="n"/>
      <c r="D704" s="4" t="n"/>
      <c r="E704" s="4" t="n"/>
      <c r="F704" s="4" t="n"/>
    </row>
    <row r="705" ht="15.75" customHeight="1" s="40">
      <c r="A705" s="4" t="n"/>
      <c r="B705" s="4" t="n"/>
      <c r="C705" s="4" t="n"/>
      <c r="D705" s="4" t="n"/>
      <c r="E705" s="4" t="n"/>
      <c r="F705" s="4" t="n"/>
    </row>
    <row r="706" ht="15.75" customHeight="1" s="40">
      <c r="A706" s="4" t="n"/>
      <c r="B706" s="4" t="n"/>
      <c r="C706" s="4" t="n"/>
      <c r="D706" s="4" t="n"/>
      <c r="E706" s="4" t="n"/>
      <c r="F706" s="4" t="n"/>
    </row>
    <row r="707" ht="15.75" customHeight="1" s="40">
      <c r="A707" s="4" t="n"/>
      <c r="B707" s="4" t="n"/>
      <c r="C707" s="4" t="n"/>
      <c r="D707" s="4" t="n"/>
      <c r="E707" s="4" t="n"/>
      <c r="F707" s="4" t="n"/>
    </row>
    <row r="708" ht="15.75" customHeight="1" s="40">
      <c r="A708" s="4" t="n"/>
      <c r="B708" s="4" t="n"/>
      <c r="C708" s="4" t="n"/>
      <c r="D708" s="4" t="n"/>
      <c r="E708" s="4" t="n"/>
      <c r="F708" s="4" t="n"/>
    </row>
    <row r="709" ht="15.75" customHeight="1" s="40">
      <c r="A709" s="4" t="n"/>
      <c r="B709" s="4" t="n"/>
      <c r="C709" s="4" t="n"/>
      <c r="D709" s="4" t="n"/>
      <c r="E709" s="4" t="n"/>
      <c r="F709" s="4" t="n"/>
    </row>
    <row r="710" ht="15.75" customHeight="1" s="40">
      <c r="A710" s="4" t="n"/>
      <c r="B710" s="4" t="n"/>
      <c r="C710" s="4" t="n"/>
      <c r="D710" s="4" t="n"/>
      <c r="E710" s="4" t="n"/>
      <c r="F710" s="4" t="n"/>
    </row>
    <row r="711" ht="15.75" customHeight="1" s="40">
      <c r="A711" s="4" t="n"/>
      <c r="B711" s="4" t="n"/>
      <c r="C711" s="4" t="n"/>
      <c r="D711" s="4" t="n"/>
      <c r="E711" s="4" t="n"/>
      <c r="F711" s="4" t="n"/>
    </row>
    <row r="712" ht="15.75" customHeight="1" s="40">
      <c r="A712" s="4" t="n"/>
      <c r="B712" s="4" t="n"/>
      <c r="C712" s="4" t="n"/>
      <c r="D712" s="4" t="n"/>
      <c r="E712" s="4" t="n"/>
      <c r="F712" s="4" t="n"/>
    </row>
    <row r="713" ht="15.75" customHeight="1" s="40">
      <c r="A713" s="4" t="n"/>
      <c r="B713" s="4" t="n"/>
      <c r="C713" s="4" t="n"/>
      <c r="D713" s="4" t="n"/>
      <c r="E713" s="4" t="n"/>
      <c r="F713" s="4" t="n"/>
    </row>
    <row r="714" ht="15.75" customHeight="1" s="40">
      <c r="A714" s="4" t="n"/>
      <c r="B714" s="4" t="n"/>
      <c r="C714" s="4" t="n"/>
      <c r="D714" s="4" t="n"/>
      <c r="E714" s="4" t="n"/>
      <c r="F714" s="4" t="n"/>
    </row>
    <row r="715" ht="15.75" customHeight="1" s="40">
      <c r="A715" s="4" t="n"/>
      <c r="B715" s="4" t="n"/>
      <c r="C715" s="4" t="n"/>
      <c r="D715" s="4" t="n"/>
      <c r="E715" s="4" t="n"/>
      <c r="F715" s="4" t="n"/>
    </row>
    <row r="716" ht="15.75" customHeight="1" s="40">
      <c r="A716" s="4" t="n"/>
      <c r="B716" s="4" t="n"/>
      <c r="C716" s="4" t="n"/>
      <c r="D716" s="4" t="n"/>
      <c r="E716" s="4" t="n"/>
      <c r="F716" s="4" t="n"/>
    </row>
    <row r="717" ht="15.75" customHeight="1" s="40">
      <c r="A717" s="4" t="n"/>
      <c r="B717" s="4" t="n"/>
      <c r="C717" s="4" t="n"/>
      <c r="D717" s="4" t="n"/>
      <c r="E717" s="4" t="n"/>
      <c r="F717" s="4" t="n"/>
    </row>
    <row r="718" ht="15.75" customHeight="1" s="40">
      <c r="A718" s="4" t="n"/>
      <c r="B718" s="4" t="n"/>
      <c r="C718" s="4" t="n"/>
      <c r="D718" s="4" t="n"/>
      <c r="E718" s="4" t="n"/>
      <c r="F718" s="4" t="n"/>
    </row>
    <row r="719" ht="15.75" customHeight="1" s="40">
      <c r="A719" s="4" t="n"/>
      <c r="B719" s="4" t="n"/>
      <c r="C719" s="4" t="n"/>
      <c r="D719" s="4" t="n"/>
      <c r="E719" s="4" t="n"/>
      <c r="F719" s="4" t="n"/>
    </row>
    <row r="720" ht="15.75" customHeight="1" s="40">
      <c r="A720" s="4" t="n"/>
      <c r="B720" s="4" t="n"/>
      <c r="C720" s="4" t="n"/>
      <c r="D720" s="4" t="n"/>
      <c r="E720" s="4" t="n"/>
      <c r="F720" s="4" t="n"/>
    </row>
    <row r="721" ht="15.75" customHeight="1" s="40">
      <c r="A721" s="4" t="n"/>
      <c r="B721" s="4" t="n"/>
      <c r="C721" s="4" t="n"/>
      <c r="D721" s="4" t="n"/>
      <c r="E721" s="4" t="n"/>
      <c r="F721" s="4" t="n"/>
    </row>
    <row r="722" ht="15.75" customHeight="1" s="40">
      <c r="A722" s="4" t="n"/>
      <c r="B722" s="4" t="n"/>
      <c r="C722" s="4" t="n"/>
      <c r="D722" s="4" t="n"/>
      <c r="E722" s="4" t="n"/>
      <c r="F722" s="4" t="n"/>
    </row>
    <row r="723" ht="15.75" customHeight="1" s="40">
      <c r="A723" s="4" t="n"/>
      <c r="B723" s="4" t="n"/>
      <c r="C723" s="4" t="n"/>
      <c r="D723" s="4" t="n"/>
      <c r="E723" s="4" t="n"/>
      <c r="F723" s="4" t="n"/>
    </row>
    <row r="724" ht="15.75" customHeight="1" s="40">
      <c r="A724" s="4" t="n"/>
      <c r="B724" s="4" t="n"/>
      <c r="C724" s="4" t="n"/>
      <c r="D724" s="4" t="n"/>
      <c r="E724" s="4" t="n"/>
      <c r="F724" s="4" t="n"/>
    </row>
    <row r="725" ht="15.75" customHeight="1" s="40">
      <c r="A725" s="4" t="n"/>
      <c r="B725" s="4" t="n"/>
      <c r="C725" s="4" t="n"/>
      <c r="D725" s="4" t="n"/>
      <c r="E725" s="4" t="n"/>
      <c r="F725" s="4" t="n"/>
    </row>
    <row r="726" ht="15.75" customHeight="1" s="40">
      <c r="A726" s="4" t="n"/>
      <c r="B726" s="4" t="n"/>
      <c r="C726" s="4" t="n"/>
      <c r="D726" s="4" t="n"/>
      <c r="E726" s="4" t="n"/>
      <c r="F726" s="4" t="n"/>
    </row>
    <row r="727" ht="15.75" customHeight="1" s="40">
      <c r="A727" s="4" t="n"/>
      <c r="B727" s="4" t="n"/>
      <c r="C727" s="4" t="n"/>
      <c r="D727" s="4" t="n"/>
      <c r="E727" s="4" t="n"/>
      <c r="F727" s="4" t="n"/>
    </row>
    <row r="728" ht="15.75" customHeight="1" s="40">
      <c r="A728" s="4" t="n"/>
      <c r="B728" s="4" t="n"/>
      <c r="C728" s="4" t="n"/>
      <c r="D728" s="4" t="n"/>
      <c r="E728" s="4" t="n"/>
      <c r="F728" s="4" t="n"/>
    </row>
    <row r="729" ht="15.75" customHeight="1" s="40">
      <c r="A729" s="4" t="n"/>
      <c r="B729" s="4" t="n"/>
      <c r="C729" s="4" t="n"/>
      <c r="D729" s="4" t="n"/>
      <c r="E729" s="4" t="n"/>
      <c r="F729" s="4" t="n"/>
    </row>
    <row r="730" ht="15.75" customHeight="1" s="40">
      <c r="A730" s="4" t="n"/>
      <c r="B730" s="4" t="n"/>
      <c r="C730" s="4" t="n"/>
      <c r="D730" s="4" t="n"/>
      <c r="E730" s="4" t="n"/>
      <c r="F730" s="4" t="n"/>
    </row>
    <row r="731" ht="15.75" customHeight="1" s="40">
      <c r="A731" s="4" t="n"/>
      <c r="B731" s="4" t="n"/>
      <c r="C731" s="4" t="n"/>
      <c r="D731" s="4" t="n"/>
      <c r="E731" s="4" t="n"/>
      <c r="F731" s="4" t="n"/>
    </row>
    <row r="732" ht="15.75" customHeight="1" s="40">
      <c r="A732" s="4" t="n"/>
      <c r="B732" s="4" t="n"/>
      <c r="C732" s="4" t="n"/>
      <c r="D732" s="4" t="n"/>
      <c r="E732" s="4" t="n"/>
      <c r="F732" s="4" t="n"/>
    </row>
    <row r="733" ht="15.75" customHeight="1" s="40">
      <c r="A733" s="4" t="n"/>
      <c r="B733" s="4" t="n"/>
      <c r="C733" s="4" t="n"/>
      <c r="D733" s="4" t="n"/>
      <c r="E733" s="4" t="n"/>
      <c r="F733" s="4" t="n"/>
    </row>
    <row r="734" ht="15.75" customHeight="1" s="40">
      <c r="A734" s="4" t="n"/>
      <c r="B734" s="4" t="n"/>
      <c r="C734" s="4" t="n"/>
      <c r="D734" s="4" t="n"/>
      <c r="E734" s="4" t="n"/>
      <c r="F734" s="4" t="n"/>
    </row>
    <row r="735" ht="15.75" customHeight="1" s="40">
      <c r="A735" s="4" t="n"/>
      <c r="B735" s="4" t="n"/>
      <c r="C735" s="4" t="n"/>
      <c r="D735" s="4" t="n"/>
      <c r="E735" s="4" t="n"/>
      <c r="F735" s="4" t="n"/>
    </row>
    <row r="736" ht="15.75" customHeight="1" s="40">
      <c r="A736" s="4" t="n"/>
      <c r="B736" s="4" t="n"/>
      <c r="C736" s="4" t="n"/>
      <c r="D736" s="4" t="n"/>
      <c r="E736" s="4" t="n"/>
      <c r="F736" s="4" t="n"/>
    </row>
    <row r="737" ht="15.75" customHeight="1" s="40">
      <c r="A737" s="4" t="n"/>
      <c r="B737" s="4" t="n"/>
      <c r="C737" s="4" t="n"/>
      <c r="D737" s="4" t="n"/>
      <c r="E737" s="4" t="n"/>
      <c r="F737" s="4" t="n"/>
    </row>
    <row r="738" ht="15.75" customHeight="1" s="40">
      <c r="A738" s="4" t="n"/>
      <c r="B738" s="4" t="n"/>
      <c r="C738" s="4" t="n"/>
      <c r="D738" s="4" t="n"/>
      <c r="E738" s="4" t="n"/>
      <c r="F738" s="4" t="n"/>
    </row>
    <row r="739" ht="15.75" customHeight="1" s="40">
      <c r="A739" s="4" t="n"/>
      <c r="B739" s="4" t="n"/>
      <c r="C739" s="4" t="n"/>
      <c r="D739" s="4" t="n"/>
      <c r="E739" s="4" t="n"/>
      <c r="F739" s="4" t="n"/>
    </row>
    <row r="740" ht="15.75" customHeight="1" s="40">
      <c r="A740" s="4" t="n"/>
      <c r="B740" s="4" t="n"/>
      <c r="C740" s="4" t="n"/>
      <c r="D740" s="4" t="n"/>
      <c r="E740" s="4" t="n"/>
      <c r="F740" s="4" t="n"/>
    </row>
    <row r="741" ht="15.75" customHeight="1" s="40">
      <c r="A741" s="4" t="n"/>
      <c r="B741" s="4" t="n"/>
      <c r="C741" s="4" t="n"/>
      <c r="D741" s="4" t="n"/>
      <c r="E741" s="4" t="n"/>
      <c r="F741" s="4" t="n"/>
    </row>
    <row r="742" ht="15.75" customHeight="1" s="40">
      <c r="A742" s="4" t="n"/>
      <c r="B742" s="4" t="n"/>
      <c r="C742" s="4" t="n"/>
      <c r="D742" s="4" t="n"/>
      <c r="E742" s="4" t="n"/>
      <c r="F742" s="4" t="n"/>
    </row>
    <row r="743" ht="15.75" customHeight="1" s="40">
      <c r="A743" s="4" t="n"/>
      <c r="B743" s="4" t="n"/>
      <c r="C743" s="4" t="n"/>
      <c r="D743" s="4" t="n"/>
      <c r="E743" s="4" t="n"/>
      <c r="F743" s="4" t="n"/>
    </row>
    <row r="744" ht="15.75" customHeight="1" s="40">
      <c r="A744" s="4" t="n"/>
      <c r="B744" s="4" t="n"/>
      <c r="C744" s="4" t="n"/>
      <c r="D744" s="4" t="n"/>
      <c r="E744" s="4" t="n"/>
      <c r="F744" s="4" t="n"/>
    </row>
    <row r="745" ht="15.75" customHeight="1" s="40">
      <c r="A745" s="4" t="n"/>
      <c r="B745" s="4" t="n"/>
      <c r="C745" s="4" t="n"/>
      <c r="D745" s="4" t="n"/>
      <c r="E745" s="4" t="n"/>
      <c r="F745" s="4" t="n"/>
    </row>
    <row r="746" ht="15.75" customHeight="1" s="40">
      <c r="A746" s="4" t="n"/>
      <c r="B746" s="4" t="n"/>
      <c r="C746" s="4" t="n"/>
      <c r="D746" s="4" t="n"/>
      <c r="E746" s="4" t="n"/>
      <c r="F746" s="4" t="n"/>
    </row>
    <row r="747" ht="15.75" customHeight="1" s="40">
      <c r="A747" s="4" t="n"/>
      <c r="B747" s="4" t="n"/>
      <c r="C747" s="4" t="n"/>
      <c r="D747" s="4" t="n"/>
      <c r="E747" s="4" t="n"/>
      <c r="F747" s="4" t="n"/>
    </row>
    <row r="748" ht="15.75" customHeight="1" s="40">
      <c r="A748" s="4" t="n"/>
      <c r="B748" s="4" t="n"/>
      <c r="C748" s="4" t="n"/>
      <c r="D748" s="4" t="n"/>
      <c r="E748" s="4" t="n"/>
      <c r="F748" s="4" t="n"/>
    </row>
    <row r="749" ht="15.75" customHeight="1" s="40">
      <c r="A749" s="4" t="n"/>
      <c r="B749" s="4" t="n"/>
      <c r="C749" s="4" t="n"/>
      <c r="D749" s="4" t="n"/>
      <c r="E749" s="4" t="n"/>
      <c r="F749" s="4" t="n"/>
    </row>
    <row r="750" ht="15.75" customHeight="1" s="40">
      <c r="A750" s="4" t="n"/>
      <c r="B750" s="4" t="n"/>
      <c r="C750" s="4" t="n"/>
      <c r="D750" s="4" t="n"/>
      <c r="E750" s="4" t="n"/>
      <c r="F750" s="4" t="n"/>
    </row>
    <row r="751" ht="15.75" customHeight="1" s="40">
      <c r="A751" s="4" t="n"/>
      <c r="B751" s="4" t="n"/>
      <c r="C751" s="4" t="n"/>
      <c r="D751" s="4" t="n"/>
      <c r="E751" s="4" t="n"/>
      <c r="F751" s="4" t="n"/>
    </row>
    <row r="752" ht="15.75" customHeight="1" s="40">
      <c r="A752" s="4" t="n"/>
      <c r="B752" s="4" t="n"/>
      <c r="C752" s="4" t="n"/>
      <c r="D752" s="4" t="n"/>
      <c r="E752" s="4" t="n"/>
      <c r="F752" s="4" t="n"/>
    </row>
    <row r="753" ht="15.75" customHeight="1" s="40">
      <c r="A753" s="4" t="n"/>
      <c r="B753" s="4" t="n"/>
      <c r="C753" s="4" t="n"/>
      <c r="D753" s="4" t="n"/>
      <c r="E753" s="4" t="n"/>
      <c r="F753" s="4" t="n"/>
    </row>
    <row r="754" ht="15.75" customHeight="1" s="40">
      <c r="A754" s="4" t="n"/>
      <c r="B754" s="4" t="n"/>
      <c r="C754" s="4" t="n"/>
      <c r="D754" s="4" t="n"/>
      <c r="E754" s="4" t="n"/>
      <c r="F754" s="4" t="n"/>
    </row>
    <row r="755" ht="15.75" customHeight="1" s="40">
      <c r="A755" s="4" t="n"/>
      <c r="B755" s="4" t="n"/>
      <c r="C755" s="4" t="n"/>
      <c r="D755" s="4" t="n"/>
      <c r="E755" s="4" t="n"/>
      <c r="F755" s="4" t="n"/>
    </row>
    <row r="756" ht="15.75" customHeight="1" s="40">
      <c r="A756" s="4" t="n"/>
      <c r="B756" s="4" t="n"/>
      <c r="C756" s="4" t="n"/>
      <c r="D756" s="4" t="n"/>
      <c r="E756" s="4" t="n"/>
      <c r="F756" s="4" t="n"/>
    </row>
    <row r="757" ht="15.75" customHeight="1" s="40">
      <c r="A757" s="4" t="n"/>
      <c r="B757" s="4" t="n"/>
      <c r="C757" s="4" t="n"/>
      <c r="D757" s="4" t="n"/>
      <c r="E757" s="4" t="n"/>
      <c r="F757" s="4" t="n"/>
    </row>
    <row r="758" ht="15.75" customHeight="1" s="40">
      <c r="A758" s="4" t="n"/>
      <c r="B758" s="4" t="n"/>
      <c r="C758" s="4" t="n"/>
      <c r="D758" s="4" t="n"/>
      <c r="E758" s="4" t="n"/>
      <c r="F758" s="4" t="n"/>
    </row>
    <row r="759" ht="15.75" customHeight="1" s="40">
      <c r="A759" s="4" t="n"/>
      <c r="B759" s="4" t="n"/>
      <c r="C759" s="4" t="n"/>
      <c r="D759" s="4" t="n"/>
      <c r="E759" s="4" t="n"/>
      <c r="F759" s="4" t="n"/>
    </row>
    <row r="760" ht="15.75" customHeight="1" s="40">
      <c r="A760" s="4" t="n"/>
      <c r="B760" s="4" t="n"/>
      <c r="C760" s="4" t="n"/>
      <c r="D760" s="4" t="n"/>
      <c r="E760" s="4" t="n"/>
      <c r="F760" s="4" t="n"/>
    </row>
    <row r="761" ht="15.75" customHeight="1" s="40">
      <c r="A761" s="4" t="n"/>
      <c r="B761" s="4" t="n"/>
      <c r="C761" s="4" t="n"/>
      <c r="D761" s="4" t="n"/>
      <c r="E761" s="4" t="n"/>
      <c r="F761" s="4" t="n"/>
    </row>
    <row r="762" ht="15.75" customHeight="1" s="40">
      <c r="A762" s="4" t="n"/>
      <c r="B762" s="4" t="n"/>
      <c r="C762" s="4" t="n"/>
      <c r="D762" s="4" t="n"/>
      <c r="E762" s="4" t="n"/>
      <c r="F762" s="4" t="n"/>
    </row>
    <row r="763" ht="15.75" customHeight="1" s="40">
      <c r="A763" s="4" t="n"/>
      <c r="B763" s="4" t="n"/>
      <c r="C763" s="4" t="n"/>
      <c r="D763" s="4" t="n"/>
      <c r="E763" s="4" t="n"/>
      <c r="F763" s="4" t="n"/>
    </row>
    <row r="764" ht="15.75" customHeight="1" s="40">
      <c r="A764" s="4" t="n"/>
      <c r="B764" s="4" t="n"/>
      <c r="C764" s="4" t="n"/>
      <c r="D764" s="4" t="n"/>
      <c r="E764" s="4" t="n"/>
      <c r="F764" s="4" t="n"/>
    </row>
    <row r="765" ht="15.75" customHeight="1" s="40">
      <c r="A765" s="4" t="n"/>
      <c r="B765" s="4" t="n"/>
      <c r="C765" s="4" t="n"/>
      <c r="D765" s="4" t="n"/>
      <c r="E765" s="4" t="n"/>
      <c r="F765" s="4" t="n"/>
    </row>
    <row r="766" ht="15.75" customHeight="1" s="40">
      <c r="A766" s="4" t="n"/>
      <c r="B766" s="4" t="n"/>
      <c r="C766" s="4" t="n"/>
      <c r="D766" s="4" t="n"/>
      <c r="E766" s="4" t="n"/>
      <c r="F766" s="4" t="n"/>
    </row>
    <row r="767" ht="15.75" customHeight="1" s="40">
      <c r="A767" s="4" t="n"/>
      <c r="B767" s="4" t="n"/>
      <c r="C767" s="4" t="n"/>
      <c r="D767" s="4" t="n"/>
      <c r="E767" s="4" t="n"/>
      <c r="F767" s="4" t="n"/>
    </row>
    <row r="768" ht="15.75" customHeight="1" s="40">
      <c r="A768" s="4" t="n"/>
      <c r="B768" s="4" t="n"/>
      <c r="C768" s="4" t="n"/>
      <c r="D768" s="4" t="n"/>
      <c r="E768" s="4" t="n"/>
      <c r="F768" s="4" t="n"/>
    </row>
    <row r="769" ht="15.75" customHeight="1" s="40">
      <c r="A769" s="4" t="n"/>
      <c r="B769" s="4" t="n"/>
      <c r="C769" s="4" t="n"/>
      <c r="D769" s="4" t="n"/>
      <c r="E769" s="4" t="n"/>
      <c r="F769" s="4" t="n"/>
    </row>
    <row r="770" ht="15.75" customHeight="1" s="40">
      <c r="A770" s="4" t="n"/>
      <c r="B770" s="4" t="n"/>
      <c r="C770" s="4" t="n"/>
      <c r="D770" s="4" t="n"/>
      <c r="E770" s="4" t="n"/>
      <c r="F770" s="4" t="n"/>
    </row>
    <row r="771" ht="15.75" customHeight="1" s="40">
      <c r="A771" s="4" t="n"/>
      <c r="B771" s="4" t="n"/>
      <c r="C771" s="4" t="n"/>
      <c r="D771" s="4" t="n"/>
      <c r="E771" s="4" t="n"/>
      <c r="F771" s="4" t="n"/>
    </row>
    <row r="772" ht="15.75" customHeight="1" s="40">
      <c r="A772" s="4" t="n"/>
      <c r="B772" s="4" t="n"/>
      <c r="C772" s="4" t="n"/>
      <c r="D772" s="4" t="n"/>
      <c r="E772" s="4" t="n"/>
      <c r="F772" s="4" t="n"/>
    </row>
    <row r="773" ht="15.75" customHeight="1" s="40">
      <c r="A773" s="4" t="n"/>
      <c r="B773" s="4" t="n"/>
      <c r="C773" s="4" t="n"/>
      <c r="D773" s="4" t="n"/>
      <c r="E773" s="4" t="n"/>
      <c r="F773" s="4" t="n"/>
    </row>
    <row r="774" ht="15.75" customHeight="1" s="40">
      <c r="A774" s="4" t="n"/>
      <c r="B774" s="4" t="n"/>
      <c r="C774" s="4" t="n"/>
      <c r="D774" s="4" t="n"/>
      <c r="E774" s="4" t="n"/>
      <c r="F774" s="4" t="n"/>
    </row>
    <row r="775" ht="15.75" customHeight="1" s="40">
      <c r="A775" s="4" t="n"/>
      <c r="B775" s="4" t="n"/>
      <c r="C775" s="4" t="n"/>
      <c r="D775" s="4" t="n"/>
      <c r="E775" s="4" t="n"/>
      <c r="F775" s="4" t="n"/>
    </row>
    <row r="776" ht="15.75" customHeight="1" s="40">
      <c r="A776" s="4" t="n"/>
      <c r="B776" s="4" t="n"/>
      <c r="C776" s="4" t="n"/>
      <c r="D776" s="4" t="n"/>
      <c r="E776" s="4" t="n"/>
      <c r="F776" s="4" t="n"/>
    </row>
    <row r="777" ht="15.75" customHeight="1" s="40">
      <c r="A777" s="4" t="n"/>
      <c r="B777" s="4" t="n"/>
      <c r="C777" s="4" t="n"/>
      <c r="D777" s="4" t="n"/>
      <c r="E777" s="4" t="n"/>
      <c r="F777" s="4" t="n"/>
    </row>
    <row r="778" ht="15.75" customHeight="1" s="40">
      <c r="A778" s="4" t="n"/>
      <c r="B778" s="4" t="n"/>
      <c r="C778" s="4" t="n"/>
      <c r="D778" s="4" t="n"/>
      <c r="E778" s="4" t="n"/>
      <c r="F778" s="4" t="n"/>
    </row>
    <row r="779" ht="15.75" customHeight="1" s="40">
      <c r="A779" s="4" t="n"/>
      <c r="B779" s="4" t="n"/>
      <c r="C779" s="4" t="n"/>
      <c r="D779" s="4" t="n"/>
      <c r="E779" s="4" t="n"/>
      <c r="F779" s="4" t="n"/>
    </row>
    <row r="780" ht="15.75" customHeight="1" s="40">
      <c r="A780" s="4" t="n"/>
      <c r="B780" s="4" t="n"/>
      <c r="C780" s="4" t="n"/>
      <c r="D780" s="4" t="n"/>
      <c r="E780" s="4" t="n"/>
      <c r="F780" s="4" t="n"/>
    </row>
    <row r="781" ht="15.75" customHeight="1" s="40">
      <c r="A781" s="4" t="n"/>
      <c r="B781" s="4" t="n"/>
      <c r="C781" s="4" t="n"/>
      <c r="D781" s="4" t="n"/>
      <c r="E781" s="4" t="n"/>
      <c r="F781" s="4" t="n"/>
    </row>
    <row r="782" ht="15.75" customHeight="1" s="40">
      <c r="A782" s="4" t="n"/>
      <c r="B782" s="4" t="n"/>
      <c r="C782" s="4" t="n"/>
      <c r="D782" s="4" t="n"/>
      <c r="E782" s="4" t="n"/>
      <c r="F782" s="4" t="n"/>
    </row>
    <row r="783" ht="15.75" customHeight="1" s="40">
      <c r="A783" s="4" t="n"/>
      <c r="B783" s="4" t="n"/>
      <c r="C783" s="4" t="n"/>
      <c r="D783" s="4" t="n"/>
      <c r="E783" s="4" t="n"/>
      <c r="F783" s="4" t="n"/>
    </row>
    <row r="784" ht="15.75" customHeight="1" s="40">
      <c r="A784" s="4" t="n"/>
      <c r="B784" s="4" t="n"/>
      <c r="C784" s="4" t="n"/>
      <c r="D784" s="4" t="n"/>
      <c r="E784" s="4" t="n"/>
      <c r="F784" s="4" t="n"/>
    </row>
    <row r="785" ht="15.75" customHeight="1" s="40">
      <c r="A785" s="4" t="n"/>
      <c r="B785" s="4" t="n"/>
      <c r="C785" s="4" t="n"/>
      <c r="D785" s="4" t="n"/>
      <c r="E785" s="4" t="n"/>
      <c r="F785" s="4" t="n"/>
    </row>
    <row r="786" ht="15.75" customHeight="1" s="40">
      <c r="A786" s="4" t="n"/>
      <c r="B786" s="4" t="n"/>
      <c r="C786" s="4" t="n"/>
      <c r="D786" s="4" t="n"/>
      <c r="E786" s="4" t="n"/>
      <c r="F786" s="4" t="n"/>
    </row>
    <row r="787" ht="15.75" customHeight="1" s="40">
      <c r="A787" s="4" t="n"/>
      <c r="B787" s="4" t="n"/>
      <c r="C787" s="4" t="n"/>
      <c r="D787" s="4" t="n"/>
      <c r="E787" s="4" t="n"/>
      <c r="F787" s="4" t="n"/>
    </row>
    <row r="788" ht="15.75" customHeight="1" s="40">
      <c r="A788" s="4" t="n"/>
      <c r="B788" s="4" t="n"/>
      <c r="C788" s="4" t="n"/>
      <c r="D788" s="4" t="n"/>
      <c r="E788" s="4" t="n"/>
      <c r="F788" s="4" t="n"/>
    </row>
    <row r="789" ht="15.75" customHeight="1" s="40">
      <c r="A789" s="4" t="n"/>
      <c r="B789" s="4" t="n"/>
      <c r="C789" s="4" t="n"/>
      <c r="D789" s="4" t="n"/>
      <c r="E789" s="4" t="n"/>
      <c r="F789" s="4" t="n"/>
    </row>
    <row r="790" ht="15.75" customHeight="1" s="40">
      <c r="A790" s="4" t="n"/>
      <c r="B790" s="4" t="n"/>
      <c r="C790" s="4" t="n"/>
      <c r="D790" s="4" t="n"/>
      <c r="E790" s="4" t="n"/>
      <c r="F790" s="4" t="n"/>
    </row>
    <row r="791" ht="15.75" customHeight="1" s="40">
      <c r="A791" s="4" t="n"/>
      <c r="B791" s="4" t="n"/>
      <c r="C791" s="4" t="n"/>
      <c r="D791" s="4" t="n"/>
      <c r="E791" s="4" t="n"/>
      <c r="F791" s="4" t="n"/>
    </row>
    <row r="792" ht="15.75" customHeight="1" s="40">
      <c r="A792" s="4" t="n"/>
      <c r="B792" s="4" t="n"/>
      <c r="C792" s="4" t="n"/>
      <c r="D792" s="4" t="n"/>
      <c r="E792" s="4" t="n"/>
      <c r="F792" s="4" t="n"/>
    </row>
    <row r="793" ht="15.75" customHeight="1" s="40">
      <c r="A793" s="4" t="n"/>
      <c r="B793" s="4" t="n"/>
      <c r="C793" s="4" t="n"/>
      <c r="D793" s="4" t="n"/>
      <c r="E793" s="4" t="n"/>
      <c r="F793" s="4" t="n"/>
    </row>
    <row r="794" ht="15.75" customHeight="1" s="40">
      <c r="A794" s="4" t="n"/>
      <c r="B794" s="4" t="n"/>
      <c r="C794" s="4" t="n"/>
      <c r="D794" s="4" t="n"/>
      <c r="E794" s="4" t="n"/>
      <c r="F794" s="4" t="n"/>
    </row>
    <row r="795" ht="15.75" customHeight="1" s="40">
      <c r="A795" s="4" t="n"/>
      <c r="B795" s="4" t="n"/>
      <c r="C795" s="4" t="n"/>
      <c r="D795" s="4" t="n"/>
      <c r="E795" s="4" t="n"/>
      <c r="F795" s="4" t="n"/>
    </row>
    <row r="796" ht="15.75" customHeight="1" s="40">
      <c r="A796" s="4" t="n"/>
      <c r="B796" s="4" t="n"/>
      <c r="C796" s="4" t="n"/>
      <c r="D796" s="4" t="n"/>
      <c r="E796" s="4" t="n"/>
      <c r="F796" s="4" t="n"/>
    </row>
    <row r="797" ht="15.75" customHeight="1" s="40">
      <c r="A797" s="4" t="n"/>
      <c r="B797" s="4" t="n"/>
      <c r="C797" s="4" t="n"/>
      <c r="D797" s="4" t="n"/>
      <c r="E797" s="4" t="n"/>
      <c r="F797" s="4" t="n"/>
    </row>
    <row r="798" ht="15.75" customHeight="1" s="40">
      <c r="A798" s="4" t="n"/>
      <c r="B798" s="4" t="n"/>
      <c r="C798" s="4" t="n"/>
      <c r="D798" s="4" t="n"/>
      <c r="E798" s="4" t="n"/>
      <c r="F798" s="4" t="n"/>
    </row>
    <row r="799" ht="15.75" customHeight="1" s="40">
      <c r="A799" s="4" t="n"/>
      <c r="B799" s="4" t="n"/>
      <c r="C799" s="4" t="n"/>
      <c r="D799" s="4" t="n"/>
      <c r="E799" s="4" t="n"/>
      <c r="F799" s="4" t="n"/>
    </row>
    <row r="800" ht="15.75" customHeight="1" s="40">
      <c r="A800" s="4" t="n"/>
      <c r="B800" s="4" t="n"/>
      <c r="C800" s="4" t="n"/>
      <c r="D800" s="4" t="n"/>
      <c r="E800" s="4" t="n"/>
      <c r="F800" s="4" t="n"/>
    </row>
    <row r="801" ht="15.75" customHeight="1" s="40">
      <c r="A801" s="4" t="n"/>
      <c r="B801" s="4" t="n"/>
      <c r="C801" s="4" t="n"/>
      <c r="D801" s="4" t="n"/>
      <c r="E801" s="4" t="n"/>
      <c r="F801" s="4" t="n"/>
    </row>
    <row r="802" ht="15.75" customHeight="1" s="40">
      <c r="A802" s="4" t="n"/>
      <c r="B802" s="4" t="n"/>
      <c r="C802" s="4" t="n"/>
      <c r="D802" s="4" t="n"/>
      <c r="E802" s="4" t="n"/>
      <c r="F802" s="4" t="n"/>
    </row>
    <row r="803" ht="15.75" customHeight="1" s="40">
      <c r="A803" s="4" t="n"/>
      <c r="B803" s="4" t="n"/>
      <c r="C803" s="4" t="n"/>
      <c r="D803" s="4" t="n"/>
      <c r="E803" s="4" t="n"/>
      <c r="F803" s="4" t="n"/>
    </row>
    <row r="804" ht="15.75" customHeight="1" s="40">
      <c r="A804" s="4" t="n"/>
      <c r="B804" s="4" t="n"/>
      <c r="C804" s="4" t="n"/>
      <c r="D804" s="4" t="n"/>
      <c r="E804" s="4" t="n"/>
      <c r="F804" s="4" t="n"/>
    </row>
    <row r="805" ht="15.75" customHeight="1" s="40">
      <c r="A805" s="4" t="n"/>
      <c r="B805" s="4" t="n"/>
      <c r="C805" s="4" t="n"/>
      <c r="D805" s="4" t="n"/>
      <c r="E805" s="4" t="n"/>
      <c r="F805" s="4" t="n"/>
    </row>
    <row r="806" ht="15.75" customHeight="1" s="40">
      <c r="A806" s="4" t="n"/>
      <c r="B806" s="4" t="n"/>
      <c r="C806" s="4" t="n"/>
      <c r="D806" s="4" t="n"/>
      <c r="E806" s="4" t="n"/>
      <c r="F806" s="4" t="n"/>
    </row>
    <row r="807" ht="15.75" customHeight="1" s="40">
      <c r="A807" s="4" t="n"/>
      <c r="B807" s="4" t="n"/>
      <c r="C807" s="4" t="n"/>
      <c r="D807" s="4" t="n"/>
      <c r="E807" s="4" t="n"/>
      <c r="F807" s="4" t="n"/>
    </row>
    <row r="808" ht="15.75" customHeight="1" s="40">
      <c r="A808" s="4" t="n"/>
      <c r="B808" s="4" t="n"/>
      <c r="C808" s="4" t="n"/>
      <c r="D808" s="4" t="n"/>
      <c r="E808" s="4" t="n"/>
      <c r="F808" s="4" t="n"/>
    </row>
    <row r="809" ht="15.75" customHeight="1" s="40">
      <c r="A809" s="4" t="n"/>
      <c r="B809" s="4" t="n"/>
      <c r="C809" s="4" t="n"/>
      <c r="D809" s="4" t="n"/>
      <c r="E809" s="4" t="n"/>
      <c r="F809" s="4" t="n"/>
    </row>
    <row r="810" ht="15.75" customHeight="1" s="40">
      <c r="A810" s="4" t="n"/>
      <c r="B810" s="4" t="n"/>
      <c r="C810" s="4" t="n"/>
      <c r="D810" s="4" t="n"/>
      <c r="E810" s="4" t="n"/>
      <c r="F810" s="4" t="n"/>
    </row>
    <row r="811" ht="15.75" customHeight="1" s="40">
      <c r="A811" s="4" t="n"/>
      <c r="B811" s="4" t="n"/>
      <c r="C811" s="4" t="n"/>
      <c r="D811" s="4" t="n"/>
      <c r="E811" s="4" t="n"/>
      <c r="F811" s="4" t="n"/>
    </row>
    <row r="812" ht="15.75" customHeight="1" s="40">
      <c r="A812" s="4" t="n"/>
      <c r="B812" s="4" t="n"/>
      <c r="C812" s="4" t="n"/>
      <c r="D812" s="4" t="n"/>
      <c r="E812" s="4" t="n"/>
      <c r="F812" s="4" t="n"/>
    </row>
    <row r="813" ht="15.75" customHeight="1" s="40">
      <c r="A813" s="4" t="n"/>
      <c r="B813" s="4" t="n"/>
      <c r="C813" s="4" t="n"/>
      <c r="D813" s="4" t="n"/>
      <c r="E813" s="4" t="n"/>
      <c r="F813" s="4" t="n"/>
    </row>
    <row r="814" ht="15.75" customHeight="1" s="40">
      <c r="A814" s="4" t="n"/>
      <c r="B814" s="4" t="n"/>
      <c r="C814" s="4" t="n"/>
      <c r="D814" s="4" t="n"/>
      <c r="E814" s="4" t="n"/>
      <c r="F814" s="4" t="n"/>
    </row>
    <row r="815" ht="15.75" customHeight="1" s="40">
      <c r="A815" s="4" t="n"/>
      <c r="B815" s="4" t="n"/>
      <c r="C815" s="4" t="n"/>
      <c r="D815" s="4" t="n"/>
      <c r="E815" s="4" t="n"/>
      <c r="F815" s="4" t="n"/>
    </row>
    <row r="816" ht="15.75" customHeight="1" s="40">
      <c r="A816" s="4" t="n"/>
      <c r="B816" s="4" t="n"/>
      <c r="C816" s="4" t="n"/>
      <c r="D816" s="4" t="n"/>
      <c r="E816" s="4" t="n"/>
      <c r="F816" s="4" t="n"/>
    </row>
    <row r="817" ht="15.75" customHeight="1" s="40">
      <c r="A817" s="4" t="n"/>
      <c r="B817" s="4" t="n"/>
      <c r="C817" s="4" t="n"/>
      <c r="D817" s="4" t="n"/>
      <c r="E817" s="4" t="n"/>
      <c r="F817" s="4" t="n"/>
    </row>
    <row r="818" ht="15.75" customHeight="1" s="40">
      <c r="A818" s="4" t="n"/>
      <c r="B818" s="4" t="n"/>
      <c r="C818" s="4" t="n"/>
      <c r="D818" s="4" t="n"/>
      <c r="E818" s="4" t="n"/>
      <c r="F818" s="4" t="n"/>
    </row>
    <row r="819" ht="15.75" customHeight="1" s="40">
      <c r="A819" s="4" t="n"/>
      <c r="B819" s="4" t="n"/>
      <c r="C819" s="4" t="n"/>
      <c r="D819" s="4" t="n"/>
      <c r="E819" s="4" t="n"/>
      <c r="F819" s="4" t="n"/>
    </row>
    <row r="820" ht="15.75" customHeight="1" s="40">
      <c r="A820" s="4" t="n"/>
      <c r="B820" s="4" t="n"/>
      <c r="C820" s="4" t="n"/>
      <c r="D820" s="4" t="n"/>
      <c r="E820" s="4" t="n"/>
      <c r="F820" s="4" t="n"/>
    </row>
    <row r="821" ht="15.75" customHeight="1" s="40">
      <c r="A821" s="4" t="n"/>
      <c r="B821" s="4" t="n"/>
      <c r="C821" s="4" t="n"/>
      <c r="D821" s="4" t="n"/>
      <c r="E821" s="4" t="n"/>
      <c r="F821" s="4" t="n"/>
    </row>
    <row r="822" ht="15.75" customHeight="1" s="40">
      <c r="A822" s="4" t="n"/>
      <c r="B822" s="4" t="n"/>
      <c r="C822" s="4" t="n"/>
      <c r="D822" s="4" t="n"/>
      <c r="E822" s="4" t="n"/>
      <c r="F822" s="4" t="n"/>
    </row>
    <row r="823" ht="15.75" customHeight="1" s="40">
      <c r="A823" s="4" t="n"/>
      <c r="B823" s="4" t="n"/>
      <c r="C823" s="4" t="n"/>
      <c r="D823" s="4" t="n"/>
      <c r="E823" s="4" t="n"/>
      <c r="F823" s="4" t="n"/>
    </row>
    <row r="824" ht="15.75" customHeight="1" s="40">
      <c r="A824" s="4" t="n"/>
      <c r="B824" s="4" t="n"/>
      <c r="C824" s="4" t="n"/>
      <c r="D824" s="4" t="n"/>
      <c r="E824" s="4" t="n"/>
      <c r="F824" s="4" t="n"/>
    </row>
    <row r="825" ht="15.75" customHeight="1" s="40">
      <c r="A825" s="4" t="n"/>
      <c r="B825" s="4" t="n"/>
      <c r="C825" s="4" t="n"/>
      <c r="D825" s="4" t="n"/>
      <c r="E825" s="4" t="n"/>
      <c r="F825" s="4" t="n"/>
    </row>
    <row r="826" ht="15.75" customHeight="1" s="40">
      <c r="A826" s="4" t="n"/>
      <c r="B826" s="4" t="n"/>
      <c r="C826" s="4" t="n"/>
      <c r="D826" s="4" t="n"/>
      <c r="E826" s="4" t="n"/>
      <c r="F826" s="4" t="n"/>
    </row>
    <row r="827" ht="15.75" customHeight="1" s="40">
      <c r="A827" s="4" t="n"/>
      <c r="B827" s="4" t="n"/>
      <c r="C827" s="4" t="n"/>
      <c r="D827" s="4" t="n"/>
      <c r="E827" s="4" t="n"/>
      <c r="F827" s="4" t="n"/>
    </row>
    <row r="828" ht="15.75" customHeight="1" s="40">
      <c r="A828" s="4" t="n"/>
      <c r="B828" s="4" t="n"/>
      <c r="C828" s="4" t="n"/>
      <c r="D828" s="4" t="n"/>
      <c r="E828" s="4" t="n"/>
      <c r="F828" s="4" t="n"/>
    </row>
    <row r="829" ht="15.75" customHeight="1" s="40">
      <c r="A829" s="4" t="n"/>
      <c r="B829" s="4" t="n"/>
      <c r="C829" s="4" t="n"/>
      <c r="D829" s="4" t="n"/>
      <c r="E829" s="4" t="n"/>
      <c r="F829" s="4" t="n"/>
    </row>
    <row r="830" ht="15.75" customHeight="1" s="40">
      <c r="A830" s="4" t="n"/>
      <c r="B830" s="4" t="n"/>
      <c r="C830" s="4" t="n"/>
      <c r="D830" s="4" t="n"/>
      <c r="E830" s="4" t="n"/>
      <c r="F830" s="4" t="n"/>
    </row>
    <row r="831" ht="15.75" customHeight="1" s="40">
      <c r="A831" s="4" t="n"/>
      <c r="B831" s="4" t="n"/>
      <c r="C831" s="4" t="n"/>
      <c r="D831" s="4" t="n"/>
      <c r="E831" s="4" t="n"/>
      <c r="F831" s="4" t="n"/>
    </row>
    <row r="832" ht="15.75" customHeight="1" s="40">
      <c r="A832" s="4" t="n"/>
      <c r="B832" s="4" t="n"/>
      <c r="C832" s="4" t="n"/>
      <c r="D832" s="4" t="n"/>
      <c r="E832" s="4" t="n"/>
      <c r="F832" s="4" t="n"/>
    </row>
    <row r="833" ht="15.75" customHeight="1" s="40">
      <c r="A833" s="4" t="n"/>
      <c r="B833" s="4" t="n"/>
      <c r="C833" s="4" t="n"/>
      <c r="D833" s="4" t="n"/>
      <c r="E833" s="4" t="n"/>
      <c r="F833" s="4" t="n"/>
    </row>
    <row r="834" ht="15.75" customHeight="1" s="40">
      <c r="A834" s="4" t="n"/>
      <c r="B834" s="4" t="n"/>
      <c r="C834" s="4" t="n"/>
      <c r="D834" s="4" t="n"/>
      <c r="E834" s="4" t="n"/>
      <c r="F834" s="4" t="n"/>
    </row>
    <row r="835" ht="15.75" customHeight="1" s="40">
      <c r="A835" s="4" t="n"/>
      <c r="B835" s="4" t="n"/>
      <c r="C835" s="4" t="n"/>
      <c r="D835" s="4" t="n"/>
      <c r="E835" s="4" t="n"/>
      <c r="F835" s="4" t="n"/>
    </row>
    <row r="836" ht="15.75" customHeight="1" s="40">
      <c r="A836" s="4" t="n"/>
      <c r="B836" s="4" t="n"/>
      <c r="C836" s="4" t="n"/>
      <c r="D836" s="4" t="n"/>
      <c r="E836" s="4" t="n"/>
      <c r="F836" s="4" t="n"/>
    </row>
    <row r="837" ht="15.75" customHeight="1" s="40">
      <c r="A837" s="4" t="n"/>
      <c r="B837" s="4" t="n"/>
      <c r="C837" s="4" t="n"/>
      <c r="D837" s="4" t="n"/>
      <c r="E837" s="4" t="n"/>
      <c r="F837" s="4" t="n"/>
    </row>
    <row r="838" ht="15.75" customHeight="1" s="40">
      <c r="A838" s="4" t="n"/>
      <c r="B838" s="4" t="n"/>
      <c r="C838" s="4" t="n"/>
      <c r="D838" s="4" t="n"/>
      <c r="E838" s="4" t="n"/>
      <c r="F838" s="4" t="n"/>
    </row>
    <row r="839" ht="15.75" customHeight="1" s="40">
      <c r="A839" s="4" t="n"/>
      <c r="B839" s="4" t="n"/>
      <c r="C839" s="4" t="n"/>
      <c r="D839" s="4" t="n"/>
      <c r="E839" s="4" t="n"/>
      <c r="F839" s="4" t="n"/>
    </row>
    <row r="840" ht="15.75" customHeight="1" s="40">
      <c r="A840" s="4" t="n"/>
      <c r="B840" s="4" t="n"/>
      <c r="C840" s="4" t="n"/>
      <c r="D840" s="4" t="n"/>
      <c r="E840" s="4" t="n"/>
      <c r="F840" s="4" t="n"/>
    </row>
    <row r="841" ht="15.75" customHeight="1" s="40">
      <c r="A841" s="4" t="n"/>
      <c r="B841" s="4" t="n"/>
      <c r="C841" s="4" t="n"/>
      <c r="D841" s="4" t="n"/>
      <c r="E841" s="4" t="n"/>
      <c r="F841" s="4" t="n"/>
    </row>
    <row r="842" ht="15.75" customHeight="1" s="40">
      <c r="A842" s="4" t="n"/>
      <c r="B842" s="4" t="n"/>
      <c r="C842" s="4" t="n"/>
      <c r="D842" s="4" t="n"/>
      <c r="E842" s="4" t="n"/>
      <c r="F842" s="4" t="n"/>
    </row>
    <row r="843" ht="15.75" customHeight="1" s="40">
      <c r="A843" s="4" t="n"/>
      <c r="B843" s="4" t="n"/>
      <c r="C843" s="4" t="n"/>
      <c r="D843" s="4" t="n"/>
      <c r="E843" s="4" t="n"/>
      <c r="F843" s="4" t="n"/>
    </row>
    <row r="844" ht="15.75" customHeight="1" s="40">
      <c r="A844" s="4" t="n"/>
      <c r="B844" s="4" t="n"/>
      <c r="C844" s="4" t="n"/>
      <c r="D844" s="4" t="n"/>
      <c r="E844" s="4" t="n"/>
      <c r="F844" s="4" t="n"/>
    </row>
    <row r="845" ht="15.75" customHeight="1" s="40">
      <c r="A845" s="4" t="n"/>
      <c r="B845" s="4" t="n"/>
      <c r="C845" s="4" t="n"/>
      <c r="D845" s="4" t="n"/>
      <c r="E845" s="4" t="n"/>
      <c r="F845" s="4" t="n"/>
    </row>
    <row r="846" ht="15.75" customHeight="1" s="40">
      <c r="A846" s="4" t="n"/>
      <c r="B846" s="4" t="n"/>
      <c r="C846" s="4" t="n"/>
      <c r="D846" s="4" t="n"/>
      <c r="E846" s="4" t="n"/>
      <c r="F846" s="4" t="n"/>
    </row>
    <row r="847" ht="15.75" customHeight="1" s="40">
      <c r="A847" s="4" t="n"/>
      <c r="B847" s="4" t="n"/>
      <c r="C847" s="4" t="n"/>
      <c r="D847" s="4" t="n"/>
      <c r="E847" s="4" t="n"/>
      <c r="F847" s="4" t="n"/>
    </row>
    <row r="848" ht="15.75" customHeight="1" s="40">
      <c r="A848" s="4" t="n"/>
      <c r="B848" s="4" t="n"/>
      <c r="C848" s="4" t="n"/>
      <c r="D848" s="4" t="n"/>
      <c r="E848" s="4" t="n"/>
      <c r="F848" s="4" t="n"/>
    </row>
    <row r="849" ht="15.75" customHeight="1" s="40">
      <c r="A849" s="4" t="n"/>
      <c r="B849" s="4" t="n"/>
      <c r="C849" s="4" t="n"/>
      <c r="D849" s="4" t="n"/>
      <c r="E849" s="4" t="n"/>
      <c r="F849" s="4" t="n"/>
    </row>
    <row r="850" ht="15.75" customHeight="1" s="40">
      <c r="A850" s="4" t="n"/>
      <c r="B850" s="4" t="n"/>
      <c r="C850" s="4" t="n"/>
      <c r="D850" s="4" t="n"/>
      <c r="E850" s="4" t="n"/>
      <c r="F850" s="4" t="n"/>
    </row>
    <row r="851" ht="15.75" customHeight="1" s="40">
      <c r="A851" s="4" t="n"/>
      <c r="B851" s="4" t="n"/>
      <c r="C851" s="4" t="n"/>
      <c r="D851" s="4" t="n"/>
      <c r="E851" s="4" t="n"/>
      <c r="F851" s="4" t="n"/>
    </row>
    <row r="852" ht="15.75" customHeight="1" s="40">
      <c r="A852" s="4" t="n"/>
      <c r="B852" s="4" t="n"/>
      <c r="C852" s="4" t="n"/>
      <c r="D852" s="4" t="n"/>
      <c r="E852" s="4" t="n"/>
      <c r="F852" s="4" t="n"/>
    </row>
    <row r="853" ht="15.75" customHeight="1" s="40">
      <c r="A853" s="4" t="n"/>
      <c r="B853" s="4" t="n"/>
      <c r="C853" s="4" t="n"/>
      <c r="D853" s="4" t="n"/>
      <c r="E853" s="4" t="n"/>
      <c r="F853" s="4" t="n"/>
    </row>
    <row r="854" ht="15.75" customHeight="1" s="40">
      <c r="A854" s="4" t="n"/>
      <c r="B854" s="4" t="n"/>
      <c r="C854" s="4" t="n"/>
      <c r="D854" s="4" t="n"/>
      <c r="E854" s="4" t="n"/>
      <c r="F854" s="4" t="n"/>
    </row>
    <row r="855" ht="15.75" customHeight="1" s="40">
      <c r="A855" s="4" t="n"/>
      <c r="B855" s="4" t="n"/>
      <c r="C855" s="4" t="n"/>
      <c r="D855" s="4" t="n"/>
      <c r="E855" s="4" t="n"/>
      <c r="F855" s="4" t="n"/>
    </row>
    <row r="856" ht="15.75" customHeight="1" s="40">
      <c r="A856" s="4" t="n"/>
      <c r="B856" s="4" t="n"/>
      <c r="C856" s="4" t="n"/>
      <c r="D856" s="4" t="n"/>
      <c r="E856" s="4" t="n"/>
      <c r="F856" s="4" t="n"/>
    </row>
    <row r="857" ht="15.75" customHeight="1" s="40">
      <c r="A857" s="4" t="n"/>
      <c r="B857" s="4" t="n"/>
      <c r="C857" s="4" t="n"/>
      <c r="D857" s="4" t="n"/>
      <c r="E857" s="4" t="n"/>
      <c r="F857" s="4" t="n"/>
    </row>
    <row r="858" ht="15.75" customHeight="1" s="40">
      <c r="A858" s="4" t="n"/>
      <c r="B858" s="4" t="n"/>
      <c r="C858" s="4" t="n"/>
      <c r="D858" s="4" t="n"/>
      <c r="E858" s="4" t="n"/>
      <c r="F858" s="4" t="n"/>
    </row>
    <row r="859" ht="15.75" customHeight="1" s="40">
      <c r="A859" s="4" t="n"/>
      <c r="B859" s="4" t="n"/>
      <c r="C859" s="4" t="n"/>
      <c r="D859" s="4" t="n"/>
      <c r="E859" s="4" t="n"/>
      <c r="F859" s="4" t="n"/>
    </row>
    <row r="860" ht="15.75" customHeight="1" s="40">
      <c r="A860" s="4" t="n"/>
      <c r="B860" s="4" t="n"/>
      <c r="C860" s="4" t="n"/>
      <c r="D860" s="4" t="n"/>
      <c r="E860" s="4" t="n"/>
      <c r="F860" s="4" t="n"/>
    </row>
    <row r="861" ht="15.75" customHeight="1" s="40">
      <c r="A861" s="4" t="n"/>
      <c r="B861" s="4" t="n"/>
      <c r="C861" s="4" t="n"/>
      <c r="D861" s="4" t="n"/>
      <c r="E861" s="4" t="n"/>
      <c r="F861" s="4" t="n"/>
    </row>
    <row r="862" ht="15.75" customHeight="1" s="40">
      <c r="A862" s="4" t="n"/>
      <c r="B862" s="4" t="n"/>
      <c r="C862" s="4" t="n"/>
      <c r="D862" s="4" t="n"/>
      <c r="E862" s="4" t="n"/>
      <c r="F862" s="4" t="n"/>
    </row>
    <row r="863" ht="15.75" customHeight="1" s="40">
      <c r="A863" s="4" t="n"/>
      <c r="B863" s="4" t="n"/>
      <c r="C863" s="4" t="n"/>
      <c r="D863" s="4" t="n"/>
      <c r="E863" s="4" t="n"/>
      <c r="F863" s="4" t="n"/>
    </row>
    <row r="864" ht="15.75" customHeight="1" s="40">
      <c r="A864" s="4" t="n"/>
      <c r="B864" s="4" t="n"/>
      <c r="C864" s="4" t="n"/>
      <c r="D864" s="4" t="n"/>
      <c r="E864" s="4" t="n"/>
      <c r="F864" s="4" t="n"/>
    </row>
    <row r="865" ht="15.75" customHeight="1" s="40">
      <c r="A865" s="4" t="n"/>
      <c r="B865" s="4" t="n"/>
      <c r="C865" s="4" t="n"/>
      <c r="D865" s="4" t="n"/>
      <c r="E865" s="4" t="n"/>
      <c r="F865" s="4" t="n"/>
    </row>
    <row r="866" ht="15.75" customHeight="1" s="40">
      <c r="A866" s="4" t="n"/>
      <c r="B866" s="4" t="n"/>
      <c r="C866" s="4" t="n"/>
      <c r="D866" s="4" t="n"/>
      <c r="E866" s="4" t="n"/>
      <c r="F866" s="4" t="n"/>
    </row>
    <row r="867" ht="15.75" customHeight="1" s="40">
      <c r="A867" s="4" t="n"/>
      <c r="B867" s="4" t="n"/>
      <c r="C867" s="4" t="n"/>
      <c r="D867" s="4" t="n"/>
      <c r="E867" s="4" t="n"/>
      <c r="F867" s="4" t="n"/>
    </row>
    <row r="868" ht="15.75" customHeight="1" s="40">
      <c r="A868" s="4" t="n"/>
      <c r="B868" s="4" t="n"/>
      <c r="C868" s="4" t="n"/>
      <c r="D868" s="4" t="n"/>
      <c r="E868" s="4" t="n"/>
      <c r="F868" s="4" t="n"/>
    </row>
    <row r="869" ht="15.75" customHeight="1" s="40">
      <c r="A869" s="4" t="n"/>
      <c r="B869" s="4" t="n"/>
      <c r="C869" s="4" t="n"/>
      <c r="D869" s="4" t="n"/>
      <c r="E869" s="4" t="n"/>
      <c r="F869" s="4" t="n"/>
    </row>
    <row r="870" ht="15.75" customHeight="1" s="40">
      <c r="A870" s="4" t="n"/>
      <c r="B870" s="4" t="n"/>
      <c r="C870" s="4" t="n"/>
      <c r="D870" s="4" t="n"/>
      <c r="E870" s="4" t="n"/>
      <c r="F870" s="4" t="n"/>
    </row>
    <row r="871" ht="15.75" customHeight="1" s="40">
      <c r="A871" s="4" t="n"/>
      <c r="B871" s="4" t="n"/>
      <c r="C871" s="4" t="n"/>
      <c r="D871" s="4" t="n"/>
      <c r="E871" s="4" t="n"/>
      <c r="F871" s="4" t="n"/>
    </row>
    <row r="872" ht="15.75" customHeight="1" s="40">
      <c r="A872" s="4" t="n"/>
      <c r="B872" s="4" t="n"/>
      <c r="C872" s="4" t="n"/>
      <c r="D872" s="4" t="n"/>
      <c r="E872" s="4" t="n"/>
      <c r="F872" s="4" t="n"/>
    </row>
    <row r="873" ht="15.75" customHeight="1" s="40">
      <c r="A873" s="4" t="n"/>
      <c r="B873" s="4" t="n"/>
      <c r="C873" s="4" t="n"/>
      <c r="D873" s="4" t="n"/>
      <c r="E873" s="4" t="n"/>
      <c r="F873" s="4" t="n"/>
    </row>
    <row r="874" ht="15.75" customHeight="1" s="40">
      <c r="A874" s="4" t="n"/>
      <c r="B874" s="4" t="n"/>
      <c r="C874" s="4" t="n"/>
      <c r="D874" s="4" t="n"/>
      <c r="E874" s="4" t="n"/>
      <c r="F874" s="4" t="n"/>
    </row>
    <row r="875" ht="15.75" customHeight="1" s="40">
      <c r="A875" s="4" t="n"/>
      <c r="B875" s="4" t="n"/>
      <c r="C875" s="4" t="n"/>
      <c r="D875" s="4" t="n"/>
      <c r="E875" s="4" t="n"/>
      <c r="F875" s="4" t="n"/>
    </row>
    <row r="876" ht="15.75" customHeight="1" s="40">
      <c r="A876" s="4" t="n"/>
      <c r="B876" s="4" t="n"/>
      <c r="C876" s="4" t="n"/>
      <c r="D876" s="4" t="n"/>
      <c r="E876" s="4" t="n"/>
      <c r="F876" s="4" t="n"/>
    </row>
    <row r="877" ht="15.75" customHeight="1" s="40">
      <c r="A877" s="4" t="n"/>
      <c r="B877" s="4" t="n"/>
      <c r="C877" s="4" t="n"/>
      <c r="D877" s="4" t="n"/>
      <c r="E877" s="4" t="n"/>
      <c r="F877" s="4" t="n"/>
    </row>
    <row r="878" ht="15.75" customHeight="1" s="40">
      <c r="A878" s="4" t="n"/>
      <c r="B878" s="4" t="n"/>
      <c r="C878" s="4" t="n"/>
      <c r="D878" s="4" t="n"/>
      <c r="E878" s="4" t="n"/>
      <c r="F878" s="4" t="n"/>
    </row>
    <row r="879" ht="15.75" customHeight="1" s="40">
      <c r="A879" s="4" t="n"/>
      <c r="B879" s="4" t="n"/>
      <c r="C879" s="4" t="n"/>
      <c r="D879" s="4" t="n"/>
      <c r="E879" s="4" t="n"/>
      <c r="F879" s="4" t="n"/>
    </row>
    <row r="880" ht="15.75" customHeight="1" s="40">
      <c r="A880" s="4" t="n"/>
      <c r="B880" s="4" t="n"/>
      <c r="C880" s="4" t="n"/>
      <c r="D880" s="4" t="n"/>
      <c r="E880" s="4" t="n"/>
      <c r="F880" s="4" t="n"/>
    </row>
    <row r="881" ht="15.75" customHeight="1" s="40">
      <c r="A881" s="4" t="n"/>
      <c r="B881" s="4" t="n"/>
      <c r="C881" s="4" t="n"/>
      <c r="D881" s="4" t="n"/>
      <c r="E881" s="4" t="n"/>
      <c r="F881" s="4" t="n"/>
    </row>
    <row r="882" ht="15.75" customHeight="1" s="40">
      <c r="A882" s="4" t="n"/>
      <c r="B882" s="4" t="n"/>
      <c r="C882" s="4" t="n"/>
      <c r="D882" s="4" t="n"/>
      <c r="E882" s="4" t="n"/>
      <c r="F882" s="4" t="n"/>
    </row>
    <row r="883" ht="15.75" customHeight="1" s="40">
      <c r="A883" s="4" t="n"/>
      <c r="B883" s="4" t="n"/>
      <c r="C883" s="4" t="n"/>
      <c r="D883" s="4" t="n"/>
      <c r="E883" s="4" t="n"/>
      <c r="F883" s="4" t="n"/>
    </row>
    <row r="884" ht="15.75" customHeight="1" s="40">
      <c r="A884" s="4" t="n"/>
      <c r="B884" s="4" t="n"/>
      <c r="C884" s="4" t="n"/>
      <c r="D884" s="4" t="n"/>
      <c r="E884" s="4" t="n"/>
      <c r="F884" s="4" t="n"/>
    </row>
    <row r="885" ht="15.75" customHeight="1" s="40">
      <c r="A885" s="4" t="n"/>
      <c r="B885" s="4" t="n"/>
      <c r="C885" s="4" t="n"/>
      <c r="D885" s="4" t="n"/>
      <c r="E885" s="4" t="n"/>
      <c r="F885" s="4" t="n"/>
    </row>
    <row r="886" ht="15.75" customHeight="1" s="40">
      <c r="A886" s="4" t="n"/>
      <c r="B886" s="4" t="n"/>
      <c r="C886" s="4" t="n"/>
      <c r="D886" s="4" t="n"/>
      <c r="E886" s="4" t="n"/>
      <c r="F886" s="4" t="n"/>
    </row>
    <row r="887" ht="15.75" customHeight="1" s="40">
      <c r="A887" s="4" t="n"/>
      <c r="B887" s="4" t="n"/>
      <c r="C887" s="4" t="n"/>
      <c r="D887" s="4" t="n"/>
      <c r="E887" s="4" t="n"/>
      <c r="F887" s="4" t="n"/>
    </row>
    <row r="888" ht="15.75" customHeight="1" s="40">
      <c r="A888" s="4" t="n"/>
      <c r="B888" s="4" t="n"/>
      <c r="C888" s="4" t="n"/>
      <c r="D888" s="4" t="n"/>
      <c r="E888" s="4" t="n"/>
      <c r="F888" s="4" t="n"/>
    </row>
    <row r="889" ht="15.75" customHeight="1" s="40">
      <c r="A889" s="4" t="n"/>
      <c r="B889" s="4" t="n"/>
      <c r="C889" s="4" t="n"/>
      <c r="D889" s="4" t="n"/>
      <c r="E889" s="4" t="n"/>
      <c r="F889" s="4" t="n"/>
    </row>
    <row r="890" ht="15.75" customHeight="1" s="40">
      <c r="A890" s="4" t="n"/>
      <c r="B890" s="4" t="n"/>
      <c r="C890" s="4" t="n"/>
      <c r="D890" s="4" t="n"/>
      <c r="E890" s="4" t="n"/>
      <c r="F890" s="4" t="n"/>
    </row>
    <row r="891" ht="15.75" customHeight="1" s="40">
      <c r="A891" s="4" t="n"/>
      <c r="B891" s="4" t="n"/>
      <c r="C891" s="4" t="n"/>
      <c r="D891" s="4" t="n"/>
      <c r="E891" s="4" t="n"/>
      <c r="F891" s="4" t="n"/>
    </row>
    <row r="892" ht="15.75" customHeight="1" s="40">
      <c r="A892" s="4" t="n"/>
      <c r="B892" s="4" t="n"/>
      <c r="C892" s="4" t="n"/>
      <c r="D892" s="4" t="n"/>
      <c r="E892" s="4" t="n"/>
      <c r="F892" s="4" t="n"/>
    </row>
    <row r="893" ht="15.75" customHeight="1" s="40">
      <c r="A893" s="4" t="n"/>
      <c r="B893" s="4" t="n"/>
      <c r="C893" s="4" t="n"/>
      <c r="D893" s="4" t="n"/>
      <c r="E893" s="4" t="n"/>
      <c r="F893" s="4" t="n"/>
    </row>
    <row r="894" ht="15.75" customHeight="1" s="40">
      <c r="A894" s="4" t="n"/>
      <c r="B894" s="4" t="n"/>
      <c r="C894" s="4" t="n"/>
      <c r="D894" s="4" t="n"/>
      <c r="E894" s="4" t="n"/>
      <c r="F894" s="4" t="n"/>
    </row>
    <row r="895" ht="15.75" customHeight="1" s="40">
      <c r="A895" s="4" t="n"/>
      <c r="B895" s="4" t="n"/>
      <c r="C895" s="4" t="n"/>
      <c r="D895" s="4" t="n"/>
      <c r="E895" s="4" t="n"/>
      <c r="F895" s="4" t="n"/>
    </row>
    <row r="896" ht="15.75" customHeight="1" s="40">
      <c r="A896" s="4" t="n"/>
      <c r="B896" s="4" t="n"/>
      <c r="C896" s="4" t="n"/>
      <c r="D896" s="4" t="n"/>
      <c r="E896" s="4" t="n"/>
      <c r="F896" s="4" t="n"/>
    </row>
    <row r="897" ht="15.75" customHeight="1" s="40">
      <c r="A897" s="4" t="n"/>
      <c r="B897" s="4" t="n"/>
      <c r="C897" s="4" t="n"/>
      <c r="D897" s="4" t="n"/>
      <c r="E897" s="4" t="n"/>
      <c r="F897" s="4" t="n"/>
    </row>
    <row r="898" ht="15.75" customHeight="1" s="40">
      <c r="A898" s="4" t="n"/>
      <c r="B898" s="4" t="n"/>
      <c r="C898" s="4" t="n"/>
      <c r="D898" s="4" t="n"/>
      <c r="E898" s="4" t="n"/>
      <c r="F898" s="4" t="n"/>
    </row>
    <row r="899" ht="15.75" customHeight="1" s="40">
      <c r="A899" s="4" t="n"/>
      <c r="B899" s="4" t="n"/>
      <c r="C899" s="4" t="n"/>
      <c r="D899" s="4" t="n"/>
      <c r="E899" s="4" t="n"/>
      <c r="F899" s="4" t="n"/>
    </row>
    <row r="900" ht="15.75" customHeight="1" s="40">
      <c r="A900" s="4" t="n"/>
      <c r="B900" s="4" t="n"/>
      <c r="C900" s="4" t="n"/>
      <c r="D900" s="4" t="n"/>
      <c r="E900" s="4" t="n"/>
      <c r="F900" s="4" t="n"/>
    </row>
    <row r="901" ht="15.75" customHeight="1" s="40">
      <c r="A901" s="4" t="n"/>
      <c r="B901" s="4" t="n"/>
      <c r="C901" s="4" t="n"/>
      <c r="D901" s="4" t="n"/>
      <c r="E901" s="4" t="n"/>
      <c r="F901" s="4" t="n"/>
    </row>
    <row r="902" ht="15.75" customHeight="1" s="40">
      <c r="A902" s="4" t="n"/>
      <c r="B902" s="4" t="n"/>
      <c r="C902" s="4" t="n"/>
      <c r="D902" s="4" t="n"/>
      <c r="E902" s="4" t="n"/>
      <c r="F902" s="4" t="n"/>
    </row>
    <row r="903" ht="15.75" customHeight="1" s="40">
      <c r="A903" s="4" t="n"/>
      <c r="B903" s="4" t="n"/>
      <c r="C903" s="4" t="n"/>
      <c r="D903" s="4" t="n"/>
      <c r="E903" s="4" t="n"/>
      <c r="F903" s="4" t="n"/>
    </row>
    <row r="904" ht="15.75" customHeight="1" s="40">
      <c r="A904" s="4" t="n"/>
      <c r="B904" s="4" t="n"/>
      <c r="C904" s="4" t="n"/>
      <c r="D904" s="4" t="n"/>
      <c r="E904" s="4" t="n"/>
      <c r="F904" s="4" t="n"/>
    </row>
    <row r="905" ht="15.75" customHeight="1" s="40">
      <c r="A905" s="4" t="n"/>
      <c r="B905" s="4" t="n"/>
      <c r="C905" s="4" t="n"/>
      <c r="D905" s="4" t="n"/>
      <c r="E905" s="4" t="n"/>
      <c r="F905" s="4" t="n"/>
    </row>
    <row r="906" ht="15.75" customHeight="1" s="40">
      <c r="A906" s="4" t="n"/>
      <c r="B906" s="4" t="n"/>
      <c r="C906" s="4" t="n"/>
      <c r="D906" s="4" t="n"/>
      <c r="E906" s="4" t="n"/>
      <c r="F906" s="4" t="n"/>
    </row>
    <row r="907" ht="15.75" customHeight="1" s="40">
      <c r="A907" s="4" t="n"/>
      <c r="B907" s="4" t="n"/>
      <c r="C907" s="4" t="n"/>
      <c r="D907" s="4" t="n"/>
      <c r="E907" s="4" t="n"/>
      <c r="F907" s="4" t="n"/>
    </row>
    <row r="908" ht="15.75" customHeight="1" s="40">
      <c r="A908" s="4" t="n"/>
      <c r="B908" s="4" t="n"/>
      <c r="C908" s="4" t="n"/>
      <c r="D908" s="4" t="n"/>
      <c r="E908" s="4" t="n"/>
      <c r="F908" s="4" t="n"/>
    </row>
    <row r="909" ht="15.75" customHeight="1" s="40">
      <c r="A909" s="4" t="n"/>
      <c r="B909" s="4" t="n"/>
      <c r="C909" s="4" t="n"/>
      <c r="D909" s="4" t="n"/>
      <c r="E909" s="4" t="n"/>
      <c r="F909" s="4" t="n"/>
    </row>
    <row r="910" ht="15.75" customHeight="1" s="40">
      <c r="A910" s="4" t="n"/>
      <c r="B910" s="4" t="n"/>
      <c r="C910" s="4" t="n"/>
      <c r="D910" s="4" t="n"/>
      <c r="E910" s="4" t="n"/>
      <c r="F910" s="4" t="n"/>
    </row>
    <row r="911" ht="15.75" customHeight="1" s="40">
      <c r="A911" s="4" t="n"/>
      <c r="B911" s="4" t="n"/>
      <c r="C911" s="4" t="n"/>
      <c r="D911" s="4" t="n"/>
      <c r="E911" s="4" t="n"/>
      <c r="F911" s="4" t="n"/>
    </row>
    <row r="912" ht="15.75" customHeight="1" s="40">
      <c r="A912" s="4" t="n"/>
      <c r="B912" s="4" t="n"/>
      <c r="C912" s="4" t="n"/>
      <c r="D912" s="4" t="n"/>
      <c r="E912" s="4" t="n"/>
      <c r="F912" s="4" t="n"/>
    </row>
    <row r="913" ht="15.75" customHeight="1" s="40">
      <c r="A913" s="4" t="n"/>
      <c r="B913" s="4" t="n"/>
      <c r="C913" s="4" t="n"/>
      <c r="D913" s="4" t="n"/>
      <c r="E913" s="4" t="n"/>
      <c r="F913" s="4" t="n"/>
    </row>
    <row r="914" ht="15.75" customHeight="1" s="40">
      <c r="A914" s="4" t="n"/>
      <c r="B914" s="4" t="n"/>
      <c r="C914" s="4" t="n"/>
      <c r="D914" s="4" t="n"/>
      <c r="E914" s="4" t="n"/>
      <c r="F914" s="4" t="n"/>
    </row>
    <row r="915" ht="15.75" customHeight="1" s="40">
      <c r="A915" s="4" t="n"/>
      <c r="B915" s="4" t="n"/>
      <c r="C915" s="4" t="n"/>
      <c r="D915" s="4" t="n"/>
      <c r="E915" s="4" t="n"/>
      <c r="F915" s="4" t="n"/>
    </row>
    <row r="916" ht="15.75" customHeight="1" s="40">
      <c r="A916" s="4" t="n"/>
      <c r="B916" s="4" t="n"/>
      <c r="C916" s="4" t="n"/>
      <c r="D916" s="4" t="n"/>
      <c r="E916" s="4" t="n"/>
      <c r="F916" s="4" t="n"/>
    </row>
    <row r="917" ht="15.75" customHeight="1" s="40">
      <c r="A917" s="4" t="n"/>
      <c r="B917" s="4" t="n"/>
      <c r="C917" s="4" t="n"/>
      <c r="D917" s="4" t="n"/>
      <c r="E917" s="4" t="n"/>
      <c r="F917" s="4" t="n"/>
    </row>
    <row r="918" ht="15.75" customHeight="1" s="40">
      <c r="A918" s="4" t="n"/>
      <c r="B918" s="4" t="n"/>
      <c r="C918" s="4" t="n"/>
      <c r="D918" s="4" t="n"/>
      <c r="E918" s="4" t="n"/>
      <c r="F918" s="4" t="n"/>
    </row>
    <row r="919" ht="15.75" customHeight="1" s="40">
      <c r="A919" s="4" t="n"/>
      <c r="B919" s="4" t="n"/>
      <c r="C919" s="4" t="n"/>
      <c r="D919" s="4" t="n"/>
      <c r="E919" s="4" t="n"/>
      <c r="F919" s="4" t="n"/>
    </row>
    <row r="920" ht="15.75" customHeight="1" s="40">
      <c r="A920" s="4" t="n"/>
      <c r="B920" s="4" t="n"/>
      <c r="C920" s="4" t="n"/>
      <c r="D920" s="4" t="n"/>
      <c r="E920" s="4" t="n"/>
      <c r="F920" s="4" t="n"/>
    </row>
    <row r="921" ht="15.75" customHeight="1" s="40">
      <c r="A921" s="4" t="n"/>
      <c r="B921" s="4" t="n"/>
      <c r="C921" s="4" t="n"/>
      <c r="D921" s="4" t="n"/>
      <c r="E921" s="4" t="n"/>
      <c r="F921" s="4" t="n"/>
    </row>
    <row r="922" ht="15.75" customHeight="1" s="40">
      <c r="A922" s="4" t="n"/>
      <c r="B922" s="4" t="n"/>
      <c r="C922" s="4" t="n"/>
      <c r="D922" s="4" t="n"/>
      <c r="E922" s="4" t="n"/>
      <c r="F922" s="4" t="n"/>
    </row>
    <row r="923" ht="15.75" customHeight="1" s="40">
      <c r="A923" s="4" t="n"/>
      <c r="B923" s="4" t="n"/>
      <c r="C923" s="4" t="n"/>
      <c r="D923" s="4" t="n"/>
      <c r="E923" s="4" t="n"/>
      <c r="F923" s="4" t="n"/>
    </row>
    <row r="924" ht="15.75" customHeight="1" s="40">
      <c r="A924" s="4" t="n"/>
      <c r="B924" s="4" t="n"/>
      <c r="C924" s="4" t="n"/>
      <c r="D924" s="4" t="n"/>
      <c r="E924" s="4" t="n"/>
      <c r="F924" s="4" t="n"/>
    </row>
    <row r="925" ht="15.75" customHeight="1" s="40">
      <c r="A925" s="4" t="n"/>
      <c r="B925" s="4" t="n"/>
      <c r="C925" s="4" t="n"/>
      <c r="D925" s="4" t="n"/>
      <c r="E925" s="4" t="n"/>
      <c r="F925" s="4" t="n"/>
    </row>
    <row r="926" ht="15.75" customHeight="1" s="40">
      <c r="A926" s="4" t="n"/>
      <c r="B926" s="4" t="n"/>
      <c r="C926" s="4" t="n"/>
      <c r="D926" s="4" t="n"/>
      <c r="E926" s="4" t="n"/>
      <c r="F926" s="4" t="n"/>
    </row>
    <row r="927" ht="15.75" customHeight="1" s="40">
      <c r="A927" s="4" t="n"/>
      <c r="B927" s="4" t="n"/>
      <c r="C927" s="4" t="n"/>
      <c r="D927" s="4" t="n"/>
      <c r="E927" s="4" t="n"/>
      <c r="F927" s="4" t="n"/>
    </row>
    <row r="928" ht="15.75" customHeight="1" s="40">
      <c r="A928" s="4" t="n"/>
      <c r="B928" s="4" t="n"/>
      <c r="C928" s="4" t="n"/>
      <c r="D928" s="4" t="n"/>
      <c r="E928" s="4" t="n"/>
      <c r="F928" s="4" t="n"/>
    </row>
    <row r="929" ht="15.75" customHeight="1" s="40">
      <c r="A929" s="4" t="n"/>
      <c r="B929" s="4" t="n"/>
      <c r="C929" s="4" t="n"/>
      <c r="D929" s="4" t="n"/>
      <c r="E929" s="4" t="n"/>
      <c r="F929" s="4" t="n"/>
    </row>
    <row r="930" ht="15.75" customHeight="1" s="40">
      <c r="A930" s="4" t="n"/>
      <c r="B930" s="4" t="n"/>
      <c r="C930" s="4" t="n"/>
      <c r="D930" s="4" t="n"/>
      <c r="E930" s="4" t="n"/>
      <c r="F930" s="4" t="n"/>
    </row>
    <row r="931" ht="15.75" customHeight="1" s="40">
      <c r="A931" s="4" t="n"/>
      <c r="B931" s="4" t="n"/>
      <c r="C931" s="4" t="n"/>
      <c r="D931" s="4" t="n"/>
      <c r="E931" s="4" t="n"/>
      <c r="F931" s="4" t="n"/>
    </row>
    <row r="932" ht="15.75" customHeight="1" s="40">
      <c r="A932" s="4" t="n"/>
      <c r="B932" s="4" t="n"/>
      <c r="C932" s="4" t="n"/>
      <c r="D932" s="4" t="n"/>
      <c r="E932" s="4" t="n"/>
      <c r="F932" s="4" t="n"/>
    </row>
    <row r="933" ht="15.75" customHeight="1" s="40">
      <c r="A933" s="4" t="n"/>
      <c r="B933" s="4" t="n"/>
      <c r="C933" s="4" t="n"/>
      <c r="D933" s="4" t="n"/>
      <c r="E933" s="4" t="n"/>
      <c r="F933" s="4" t="n"/>
    </row>
    <row r="934" ht="15.75" customHeight="1" s="40">
      <c r="A934" s="4" t="n"/>
      <c r="B934" s="4" t="n"/>
      <c r="C934" s="4" t="n"/>
      <c r="D934" s="4" t="n"/>
      <c r="E934" s="4" t="n"/>
      <c r="F934" s="4" t="n"/>
    </row>
    <row r="935" ht="15.75" customHeight="1" s="40">
      <c r="A935" s="4" t="n"/>
      <c r="B935" s="4" t="n"/>
      <c r="C935" s="4" t="n"/>
      <c r="D935" s="4" t="n"/>
      <c r="E935" s="4" t="n"/>
      <c r="F935" s="4" t="n"/>
    </row>
    <row r="936" ht="15.75" customHeight="1" s="40">
      <c r="A936" s="4" t="n"/>
      <c r="B936" s="4" t="n"/>
      <c r="C936" s="4" t="n"/>
      <c r="D936" s="4" t="n"/>
      <c r="E936" s="4" t="n"/>
      <c r="F936" s="4" t="n"/>
    </row>
    <row r="937" ht="15.75" customHeight="1" s="40">
      <c r="A937" s="4" t="n"/>
      <c r="B937" s="4" t="n"/>
      <c r="C937" s="4" t="n"/>
      <c r="D937" s="4" t="n"/>
      <c r="E937" s="4" t="n"/>
      <c r="F937" s="4" t="n"/>
    </row>
    <row r="938" ht="15.75" customHeight="1" s="40">
      <c r="A938" s="4" t="n"/>
      <c r="B938" s="4" t="n"/>
      <c r="C938" s="4" t="n"/>
      <c r="D938" s="4" t="n"/>
      <c r="E938" s="4" t="n"/>
      <c r="F938" s="4" t="n"/>
    </row>
    <row r="939" ht="15.75" customHeight="1" s="40">
      <c r="A939" s="4" t="n"/>
      <c r="B939" s="4" t="n"/>
      <c r="C939" s="4" t="n"/>
      <c r="D939" s="4" t="n"/>
      <c r="E939" s="4" t="n"/>
      <c r="F939" s="4" t="n"/>
    </row>
    <row r="940" ht="15.75" customHeight="1" s="40">
      <c r="A940" s="4" t="n"/>
      <c r="B940" s="4" t="n"/>
      <c r="C940" s="4" t="n"/>
      <c r="D940" s="4" t="n"/>
      <c r="E940" s="4" t="n"/>
      <c r="F940" s="4" t="n"/>
    </row>
    <row r="941" ht="15.75" customHeight="1" s="40">
      <c r="A941" s="4" t="n"/>
      <c r="B941" s="4" t="n"/>
      <c r="C941" s="4" t="n"/>
      <c r="D941" s="4" t="n"/>
      <c r="E941" s="4" t="n"/>
      <c r="F941" s="4" t="n"/>
    </row>
    <row r="942" ht="15.75" customHeight="1" s="40">
      <c r="A942" s="4" t="n"/>
      <c r="B942" s="4" t="n"/>
      <c r="C942" s="4" t="n"/>
      <c r="D942" s="4" t="n"/>
      <c r="E942" s="4" t="n"/>
      <c r="F942" s="4" t="n"/>
    </row>
    <row r="943" ht="15.75" customHeight="1" s="40">
      <c r="A943" s="4" t="n"/>
      <c r="B943" s="4" t="n"/>
      <c r="C943" s="4" t="n"/>
      <c r="D943" s="4" t="n"/>
      <c r="E943" s="4" t="n"/>
      <c r="F943" s="4" t="n"/>
    </row>
    <row r="944" ht="15.75" customHeight="1" s="40">
      <c r="A944" s="4" t="n"/>
      <c r="B944" s="4" t="n"/>
      <c r="C944" s="4" t="n"/>
      <c r="D944" s="4" t="n"/>
      <c r="E944" s="4" t="n"/>
      <c r="F944" s="4" t="n"/>
    </row>
    <row r="945" ht="15.75" customHeight="1" s="40">
      <c r="A945" s="4" t="n"/>
      <c r="B945" s="4" t="n"/>
      <c r="C945" s="4" t="n"/>
      <c r="D945" s="4" t="n"/>
      <c r="E945" s="4" t="n"/>
      <c r="F945" s="4" t="n"/>
    </row>
    <row r="946" ht="15.75" customHeight="1" s="40">
      <c r="A946" s="4" t="n"/>
      <c r="B946" s="4" t="n"/>
      <c r="C946" s="4" t="n"/>
      <c r="D946" s="4" t="n"/>
      <c r="E946" s="4" t="n"/>
      <c r="F946" s="4" t="n"/>
    </row>
    <row r="947" ht="15.75" customHeight="1" s="40">
      <c r="A947" s="4" t="n"/>
      <c r="B947" s="4" t="n"/>
      <c r="C947" s="4" t="n"/>
      <c r="D947" s="4" t="n"/>
      <c r="E947" s="4" t="n"/>
      <c r="F947" s="4" t="n"/>
    </row>
    <row r="948" ht="15.75" customHeight="1" s="40">
      <c r="A948" s="4" t="n"/>
      <c r="B948" s="4" t="n"/>
      <c r="C948" s="4" t="n"/>
      <c r="D948" s="4" t="n"/>
      <c r="E948" s="4" t="n"/>
      <c r="F948" s="4" t="n"/>
    </row>
    <row r="949" ht="15.75" customHeight="1" s="40">
      <c r="A949" s="4" t="n"/>
      <c r="B949" s="4" t="n"/>
      <c r="C949" s="4" t="n"/>
      <c r="D949" s="4" t="n"/>
      <c r="E949" s="4" t="n"/>
      <c r="F949" s="4" t="n"/>
    </row>
    <row r="950" ht="15.75" customHeight="1" s="40">
      <c r="A950" s="4" t="n"/>
      <c r="B950" s="4" t="n"/>
      <c r="C950" s="4" t="n"/>
      <c r="D950" s="4" t="n"/>
      <c r="E950" s="4" t="n"/>
      <c r="F950" s="4" t="n"/>
    </row>
    <row r="951" ht="15.75" customHeight="1" s="40">
      <c r="A951" s="4" t="n"/>
      <c r="B951" s="4" t="n"/>
      <c r="C951" s="4" t="n"/>
      <c r="D951" s="4" t="n"/>
      <c r="E951" s="4" t="n"/>
      <c r="F951" s="4" t="n"/>
    </row>
    <row r="952" ht="15.75" customHeight="1" s="40">
      <c r="A952" s="4" t="n"/>
      <c r="B952" s="4" t="n"/>
      <c r="C952" s="4" t="n"/>
      <c r="D952" s="4" t="n"/>
      <c r="E952" s="4" t="n"/>
      <c r="F952" s="4" t="n"/>
    </row>
    <row r="953" ht="15.75" customHeight="1" s="40">
      <c r="A953" s="4" t="n"/>
      <c r="B953" s="4" t="n"/>
      <c r="C953" s="4" t="n"/>
      <c r="D953" s="4" t="n"/>
      <c r="E953" s="4" t="n"/>
      <c r="F953" s="4" t="n"/>
    </row>
    <row r="954" ht="15.75" customHeight="1" s="40">
      <c r="A954" s="4" t="n"/>
      <c r="B954" s="4" t="n"/>
      <c r="C954" s="4" t="n"/>
      <c r="D954" s="4" t="n"/>
      <c r="E954" s="4" t="n"/>
      <c r="F954" s="4" t="n"/>
    </row>
    <row r="955" ht="15.75" customHeight="1" s="40">
      <c r="A955" s="4" t="n"/>
      <c r="B955" s="4" t="n"/>
      <c r="C955" s="4" t="n"/>
      <c r="D955" s="4" t="n"/>
      <c r="E955" s="4" t="n"/>
      <c r="F955" s="4" t="n"/>
    </row>
    <row r="956" ht="15.75" customHeight="1" s="40">
      <c r="A956" s="4" t="n"/>
      <c r="B956" s="4" t="n"/>
      <c r="C956" s="4" t="n"/>
      <c r="D956" s="4" t="n"/>
      <c r="E956" s="4" t="n"/>
      <c r="F956" s="4" t="n"/>
    </row>
    <row r="957" ht="15.75" customHeight="1" s="40">
      <c r="A957" s="4" t="n"/>
      <c r="B957" s="4" t="n"/>
      <c r="C957" s="4" t="n"/>
      <c r="D957" s="4" t="n"/>
      <c r="E957" s="4" t="n"/>
      <c r="F957" s="4" t="n"/>
    </row>
    <row r="958" ht="15.75" customHeight="1" s="40">
      <c r="A958" s="4" t="n"/>
      <c r="B958" s="4" t="n"/>
      <c r="C958" s="4" t="n"/>
      <c r="D958" s="4" t="n"/>
      <c r="E958" s="4" t="n"/>
      <c r="F958" s="4" t="n"/>
    </row>
    <row r="959" ht="15.75" customHeight="1" s="40">
      <c r="A959" s="4" t="n"/>
      <c r="B959" s="4" t="n"/>
      <c r="C959" s="4" t="n"/>
      <c r="D959" s="4" t="n"/>
      <c r="E959" s="4" t="n"/>
      <c r="F959" s="4" t="n"/>
    </row>
    <row r="960" ht="15.75" customHeight="1" s="40">
      <c r="A960" s="4" t="n"/>
      <c r="B960" s="4" t="n"/>
      <c r="C960" s="4" t="n"/>
      <c r="D960" s="4" t="n"/>
      <c r="E960" s="4" t="n"/>
      <c r="F960" s="4" t="n"/>
    </row>
    <row r="961" ht="15.75" customHeight="1" s="40">
      <c r="A961" s="4" t="n"/>
      <c r="B961" s="4" t="n"/>
      <c r="C961" s="4" t="n"/>
      <c r="D961" s="4" t="n"/>
      <c r="E961" s="4" t="n"/>
      <c r="F961" s="4" t="n"/>
    </row>
    <row r="962" ht="15.75" customHeight="1" s="40">
      <c r="A962" s="4" t="n"/>
      <c r="B962" s="4" t="n"/>
      <c r="C962" s="4" t="n"/>
      <c r="D962" s="4" t="n"/>
      <c r="E962" s="4" t="n"/>
      <c r="F962" s="4" t="n"/>
    </row>
    <row r="963" ht="15.75" customHeight="1" s="40">
      <c r="A963" s="4" t="n"/>
      <c r="B963" s="4" t="n"/>
      <c r="C963" s="4" t="n"/>
      <c r="D963" s="4" t="n"/>
      <c r="E963" s="4" t="n"/>
      <c r="F963" s="4" t="n"/>
    </row>
    <row r="964" ht="15.75" customHeight="1" s="40">
      <c r="A964" s="4" t="n"/>
      <c r="B964" s="4" t="n"/>
      <c r="C964" s="4" t="n"/>
      <c r="D964" s="4" t="n"/>
      <c r="E964" s="4" t="n"/>
      <c r="F964" s="4" t="n"/>
    </row>
    <row r="965" ht="15.75" customHeight="1" s="40">
      <c r="A965" s="4" t="n"/>
      <c r="B965" s="4" t="n"/>
      <c r="C965" s="4" t="n"/>
      <c r="D965" s="4" t="n"/>
      <c r="E965" s="4" t="n"/>
      <c r="F965" s="4" t="n"/>
    </row>
    <row r="966" ht="15.75" customHeight="1" s="40">
      <c r="A966" s="4" t="n"/>
      <c r="B966" s="4" t="n"/>
      <c r="C966" s="4" t="n"/>
      <c r="D966" s="4" t="n"/>
      <c r="E966" s="4" t="n"/>
      <c r="F966" s="4" t="n"/>
    </row>
    <row r="967" ht="15.75" customHeight="1" s="40">
      <c r="A967" s="4" t="n"/>
      <c r="B967" s="4" t="n"/>
      <c r="C967" s="4" t="n"/>
      <c r="D967" s="4" t="n"/>
      <c r="E967" s="4" t="n"/>
      <c r="F967" s="4" t="n"/>
    </row>
    <row r="968" ht="15.75" customHeight="1" s="40">
      <c r="A968" s="4" t="n"/>
      <c r="B968" s="4" t="n"/>
      <c r="C968" s="4" t="n"/>
      <c r="D968" s="4" t="n"/>
      <c r="E968" s="4" t="n"/>
      <c r="F968" s="4" t="n"/>
    </row>
    <row r="969" ht="15.75" customHeight="1" s="40">
      <c r="A969" s="4" t="n"/>
      <c r="B969" s="4" t="n"/>
      <c r="C969" s="4" t="n"/>
      <c r="D969" s="4" t="n"/>
      <c r="E969" s="4" t="n"/>
      <c r="F969" s="4" t="n"/>
    </row>
    <row r="970" ht="15.75" customHeight="1" s="40">
      <c r="A970" s="4" t="n"/>
      <c r="B970" s="4" t="n"/>
      <c r="C970" s="4" t="n"/>
      <c r="D970" s="4" t="n"/>
      <c r="E970" s="4" t="n"/>
      <c r="F970" s="4" t="n"/>
    </row>
    <row r="971" ht="15.75" customHeight="1" s="40">
      <c r="A971" s="4" t="n"/>
      <c r="B971" s="4" t="n"/>
      <c r="C971" s="4" t="n"/>
      <c r="D971" s="4" t="n"/>
      <c r="E971" s="4" t="n"/>
      <c r="F971" s="4" t="n"/>
    </row>
    <row r="972" ht="15.75" customHeight="1" s="40">
      <c r="A972" s="4" t="n"/>
      <c r="B972" s="4" t="n"/>
      <c r="C972" s="4" t="n"/>
      <c r="D972" s="4" t="n"/>
      <c r="E972" s="4" t="n"/>
      <c r="F972" s="4" t="n"/>
    </row>
    <row r="973" ht="15.75" customHeight="1" s="40">
      <c r="A973" s="4" t="n"/>
      <c r="B973" s="4" t="n"/>
      <c r="C973" s="4" t="n"/>
      <c r="D973" s="4" t="n"/>
      <c r="E973" s="4" t="n"/>
      <c r="F973" s="4" t="n"/>
    </row>
    <row r="974" ht="15.75" customHeight="1" s="40">
      <c r="A974" s="4" t="n"/>
      <c r="B974" s="4" t="n"/>
      <c r="C974" s="4" t="n"/>
      <c r="D974" s="4" t="n"/>
      <c r="E974" s="4" t="n"/>
      <c r="F974" s="4" t="n"/>
    </row>
    <row r="975" ht="15.75" customHeight="1" s="40">
      <c r="A975" s="4" t="n"/>
      <c r="B975" s="4" t="n"/>
      <c r="C975" s="4" t="n"/>
      <c r="D975" s="4" t="n"/>
      <c r="E975" s="4" t="n"/>
      <c r="F975" s="4" t="n"/>
    </row>
    <row r="976" ht="15.75" customHeight="1" s="40">
      <c r="A976" s="4" t="n"/>
      <c r="B976" s="4" t="n"/>
      <c r="C976" s="4" t="n"/>
      <c r="D976" s="4" t="n"/>
      <c r="E976" s="4" t="n"/>
      <c r="F976" s="4" t="n"/>
    </row>
    <row r="977" ht="15.75" customHeight="1" s="40">
      <c r="A977" s="4" t="n"/>
      <c r="B977" s="4" t="n"/>
      <c r="C977" s="4" t="n"/>
      <c r="D977" s="4" t="n"/>
      <c r="E977" s="4" t="n"/>
      <c r="F977" s="4" t="n"/>
    </row>
    <row r="978" ht="15.75" customHeight="1" s="40">
      <c r="A978" s="4" t="n"/>
      <c r="B978" s="4" t="n"/>
      <c r="C978" s="4" t="n"/>
      <c r="D978" s="4" t="n"/>
      <c r="E978" s="4" t="n"/>
      <c r="F978" s="4" t="n"/>
    </row>
    <row r="979" ht="15.75" customHeight="1" s="40">
      <c r="A979" s="4" t="n"/>
      <c r="B979" s="4" t="n"/>
      <c r="C979" s="4" t="n"/>
      <c r="D979" s="4" t="n"/>
      <c r="E979" s="4" t="n"/>
      <c r="F979" s="4" t="n"/>
    </row>
    <row r="980" ht="15.75" customHeight="1" s="40">
      <c r="A980" s="4" t="n"/>
      <c r="B980" s="4" t="n"/>
      <c r="C980" s="4" t="n"/>
      <c r="D980" s="4" t="n"/>
      <c r="E980" s="4" t="n"/>
      <c r="F980" s="4" t="n"/>
    </row>
    <row r="981" ht="15.75" customHeight="1" s="40">
      <c r="A981" s="4" t="n"/>
      <c r="B981" s="4" t="n"/>
      <c r="C981" s="4" t="n"/>
      <c r="D981" s="4" t="n"/>
      <c r="E981" s="4" t="n"/>
      <c r="F981" s="4" t="n"/>
    </row>
    <row r="982" ht="15.75" customHeight="1" s="40">
      <c r="A982" s="4" t="n"/>
      <c r="B982" s="4" t="n"/>
      <c r="C982" s="4" t="n"/>
      <c r="D982" s="4" t="n"/>
      <c r="E982" s="4" t="n"/>
      <c r="F982" s="4" t="n"/>
    </row>
    <row r="983" ht="15.75" customHeight="1" s="40">
      <c r="A983" s="4" t="n"/>
      <c r="B983" s="4" t="n"/>
      <c r="C983" s="4" t="n"/>
      <c r="D983" s="4" t="n"/>
      <c r="E983" s="4" t="n"/>
      <c r="F983" s="4" t="n"/>
    </row>
    <row r="984" ht="15.75" customHeight="1" s="40">
      <c r="A984" s="4" t="n"/>
      <c r="B984" s="4" t="n"/>
      <c r="C984" s="4" t="n"/>
      <c r="D984" s="4" t="n"/>
      <c r="E984" s="4" t="n"/>
      <c r="F984" s="4" t="n"/>
    </row>
    <row r="985" ht="15.75" customHeight="1" s="40">
      <c r="A985" s="4" t="n"/>
      <c r="B985" s="4" t="n"/>
      <c r="C985" s="4" t="n"/>
      <c r="D985" s="4" t="n"/>
      <c r="E985" s="4" t="n"/>
      <c r="F985" s="4" t="n"/>
    </row>
    <row r="986" ht="15.75" customHeight="1" s="40">
      <c r="A986" s="4" t="n"/>
      <c r="B986" s="4" t="n"/>
      <c r="C986" s="4" t="n"/>
      <c r="D986" s="4" t="n"/>
      <c r="E986" s="4" t="n"/>
      <c r="F986" s="4" t="n"/>
    </row>
    <row r="987" ht="15.75" customHeight="1" s="40">
      <c r="A987" s="4" t="n"/>
      <c r="B987" s="4" t="n"/>
      <c r="C987" s="4" t="n"/>
      <c r="D987" s="4" t="n"/>
      <c r="E987" s="4" t="n"/>
      <c r="F987" s="4" t="n"/>
    </row>
    <row r="988" ht="15.75" customHeight="1" s="40">
      <c r="A988" s="4" t="n"/>
      <c r="B988" s="4" t="n"/>
      <c r="C988" s="4" t="n"/>
      <c r="D988" s="4" t="n"/>
      <c r="E988" s="4" t="n"/>
      <c r="F988" s="4" t="n"/>
    </row>
    <row r="989" ht="15.75" customHeight="1" s="40">
      <c r="A989" s="4" t="n"/>
      <c r="B989" s="4" t="n"/>
      <c r="C989" s="4" t="n"/>
      <c r="D989" s="4" t="n"/>
      <c r="E989" s="4" t="n"/>
      <c r="F989" s="4" t="n"/>
    </row>
    <row r="990" ht="15.75" customHeight="1" s="40">
      <c r="A990" s="4" t="n"/>
      <c r="B990" s="4" t="n"/>
      <c r="C990" s="4" t="n"/>
      <c r="D990" s="4" t="n"/>
      <c r="E990" s="4" t="n"/>
      <c r="F990" s="4" t="n"/>
    </row>
    <row r="991" ht="15.75" customHeight="1" s="40">
      <c r="A991" s="4" t="n"/>
      <c r="B991" s="4" t="n"/>
      <c r="C991" s="4" t="n"/>
      <c r="D991" s="4" t="n"/>
      <c r="E991" s="4" t="n"/>
      <c r="F991" s="4" t="n"/>
    </row>
    <row r="992" ht="15.75" customHeight="1" s="40">
      <c r="A992" s="4" t="n"/>
      <c r="B992" s="4" t="n"/>
      <c r="C992" s="4" t="n"/>
      <c r="D992" s="4" t="n"/>
      <c r="E992" s="4" t="n"/>
      <c r="F992" s="4" t="n"/>
    </row>
    <row r="993" ht="15.75" customHeight="1" s="40">
      <c r="A993" s="4" t="n"/>
      <c r="B993" s="4" t="n"/>
      <c r="C993" s="4" t="n"/>
      <c r="D993" s="4" t="n"/>
      <c r="E993" s="4" t="n"/>
      <c r="F993" s="4" t="n"/>
    </row>
    <row r="994" ht="15.75" customHeight="1" s="40">
      <c r="A994" s="4" t="n"/>
      <c r="B994" s="4" t="n"/>
      <c r="C994" s="4" t="n"/>
      <c r="D994" s="4" t="n"/>
      <c r="E994" s="4" t="n"/>
      <c r="F994" s="4" t="n"/>
    </row>
    <row r="995" ht="15.75" customHeight="1" s="40">
      <c r="A995" s="4" t="n"/>
      <c r="B995" s="4" t="n"/>
      <c r="C995" s="4" t="n"/>
      <c r="D995" s="4" t="n"/>
      <c r="E995" s="4" t="n"/>
      <c r="F995" s="4" t="n"/>
    </row>
    <row r="996" ht="15.75" customHeight="1" s="40">
      <c r="A996" s="4" t="n"/>
      <c r="B996" s="4" t="n"/>
      <c r="C996" s="4" t="n"/>
      <c r="D996" s="4" t="n"/>
      <c r="E996" s="4" t="n"/>
      <c r="F996" s="4" t="n"/>
    </row>
    <row r="997" ht="15.75" customHeight="1" s="40">
      <c r="A997" s="4" t="n"/>
      <c r="B997" s="4" t="n"/>
      <c r="C997" s="4" t="n"/>
      <c r="D997" s="4" t="n"/>
      <c r="E997" s="4" t="n"/>
      <c r="F997" s="4" t="n"/>
    </row>
    <row r="998" ht="15.75" customHeight="1" s="40">
      <c r="A998" s="4" t="n"/>
      <c r="B998" s="4" t="n"/>
      <c r="C998" s="4" t="n"/>
      <c r="D998" s="4" t="n"/>
      <c r="E998" s="4" t="n"/>
      <c r="F998" s="4" t="n"/>
    </row>
    <row r="999" ht="15.75" customHeight="1" s="40">
      <c r="A999" s="4" t="n"/>
      <c r="B999" s="4" t="n"/>
      <c r="C999" s="4" t="n"/>
      <c r="D999" s="4" t="n"/>
      <c r="E999" s="4" t="n"/>
      <c r="F999" s="4" t="n"/>
    </row>
    <row r="1000" ht="15.75" customHeight="1" s="40">
      <c r="A1000" s="4" t="n"/>
      <c r="B1000" s="4" t="n"/>
      <c r="C1000" s="4" t="n"/>
      <c r="D1000" s="4" t="n"/>
      <c r="E1000" s="4" t="n"/>
      <c r="F1000" s="4" t="n"/>
    </row>
  </sheetData>
  <autoFilter ref="$A$4:$F$14"/>
  <pageMargins left="0.75" right="0.75" top="1" bottom="1" header="0" footer="0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8" customWidth="1" style="40" min="1" max="1"/>
    <col width="96" customWidth="1" style="40" min="2" max="2"/>
    <col width="30" customWidth="1" style="40" min="3" max="3"/>
    <col width="90" customWidth="1" style="40" min="4" max="4"/>
    <col width="8.710000000000001" customWidth="1" style="40" min="5" max="26"/>
  </cols>
  <sheetData>
    <row r="1" ht="17.25" customHeight="1" s="40">
      <c r="A1" s="3" t="inlineStr">
        <is>
          <t>不变量 —— 正确性契约</t>
        </is>
      </c>
      <c r="B1" s="4" t="n"/>
      <c r="C1" s="4" t="n"/>
      <c r="D1" s="4" t="n"/>
    </row>
    <row r="2" ht="15" customHeight="1" s="40">
      <c r="A2" s="9" t="inlineStr">
        <is>
          <t>在事务边界处以代码强制执行。不在报表层，不在评审层。属于引擎硬编码行为（E4），不可配置。按编号排序 —— 本表是代码生成的输入。</t>
        </is>
      </c>
      <c r="B2" s="4" t="n"/>
      <c r="C2" s="4" t="n"/>
      <c r="D2" s="4" t="n"/>
    </row>
    <row r="3">
      <c r="A3" s="4" t="n"/>
      <c r="B3" s="4" t="n"/>
      <c r="C3" s="4" t="n"/>
      <c r="D3" s="4" t="n"/>
    </row>
    <row r="4" ht="30" customHeight="1" s="40">
      <c r="A4" s="10" t="inlineStr">
        <is>
          <t>编号</t>
        </is>
      </c>
      <c r="B4" s="10" t="inlineStr">
        <is>
          <t>不变量</t>
        </is>
      </c>
      <c r="C4" s="10" t="inlineStr">
        <is>
          <t>强制位置</t>
        </is>
      </c>
      <c r="D4" s="10" t="inlineStr">
        <is>
          <t>原因 / 失效后果</t>
        </is>
      </c>
    </row>
    <row r="5" ht="23.25" customHeight="1" s="40">
      <c r="A5" s="19" t="inlineStr">
        <is>
          <t>I1A</t>
        </is>
      </c>
      <c r="B5" s="21" t="inlineStr">
        <is>
          <t>Journal balance: Sum Dr = Sum Cr per posting_transaction_id per currency, always</t>
        </is>
      </c>
      <c r="C5" s="19" t="inlineStr">
        <is>
          <t>Posting layer</t>
        </is>
      </c>
      <c r="D5" s="21" t="inlineStr">
        <is>
          <t>Scope is the JOURNAL — not the class, not the undertaking. A per-class rule would reject the acceptance pair, whose Dr is an ON_BALANCE_ASSET and Cr an ON_BALANCE_LIABILITY by design.</t>
        </is>
      </c>
    </row>
    <row r="6" ht="15" customHeight="1" s="40">
      <c r="A6" s="14" t="inlineStr">
        <is>
          <t>I1B</t>
        </is>
      </c>
      <c r="B6" s="15" t="inlineStr">
        <is>
          <t>Contingent memo pair: contra and outstanding legs equal and opposite per undertaking_id per currency</t>
        </is>
      </c>
      <c r="C6" s="14" t="inlineStr">
        <is>
          <t>Posting layer + daily control</t>
        </is>
      </c>
      <c r="D6" s="15" t="inlineStr">
        <is>
          <t>The cheapest defect detector in the system.</t>
        </is>
      </c>
    </row>
    <row r="7" ht="15" customHeight="1" s="40">
      <c r="A7" s="19" t="inlineStr">
        <is>
          <t>I1C</t>
        </is>
      </c>
      <c r="B7" s="21" t="inlineStr">
        <is>
          <t>MEMO_ONLY pair reconciles per undertaking_id per currency</t>
        </is>
      </c>
      <c r="C7" s="19" t="inlineStr">
        <is>
          <t>Daily control</t>
        </is>
      </c>
      <c r="D7" s="21" t="inlineStr">
        <is>
          <t>A drifted shadow pair is a defect in the shadow — never a reason to adjust the accounting record.</t>
        </is>
      </c>
    </row>
    <row r="8" ht="15" customHeight="1" s="40">
      <c r="A8" s="14" t="inlineStr">
        <is>
          <t>I2</t>
        </is>
      </c>
      <c r="B8" s="15" t="inlineStr">
        <is>
          <t>A TRANSFORM release and its paired create commit in ONE transaction, or neither commits</t>
        </is>
      </c>
      <c r="C8" s="14" t="inlineStr">
        <is>
          <t>Transaction boundary</t>
        </is>
      </c>
      <c r="D8" s="15" t="inlineStr">
        <is>
          <t>Double-count during the window between the two postings. Test T25.</t>
        </is>
      </c>
    </row>
    <row r="9" ht="15" customHeight="1" s="40">
      <c r="A9" s="19" t="inlineStr">
        <is>
          <t>I3</t>
        </is>
      </c>
      <c r="B9" s="21" t="inlineStr">
        <is>
          <t>No contingent balance may go negative</t>
        </is>
      </c>
      <c r="C9" s="19" t="inlineStr">
        <is>
          <t>Posting layer</t>
        </is>
      </c>
      <c r="D9" s="21" t="inlineStr">
        <is>
          <t>Over-release masks a stranded balance elsewhere. NOT a substitute for I16.</t>
        </is>
      </c>
    </row>
    <row r="10" ht="15" customHeight="1" s="40">
      <c r="A10" s="14" t="inlineStr">
        <is>
          <t>I4</t>
        </is>
      </c>
      <c r="B10" s="15" t="inlineStr">
        <is>
          <t>No undertaking stays OUTSTANDING past expiry_date + mail_float_grace without an explicit expiry event</t>
        </is>
      </c>
      <c r="C10" s="14" t="inlineStr">
        <is>
          <t>Batch + control report</t>
        </is>
      </c>
      <c r="D10" s="15" t="inlineStr">
        <is>
          <t>Permanently overstated off-BS book.</t>
        </is>
      </c>
    </row>
    <row r="11" ht="15" customHeight="1" s="40">
      <c r="A11" s="19" t="inlineStr">
        <is>
          <t>I5</t>
        </is>
      </c>
      <c r="B11" s="21" t="inlineStr">
        <is>
          <t>Every SG carries a linked_lc_id, or an approved 'clean SG' override</t>
        </is>
      </c>
      <c r="C11" s="19" t="inlineStr">
        <is>
          <t>Event validation</t>
        </is>
      </c>
      <c r="D11" s="21" t="inlineStr">
        <is>
          <t>Unlinked SG cannot be netted; double-counts by construction.</t>
        </is>
      </c>
    </row>
    <row r="12" ht="23.25" customHeight="1" s="40">
      <c r="A12" s="14" t="inlineStr">
        <is>
          <t>I6</t>
        </is>
      </c>
      <c r="B12" s="15" t="inlineStr">
        <is>
          <t>MEMO_ONLY balances never appear in any financial statement and can never be the FROM or TO of a CONTINGENT or ON_BALANCE_* movement</t>
        </is>
      </c>
      <c r="C12" s="14" t="inlineStr">
        <is>
          <t>Posting layer + config load</t>
        </is>
      </c>
      <c r="D12" s="15" t="inlineStr">
        <is>
          <t>The shadow acceptance book reaches the financials. Tests T6, T27.</t>
        </is>
      </c>
    </row>
    <row r="13" ht="15" customHeight="1" s="40">
      <c r="A13" s="19" t="inlineStr">
        <is>
          <t>I7</t>
        </is>
      </c>
      <c r="B13" s="21" t="inlineStr">
        <is>
          <t>Corrections carry reversal_of, maker != checker, and a reason code</t>
        </is>
      </c>
      <c r="C13" s="19" t="inlineStr">
        <is>
          <t>Event validation</t>
        </is>
      </c>
      <c r="D13" s="21" t="inlineStr">
        <is>
          <t>Unauditable ledger.</t>
        </is>
      </c>
    </row>
    <row r="14" ht="23.25" customHeight="1" s="40">
      <c r="A14" s="14" t="inlineStr">
        <is>
          <t>I8</t>
        </is>
      </c>
      <c r="B14" s="15" t="inlineStr">
        <is>
          <t>Acceptance/DPU positions reduce only by ACC_MATURE, ACC_FORCED, ACC_DISCOUNT, ACC_REDUCTION_CONSENTED (or CNF_ equivalents). Never by an amendment event</t>
        </is>
      </c>
      <c r="C14" s="14" t="inlineStr">
        <is>
          <t>Posting layer</t>
        </is>
      </c>
      <c r="D14" s="15" t="inlineStr">
        <is>
          <t>An operator can write down a hard, irrevocable liability with no evidence trail.</t>
        </is>
      </c>
    </row>
    <row r="15" ht="15" customHeight="1" s="40">
      <c r="A15" s="19" t="inlineStr">
        <is>
          <t>I9</t>
        </is>
      </c>
      <c r="B15" s="21" t="inlineStr">
        <is>
          <t>ecl_ead_factor and ccf_regulatory are never read from the same field</t>
        </is>
      </c>
      <c r="C15" s="19" t="inlineStr">
        <is>
          <t>Build-time static check</t>
        </is>
      </c>
      <c r="D15" s="21" t="inlineStr">
        <is>
          <t>ECL understated fivefold across the import book.</t>
        </is>
      </c>
    </row>
    <row r="16" ht="15" customHeight="1" s="40">
      <c r="A16" s="14" t="inlineStr">
        <is>
          <t>I10</t>
        </is>
      </c>
      <c r="B16" s="15" t="inlineStr">
        <is>
          <t>Regulatory returns read only ccf_source = REGULATORY</t>
        </is>
      </c>
      <c r="C16" s="14" t="inlineStr">
        <is>
          <t>Reporting layer</t>
        </is>
      </c>
      <c r="D16" s="15" t="inlineStr">
        <is>
          <t>Internal-policy positions presented to a supervisor as if they were rules.</t>
        </is>
      </c>
    </row>
    <row r="17" ht="15" customHeight="1" s="40">
      <c r="A17" s="19" t="inlineStr">
        <is>
          <t>I11</t>
        </is>
      </c>
      <c r="B17" s="21" t="inlineStr">
        <is>
          <t>CNF_ADD fires only on the act of advising the confirmation — never off field 49</t>
        </is>
      </c>
      <c r="C17" s="19" t="inlineStr">
        <is>
          <t>Event validation</t>
        </is>
      </c>
      <c r="D17" s="21" t="inlineStr">
        <is>
          <t>Confirmation liability booked on every credit the bank was merely ASKED to confirm.</t>
        </is>
      </c>
    </row>
    <row r="18" ht="15" customHeight="1" s="40">
      <c r="A18" s="14" t="inlineStr">
        <is>
          <t>I12</t>
        </is>
      </c>
      <c r="B18" s="15" t="inlineStr">
        <is>
          <t>Expiry triggers never add Art. 14(c)'s 21 days</t>
        </is>
      </c>
      <c r="C18" s="14" t="inlineStr">
        <is>
          <t>Batch config validation</t>
        </is>
      </c>
      <c r="D18" s="15" t="inlineStr">
        <is>
          <t>Every expired LC carries ~3 extra weeks of overstated off-BS book.</t>
        </is>
      </c>
    </row>
    <row r="19" ht="15" customHeight="1" s="40">
      <c r="A19" s="19" t="inlineStr">
        <is>
          <t>I13</t>
        </is>
      </c>
      <c r="B19" s="21" t="inlineStr">
        <is>
          <t>confirmed_amount is independent of lc_amount; the contingent follows confirmed_amount</t>
        </is>
      </c>
      <c r="C19" s="19" t="inlineStr">
        <is>
          <t>Data model</t>
        </is>
      </c>
      <c r="D19" s="21" t="inlineStr">
        <is>
          <t>Overstates the undertaking on every amendment advised without confirming.</t>
        </is>
      </c>
    </row>
    <row r="20" ht="15" customHeight="1" s="40">
      <c r="A20" s="14" t="inlineStr">
        <is>
          <t>I14</t>
        </is>
      </c>
      <c r="B20" s="15" t="inlineStr">
        <is>
          <t>Cross-currency settlement posts through an FX position pair, never customer-to-nostro direct</t>
        </is>
      </c>
      <c r="C20" s="14" t="inlineStr">
        <is>
          <t>Posting layer</t>
        </is>
      </c>
      <c r="D20" s="15" t="inlineStr">
        <is>
          <t>FX trading income disappears; the position is unhedged and invisible.</t>
        </is>
      </c>
    </row>
    <row r="21" ht="23.25" customHeight="1" s="40">
      <c r="A21" s="19" t="inlineStr">
        <is>
          <t>I15</t>
        </is>
      </c>
      <c r="B21" s="21" t="inlineStr">
        <is>
          <t>Idempotency. (entity, source_system, source_ref, semantic_key) unique. Same tuple + same payload_hash returns the committed result; same tuple + DIFFERENT payload_hash is a hard reject</t>
        </is>
      </c>
      <c r="C21" s="19" t="inlineStr">
        <is>
          <t>Posting layer</t>
        </is>
      </c>
      <c r="D21" s="21" t="inlineStr">
        <is>
          <t>An MT707 network retry books the increase twice. Individually valid, passes every other invariant, undetectable afterwards. Tests T23, T31, T32.</t>
        </is>
      </c>
    </row>
    <row r="22" ht="23.25" customHeight="1" s="40">
      <c r="A22" s="14" t="inlineStr">
        <is>
          <t>I16</t>
        </is>
      </c>
      <c r="B22" s="15" t="inlineStr">
        <is>
          <t>Concurrency. Every undertaking balance update uses optimistic versioning or equivalent serialization</t>
        </is>
      </c>
      <c r="C22" s="14" t="inlineStr">
        <is>
          <t>Posting layer</t>
        </is>
      </c>
      <c r="D22" s="15" t="inlineStr">
        <is>
          <t>Two concurrent partial utilisations both pass validation under read-committed. I3 catches it only afterwards, and only sometimes. Test T24.</t>
        </is>
      </c>
    </row>
    <row r="23" ht="15" customHeight="1" s="40">
      <c r="A23" s="19" t="inlineStr">
        <is>
          <t>I17</t>
        </is>
      </c>
      <c r="B23" s="21" t="inlineStr">
        <is>
          <t>Every active L1 event resolves to exactly one movement_type and at least one L2 row</t>
        </is>
      </c>
      <c r="C23" s="19" t="inlineStr">
        <is>
          <t>Build-time, sheet L1_L2_Coverage</t>
        </is>
      </c>
      <c r="D23" s="21" t="inlineStr">
        <is>
          <t>Zero-effect events must be declared, never inferred from absence.</t>
        </is>
      </c>
    </row>
    <row r="24" ht="23.25" customHeight="1" s="40">
      <c r="A24" s="14" t="inlineStr">
        <is>
          <t>I18</t>
        </is>
      </c>
      <c r="B24" s="15" t="inlineStr">
        <is>
          <t>Framework invariance. No configuration may change which balances an event creates, or their balance_class</t>
        </is>
      </c>
      <c r="C24" s="14" t="inlineStr">
        <is>
          <t>Config load</t>
        </is>
      </c>
      <c r="D24" s="15" t="inlineStr">
        <is>
          <t>If a switch could re-route LC_ACCEPT, every invariant, ECL transformation and risk rule downstream becomes framework-dependent.</t>
        </is>
      </c>
    </row>
    <row r="25" ht="34.5" customHeight="1" s="40">
      <c r="A25" s="19" t="inlineStr">
        <is>
          <t>I19</t>
        </is>
      </c>
      <c r="B25" s="21" t="inlineStr">
        <is>
          <t>Presentation netting cannot be selected by configuration alone. The IAS 32.42 tests (legally enforceable set-off right surviving default/insolvency/bankruptcy of ALL parties, AND intent to settle net or simultaneously) must pass, per counterparty, per reporting date</t>
        </is>
      </c>
      <c r="C25" s="19" t="inlineStr">
        <is>
          <t>Reporting layer + period close (G12)</t>
        </is>
      </c>
      <c r="D25" s="21" t="inlineStr">
        <is>
          <t>A configuration value asserting an accounting-framework conclusion. Same defect class as the deleted acceptance_recognition. A failed or absent assessment resolves to GROSS — never net, never an error. Test T34.</t>
        </is>
      </c>
    </row>
    <row r="26" ht="23.25" customHeight="1" s="40">
      <c r="A26" s="14" t="inlineStr">
        <is>
          <t>I20</t>
        </is>
      </c>
      <c r="B26" s="15" t="inlineStr">
        <is>
          <t>Currency precision. Every posting amount is rounded to the accounting currency's configured precision BEFORE I1A is evaluated</t>
        </is>
      </c>
      <c r="C26" s="14" t="inlineStr">
        <is>
          <t>Posting layer</t>
        </is>
      </c>
      <c r="D26" s="15" t="inlineStr">
        <is>
          <t>Validating an unrounded journal and rounding on write is how a ledger acquires a permanent out-of-balance. Tests T30, T36.</t>
        </is>
      </c>
    </row>
    <row r="27" ht="23.25" customHeight="1" s="40">
      <c r="A27" s="19" t="inlineStr">
        <is>
          <t>I21</t>
        </is>
      </c>
      <c r="B27" s="21" t="inlineStr">
        <is>
          <t>Rounding residual. A non-zero residual is posted to an explicitly configured rounding leg within the SAME journal</t>
        </is>
      </c>
      <c r="C27" s="19" t="inlineStr">
        <is>
          <t>Posting layer</t>
        </is>
      </c>
      <c r="D27" s="21" t="inlineStr">
        <is>
          <t>May never be dropped, absorbed into the first or largest leg, or carried across journals. Appears first in the PRO-RATA MARGIN step of an ordinary same-currency sight honour — it is not an FX-only concern. Test T36.</t>
        </is>
      </c>
    </row>
    <row r="28" ht="34.5" customHeight="1" s="40">
      <c r="A28" s="14" t="inlineStr">
        <is>
          <t>I22</t>
        </is>
      </c>
      <c r="B28" s="15" t="inlineStr">
        <is>
          <t>Amount-direction separation. movement owns DIRECTION; amount_basis_code owns MAGNITUDE. NON_NEGATIVE bases pair with INCREASE/DECREASE; SIGNED bases must use DERIVED_FROM_SIGN; MIRROR rows use MIRRORED</t>
        </is>
      </c>
      <c r="C28" s="14" t="inlineStr">
        <is>
          <t>Build-time, gate G13</t>
        </is>
      </c>
      <c r="D28" s="15" t="inlineStr">
        <is>
          <t>Two independent direction signals. AMENDMENT_DELTA resolving signed while movement said DECREASE meant a decrease could be implemented as an increase. Test T37.</t>
        </is>
      </c>
    </row>
    <row r="29" ht="15.75" customHeight="1" s="40">
      <c r="A29" s="4" t="n"/>
      <c r="B29" s="4" t="n"/>
      <c r="C29" s="4" t="n"/>
      <c r="D29" s="4" t="n"/>
    </row>
    <row r="30" ht="15.75" customHeight="1" s="40">
      <c r="A30" s="4" t="n"/>
      <c r="B30" s="4" t="n"/>
      <c r="C30" s="4" t="n"/>
      <c r="D30" s="4" t="n"/>
    </row>
    <row r="31" ht="15.75" customHeight="1" s="40">
      <c r="A31" s="4" t="n"/>
      <c r="B31" s="4" t="n"/>
      <c r="C31" s="4" t="n"/>
      <c r="D31" s="4" t="n"/>
    </row>
    <row r="32" ht="15.75" customHeight="1" s="40">
      <c r="A32" s="4" t="n"/>
      <c r="B32" s="4" t="n"/>
      <c r="C32" s="4" t="n"/>
      <c r="D32" s="4" t="n"/>
    </row>
    <row r="33" ht="15.75" customHeight="1" s="40">
      <c r="A33" s="4" t="n"/>
      <c r="B33" s="4" t="n"/>
      <c r="C33" s="4" t="n"/>
      <c r="D33" s="4" t="n"/>
    </row>
    <row r="34" ht="15.75" customHeight="1" s="40">
      <c r="A34" s="4" t="n"/>
      <c r="B34" s="4" t="n"/>
      <c r="C34" s="4" t="n"/>
      <c r="D34" s="4" t="n"/>
    </row>
    <row r="35" ht="15.75" customHeight="1" s="40">
      <c r="A35" s="4" t="n"/>
      <c r="B35" s="4" t="n"/>
      <c r="C35" s="4" t="n"/>
      <c r="D35" s="4" t="n"/>
    </row>
    <row r="36" ht="15.75" customHeight="1" s="40">
      <c r="A36" s="4" t="n"/>
      <c r="B36" s="4" t="n"/>
      <c r="C36" s="4" t="n"/>
      <c r="D36" s="4" t="n"/>
    </row>
    <row r="37" ht="15.75" customHeight="1" s="40">
      <c r="A37" s="4" t="n"/>
      <c r="B37" s="4" t="n"/>
      <c r="C37" s="4" t="n"/>
      <c r="D37" s="4" t="n"/>
    </row>
    <row r="38" ht="15.75" customHeight="1" s="40">
      <c r="A38" s="4" t="n"/>
      <c r="B38" s="4" t="n"/>
      <c r="C38" s="4" t="n"/>
      <c r="D38" s="4" t="n"/>
    </row>
    <row r="39" ht="15.75" customHeight="1" s="40">
      <c r="A39" s="4" t="n"/>
      <c r="B39" s="4" t="n"/>
      <c r="C39" s="4" t="n"/>
      <c r="D39" s="4" t="n"/>
    </row>
    <row r="40" ht="15.75" customHeight="1" s="40">
      <c r="A40" s="4" t="n"/>
      <c r="B40" s="4" t="n"/>
      <c r="C40" s="4" t="n"/>
      <c r="D40" s="4" t="n"/>
    </row>
    <row r="41" ht="15.75" customHeight="1" s="40">
      <c r="A41" s="4" t="n"/>
      <c r="B41" s="4" t="n"/>
      <c r="C41" s="4" t="n"/>
      <c r="D41" s="4" t="n"/>
    </row>
    <row r="42" ht="15.75" customHeight="1" s="40">
      <c r="A42" s="4" t="n"/>
      <c r="B42" s="4" t="n"/>
      <c r="C42" s="4" t="n"/>
      <c r="D42" s="4" t="n"/>
    </row>
    <row r="43" ht="15.75" customHeight="1" s="40">
      <c r="A43" s="4" t="n"/>
      <c r="B43" s="4" t="n"/>
      <c r="C43" s="4" t="n"/>
      <c r="D43" s="4" t="n"/>
    </row>
    <row r="44" ht="15.75" customHeight="1" s="40">
      <c r="A44" s="4" t="n"/>
      <c r="B44" s="4" t="n"/>
      <c r="C44" s="4" t="n"/>
      <c r="D44" s="4" t="n"/>
    </row>
    <row r="45" ht="15.75" customHeight="1" s="40">
      <c r="A45" s="4" t="n"/>
      <c r="B45" s="4" t="n"/>
      <c r="C45" s="4" t="n"/>
      <c r="D45" s="4" t="n"/>
    </row>
    <row r="46" ht="15.75" customHeight="1" s="40">
      <c r="A46" s="4" t="n"/>
      <c r="B46" s="4" t="n"/>
      <c r="C46" s="4" t="n"/>
      <c r="D46" s="4" t="n"/>
    </row>
    <row r="47" ht="15.75" customHeight="1" s="40">
      <c r="A47" s="4" t="n"/>
      <c r="B47" s="4" t="n"/>
      <c r="C47" s="4" t="n"/>
      <c r="D47" s="4" t="n"/>
    </row>
    <row r="48" ht="15.75" customHeight="1" s="40">
      <c r="A48" s="4" t="n"/>
      <c r="B48" s="4" t="n"/>
      <c r="C48" s="4" t="n"/>
      <c r="D48" s="4" t="n"/>
    </row>
    <row r="49" ht="15.75" customHeight="1" s="40">
      <c r="A49" s="4" t="n"/>
      <c r="B49" s="4" t="n"/>
      <c r="C49" s="4" t="n"/>
      <c r="D49" s="4" t="n"/>
    </row>
    <row r="50" ht="15.75" customHeight="1" s="40">
      <c r="A50" s="4" t="n"/>
      <c r="B50" s="4" t="n"/>
      <c r="C50" s="4" t="n"/>
      <c r="D50" s="4" t="n"/>
    </row>
    <row r="51" ht="15.75" customHeight="1" s="40">
      <c r="A51" s="4" t="n"/>
      <c r="B51" s="4" t="n"/>
      <c r="C51" s="4" t="n"/>
      <c r="D51" s="4" t="n"/>
    </row>
    <row r="52" ht="15.75" customHeight="1" s="40">
      <c r="A52" s="4" t="n"/>
      <c r="B52" s="4" t="n"/>
      <c r="C52" s="4" t="n"/>
      <c r="D52" s="4" t="n"/>
    </row>
    <row r="53" ht="15.75" customHeight="1" s="40">
      <c r="A53" s="4" t="n"/>
      <c r="B53" s="4" t="n"/>
      <c r="C53" s="4" t="n"/>
      <c r="D53" s="4" t="n"/>
    </row>
    <row r="54" ht="15.75" customHeight="1" s="40">
      <c r="A54" s="4" t="n"/>
      <c r="B54" s="4" t="n"/>
      <c r="C54" s="4" t="n"/>
      <c r="D54" s="4" t="n"/>
    </row>
    <row r="55" ht="15.75" customHeight="1" s="40">
      <c r="A55" s="4" t="n"/>
      <c r="B55" s="4" t="n"/>
      <c r="C55" s="4" t="n"/>
      <c r="D55" s="4" t="n"/>
    </row>
    <row r="56" ht="15.75" customHeight="1" s="40">
      <c r="A56" s="4" t="n"/>
      <c r="B56" s="4" t="n"/>
      <c r="C56" s="4" t="n"/>
      <c r="D56" s="4" t="n"/>
    </row>
    <row r="57" ht="15.75" customHeight="1" s="40">
      <c r="A57" s="4" t="n"/>
      <c r="B57" s="4" t="n"/>
      <c r="C57" s="4" t="n"/>
      <c r="D57" s="4" t="n"/>
    </row>
    <row r="58" ht="15.75" customHeight="1" s="40">
      <c r="A58" s="4" t="n"/>
      <c r="B58" s="4" t="n"/>
      <c r="C58" s="4" t="n"/>
      <c r="D58" s="4" t="n"/>
    </row>
    <row r="59" ht="15.75" customHeight="1" s="40">
      <c r="A59" s="4" t="n"/>
      <c r="B59" s="4" t="n"/>
      <c r="C59" s="4" t="n"/>
      <c r="D59" s="4" t="n"/>
    </row>
    <row r="60" ht="15.75" customHeight="1" s="40">
      <c r="A60" s="4" t="n"/>
      <c r="B60" s="4" t="n"/>
      <c r="C60" s="4" t="n"/>
      <c r="D60" s="4" t="n"/>
    </row>
    <row r="61" ht="15.75" customHeight="1" s="40">
      <c r="A61" s="4" t="n"/>
      <c r="B61" s="4" t="n"/>
      <c r="C61" s="4" t="n"/>
      <c r="D61" s="4" t="n"/>
    </row>
    <row r="62" ht="15.75" customHeight="1" s="40">
      <c r="A62" s="4" t="n"/>
      <c r="B62" s="4" t="n"/>
      <c r="C62" s="4" t="n"/>
      <c r="D62" s="4" t="n"/>
    </row>
    <row r="63" ht="15.75" customHeight="1" s="40">
      <c r="A63" s="4" t="n"/>
      <c r="B63" s="4" t="n"/>
      <c r="C63" s="4" t="n"/>
      <c r="D63" s="4" t="n"/>
    </row>
    <row r="64" ht="15.75" customHeight="1" s="40">
      <c r="A64" s="4" t="n"/>
      <c r="B64" s="4" t="n"/>
      <c r="C64" s="4" t="n"/>
      <c r="D64" s="4" t="n"/>
    </row>
    <row r="65" ht="15.75" customHeight="1" s="40">
      <c r="A65" s="4" t="n"/>
      <c r="B65" s="4" t="n"/>
      <c r="C65" s="4" t="n"/>
      <c r="D65" s="4" t="n"/>
    </row>
    <row r="66" ht="15.75" customHeight="1" s="40">
      <c r="A66" s="4" t="n"/>
      <c r="B66" s="4" t="n"/>
      <c r="C66" s="4" t="n"/>
      <c r="D66" s="4" t="n"/>
    </row>
    <row r="67" ht="15.75" customHeight="1" s="40">
      <c r="A67" s="4" t="n"/>
      <c r="B67" s="4" t="n"/>
      <c r="C67" s="4" t="n"/>
      <c r="D67" s="4" t="n"/>
    </row>
    <row r="68" ht="15.75" customHeight="1" s="40">
      <c r="A68" s="4" t="n"/>
      <c r="B68" s="4" t="n"/>
      <c r="C68" s="4" t="n"/>
      <c r="D68" s="4" t="n"/>
    </row>
    <row r="69" ht="15.75" customHeight="1" s="40">
      <c r="A69" s="4" t="n"/>
      <c r="B69" s="4" t="n"/>
      <c r="C69" s="4" t="n"/>
      <c r="D69" s="4" t="n"/>
    </row>
    <row r="70" ht="15.75" customHeight="1" s="40">
      <c r="A70" s="4" t="n"/>
      <c r="B70" s="4" t="n"/>
      <c r="C70" s="4" t="n"/>
      <c r="D70" s="4" t="n"/>
    </row>
    <row r="71" ht="15.75" customHeight="1" s="40">
      <c r="A71" s="4" t="n"/>
      <c r="B71" s="4" t="n"/>
      <c r="C71" s="4" t="n"/>
      <c r="D71" s="4" t="n"/>
    </row>
    <row r="72" ht="15.75" customHeight="1" s="40">
      <c r="A72" s="4" t="n"/>
      <c r="B72" s="4" t="n"/>
      <c r="C72" s="4" t="n"/>
      <c r="D72" s="4" t="n"/>
    </row>
    <row r="73" ht="15.75" customHeight="1" s="40">
      <c r="A73" s="4" t="n"/>
      <c r="B73" s="4" t="n"/>
      <c r="C73" s="4" t="n"/>
      <c r="D73" s="4" t="n"/>
    </row>
    <row r="74" ht="15.75" customHeight="1" s="40">
      <c r="A74" s="4" t="n"/>
      <c r="B74" s="4" t="n"/>
      <c r="C74" s="4" t="n"/>
      <c r="D74" s="4" t="n"/>
    </row>
    <row r="75" ht="15.75" customHeight="1" s="40">
      <c r="A75" s="4" t="n"/>
      <c r="B75" s="4" t="n"/>
      <c r="C75" s="4" t="n"/>
      <c r="D75" s="4" t="n"/>
    </row>
    <row r="76" ht="15.75" customHeight="1" s="40">
      <c r="A76" s="4" t="n"/>
      <c r="B76" s="4" t="n"/>
      <c r="C76" s="4" t="n"/>
      <c r="D76" s="4" t="n"/>
    </row>
    <row r="77" ht="15.75" customHeight="1" s="40">
      <c r="A77" s="4" t="n"/>
      <c r="B77" s="4" t="n"/>
      <c r="C77" s="4" t="n"/>
      <c r="D77" s="4" t="n"/>
    </row>
    <row r="78" ht="15.75" customHeight="1" s="40">
      <c r="A78" s="4" t="n"/>
      <c r="B78" s="4" t="n"/>
      <c r="C78" s="4" t="n"/>
      <c r="D78" s="4" t="n"/>
    </row>
    <row r="79" ht="15.75" customHeight="1" s="40">
      <c r="A79" s="4" t="n"/>
      <c r="B79" s="4" t="n"/>
      <c r="C79" s="4" t="n"/>
      <c r="D79" s="4" t="n"/>
    </row>
    <row r="80" ht="15.75" customHeight="1" s="40">
      <c r="A80" s="4" t="n"/>
      <c r="B80" s="4" t="n"/>
      <c r="C80" s="4" t="n"/>
      <c r="D80" s="4" t="n"/>
    </row>
    <row r="81" ht="15.75" customHeight="1" s="40">
      <c r="A81" s="4" t="n"/>
      <c r="B81" s="4" t="n"/>
      <c r="C81" s="4" t="n"/>
      <c r="D81" s="4" t="n"/>
    </row>
    <row r="82" ht="15.75" customHeight="1" s="40">
      <c r="A82" s="4" t="n"/>
      <c r="B82" s="4" t="n"/>
      <c r="C82" s="4" t="n"/>
      <c r="D82" s="4" t="n"/>
    </row>
    <row r="83" ht="15.75" customHeight="1" s="40">
      <c r="A83" s="4" t="n"/>
      <c r="B83" s="4" t="n"/>
      <c r="C83" s="4" t="n"/>
      <c r="D83" s="4" t="n"/>
    </row>
    <row r="84" ht="15.75" customHeight="1" s="40">
      <c r="A84" s="4" t="n"/>
      <c r="B84" s="4" t="n"/>
      <c r="C84" s="4" t="n"/>
      <c r="D84" s="4" t="n"/>
    </row>
    <row r="85" ht="15.75" customHeight="1" s="40">
      <c r="A85" s="4" t="n"/>
      <c r="B85" s="4" t="n"/>
      <c r="C85" s="4" t="n"/>
      <c r="D85" s="4" t="n"/>
    </row>
    <row r="86" ht="15.75" customHeight="1" s="40">
      <c r="A86" s="4" t="n"/>
      <c r="B86" s="4" t="n"/>
      <c r="C86" s="4" t="n"/>
      <c r="D86" s="4" t="n"/>
    </row>
    <row r="87" ht="15.75" customHeight="1" s="40">
      <c r="A87" s="4" t="n"/>
      <c r="B87" s="4" t="n"/>
      <c r="C87" s="4" t="n"/>
      <c r="D87" s="4" t="n"/>
    </row>
    <row r="88" ht="15.75" customHeight="1" s="40">
      <c r="A88" s="4" t="n"/>
      <c r="B88" s="4" t="n"/>
      <c r="C88" s="4" t="n"/>
      <c r="D88" s="4" t="n"/>
    </row>
    <row r="89" ht="15.75" customHeight="1" s="40">
      <c r="A89" s="4" t="n"/>
      <c r="B89" s="4" t="n"/>
      <c r="C89" s="4" t="n"/>
      <c r="D89" s="4" t="n"/>
    </row>
    <row r="90" ht="15.75" customHeight="1" s="40">
      <c r="A90" s="4" t="n"/>
      <c r="B90" s="4" t="n"/>
      <c r="C90" s="4" t="n"/>
      <c r="D90" s="4" t="n"/>
    </row>
    <row r="91" ht="15.75" customHeight="1" s="40">
      <c r="A91" s="4" t="n"/>
      <c r="B91" s="4" t="n"/>
      <c r="C91" s="4" t="n"/>
      <c r="D91" s="4" t="n"/>
    </row>
    <row r="92" ht="15.75" customHeight="1" s="40">
      <c r="A92" s="4" t="n"/>
      <c r="B92" s="4" t="n"/>
      <c r="C92" s="4" t="n"/>
      <c r="D92" s="4" t="n"/>
    </row>
    <row r="93" ht="15.75" customHeight="1" s="40">
      <c r="A93" s="4" t="n"/>
      <c r="B93" s="4" t="n"/>
      <c r="C93" s="4" t="n"/>
      <c r="D93" s="4" t="n"/>
    </row>
    <row r="94" ht="15.75" customHeight="1" s="40">
      <c r="A94" s="4" t="n"/>
      <c r="B94" s="4" t="n"/>
      <c r="C94" s="4" t="n"/>
      <c r="D94" s="4" t="n"/>
    </row>
    <row r="95" ht="15.75" customHeight="1" s="40">
      <c r="A95" s="4" t="n"/>
      <c r="B95" s="4" t="n"/>
      <c r="C95" s="4" t="n"/>
      <c r="D95" s="4" t="n"/>
    </row>
    <row r="96" ht="15.75" customHeight="1" s="40">
      <c r="A96" s="4" t="n"/>
      <c r="B96" s="4" t="n"/>
      <c r="C96" s="4" t="n"/>
      <c r="D96" s="4" t="n"/>
    </row>
    <row r="97" ht="15.75" customHeight="1" s="40">
      <c r="A97" s="4" t="n"/>
      <c r="B97" s="4" t="n"/>
      <c r="C97" s="4" t="n"/>
      <c r="D97" s="4" t="n"/>
    </row>
    <row r="98" ht="15.75" customHeight="1" s="40">
      <c r="A98" s="4" t="n"/>
      <c r="B98" s="4" t="n"/>
      <c r="C98" s="4" t="n"/>
      <c r="D98" s="4" t="n"/>
    </row>
    <row r="99" ht="15.75" customHeight="1" s="40">
      <c r="A99" s="4" t="n"/>
      <c r="B99" s="4" t="n"/>
      <c r="C99" s="4" t="n"/>
      <c r="D99" s="4" t="n"/>
    </row>
    <row r="100" ht="15.75" customHeight="1" s="40">
      <c r="A100" s="4" t="n"/>
      <c r="B100" s="4" t="n"/>
      <c r="C100" s="4" t="n"/>
      <c r="D100" s="4" t="n"/>
    </row>
    <row r="101" ht="15.75" customHeight="1" s="40">
      <c r="A101" s="4" t="n"/>
      <c r="B101" s="4" t="n"/>
      <c r="C101" s="4" t="n"/>
      <c r="D101" s="4" t="n"/>
    </row>
    <row r="102" ht="15.75" customHeight="1" s="40">
      <c r="A102" s="4" t="n"/>
      <c r="B102" s="4" t="n"/>
      <c r="C102" s="4" t="n"/>
      <c r="D102" s="4" t="n"/>
    </row>
    <row r="103" ht="15.75" customHeight="1" s="40">
      <c r="A103" s="4" t="n"/>
      <c r="B103" s="4" t="n"/>
      <c r="C103" s="4" t="n"/>
      <c r="D103" s="4" t="n"/>
    </row>
    <row r="104" ht="15.75" customHeight="1" s="40">
      <c r="A104" s="4" t="n"/>
      <c r="B104" s="4" t="n"/>
      <c r="C104" s="4" t="n"/>
      <c r="D104" s="4" t="n"/>
    </row>
    <row r="105" ht="15.75" customHeight="1" s="40">
      <c r="A105" s="4" t="n"/>
      <c r="B105" s="4" t="n"/>
      <c r="C105" s="4" t="n"/>
      <c r="D105" s="4" t="n"/>
    </row>
    <row r="106" ht="15.75" customHeight="1" s="40">
      <c r="A106" s="4" t="n"/>
      <c r="B106" s="4" t="n"/>
      <c r="C106" s="4" t="n"/>
      <c r="D106" s="4" t="n"/>
    </row>
    <row r="107" ht="15.75" customHeight="1" s="40">
      <c r="A107" s="4" t="n"/>
      <c r="B107" s="4" t="n"/>
      <c r="C107" s="4" t="n"/>
      <c r="D107" s="4" t="n"/>
    </row>
    <row r="108" ht="15.75" customHeight="1" s="40">
      <c r="A108" s="4" t="n"/>
      <c r="B108" s="4" t="n"/>
      <c r="C108" s="4" t="n"/>
      <c r="D108" s="4" t="n"/>
    </row>
    <row r="109" ht="15.75" customHeight="1" s="40">
      <c r="A109" s="4" t="n"/>
      <c r="B109" s="4" t="n"/>
      <c r="C109" s="4" t="n"/>
      <c r="D109" s="4" t="n"/>
    </row>
    <row r="110" ht="15.75" customHeight="1" s="40">
      <c r="A110" s="4" t="n"/>
      <c r="B110" s="4" t="n"/>
      <c r="C110" s="4" t="n"/>
      <c r="D110" s="4" t="n"/>
    </row>
    <row r="111" ht="15.75" customHeight="1" s="40">
      <c r="A111" s="4" t="n"/>
      <c r="B111" s="4" t="n"/>
      <c r="C111" s="4" t="n"/>
      <c r="D111" s="4" t="n"/>
    </row>
    <row r="112" ht="15.75" customHeight="1" s="40">
      <c r="A112" s="4" t="n"/>
      <c r="B112" s="4" t="n"/>
      <c r="C112" s="4" t="n"/>
      <c r="D112" s="4" t="n"/>
    </row>
    <row r="113" ht="15.75" customHeight="1" s="40">
      <c r="A113" s="4" t="n"/>
      <c r="B113" s="4" t="n"/>
      <c r="C113" s="4" t="n"/>
      <c r="D113" s="4" t="n"/>
    </row>
    <row r="114" ht="15.75" customHeight="1" s="40">
      <c r="A114" s="4" t="n"/>
      <c r="B114" s="4" t="n"/>
      <c r="C114" s="4" t="n"/>
      <c r="D114" s="4" t="n"/>
    </row>
    <row r="115" ht="15.75" customHeight="1" s="40">
      <c r="A115" s="4" t="n"/>
      <c r="B115" s="4" t="n"/>
      <c r="C115" s="4" t="n"/>
      <c r="D115" s="4" t="n"/>
    </row>
    <row r="116" ht="15.75" customHeight="1" s="40">
      <c r="A116" s="4" t="n"/>
      <c r="B116" s="4" t="n"/>
      <c r="C116" s="4" t="n"/>
      <c r="D116" s="4" t="n"/>
    </row>
    <row r="117" ht="15.75" customHeight="1" s="40">
      <c r="A117" s="4" t="n"/>
      <c r="B117" s="4" t="n"/>
      <c r="C117" s="4" t="n"/>
      <c r="D117" s="4" t="n"/>
    </row>
    <row r="118" ht="15.75" customHeight="1" s="40">
      <c r="A118" s="4" t="n"/>
      <c r="B118" s="4" t="n"/>
      <c r="C118" s="4" t="n"/>
      <c r="D118" s="4" t="n"/>
    </row>
    <row r="119" ht="15.75" customHeight="1" s="40">
      <c r="A119" s="4" t="n"/>
      <c r="B119" s="4" t="n"/>
      <c r="C119" s="4" t="n"/>
      <c r="D119" s="4" t="n"/>
    </row>
    <row r="120" ht="15.75" customHeight="1" s="40">
      <c r="A120" s="4" t="n"/>
      <c r="B120" s="4" t="n"/>
      <c r="C120" s="4" t="n"/>
      <c r="D120" s="4" t="n"/>
    </row>
    <row r="121" ht="15.75" customHeight="1" s="40">
      <c r="A121" s="4" t="n"/>
      <c r="B121" s="4" t="n"/>
      <c r="C121" s="4" t="n"/>
      <c r="D121" s="4" t="n"/>
    </row>
    <row r="122" ht="15.75" customHeight="1" s="40">
      <c r="A122" s="4" t="n"/>
      <c r="B122" s="4" t="n"/>
      <c r="C122" s="4" t="n"/>
      <c r="D122" s="4" t="n"/>
    </row>
    <row r="123" ht="15.75" customHeight="1" s="40">
      <c r="A123" s="4" t="n"/>
      <c r="B123" s="4" t="n"/>
      <c r="C123" s="4" t="n"/>
      <c r="D123" s="4" t="n"/>
    </row>
    <row r="124" ht="15.75" customHeight="1" s="40">
      <c r="A124" s="4" t="n"/>
      <c r="B124" s="4" t="n"/>
      <c r="C124" s="4" t="n"/>
      <c r="D124" s="4" t="n"/>
    </row>
    <row r="125" ht="15.75" customHeight="1" s="40">
      <c r="A125" s="4" t="n"/>
      <c r="B125" s="4" t="n"/>
      <c r="C125" s="4" t="n"/>
      <c r="D125" s="4" t="n"/>
    </row>
    <row r="126" ht="15.75" customHeight="1" s="40">
      <c r="A126" s="4" t="n"/>
      <c r="B126" s="4" t="n"/>
      <c r="C126" s="4" t="n"/>
      <c r="D126" s="4" t="n"/>
    </row>
    <row r="127" ht="15.75" customHeight="1" s="40">
      <c r="A127" s="4" t="n"/>
      <c r="B127" s="4" t="n"/>
      <c r="C127" s="4" t="n"/>
      <c r="D127" s="4" t="n"/>
    </row>
    <row r="128" ht="15.75" customHeight="1" s="40">
      <c r="A128" s="4" t="n"/>
      <c r="B128" s="4" t="n"/>
      <c r="C128" s="4" t="n"/>
      <c r="D128" s="4" t="n"/>
    </row>
    <row r="129" ht="15.75" customHeight="1" s="40">
      <c r="A129" s="4" t="n"/>
      <c r="B129" s="4" t="n"/>
      <c r="C129" s="4" t="n"/>
      <c r="D129" s="4" t="n"/>
    </row>
    <row r="130" ht="15.75" customHeight="1" s="40">
      <c r="A130" s="4" t="n"/>
      <c r="B130" s="4" t="n"/>
      <c r="C130" s="4" t="n"/>
      <c r="D130" s="4" t="n"/>
    </row>
    <row r="131" ht="15.75" customHeight="1" s="40">
      <c r="A131" s="4" t="n"/>
      <c r="B131" s="4" t="n"/>
      <c r="C131" s="4" t="n"/>
      <c r="D131" s="4" t="n"/>
    </row>
    <row r="132" ht="15.75" customHeight="1" s="40">
      <c r="A132" s="4" t="n"/>
      <c r="B132" s="4" t="n"/>
      <c r="C132" s="4" t="n"/>
      <c r="D132" s="4" t="n"/>
    </row>
    <row r="133" ht="15.75" customHeight="1" s="40">
      <c r="A133" s="4" t="n"/>
      <c r="B133" s="4" t="n"/>
      <c r="C133" s="4" t="n"/>
      <c r="D133" s="4" t="n"/>
    </row>
    <row r="134" ht="15.75" customHeight="1" s="40">
      <c r="A134" s="4" t="n"/>
      <c r="B134" s="4" t="n"/>
      <c r="C134" s="4" t="n"/>
      <c r="D134" s="4" t="n"/>
    </row>
    <row r="135" ht="15.75" customHeight="1" s="40">
      <c r="A135" s="4" t="n"/>
      <c r="B135" s="4" t="n"/>
      <c r="C135" s="4" t="n"/>
      <c r="D135" s="4" t="n"/>
    </row>
    <row r="136" ht="15.75" customHeight="1" s="40">
      <c r="A136" s="4" t="n"/>
      <c r="B136" s="4" t="n"/>
      <c r="C136" s="4" t="n"/>
      <c r="D136" s="4" t="n"/>
    </row>
    <row r="137" ht="15.75" customHeight="1" s="40">
      <c r="A137" s="4" t="n"/>
      <c r="B137" s="4" t="n"/>
      <c r="C137" s="4" t="n"/>
      <c r="D137" s="4" t="n"/>
    </row>
    <row r="138" ht="15.75" customHeight="1" s="40">
      <c r="A138" s="4" t="n"/>
      <c r="B138" s="4" t="n"/>
      <c r="C138" s="4" t="n"/>
      <c r="D138" s="4" t="n"/>
    </row>
    <row r="139" ht="15.75" customHeight="1" s="40">
      <c r="A139" s="4" t="n"/>
      <c r="B139" s="4" t="n"/>
      <c r="C139" s="4" t="n"/>
      <c r="D139" s="4" t="n"/>
    </row>
    <row r="140" ht="15.75" customHeight="1" s="40">
      <c r="A140" s="4" t="n"/>
      <c r="B140" s="4" t="n"/>
      <c r="C140" s="4" t="n"/>
      <c r="D140" s="4" t="n"/>
    </row>
    <row r="141" ht="15.75" customHeight="1" s="40">
      <c r="A141" s="4" t="n"/>
      <c r="B141" s="4" t="n"/>
      <c r="C141" s="4" t="n"/>
      <c r="D141" s="4" t="n"/>
    </row>
    <row r="142" ht="15.75" customHeight="1" s="40">
      <c r="A142" s="4" t="n"/>
      <c r="B142" s="4" t="n"/>
      <c r="C142" s="4" t="n"/>
      <c r="D142" s="4" t="n"/>
    </row>
    <row r="143" ht="15.75" customHeight="1" s="40">
      <c r="A143" s="4" t="n"/>
      <c r="B143" s="4" t="n"/>
      <c r="C143" s="4" t="n"/>
      <c r="D143" s="4" t="n"/>
    </row>
    <row r="144" ht="15.75" customHeight="1" s="40">
      <c r="A144" s="4" t="n"/>
      <c r="B144" s="4" t="n"/>
      <c r="C144" s="4" t="n"/>
      <c r="D144" s="4" t="n"/>
    </row>
    <row r="145" ht="15.75" customHeight="1" s="40">
      <c r="A145" s="4" t="n"/>
      <c r="B145" s="4" t="n"/>
      <c r="C145" s="4" t="n"/>
      <c r="D145" s="4" t="n"/>
    </row>
    <row r="146" ht="15.75" customHeight="1" s="40">
      <c r="A146" s="4" t="n"/>
      <c r="B146" s="4" t="n"/>
      <c r="C146" s="4" t="n"/>
      <c r="D146" s="4" t="n"/>
    </row>
    <row r="147" ht="15.75" customHeight="1" s="40">
      <c r="A147" s="4" t="n"/>
      <c r="B147" s="4" t="n"/>
      <c r="C147" s="4" t="n"/>
      <c r="D147" s="4" t="n"/>
    </row>
    <row r="148" ht="15.75" customHeight="1" s="40">
      <c r="A148" s="4" t="n"/>
      <c r="B148" s="4" t="n"/>
      <c r="C148" s="4" t="n"/>
      <c r="D148" s="4" t="n"/>
    </row>
    <row r="149" ht="15.75" customHeight="1" s="40">
      <c r="A149" s="4" t="n"/>
      <c r="B149" s="4" t="n"/>
      <c r="C149" s="4" t="n"/>
      <c r="D149" s="4" t="n"/>
    </row>
    <row r="150" ht="15.75" customHeight="1" s="40">
      <c r="A150" s="4" t="n"/>
      <c r="B150" s="4" t="n"/>
      <c r="C150" s="4" t="n"/>
      <c r="D150" s="4" t="n"/>
    </row>
    <row r="151" ht="15.75" customHeight="1" s="40">
      <c r="A151" s="4" t="n"/>
      <c r="B151" s="4" t="n"/>
      <c r="C151" s="4" t="n"/>
      <c r="D151" s="4" t="n"/>
    </row>
    <row r="152" ht="15.75" customHeight="1" s="40">
      <c r="A152" s="4" t="n"/>
      <c r="B152" s="4" t="n"/>
      <c r="C152" s="4" t="n"/>
      <c r="D152" s="4" t="n"/>
    </row>
    <row r="153" ht="15.75" customHeight="1" s="40">
      <c r="A153" s="4" t="n"/>
      <c r="B153" s="4" t="n"/>
      <c r="C153" s="4" t="n"/>
      <c r="D153" s="4" t="n"/>
    </row>
    <row r="154" ht="15.75" customHeight="1" s="40">
      <c r="A154" s="4" t="n"/>
      <c r="B154" s="4" t="n"/>
      <c r="C154" s="4" t="n"/>
      <c r="D154" s="4" t="n"/>
    </row>
    <row r="155" ht="15.75" customHeight="1" s="40">
      <c r="A155" s="4" t="n"/>
      <c r="B155" s="4" t="n"/>
      <c r="C155" s="4" t="n"/>
      <c r="D155" s="4" t="n"/>
    </row>
    <row r="156" ht="15.75" customHeight="1" s="40">
      <c r="A156" s="4" t="n"/>
      <c r="B156" s="4" t="n"/>
      <c r="C156" s="4" t="n"/>
      <c r="D156" s="4" t="n"/>
    </row>
    <row r="157" ht="15.75" customHeight="1" s="40">
      <c r="A157" s="4" t="n"/>
      <c r="B157" s="4" t="n"/>
      <c r="C157" s="4" t="n"/>
      <c r="D157" s="4" t="n"/>
    </row>
    <row r="158" ht="15.75" customHeight="1" s="40">
      <c r="A158" s="4" t="n"/>
      <c r="B158" s="4" t="n"/>
      <c r="C158" s="4" t="n"/>
      <c r="D158" s="4" t="n"/>
    </row>
    <row r="159" ht="15.75" customHeight="1" s="40">
      <c r="A159" s="4" t="n"/>
      <c r="B159" s="4" t="n"/>
      <c r="C159" s="4" t="n"/>
      <c r="D159" s="4" t="n"/>
    </row>
    <row r="160" ht="15.75" customHeight="1" s="40">
      <c r="A160" s="4" t="n"/>
      <c r="B160" s="4" t="n"/>
      <c r="C160" s="4" t="n"/>
      <c r="D160" s="4" t="n"/>
    </row>
    <row r="161" ht="15.75" customHeight="1" s="40">
      <c r="A161" s="4" t="n"/>
      <c r="B161" s="4" t="n"/>
      <c r="C161" s="4" t="n"/>
      <c r="D161" s="4" t="n"/>
    </row>
    <row r="162" ht="15.75" customHeight="1" s="40">
      <c r="A162" s="4" t="n"/>
      <c r="B162" s="4" t="n"/>
      <c r="C162" s="4" t="n"/>
      <c r="D162" s="4" t="n"/>
    </row>
    <row r="163" ht="15.75" customHeight="1" s="40">
      <c r="A163" s="4" t="n"/>
      <c r="B163" s="4" t="n"/>
      <c r="C163" s="4" t="n"/>
      <c r="D163" s="4" t="n"/>
    </row>
    <row r="164" ht="15.75" customHeight="1" s="40">
      <c r="A164" s="4" t="n"/>
      <c r="B164" s="4" t="n"/>
      <c r="C164" s="4" t="n"/>
      <c r="D164" s="4" t="n"/>
    </row>
    <row r="165" ht="15.75" customHeight="1" s="40">
      <c r="A165" s="4" t="n"/>
      <c r="B165" s="4" t="n"/>
      <c r="C165" s="4" t="n"/>
      <c r="D165" s="4" t="n"/>
    </row>
    <row r="166" ht="15.75" customHeight="1" s="40">
      <c r="A166" s="4" t="n"/>
      <c r="B166" s="4" t="n"/>
      <c r="C166" s="4" t="n"/>
      <c r="D166" s="4" t="n"/>
    </row>
    <row r="167" ht="15.75" customHeight="1" s="40">
      <c r="A167" s="4" t="n"/>
      <c r="B167" s="4" t="n"/>
      <c r="C167" s="4" t="n"/>
      <c r="D167" s="4" t="n"/>
    </row>
    <row r="168" ht="15.75" customHeight="1" s="40">
      <c r="A168" s="4" t="n"/>
      <c r="B168" s="4" t="n"/>
      <c r="C168" s="4" t="n"/>
      <c r="D168" s="4" t="n"/>
    </row>
    <row r="169" ht="15.75" customHeight="1" s="40">
      <c r="A169" s="4" t="n"/>
      <c r="B169" s="4" t="n"/>
      <c r="C169" s="4" t="n"/>
      <c r="D169" s="4" t="n"/>
    </row>
    <row r="170" ht="15.75" customHeight="1" s="40">
      <c r="A170" s="4" t="n"/>
      <c r="B170" s="4" t="n"/>
      <c r="C170" s="4" t="n"/>
      <c r="D170" s="4" t="n"/>
    </row>
    <row r="171" ht="15.75" customHeight="1" s="40">
      <c r="A171" s="4" t="n"/>
      <c r="B171" s="4" t="n"/>
      <c r="C171" s="4" t="n"/>
      <c r="D171" s="4" t="n"/>
    </row>
    <row r="172" ht="15.75" customHeight="1" s="40">
      <c r="A172" s="4" t="n"/>
      <c r="B172" s="4" t="n"/>
      <c r="C172" s="4" t="n"/>
      <c r="D172" s="4" t="n"/>
    </row>
    <row r="173" ht="15.75" customHeight="1" s="40">
      <c r="A173" s="4" t="n"/>
      <c r="B173" s="4" t="n"/>
      <c r="C173" s="4" t="n"/>
      <c r="D173" s="4" t="n"/>
    </row>
    <row r="174" ht="15.75" customHeight="1" s="40">
      <c r="A174" s="4" t="n"/>
      <c r="B174" s="4" t="n"/>
      <c r="C174" s="4" t="n"/>
      <c r="D174" s="4" t="n"/>
    </row>
    <row r="175" ht="15.75" customHeight="1" s="40">
      <c r="A175" s="4" t="n"/>
      <c r="B175" s="4" t="n"/>
      <c r="C175" s="4" t="n"/>
      <c r="D175" s="4" t="n"/>
    </row>
    <row r="176" ht="15.75" customHeight="1" s="40">
      <c r="A176" s="4" t="n"/>
      <c r="B176" s="4" t="n"/>
      <c r="C176" s="4" t="n"/>
      <c r="D176" s="4" t="n"/>
    </row>
    <row r="177" ht="15.75" customHeight="1" s="40">
      <c r="A177" s="4" t="n"/>
      <c r="B177" s="4" t="n"/>
      <c r="C177" s="4" t="n"/>
      <c r="D177" s="4" t="n"/>
    </row>
    <row r="178" ht="15.75" customHeight="1" s="40">
      <c r="A178" s="4" t="n"/>
      <c r="B178" s="4" t="n"/>
      <c r="C178" s="4" t="n"/>
      <c r="D178" s="4" t="n"/>
    </row>
    <row r="179" ht="15.75" customHeight="1" s="40">
      <c r="A179" s="4" t="n"/>
      <c r="B179" s="4" t="n"/>
      <c r="C179" s="4" t="n"/>
      <c r="D179" s="4" t="n"/>
    </row>
    <row r="180" ht="15.75" customHeight="1" s="40">
      <c r="A180" s="4" t="n"/>
      <c r="B180" s="4" t="n"/>
      <c r="C180" s="4" t="n"/>
      <c r="D180" s="4" t="n"/>
    </row>
    <row r="181" ht="15.75" customHeight="1" s="40">
      <c r="A181" s="4" t="n"/>
      <c r="B181" s="4" t="n"/>
      <c r="C181" s="4" t="n"/>
      <c r="D181" s="4" t="n"/>
    </row>
    <row r="182" ht="15.75" customHeight="1" s="40">
      <c r="A182" s="4" t="n"/>
      <c r="B182" s="4" t="n"/>
      <c r="C182" s="4" t="n"/>
      <c r="D182" s="4" t="n"/>
    </row>
    <row r="183" ht="15.75" customHeight="1" s="40">
      <c r="A183" s="4" t="n"/>
      <c r="B183" s="4" t="n"/>
      <c r="C183" s="4" t="n"/>
      <c r="D183" s="4" t="n"/>
    </row>
    <row r="184" ht="15.75" customHeight="1" s="40">
      <c r="A184" s="4" t="n"/>
      <c r="B184" s="4" t="n"/>
      <c r="C184" s="4" t="n"/>
      <c r="D184" s="4" t="n"/>
    </row>
    <row r="185" ht="15.75" customHeight="1" s="40">
      <c r="A185" s="4" t="n"/>
      <c r="B185" s="4" t="n"/>
      <c r="C185" s="4" t="n"/>
      <c r="D185" s="4" t="n"/>
    </row>
    <row r="186" ht="15.75" customHeight="1" s="40">
      <c r="A186" s="4" t="n"/>
      <c r="B186" s="4" t="n"/>
      <c r="C186" s="4" t="n"/>
      <c r="D186" s="4" t="n"/>
    </row>
    <row r="187" ht="15.75" customHeight="1" s="40">
      <c r="A187" s="4" t="n"/>
      <c r="B187" s="4" t="n"/>
      <c r="C187" s="4" t="n"/>
      <c r="D187" s="4" t="n"/>
    </row>
    <row r="188" ht="15.75" customHeight="1" s="40">
      <c r="A188" s="4" t="n"/>
      <c r="B188" s="4" t="n"/>
      <c r="C188" s="4" t="n"/>
      <c r="D188" s="4" t="n"/>
    </row>
    <row r="189" ht="15.75" customHeight="1" s="40">
      <c r="A189" s="4" t="n"/>
      <c r="B189" s="4" t="n"/>
      <c r="C189" s="4" t="n"/>
      <c r="D189" s="4" t="n"/>
    </row>
    <row r="190" ht="15.75" customHeight="1" s="40">
      <c r="A190" s="4" t="n"/>
      <c r="B190" s="4" t="n"/>
      <c r="C190" s="4" t="n"/>
      <c r="D190" s="4" t="n"/>
    </row>
    <row r="191" ht="15.75" customHeight="1" s="40">
      <c r="A191" s="4" t="n"/>
      <c r="B191" s="4" t="n"/>
      <c r="C191" s="4" t="n"/>
      <c r="D191" s="4" t="n"/>
    </row>
    <row r="192" ht="15.75" customHeight="1" s="40">
      <c r="A192" s="4" t="n"/>
      <c r="B192" s="4" t="n"/>
      <c r="C192" s="4" t="n"/>
      <c r="D192" s="4" t="n"/>
    </row>
    <row r="193" ht="15.75" customHeight="1" s="40">
      <c r="A193" s="4" t="n"/>
      <c r="B193" s="4" t="n"/>
      <c r="C193" s="4" t="n"/>
      <c r="D193" s="4" t="n"/>
    </row>
    <row r="194" ht="15.75" customHeight="1" s="40">
      <c r="A194" s="4" t="n"/>
      <c r="B194" s="4" t="n"/>
      <c r="C194" s="4" t="n"/>
      <c r="D194" s="4" t="n"/>
    </row>
    <row r="195" ht="15.75" customHeight="1" s="40">
      <c r="A195" s="4" t="n"/>
      <c r="B195" s="4" t="n"/>
      <c r="C195" s="4" t="n"/>
      <c r="D195" s="4" t="n"/>
    </row>
    <row r="196" ht="15.75" customHeight="1" s="40">
      <c r="A196" s="4" t="n"/>
      <c r="B196" s="4" t="n"/>
      <c r="C196" s="4" t="n"/>
      <c r="D196" s="4" t="n"/>
    </row>
    <row r="197" ht="15.75" customHeight="1" s="40">
      <c r="A197" s="4" t="n"/>
      <c r="B197" s="4" t="n"/>
      <c r="C197" s="4" t="n"/>
      <c r="D197" s="4" t="n"/>
    </row>
    <row r="198" ht="15.75" customHeight="1" s="40">
      <c r="A198" s="4" t="n"/>
      <c r="B198" s="4" t="n"/>
      <c r="C198" s="4" t="n"/>
      <c r="D198" s="4" t="n"/>
    </row>
    <row r="199" ht="15.75" customHeight="1" s="40">
      <c r="A199" s="4" t="n"/>
      <c r="B199" s="4" t="n"/>
      <c r="C199" s="4" t="n"/>
      <c r="D199" s="4" t="n"/>
    </row>
    <row r="200" ht="15.75" customHeight="1" s="40">
      <c r="A200" s="4" t="n"/>
      <c r="B200" s="4" t="n"/>
      <c r="C200" s="4" t="n"/>
      <c r="D200" s="4" t="n"/>
    </row>
    <row r="201" ht="15.75" customHeight="1" s="40">
      <c r="A201" s="4" t="n"/>
      <c r="B201" s="4" t="n"/>
      <c r="C201" s="4" t="n"/>
      <c r="D201" s="4" t="n"/>
    </row>
    <row r="202" ht="15.75" customHeight="1" s="40">
      <c r="A202" s="4" t="n"/>
      <c r="B202" s="4" t="n"/>
      <c r="C202" s="4" t="n"/>
      <c r="D202" s="4" t="n"/>
    </row>
    <row r="203" ht="15.75" customHeight="1" s="40">
      <c r="A203" s="4" t="n"/>
      <c r="B203" s="4" t="n"/>
      <c r="C203" s="4" t="n"/>
      <c r="D203" s="4" t="n"/>
    </row>
    <row r="204" ht="15.75" customHeight="1" s="40">
      <c r="A204" s="4" t="n"/>
      <c r="B204" s="4" t="n"/>
      <c r="C204" s="4" t="n"/>
      <c r="D204" s="4" t="n"/>
    </row>
    <row r="205" ht="15.75" customHeight="1" s="40">
      <c r="A205" s="4" t="n"/>
      <c r="B205" s="4" t="n"/>
      <c r="C205" s="4" t="n"/>
      <c r="D205" s="4" t="n"/>
    </row>
    <row r="206" ht="15.75" customHeight="1" s="40">
      <c r="A206" s="4" t="n"/>
      <c r="B206" s="4" t="n"/>
      <c r="C206" s="4" t="n"/>
      <c r="D206" s="4" t="n"/>
    </row>
    <row r="207" ht="15.75" customHeight="1" s="40">
      <c r="A207" s="4" t="n"/>
      <c r="B207" s="4" t="n"/>
      <c r="C207" s="4" t="n"/>
      <c r="D207" s="4" t="n"/>
    </row>
    <row r="208" ht="15.75" customHeight="1" s="40">
      <c r="A208" s="4" t="n"/>
      <c r="B208" s="4" t="n"/>
      <c r="C208" s="4" t="n"/>
      <c r="D208" s="4" t="n"/>
    </row>
    <row r="209" ht="15.75" customHeight="1" s="40">
      <c r="A209" s="4" t="n"/>
      <c r="B209" s="4" t="n"/>
      <c r="C209" s="4" t="n"/>
      <c r="D209" s="4" t="n"/>
    </row>
    <row r="210" ht="15.75" customHeight="1" s="40">
      <c r="A210" s="4" t="n"/>
      <c r="B210" s="4" t="n"/>
      <c r="C210" s="4" t="n"/>
      <c r="D210" s="4" t="n"/>
    </row>
    <row r="211" ht="15.75" customHeight="1" s="40">
      <c r="A211" s="4" t="n"/>
      <c r="B211" s="4" t="n"/>
      <c r="C211" s="4" t="n"/>
      <c r="D211" s="4" t="n"/>
    </row>
    <row r="212" ht="15.75" customHeight="1" s="40">
      <c r="A212" s="4" t="n"/>
      <c r="B212" s="4" t="n"/>
      <c r="C212" s="4" t="n"/>
      <c r="D212" s="4" t="n"/>
    </row>
    <row r="213" ht="15.75" customHeight="1" s="40">
      <c r="A213" s="4" t="n"/>
      <c r="B213" s="4" t="n"/>
      <c r="C213" s="4" t="n"/>
      <c r="D213" s="4" t="n"/>
    </row>
    <row r="214" ht="15.75" customHeight="1" s="40">
      <c r="A214" s="4" t="n"/>
      <c r="B214" s="4" t="n"/>
      <c r="C214" s="4" t="n"/>
      <c r="D214" s="4" t="n"/>
    </row>
    <row r="215" ht="15.75" customHeight="1" s="40">
      <c r="A215" s="4" t="n"/>
      <c r="B215" s="4" t="n"/>
      <c r="C215" s="4" t="n"/>
      <c r="D215" s="4" t="n"/>
    </row>
    <row r="216" ht="15.75" customHeight="1" s="40">
      <c r="A216" s="4" t="n"/>
      <c r="B216" s="4" t="n"/>
      <c r="C216" s="4" t="n"/>
      <c r="D216" s="4" t="n"/>
    </row>
    <row r="217" ht="15.75" customHeight="1" s="40">
      <c r="A217" s="4" t="n"/>
      <c r="B217" s="4" t="n"/>
      <c r="C217" s="4" t="n"/>
      <c r="D217" s="4" t="n"/>
    </row>
    <row r="218" ht="15.75" customHeight="1" s="40">
      <c r="A218" s="4" t="n"/>
      <c r="B218" s="4" t="n"/>
      <c r="C218" s="4" t="n"/>
      <c r="D218" s="4" t="n"/>
    </row>
    <row r="219" ht="15.75" customHeight="1" s="40">
      <c r="A219" s="4" t="n"/>
      <c r="B219" s="4" t="n"/>
      <c r="C219" s="4" t="n"/>
      <c r="D219" s="4" t="n"/>
    </row>
    <row r="220" ht="15.75" customHeight="1" s="40">
      <c r="A220" s="4" t="n"/>
      <c r="B220" s="4" t="n"/>
      <c r="C220" s="4" t="n"/>
      <c r="D220" s="4" t="n"/>
    </row>
    <row r="221" ht="15.75" customHeight="1" s="40">
      <c r="A221" s="4" t="n"/>
      <c r="B221" s="4" t="n"/>
      <c r="C221" s="4" t="n"/>
      <c r="D221" s="4" t="n"/>
    </row>
    <row r="222" ht="15.75" customHeight="1" s="40">
      <c r="A222" s="4" t="n"/>
      <c r="B222" s="4" t="n"/>
      <c r="C222" s="4" t="n"/>
      <c r="D222" s="4" t="n"/>
    </row>
    <row r="223" ht="15.75" customHeight="1" s="40">
      <c r="A223" s="4" t="n"/>
      <c r="B223" s="4" t="n"/>
      <c r="C223" s="4" t="n"/>
      <c r="D223" s="4" t="n"/>
    </row>
    <row r="224" ht="15.75" customHeight="1" s="40">
      <c r="A224" s="4" t="n"/>
      <c r="B224" s="4" t="n"/>
      <c r="C224" s="4" t="n"/>
      <c r="D224" s="4" t="n"/>
    </row>
    <row r="225" ht="15.75" customHeight="1" s="40">
      <c r="A225" s="4" t="n"/>
      <c r="B225" s="4" t="n"/>
      <c r="C225" s="4" t="n"/>
      <c r="D225" s="4" t="n"/>
    </row>
    <row r="226" ht="15.75" customHeight="1" s="40">
      <c r="A226" s="4" t="n"/>
      <c r="B226" s="4" t="n"/>
      <c r="C226" s="4" t="n"/>
      <c r="D226" s="4" t="n"/>
    </row>
    <row r="227" ht="15.75" customHeight="1" s="40">
      <c r="A227" s="4" t="n"/>
      <c r="B227" s="4" t="n"/>
      <c r="C227" s="4" t="n"/>
      <c r="D227" s="4" t="n"/>
    </row>
    <row r="228" ht="15.75" customHeight="1" s="40">
      <c r="A228" s="4" t="n"/>
      <c r="B228" s="4" t="n"/>
      <c r="C228" s="4" t="n"/>
      <c r="D228" s="4" t="n"/>
    </row>
    <row r="229" ht="15.75" customHeight="1" s="40">
      <c r="A229" s="4" t="n"/>
      <c r="B229" s="4" t="n"/>
      <c r="C229" s="4" t="n"/>
      <c r="D229" s="4" t="n"/>
    </row>
    <row r="230" ht="15.75" customHeight="1" s="40">
      <c r="A230" s="4" t="n"/>
      <c r="B230" s="4" t="n"/>
      <c r="C230" s="4" t="n"/>
      <c r="D230" s="4" t="n"/>
    </row>
    <row r="231" ht="15.75" customHeight="1" s="40">
      <c r="A231" s="4" t="n"/>
      <c r="B231" s="4" t="n"/>
      <c r="C231" s="4" t="n"/>
      <c r="D231" s="4" t="n"/>
    </row>
    <row r="232" ht="15.75" customHeight="1" s="40">
      <c r="A232" s="4" t="n"/>
      <c r="B232" s="4" t="n"/>
      <c r="C232" s="4" t="n"/>
      <c r="D232" s="4" t="n"/>
    </row>
    <row r="233" ht="15.75" customHeight="1" s="40">
      <c r="A233" s="4" t="n"/>
      <c r="B233" s="4" t="n"/>
      <c r="C233" s="4" t="n"/>
      <c r="D233" s="4" t="n"/>
    </row>
    <row r="234" ht="15.75" customHeight="1" s="40">
      <c r="A234" s="4" t="n"/>
      <c r="B234" s="4" t="n"/>
      <c r="C234" s="4" t="n"/>
      <c r="D234" s="4" t="n"/>
    </row>
    <row r="235" ht="15.75" customHeight="1" s="40">
      <c r="A235" s="4" t="n"/>
      <c r="B235" s="4" t="n"/>
      <c r="C235" s="4" t="n"/>
      <c r="D235" s="4" t="n"/>
    </row>
    <row r="236" ht="15.75" customHeight="1" s="40">
      <c r="A236" s="4" t="n"/>
      <c r="B236" s="4" t="n"/>
      <c r="C236" s="4" t="n"/>
      <c r="D236" s="4" t="n"/>
    </row>
    <row r="237" ht="15.75" customHeight="1" s="40">
      <c r="A237" s="4" t="n"/>
      <c r="B237" s="4" t="n"/>
      <c r="C237" s="4" t="n"/>
      <c r="D237" s="4" t="n"/>
    </row>
    <row r="238" ht="15.75" customHeight="1" s="40">
      <c r="A238" s="4" t="n"/>
      <c r="B238" s="4" t="n"/>
      <c r="C238" s="4" t="n"/>
      <c r="D238" s="4" t="n"/>
    </row>
    <row r="239" ht="15.75" customHeight="1" s="40">
      <c r="A239" s="4" t="n"/>
      <c r="B239" s="4" t="n"/>
      <c r="C239" s="4" t="n"/>
      <c r="D239" s="4" t="n"/>
    </row>
    <row r="240" ht="15.75" customHeight="1" s="40">
      <c r="A240" s="4" t="n"/>
      <c r="B240" s="4" t="n"/>
      <c r="C240" s="4" t="n"/>
      <c r="D240" s="4" t="n"/>
    </row>
    <row r="241" ht="15.75" customHeight="1" s="40">
      <c r="A241" s="4" t="n"/>
      <c r="B241" s="4" t="n"/>
      <c r="C241" s="4" t="n"/>
      <c r="D241" s="4" t="n"/>
    </row>
    <row r="242" ht="15.75" customHeight="1" s="40">
      <c r="A242" s="4" t="n"/>
      <c r="B242" s="4" t="n"/>
      <c r="C242" s="4" t="n"/>
      <c r="D242" s="4" t="n"/>
    </row>
    <row r="243" ht="15.75" customHeight="1" s="40">
      <c r="A243" s="4" t="n"/>
      <c r="B243" s="4" t="n"/>
      <c r="C243" s="4" t="n"/>
      <c r="D243" s="4" t="n"/>
    </row>
    <row r="244" ht="15.75" customHeight="1" s="40">
      <c r="A244" s="4" t="n"/>
      <c r="B244" s="4" t="n"/>
      <c r="C244" s="4" t="n"/>
      <c r="D244" s="4" t="n"/>
    </row>
    <row r="245" ht="15.75" customHeight="1" s="40">
      <c r="A245" s="4" t="n"/>
      <c r="B245" s="4" t="n"/>
      <c r="C245" s="4" t="n"/>
      <c r="D245" s="4" t="n"/>
    </row>
    <row r="246" ht="15.75" customHeight="1" s="40">
      <c r="A246" s="4" t="n"/>
      <c r="B246" s="4" t="n"/>
      <c r="C246" s="4" t="n"/>
      <c r="D246" s="4" t="n"/>
    </row>
    <row r="247" ht="15.75" customHeight="1" s="40">
      <c r="A247" s="4" t="n"/>
      <c r="B247" s="4" t="n"/>
      <c r="C247" s="4" t="n"/>
      <c r="D247" s="4" t="n"/>
    </row>
    <row r="248" ht="15.75" customHeight="1" s="40">
      <c r="A248" s="4" t="n"/>
      <c r="B248" s="4" t="n"/>
      <c r="C248" s="4" t="n"/>
      <c r="D248" s="4" t="n"/>
    </row>
    <row r="249" ht="15.75" customHeight="1" s="40">
      <c r="A249" s="4" t="n"/>
      <c r="B249" s="4" t="n"/>
      <c r="C249" s="4" t="n"/>
      <c r="D249" s="4" t="n"/>
    </row>
    <row r="250" ht="15.75" customHeight="1" s="40">
      <c r="A250" s="4" t="n"/>
      <c r="B250" s="4" t="n"/>
      <c r="C250" s="4" t="n"/>
      <c r="D250" s="4" t="n"/>
    </row>
    <row r="251" ht="15.75" customHeight="1" s="40">
      <c r="A251" s="4" t="n"/>
      <c r="B251" s="4" t="n"/>
      <c r="C251" s="4" t="n"/>
      <c r="D251" s="4" t="n"/>
    </row>
    <row r="252" ht="15.75" customHeight="1" s="40">
      <c r="A252" s="4" t="n"/>
      <c r="B252" s="4" t="n"/>
      <c r="C252" s="4" t="n"/>
      <c r="D252" s="4" t="n"/>
    </row>
    <row r="253" ht="15.75" customHeight="1" s="40">
      <c r="A253" s="4" t="n"/>
      <c r="B253" s="4" t="n"/>
      <c r="C253" s="4" t="n"/>
      <c r="D253" s="4" t="n"/>
    </row>
    <row r="254" ht="15.75" customHeight="1" s="40">
      <c r="A254" s="4" t="n"/>
      <c r="B254" s="4" t="n"/>
      <c r="C254" s="4" t="n"/>
      <c r="D254" s="4" t="n"/>
    </row>
    <row r="255" ht="15.75" customHeight="1" s="40">
      <c r="A255" s="4" t="n"/>
      <c r="B255" s="4" t="n"/>
      <c r="C255" s="4" t="n"/>
      <c r="D255" s="4" t="n"/>
    </row>
    <row r="256" ht="15.75" customHeight="1" s="40">
      <c r="A256" s="4" t="n"/>
      <c r="B256" s="4" t="n"/>
      <c r="C256" s="4" t="n"/>
      <c r="D256" s="4" t="n"/>
    </row>
    <row r="257" ht="15.75" customHeight="1" s="40">
      <c r="A257" s="4" t="n"/>
      <c r="B257" s="4" t="n"/>
      <c r="C257" s="4" t="n"/>
      <c r="D257" s="4" t="n"/>
    </row>
    <row r="258" ht="15.75" customHeight="1" s="40">
      <c r="A258" s="4" t="n"/>
      <c r="B258" s="4" t="n"/>
      <c r="C258" s="4" t="n"/>
      <c r="D258" s="4" t="n"/>
    </row>
    <row r="259" ht="15.75" customHeight="1" s="40">
      <c r="A259" s="4" t="n"/>
      <c r="B259" s="4" t="n"/>
      <c r="C259" s="4" t="n"/>
      <c r="D259" s="4" t="n"/>
    </row>
    <row r="260" ht="15.75" customHeight="1" s="40">
      <c r="A260" s="4" t="n"/>
      <c r="B260" s="4" t="n"/>
      <c r="C260" s="4" t="n"/>
      <c r="D260" s="4" t="n"/>
    </row>
    <row r="261" ht="15.75" customHeight="1" s="40">
      <c r="A261" s="4" t="n"/>
      <c r="B261" s="4" t="n"/>
      <c r="C261" s="4" t="n"/>
      <c r="D261" s="4" t="n"/>
    </row>
    <row r="262" ht="15.75" customHeight="1" s="40">
      <c r="A262" s="4" t="n"/>
      <c r="B262" s="4" t="n"/>
      <c r="C262" s="4" t="n"/>
      <c r="D262" s="4" t="n"/>
    </row>
    <row r="263" ht="15.75" customHeight="1" s="40">
      <c r="A263" s="4" t="n"/>
      <c r="B263" s="4" t="n"/>
      <c r="C263" s="4" t="n"/>
      <c r="D263" s="4" t="n"/>
    </row>
    <row r="264" ht="15.75" customHeight="1" s="40">
      <c r="A264" s="4" t="n"/>
      <c r="B264" s="4" t="n"/>
      <c r="C264" s="4" t="n"/>
      <c r="D264" s="4" t="n"/>
    </row>
    <row r="265" ht="15.75" customHeight="1" s="40">
      <c r="A265" s="4" t="n"/>
      <c r="B265" s="4" t="n"/>
      <c r="C265" s="4" t="n"/>
      <c r="D265" s="4" t="n"/>
    </row>
    <row r="266" ht="15.75" customHeight="1" s="40">
      <c r="A266" s="4" t="n"/>
      <c r="B266" s="4" t="n"/>
      <c r="C266" s="4" t="n"/>
      <c r="D266" s="4" t="n"/>
    </row>
    <row r="267" ht="15.75" customHeight="1" s="40">
      <c r="A267" s="4" t="n"/>
      <c r="B267" s="4" t="n"/>
      <c r="C267" s="4" t="n"/>
      <c r="D267" s="4" t="n"/>
    </row>
    <row r="268" ht="15.75" customHeight="1" s="40">
      <c r="A268" s="4" t="n"/>
      <c r="B268" s="4" t="n"/>
      <c r="C268" s="4" t="n"/>
      <c r="D268" s="4" t="n"/>
    </row>
    <row r="269" ht="15.75" customHeight="1" s="40">
      <c r="A269" s="4" t="n"/>
      <c r="B269" s="4" t="n"/>
      <c r="C269" s="4" t="n"/>
      <c r="D269" s="4" t="n"/>
    </row>
    <row r="270" ht="15.75" customHeight="1" s="40">
      <c r="A270" s="4" t="n"/>
      <c r="B270" s="4" t="n"/>
      <c r="C270" s="4" t="n"/>
      <c r="D270" s="4" t="n"/>
    </row>
    <row r="271" ht="15.75" customHeight="1" s="40">
      <c r="A271" s="4" t="n"/>
      <c r="B271" s="4" t="n"/>
      <c r="C271" s="4" t="n"/>
      <c r="D271" s="4" t="n"/>
    </row>
    <row r="272" ht="15.75" customHeight="1" s="40">
      <c r="A272" s="4" t="n"/>
      <c r="B272" s="4" t="n"/>
      <c r="C272" s="4" t="n"/>
      <c r="D272" s="4" t="n"/>
    </row>
    <row r="273" ht="15.75" customHeight="1" s="40">
      <c r="A273" s="4" t="n"/>
      <c r="B273" s="4" t="n"/>
      <c r="C273" s="4" t="n"/>
      <c r="D273" s="4" t="n"/>
    </row>
    <row r="274" ht="15.75" customHeight="1" s="40">
      <c r="A274" s="4" t="n"/>
      <c r="B274" s="4" t="n"/>
      <c r="C274" s="4" t="n"/>
      <c r="D274" s="4" t="n"/>
    </row>
    <row r="275" ht="15.75" customHeight="1" s="40">
      <c r="A275" s="4" t="n"/>
      <c r="B275" s="4" t="n"/>
      <c r="C275" s="4" t="n"/>
      <c r="D275" s="4" t="n"/>
    </row>
    <row r="276" ht="15.75" customHeight="1" s="40">
      <c r="A276" s="4" t="n"/>
      <c r="B276" s="4" t="n"/>
      <c r="C276" s="4" t="n"/>
      <c r="D276" s="4" t="n"/>
    </row>
    <row r="277" ht="15.75" customHeight="1" s="40">
      <c r="A277" s="4" t="n"/>
      <c r="B277" s="4" t="n"/>
      <c r="C277" s="4" t="n"/>
      <c r="D277" s="4" t="n"/>
    </row>
    <row r="278" ht="15.75" customHeight="1" s="40">
      <c r="A278" s="4" t="n"/>
      <c r="B278" s="4" t="n"/>
      <c r="C278" s="4" t="n"/>
      <c r="D278" s="4" t="n"/>
    </row>
    <row r="279" ht="15.75" customHeight="1" s="40">
      <c r="A279" s="4" t="n"/>
      <c r="B279" s="4" t="n"/>
      <c r="C279" s="4" t="n"/>
      <c r="D279" s="4" t="n"/>
    </row>
    <row r="280" ht="15.75" customHeight="1" s="40">
      <c r="A280" s="4" t="n"/>
      <c r="B280" s="4" t="n"/>
      <c r="C280" s="4" t="n"/>
      <c r="D280" s="4" t="n"/>
    </row>
    <row r="281" ht="15.75" customHeight="1" s="40">
      <c r="A281" s="4" t="n"/>
      <c r="B281" s="4" t="n"/>
      <c r="C281" s="4" t="n"/>
      <c r="D281" s="4" t="n"/>
    </row>
    <row r="282" ht="15.75" customHeight="1" s="40">
      <c r="A282" s="4" t="n"/>
      <c r="B282" s="4" t="n"/>
      <c r="C282" s="4" t="n"/>
      <c r="D282" s="4" t="n"/>
    </row>
    <row r="283" ht="15.75" customHeight="1" s="40">
      <c r="A283" s="4" t="n"/>
      <c r="B283" s="4" t="n"/>
      <c r="C283" s="4" t="n"/>
      <c r="D283" s="4" t="n"/>
    </row>
    <row r="284" ht="15.75" customHeight="1" s="40">
      <c r="A284" s="4" t="n"/>
      <c r="B284" s="4" t="n"/>
      <c r="C284" s="4" t="n"/>
      <c r="D284" s="4" t="n"/>
    </row>
    <row r="285" ht="15.75" customHeight="1" s="40">
      <c r="A285" s="4" t="n"/>
      <c r="B285" s="4" t="n"/>
      <c r="C285" s="4" t="n"/>
      <c r="D285" s="4" t="n"/>
    </row>
    <row r="286" ht="15.75" customHeight="1" s="40">
      <c r="A286" s="4" t="n"/>
      <c r="B286" s="4" t="n"/>
      <c r="C286" s="4" t="n"/>
      <c r="D286" s="4" t="n"/>
    </row>
    <row r="287" ht="15.75" customHeight="1" s="40">
      <c r="A287" s="4" t="n"/>
      <c r="B287" s="4" t="n"/>
      <c r="C287" s="4" t="n"/>
      <c r="D287" s="4" t="n"/>
    </row>
    <row r="288" ht="15.75" customHeight="1" s="40">
      <c r="A288" s="4" t="n"/>
      <c r="B288" s="4" t="n"/>
      <c r="C288" s="4" t="n"/>
      <c r="D288" s="4" t="n"/>
    </row>
    <row r="289" ht="15.75" customHeight="1" s="40">
      <c r="A289" s="4" t="n"/>
      <c r="B289" s="4" t="n"/>
      <c r="C289" s="4" t="n"/>
      <c r="D289" s="4" t="n"/>
    </row>
    <row r="290" ht="15.75" customHeight="1" s="40">
      <c r="A290" s="4" t="n"/>
      <c r="B290" s="4" t="n"/>
      <c r="C290" s="4" t="n"/>
      <c r="D290" s="4" t="n"/>
    </row>
    <row r="291" ht="15.75" customHeight="1" s="40">
      <c r="A291" s="4" t="n"/>
      <c r="B291" s="4" t="n"/>
      <c r="C291" s="4" t="n"/>
      <c r="D291" s="4" t="n"/>
    </row>
    <row r="292" ht="15.75" customHeight="1" s="40">
      <c r="A292" s="4" t="n"/>
      <c r="B292" s="4" t="n"/>
      <c r="C292" s="4" t="n"/>
      <c r="D292" s="4" t="n"/>
    </row>
    <row r="293" ht="15.75" customHeight="1" s="40">
      <c r="A293" s="4" t="n"/>
      <c r="B293" s="4" t="n"/>
      <c r="C293" s="4" t="n"/>
      <c r="D293" s="4" t="n"/>
    </row>
    <row r="294" ht="15.75" customHeight="1" s="40">
      <c r="A294" s="4" t="n"/>
      <c r="B294" s="4" t="n"/>
      <c r="C294" s="4" t="n"/>
      <c r="D294" s="4" t="n"/>
    </row>
    <row r="295" ht="15.75" customHeight="1" s="40">
      <c r="A295" s="4" t="n"/>
      <c r="B295" s="4" t="n"/>
      <c r="C295" s="4" t="n"/>
      <c r="D295" s="4" t="n"/>
    </row>
    <row r="296" ht="15.75" customHeight="1" s="40">
      <c r="A296" s="4" t="n"/>
      <c r="B296" s="4" t="n"/>
      <c r="C296" s="4" t="n"/>
      <c r="D296" s="4" t="n"/>
    </row>
    <row r="297" ht="15.75" customHeight="1" s="40">
      <c r="A297" s="4" t="n"/>
      <c r="B297" s="4" t="n"/>
      <c r="C297" s="4" t="n"/>
      <c r="D297" s="4" t="n"/>
    </row>
    <row r="298" ht="15.75" customHeight="1" s="40">
      <c r="A298" s="4" t="n"/>
      <c r="B298" s="4" t="n"/>
      <c r="C298" s="4" t="n"/>
      <c r="D298" s="4" t="n"/>
    </row>
    <row r="299" ht="15.75" customHeight="1" s="40">
      <c r="A299" s="4" t="n"/>
      <c r="B299" s="4" t="n"/>
      <c r="C299" s="4" t="n"/>
      <c r="D299" s="4" t="n"/>
    </row>
    <row r="300" ht="15.75" customHeight="1" s="40">
      <c r="A300" s="4" t="n"/>
      <c r="B300" s="4" t="n"/>
      <c r="C300" s="4" t="n"/>
      <c r="D300" s="4" t="n"/>
    </row>
    <row r="301" ht="15.75" customHeight="1" s="40">
      <c r="A301" s="4" t="n"/>
      <c r="B301" s="4" t="n"/>
      <c r="C301" s="4" t="n"/>
      <c r="D301" s="4" t="n"/>
    </row>
    <row r="302" ht="15.75" customHeight="1" s="40">
      <c r="A302" s="4" t="n"/>
      <c r="B302" s="4" t="n"/>
      <c r="C302" s="4" t="n"/>
      <c r="D302" s="4" t="n"/>
    </row>
    <row r="303" ht="15.75" customHeight="1" s="40">
      <c r="A303" s="4" t="n"/>
      <c r="B303" s="4" t="n"/>
      <c r="C303" s="4" t="n"/>
      <c r="D303" s="4" t="n"/>
    </row>
    <row r="304" ht="15.75" customHeight="1" s="40">
      <c r="A304" s="4" t="n"/>
      <c r="B304" s="4" t="n"/>
      <c r="C304" s="4" t="n"/>
      <c r="D304" s="4" t="n"/>
    </row>
    <row r="305" ht="15.75" customHeight="1" s="40">
      <c r="A305" s="4" t="n"/>
      <c r="B305" s="4" t="n"/>
      <c r="C305" s="4" t="n"/>
      <c r="D305" s="4" t="n"/>
    </row>
    <row r="306" ht="15.75" customHeight="1" s="40">
      <c r="A306" s="4" t="n"/>
      <c r="B306" s="4" t="n"/>
      <c r="C306" s="4" t="n"/>
      <c r="D306" s="4" t="n"/>
    </row>
    <row r="307" ht="15.75" customHeight="1" s="40">
      <c r="A307" s="4" t="n"/>
      <c r="B307" s="4" t="n"/>
      <c r="C307" s="4" t="n"/>
      <c r="D307" s="4" t="n"/>
    </row>
    <row r="308" ht="15.75" customHeight="1" s="40">
      <c r="A308" s="4" t="n"/>
      <c r="B308" s="4" t="n"/>
      <c r="C308" s="4" t="n"/>
      <c r="D308" s="4" t="n"/>
    </row>
    <row r="309" ht="15.75" customHeight="1" s="40">
      <c r="A309" s="4" t="n"/>
      <c r="B309" s="4" t="n"/>
      <c r="C309" s="4" t="n"/>
      <c r="D309" s="4" t="n"/>
    </row>
    <row r="310" ht="15.75" customHeight="1" s="40">
      <c r="A310" s="4" t="n"/>
      <c r="B310" s="4" t="n"/>
      <c r="C310" s="4" t="n"/>
      <c r="D310" s="4" t="n"/>
    </row>
    <row r="311" ht="15.75" customHeight="1" s="40">
      <c r="A311" s="4" t="n"/>
      <c r="B311" s="4" t="n"/>
      <c r="C311" s="4" t="n"/>
      <c r="D311" s="4" t="n"/>
    </row>
    <row r="312" ht="15.75" customHeight="1" s="40">
      <c r="A312" s="4" t="n"/>
      <c r="B312" s="4" t="n"/>
      <c r="C312" s="4" t="n"/>
      <c r="D312" s="4" t="n"/>
    </row>
    <row r="313" ht="15.75" customHeight="1" s="40">
      <c r="A313" s="4" t="n"/>
      <c r="B313" s="4" t="n"/>
      <c r="C313" s="4" t="n"/>
      <c r="D313" s="4" t="n"/>
    </row>
    <row r="314" ht="15.75" customHeight="1" s="40">
      <c r="A314" s="4" t="n"/>
      <c r="B314" s="4" t="n"/>
      <c r="C314" s="4" t="n"/>
      <c r="D314" s="4" t="n"/>
    </row>
    <row r="315" ht="15.75" customHeight="1" s="40">
      <c r="A315" s="4" t="n"/>
      <c r="B315" s="4" t="n"/>
      <c r="C315" s="4" t="n"/>
      <c r="D315" s="4" t="n"/>
    </row>
    <row r="316" ht="15.75" customHeight="1" s="40">
      <c r="A316" s="4" t="n"/>
      <c r="B316" s="4" t="n"/>
      <c r="C316" s="4" t="n"/>
      <c r="D316" s="4" t="n"/>
    </row>
    <row r="317" ht="15.75" customHeight="1" s="40">
      <c r="A317" s="4" t="n"/>
      <c r="B317" s="4" t="n"/>
      <c r="C317" s="4" t="n"/>
      <c r="D317" s="4" t="n"/>
    </row>
    <row r="318" ht="15.75" customHeight="1" s="40">
      <c r="A318" s="4" t="n"/>
      <c r="B318" s="4" t="n"/>
      <c r="C318" s="4" t="n"/>
      <c r="D318" s="4" t="n"/>
    </row>
    <row r="319" ht="15.75" customHeight="1" s="40">
      <c r="A319" s="4" t="n"/>
      <c r="B319" s="4" t="n"/>
      <c r="C319" s="4" t="n"/>
      <c r="D319" s="4" t="n"/>
    </row>
    <row r="320" ht="15.75" customHeight="1" s="40">
      <c r="A320" s="4" t="n"/>
      <c r="B320" s="4" t="n"/>
      <c r="C320" s="4" t="n"/>
      <c r="D320" s="4" t="n"/>
    </row>
    <row r="321" ht="15.75" customHeight="1" s="40">
      <c r="A321" s="4" t="n"/>
      <c r="B321" s="4" t="n"/>
      <c r="C321" s="4" t="n"/>
      <c r="D321" s="4" t="n"/>
    </row>
    <row r="322" ht="15.75" customHeight="1" s="40">
      <c r="A322" s="4" t="n"/>
      <c r="B322" s="4" t="n"/>
      <c r="C322" s="4" t="n"/>
      <c r="D322" s="4" t="n"/>
    </row>
    <row r="323" ht="15.75" customHeight="1" s="40">
      <c r="A323" s="4" t="n"/>
      <c r="B323" s="4" t="n"/>
      <c r="C323" s="4" t="n"/>
      <c r="D323" s="4" t="n"/>
    </row>
    <row r="324" ht="15.75" customHeight="1" s="40">
      <c r="A324" s="4" t="n"/>
      <c r="B324" s="4" t="n"/>
      <c r="C324" s="4" t="n"/>
      <c r="D324" s="4" t="n"/>
    </row>
    <row r="325" ht="15.75" customHeight="1" s="40">
      <c r="A325" s="4" t="n"/>
      <c r="B325" s="4" t="n"/>
      <c r="C325" s="4" t="n"/>
      <c r="D325" s="4" t="n"/>
    </row>
    <row r="326" ht="15.75" customHeight="1" s="40">
      <c r="A326" s="4" t="n"/>
      <c r="B326" s="4" t="n"/>
      <c r="C326" s="4" t="n"/>
      <c r="D326" s="4" t="n"/>
    </row>
    <row r="327" ht="15.75" customHeight="1" s="40">
      <c r="A327" s="4" t="n"/>
      <c r="B327" s="4" t="n"/>
      <c r="C327" s="4" t="n"/>
      <c r="D327" s="4" t="n"/>
    </row>
    <row r="328" ht="15.75" customHeight="1" s="40">
      <c r="A328" s="4" t="n"/>
      <c r="B328" s="4" t="n"/>
      <c r="C328" s="4" t="n"/>
      <c r="D328" s="4" t="n"/>
    </row>
    <row r="329" ht="15.75" customHeight="1" s="40">
      <c r="A329" s="4" t="n"/>
      <c r="B329" s="4" t="n"/>
      <c r="C329" s="4" t="n"/>
      <c r="D329" s="4" t="n"/>
    </row>
    <row r="330" ht="15.75" customHeight="1" s="40">
      <c r="A330" s="4" t="n"/>
      <c r="B330" s="4" t="n"/>
      <c r="C330" s="4" t="n"/>
      <c r="D330" s="4" t="n"/>
    </row>
    <row r="331" ht="15.75" customHeight="1" s="40">
      <c r="A331" s="4" t="n"/>
      <c r="B331" s="4" t="n"/>
      <c r="C331" s="4" t="n"/>
      <c r="D331" s="4" t="n"/>
    </row>
    <row r="332" ht="15.75" customHeight="1" s="40">
      <c r="A332" s="4" t="n"/>
      <c r="B332" s="4" t="n"/>
      <c r="C332" s="4" t="n"/>
      <c r="D332" s="4" t="n"/>
    </row>
    <row r="333" ht="15.75" customHeight="1" s="40">
      <c r="A333" s="4" t="n"/>
      <c r="B333" s="4" t="n"/>
      <c r="C333" s="4" t="n"/>
      <c r="D333" s="4" t="n"/>
    </row>
    <row r="334" ht="15.75" customHeight="1" s="40">
      <c r="A334" s="4" t="n"/>
      <c r="B334" s="4" t="n"/>
      <c r="C334" s="4" t="n"/>
      <c r="D334" s="4" t="n"/>
    </row>
    <row r="335" ht="15.75" customHeight="1" s="40">
      <c r="A335" s="4" t="n"/>
      <c r="B335" s="4" t="n"/>
      <c r="C335" s="4" t="n"/>
      <c r="D335" s="4" t="n"/>
    </row>
    <row r="336" ht="15.75" customHeight="1" s="40">
      <c r="A336" s="4" t="n"/>
      <c r="B336" s="4" t="n"/>
      <c r="C336" s="4" t="n"/>
      <c r="D336" s="4" t="n"/>
    </row>
    <row r="337" ht="15.75" customHeight="1" s="40">
      <c r="A337" s="4" t="n"/>
      <c r="B337" s="4" t="n"/>
      <c r="C337" s="4" t="n"/>
      <c r="D337" s="4" t="n"/>
    </row>
    <row r="338" ht="15.75" customHeight="1" s="40">
      <c r="A338" s="4" t="n"/>
      <c r="B338" s="4" t="n"/>
      <c r="C338" s="4" t="n"/>
      <c r="D338" s="4" t="n"/>
    </row>
    <row r="339" ht="15.75" customHeight="1" s="40">
      <c r="A339" s="4" t="n"/>
      <c r="B339" s="4" t="n"/>
      <c r="C339" s="4" t="n"/>
      <c r="D339" s="4" t="n"/>
    </row>
    <row r="340" ht="15.75" customHeight="1" s="40">
      <c r="A340" s="4" t="n"/>
      <c r="B340" s="4" t="n"/>
      <c r="C340" s="4" t="n"/>
      <c r="D340" s="4" t="n"/>
    </row>
    <row r="341" ht="15.75" customHeight="1" s="40">
      <c r="A341" s="4" t="n"/>
      <c r="B341" s="4" t="n"/>
      <c r="C341" s="4" t="n"/>
      <c r="D341" s="4" t="n"/>
    </row>
    <row r="342" ht="15.75" customHeight="1" s="40">
      <c r="A342" s="4" t="n"/>
      <c r="B342" s="4" t="n"/>
      <c r="C342" s="4" t="n"/>
      <c r="D342" s="4" t="n"/>
    </row>
    <row r="343" ht="15.75" customHeight="1" s="40">
      <c r="A343" s="4" t="n"/>
      <c r="B343" s="4" t="n"/>
      <c r="C343" s="4" t="n"/>
      <c r="D343" s="4" t="n"/>
    </row>
    <row r="344" ht="15.75" customHeight="1" s="40">
      <c r="A344" s="4" t="n"/>
      <c r="B344" s="4" t="n"/>
      <c r="C344" s="4" t="n"/>
      <c r="D344" s="4" t="n"/>
    </row>
    <row r="345" ht="15.75" customHeight="1" s="40">
      <c r="A345" s="4" t="n"/>
      <c r="B345" s="4" t="n"/>
      <c r="C345" s="4" t="n"/>
      <c r="D345" s="4" t="n"/>
    </row>
    <row r="346" ht="15.75" customHeight="1" s="40">
      <c r="A346" s="4" t="n"/>
      <c r="B346" s="4" t="n"/>
      <c r="C346" s="4" t="n"/>
      <c r="D346" s="4" t="n"/>
    </row>
    <row r="347" ht="15.75" customHeight="1" s="40">
      <c r="A347" s="4" t="n"/>
      <c r="B347" s="4" t="n"/>
      <c r="C347" s="4" t="n"/>
      <c r="D347" s="4" t="n"/>
    </row>
    <row r="348" ht="15.75" customHeight="1" s="40">
      <c r="A348" s="4" t="n"/>
      <c r="B348" s="4" t="n"/>
      <c r="C348" s="4" t="n"/>
      <c r="D348" s="4" t="n"/>
    </row>
    <row r="349" ht="15.75" customHeight="1" s="40">
      <c r="A349" s="4" t="n"/>
      <c r="B349" s="4" t="n"/>
      <c r="C349" s="4" t="n"/>
      <c r="D349" s="4" t="n"/>
    </row>
    <row r="350" ht="15.75" customHeight="1" s="40">
      <c r="A350" s="4" t="n"/>
      <c r="B350" s="4" t="n"/>
      <c r="C350" s="4" t="n"/>
      <c r="D350" s="4" t="n"/>
    </row>
    <row r="351" ht="15.75" customHeight="1" s="40">
      <c r="A351" s="4" t="n"/>
      <c r="B351" s="4" t="n"/>
      <c r="C351" s="4" t="n"/>
      <c r="D351" s="4" t="n"/>
    </row>
    <row r="352" ht="15.75" customHeight="1" s="40">
      <c r="A352" s="4" t="n"/>
      <c r="B352" s="4" t="n"/>
      <c r="C352" s="4" t="n"/>
      <c r="D352" s="4" t="n"/>
    </row>
    <row r="353" ht="15.75" customHeight="1" s="40">
      <c r="A353" s="4" t="n"/>
      <c r="B353" s="4" t="n"/>
      <c r="C353" s="4" t="n"/>
      <c r="D353" s="4" t="n"/>
    </row>
    <row r="354" ht="15.75" customHeight="1" s="40">
      <c r="A354" s="4" t="n"/>
      <c r="B354" s="4" t="n"/>
      <c r="C354" s="4" t="n"/>
      <c r="D354" s="4" t="n"/>
    </row>
    <row r="355" ht="15.75" customHeight="1" s="40">
      <c r="A355" s="4" t="n"/>
      <c r="B355" s="4" t="n"/>
      <c r="C355" s="4" t="n"/>
      <c r="D355" s="4" t="n"/>
    </row>
    <row r="356" ht="15.75" customHeight="1" s="40">
      <c r="A356" s="4" t="n"/>
      <c r="B356" s="4" t="n"/>
      <c r="C356" s="4" t="n"/>
      <c r="D356" s="4" t="n"/>
    </row>
    <row r="357" ht="15.75" customHeight="1" s="40">
      <c r="A357" s="4" t="n"/>
      <c r="B357" s="4" t="n"/>
      <c r="C357" s="4" t="n"/>
      <c r="D357" s="4" t="n"/>
    </row>
    <row r="358" ht="15.75" customHeight="1" s="40">
      <c r="A358" s="4" t="n"/>
      <c r="B358" s="4" t="n"/>
      <c r="C358" s="4" t="n"/>
      <c r="D358" s="4" t="n"/>
    </row>
    <row r="359" ht="15.75" customHeight="1" s="40">
      <c r="A359" s="4" t="n"/>
      <c r="B359" s="4" t="n"/>
      <c r="C359" s="4" t="n"/>
      <c r="D359" s="4" t="n"/>
    </row>
    <row r="360" ht="15.75" customHeight="1" s="40">
      <c r="A360" s="4" t="n"/>
      <c r="B360" s="4" t="n"/>
      <c r="C360" s="4" t="n"/>
      <c r="D360" s="4" t="n"/>
    </row>
    <row r="361" ht="15.75" customHeight="1" s="40">
      <c r="A361" s="4" t="n"/>
      <c r="B361" s="4" t="n"/>
      <c r="C361" s="4" t="n"/>
      <c r="D361" s="4" t="n"/>
    </row>
    <row r="362" ht="15.75" customHeight="1" s="40">
      <c r="A362" s="4" t="n"/>
      <c r="B362" s="4" t="n"/>
      <c r="C362" s="4" t="n"/>
      <c r="D362" s="4" t="n"/>
    </row>
    <row r="363" ht="15.75" customHeight="1" s="40">
      <c r="A363" s="4" t="n"/>
      <c r="B363" s="4" t="n"/>
      <c r="C363" s="4" t="n"/>
      <c r="D363" s="4" t="n"/>
    </row>
    <row r="364" ht="15.75" customHeight="1" s="40">
      <c r="A364" s="4" t="n"/>
      <c r="B364" s="4" t="n"/>
      <c r="C364" s="4" t="n"/>
      <c r="D364" s="4" t="n"/>
    </row>
    <row r="365" ht="15.75" customHeight="1" s="40">
      <c r="A365" s="4" t="n"/>
      <c r="B365" s="4" t="n"/>
      <c r="C365" s="4" t="n"/>
      <c r="D365" s="4" t="n"/>
    </row>
    <row r="366" ht="15.75" customHeight="1" s="40">
      <c r="A366" s="4" t="n"/>
      <c r="B366" s="4" t="n"/>
      <c r="C366" s="4" t="n"/>
      <c r="D366" s="4" t="n"/>
    </row>
    <row r="367" ht="15.75" customHeight="1" s="40">
      <c r="A367" s="4" t="n"/>
      <c r="B367" s="4" t="n"/>
      <c r="C367" s="4" t="n"/>
      <c r="D367" s="4" t="n"/>
    </row>
    <row r="368" ht="15.75" customHeight="1" s="40">
      <c r="A368" s="4" t="n"/>
      <c r="B368" s="4" t="n"/>
      <c r="C368" s="4" t="n"/>
      <c r="D368" s="4" t="n"/>
    </row>
    <row r="369" ht="15.75" customHeight="1" s="40">
      <c r="A369" s="4" t="n"/>
      <c r="B369" s="4" t="n"/>
      <c r="C369" s="4" t="n"/>
      <c r="D369" s="4" t="n"/>
    </row>
    <row r="370" ht="15.75" customHeight="1" s="40">
      <c r="A370" s="4" t="n"/>
      <c r="B370" s="4" t="n"/>
      <c r="C370" s="4" t="n"/>
      <c r="D370" s="4" t="n"/>
    </row>
    <row r="371" ht="15.75" customHeight="1" s="40">
      <c r="A371" s="4" t="n"/>
      <c r="B371" s="4" t="n"/>
      <c r="C371" s="4" t="n"/>
      <c r="D371" s="4" t="n"/>
    </row>
    <row r="372" ht="15.75" customHeight="1" s="40">
      <c r="A372" s="4" t="n"/>
      <c r="B372" s="4" t="n"/>
      <c r="C372" s="4" t="n"/>
      <c r="D372" s="4" t="n"/>
    </row>
    <row r="373" ht="15.75" customHeight="1" s="40">
      <c r="A373" s="4" t="n"/>
      <c r="B373" s="4" t="n"/>
      <c r="C373" s="4" t="n"/>
      <c r="D373" s="4" t="n"/>
    </row>
    <row r="374" ht="15.75" customHeight="1" s="40">
      <c r="A374" s="4" t="n"/>
      <c r="B374" s="4" t="n"/>
      <c r="C374" s="4" t="n"/>
      <c r="D374" s="4" t="n"/>
    </row>
    <row r="375" ht="15.75" customHeight="1" s="40">
      <c r="A375" s="4" t="n"/>
      <c r="B375" s="4" t="n"/>
      <c r="C375" s="4" t="n"/>
      <c r="D375" s="4" t="n"/>
    </row>
    <row r="376" ht="15.75" customHeight="1" s="40">
      <c r="A376" s="4" t="n"/>
      <c r="B376" s="4" t="n"/>
      <c r="C376" s="4" t="n"/>
      <c r="D376" s="4" t="n"/>
    </row>
    <row r="377" ht="15.75" customHeight="1" s="40">
      <c r="A377" s="4" t="n"/>
      <c r="B377" s="4" t="n"/>
      <c r="C377" s="4" t="n"/>
      <c r="D377" s="4" t="n"/>
    </row>
    <row r="378" ht="15.75" customHeight="1" s="40">
      <c r="A378" s="4" t="n"/>
      <c r="B378" s="4" t="n"/>
      <c r="C378" s="4" t="n"/>
      <c r="D378" s="4" t="n"/>
    </row>
    <row r="379" ht="15.75" customHeight="1" s="40">
      <c r="A379" s="4" t="n"/>
      <c r="B379" s="4" t="n"/>
      <c r="C379" s="4" t="n"/>
      <c r="D379" s="4" t="n"/>
    </row>
    <row r="380" ht="15.75" customHeight="1" s="40">
      <c r="A380" s="4" t="n"/>
      <c r="B380" s="4" t="n"/>
      <c r="C380" s="4" t="n"/>
      <c r="D380" s="4" t="n"/>
    </row>
    <row r="381" ht="15.75" customHeight="1" s="40">
      <c r="A381" s="4" t="n"/>
      <c r="B381" s="4" t="n"/>
      <c r="C381" s="4" t="n"/>
      <c r="D381" s="4" t="n"/>
    </row>
    <row r="382" ht="15.75" customHeight="1" s="40">
      <c r="A382" s="4" t="n"/>
      <c r="B382" s="4" t="n"/>
      <c r="C382" s="4" t="n"/>
      <c r="D382" s="4" t="n"/>
    </row>
    <row r="383" ht="15.75" customHeight="1" s="40">
      <c r="A383" s="4" t="n"/>
      <c r="B383" s="4" t="n"/>
      <c r="C383" s="4" t="n"/>
      <c r="D383" s="4" t="n"/>
    </row>
    <row r="384" ht="15.75" customHeight="1" s="40">
      <c r="A384" s="4" t="n"/>
      <c r="B384" s="4" t="n"/>
      <c r="C384" s="4" t="n"/>
      <c r="D384" s="4" t="n"/>
    </row>
    <row r="385" ht="15.75" customHeight="1" s="40">
      <c r="A385" s="4" t="n"/>
      <c r="B385" s="4" t="n"/>
      <c r="C385" s="4" t="n"/>
      <c r="D385" s="4" t="n"/>
    </row>
    <row r="386" ht="15.75" customHeight="1" s="40">
      <c r="A386" s="4" t="n"/>
      <c r="B386" s="4" t="n"/>
      <c r="C386" s="4" t="n"/>
      <c r="D386" s="4" t="n"/>
    </row>
    <row r="387" ht="15.75" customHeight="1" s="40">
      <c r="A387" s="4" t="n"/>
      <c r="B387" s="4" t="n"/>
      <c r="C387" s="4" t="n"/>
      <c r="D387" s="4" t="n"/>
    </row>
    <row r="388" ht="15.75" customHeight="1" s="40">
      <c r="A388" s="4" t="n"/>
      <c r="B388" s="4" t="n"/>
      <c r="C388" s="4" t="n"/>
      <c r="D388" s="4" t="n"/>
    </row>
    <row r="389" ht="15.75" customHeight="1" s="40">
      <c r="A389" s="4" t="n"/>
      <c r="B389" s="4" t="n"/>
      <c r="C389" s="4" t="n"/>
      <c r="D389" s="4" t="n"/>
    </row>
    <row r="390" ht="15.75" customHeight="1" s="40">
      <c r="A390" s="4" t="n"/>
      <c r="B390" s="4" t="n"/>
      <c r="C390" s="4" t="n"/>
      <c r="D390" s="4" t="n"/>
    </row>
    <row r="391" ht="15.75" customHeight="1" s="40">
      <c r="A391" s="4" t="n"/>
      <c r="B391" s="4" t="n"/>
      <c r="C391" s="4" t="n"/>
      <c r="D391" s="4" t="n"/>
    </row>
    <row r="392" ht="15.75" customHeight="1" s="40">
      <c r="A392" s="4" t="n"/>
      <c r="B392" s="4" t="n"/>
      <c r="C392" s="4" t="n"/>
      <c r="D392" s="4" t="n"/>
    </row>
    <row r="393" ht="15.75" customHeight="1" s="40">
      <c r="A393" s="4" t="n"/>
      <c r="B393" s="4" t="n"/>
      <c r="C393" s="4" t="n"/>
      <c r="D393" s="4" t="n"/>
    </row>
    <row r="394" ht="15.75" customHeight="1" s="40">
      <c r="A394" s="4" t="n"/>
      <c r="B394" s="4" t="n"/>
      <c r="C394" s="4" t="n"/>
      <c r="D394" s="4" t="n"/>
    </row>
    <row r="395" ht="15.75" customHeight="1" s="40">
      <c r="A395" s="4" t="n"/>
      <c r="B395" s="4" t="n"/>
      <c r="C395" s="4" t="n"/>
      <c r="D395" s="4" t="n"/>
    </row>
    <row r="396" ht="15.75" customHeight="1" s="40">
      <c r="A396" s="4" t="n"/>
      <c r="B396" s="4" t="n"/>
      <c r="C396" s="4" t="n"/>
      <c r="D396" s="4" t="n"/>
    </row>
    <row r="397" ht="15.75" customHeight="1" s="40">
      <c r="A397" s="4" t="n"/>
      <c r="B397" s="4" t="n"/>
      <c r="C397" s="4" t="n"/>
      <c r="D397" s="4" t="n"/>
    </row>
    <row r="398" ht="15.75" customHeight="1" s="40">
      <c r="A398" s="4" t="n"/>
      <c r="B398" s="4" t="n"/>
      <c r="C398" s="4" t="n"/>
      <c r="D398" s="4" t="n"/>
    </row>
    <row r="399" ht="15.75" customHeight="1" s="40">
      <c r="A399" s="4" t="n"/>
      <c r="B399" s="4" t="n"/>
      <c r="C399" s="4" t="n"/>
      <c r="D399" s="4" t="n"/>
    </row>
    <row r="400" ht="15.75" customHeight="1" s="40">
      <c r="A400" s="4" t="n"/>
      <c r="B400" s="4" t="n"/>
      <c r="C400" s="4" t="n"/>
      <c r="D400" s="4" t="n"/>
    </row>
    <row r="401" ht="15.75" customHeight="1" s="40">
      <c r="A401" s="4" t="n"/>
      <c r="B401" s="4" t="n"/>
      <c r="C401" s="4" t="n"/>
      <c r="D401" s="4" t="n"/>
    </row>
    <row r="402" ht="15.75" customHeight="1" s="40">
      <c r="A402" s="4" t="n"/>
      <c r="B402" s="4" t="n"/>
      <c r="C402" s="4" t="n"/>
      <c r="D402" s="4" t="n"/>
    </row>
    <row r="403" ht="15.75" customHeight="1" s="40">
      <c r="A403" s="4" t="n"/>
      <c r="B403" s="4" t="n"/>
      <c r="C403" s="4" t="n"/>
      <c r="D403" s="4" t="n"/>
    </row>
    <row r="404" ht="15.75" customHeight="1" s="40">
      <c r="A404" s="4" t="n"/>
      <c r="B404" s="4" t="n"/>
      <c r="C404" s="4" t="n"/>
      <c r="D404" s="4" t="n"/>
    </row>
    <row r="405" ht="15.75" customHeight="1" s="40">
      <c r="A405" s="4" t="n"/>
      <c r="B405" s="4" t="n"/>
      <c r="C405" s="4" t="n"/>
      <c r="D405" s="4" t="n"/>
    </row>
    <row r="406" ht="15.75" customHeight="1" s="40">
      <c r="A406" s="4" t="n"/>
      <c r="B406" s="4" t="n"/>
      <c r="C406" s="4" t="n"/>
      <c r="D406" s="4" t="n"/>
    </row>
    <row r="407" ht="15.75" customHeight="1" s="40">
      <c r="A407" s="4" t="n"/>
      <c r="B407" s="4" t="n"/>
      <c r="C407" s="4" t="n"/>
      <c r="D407" s="4" t="n"/>
    </row>
    <row r="408" ht="15.75" customHeight="1" s="40">
      <c r="A408" s="4" t="n"/>
      <c r="B408" s="4" t="n"/>
      <c r="C408" s="4" t="n"/>
      <c r="D408" s="4" t="n"/>
    </row>
    <row r="409" ht="15.75" customHeight="1" s="40">
      <c r="A409" s="4" t="n"/>
      <c r="B409" s="4" t="n"/>
      <c r="C409" s="4" t="n"/>
      <c r="D409" s="4" t="n"/>
    </row>
    <row r="410" ht="15.75" customHeight="1" s="40">
      <c r="A410" s="4" t="n"/>
      <c r="B410" s="4" t="n"/>
      <c r="C410" s="4" t="n"/>
      <c r="D410" s="4" t="n"/>
    </row>
    <row r="411" ht="15.75" customHeight="1" s="40">
      <c r="A411" s="4" t="n"/>
      <c r="B411" s="4" t="n"/>
      <c r="C411" s="4" t="n"/>
      <c r="D411" s="4" t="n"/>
    </row>
    <row r="412" ht="15.75" customHeight="1" s="40">
      <c r="A412" s="4" t="n"/>
      <c r="B412" s="4" t="n"/>
      <c r="C412" s="4" t="n"/>
      <c r="D412" s="4" t="n"/>
    </row>
    <row r="413" ht="15.75" customHeight="1" s="40">
      <c r="A413" s="4" t="n"/>
      <c r="B413" s="4" t="n"/>
      <c r="C413" s="4" t="n"/>
      <c r="D413" s="4" t="n"/>
    </row>
    <row r="414" ht="15.75" customHeight="1" s="40">
      <c r="A414" s="4" t="n"/>
      <c r="B414" s="4" t="n"/>
      <c r="C414" s="4" t="n"/>
      <c r="D414" s="4" t="n"/>
    </row>
    <row r="415" ht="15.75" customHeight="1" s="40">
      <c r="A415" s="4" t="n"/>
      <c r="B415" s="4" t="n"/>
      <c r="C415" s="4" t="n"/>
      <c r="D415" s="4" t="n"/>
    </row>
    <row r="416" ht="15.75" customHeight="1" s="40">
      <c r="A416" s="4" t="n"/>
      <c r="B416" s="4" t="n"/>
      <c r="C416" s="4" t="n"/>
      <c r="D416" s="4" t="n"/>
    </row>
    <row r="417" ht="15.75" customHeight="1" s="40">
      <c r="A417" s="4" t="n"/>
      <c r="B417" s="4" t="n"/>
      <c r="C417" s="4" t="n"/>
      <c r="D417" s="4" t="n"/>
    </row>
    <row r="418" ht="15.75" customHeight="1" s="40">
      <c r="A418" s="4" t="n"/>
      <c r="B418" s="4" t="n"/>
      <c r="C418" s="4" t="n"/>
      <c r="D418" s="4" t="n"/>
    </row>
    <row r="419" ht="15.75" customHeight="1" s="40">
      <c r="A419" s="4" t="n"/>
      <c r="B419" s="4" t="n"/>
      <c r="C419" s="4" t="n"/>
      <c r="D419" s="4" t="n"/>
    </row>
    <row r="420" ht="15.75" customHeight="1" s="40">
      <c r="A420" s="4" t="n"/>
      <c r="B420" s="4" t="n"/>
      <c r="C420" s="4" t="n"/>
      <c r="D420" s="4" t="n"/>
    </row>
    <row r="421" ht="15.75" customHeight="1" s="40">
      <c r="A421" s="4" t="n"/>
      <c r="B421" s="4" t="n"/>
      <c r="C421" s="4" t="n"/>
      <c r="D421" s="4" t="n"/>
    </row>
    <row r="422" ht="15.75" customHeight="1" s="40">
      <c r="A422" s="4" t="n"/>
      <c r="B422" s="4" t="n"/>
      <c r="C422" s="4" t="n"/>
      <c r="D422" s="4" t="n"/>
    </row>
    <row r="423" ht="15.75" customHeight="1" s="40">
      <c r="A423" s="4" t="n"/>
      <c r="B423" s="4" t="n"/>
      <c r="C423" s="4" t="n"/>
      <c r="D423" s="4" t="n"/>
    </row>
    <row r="424" ht="15.75" customHeight="1" s="40">
      <c r="A424" s="4" t="n"/>
      <c r="B424" s="4" t="n"/>
      <c r="C424" s="4" t="n"/>
      <c r="D424" s="4" t="n"/>
    </row>
    <row r="425" ht="15.75" customHeight="1" s="40">
      <c r="A425" s="4" t="n"/>
      <c r="B425" s="4" t="n"/>
      <c r="C425" s="4" t="n"/>
      <c r="D425" s="4" t="n"/>
    </row>
    <row r="426" ht="15.75" customHeight="1" s="40">
      <c r="A426" s="4" t="n"/>
      <c r="B426" s="4" t="n"/>
      <c r="C426" s="4" t="n"/>
      <c r="D426" s="4" t="n"/>
    </row>
    <row r="427" ht="15.75" customHeight="1" s="40">
      <c r="A427" s="4" t="n"/>
      <c r="B427" s="4" t="n"/>
      <c r="C427" s="4" t="n"/>
      <c r="D427" s="4" t="n"/>
    </row>
    <row r="428" ht="15.75" customHeight="1" s="40">
      <c r="A428" s="4" t="n"/>
      <c r="B428" s="4" t="n"/>
      <c r="C428" s="4" t="n"/>
      <c r="D428" s="4" t="n"/>
    </row>
    <row r="429" ht="15.75" customHeight="1" s="40">
      <c r="A429" s="4" t="n"/>
      <c r="B429" s="4" t="n"/>
      <c r="C429" s="4" t="n"/>
      <c r="D429" s="4" t="n"/>
    </row>
    <row r="430" ht="15.75" customHeight="1" s="40">
      <c r="A430" s="4" t="n"/>
      <c r="B430" s="4" t="n"/>
      <c r="C430" s="4" t="n"/>
      <c r="D430" s="4" t="n"/>
    </row>
    <row r="431" ht="15.75" customHeight="1" s="40">
      <c r="A431" s="4" t="n"/>
      <c r="B431" s="4" t="n"/>
      <c r="C431" s="4" t="n"/>
      <c r="D431" s="4" t="n"/>
    </row>
    <row r="432" ht="15.75" customHeight="1" s="40">
      <c r="A432" s="4" t="n"/>
      <c r="B432" s="4" t="n"/>
      <c r="C432" s="4" t="n"/>
      <c r="D432" s="4" t="n"/>
    </row>
    <row r="433" ht="15.75" customHeight="1" s="40">
      <c r="A433" s="4" t="n"/>
      <c r="B433" s="4" t="n"/>
      <c r="C433" s="4" t="n"/>
      <c r="D433" s="4" t="n"/>
    </row>
    <row r="434" ht="15.75" customHeight="1" s="40">
      <c r="A434" s="4" t="n"/>
      <c r="B434" s="4" t="n"/>
      <c r="C434" s="4" t="n"/>
      <c r="D434" s="4" t="n"/>
    </row>
    <row r="435" ht="15.75" customHeight="1" s="40">
      <c r="A435" s="4" t="n"/>
      <c r="B435" s="4" t="n"/>
      <c r="C435" s="4" t="n"/>
      <c r="D435" s="4" t="n"/>
    </row>
    <row r="436" ht="15.75" customHeight="1" s="40">
      <c r="A436" s="4" t="n"/>
      <c r="B436" s="4" t="n"/>
      <c r="C436" s="4" t="n"/>
      <c r="D436" s="4" t="n"/>
    </row>
    <row r="437" ht="15.75" customHeight="1" s="40">
      <c r="A437" s="4" t="n"/>
      <c r="B437" s="4" t="n"/>
      <c r="C437" s="4" t="n"/>
      <c r="D437" s="4" t="n"/>
    </row>
    <row r="438" ht="15.75" customHeight="1" s="40">
      <c r="A438" s="4" t="n"/>
      <c r="B438" s="4" t="n"/>
      <c r="C438" s="4" t="n"/>
      <c r="D438" s="4" t="n"/>
    </row>
    <row r="439" ht="15.75" customHeight="1" s="40">
      <c r="A439" s="4" t="n"/>
      <c r="B439" s="4" t="n"/>
      <c r="C439" s="4" t="n"/>
      <c r="D439" s="4" t="n"/>
    </row>
    <row r="440" ht="15.75" customHeight="1" s="40">
      <c r="A440" s="4" t="n"/>
      <c r="B440" s="4" t="n"/>
      <c r="C440" s="4" t="n"/>
      <c r="D440" s="4" t="n"/>
    </row>
    <row r="441" ht="15.75" customHeight="1" s="40">
      <c r="A441" s="4" t="n"/>
      <c r="B441" s="4" t="n"/>
      <c r="C441" s="4" t="n"/>
      <c r="D441" s="4" t="n"/>
    </row>
    <row r="442" ht="15.75" customHeight="1" s="40">
      <c r="A442" s="4" t="n"/>
      <c r="B442" s="4" t="n"/>
      <c r="C442" s="4" t="n"/>
      <c r="D442" s="4" t="n"/>
    </row>
    <row r="443" ht="15.75" customHeight="1" s="40">
      <c r="A443" s="4" t="n"/>
      <c r="B443" s="4" t="n"/>
      <c r="C443" s="4" t="n"/>
      <c r="D443" s="4" t="n"/>
    </row>
    <row r="444" ht="15.75" customHeight="1" s="40">
      <c r="A444" s="4" t="n"/>
      <c r="B444" s="4" t="n"/>
      <c r="C444" s="4" t="n"/>
      <c r="D444" s="4" t="n"/>
    </row>
    <row r="445" ht="15.75" customHeight="1" s="40">
      <c r="A445" s="4" t="n"/>
      <c r="B445" s="4" t="n"/>
      <c r="C445" s="4" t="n"/>
      <c r="D445" s="4" t="n"/>
    </row>
    <row r="446" ht="15.75" customHeight="1" s="40">
      <c r="A446" s="4" t="n"/>
      <c r="B446" s="4" t="n"/>
      <c r="C446" s="4" t="n"/>
      <c r="D446" s="4" t="n"/>
    </row>
    <row r="447" ht="15.75" customHeight="1" s="40">
      <c r="A447" s="4" t="n"/>
      <c r="B447" s="4" t="n"/>
      <c r="C447" s="4" t="n"/>
      <c r="D447" s="4" t="n"/>
    </row>
    <row r="448" ht="15.75" customHeight="1" s="40">
      <c r="A448" s="4" t="n"/>
      <c r="B448" s="4" t="n"/>
      <c r="C448" s="4" t="n"/>
      <c r="D448" s="4" t="n"/>
    </row>
    <row r="449" ht="15.75" customHeight="1" s="40">
      <c r="A449" s="4" t="n"/>
      <c r="B449" s="4" t="n"/>
      <c r="C449" s="4" t="n"/>
      <c r="D449" s="4" t="n"/>
    </row>
    <row r="450" ht="15.75" customHeight="1" s="40">
      <c r="A450" s="4" t="n"/>
      <c r="B450" s="4" t="n"/>
      <c r="C450" s="4" t="n"/>
      <c r="D450" s="4" t="n"/>
    </row>
    <row r="451" ht="15.75" customHeight="1" s="40">
      <c r="A451" s="4" t="n"/>
      <c r="B451" s="4" t="n"/>
      <c r="C451" s="4" t="n"/>
      <c r="D451" s="4" t="n"/>
    </row>
    <row r="452" ht="15.75" customHeight="1" s="40">
      <c r="A452" s="4" t="n"/>
      <c r="B452" s="4" t="n"/>
      <c r="C452" s="4" t="n"/>
      <c r="D452" s="4" t="n"/>
    </row>
    <row r="453" ht="15.75" customHeight="1" s="40">
      <c r="A453" s="4" t="n"/>
      <c r="B453" s="4" t="n"/>
      <c r="C453" s="4" t="n"/>
      <c r="D453" s="4" t="n"/>
    </row>
    <row r="454" ht="15.75" customHeight="1" s="40">
      <c r="A454" s="4" t="n"/>
      <c r="B454" s="4" t="n"/>
      <c r="C454" s="4" t="n"/>
      <c r="D454" s="4" t="n"/>
    </row>
    <row r="455" ht="15.75" customHeight="1" s="40">
      <c r="A455" s="4" t="n"/>
      <c r="B455" s="4" t="n"/>
      <c r="C455" s="4" t="n"/>
      <c r="D455" s="4" t="n"/>
    </row>
    <row r="456" ht="15.75" customHeight="1" s="40">
      <c r="A456" s="4" t="n"/>
      <c r="B456" s="4" t="n"/>
      <c r="C456" s="4" t="n"/>
      <c r="D456" s="4" t="n"/>
    </row>
    <row r="457" ht="15.75" customHeight="1" s="40">
      <c r="A457" s="4" t="n"/>
      <c r="B457" s="4" t="n"/>
      <c r="C457" s="4" t="n"/>
      <c r="D457" s="4" t="n"/>
    </row>
    <row r="458" ht="15.75" customHeight="1" s="40">
      <c r="A458" s="4" t="n"/>
      <c r="B458" s="4" t="n"/>
      <c r="C458" s="4" t="n"/>
      <c r="D458" s="4" t="n"/>
    </row>
    <row r="459" ht="15.75" customHeight="1" s="40">
      <c r="A459" s="4" t="n"/>
      <c r="B459" s="4" t="n"/>
      <c r="C459" s="4" t="n"/>
      <c r="D459" s="4" t="n"/>
    </row>
    <row r="460" ht="15.75" customHeight="1" s="40">
      <c r="A460" s="4" t="n"/>
      <c r="B460" s="4" t="n"/>
      <c r="C460" s="4" t="n"/>
      <c r="D460" s="4" t="n"/>
    </row>
    <row r="461" ht="15.75" customHeight="1" s="40">
      <c r="A461" s="4" t="n"/>
      <c r="B461" s="4" t="n"/>
      <c r="C461" s="4" t="n"/>
      <c r="D461" s="4" t="n"/>
    </row>
    <row r="462" ht="15.75" customHeight="1" s="40">
      <c r="A462" s="4" t="n"/>
      <c r="B462" s="4" t="n"/>
      <c r="C462" s="4" t="n"/>
      <c r="D462" s="4" t="n"/>
    </row>
    <row r="463" ht="15.75" customHeight="1" s="40">
      <c r="A463" s="4" t="n"/>
      <c r="B463" s="4" t="n"/>
      <c r="C463" s="4" t="n"/>
      <c r="D463" s="4" t="n"/>
    </row>
    <row r="464" ht="15.75" customHeight="1" s="40">
      <c r="A464" s="4" t="n"/>
      <c r="B464" s="4" t="n"/>
      <c r="C464" s="4" t="n"/>
      <c r="D464" s="4" t="n"/>
    </row>
    <row r="465" ht="15.75" customHeight="1" s="40">
      <c r="A465" s="4" t="n"/>
      <c r="B465" s="4" t="n"/>
      <c r="C465" s="4" t="n"/>
      <c r="D465" s="4" t="n"/>
    </row>
    <row r="466" ht="15.75" customHeight="1" s="40">
      <c r="A466" s="4" t="n"/>
      <c r="B466" s="4" t="n"/>
      <c r="C466" s="4" t="n"/>
      <c r="D466" s="4" t="n"/>
    </row>
    <row r="467" ht="15.75" customHeight="1" s="40">
      <c r="A467" s="4" t="n"/>
      <c r="B467" s="4" t="n"/>
      <c r="C467" s="4" t="n"/>
      <c r="D467" s="4" t="n"/>
    </row>
    <row r="468" ht="15.75" customHeight="1" s="40">
      <c r="A468" s="4" t="n"/>
      <c r="B468" s="4" t="n"/>
      <c r="C468" s="4" t="n"/>
      <c r="D468" s="4" t="n"/>
    </row>
    <row r="469" ht="15.75" customHeight="1" s="40">
      <c r="A469" s="4" t="n"/>
      <c r="B469" s="4" t="n"/>
      <c r="C469" s="4" t="n"/>
      <c r="D469" s="4" t="n"/>
    </row>
    <row r="470" ht="15.75" customHeight="1" s="40">
      <c r="A470" s="4" t="n"/>
      <c r="B470" s="4" t="n"/>
      <c r="C470" s="4" t="n"/>
      <c r="D470" s="4" t="n"/>
    </row>
    <row r="471" ht="15.75" customHeight="1" s="40">
      <c r="A471" s="4" t="n"/>
      <c r="B471" s="4" t="n"/>
      <c r="C471" s="4" t="n"/>
      <c r="D471" s="4" t="n"/>
    </row>
    <row r="472" ht="15.75" customHeight="1" s="40">
      <c r="A472" s="4" t="n"/>
      <c r="B472" s="4" t="n"/>
      <c r="C472" s="4" t="n"/>
      <c r="D472" s="4" t="n"/>
    </row>
    <row r="473" ht="15.75" customHeight="1" s="40">
      <c r="A473" s="4" t="n"/>
      <c r="B473" s="4" t="n"/>
      <c r="C473" s="4" t="n"/>
      <c r="D473" s="4" t="n"/>
    </row>
    <row r="474" ht="15.75" customHeight="1" s="40">
      <c r="A474" s="4" t="n"/>
      <c r="B474" s="4" t="n"/>
      <c r="C474" s="4" t="n"/>
      <c r="D474" s="4" t="n"/>
    </row>
    <row r="475" ht="15.75" customHeight="1" s="40">
      <c r="A475" s="4" t="n"/>
      <c r="B475" s="4" t="n"/>
      <c r="C475" s="4" t="n"/>
      <c r="D475" s="4" t="n"/>
    </row>
    <row r="476" ht="15.75" customHeight="1" s="40">
      <c r="A476" s="4" t="n"/>
      <c r="B476" s="4" t="n"/>
      <c r="C476" s="4" t="n"/>
      <c r="D476" s="4" t="n"/>
    </row>
    <row r="477" ht="15.75" customHeight="1" s="40">
      <c r="A477" s="4" t="n"/>
      <c r="B477" s="4" t="n"/>
      <c r="C477" s="4" t="n"/>
      <c r="D477" s="4" t="n"/>
    </row>
    <row r="478" ht="15.75" customHeight="1" s="40">
      <c r="A478" s="4" t="n"/>
      <c r="B478" s="4" t="n"/>
      <c r="C478" s="4" t="n"/>
      <c r="D478" s="4" t="n"/>
    </row>
    <row r="479" ht="15.75" customHeight="1" s="40">
      <c r="A479" s="4" t="n"/>
      <c r="B479" s="4" t="n"/>
      <c r="C479" s="4" t="n"/>
      <c r="D479" s="4" t="n"/>
    </row>
    <row r="480" ht="15.75" customHeight="1" s="40">
      <c r="A480" s="4" t="n"/>
      <c r="B480" s="4" t="n"/>
      <c r="C480" s="4" t="n"/>
      <c r="D480" s="4" t="n"/>
    </row>
    <row r="481" ht="15.75" customHeight="1" s="40">
      <c r="A481" s="4" t="n"/>
      <c r="B481" s="4" t="n"/>
      <c r="C481" s="4" t="n"/>
      <c r="D481" s="4" t="n"/>
    </row>
    <row r="482" ht="15.75" customHeight="1" s="40">
      <c r="A482" s="4" t="n"/>
      <c r="B482" s="4" t="n"/>
      <c r="C482" s="4" t="n"/>
      <c r="D482" s="4" t="n"/>
    </row>
    <row r="483" ht="15.75" customHeight="1" s="40">
      <c r="A483" s="4" t="n"/>
      <c r="B483" s="4" t="n"/>
      <c r="C483" s="4" t="n"/>
      <c r="D483" s="4" t="n"/>
    </row>
    <row r="484" ht="15.75" customHeight="1" s="40">
      <c r="A484" s="4" t="n"/>
      <c r="B484" s="4" t="n"/>
      <c r="C484" s="4" t="n"/>
      <c r="D484" s="4" t="n"/>
    </row>
    <row r="485" ht="15.75" customHeight="1" s="40">
      <c r="A485" s="4" t="n"/>
      <c r="B485" s="4" t="n"/>
      <c r="C485" s="4" t="n"/>
      <c r="D485" s="4" t="n"/>
    </row>
    <row r="486" ht="15.75" customHeight="1" s="40">
      <c r="A486" s="4" t="n"/>
      <c r="B486" s="4" t="n"/>
      <c r="C486" s="4" t="n"/>
      <c r="D486" s="4" t="n"/>
    </row>
    <row r="487" ht="15.75" customHeight="1" s="40">
      <c r="A487" s="4" t="n"/>
      <c r="B487" s="4" t="n"/>
      <c r="C487" s="4" t="n"/>
      <c r="D487" s="4" t="n"/>
    </row>
    <row r="488" ht="15.75" customHeight="1" s="40">
      <c r="A488" s="4" t="n"/>
      <c r="B488" s="4" t="n"/>
      <c r="C488" s="4" t="n"/>
      <c r="D488" s="4" t="n"/>
    </row>
    <row r="489" ht="15.75" customHeight="1" s="40">
      <c r="A489" s="4" t="n"/>
      <c r="B489" s="4" t="n"/>
      <c r="C489" s="4" t="n"/>
      <c r="D489" s="4" t="n"/>
    </row>
    <row r="490" ht="15.75" customHeight="1" s="40">
      <c r="A490" s="4" t="n"/>
      <c r="B490" s="4" t="n"/>
      <c r="C490" s="4" t="n"/>
      <c r="D490" s="4" t="n"/>
    </row>
    <row r="491" ht="15.75" customHeight="1" s="40">
      <c r="A491" s="4" t="n"/>
      <c r="B491" s="4" t="n"/>
      <c r="C491" s="4" t="n"/>
      <c r="D491" s="4" t="n"/>
    </row>
    <row r="492" ht="15.75" customHeight="1" s="40">
      <c r="A492" s="4" t="n"/>
      <c r="B492" s="4" t="n"/>
      <c r="C492" s="4" t="n"/>
      <c r="D492" s="4" t="n"/>
    </row>
    <row r="493" ht="15.75" customHeight="1" s="40">
      <c r="A493" s="4" t="n"/>
      <c r="B493" s="4" t="n"/>
      <c r="C493" s="4" t="n"/>
      <c r="D493" s="4" t="n"/>
    </row>
    <row r="494" ht="15.75" customHeight="1" s="40">
      <c r="A494" s="4" t="n"/>
      <c r="B494" s="4" t="n"/>
      <c r="C494" s="4" t="n"/>
      <c r="D494" s="4" t="n"/>
    </row>
    <row r="495" ht="15.75" customHeight="1" s="40">
      <c r="A495" s="4" t="n"/>
      <c r="B495" s="4" t="n"/>
      <c r="C495" s="4" t="n"/>
      <c r="D495" s="4" t="n"/>
    </row>
    <row r="496" ht="15.75" customHeight="1" s="40">
      <c r="A496" s="4" t="n"/>
      <c r="B496" s="4" t="n"/>
      <c r="C496" s="4" t="n"/>
      <c r="D496" s="4" t="n"/>
    </row>
    <row r="497" ht="15.75" customHeight="1" s="40">
      <c r="A497" s="4" t="n"/>
      <c r="B497" s="4" t="n"/>
      <c r="C497" s="4" t="n"/>
      <c r="D497" s="4" t="n"/>
    </row>
    <row r="498" ht="15.75" customHeight="1" s="40">
      <c r="A498" s="4" t="n"/>
      <c r="B498" s="4" t="n"/>
      <c r="C498" s="4" t="n"/>
      <c r="D498" s="4" t="n"/>
    </row>
    <row r="499" ht="15.75" customHeight="1" s="40">
      <c r="A499" s="4" t="n"/>
      <c r="B499" s="4" t="n"/>
      <c r="C499" s="4" t="n"/>
      <c r="D499" s="4" t="n"/>
    </row>
    <row r="500" ht="15.75" customHeight="1" s="40">
      <c r="A500" s="4" t="n"/>
      <c r="B500" s="4" t="n"/>
      <c r="C500" s="4" t="n"/>
      <c r="D500" s="4" t="n"/>
    </row>
    <row r="501" ht="15.75" customHeight="1" s="40">
      <c r="A501" s="4" t="n"/>
      <c r="B501" s="4" t="n"/>
      <c r="C501" s="4" t="n"/>
      <c r="D501" s="4" t="n"/>
    </row>
    <row r="502" ht="15.75" customHeight="1" s="40">
      <c r="A502" s="4" t="n"/>
      <c r="B502" s="4" t="n"/>
      <c r="C502" s="4" t="n"/>
      <c r="D502" s="4" t="n"/>
    </row>
    <row r="503" ht="15.75" customHeight="1" s="40">
      <c r="A503" s="4" t="n"/>
      <c r="B503" s="4" t="n"/>
      <c r="C503" s="4" t="n"/>
      <c r="D503" s="4" t="n"/>
    </row>
    <row r="504" ht="15.75" customHeight="1" s="40">
      <c r="A504" s="4" t="n"/>
      <c r="B504" s="4" t="n"/>
      <c r="C504" s="4" t="n"/>
      <c r="D504" s="4" t="n"/>
    </row>
    <row r="505" ht="15.75" customHeight="1" s="40">
      <c r="A505" s="4" t="n"/>
      <c r="B505" s="4" t="n"/>
      <c r="C505" s="4" t="n"/>
      <c r="D505" s="4" t="n"/>
    </row>
    <row r="506" ht="15.75" customHeight="1" s="40">
      <c r="A506" s="4" t="n"/>
      <c r="B506" s="4" t="n"/>
      <c r="C506" s="4" t="n"/>
      <c r="D506" s="4" t="n"/>
    </row>
    <row r="507" ht="15.75" customHeight="1" s="40">
      <c r="A507" s="4" t="n"/>
      <c r="B507" s="4" t="n"/>
      <c r="C507" s="4" t="n"/>
      <c r="D507" s="4" t="n"/>
    </row>
    <row r="508" ht="15.75" customHeight="1" s="40">
      <c r="A508" s="4" t="n"/>
      <c r="B508" s="4" t="n"/>
      <c r="C508" s="4" t="n"/>
      <c r="D508" s="4" t="n"/>
    </row>
    <row r="509" ht="15.75" customHeight="1" s="40">
      <c r="A509" s="4" t="n"/>
      <c r="B509" s="4" t="n"/>
      <c r="C509" s="4" t="n"/>
      <c r="D509" s="4" t="n"/>
    </row>
    <row r="510" ht="15.75" customHeight="1" s="40">
      <c r="A510" s="4" t="n"/>
      <c r="B510" s="4" t="n"/>
      <c r="C510" s="4" t="n"/>
      <c r="D510" s="4" t="n"/>
    </row>
    <row r="511" ht="15.75" customHeight="1" s="40">
      <c r="A511" s="4" t="n"/>
      <c r="B511" s="4" t="n"/>
      <c r="C511" s="4" t="n"/>
      <c r="D511" s="4" t="n"/>
    </row>
    <row r="512" ht="15.75" customHeight="1" s="40">
      <c r="A512" s="4" t="n"/>
      <c r="B512" s="4" t="n"/>
      <c r="C512" s="4" t="n"/>
      <c r="D512" s="4" t="n"/>
    </row>
    <row r="513" ht="15.75" customHeight="1" s="40">
      <c r="A513" s="4" t="n"/>
      <c r="B513" s="4" t="n"/>
      <c r="C513" s="4" t="n"/>
      <c r="D513" s="4" t="n"/>
    </row>
    <row r="514" ht="15.75" customHeight="1" s="40">
      <c r="A514" s="4" t="n"/>
      <c r="B514" s="4" t="n"/>
      <c r="C514" s="4" t="n"/>
      <c r="D514" s="4" t="n"/>
    </row>
    <row r="515" ht="15.75" customHeight="1" s="40">
      <c r="A515" s="4" t="n"/>
      <c r="B515" s="4" t="n"/>
      <c r="C515" s="4" t="n"/>
      <c r="D515" s="4" t="n"/>
    </row>
    <row r="516" ht="15.75" customHeight="1" s="40">
      <c r="A516" s="4" t="n"/>
      <c r="B516" s="4" t="n"/>
      <c r="C516" s="4" t="n"/>
      <c r="D516" s="4" t="n"/>
    </row>
    <row r="517" ht="15.75" customHeight="1" s="40">
      <c r="A517" s="4" t="n"/>
      <c r="B517" s="4" t="n"/>
      <c r="C517" s="4" t="n"/>
      <c r="D517" s="4" t="n"/>
    </row>
    <row r="518" ht="15.75" customHeight="1" s="40">
      <c r="A518" s="4" t="n"/>
      <c r="B518" s="4" t="n"/>
      <c r="C518" s="4" t="n"/>
      <c r="D518" s="4" t="n"/>
    </row>
    <row r="519" ht="15.75" customHeight="1" s="40">
      <c r="A519" s="4" t="n"/>
      <c r="B519" s="4" t="n"/>
      <c r="C519" s="4" t="n"/>
      <c r="D519" s="4" t="n"/>
    </row>
    <row r="520" ht="15.75" customHeight="1" s="40">
      <c r="A520" s="4" t="n"/>
      <c r="B520" s="4" t="n"/>
      <c r="C520" s="4" t="n"/>
      <c r="D520" s="4" t="n"/>
    </row>
    <row r="521" ht="15.75" customHeight="1" s="40">
      <c r="A521" s="4" t="n"/>
      <c r="B521" s="4" t="n"/>
      <c r="C521" s="4" t="n"/>
      <c r="D521" s="4" t="n"/>
    </row>
    <row r="522" ht="15.75" customHeight="1" s="40">
      <c r="A522" s="4" t="n"/>
      <c r="B522" s="4" t="n"/>
      <c r="C522" s="4" t="n"/>
      <c r="D522" s="4" t="n"/>
    </row>
    <row r="523" ht="15.75" customHeight="1" s="40">
      <c r="A523" s="4" t="n"/>
      <c r="B523" s="4" t="n"/>
      <c r="C523" s="4" t="n"/>
      <c r="D523" s="4" t="n"/>
    </row>
    <row r="524" ht="15.75" customHeight="1" s="40">
      <c r="A524" s="4" t="n"/>
      <c r="B524" s="4" t="n"/>
      <c r="C524" s="4" t="n"/>
      <c r="D524" s="4" t="n"/>
    </row>
    <row r="525" ht="15.75" customHeight="1" s="40">
      <c r="A525" s="4" t="n"/>
      <c r="B525" s="4" t="n"/>
      <c r="C525" s="4" t="n"/>
      <c r="D525" s="4" t="n"/>
    </row>
    <row r="526" ht="15.75" customHeight="1" s="40">
      <c r="A526" s="4" t="n"/>
      <c r="B526" s="4" t="n"/>
      <c r="C526" s="4" t="n"/>
      <c r="D526" s="4" t="n"/>
    </row>
    <row r="527" ht="15.75" customHeight="1" s="40">
      <c r="A527" s="4" t="n"/>
      <c r="B527" s="4" t="n"/>
      <c r="C527" s="4" t="n"/>
      <c r="D527" s="4" t="n"/>
    </row>
    <row r="528" ht="15.75" customHeight="1" s="40">
      <c r="A528" s="4" t="n"/>
      <c r="B528" s="4" t="n"/>
      <c r="C528" s="4" t="n"/>
      <c r="D528" s="4" t="n"/>
    </row>
    <row r="529" ht="15.75" customHeight="1" s="40">
      <c r="A529" s="4" t="n"/>
      <c r="B529" s="4" t="n"/>
      <c r="C529" s="4" t="n"/>
      <c r="D529" s="4" t="n"/>
    </row>
    <row r="530" ht="15.75" customHeight="1" s="40">
      <c r="A530" s="4" t="n"/>
      <c r="B530" s="4" t="n"/>
      <c r="C530" s="4" t="n"/>
      <c r="D530" s="4" t="n"/>
    </row>
    <row r="531" ht="15.75" customHeight="1" s="40">
      <c r="A531" s="4" t="n"/>
      <c r="B531" s="4" t="n"/>
      <c r="C531" s="4" t="n"/>
      <c r="D531" s="4" t="n"/>
    </row>
    <row r="532" ht="15.75" customHeight="1" s="40">
      <c r="A532" s="4" t="n"/>
      <c r="B532" s="4" t="n"/>
      <c r="C532" s="4" t="n"/>
      <c r="D532" s="4" t="n"/>
    </row>
    <row r="533" ht="15.75" customHeight="1" s="40">
      <c r="A533" s="4" t="n"/>
      <c r="B533" s="4" t="n"/>
      <c r="C533" s="4" t="n"/>
      <c r="D533" s="4" t="n"/>
    </row>
    <row r="534" ht="15.75" customHeight="1" s="40">
      <c r="A534" s="4" t="n"/>
      <c r="B534" s="4" t="n"/>
      <c r="C534" s="4" t="n"/>
      <c r="D534" s="4" t="n"/>
    </row>
    <row r="535" ht="15.75" customHeight="1" s="40">
      <c r="A535" s="4" t="n"/>
      <c r="B535" s="4" t="n"/>
      <c r="C535" s="4" t="n"/>
      <c r="D535" s="4" t="n"/>
    </row>
    <row r="536" ht="15.75" customHeight="1" s="40">
      <c r="A536" s="4" t="n"/>
      <c r="B536" s="4" t="n"/>
      <c r="C536" s="4" t="n"/>
      <c r="D536" s="4" t="n"/>
    </row>
    <row r="537" ht="15.75" customHeight="1" s="40">
      <c r="A537" s="4" t="n"/>
      <c r="B537" s="4" t="n"/>
      <c r="C537" s="4" t="n"/>
      <c r="D537" s="4" t="n"/>
    </row>
    <row r="538" ht="15.75" customHeight="1" s="40">
      <c r="A538" s="4" t="n"/>
      <c r="B538" s="4" t="n"/>
      <c r="C538" s="4" t="n"/>
      <c r="D538" s="4" t="n"/>
    </row>
    <row r="539" ht="15.75" customHeight="1" s="40">
      <c r="A539" s="4" t="n"/>
      <c r="B539" s="4" t="n"/>
      <c r="C539" s="4" t="n"/>
      <c r="D539" s="4" t="n"/>
    </row>
    <row r="540" ht="15.75" customHeight="1" s="40">
      <c r="A540" s="4" t="n"/>
      <c r="B540" s="4" t="n"/>
      <c r="C540" s="4" t="n"/>
      <c r="D540" s="4" t="n"/>
    </row>
    <row r="541" ht="15.75" customHeight="1" s="40">
      <c r="A541" s="4" t="n"/>
      <c r="B541" s="4" t="n"/>
      <c r="C541" s="4" t="n"/>
      <c r="D541" s="4" t="n"/>
    </row>
    <row r="542" ht="15.75" customHeight="1" s="40">
      <c r="A542" s="4" t="n"/>
      <c r="B542" s="4" t="n"/>
      <c r="C542" s="4" t="n"/>
      <c r="D542" s="4" t="n"/>
    </row>
    <row r="543" ht="15.75" customHeight="1" s="40">
      <c r="A543" s="4" t="n"/>
      <c r="B543" s="4" t="n"/>
      <c r="C543" s="4" t="n"/>
      <c r="D543" s="4" t="n"/>
    </row>
    <row r="544" ht="15.75" customHeight="1" s="40">
      <c r="A544" s="4" t="n"/>
      <c r="B544" s="4" t="n"/>
      <c r="C544" s="4" t="n"/>
      <c r="D544" s="4" t="n"/>
    </row>
    <row r="545" ht="15.75" customHeight="1" s="40">
      <c r="A545" s="4" t="n"/>
      <c r="B545" s="4" t="n"/>
      <c r="C545" s="4" t="n"/>
      <c r="D545" s="4" t="n"/>
    </row>
    <row r="546" ht="15.75" customHeight="1" s="40">
      <c r="A546" s="4" t="n"/>
      <c r="B546" s="4" t="n"/>
      <c r="C546" s="4" t="n"/>
      <c r="D546" s="4" t="n"/>
    </row>
    <row r="547" ht="15.75" customHeight="1" s="40">
      <c r="A547" s="4" t="n"/>
      <c r="B547" s="4" t="n"/>
      <c r="C547" s="4" t="n"/>
      <c r="D547" s="4" t="n"/>
    </row>
    <row r="548" ht="15.75" customHeight="1" s="40">
      <c r="A548" s="4" t="n"/>
      <c r="B548" s="4" t="n"/>
      <c r="C548" s="4" t="n"/>
      <c r="D548" s="4" t="n"/>
    </row>
    <row r="549" ht="15.75" customHeight="1" s="40">
      <c r="A549" s="4" t="n"/>
      <c r="B549" s="4" t="n"/>
      <c r="C549" s="4" t="n"/>
      <c r="D549" s="4" t="n"/>
    </row>
    <row r="550" ht="15.75" customHeight="1" s="40">
      <c r="A550" s="4" t="n"/>
      <c r="B550" s="4" t="n"/>
      <c r="C550" s="4" t="n"/>
      <c r="D550" s="4" t="n"/>
    </row>
    <row r="551" ht="15.75" customHeight="1" s="40">
      <c r="A551" s="4" t="n"/>
      <c r="B551" s="4" t="n"/>
      <c r="C551" s="4" t="n"/>
      <c r="D551" s="4" t="n"/>
    </row>
    <row r="552" ht="15.75" customHeight="1" s="40">
      <c r="A552" s="4" t="n"/>
      <c r="B552" s="4" t="n"/>
      <c r="C552" s="4" t="n"/>
      <c r="D552" s="4" t="n"/>
    </row>
    <row r="553" ht="15.75" customHeight="1" s="40">
      <c r="A553" s="4" t="n"/>
      <c r="B553" s="4" t="n"/>
      <c r="C553" s="4" t="n"/>
      <c r="D553" s="4" t="n"/>
    </row>
    <row r="554" ht="15.75" customHeight="1" s="40">
      <c r="A554" s="4" t="n"/>
      <c r="B554" s="4" t="n"/>
      <c r="C554" s="4" t="n"/>
      <c r="D554" s="4" t="n"/>
    </row>
    <row r="555" ht="15.75" customHeight="1" s="40">
      <c r="A555" s="4" t="n"/>
      <c r="B555" s="4" t="n"/>
      <c r="C555" s="4" t="n"/>
      <c r="D555" s="4" t="n"/>
    </row>
    <row r="556" ht="15.75" customHeight="1" s="40">
      <c r="A556" s="4" t="n"/>
      <c r="B556" s="4" t="n"/>
      <c r="C556" s="4" t="n"/>
      <c r="D556" s="4" t="n"/>
    </row>
    <row r="557" ht="15.75" customHeight="1" s="40">
      <c r="A557" s="4" t="n"/>
      <c r="B557" s="4" t="n"/>
      <c r="C557" s="4" t="n"/>
      <c r="D557" s="4" t="n"/>
    </row>
    <row r="558" ht="15.75" customHeight="1" s="40">
      <c r="A558" s="4" t="n"/>
      <c r="B558" s="4" t="n"/>
      <c r="C558" s="4" t="n"/>
      <c r="D558" s="4" t="n"/>
    </row>
    <row r="559" ht="15.75" customHeight="1" s="40">
      <c r="A559" s="4" t="n"/>
      <c r="B559" s="4" t="n"/>
      <c r="C559" s="4" t="n"/>
      <c r="D559" s="4" t="n"/>
    </row>
    <row r="560" ht="15.75" customHeight="1" s="40">
      <c r="A560" s="4" t="n"/>
      <c r="B560" s="4" t="n"/>
      <c r="C560" s="4" t="n"/>
      <c r="D560" s="4" t="n"/>
    </row>
    <row r="561" ht="15.75" customHeight="1" s="40">
      <c r="A561" s="4" t="n"/>
      <c r="B561" s="4" t="n"/>
      <c r="C561" s="4" t="n"/>
      <c r="D561" s="4" t="n"/>
    </row>
    <row r="562" ht="15.75" customHeight="1" s="40">
      <c r="A562" s="4" t="n"/>
      <c r="B562" s="4" t="n"/>
      <c r="C562" s="4" t="n"/>
      <c r="D562" s="4" t="n"/>
    </row>
    <row r="563" ht="15.75" customHeight="1" s="40">
      <c r="A563" s="4" t="n"/>
      <c r="B563" s="4" t="n"/>
      <c r="C563" s="4" t="n"/>
      <c r="D563" s="4" t="n"/>
    </row>
    <row r="564" ht="15.75" customHeight="1" s="40">
      <c r="A564" s="4" t="n"/>
      <c r="B564" s="4" t="n"/>
      <c r="C564" s="4" t="n"/>
      <c r="D564" s="4" t="n"/>
    </row>
    <row r="565" ht="15.75" customHeight="1" s="40">
      <c r="A565" s="4" t="n"/>
      <c r="B565" s="4" t="n"/>
      <c r="C565" s="4" t="n"/>
      <c r="D565" s="4" t="n"/>
    </row>
    <row r="566" ht="15.75" customHeight="1" s="40">
      <c r="A566" s="4" t="n"/>
      <c r="B566" s="4" t="n"/>
      <c r="C566" s="4" t="n"/>
      <c r="D566" s="4" t="n"/>
    </row>
    <row r="567" ht="15.75" customHeight="1" s="40">
      <c r="A567" s="4" t="n"/>
      <c r="B567" s="4" t="n"/>
      <c r="C567" s="4" t="n"/>
      <c r="D567" s="4" t="n"/>
    </row>
    <row r="568" ht="15.75" customHeight="1" s="40">
      <c r="A568" s="4" t="n"/>
      <c r="B568" s="4" t="n"/>
      <c r="C568" s="4" t="n"/>
      <c r="D568" s="4" t="n"/>
    </row>
    <row r="569" ht="15.75" customHeight="1" s="40">
      <c r="A569" s="4" t="n"/>
      <c r="B569" s="4" t="n"/>
      <c r="C569" s="4" t="n"/>
      <c r="D569" s="4" t="n"/>
    </row>
    <row r="570" ht="15.75" customHeight="1" s="40">
      <c r="A570" s="4" t="n"/>
      <c r="B570" s="4" t="n"/>
      <c r="C570" s="4" t="n"/>
      <c r="D570" s="4" t="n"/>
    </row>
    <row r="571" ht="15.75" customHeight="1" s="40">
      <c r="A571" s="4" t="n"/>
      <c r="B571" s="4" t="n"/>
      <c r="C571" s="4" t="n"/>
      <c r="D571" s="4" t="n"/>
    </row>
    <row r="572" ht="15.75" customHeight="1" s="40">
      <c r="A572" s="4" t="n"/>
      <c r="B572" s="4" t="n"/>
      <c r="C572" s="4" t="n"/>
      <c r="D572" s="4" t="n"/>
    </row>
    <row r="573" ht="15.75" customHeight="1" s="40">
      <c r="A573" s="4" t="n"/>
      <c r="B573" s="4" t="n"/>
      <c r="C573" s="4" t="n"/>
      <c r="D573" s="4" t="n"/>
    </row>
    <row r="574" ht="15.75" customHeight="1" s="40">
      <c r="A574" s="4" t="n"/>
      <c r="B574" s="4" t="n"/>
      <c r="C574" s="4" t="n"/>
      <c r="D574" s="4" t="n"/>
    </row>
    <row r="575" ht="15.75" customHeight="1" s="40">
      <c r="A575" s="4" t="n"/>
      <c r="B575" s="4" t="n"/>
      <c r="C575" s="4" t="n"/>
      <c r="D575" s="4" t="n"/>
    </row>
    <row r="576" ht="15.75" customHeight="1" s="40">
      <c r="A576" s="4" t="n"/>
      <c r="B576" s="4" t="n"/>
      <c r="C576" s="4" t="n"/>
      <c r="D576" s="4" t="n"/>
    </row>
    <row r="577" ht="15.75" customHeight="1" s="40">
      <c r="A577" s="4" t="n"/>
      <c r="B577" s="4" t="n"/>
      <c r="C577" s="4" t="n"/>
      <c r="D577" s="4" t="n"/>
    </row>
    <row r="578" ht="15.75" customHeight="1" s="40">
      <c r="A578" s="4" t="n"/>
      <c r="B578" s="4" t="n"/>
      <c r="C578" s="4" t="n"/>
      <c r="D578" s="4" t="n"/>
    </row>
    <row r="579" ht="15.75" customHeight="1" s="40">
      <c r="A579" s="4" t="n"/>
      <c r="B579" s="4" t="n"/>
      <c r="C579" s="4" t="n"/>
      <c r="D579" s="4" t="n"/>
    </row>
    <row r="580" ht="15.75" customHeight="1" s="40">
      <c r="A580" s="4" t="n"/>
      <c r="B580" s="4" t="n"/>
      <c r="C580" s="4" t="n"/>
      <c r="D580" s="4" t="n"/>
    </row>
    <row r="581" ht="15.75" customHeight="1" s="40">
      <c r="A581" s="4" t="n"/>
      <c r="B581" s="4" t="n"/>
      <c r="C581" s="4" t="n"/>
      <c r="D581" s="4" t="n"/>
    </row>
    <row r="582" ht="15.75" customHeight="1" s="40">
      <c r="A582" s="4" t="n"/>
      <c r="B582" s="4" t="n"/>
      <c r="C582" s="4" t="n"/>
      <c r="D582" s="4" t="n"/>
    </row>
    <row r="583" ht="15.75" customHeight="1" s="40">
      <c r="A583" s="4" t="n"/>
      <c r="B583" s="4" t="n"/>
      <c r="C583" s="4" t="n"/>
      <c r="D583" s="4" t="n"/>
    </row>
    <row r="584" ht="15.75" customHeight="1" s="40">
      <c r="A584" s="4" t="n"/>
      <c r="B584" s="4" t="n"/>
      <c r="C584" s="4" t="n"/>
      <c r="D584" s="4" t="n"/>
    </row>
    <row r="585" ht="15.75" customHeight="1" s="40">
      <c r="A585" s="4" t="n"/>
      <c r="B585" s="4" t="n"/>
      <c r="C585" s="4" t="n"/>
      <c r="D585" s="4" t="n"/>
    </row>
    <row r="586" ht="15.75" customHeight="1" s="40">
      <c r="A586" s="4" t="n"/>
      <c r="B586" s="4" t="n"/>
      <c r="C586" s="4" t="n"/>
      <c r="D586" s="4" t="n"/>
    </row>
    <row r="587" ht="15.75" customHeight="1" s="40">
      <c r="A587" s="4" t="n"/>
      <c r="B587" s="4" t="n"/>
      <c r="C587" s="4" t="n"/>
      <c r="D587" s="4" t="n"/>
    </row>
    <row r="588" ht="15.75" customHeight="1" s="40">
      <c r="A588" s="4" t="n"/>
      <c r="B588" s="4" t="n"/>
      <c r="C588" s="4" t="n"/>
      <c r="D588" s="4" t="n"/>
    </row>
    <row r="589" ht="15.75" customHeight="1" s="40">
      <c r="A589" s="4" t="n"/>
      <c r="B589" s="4" t="n"/>
      <c r="C589" s="4" t="n"/>
      <c r="D589" s="4" t="n"/>
    </row>
    <row r="590" ht="15.75" customHeight="1" s="40">
      <c r="A590" s="4" t="n"/>
      <c r="B590" s="4" t="n"/>
      <c r="C590" s="4" t="n"/>
      <c r="D590" s="4" t="n"/>
    </row>
    <row r="591" ht="15.75" customHeight="1" s="40">
      <c r="A591" s="4" t="n"/>
      <c r="B591" s="4" t="n"/>
      <c r="C591" s="4" t="n"/>
      <c r="D591" s="4" t="n"/>
    </row>
    <row r="592" ht="15.75" customHeight="1" s="40">
      <c r="A592" s="4" t="n"/>
      <c r="B592" s="4" t="n"/>
      <c r="C592" s="4" t="n"/>
      <c r="D592" s="4" t="n"/>
    </row>
    <row r="593" ht="15.75" customHeight="1" s="40">
      <c r="A593" s="4" t="n"/>
      <c r="B593" s="4" t="n"/>
      <c r="C593" s="4" t="n"/>
      <c r="D593" s="4" t="n"/>
    </row>
    <row r="594" ht="15.75" customHeight="1" s="40">
      <c r="A594" s="4" t="n"/>
      <c r="B594" s="4" t="n"/>
      <c r="C594" s="4" t="n"/>
      <c r="D594" s="4" t="n"/>
    </row>
    <row r="595" ht="15.75" customHeight="1" s="40">
      <c r="A595" s="4" t="n"/>
      <c r="B595" s="4" t="n"/>
      <c r="C595" s="4" t="n"/>
      <c r="D595" s="4" t="n"/>
    </row>
    <row r="596" ht="15.75" customHeight="1" s="40">
      <c r="A596" s="4" t="n"/>
      <c r="B596" s="4" t="n"/>
      <c r="C596" s="4" t="n"/>
      <c r="D596" s="4" t="n"/>
    </row>
    <row r="597" ht="15.75" customHeight="1" s="40">
      <c r="A597" s="4" t="n"/>
      <c r="B597" s="4" t="n"/>
      <c r="C597" s="4" t="n"/>
      <c r="D597" s="4" t="n"/>
    </row>
    <row r="598" ht="15.75" customHeight="1" s="40">
      <c r="A598" s="4" t="n"/>
      <c r="B598" s="4" t="n"/>
      <c r="C598" s="4" t="n"/>
      <c r="D598" s="4" t="n"/>
    </row>
    <row r="599" ht="15.75" customHeight="1" s="40">
      <c r="A599" s="4" t="n"/>
      <c r="B599" s="4" t="n"/>
      <c r="C599" s="4" t="n"/>
      <c r="D599" s="4" t="n"/>
    </row>
    <row r="600" ht="15.75" customHeight="1" s="40">
      <c r="A600" s="4" t="n"/>
      <c r="B600" s="4" t="n"/>
      <c r="C600" s="4" t="n"/>
      <c r="D600" s="4" t="n"/>
    </row>
    <row r="601" ht="15.75" customHeight="1" s="40">
      <c r="A601" s="4" t="n"/>
      <c r="B601" s="4" t="n"/>
      <c r="C601" s="4" t="n"/>
      <c r="D601" s="4" t="n"/>
    </row>
    <row r="602" ht="15.75" customHeight="1" s="40">
      <c r="A602" s="4" t="n"/>
      <c r="B602" s="4" t="n"/>
      <c r="C602" s="4" t="n"/>
      <c r="D602" s="4" t="n"/>
    </row>
    <row r="603" ht="15.75" customHeight="1" s="40">
      <c r="A603" s="4" t="n"/>
      <c r="B603" s="4" t="n"/>
      <c r="C603" s="4" t="n"/>
      <c r="D603" s="4" t="n"/>
    </row>
    <row r="604" ht="15.75" customHeight="1" s="40">
      <c r="A604" s="4" t="n"/>
      <c r="B604" s="4" t="n"/>
      <c r="C604" s="4" t="n"/>
      <c r="D604" s="4" t="n"/>
    </row>
    <row r="605" ht="15.75" customHeight="1" s="40">
      <c r="A605" s="4" t="n"/>
      <c r="B605" s="4" t="n"/>
      <c r="C605" s="4" t="n"/>
      <c r="D605" s="4" t="n"/>
    </row>
    <row r="606" ht="15.75" customHeight="1" s="40">
      <c r="A606" s="4" t="n"/>
      <c r="B606" s="4" t="n"/>
      <c r="C606" s="4" t="n"/>
      <c r="D606" s="4" t="n"/>
    </row>
    <row r="607" ht="15.75" customHeight="1" s="40">
      <c r="A607" s="4" t="n"/>
      <c r="B607" s="4" t="n"/>
      <c r="C607" s="4" t="n"/>
      <c r="D607" s="4" t="n"/>
    </row>
    <row r="608" ht="15.75" customHeight="1" s="40">
      <c r="A608" s="4" t="n"/>
      <c r="B608" s="4" t="n"/>
      <c r="C608" s="4" t="n"/>
      <c r="D608" s="4" t="n"/>
    </row>
    <row r="609" ht="15.75" customHeight="1" s="40">
      <c r="A609" s="4" t="n"/>
      <c r="B609" s="4" t="n"/>
      <c r="C609" s="4" t="n"/>
      <c r="D609" s="4" t="n"/>
    </row>
    <row r="610" ht="15.75" customHeight="1" s="40">
      <c r="A610" s="4" t="n"/>
      <c r="B610" s="4" t="n"/>
      <c r="C610" s="4" t="n"/>
      <c r="D610" s="4" t="n"/>
    </row>
    <row r="611" ht="15.75" customHeight="1" s="40">
      <c r="A611" s="4" t="n"/>
      <c r="B611" s="4" t="n"/>
      <c r="C611" s="4" t="n"/>
      <c r="D611" s="4" t="n"/>
    </row>
    <row r="612" ht="15.75" customHeight="1" s="40">
      <c r="A612" s="4" t="n"/>
      <c r="B612" s="4" t="n"/>
      <c r="C612" s="4" t="n"/>
      <c r="D612" s="4" t="n"/>
    </row>
    <row r="613" ht="15.75" customHeight="1" s="40">
      <c r="A613" s="4" t="n"/>
      <c r="B613" s="4" t="n"/>
      <c r="C613" s="4" t="n"/>
      <c r="D613" s="4" t="n"/>
    </row>
    <row r="614" ht="15.75" customHeight="1" s="40">
      <c r="A614" s="4" t="n"/>
      <c r="B614" s="4" t="n"/>
      <c r="C614" s="4" t="n"/>
      <c r="D614" s="4" t="n"/>
    </row>
    <row r="615" ht="15.75" customHeight="1" s="40">
      <c r="A615" s="4" t="n"/>
      <c r="B615" s="4" t="n"/>
      <c r="C615" s="4" t="n"/>
      <c r="D615" s="4" t="n"/>
    </row>
    <row r="616" ht="15.75" customHeight="1" s="40">
      <c r="A616" s="4" t="n"/>
      <c r="B616" s="4" t="n"/>
      <c r="C616" s="4" t="n"/>
      <c r="D616" s="4" t="n"/>
    </row>
    <row r="617" ht="15.75" customHeight="1" s="40">
      <c r="A617" s="4" t="n"/>
      <c r="B617" s="4" t="n"/>
      <c r="C617" s="4" t="n"/>
      <c r="D617" s="4" t="n"/>
    </row>
    <row r="618" ht="15.75" customHeight="1" s="40">
      <c r="A618" s="4" t="n"/>
      <c r="B618" s="4" t="n"/>
      <c r="C618" s="4" t="n"/>
      <c r="D618" s="4" t="n"/>
    </row>
    <row r="619" ht="15.75" customHeight="1" s="40">
      <c r="A619" s="4" t="n"/>
      <c r="B619" s="4" t="n"/>
      <c r="C619" s="4" t="n"/>
      <c r="D619" s="4" t="n"/>
    </row>
    <row r="620" ht="15.75" customHeight="1" s="40">
      <c r="A620" s="4" t="n"/>
      <c r="B620" s="4" t="n"/>
      <c r="C620" s="4" t="n"/>
      <c r="D620" s="4" t="n"/>
    </row>
    <row r="621" ht="15.75" customHeight="1" s="40">
      <c r="A621" s="4" t="n"/>
      <c r="B621" s="4" t="n"/>
      <c r="C621" s="4" t="n"/>
      <c r="D621" s="4" t="n"/>
    </row>
    <row r="622" ht="15.75" customHeight="1" s="40">
      <c r="A622" s="4" t="n"/>
      <c r="B622" s="4" t="n"/>
      <c r="C622" s="4" t="n"/>
      <c r="D622" s="4" t="n"/>
    </row>
    <row r="623" ht="15.75" customHeight="1" s="40">
      <c r="A623" s="4" t="n"/>
      <c r="B623" s="4" t="n"/>
      <c r="C623" s="4" t="n"/>
      <c r="D623" s="4" t="n"/>
    </row>
    <row r="624" ht="15.75" customHeight="1" s="40">
      <c r="A624" s="4" t="n"/>
      <c r="B624" s="4" t="n"/>
      <c r="C624" s="4" t="n"/>
      <c r="D624" s="4" t="n"/>
    </row>
    <row r="625" ht="15.75" customHeight="1" s="40">
      <c r="A625" s="4" t="n"/>
      <c r="B625" s="4" t="n"/>
      <c r="C625" s="4" t="n"/>
      <c r="D625" s="4" t="n"/>
    </row>
    <row r="626" ht="15.75" customHeight="1" s="40">
      <c r="A626" s="4" t="n"/>
      <c r="B626" s="4" t="n"/>
      <c r="C626" s="4" t="n"/>
      <c r="D626" s="4" t="n"/>
    </row>
    <row r="627" ht="15.75" customHeight="1" s="40">
      <c r="A627" s="4" t="n"/>
      <c r="B627" s="4" t="n"/>
      <c r="C627" s="4" t="n"/>
      <c r="D627" s="4" t="n"/>
    </row>
    <row r="628" ht="15.75" customHeight="1" s="40">
      <c r="A628" s="4" t="n"/>
      <c r="B628" s="4" t="n"/>
      <c r="C628" s="4" t="n"/>
      <c r="D628" s="4" t="n"/>
    </row>
    <row r="629" ht="15.75" customHeight="1" s="40">
      <c r="A629" s="4" t="n"/>
      <c r="B629" s="4" t="n"/>
      <c r="C629" s="4" t="n"/>
      <c r="D629" s="4" t="n"/>
    </row>
    <row r="630" ht="15.75" customHeight="1" s="40">
      <c r="A630" s="4" t="n"/>
      <c r="B630" s="4" t="n"/>
      <c r="C630" s="4" t="n"/>
      <c r="D630" s="4" t="n"/>
    </row>
    <row r="631" ht="15.75" customHeight="1" s="40">
      <c r="A631" s="4" t="n"/>
      <c r="B631" s="4" t="n"/>
      <c r="C631" s="4" t="n"/>
      <c r="D631" s="4" t="n"/>
    </row>
    <row r="632" ht="15.75" customHeight="1" s="40">
      <c r="A632" s="4" t="n"/>
      <c r="B632" s="4" t="n"/>
      <c r="C632" s="4" t="n"/>
      <c r="D632" s="4" t="n"/>
    </row>
    <row r="633" ht="15.75" customHeight="1" s="40">
      <c r="A633" s="4" t="n"/>
      <c r="B633" s="4" t="n"/>
      <c r="C633" s="4" t="n"/>
      <c r="D633" s="4" t="n"/>
    </row>
    <row r="634" ht="15.75" customHeight="1" s="40">
      <c r="A634" s="4" t="n"/>
      <c r="B634" s="4" t="n"/>
      <c r="C634" s="4" t="n"/>
      <c r="D634" s="4" t="n"/>
    </row>
    <row r="635" ht="15.75" customHeight="1" s="40">
      <c r="A635" s="4" t="n"/>
      <c r="B635" s="4" t="n"/>
      <c r="C635" s="4" t="n"/>
      <c r="D635" s="4" t="n"/>
    </row>
    <row r="636" ht="15.75" customHeight="1" s="40">
      <c r="A636" s="4" t="n"/>
      <c r="B636" s="4" t="n"/>
      <c r="C636" s="4" t="n"/>
      <c r="D636" s="4" t="n"/>
    </row>
    <row r="637" ht="15.75" customHeight="1" s="40">
      <c r="A637" s="4" t="n"/>
      <c r="B637" s="4" t="n"/>
      <c r="C637" s="4" t="n"/>
      <c r="D637" s="4" t="n"/>
    </row>
    <row r="638" ht="15.75" customHeight="1" s="40">
      <c r="A638" s="4" t="n"/>
      <c r="B638" s="4" t="n"/>
      <c r="C638" s="4" t="n"/>
      <c r="D638" s="4" t="n"/>
    </row>
    <row r="639" ht="15.75" customHeight="1" s="40">
      <c r="A639" s="4" t="n"/>
      <c r="B639" s="4" t="n"/>
      <c r="C639" s="4" t="n"/>
      <c r="D639" s="4" t="n"/>
    </row>
    <row r="640" ht="15.75" customHeight="1" s="40">
      <c r="A640" s="4" t="n"/>
      <c r="B640" s="4" t="n"/>
      <c r="C640" s="4" t="n"/>
      <c r="D640" s="4" t="n"/>
    </row>
    <row r="641" ht="15.75" customHeight="1" s="40">
      <c r="A641" s="4" t="n"/>
      <c r="B641" s="4" t="n"/>
      <c r="C641" s="4" t="n"/>
      <c r="D641" s="4" t="n"/>
    </row>
    <row r="642" ht="15.75" customHeight="1" s="40">
      <c r="A642" s="4" t="n"/>
      <c r="B642" s="4" t="n"/>
      <c r="C642" s="4" t="n"/>
      <c r="D642" s="4" t="n"/>
    </row>
    <row r="643" ht="15.75" customHeight="1" s="40">
      <c r="A643" s="4" t="n"/>
      <c r="B643" s="4" t="n"/>
      <c r="C643" s="4" t="n"/>
      <c r="D643" s="4" t="n"/>
    </row>
    <row r="644" ht="15.75" customHeight="1" s="40">
      <c r="A644" s="4" t="n"/>
      <c r="B644" s="4" t="n"/>
      <c r="C644" s="4" t="n"/>
      <c r="D644" s="4" t="n"/>
    </row>
    <row r="645" ht="15.75" customHeight="1" s="40">
      <c r="A645" s="4" t="n"/>
      <c r="B645" s="4" t="n"/>
      <c r="C645" s="4" t="n"/>
      <c r="D645" s="4" t="n"/>
    </row>
    <row r="646" ht="15.75" customHeight="1" s="40">
      <c r="A646" s="4" t="n"/>
      <c r="B646" s="4" t="n"/>
      <c r="C646" s="4" t="n"/>
      <c r="D646" s="4" t="n"/>
    </row>
    <row r="647" ht="15.75" customHeight="1" s="40">
      <c r="A647" s="4" t="n"/>
      <c r="B647" s="4" t="n"/>
      <c r="C647" s="4" t="n"/>
      <c r="D647" s="4" t="n"/>
    </row>
    <row r="648" ht="15.75" customHeight="1" s="40">
      <c r="A648" s="4" t="n"/>
      <c r="B648" s="4" t="n"/>
      <c r="C648" s="4" t="n"/>
      <c r="D648" s="4" t="n"/>
    </row>
    <row r="649" ht="15.75" customHeight="1" s="40">
      <c r="A649" s="4" t="n"/>
      <c r="B649" s="4" t="n"/>
      <c r="C649" s="4" t="n"/>
      <c r="D649" s="4" t="n"/>
    </row>
    <row r="650" ht="15.75" customHeight="1" s="40">
      <c r="A650" s="4" t="n"/>
      <c r="B650" s="4" t="n"/>
      <c r="C650" s="4" t="n"/>
      <c r="D650" s="4" t="n"/>
    </row>
    <row r="651" ht="15.75" customHeight="1" s="40">
      <c r="A651" s="4" t="n"/>
      <c r="B651" s="4" t="n"/>
      <c r="C651" s="4" t="n"/>
      <c r="D651" s="4" t="n"/>
    </row>
    <row r="652" ht="15.75" customHeight="1" s="40">
      <c r="A652" s="4" t="n"/>
      <c r="B652" s="4" t="n"/>
      <c r="C652" s="4" t="n"/>
      <c r="D652" s="4" t="n"/>
    </row>
    <row r="653" ht="15.75" customHeight="1" s="40">
      <c r="A653" s="4" t="n"/>
      <c r="B653" s="4" t="n"/>
      <c r="C653" s="4" t="n"/>
      <c r="D653" s="4" t="n"/>
    </row>
    <row r="654" ht="15.75" customHeight="1" s="40">
      <c r="A654" s="4" t="n"/>
      <c r="B654" s="4" t="n"/>
      <c r="C654" s="4" t="n"/>
      <c r="D654" s="4" t="n"/>
    </row>
    <row r="655" ht="15.75" customHeight="1" s="40">
      <c r="A655" s="4" t="n"/>
      <c r="B655" s="4" t="n"/>
      <c r="C655" s="4" t="n"/>
      <c r="D655" s="4" t="n"/>
    </row>
    <row r="656" ht="15.75" customHeight="1" s="40">
      <c r="A656" s="4" t="n"/>
      <c r="B656" s="4" t="n"/>
      <c r="C656" s="4" t="n"/>
      <c r="D656" s="4" t="n"/>
    </row>
    <row r="657" ht="15.75" customHeight="1" s="40">
      <c r="A657" s="4" t="n"/>
      <c r="B657" s="4" t="n"/>
      <c r="C657" s="4" t="n"/>
      <c r="D657" s="4" t="n"/>
    </row>
    <row r="658" ht="15.75" customHeight="1" s="40">
      <c r="A658" s="4" t="n"/>
      <c r="B658" s="4" t="n"/>
      <c r="C658" s="4" t="n"/>
      <c r="D658" s="4" t="n"/>
    </row>
    <row r="659" ht="15.75" customHeight="1" s="40">
      <c r="A659" s="4" t="n"/>
      <c r="B659" s="4" t="n"/>
      <c r="C659" s="4" t="n"/>
      <c r="D659" s="4" t="n"/>
    </row>
    <row r="660" ht="15.75" customHeight="1" s="40">
      <c r="A660" s="4" t="n"/>
      <c r="B660" s="4" t="n"/>
      <c r="C660" s="4" t="n"/>
      <c r="D660" s="4" t="n"/>
    </row>
    <row r="661" ht="15.75" customHeight="1" s="40">
      <c r="A661" s="4" t="n"/>
      <c r="B661" s="4" t="n"/>
      <c r="C661" s="4" t="n"/>
      <c r="D661" s="4" t="n"/>
    </row>
    <row r="662" ht="15.75" customHeight="1" s="40">
      <c r="A662" s="4" t="n"/>
      <c r="B662" s="4" t="n"/>
      <c r="C662" s="4" t="n"/>
      <c r="D662" s="4" t="n"/>
    </row>
    <row r="663" ht="15.75" customHeight="1" s="40">
      <c r="A663" s="4" t="n"/>
      <c r="B663" s="4" t="n"/>
      <c r="C663" s="4" t="n"/>
      <c r="D663" s="4" t="n"/>
    </row>
    <row r="664" ht="15.75" customHeight="1" s="40">
      <c r="A664" s="4" t="n"/>
      <c r="B664" s="4" t="n"/>
      <c r="C664" s="4" t="n"/>
      <c r="D664" s="4" t="n"/>
    </row>
    <row r="665" ht="15.75" customHeight="1" s="40">
      <c r="A665" s="4" t="n"/>
      <c r="B665" s="4" t="n"/>
      <c r="C665" s="4" t="n"/>
      <c r="D665" s="4" t="n"/>
    </row>
    <row r="666" ht="15.75" customHeight="1" s="40">
      <c r="A666" s="4" t="n"/>
      <c r="B666" s="4" t="n"/>
      <c r="C666" s="4" t="n"/>
      <c r="D666" s="4" t="n"/>
    </row>
    <row r="667" ht="15.75" customHeight="1" s="40">
      <c r="A667" s="4" t="n"/>
      <c r="B667" s="4" t="n"/>
      <c r="C667" s="4" t="n"/>
      <c r="D667" s="4" t="n"/>
    </row>
    <row r="668" ht="15.75" customHeight="1" s="40">
      <c r="A668" s="4" t="n"/>
      <c r="B668" s="4" t="n"/>
      <c r="C668" s="4" t="n"/>
      <c r="D668" s="4" t="n"/>
    </row>
    <row r="669" ht="15.75" customHeight="1" s="40">
      <c r="A669" s="4" t="n"/>
      <c r="B669" s="4" t="n"/>
      <c r="C669" s="4" t="n"/>
      <c r="D669" s="4" t="n"/>
    </row>
    <row r="670" ht="15.75" customHeight="1" s="40">
      <c r="A670" s="4" t="n"/>
      <c r="B670" s="4" t="n"/>
      <c r="C670" s="4" t="n"/>
      <c r="D670" s="4" t="n"/>
    </row>
    <row r="671" ht="15.75" customHeight="1" s="40">
      <c r="A671" s="4" t="n"/>
      <c r="B671" s="4" t="n"/>
      <c r="C671" s="4" t="n"/>
      <c r="D671" s="4" t="n"/>
    </row>
    <row r="672" ht="15.75" customHeight="1" s="40">
      <c r="A672" s="4" t="n"/>
      <c r="B672" s="4" t="n"/>
      <c r="C672" s="4" t="n"/>
      <c r="D672" s="4" t="n"/>
    </row>
    <row r="673" ht="15.75" customHeight="1" s="40">
      <c r="A673" s="4" t="n"/>
      <c r="B673" s="4" t="n"/>
      <c r="C673" s="4" t="n"/>
      <c r="D673" s="4" t="n"/>
    </row>
    <row r="674" ht="15.75" customHeight="1" s="40">
      <c r="A674" s="4" t="n"/>
      <c r="B674" s="4" t="n"/>
      <c r="C674" s="4" t="n"/>
      <c r="D674" s="4" t="n"/>
    </row>
    <row r="675" ht="15.75" customHeight="1" s="40">
      <c r="A675" s="4" t="n"/>
      <c r="B675" s="4" t="n"/>
      <c r="C675" s="4" t="n"/>
      <c r="D675" s="4" t="n"/>
    </row>
    <row r="676" ht="15.75" customHeight="1" s="40">
      <c r="A676" s="4" t="n"/>
      <c r="B676" s="4" t="n"/>
      <c r="C676" s="4" t="n"/>
      <c r="D676" s="4" t="n"/>
    </row>
    <row r="677" ht="15.75" customHeight="1" s="40">
      <c r="A677" s="4" t="n"/>
      <c r="B677" s="4" t="n"/>
      <c r="C677" s="4" t="n"/>
      <c r="D677" s="4" t="n"/>
    </row>
    <row r="678" ht="15.75" customHeight="1" s="40">
      <c r="A678" s="4" t="n"/>
      <c r="B678" s="4" t="n"/>
      <c r="C678" s="4" t="n"/>
      <c r="D678" s="4" t="n"/>
    </row>
    <row r="679" ht="15.75" customHeight="1" s="40">
      <c r="A679" s="4" t="n"/>
      <c r="B679" s="4" t="n"/>
      <c r="C679" s="4" t="n"/>
      <c r="D679" s="4" t="n"/>
    </row>
    <row r="680" ht="15.75" customHeight="1" s="40">
      <c r="A680" s="4" t="n"/>
      <c r="B680" s="4" t="n"/>
      <c r="C680" s="4" t="n"/>
      <c r="D680" s="4" t="n"/>
    </row>
    <row r="681" ht="15.75" customHeight="1" s="40">
      <c r="A681" s="4" t="n"/>
      <c r="B681" s="4" t="n"/>
      <c r="C681" s="4" t="n"/>
      <c r="D681" s="4" t="n"/>
    </row>
    <row r="682" ht="15.75" customHeight="1" s="40">
      <c r="A682" s="4" t="n"/>
      <c r="B682" s="4" t="n"/>
      <c r="C682" s="4" t="n"/>
      <c r="D682" s="4" t="n"/>
    </row>
    <row r="683" ht="15.75" customHeight="1" s="40">
      <c r="A683" s="4" t="n"/>
      <c r="B683" s="4" t="n"/>
      <c r="C683" s="4" t="n"/>
      <c r="D683" s="4" t="n"/>
    </row>
    <row r="684" ht="15.75" customHeight="1" s="40">
      <c r="A684" s="4" t="n"/>
      <c r="B684" s="4" t="n"/>
      <c r="C684" s="4" t="n"/>
      <c r="D684" s="4" t="n"/>
    </row>
    <row r="685" ht="15.75" customHeight="1" s="40">
      <c r="A685" s="4" t="n"/>
      <c r="B685" s="4" t="n"/>
      <c r="C685" s="4" t="n"/>
      <c r="D685" s="4" t="n"/>
    </row>
    <row r="686" ht="15.75" customHeight="1" s="40">
      <c r="A686" s="4" t="n"/>
      <c r="B686" s="4" t="n"/>
      <c r="C686" s="4" t="n"/>
      <c r="D686" s="4" t="n"/>
    </row>
    <row r="687" ht="15.75" customHeight="1" s="40">
      <c r="A687" s="4" t="n"/>
      <c r="B687" s="4" t="n"/>
      <c r="C687" s="4" t="n"/>
      <c r="D687" s="4" t="n"/>
    </row>
    <row r="688" ht="15.75" customHeight="1" s="40">
      <c r="A688" s="4" t="n"/>
      <c r="B688" s="4" t="n"/>
      <c r="C688" s="4" t="n"/>
      <c r="D688" s="4" t="n"/>
    </row>
    <row r="689" ht="15.75" customHeight="1" s="40">
      <c r="A689" s="4" t="n"/>
      <c r="B689" s="4" t="n"/>
      <c r="C689" s="4" t="n"/>
      <c r="D689" s="4" t="n"/>
    </row>
    <row r="690" ht="15.75" customHeight="1" s="40">
      <c r="A690" s="4" t="n"/>
      <c r="B690" s="4" t="n"/>
      <c r="C690" s="4" t="n"/>
      <c r="D690" s="4" t="n"/>
    </row>
    <row r="691" ht="15.75" customHeight="1" s="40">
      <c r="A691" s="4" t="n"/>
      <c r="B691" s="4" t="n"/>
      <c r="C691" s="4" t="n"/>
      <c r="D691" s="4" t="n"/>
    </row>
    <row r="692" ht="15.75" customHeight="1" s="40">
      <c r="A692" s="4" t="n"/>
      <c r="B692" s="4" t="n"/>
      <c r="C692" s="4" t="n"/>
      <c r="D692" s="4" t="n"/>
    </row>
    <row r="693" ht="15.75" customHeight="1" s="40">
      <c r="A693" s="4" t="n"/>
      <c r="B693" s="4" t="n"/>
      <c r="C693" s="4" t="n"/>
      <c r="D693" s="4" t="n"/>
    </row>
    <row r="694" ht="15.75" customHeight="1" s="40">
      <c r="A694" s="4" t="n"/>
      <c r="B694" s="4" t="n"/>
      <c r="C694" s="4" t="n"/>
      <c r="D694" s="4" t="n"/>
    </row>
    <row r="695" ht="15.75" customHeight="1" s="40">
      <c r="A695" s="4" t="n"/>
      <c r="B695" s="4" t="n"/>
      <c r="C695" s="4" t="n"/>
      <c r="D695" s="4" t="n"/>
    </row>
    <row r="696" ht="15.75" customHeight="1" s="40">
      <c r="A696" s="4" t="n"/>
      <c r="B696" s="4" t="n"/>
      <c r="C696" s="4" t="n"/>
      <c r="D696" s="4" t="n"/>
    </row>
    <row r="697" ht="15.75" customHeight="1" s="40">
      <c r="A697" s="4" t="n"/>
      <c r="B697" s="4" t="n"/>
      <c r="C697" s="4" t="n"/>
      <c r="D697" s="4" t="n"/>
    </row>
    <row r="698" ht="15.75" customHeight="1" s="40">
      <c r="A698" s="4" t="n"/>
      <c r="B698" s="4" t="n"/>
      <c r="C698" s="4" t="n"/>
      <c r="D698" s="4" t="n"/>
    </row>
    <row r="699" ht="15.75" customHeight="1" s="40">
      <c r="A699" s="4" t="n"/>
      <c r="B699" s="4" t="n"/>
      <c r="C699" s="4" t="n"/>
      <c r="D699" s="4" t="n"/>
    </row>
    <row r="700" ht="15.75" customHeight="1" s="40">
      <c r="A700" s="4" t="n"/>
      <c r="B700" s="4" t="n"/>
      <c r="C700" s="4" t="n"/>
      <c r="D700" s="4" t="n"/>
    </row>
    <row r="701" ht="15.75" customHeight="1" s="40">
      <c r="A701" s="4" t="n"/>
      <c r="B701" s="4" t="n"/>
      <c r="C701" s="4" t="n"/>
      <c r="D701" s="4" t="n"/>
    </row>
    <row r="702" ht="15.75" customHeight="1" s="40">
      <c r="A702" s="4" t="n"/>
      <c r="B702" s="4" t="n"/>
      <c r="C702" s="4" t="n"/>
      <c r="D702" s="4" t="n"/>
    </row>
    <row r="703" ht="15.75" customHeight="1" s="40">
      <c r="A703" s="4" t="n"/>
      <c r="B703" s="4" t="n"/>
      <c r="C703" s="4" t="n"/>
      <c r="D703" s="4" t="n"/>
    </row>
    <row r="704" ht="15.75" customHeight="1" s="40">
      <c r="A704" s="4" t="n"/>
      <c r="B704" s="4" t="n"/>
      <c r="C704" s="4" t="n"/>
      <c r="D704" s="4" t="n"/>
    </row>
    <row r="705" ht="15.75" customHeight="1" s="40">
      <c r="A705" s="4" t="n"/>
      <c r="B705" s="4" t="n"/>
      <c r="C705" s="4" t="n"/>
      <c r="D705" s="4" t="n"/>
    </row>
    <row r="706" ht="15.75" customHeight="1" s="40">
      <c r="A706" s="4" t="n"/>
      <c r="B706" s="4" t="n"/>
      <c r="C706" s="4" t="n"/>
      <c r="D706" s="4" t="n"/>
    </row>
    <row r="707" ht="15.75" customHeight="1" s="40">
      <c r="A707" s="4" t="n"/>
      <c r="B707" s="4" t="n"/>
      <c r="C707" s="4" t="n"/>
      <c r="D707" s="4" t="n"/>
    </row>
    <row r="708" ht="15.75" customHeight="1" s="40">
      <c r="A708" s="4" t="n"/>
      <c r="B708" s="4" t="n"/>
      <c r="C708" s="4" t="n"/>
      <c r="D708" s="4" t="n"/>
    </row>
    <row r="709" ht="15.75" customHeight="1" s="40">
      <c r="A709" s="4" t="n"/>
      <c r="B709" s="4" t="n"/>
      <c r="C709" s="4" t="n"/>
      <c r="D709" s="4" t="n"/>
    </row>
    <row r="710" ht="15.75" customHeight="1" s="40">
      <c r="A710" s="4" t="n"/>
      <c r="B710" s="4" t="n"/>
      <c r="C710" s="4" t="n"/>
      <c r="D710" s="4" t="n"/>
    </row>
    <row r="711" ht="15.75" customHeight="1" s="40">
      <c r="A711" s="4" t="n"/>
      <c r="B711" s="4" t="n"/>
      <c r="C711" s="4" t="n"/>
      <c r="D711" s="4" t="n"/>
    </row>
    <row r="712" ht="15.75" customHeight="1" s="40">
      <c r="A712" s="4" t="n"/>
      <c r="B712" s="4" t="n"/>
      <c r="C712" s="4" t="n"/>
      <c r="D712" s="4" t="n"/>
    </row>
    <row r="713" ht="15.75" customHeight="1" s="40">
      <c r="A713" s="4" t="n"/>
      <c r="B713" s="4" t="n"/>
      <c r="C713" s="4" t="n"/>
      <c r="D713" s="4" t="n"/>
    </row>
    <row r="714" ht="15.75" customHeight="1" s="40">
      <c r="A714" s="4" t="n"/>
      <c r="B714" s="4" t="n"/>
      <c r="C714" s="4" t="n"/>
      <c r="D714" s="4" t="n"/>
    </row>
    <row r="715" ht="15.75" customHeight="1" s="40">
      <c r="A715" s="4" t="n"/>
      <c r="B715" s="4" t="n"/>
      <c r="C715" s="4" t="n"/>
      <c r="D715" s="4" t="n"/>
    </row>
    <row r="716" ht="15.75" customHeight="1" s="40">
      <c r="A716" s="4" t="n"/>
      <c r="B716" s="4" t="n"/>
      <c r="C716" s="4" t="n"/>
      <c r="D716" s="4" t="n"/>
    </row>
    <row r="717" ht="15.75" customHeight="1" s="40">
      <c r="A717" s="4" t="n"/>
      <c r="B717" s="4" t="n"/>
      <c r="C717" s="4" t="n"/>
      <c r="D717" s="4" t="n"/>
    </row>
    <row r="718" ht="15.75" customHeight="1" s="40">
      <c r="A718" s="4" t="n"/>
      <c r="B718" s="4" t="n"/>
      <c r="C718" s="4" t="n"/>
      <c r="D718" s="4" t="n"/>
    </row>
    <row r="719" ht="15.75" customHeight="1" s="40">
      <c r="A719" s="4" t="n"/>
      <c r="B719" s="4" t="n"/>
      <c r="C719" s="4" t="n"/>
      <c r="D719" s="4" t="n"/>
    </row>
    <row r="720" ht="15.75" customHeight="1" s="40">
      <c r="A720" s="4" t="n"/>
      <c r="B720" s="4" t="n"/>
      <c r="C720" s="4" t="n"/>
      <c r="D720" s="4" t="n"/>
    </row>
    <row r="721" ht="15.75" customHeight="1" s="40">
      <c r="A721" s="4" t="n"/>
      <c r="B721" s="4" t="n"/>
      <c r="C721" s="4" t="n"/>
      <c r="D721" s="4" t="n"/>
    </row>
    <row r="722" ht="15.75" customHeight="1" s="40">
      <c r="A722" s="4" t="n"/>
      <c r="B722" s="4" t="n"/>
      <c r="C722" s="4" t="n"/>
      <c r="D722" s="4" t="n"/>
    </row>
    <row r="723" ht="15.75" customHeight="1" s="40">
      <c r="A723" s="4" t="n"/>
      <c r="B723" s="4" t="n"/>
      <c r="C723" s="4" t="n"/>
      <c r="D723" s="4" t="n"/>
    </row>
    <row r="724" ht="15.75" customHeight="1" s="40">
      <c r="A724" s="4" t="n"/>
      <c r="B724" s="4" t="n"/>
      <c r="C724" s="4" t="n"/>
      <c r="D724" s="4" t="n"/>
    </row>
    <row r="725" ht="15.75" customHeight="1" s="40">
      <c r="A725" s="4" t="n"/>
      <c r="B725" s="4" t="n"/>
      <c r="C725" s="4" t="n"/>
      <c r="D725" s="4" t="n"/>
    </row>
    <row r="726" ht="15.75" customHeight="1" s="40">
      <c r="A726" s="4" t="n"/>
      <c r="B726" s="4" t="n"/>
      <c r="C726" s="4" t="n"/>
      <c r="D726" s="4" t="n"/>
    </row>
    <row r="727" ht="15.75" customHeight="1" s="40">
      <c r="A727" s="4" t="n"/>
      <c r="B727" s="4" t="n"/>
      <c r="C727" s="4" t="n"/>
      <c r="D727" s="4" t="n"/>
    </row>
    <row r="728" ht="15.75" customHeight="1" s="40">
      <c r="A728" s="4" t="n"/>
      <c r="B728" s="4" t="n"/>
      <c r="C728" s="4" t="n"/>
      <c r="D728" s="4" t="n"/>
    </row>
    <row r="729" ht="15.75" customHeight="1" s="40">
      <c r="A729" s="4" t="n"/>
      <c r="B729" s="4" t="n"/>
      <c r="C729" s="4" t="n"/>
      <c r="D729" s="4" t="n"/>
    </row>
    <row r="730" ht="15.75" customHeight="1" s="40">
      <c r="A730" s="4" t="n"/>
      <c r="B730" s="4" t="n"/>
      <c r="C730" s="4" t="n"/>
      <c r="D730" s="4" t="n"/>
    </row>
    <row r="731" ht="15.75" customHeight="1" s="40">
      <c r="A731" s="4" t="n"/>
      <c r="B731" s="4" t="n"/>
      <c r="C731" s="4" t="n"/>
      <c r="D731" s="4" t="n"/>
    </row>
    <row r="732" ht="15.75" customHeight="1" s="40">
      <c r="A732" s="4" t="n"/>
      <c r="B732" s="4" t="n"/>
      <c r="C732" s="4" t="n"/>
      <c r="D732" s="4" t="n"/>
    </row>
    <row r="733" ht="15.75" customHeight="1" s="40">
      <c r="A733" s="4" t="n"/>
      <c r="B733" s="4" t="n"/>
      <c r="C733" s="4" t="n"/>
      <c r="D733" s="4" t="n"/>
    </row>
    <row r="734" ht="15.75" customHeight="1" s="40">
      <c r="A734" s="4" t="n"/>
      <c r="B734" s="4" t="n"/>
      <c r="C734" s="4" t="n"/>
      <c r="D734" s="4" t="n"/>
    </row>
    <row r="735" ht="15.75" customHeight="1" s="40">
      <c r="A735" s="4" t="n"/>
      <c r="B735" s="4" t="n"/>
      <c r="C735" s="4" t="n"/>
      <c r="D735" s="4" t="n"/>
    </row>
    <row r="736" ht="15.75" customHeight="1" s="40">
      <c r="A736" s="4" t="n"/>
      <c r="B736" s="4" t="n"/>
      <c r="C736" s="4" t="n"/>
      <c r="D736" s="4" t="n"/>
    </row>
    <row r="737" ht="15.75" customHeight="1" s="40">
      <c r="A737" s="4" t="n"/>
      <c r="B737" s="4" t="n"/>
      <c r="C737" s="4" t="n"/>
      <c r="D737" s="4" t="n"/>
    </row>
    <row r="738" ht="15.75" customHeight="1" s="40">
      <c r="A738" s="4" t="n"/>
      <c r="B738" s="4" t="n"/>
      <c r="C738" s="4" t="n"/>
      <c r="D738" s="4" t="n"/>
    </row>
    <row r="739" ht="15.75" customHeight="1" s="40">
      <c r="A739" s="4" t="n"/>
      <c r="B739" s="4" t="n"/>
      <c r="C739" s="4" t="n"/>
      <c r="D739" s="4" t="n"/>
    </row>
    <row r="740" ht="15.75" customHeight="1" s="40">
      <c r="A740" s="4" t="n"/>
      <c r="B740" s="4" t="n"/>
      <c r="C740" s="4" t="n"/>
      <c r="D740" s="4" t="n"/>
    </row>
    <row r="741" ht="15.75" customHeight="1" s="40">
      <c r="A741" s="4" t="n"/>
      <c r="B741" s="4" t="n"/>
      <c r="C741" s="4" t="n"/>
      <c r="D741" s="4" t="n"/>
    </row>
    <row r="742" ht="15.75" customHeight="1" s="40">
      <c r="A742" s="4" t="n"/>
      <c r="B742" s="4" t="n"/>
      <c r="C742" s="4" t="n"/>
      <c r="D742" s="4" t="n"/>
    </row>
    <row r="743" ht="15.75" customHeight="1" s="40">
      <c r="A743" s="4" t="n"/>
      <c r="B743" s="4" t="n"/>
      <c r="C743" s="4" t="n"/>
      <c r="D743" s="4" t="n"/>
    </row>
    <row r="744" ht="15.75" customHeight="1" s="40">
      <c r="A744" s="4" t="n"/>
      <c r="B744" s="4" t="n"/>
      <c r="C744" s="4" t="n"/>
      <c r="D744" s="4" t="n"/>
    </row>
    <row r="745" ht="15.75" customHeight="1" s="40">
      <c r="A745" s="4" t="n"/>
      <c r="B745" s="4" t="n"/>
      <c r="C745" s="4" t="n"/>
      <c r="D745" s="4" t="n"/>
    </row>
    <row r="746" ht="15.75" customHeight="1" s="40">
      <c r="A746" s="4" t="n"/>
      <c r="B746" s="4" t="n"/>
      <c r="C746" s="4" t="n"/>
      <c r="D746" s="4" t="n"/>
    </row>
    <row r="747" ht="15.75" customHeight="1" s="40">
      <c r="A747" s="4" t="n"/>
      <c r="B747" s="4" t="n"/>
      <c r="C747" s="4" t="n"/>
      <c r="D747" s="4" t="n"/>
    </row>
    <row r="748" ht="15.75" customHeight="1" s="40">
      <c r="A748" s="4" t="n"/>
      <c r="B748" s="4" t="n"/>
      <c r="C748" s="4" t="n"/>
      <c r="D748" s="4" t="n"/>
    </row>
    <row r="749" ht="15.75" customHeight="1" s="40">
      <c r="A749" s="4" t="n"/>
      <c r="B749" s="4" t="n"/>
      <c r="C749" s="4" t="n"/>
      <c r="D749" s="4" t="n"/>
    </row>
    <row r="750" ht="15.75" customHeight="1" s="40">
      <c r="A750" s="4" t="n"/>
      <c r="B750" s="4" t="n"/>
      <c r="C750" s="4" t="n"/>
      <c r="D750" s="4" t="n"/>
    </row>
    <row r="751" ht="15.75" customHeight="1" s="40">
      <c r="A751" s="4" t="n"/>
      <c r="B751" s="4" t="n"/>
      <c r="C751" s="4" t="n"/>
      <c r="D751" s="4" t="n"/>
    </row>
    <row r="752" ht="15.75" customHeight="1" s="40">
      <c r="A752" s="4" t="n"/>
      <c r="B752" s="4" t="n"/>
      <c r="C752" s="4" t="n"/>
      <c r="D752" s="4" t="n"/>
    </row>
    <row r="753" ht="15.75" customHeight="1" s="40">
      <c r="A753" s="4" t="n"/>
      <c r="B753" s="4" t="n"/>
      <c r="C753" s="4" t="n"/>
      <c r="D753" s="4" t="n"/>
    </row>
    <row r="754" ht="15.75" customHeight="1" s="40">
      <c r="A754" s="4" t="n"/>
      <c r="B754" s="4" t="n"/>
      <c r="C754" s="4" t="n"/>
      <c r="D754" s="4" t="n"/>
    </row>
    <row r="755" ht="15.75" customHeight="1" s="40">
      <c r="A755" s="4" t="n"/>
      <c r="B755" s="4" t="n"/>
      <c r="C755" s="4" t="n"/>
      <c r="D755" s="4" t="n"/>
    </row>
    <row r="756" ht="15.75" customHeight="1" s="40">
      <c r="A756" s="4" t="n"/>
      <c r="B756" s="4" t="n"/>
      <c r="C756" s="4" t="n"/>
      <c r="D756" s="4" t="n"/>
    </row>
    <row r="757" ht="15.75" customHeight="1" s="40">
      <c r="A757" s="4" t="n"/>
      <c r="B757" s="4" t="n"/>
      <c r="C757" s="4" t="n"/>
      <c r="D757" s="4" t="n"/>
    </row>
    <row r="758" ht="15.75" customHeight="1" s="40">
      <c r="A758" s="4" t="n"/>
      <c r="B758" s="4" t="n"/>
      <c r="C758" s="4" t="n"/>
      <c r="D758" s="4" t="n"/>
    </row>
    <row r="759" ht="15.75" customHeight="1" s="40">
      <c r="A759" s="4" t="n"/>
      <c r="B759" s="4" t="n"/>
      <c r="C759" s="4" t="n"/>
      <c r="D759" s="4" t="n"/>
    </row>
    <row r="760" ht="15.75" customHeight="1" s="40">
      <c r="A760" s="4" t="n"/>
      <c r="B760" s="4" t="n"/>
      <c r="C760" s="4" t="n"/>
      <c r="D760" s="4" t="n"/>
    </row>
    <row r="761" ht="15.75" customHeight="1" s="40">
      <c r="A761" s="4" t="n"/>
      <c r="B761" s="4" t="n"/>
      <c r="C761" s="4" t="n"/>
      <c r="D761" s="4" t="n"/>
    </row>
    <row r="762" ht="15.75" customHeight="1" s="40">
      <c r="A762" s="4" t="n"/>
      <c r="B762" s="4" t="n"/>
      <c r="C762" s="4" t="n"/>
      <c r="D762" s="4" t="n"/>
    </row>
    <row r="763" ht="15.75" customHeight="1" s="40">
      <c r="A763" s="4" t="n"/>
      <c r="B763" s="4" t="n"/>
      <c r="C763" s="4" t="n"/>
      <c r="D763" s="4" t="n"/>
    </row>
    <row r="764" ht="15.75" customHeight="1" s="40">
      <c r="A764" s="4" t="n"/>
      <c r="B764" s="4" t="n"/>
      <c r="C764" s="4" t="n"/>
      <c r="D764" s="4" t="n"/>
    </row>
    <row r="765" ht="15.75" customHeight="1" s="40">
      <c r="A765" s="4" t="n"/>
      <c r="B765" s="4" t="n"/>
      <c r="C765" s="4" t="n"/>
      <c r="D765" s="4" t="n"/>
    </row>
    <row r="766" ht="15.75" customHeight="1" s="40">
      <c r="A766" s="4" t="n"/>
      <c r="B766" s="4" t="n"/>
      <c r="C766" s="4" t="n"/>
      <c r="D766" s="4" t="n"/>
    </row>
    <row r="767" ht="15.75" customHeight="1" s="40">
      <c r="A767" s="4" t="n"/>
      <c r="B767" s="4" t="n"/>
      <c r="C767" s="4" t="n"/>
      <c r="D767" s="4" t="n"/>
    </row>
    <row r="768" ht="15.75" customHeight="1" s="40">
      <c r="A768" s="4" t="n"/>
      <c r="B768" s="4" t="n"/>
      <c r="C768" s="4" t="n"/>
      <c r="D768" s="4" t="n"/>
    </row>
    <row r="769" ht="15.75" customHeight="1" s="40">
      <c r="A769" s="4" t="n"/>
      <c r="B769" s="4" t="n"/>
      <c r="C769" s="4" t="n"/>
      <c r="D769" s="4" t="n"/>
    </row>
    <row r="770" ht="15.75" customHeight="1" s="40">
      <c r="A770" s="4" t="n"/>
      <c r="B770" s="4" t="n"/>
      <c r="C770" s="4" t="n"/>
      <c r="D770" s="4" t="n"/>
    </row>
    <row r="771" ht="15.75" customHeight="1" s="40">
      <c r="A771" s="4" t="n"/>
      <c r="B771" s="4" t="n"/>
      <c r="C771" s="4" t="n"/>
      <c r="D771" s="4" t="n"/>
    </row>
    <row r="772" ht="15.75" customHeight="1" s="40">
      <c r="A772" s="4" t="n"/>
      <c r="B772" s="4" t="n"/>
      <c r="C772" s="4" t="n"/>
      <c r="D772" s="4" t="n"/>
    </row>
    <row r="773" ht="15.75" customHeight="1" s="40">
      <c r="A773" s="4" t="n"/>
      <c r="B773" s="4" t="n"/>
      <c r="C773" s="4" t="n"/>
      <c r="D773" s="4" t="n"/>
    </row>
    <row r="774" ht="15.75" customHeight="1" s="40">
      <c r="A774" s="4" t="n"/>
      <c r="B774" s="4" t="n"/>
      <c r="C774" s="4" t="n"/>
      <c r="D774" s="4" t="n"/>
    </row>
    <row r="775" ht="15.75" customHeight="1" s="40">
      <c r="A775" s="4" t="n"/>
      <c r="B775" s="4" t="n"/>
      <c r="C775" s="4" t="n"/>
      <c r="D775" s="4" t="n"/>
    </row>
    <row r="776" ht="15.75" customHeight="1" s="40">
      <c r="A776" s="4" t="n"/>
      <c r="B776" s="4" t="n"/>
      <c r="C776" s="4" t="n"/>
      <c r="D776" s="4" t="n"/>
    </row>
    <row r="777" ht="15.75" customHeight="1" s="40">
      <c r="A777" s="4" t="n"/>
      <c r="B777" s="4" t="n"/>
      <c r="C777" s="4" t="n"/>
      <c r="D777" s="4" t="n"/>
    </row>
    <row r="778" ht="15.75" customHeight="1" s="40">
      <c r="A778" s="4" t="n"/>
      <c r="B778" s="4" t="n"/>
      <c r="C778" s="4" t="n"/>
      <c r="D778" s="4" t="n"/>
    </row>
    <row r="779" ht="15.75" customHeight="1" s="40">
      <c r="A779" s="4" t="n"/>
      <c r="B779" s="4" t="n"/>
      <c r="C779" s="4" t="n"/>
      <c r="D779" s="4" t="n"/>
    </row>
    <row r="780" ht="15.75" customHeight="1" s="40">
      <c r="A780" s="4" t="n"/>
      <c r="B780" s="4" t="n"/>
      <c r="C780" s="4" t="n"/>
      <c r="D780" s="4" t="n"/>
    </row>
    <row r="781" ht="15.75" customHeight="1" s="40">
      <c r="A781" s="4" t="n"/>
      <c r="B781" s="4" t="n"/>
      <c r="C781" s="4" t="n"/>
      <c r="D781" s="4" t="n"/>
    </row>
    <row r="782" ht="15.75" customHeight="1" s="40">
      <c r="A782" s="4" t="n"/>
      <c r="B782" s="4" t="n"/>
      <c r="C782" s="4" t="n"/>
      <c r="D782" s="4" t="n"/>
    </row>
    <row r="783" ht="15.75" customHeight="1" s="40">
      <c r="A783" s="4" t="n"/>
      <c r="B783" s="4" t="n"/>
      <c r="C783" s="4" t="n"/>
      <c r="D783" s="4" t="n"/>
    </row>
    <row r="784" ht="15.75" customHeight="1" s="40">
      <c r="A784" s="4" t="n"/>
      <c r="B784" s="4" t="n"/>
      <c r="C784" s="4" t="n"/>
      <c r="D784" s="4" t="n"/>
    </row>
    <row r="785" ht="15.75" customHeight="1" s="40">
      <c r="A785" s="4" t="n"/>
      <c r="B785" s="4" t="n"/>
      <c r="C785" s="4" t="n"/>
      <c r="D785" s="4" t="n"/>
    </row>
    <row r="786" ht="15.75" customHeight="1" s="40">
      <c r="A786" s="4" t="n"/>
      <c r="B786" s="4" t="n"/>
      <c r="C786" s="4" t="n"/>
      <c r="D786" s="4" t="n"/>
    </row>
    <row r="787" ht="15.75" customHeight="1" s="40">
      <c r="A787" s="4" t="n"/>
      <c r="B787" s="4" t="n"/>
      <c r="C787" s="4" t="n"/>
      <c r="D787" s="4" t="n"/>
    </row>
    <row r="788" ht="15.75" customHeight="1" s="40">
      <c r="A788" s="4" t="n"/>
      <c r="B788" s="4" t="n"/>
      <c r="C788" s="4" t="n"/>
      <c r="D788" s="4" t="n"/>
    </row>
    <row r="789" ht="15.75" customHeight="1" s="40">
      <c r="A789" s="4" t="n"/>
      <c r="B789" s="4" t="n"/>
      <c r="C789" s="4" t="n"/>
      <c r="D789" s="4" t="n"/>
    </row>
    <row r="790" ht="15.75" customHeight="1" s="40">
      <c r="A790" s="4" t="n"/>
      <c r="B790" s="4" t="n"/>
      <c r="C790" s="4" t="n"/>
      <c r="D790" s="4" t="n"/>
    </row>
    <row r="791" ht="15.75" customHeight="1" s="40">
      <c r="A791" s="4" t="n"/>
      <c r="B791" s="4" t="n"/>
      <c r="C791" s="4" t="n"/>
      <c r="D791" s="4" t="n"/>
    </row>
    <row r="792" ht="15.75" customHeight="1" s="40">
      <c r="A792" s="4" t="n"/>
      <c r="B792" s="4" t="n"/>
      <c r="C792" s="4" t="n"/>
      <c r="D792" s="4" t="n"/>
    </row>
    <row r="793" ht="15.75" customHeight="1" s="40">
      <c r="A793" s="4" t="n"/>
      <c r="B793" s="4" t="n"/>
      <c r="C793" s="4" t="n"/>
      <c r="D793" s="4" t="n"/>
    </row>
    <row r="794" ht="15.75" customHeight="1" s="40">
      <c r="A794" s="4" t="n"/>
      <c r="B794" s="4" t="n"/>
      <c r="C794" s="4" t="n"/>
      <c r="D794" s="4" t="n"/>
    </row>
    <row r="795" ht="15.75" customHeight="1" s="40">
      <c r="A795" s="4" t="n"/>
      <c r="B795" s="4" t="n"/>
      <c r="C795" s="4" t="n"/>
      <c r="D795" s="4" t="n"/>
    </row>
    <row r="796" ht="15.75" customHeight="1" s="40">
      <c r="A796" s="4" t="n"/>
      <c r="B796" s="4" t="n"/>
      <c r="C796" s="4" t="n"/>
      <c r="D796" s="4" t="n"/>
    </row>
    <row r="797" ht="15.75" customHeight="1" s="40">
      <c r="A797" s="4" t="n"/>
      <c r="B797" s="4" t="n"/>
      <c r="C797" s="4" t="n"/>
      <c r="D797" s="4" t="n"/>
    </row>
    <row r="798" ht="15.75" customHeight="1" s="40">
      <c r="A798" s="4" t="n"/>
      <c r="B798" s="4" t="n"/>
      <c r="C798" s="4" t="n"/>
      <c r="D798" s="4" t="n"/>
    </row>
    <row r="799" ht="15.75" customHeight="1" s="40">
      <c r="A799" s="4" t="n"/>
      <c r="B799" s="4" t="n"/>
      <c r="C799" s="4" t="n"/>
      <c r="D799" s="4" t="n"/>
    </row>
    <row r="800" ht="15.75" customHeight="1" s="40">
      <c r="A800" s="4" t="n"/>
      <c r="B800" s="4" t="n"/>
      <c r="C800" s="4" t="n"/>
      <c r="D800" s="4" t="n"/>
    </row>
    <row r="801" ht="15.75" customHeight="1" s="40">
      <c r="A801" s="4" t="n"/>
      <c r="B801" s="4" t="n"/>
      <c r="C801" s="4" t="n"/>
      <c r="D801" s="4" t="n"/>
    </row>
    <row r="802" ht="15.75" customHeight="1" s="40">
      <c r="A802" s="4" t="n"/>
      <c r="B802" s="4" t="n"/>
      <c r="C802" s="4" t="n"/>
      <c r="D802" s="4" t="n"/>
    </row>
    <row r="803" ht="15.75" customHeight="1" s="40">
      <c r="A803" s="4" t="n"/>
      <c r="B803" s="4" t="n"/>
      <c r="C803" s="4" t="n"/>
      <c r="D803" s="4" t="n"/>
    </row>
    <row r="804" ht="15.75" customHeight="1" s="40">
      <c r="A804" s="4" t="n"/>
      <c r="B804" s="4" t="n"/>
      <c r="C804" s="4" t="n"/>
      <c r="D804" s="4" t="n"/>
    </row>
    <row r="805" ht="15.75" customHeight="1" s="40">
      <c r="A805" s="4" t="n"/>
      <c r="B805" s="4" t="n"/>
      <c r="C805" s="4" t="n"/>
      <c r="D805" s="4" t="n"/>
    </row>
    <row r="806" ht="15.75" customHeight="1" s="40">
      <c r="A806" s="4" t="n"/>
      <c r="B806" s="4" t="n"/>
      <c r="C806" s="4" t="n"/>
      <c r="D806" s="4" t="n"/>
    </row>
    <row r="807" ht="15.75" customHeight="1" s="40">
      <c r="A807" s="4" t="n"/>
      <c r="B807" s="4" t="n"/>
      <c r="C807" s="4" t="n"/>
      <c r="D807" s="4" t="n"/>
    </row>
    <row r="808" ht="15.75" customHeight="1" s="40">
      <c r="A808" s="4" t="n"/>
      <c r="B808" s="4" t="n"/>
      <c r="C808" s="4" t="n"/>
      <c r="D808" s="4" t="n"/>
    </row>
    <row r="809" ht="15.75" customHeight="1" s="40">
      <c r="A809" s="4" t="n"/>
      <c r="B809" s="4" t="n"/>
      <c r="C809" s="4" t="n"/>
      <c r="D809" s="4" t="n"/>
    </row>
    <row r="810" ht="15.75" customHeight="1" s="40">
      <c r="A810" s="4" t="n"/>
      <c r="B810" s="4" t="n"/>
      <c r="C810" s="4" t="n"/>
      <c r="D810" s="4" t="n"/>
    </row>
    <row r="811" ht="15.75" customHeight="1" s="40">
      <c r="A811" s="4" t="n"/>
      <c r="B811" s="4" t="n"/>
      <c r="C811" s="4" t="n"/>
      <c r="D811" s="4" t="n"/>
    </row>
    <row r="812" ht="15.75" customHeight="1" s="40">
      <c r="A812" s="4" t="n"/>
      <c r="B812" s="4" t="n"/>
      <c r="C812" s="4" t="n"/>
      <c r="D812" s="4" t="n"/>
    </row>
    <row r="813" ht="15.75" customHeight="1" s="40">
      <c r="A813" s="4" t="n"/>
      <c r="B813" s="4" t="n"/>
      <c r="C813" s="4" t="n"/>
      <c r="D813" s="4" t="n"/>
    </row>
    <row r="814" ht="15.75" customHeight="1" s="40">
      <c r="A814" s="4" t="n"/>
      <c r="B814" s="4" t="n"/>
      <c r="C814" s="4" t="n"/>
      <c r="D814" s="4" t="n"/>
    </row>
    <row r="815" ht="15.75" customHeight="1" s="40">
      <c r="A815" s="4" t="n"/>
      <c r="B815" s="4" t="n"/>
      <c r="C815" s="4" t="n"/>
      <c r="D815" s="4" t="n"/>
    </row>
    <row r="816" ht="15.75" customHeight="1" s="40">
      <c r="A816" s="4" t="n"/>
      <c r="B816" s="4" t="n"/>
      <c r="C816" s="4" t="n"/>
      <c r="D816" s="4" t="n"/>
    </row>
    <row r="817" ht="15.75" customHeight="1" s="40">
      <c r="A817" s="4" t="n"/>
      <c r="B817" s="4" t="n"/>
      <c r="C817" s="4" t="n"/>
      <c r="D817" s="4" t="n"/>
    </row>
    <row r="818" ht="15.75" customHeight="1" s="40">
      <c r="A818" s="4" t="n"/>
      <c r="B818" s="4" t="n"/>
      <c r="C818" s="4" t="n"/>
      <c r="D818" s="4" t="n"/>
    </row>
    <row r="819" ht="15.75" customHeight="1" s="40">
      <c r="A819" s="4" t="n"/>
      <c r="B819" s="4" t="n"/>
      <c r="C819" s="4" t="n"/>
      <c r="D819" s="4" t="n"/>
    </row>
    <row r="820" ht="15.75" customHeight="1" s="40">
      <c r="A820" s="4" t="n"/>
      <c r="B820" s="4" t="n"/>
      <c r="C820" s="4" t="n"/>
      <c r="D820" s="4" t="n"/>
    </row>
    <row r="821" ht="15.75" customHeight="1" s="40">
      <c r="A821" s="4" t="n"/>
      <c r="B821" s="4" t="n"/>
      <c r="C821" s="4" t="n"/>
      <c r="D821" s="4" t="n"/>
    </row>
    <row r="822" ht="15.75" customHeight="1" s="40">
      <c r="A822" s="4" t="n"/>
      <c r="B822" s="4" t="n"/>
      <c r="C822" s="4" t="n"/>
      <c r="D822" s="4" t="n"/>
    </row>
    <row r="823" ht="15.75" customHeight="1" s="40">
      <c r="A823" s="4" t="n"/>
      <c r="B823" s="4" t="n"/>
      <c r="C823" s="4" t="n"/>
      <c r="D823" s="4" t="n"/>
    </row>
    <row r="824" ht="15.75" customHeight="1" s="40">
      <c r="A824" s="4" t="n"/>
      <c r="B824" s="4" t="n"/>
      <c r="C824" s="4" t="n"/>
      <c r="D824" s="4" t="n"/>
    </row>
    <row r="825" ht="15.75" customHeight="1" s="40">
      <c r="A825" s="4" t="n"/>
      <c r="B825" s="4" t="n"/>
      <c r="C825" s="4" t="n"/>
      <c r="D825" s="4" t="n"/>
    </row>
    <row r="826" ht="15.75" customHeight="1" s="40">
      <c r="A826" s="4" t="n"/>
      <c r="B826" s="4" t="n"/>
      <c r="C826" s="4" t="n"/>
      <c r="D826" s="4" t="n"/>
    </row>
    <row r="827" ht="15.75" customHeight="1" s="40">
      <c r="A827" s="4" t="n"/>
      <c r="B827" s="4" t="n"/>
      <c r="C827" s="4" t="n"/>
      <c r="D827" s="4" t="n"/>
    </row>
    <row r="828" ht="15.75" customHeight="1" s="40">
      <c r="A828" s="4" t="n"/>
      <c r="B828" s="4" t="n"/>
      <c r="C828" s="4" t="n"/>
      <c r="D828" s="4" t="n"/>
    </row>
    <row r="829" ht="15.75" customHeight="1" s="40">
      <c r="A829" s="4" t="n"/>
      <c r="B829" s="4" t="n"/>
      <c r="C829" s="4" t="n"/>
      <c r="D829" s="4" t="n"/>
    </row>
    <row r="830" ht="15.75" customHeight="1" s="40">
      <c r="A830" s="4" t="n"/>
      <c r="B830" s="4" t="n"/>
      <c r="C830" s="4" t="n"/>
      <c r="D830" s="4" t="n"/>
    </row>
    <row r="831" ht="15.75" customHeight="1" s="40">
      <c r="A831" s="4" t="n"/>
      <c r="B831" s="4" t="n"/>
      <c r="C831" s="4" t="n"/>
      <c r="D831" s="4" t="n"/>
    </row>
    <row r="832" ht="15.75" customHeight="1" s="40">
      <c r="A832" s="4" t="n"/>
      <c r="B832" s="4" t="n"/>
      <c r="C832" s="4" t="n"/>
      <c r="D832" s="4" t="n"/>
    </row>
    <row r="833" ht="15.75" customHeight="1" s="40">
      <c r="A833" s="4" t="n"/>
      <c r="B833" s="4" t="n"/>
      <c r="C833" s="4" t="n"/>
      <c r="D833" s="4" t="n"/>
    </row>
    <row r="834" ht="15.75" customHeight="1" s="40">
      <c r="A834" s="4" t="n"/>
      <c r="B834" s="4" t="n"/>
      <c r="C834" s="4" t="n"/>
      <c r="D834" s="4" t="n"/>
    </row>
    <row r="835" ht="15.75" customHeight="1" s="40">
      <c r="A835" s="4" t="n"/>
      <c r="B835" s="4" t="n"/>
      <c r="C835" s="4" t="n"/>
      <c r="D835" s="4" t="n"/>
    </row>
    <row r="836" ht="15.75" customHeight="1" s="40">
      <c r="A836" s="4" t="n"/>
      <c r="B836" s="4" t="n"/>
      <c r="C836" s="4" t="n"/>
      <c r="D836" s="4" t="n"/>
    </row>
    <row r="837" ht="15.75" customHeight="1" s="40">
      <c r="A837" s="4" t="n"/>
      <c r="B837" s="4" t="n"/>
      <c r="C837" s="4" t="n"/>
      <c r="D837" s="4" t="n"/>
    </row>
    <row r="838" ht="15.75" customHeight="1" s="40">
      <c r="A838" s="4" t="n"/>
      <c r="B838" s="4" t="n"/>
      <c r="C838" s="4" t="n"/>
      <c r="D838" s="4" t="n"/>
    </row>
    <row r="839" ht="15.75" customHeight="1" s="40">
      <c r="A839" s="4" t="n"/>
      <c r="B839" s="4" t="n"/>
      <c r="C839" s="4" t="n"/>
      <c r="D839" s="4" t="n"/>
    </row>
    <row r="840" ht="15.75" customHeight="1" s="40">
      <c r="A840" s="4" t="n"/>
      <c r="B840" s="4" t="n"/>
      <c r="C840" s="4" t="n"/>
      <c r="D840" s="4" t="n"/>
    </row>
    <row r="841" ht="15.75" customHeight="1" s="40">
      <c r="A841" s="4" t="n"/>
      <c r="B841" s="4" t="n"/>
      <c r="C841" s="4" t="n"/>
      <c r="D841" s="4" t="n"/>
    </row>
    <row r="842" ht="15.75" customHeight="1" s="40">
      <c r="A842" s="4" t="n"/>
      <c r="B842" s="4" t="n"/>
      <c r="C842" s="4" t="n"/>
      <c r="D842" s="4" t="n"/>
    </row>
    <row r="843" ht="15.75" customHeight="1" s="40">
      <c r="A843" s="4" t="n"/>
      <c r="B843" s="4" t="n"/>
      <c r="C843" s="4" t="n"/>
      <c r="D843" s="4" t="n"/>
    </row>
    <row r="844" ht="15.75" customHeight="1" s="40">
      <c r="A844" s="4" t="n"/>
      <c r="B844" s="4" t="n"/>
      <c r="C844" s="4" t="n"/>
      <c r="D844" s="4" t="n"/>
    </row>
    <row r="845" ht="15.75" customHeight="1" s="40">
      <c r="A845" s="4" t="n"/>
      <c r="B845" s="4" t="n"/>
      <c r="C845" s="4" t="n"/>
      <c r="D845" s="4" t="n"/>
    </row>
    <row r="846" ht="15.75" customHeight="1" s="40">
      <c r="A846" s="4" t="n"/>
      <c r="B846" s="4" t="n"/>
      <c r="C846" s="4" t="n"/>
      <c r="D846" s="4" t="n"/>
    </row>
    <row r="847" ht="15.75" customHeight="1" s="40">
      <c r="A847" s="4" t="n"/>
      <c r="B847" s="4" t="n"/>
      <c r="C847" s="4" t="n"/>
      <c r="D847" s="4" t="n"/>
    </row>
    <row r="848" ht="15.75" customHeight="1" s="40">
      <c r="A848" s="4" t="n"/>
      <c r="B848" s="4" t="n"/>
      <c r="C848" s="4" t="n"/>
      <c r="D848" s="4" t="n"/>
    </row>
    <row r="849" ht="15.75" customHeight="1" s="40">
      <c r="A849" s="4" t="n"/>
      <c r="B849" s="4" t="n"/>
      <c r="C849" s="4" t="n"/>
      <c r="D849" s="4" t="n"/>
    </row>
    <row r="850" ht="15.75" customHeight="1" s="40">
      <c r="A850" s="4" t="n"/>
      <c r="B850" s="4" t="n"/>
      <c r="C850" s="4" t="n"/>
      <c r="D850" s="4" t="n"/>
    </row>
    <row r="851" ht="15.75" customHeight="1" s="40">
      <c r="A851" s="4" t="n"/>
      <c r="B851" s="4" t="n"/>
      <c r="C851" s="4" t="n"/>
      <c r="D851" s="4" t="n"/>
    </row>
    <row r="852" ht="15.75" customHeight="1" s="40">
      <c r="A852" s="4" t="n"/>
      <c r="B852" s="4" t="n"/>
      <c r="C852" s="4" t="n"/>
      <c r="D852" s="4" t="n"/>
    </row>
    <row r="853" ht="15.75" customHeight="1" s="40">
      <c r="A853" s="4" t="n"/>
      <c r="B853" s="4" t="n"/>
      <c r="C853" s="4" t="n"/>
      <c r="D853" s="4" t="n"/>
    </row>
    <row r="854" ht="15.75" customHeight="1" s="40">
      <c r="A854" s="4" t="n"/>
      <c r="B854" s="4" t="n"/>
      <c r="C854" s="4" t="n"/>
      <c r="D854" s="4" t="n"/>
    </row>
    <row r="855" ht="15.75" customHeight="1" s="40">
      <c r="A855" s="4" t="n"/>
      <c r="B855" s="4" t="n"/>
      <c r="C855" s="4" t="n"/>
      <c r="D855" s="4" t="n"/>
    </row>
    <row r="856" ht="15.75" customHeight="1" s="40">
      <c r="A856" s="4" t="n"/>
      <c r="B856" s="4" t="n"/>
      <c r="C856" s="4" t="n"/>
      <c r="D856" s="4" t="n"/>
    </row>
    <row r="857" ht="15.75" customHeight="1" s="40">
      <c r="A857" s="4" t="n"/>
      <c r="B857" s="4" t="n"/>
      <c r="C857" s="4" t="n"/>
      <c r="D857" s="4" t="n"/>
    </row>
    <row r="858" ht="15.75" customHeight="1" s="40">
      <c r="A858" s="4" t="n"/>
      <c r="B858" s="4" t="n"/>
      <c r="C858" s="4" t="n"/>
      <c r="D858" s="4" t="n"/>
    </row>
    <row r="859" ht="15.75" customHeight="1" s="40">
      <c r="A859" s="4" t="n"/>
      <c r="B859" s="4" t="n"/>
      <c r="C859" s="4" t="n"/>
      <c r="D859" s="4" t="n"/>
    </row>
    <row r="860" ht="15.75" customHeight="1" s="40">
      <c r="A860" s="4" t="n"/>
      <c r="B860" s="4" t="n"/>
      <c r="C860" s="4" t="n"/>
      <c r="D860" s="4" t="n"/>
    </row>
    <row r="861" ht="15.75" customHeight="1" s="40">
      <c r="A861" s="4" t="n"/>
      <c r="B861" s="4" t="n"/>
      <c r="C861" s="4" t="n"/>
      <c r="D861" s="4" t="n"/>
    </row>
    <row r="862" ht="15.75" customHeight="1" s="40">
      <c r="A862" s="4" t="n"/>
      <c r="B862" s="4" t="n"/>
      <c r="C862" s="4" t="n"/>
      <c r="D862" s="4" t="n"/>
    </row>
    <row r="863" ht="15.75" customHeight="1" s="40">
      <c r="A863" s="4" t="n"/>
      <c r="B863" s="4" t="n"/>
      <c r="C863" s="4" t="n"/>
      <c r="D863" s="4" t="n"/>
    </row>
    <row r="864" ht="15.75" customHeight="1" s="40">
      <c r="A864" s="4" t="n"/>
      <c r="B864" s="4" t="n"/>
      <c r="C864" s="4" t="n"/>
      <c r="D864" s="4" t="n"/>
    </row>
    <row r="865" ht="15.75" customHeight="1" s="40">
      <c r="A865" s="4" t="n"/>
      <c r="B865" s="4" t="n"/>
      <c r="C865" s="4" t="n"/>
      <c r="D865" s="4" t="n"/>
    </row>
    <row r="866" ht="15.75" customHeight="1" s="40">
      <c r="A866" s="4" t="n"/>
      <c r="B866" s="4" t="n"/>
      <c r="C866" s="4" t="n"/>
      <c r="D866" s="4" t="n"/>
    </row>
    <row r="867" ht="15.75" customHeight="1" s="40">
      <c r="A867" s="4" t="n"/>
      <c r="B867" s="4" t="n"/>
      <c r="C867" s="4" t="n"/>
      <c r="D867" s="4" t="n"/>
    </row>
    <row r="868" ht="15.75" customHeight="1" s="40">
      <c r="A868" s="4" t="n"/>
      <c r="B868" s="4" t="n"/>
      <c r="C868" s="4" t="n"/>
      <c r="D868" s="4" t="n"/>
    </row>
    <row r="869" ht="15.75" customHeight="1" s="40">
      <c r="A869" s="4" t="n"/>
      <c r="B869" s="4" t="n"/>
      <c r="C869" s="4" t="n"/>
      <c r="D869" s="4" t="n"/>
    </row>
    <row r="870" ht="15.75" customHeight="1" s="40">
      <c r="A870" s="4" t="n"/>
      <c r="B870" s="4" t="n"/>
      <c r="C870" s="4" t="n"/>
      <c r="D870" s="4" t="n"/>
    </row>
    <row r="871" ht="15.75" customHeight="1" s="40">
      <c r="A871" s="4" t="n"/>
      <c r="B871" s="4" t="n"/>
      <c r="C871" s="4" t="n"/>
      <c r="D871" s="4" t="n"/>
    </row>
    <row r="872" ht="15.75" customHeight="1" s="40">
      <c r="A872" s="4" t="n"/>
      <c r="B872" s="4" t="n"/>
      <c r="C872" s="4" t="n"/>
      <c r="D872" s="4" t="n"/>
    </row>
    <row r="873" ht="15.75" customHeight="1" s="40">
      <c r="A873" s="4" t="n"/>
      <c r="B873" s="4" t="n"/>
      <c r="C873" s="4" t="n"/>
      <c r="D873" s="4" t="n"/>
    </row>
    <row r="874" ht="15.75" customHeight="1" s="40">
      <c r="A874" s="4" t="n"/>
      <c r="B874" s="4" t="n"/>
      <c r="C874" s="4" t="n"/>
      <c r="D874" s="4" t="n"/>
    </row>
    <row r="875" ht="15.75" customHeight="1" s="40">
      <c r="A875" s="4" t="n"/>
      <c r="B875" s="4" t="n"/>
      <c r="C875" s="4" t="n"/>
      <c r="D875" s="4" t="n"/>
    </row>
    <row r="876" ht="15.75" customHeight="1" s="40">
      <c r="A876" s="4" t="n"/>
      <c r="B876" s="4" t="n"/>
      <c r="C876" s="4" t="n"/>
      <c r="D876" s="4" t="n"/>
    </row>
    <row r="877" ht="15.75" customHeight="1" s="40">
      <c r="A877" s="4" t="n"/>
      <c r="B877" s="4" t="n"/>
      <c r="C877" s="4" t="n"/>
      <c r="D877" s="4" t="n"/>
    </row>
    <row r="878" ht="15.75" customHeight="1" s="40">
      <c r="A878" s="4" t="n"/>
      <c r="B878" s="4" t="n"/>
      <c r="C878" s="4" t="n"/>
      <c r="D878" s="4" t="n"/>
    </row>
    <row r="879" ht="15.75" customHeight="1" s="40">
      <c r="A879" s="4" t="n"/>
      <c r="B879" s="4" t="n"/>
      <c r="C879" s="4" t="n"/>
      <c r="D879" s="4" t="n"/>
    </row>
    <row r="880" ht="15.75" customHeight="1" s="40">
      <c r="A880" s="4" t="n"/>
      <c r="B880" s="4" t="n"/>
      <c r="C880" s="4" t="n"/>
      <c r="D880" s="4" t="n"/>
    </row>
    <row r="881" ht="15.75" customHeight="1" s="40">
      <c r="A881" s="4" t="n"/>
      <c r="B881" s="4" t="n"/>
      <c r="C881" s="4" t="n"/>
      <c r="D881" s="4" t="n"/>
    </row>
    <row r="882" ht="15.75" customHeight="1" s="40">
      <c r="A882" s="4" t="n"/>
      <c r="B882" s="4" t="n"/>
      <c r="C882" s="4" t="n"/>
      <c r="D882" s="4" t="n"/>
    </row>
    <row r="883" ht="15.75" customHeight="1" s="40">
      <c r="A883" s="4" t="n"/>
      <c r="B883" s="4" t="n"/>
      <c r="C883" s="4" t="n"/>
      <c r="D883" s="4" t="n"/>
    </row>
    <row r="884" ht="15.75" customHeight="1" s="40">
      <c r="A884" s="4" t="n"/>
      <c r="B884" s="4" t="n"/>
      <c r="C884" s="4" t="n"/>
      <c r="D884" s="4" t="n"/>
    </row>
    <row r="885" ht="15.75" customHeight="1" s="40">
      <c r="A885" s="4" t="n"/>
      <c r="B885" s="4" t="n"/>
      <c r="C885" s="4" t="n"/>
      <c r="D885" s="4" t="n"/>
    </row>
    <row r="886" ht="15.75" customHeight="1" s="40">
      <c r="A886" s="4" t="n"/>
      <c r="B886" s="4" t="n"/>
      <c r="C886" s="4" t="n"/>
      <c r="D886" s="4" t="n"/>
    </row>
    <row r="887" ht="15.75" customHeight="1" s="40">
      <c r="A887" s="4" t="n"/>
      <c r="B887" s="4" t="n"/>
      <c r="C887" s="4" t="n"/>
      <c r="D887" s="4" t="n"/>
    </row>
    <row r="888" ht="15.75" customHeight="1" s="40">
      <c r="A888" s="4" t="n"/>
      <c r="B888" s="4" t="n"/>
      <c r="C888" s="4" t="n"/>
      <c r="D888" s="4" t="n"/>
    </row>
    <row r="889" ht="15.75" customHeight="1" s="40">
      <c r="A889" s="4" t="n"/>
      <c r="B889" s="4" t="n"/>
      <c r="C889" s="4" t="n"/>
      <c r="D889" s="4" t="n"/>
    </row>
    <row r="890" ht="15.75" customHeight="1" s="40">
      <c r="A890" s="4" t="n"/>
      <c r="B890" s="4" t="n"/>
      <c r="C890" s="4" t="n"/>
      <c r="D890" s="4" t="n"/>
    </row>
    <row r="891" ht="15.75" customHeight="1" s="40">
      <c r="A891" s="4" t="n"/>
      <c r="B891" s="4" t="n"/>
      <c r="C891" s="4" t="n"/>
      <c r="D891" s="4" t="n"/>
    </row>
    <row r="892" ht="15.75" customHeight="1" s="40">
      <c r="A892" s="4" t="n"/>
      <c r="B892" s="4" t="n"/>
      <c r="C892" s="4" t="n"/>
      <c r="D892" s="4" t="n"/>
    </row>
    <row r="893" ht="15.75" customHeight="1" s="40">
      <c r="A893" s="4" t="n"/>
      <c r="B893" s="4" t="n"/>
      <c r="C893" s="4" t="n"/>
      <c r="D893" s="4" t="n"/>
    </row>
    <row r="894" ht="15.75" customHeight="1" s="40">
      <c r="A894" s="4" t="n"/>
      <c r="B894" s="4" t="n"/>
      <c r="C894" s="4" t="n"/>
      <c r="D894" s="4" t="n"/>
    </row>
    <row r="895" ht="15.75" customHeight="1" s="40">
      <c r="A895" s="4" t="n"/>
      <c r="B895" s="4" t="n"/>
      <c r="C895" s="4" t="n"/>
      <c r="D895" s="4" t="n"/>
    </row>
    <row r="896" ht="15.75" customHeight="1" s="40">
      <c r="A896" s="4" t="n"/>
      <c r="B896" s="4" t="n"/>
      <c r="C896" s="4" t="n"/>
      <c r="D896" s="4" t="n"/>
    </row>
    <row r="897" ht="15.75" customHeight="1" s="40">
      <c r="A897" s="4" t="n"/>
      <c r="B897" s="4" t="n"/>
      <c r="C897" s="4" t="n"/>
      <c r="D897" s="4" t="n"/>
    </row>
    <row r="898" ht="15.75" customHeight="1" s="40">
      <c r="A898" s="4" t="n"/>
      <c r="B898" s="4" t="n"/>
      <c r="C898" s="4" t="n"/>
      <c r="D898" s="4" t="n"/>
    </row>
    <row r="899" ht="15.75" customHeight="1" s="40">
      <c r="A899" s="4" t="n"/>
      <c r="B899" s="4" t="n"/>
      <c r="C899" s="4" t="n"/>
      <c r="D899" s="4" t="n"/>
    </row>
    <row r="900" ht="15.75" customHeight="1" s="40">
      <c r="A900" s="4" t="n"/>
      <c r="B900" s="4" t="n"/>
      <c r="C900" s="4" t="n"/>
      <c r="D900" s="4" t="n"/>
    </row>
    <row r="901" ht="15.75" customHeight="1" s="40">
      <c r="A901" s="4" t="n"/>
      <c r="B901" s="4" t="n"/>
      <c r="C901" s="4" t="n"/>
      <c r="D901" s="4" t="n"/>
    </row>
    <row r="902" ht="15.75" customHeight="1" s="40">
      <c r="A902" s="4" t="n"/>
      <c r="B902" s="4" t="n"/>
      <c r="C902" s="4" t="n"/>
      <c r="D902" s="4" t="n"/>
    </row>
    <row r="903" ht="15.75" customHeight="1" s="40">
      <c r="A903" s="4" t="n"/>
      <c r="B903" s="4" t="n"/>
      <c r="C903" s="4" t="n"/>
      <c r="D903" s="4" t="n"/>
    </row>
    <row r="904" ht="15.75" customHeight="1" s="40">
      <c r="A904" s="4" t="n"/>
      <c r="B904" s="4" t="n"/>
      <c r="C904" s="4" t="n"/>
      <c r="D904" s="4" t="n"/>
    </row>
    <row r="905" ht="15.75" customHeight="1" s="40">
      <c r="A905" s="4" t="n"/>
      <c r="B905" s="4" t="n"/>
      <c r="C905" s="4" t="n"/>
      <c r="D905" s="4" t="n"/>
    </row>
    <row r="906" ht="15.75" customHeight="1" s="40">
      <c r="A906" s="4" t="n"/>
      <c r="B906" s="4" t="n"/>
      <c r="C906" s="4" t="n"/>
      <c r="D906" s="4" t="n"/>
    </row>
    <row r="907" ht="15.75" customHeight="1" s="40">
      <c r="A907" s="4" t="n"/>
      <c r="B907" s="4" t="n"/>
      <c r="C907" s="4" t="n"/>
      <c r="D907" s="4" t="n"/>
    </row>
    <row r="908" ht="15.75" customHeight="1" s="40">
      <c r="A908" s="4" t="n"/>
      <c r="B908" s="4" t="n"/>
      <c r="C908" s="4" t="n"/>
      <c r="D908" s="4" t="n"/>
    </row>
    <row r="909" ht="15.75" customHeight="1" s="40">
      <c r="A909" s="4" t="n"/>
      <c r="B909" s="4" t="n"/>
      <c r="C909" s="4" t="n"/>
      <c r="D909" s="4" t="n"/>
    </row>
    <row r="910" ht="15.75" customHeight="1" s="40">
      <c r="A910" s="4" t="n"/>
      <c r="B910" s="4" t="n"/>
      <c r="C910" s="4" t="n"/>
      <c r="D910" s="4" t="n"/>
    </row>
    <row r="911" ht="15.75" customHeight="1" s="40">
      <c r="A911" s="4" t="n"/>
      <c r="B911" s="4" t="n"/>
      <c r="C911" s="4" t="n"/>
      <c r="D911" s="4" t="n"/>
    </row>
    <row r="912" ht="15.75" customHeight="1" s="40">
      <c r="A912" s="4" t="n"/>
      <c r="B912" s="4" t="n"/>
      <c r="C912" s="4" t="n"/>
      <c r="D912" s="4" t="n"/>
    </row>
    <row r="913" ht="15.75" customHeight="1" s="40">
      <c r="A913" s="4" t="n"/>
      <c r="B913" s="4" t="n"/>
      <c r="C913" s="4" t="n"/>
      <c r="D913" s="4" t="n"/>
    </row>
    <row r="914" ht="15.75" customHeight="1" s="40">
      <c r="A914" s="4" t="n"/>
      <c r="B914" s="4" t="n"/>
      <c r="C914" s="4" t="n"/>
      <c r="D914" s="4" t="n"/>
    </row>
    <row r="915" ht="15.75" customHeight="1" s="40">
      <c r="A915" s="4" t="n"/>
      <c r="B915" s="4" t="n"/>
      <c r="C915" s="4" t="n"/>
      <c r="D915" s="4" t="n"/>
    </row>
    <row r="916" ht="15.75" customHeight="1" s="40">
      <c r="A916" s="4" t="n"/>
      <c r="B916" s="4" t="n"/>
      <c r="C916" s="4" t="n"/>
      <c r="D916" s="4" t="n"/>
    </row>
    <row r="917" ht="15.75" customHeight="1" s="40">
      <c r="A917" s="4" t="n"/>
      <c r="B917" s="4" t="n"/>
      <c r="C917" s="4" t="n"/>
      <c r="D917" s="4" t="n"/>
    </row>
    <row r="918" ht="15.75" customHeight="1" s="40">
      <c r="A918" s="4" t="n"/>
      <c r="B918" s="4" t="n"/>
      <c r="C918" s="4" t="n"/>
      <c r="D918" s="4" t="n"/>
    </row>
    <row r="919" ht="15.75" customHeight="1" s="40">
      <c r="A919" s="4" t="n"/>
      <c r="B919" s="4" t="n"/>
      <c r="C919" s="4" t="n"/>
      <c r="D919" s="4" t="n"/>
    </row>
    <row r="920" ht="15.75" customHeight="1" s="40">
      <c r="A920" s="4" t="n"/>
      <c r="B920" s="4" t="n"/>
      <c r="C920" s="4" t="n"/>
      <c r="D920" s="4" t="n"/>
    </row>
    <row r="921" ht="15.75" customHeight="1" s="40">
      <c r="A921" s="4" t="n"/>
      <c r="B921" s="4" t="n"/>
      <c r="C921" s="4" t="n"/>
      <c r="D921" s="4" t="n"/>
    </row>
    <row r="922" ht="15.75" customHeight="1" s="40">
      <c r="A922" s="4" t="n"/>
      <c r="B922" s="4" t="n"/>
      <c r="C922" s="4" t="n"/>
      <c r="D922" s="4" t="n"/>
    </row>
    <row r="923" ht="15.75" customHeight="1" s="40">
      <c r="A923" s="4" t="n"/>
      <c r="B923" s="4" t="n"/>
      <c r="C923" s="4" t="n"/>
      <c r="D923" s="4" t="n"/>
    </row>
    <row r="924" ht="15.75" customHeight="1" s="40">
      <c r="A924" s="4" t="n"/>
      <c r="B924" s="4" t="n"/>
      <c r="C924" s="4" t="n"/>
      <c r="D924" s="4" t="n"/>
    </row>
    <row r="925" ht="15.75" customHeight="1" s="40">
      <c r="A925" s="4" t="n"/>
      <c r="B925" s="4" t="n"/>
      <c r="C925" s="4" t="n"/>
      <c r="D925" s="4" t="n"/>
    </row>
    <row r="926" ht="15.75" customHeight="1" s="40">
      <c r="A926" s="4" t="n"/>
      <c r="B926" s="4" t="n"/>
      <c r="C926" s="4" t="n"/>
      <c r="D926" s="4" t="n"/>
    </row>
    <row r="927" ht="15.75" customHeight="1" s="40">
      <c r="A927" s="4" t="n"/>
      <c r="B927" s="4" t="n"/>
      <c r="C927" s="4" t="n"/>
      <c r="D927" s="4" t="n"/>
    </row>
    <row r="928" ht="15.75" customHeight="1" s="40">
      <c r="A928" s="4" t="n"/>
      <c r="B928" s="4" t="n"/>
      <c r="C928" s="4" t="n"/>
      <c r="D928" s="4" t="n"/>
    </row>
    <row r="929" ht="15.75" customHeight="1" s="40">
      <c r="A929" s="4" t="n"/>
      <c r="B929" s="4" t="n"/>
      <c r="C929" s="4" t="n"/>
      <c r="D929" s="4" t="n"/>
    </row>
    <row r="930" ht="15.75" customHeight="1" s="40">
      <c r="A930" s="4" t="n"/>
      <c r="B930" s="4" t="n"/>
      <c r="C930" s="4" t="n"/>
      <c r="D930" s="4" t="n"/>
    </row>
    <row r="931" ht="15.75" customHeight="1" s="40">
      <c r="A931" s="4" t="n"/>
      <c r="B931" s="4" t="n"/>
      <c r="C931" s="4" t="n"/>
      <c r="D931" s="4" t="n"/>
    </row>
    <row r="932" ht="15.75" customHeight="1" s="40">
      <c r="A932" s="4" t="n"/>
      <c r="B932" s="4" t="n"/>
      <c r="C932" s="4" t="n"/>
      <c r="D932" s="4" t="n"/>
    </row>
    <row r="933" ht="15.75" customHeight="1" s="40">
      <c r="A933" s="4" t="n"/>
      <c r="B933" s="4" t="n"/>
      <c r="C933" s="4" t="n"/>
      <c r="D933" s="4" t="n"/>
    </row>
    <row r="934" ht="15.75" customHeight="1" s="40">
      <c r="A934" s="4" t="n"/>
      <c r="B934" s="4" t="n"/>
      <c r="C934" s="4" t="n"/>
      <c r="D934" s="4" t="n"/>
    </row>
    <row r="935" ht="15.75" customHeight="1" s="40">
      <c r="A935" s="4" t="n"/>
      <c r="B935" s="4" t="n"/>
      <c r="C935" s="4" t="n"/>
      <c r="D935" s="4" t="n"/>
    </row>
    <row r="936" ht="15.75" customHeight="1" s="40">
      <c r="A936" s="4" t="n"/>
      <c r="B936" s="4" t="n"/>
      <c r="C936" s="4" t="n"/>
      <c r="D936" s="4" t="n"/>
    </row>
    <row r="937" ht="15.75" customHeight="1" s="40">
      <c r="A937" s="4" t="n"/>
      <c r="B937" s="4" t="n"/>
      <c r="C937" s="4" t="n"/>
      <c r="D937" s="4" t="n"/>
    </row>
    <row r="938" ht="15.75" customHeight="1" s="40">
      <c r="A938" s="4" t="n"/>
      <c r="B938" s="4" t="n"/>
      <c r="C938" s="4" t="n"/>
      <c r="D938" s="4" t="n"/>
    </row>
    <row r="939" ht="15.75" customHeight="1" s="40">
      <c r="A939" s="4" t="n"/>
      <c r="B939" s="4" t="n"/>
      <c r="C939" s="4" t="n"/>
      <c r="D939" s="4" t="n"/>
    </row>
    <row r="940" ht="15.75" customHeight="1" s="40">
      <c r="A940" s="4" t="n"/>
      <c r="B940" s="4" t="n"/>
      <c r="C940" s="4" t="n"/>
      <c r="D940" s="4" t="n"/>
    </row>
    <row r="941" ht="15.75" customHeight="1" s="40">
      <c r="A941" s="4" t="n"/>
      <c r="B941" s="4" t="n"/>
      <c r="C941" s="4" t="n"/>
      <c r="D941" s="4" t="n"/>
    </row>
    <row r="942" ht="15.75" customHeight="1" s="40">
      <c r="A942" s="4" t="n"/>
      <c r="B942" s="4" t="n"/>
      <c r="C942" s="4" t="n"/>
      <c r="D942" s="4" t="n"/>
    </row>
    <row r="943" ht="15.75" customHeight="1" s="40">
      <c r="A943" s="4" t="n"/>
      <c r="B943" s="4" t="n"/>
      <c r="C943" s="4" t="n"/>
      <c r="D943" s="4" t="n"/>
    </row>
    <row r="944" ht="15.75" customHeight="1" s="40">
      <c r="A944" s="4" t="n"/>
      <c r="B944" s="4" t="n"/>
      <c r="C944" s="4" t="n"/>
      <c r="D944" s="4" t="n"/>
    </row>
    <row r="945" ht="15.75" customHeight="1" s="40">
      <c r="A945" s="4" t="n"/>
      <c r="B945" s="4" t="n"/>
      <c r="C945" s="4" t="n"/>
      <c r="D945" s="4" t="n"/>
    </row>
    <row r="946" ht="15.75" customHeight="1" s="40">
      <c r="A946" s="4" t="n"/>
      <c r="B946" s="4" t="n"/>
      <c r="C946" s="4" t="n"/>
      <c r="D946" s="4" t="n"/>
    </row>
    <row r="947" ht="15.75" customHeight="1" s="40">
      <c r="A947" s="4" t="n"/>
      <c r="B947" s="4" t="n"/>
      <c r="C947" s="4" t="n"/>
      <c r="D947" s="4" t="n"/>
    </row>
    <row r="948" ht="15.75" customHeight="1" s="40">
      <c r="A948" s="4" t="n"/>
      <c r="B948" s="4" t="n"/>
      <c r="C948" s="4" t="n"/>
      <c r="D948" s="4" t="n"/>
    </row>
    <row r="949" ht="15.75" customHeight="1" s="40">
      <c r="A949" s="4" t="n"/>
      <c r="B949" s="4" t="n"/>
      <c r="C949" s="4" t="n"/>
      <c r="D949" s="4" t="n"/>
    </row>
    <row r="950" ht="15.75" customHeight="1" s="40">
      <c r="A950" s="4" t="n"/>
      <c r="B950" s="4" t="n"/>
      <c r="C950" s="4" t="n"/>
      <c r="D950" s="4" t="n"/>
    </row>
    <row r="951" ht="15.75" customHeight="1" s="40">
      <c r="A951" s="4" t="n"/>
      <c r="B951" s="4" t="n"/>
      <c r="C951" s="4" t="n"/>
      <c r="D951" s="4" t="n"/>
    </row>
    <row r="952" ht="15.75" customHeight="1" s="40">
      <c r="A952" s="4" t="n"/>
      <c r="B952" s="4" t="n"/>
      <c r="C952" s="4" t="n"/>
      <c r="D952" s="4" t="n"/>
    </row>
    <row r="953" ht="15.75" customHeight="1" s="40">
      <c r="A953" s="4" t="n"/>
      <c r="B953" s="4" t="n"/>
      <c r="C953" s="4" t="n"/>
      <c r="D953" s="4" t="n"/>
    </row>
    <row r="954" ht="15.75" customHeight="1" s="40">
      <c r="A954" s="4" t="n"/>
      <c r="B954" s="4" t="n"/>
      <c r="C954" s="4" t="n"/>
      <c r="D954" s="4" t="n"/>
    </row>
    <row r="955" ht="15.75" customHeight="1" s="40">
      <c r="A955" s="4" t="n"/>
      <c r="B955" s="4" t="n"/>
      <c r="C955" s="4" t="n"/>
      <c r="D955" s="4" t="n"/>
    </row>
    <row r="956" ht="15.75" customHeight="1" s="40">
      <c r="A956" s="4" t="n"/>
      <c r="B956" s="4" t="n"/>
      <c r="C956" s="4" t="n"/>
      <c r="D956" s="4" t="n"/>
    </row>
    <row r="957" ht="15.75" customHeight="1" s="40">
      <c r="A957" s="4" t="n"/>
      <c r="B957" s="4" t="n"/>
      <c r="C957" s="4" t="n"/>
      <c r="D957" s="4" t="n"/>
    </row>
    <row r="958" ht="15.75" customHeight="1" s="40">
      <c r="A958" s="4" t="n"/>
      <c r="B958" s="4" t="n"/>
      <c r="C958" s="4" t="n"/>
      <c r="D958" s="4" t="n"/>
    </row>
    <row r="959" ht="15.75" customHeight="1" s="40">
      <c r="A959" s="4" t="n"/>
      <c r="B959" s="4" t="n"/>
      <c r="C959" s="4" t="n"/>
      <c r="D959" s="4" t="n"/>
    </row>
    <row r="960" ht="15.75" customHeight="1" s="40">
      <c r="A960" s="4" t="n"/>
      <c r="B960" s="4" t="n"/>
      <c r="C960" s="4" t="n"/>
      <c r="D960" s="4" t="n"/>
    </row>
    <row r="961" ht="15.75" customHeight="1" s="40">
      <c r="A961" s="4" t="n"/>
      <c r="B961" s="4" t="n"/>
      <c r="C961" s="4" t="n"/>
      <c r="D961" s="4" t="n"/>
    </row>
    <row r="962" ht="15.75" customHeight="1" s="40">
      <c r="A962" s="4" t="n"/>
      <c r="B962" s="4" t="n"/>
      <c r="C962" s="4" t="n"/>
      <c r="D962" s="4" t="n"/>
    </row>
    <row r="963" ht="15.75" customHeight="1" s="40">
      <c r="A963" s="4" t="n"/>
      <c r="B963" s="4" t="n"/>
      <c r="C963" s="4" t="n"/>
      <c r="D963" s="4" t="n"/>
    </row>
    <row r="964" ht="15.75" customHeight="1" s="40">
      <c r="A964" s="4" t="n"/>
      <c r="B964" s="4" t="n"/>
      <c r="C964" s="4" t="n"/>
      <c r="D964" s="4" t="n"/>
    </row>
    <row r="965" ht="15.75" customHeight="1" s="40">
      <c r="A965" s="4" t="n"/>
      <c r="B965" s="4" t="n"/>
      <c r="C965" s="4" t="n"/>
      <c r="D965" s="4" t="n"/>
    </row>
    <row r="966" ht="15.75" customHeight="1" s="40">
      <c r="A966" s="4" t="n"/>
      <c r="B966" s="4" t="n"/>
      <c r="C966" s="4" t="n"/>
      <c r="D966" s="4" t="n"/>
    </row>
    <row r="967" ht="15.75" customHeight="1" s="40">
      <c r="A967" s="4" t="n"/>
      <c r="B967" s="4" t="n"/>
      <c r="C967" s="4" t="n"/>
      <c r="D967" s="4" t="n"/>
    </row>
    <row r="968" ht="15.75" customHeight="1" s="40">
      <c r="A968" s="4" t="n"/>
      <c r="B968" s="4" t="n"/>
      <c r="C968" s="4" t="n"/>
      <c r="D968" s="4" t="n"/>
    </row>
    <row r="969" ht="15.75" customHeight="1" s="40">
      <c r="A969" s="4" t="n"/>
      <c r="B969" s="4" t="n"/>
      <c r="C969" s="4" t="n"/>
      <c r="D969" s="4" t="n"/>
    </row>
    <row r="970" ht="15.75" customHeight="1" s="40">
      <c r="A970" s="4" t="n"/>
      <c r="B970" s="4" t="n"/>
      <c r="C970" s="4" t="n"/>
      <c r="D970" s="4" t="n"/>
    </row>
    <row r="971" ht="15.75" customHeight="1" s="40">
      <c r="A971" s="4" t="n"/>
      <c r="B971" s="4" t="n"/>
      <c r="C971" s="4" t="n"/>
      <c r="D971" s="4" t="n"/>
    </row>
    <row r="972" ht="15.75" customHeight="1" s="40">
      <c r="A972" s="4" t="n"/>
      <c r="B972" s="4" t="n"/>
      <c r="C972" s="4" t="n"/>
      <c r="D972" s="4" t="n"/>
    </row>
    <row r="973" ht="15.75" customHeight="1" s="40">
      <c r="A973" s="4" t="n"/>
      <c r="B973" s="4" t="n"/>
      <c r="C973" s="4" t="n"/>
      <c r="D973" s="4" t="n"/>
    </row>
    <row r="974" ht="15.75" customHeight="1" s="40">
      <c r="A974" s="4" t="n"/>
      <c r="B974" s="4" t="n"/>
      <c r="C974" s="4" t="n"/>
      <c r="D974" s="4" t="n"/>
    </row>
    <row r="975" ht="15.75" customHeight="1" s="40">
      <c r="A975" s="4" t="n"/>
      <c r="B975" s="4" t="n"/>
      <c r="C975" s="4" t="n"/>
      <c r="D975" s="4" t="n"/>
    </row>
    <row r="976" ht="15.75" customHeight="1" s="40">
      <c r="A976" s="4" t="n"/>
      <c r="B976" s="4" t="n"/>
      <c r="C976" s="4" t="n"/>
      <c r="D976" s="4" t="n"/>
    </row>
    <row r="977" ht="15.75" customHeight="1" s="40">
      <c r="A977" s="4" t="n"/>
      <c r="B977" s="4" t="n"/>
      <c r="C977" s="4" t="n"/>
      <c r="D977" s="4" t="n"/>
    </row>
    <row r="978" ht="15.75" customHeight="1" s="40">
      <c r="A978" s="4" t="n"/>
      <c r="B978" s="4" t="n"/>
      <c r="C978" s="4" t="n"/>
      <c r="D978" s="4" t="n"/>
    </row>
    <row r="979" ht="15.75" customHeight="1" s="40">
      <c r="A979" s="4" t="n"/>
      <c r="B979" s="4" t="n"/>
      <c r="C979" s="4" t="n"/>
      <c r="D979" s="4" t="n"/>
    </row>
    <row r="980" ht="15.75" customHeight="1" s="40">
      <c r="A980" s="4" t="n"/>
      <c r="B980" s="4" t="n"/>
      <c r="C980" s="4" t="n"/>
      <c r="D980" s="4" t="n"/>
    </row>
    <row r="981" ht="15.75" customHeight="1" s="40">
      <c r="A981" s="4" t="n"/>
      <c r="B981" s="4" t="n"/>
      <c r="C981" s="4" t="n"/>
      <c r="D981" s="4" t="n"/>
    </row>
    <row r="982" ht="15.75" customHeight="1" s="40">
      <c r="A982" s="4" t="n"/>
      <c r="B982" s="4" t="n"/>
      <c r="C982" s="4" t="n"/>
      <c r="D982" s="4" t="n"/>
    </row>
    <row r="983" ht="15.75" customHeight="1" s="40">
      <c r="A983" s="4" t="n"/>
      <c r="B983" s="4" t="n"/>
      <c r="C983" s="4" t="n"/>
      <c r="D983" s="4" t="n"/>
    </row>
    <row r="984" ht="15.75" customHeight="1" s="40">
      <c r="A984" s="4" t="n"/>
      <c r="B984" s="4" t="n"/>
      <c r="C984" s="4" t="n"/>
      <c r="D984" s="4" t="n"/>
    </row>
    <row r="985" ht="15.75" customHeight="1" s="40">
      <c r="A985" s="4" t="n"/>
      <c r="B985" s="4" t="n"/>
      <c r="C985" s="4" t="n"/>
      <c r="D985" s="4" t="n"/>
    </row>
    <row r="986" ht="15.75" customHeight="1" s="40">
      <c r="A986" s="4" t="n"/>
      <c r="B986" s="4" t="n"/>
      <c r="C986" s="4" t="n"/>
      <c r="D986" s="4" t="n"/>
    </row>
    <row r="987" ht="15.75" customHeight="1" s="40">
      <c r="A987" s="4" t="n"/>
      <c r="B987" s="4" t="n"/>
      <c r="C987" s="4" t="n"/>
      <c r="D987" s="4" t="n"/>
    </row>
    <row r="988" ht="15.75" customHeight="1" s="40">
      <c r="A988" s="4" t="n"/>
      <c r="B988" s="4" t="n"/>
      <c r="C988" s="4" t="n"/>
      <c r="D988" s="4" t="n"/>
    </row>
    <row r="989" ht="15.75" customHeight="1" s="40">
      <c r="A989" s="4" t="n"/>
      <c r="B989" s="4" t="n"/>
      <c r="C989" s="4" t="n"/>
      <c r="D989" s="4" t="n"/>
    </row>
    <row r="990" ht="15.75" customHeight="1" s="40">
      <c r="A990" s="4" t="n"/>
      <c r="B990" s="4" t="n"/>
      <c r="C990" s="4" t="n"/>
      <c r="D990" s="4" t="n"/>
    </row>
    <row r="991" ht="15.75" customHeight="1" s="40">
      <c r="A991" s="4" t="n"/>
      <c r="B991" s="4" t="n"/>
      <c r="C991" s="4" t="n"/>
      <c r="D991" s="4" t="n"/>
    </row>
    <row r="992" ht="15.75" customHeight="1" s="40">
      <c r="A992" s="4" t="n"/>
      <c r="B992" s="4" t="n"/>
      <c r="C992" s="4" t="n"/>
      <c r="D992" s="4" t="n"/>
    </row>
    <row r="993" ht="15.75" customHeight="1" s="40">
      <c r="A993" s="4" t="n"/>
      <c r="B993" s="4" t="n"/>
      <c r="C993" s="4" t="n"/>
      <c r="D993" s="4" t="n"/>
    </row>
    <row r="994" ht="15.75" customHeight="1" s="40">
      <c r="A994" s="4" t="n"/>
      <c r="B994" s="4" t="n"/>
      <c r="C994" s="4" t="n"/>
      <c r="D994" s="4" t="n"/>
    </row>
    <row r="995" ht="15.75" customHeight="1" s="40">
      <c r="A995" s="4" t="n"/>
      <c r="B995" s="4" t="n"/>
      <c r="C995" s="4" t="n"/>
      <c r="D995" s="4" t="n"/>
    </row>
    <row r="996" ht="15.75" customHeight="1" s="40">
      <c r="A996" s="4" t="n"/>
      <c r="B996" s="4" t="n"/>
      <c r="C996" s="4" t="n"/>
      <c r="D996" s="4" t="n"/>
    </row>
    <row r="997" ht="15.75" customHeight="1" s="40">
      <c r="A997" s="4" t="n"/>
      <c r="B997" s="4" t="n"/>
      <c r="C997" s="4" t="n"/>
      <c r="D997" s="4" t="n"/>
    </row>
    <row r="998" ht="15.75" customHeight="1" s="40">
      <c r="A998" s="4" t="n"/>
      <c r="B998" s="4" t="n"/>
      <c r="C998" s="4" t="n"/>
      <c r="D998" s="4" t="n"/>
    </row>
    <row r="999" ht="15.75" customHeight="1" s="40">
      <c r="A999" s="4" t="n"/>
      <c r="B999" s="4" t="n"/>
      <c r="C999" s="4" t="n"/>
      <c r="D999" s="4" t="n"/>
    </row>
    <row r="1000" ht="15.75" customHeight="1" s="40">
      <c r="A1000" s="4" t="n"/>
      <c r="B1000" s="4" t="n"/>
      <c r="C1000" s="4" t="n"/>
      <c r="D1000" s="4" t="n"/>
    </row>
  </sheetData>
  <autoFilter ref="$A$4:$D$28"/>
  <pageMargins left="0.75" right="0.75" top="1" bottom="1" header="0" footer="0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8" customWidth="1" style="40" min="1" max="1"/>
    <col width="54" customWidth="1" style="40" min="2" max="2"/>
    <col width="88" customWidth="1" style="40" min="3" max="3"/>
    <col width="26" customWidth="1" style="40" min="4" max="4"/>
    <col width="8" customWidth="1" style="40" min="5" max="5"/>
    <col width="8.710000000000001" customWidth="1" style="40" min="6" max="26"/>
  </cols>
  <sheetData>
    <row r="1" ht="17.25" customHeight="1" s="40">
      <c r="A1" s="3" t="inlineStr">
        <is>
          <t>验收测试场景</t>
        </is>
      </c>
      <c r="B1" s="4" t="n"/>
      <c r="C1" s="4" t="n"/>
      <c r="D1" s="4" t="n"/>
      <c r="E1" s="4" t="n"/>
    </row>
    <row r="2" ht="15" customHeight="1" s="40">
      <c r="A2" s="5" t="inlineStr">
        <is>
          <t>T1–T22 业务生命周期。T23–T33 技术与引擎故障。T34–T38 列报、尾差、金额方向与幂等性留存。每条测试对应一条具体规则，且每条都曾在真实的贸易融资系统中失败过。</t>
        </is>
      </c>
      <c r="B2" s="4" t="n"/>
      <c r="C2" s="4" t="n"/>
      <c r="D2" s="4" t="n"/>
      <c r="E2" s="4" t="n"/>
    </row>
    <row r="3">
      <c r="A3" s="4" t="n"/>
      <c r="B3" s="4" t="n"/>
      <c r="C3" s="4" t="n"/>
      <c r="D3" s="4" t="n"/>
      <c r="E3" s="4" t="n"/>
    </row>
    <row r="4" ht="30" customHeight="1" s="40">
      <c r="A4" s="10" t="inlineStr">
        <is>
          <t>编号</t>
        </is>
      </c>
      <c r="B4" s="10" t="inlineStr">
        <is>
          <t>场景</t>
        </is>
      </c>
      <c r="C4" s="10" t="inlineStr">
        <is>
          <t>断言</t>
        </is>
      </c>
      <c r="D4" s="10" t="inlineStr">
        <is>
          <t>守护规则</t>
        </is>
      </c>
      <c r="E4" s="10" t="inlineStr">
        <is>
          <t>阶段</t>
        </is>
      </c>
    </row>
    <row r="5" ht="15" customHeight="1" s="40">
      <c r="A5" s="19" t="inlineStr">
        <is>
          <t>T1</t>
        </is>
      </c>
      <c r="B5" s="21" t="inlineStr">
        <is>
          <t>LC 100k, docs 50k, sight honour, margin_pct 20%</t>
        </is>
      </c>
      <c r="C5" s="21" t="inlineStr">
        <is>
          <t>Margin applied = 10,000 NOT 20,000; residual margin 10,000 survives to expiry</t>
        </is>
      </c>
      <c r="D5" s="19" t="inlineStr">
        <is>
          <t>Pro-rata margin</t>
        </is>
      </c>
      <c r="E5" s="19" t="inlineStr">
        <is>
          <t>2</t>
        </is>
      </c>
    </row>
    <row r="6" ht="15" customHeight="1" s="40">
      <c r="A6" s="14" t="inlineStr">
        <is>
          <t>T2</t>
        </is>
      </c>
      <c r="B6" s="15" t="inlineStr">
        <is>
          <t>LC 100k, docs 50k, then expire</t>
        </is>
      </c>
      <c r="C6" s="15" t="inlineStr">
        <is>
          <t>Residual contingent 50,000 released; run date = expiry + mail_float_grace, NOT +21 days</t>
        </is>
      </c>
      <c r="D6" s="14" t="inlineStr">
        <is>
          <t>I12, I4</t>
        </is>
      </c>
      <c r="E6" s="14" t="inlineStr">
        <is>
          <t>2</t>
        </is>
      </c>
    </row>
    <row r="7" ht="15" customHeight="1" s="40">
      <c r="A7" s="19" t="inlineStr">
        <is>
          <t>T3</t>
        </is>
      </c>
      <c r="B7" s="21" t="inlineStr">
        <is>
          <t>SG 55k, covering docs 50k received</t>
        </is>
      </c>
      <c r="C7" s="21" t="inlineStr">
        <is>
          <t>Contingent UNCHANGED at 55,000; status REDEEMABLE; NO GL movement</t>
        </is>
      </c>
      <c r="D7" s="19" t="inlineStr">
        <is>
          <t>SG discharge</t>
        </is>
      </c>
      <c r="E7" s="19" t="inlineStr">
        <is>
          <t>2</t>
        </is>
      </c>
    </row>
    <row r="8" ht="15" customHeight="1" s="40">
      <c r="A8" s="14" t="inlineStr">
        <is>
          <t>T4</t>
        </is>
      </c>
      <c r="B8" s="15" t="inlineStr">
        <is>
          <t>T3 then carrier returns the original SG</t>
        </is>
      </c>
      <c r="C8" s="15" t="inlineStr">
        <is>
          <t>Contingent goes to 0. No 5,000 residual</t>
        </is>
      </c>
      <c r="D8" s="14" t="inlineStr">
        <is>
          <t>SG discharge</t>
        </is>
      </c>
      <c r="E8" s="14" t="inlineStr">
        <is>
          <t>2</t>
        </is>
      </c>
    </row>
    <row r="9" ht="23.25" customHeight="1" s="40">
      <c r="A9" s="19" t="inlineStr">
        <is>
          <t>T5</t>
        </is>
      </c>
      <c r="B9" s="21" t="inlineStr">
        <is>
          <t>SG issued against an LC, then discrepant docs presented</t>
        </is>
      </c>
      <c r="C9" s="21" t="inlineStr">
        <is>
          <t>Refusal still technically permitted; discrepancy_refusal_economically_unavailable = TRUE; covered LC portion re-weighted with ccf_source = INTERNAL_POLICY</t>
        </is>
      </c>
      <c r="D9" s="19" t="inlineStr">
        <is>
          <t>v2 §4.5</t>
        </is>
      </c>
      <c r="E9" s="19" t="inlineStr">
        <is>
          <t>2</t>
        </is>
      </c>
    </row>
    <row r="10" ht="23.25" customHeight="1" s="40">
      <c r="A10" s="14" t="inlineStr">
        <is>
          <t>T6</t>
        </is>
      </c>
      <c r="B10" s="15" t="inlineStr">
        <is>
          <t>LC_ACCEPT 50k</t>
        </is>
      </c>
      <c r="C10" s="15" t="inlineStr">
        <is>
          <t>On-BS liability AND receivable both 50,000; shadow memo present; memo EXCLUDED from balance sheet totals</t>
        </is>
      </c>
      <c r="D10" s="14" t="inlineStr">
        <is>
          <t>I6 / I18</t>
        </is>
      </c>
      <c r="E10" s="14" t="inlineStr">
        <is>
          <t>1</t>
        </is>
      </c>
    </row>
    <row r="11" ht="23.25" customHeight="1" s="40">
      <c r="A11" s="19" t="inlineStr">
        <is>
          <t>T7</t>
        </is>
      </c>
      <c r="B11" s="21" t="inlineStr">
        <is>
          <t>Attempt an amendment-decrease against an outstanding acceptance</t>
        </is>
      </c>
      <c r="C11" s="21" t="inlineStr">
        <is>
          <t>REJECTED</t>
        </is>
      </c>
      <c r="D11" s="19" t="inlineStr">
        <is>
          <t>I8</t>
        </is>
      </c>
      <c r="E11" s="19" t="inlineStr">
        <is>
          <t>2</t>
        </is>
      </c>
    </row>
    <row r="12" ht="23.25" customHeight="1" s="40">
      <c r="A12" s="14" t="inlineStr">
        <is>
          <t>T8</t>
        </is>
      </c>
      <c r="B12" s="15" t="inlineStr">
        <is>
          <t>BU honour, fundingParty = REFINANCING_BANK</t>
        </is>
      </c>
      <c r="C12" s="15" t="inlineStr">
        <is>
          <t>Applicant receivable AND DUE_TO_REFINANCING_BANK both raised; NO 180 days of interest booked on day 1</t>
        </is>
      </c>
      <c r="D12" s="14" t="inlineStr">
        <is>
          <t>v2 §3.6</t>
        </is>
      </c>
      <c r="E12" s="14" t="inlineStr">
        <is>
          <t>2</t>
        </is>
      </c>
    </row>
    <row r="13" ht="15" customHeight="1" s="40">
      <c r="A13" s="19" t="inlineStr">
        <is>
          <t>T9</t>
        </is>
      </c>
      <c r="B13" s="21" t="inlineStr">
        <is>
          <t>Attempt fundingParty = APPLICANT</t>
        </is>
      </c>
      <c r="C13" s="21" t="inlineStr">
        <is>
          <t>REJECTED at validation</t>
        </is>
      </c>
      <c r="D13" s="19" t="inlineStr">
        <is>
          <t>v2 §3.6</t>
        </is>
      </c>
      <c r="E13" s="19" t="inlineStr">
        <is>
          <t>2</t>
        </is>
      </c>
    </row>
    <row r="14" ht="15" customHeight="1" s="40">
      <c r="A14" s="14" t="inlineStr">
        <is>
          <t>T10</t>
        </is>
      </c>
      <c r="B14" s="15" t="inlineStr">
        <is>
          <t>Export LC, field 49 = MAY ADD, confirmation declined</t>
        </is>
      </c>
      <c r="C14" s="15" t="inlineStr">
        <is>
          <t>NO contingent raised</t>
        </is>
      </c>
      <c r="D14" s="14" t="inlineStr">
        <is>
          <t>I11</t>
        </is>
      </c>
      <c r="E14" s="14" t="inlineStr">
        <is>
          <t>3</t>
        </is>
      </c>
    </row>
    <row r="15" ht="15" customHeight="1" s="40">
      <c r="A15" s="19" t="inlineStr">
        <is>
          <t>T11</t>
        </is>
      </c>
      <c r="B15" s="21" t="inlineStr">
        <is>
          <t>Advise an export LC only</t>
        </is>
      </c>
      <c r="C15" s="21" t="inlineStr">
        <is>
          <t>Zero balances of every class</t>
        </is>
      </c>
      <c r="D15" s="19" t="inlineStr">
        <is>
          <t>v2 §6</t>
        </is>
      </c>
      <c r="E15" s="19" t="inlineStr">
        <is>
          <t>3</t>
        </is>
      </c>
    </row>
    <row r="16" ht="15" customHeight="1" s="40">
      <c r="A16" s="14" t="inlineStr">
        <is>
          <t>T12</t>
        </is>
      </c>
      <c r="B16" s="15" t="inlineStr">
        <is>
          <t>Unconfirmed LC negotiated 40k</t>
        </is>
      </c>
      <c r="C16" s="15" t="inlineStr">
        <is>
          <t>Asset obligor = EXPORTER, recourse = TRUE; NO confirmation release</t>
        </is>
      </c>
      <c r="D16" s="14" t="inlineStr">
        <is>
          <t>v2 §7.4b</t>
        </is>
      </c>
      <c r="E16" s="14" t="inlineStr">
        <is>
          <t>3</t>
        </is>
      </c>
    </row>
    <row r="17" ht="15" customHeight="1" s="40">
      <c r="A17" s="19" t="inlineStr">
        <is>
          <t>T13</t>
        </is>
      </c>
      <c r="B17" s="21" t="inlineStr">
        <is>
          <t>LC amended +20k, confirmation not extended</t>
        </is>
      </c>
      <c r="C17" s="21" t="inlineStr">
        <is>
          <t>lc_amount 120,000; contingent stays 100,000</t>
        </is>
      </c>
      <c r="D17" s="19" t="inlineStr">
        <is>
          <t>I13</t>
        </is>
      </c>
      <c r="E17" s="19" t="inlineStr">
        <is>
          <t>3</t>
        </is>
      </c>
    </row>
    <row r="18" ht="15" customHeight="1" s="40">
      <c r="A18" s="14" t="inlineStr">
        <is>
          <t>T14</t>
        </is>
      </c>
      <c r="B18" s="15" t="inlineStr">
        <is>
          <t>Export SU, availableWith = ISSUING_BANK, issuing bank accepts</t>
        </is>
      </c>
      <c r="C18" s="15" t="inlineStr">
        <is>
          <t>NO CNF_ACCEPT; confirmation contingent unchanged</t>
        </is>
      </c>
      <c r="D18" s="14" t="inlineStr">
        <is>
          <t>v2 §7.6</t>
        </is>
      </c>
      <c r="E18" s="14" t="inlineStr">
        <is>
          <t>3</t>
        </is>
      </c>
    </row>
    <row r="19" ht="15" customHeight="1" s="40">
      <c r="A19" s="19" t="inlineStr">
        <is>
          <t>T15</t>
        </is>
      </c>
      <c r="B19" s="21" t="inlineStr">
        <is>
          <t>Export SU, availableWith = THIS_BANK, this bank accepts</t>
        </is>
      </c>
      <c r="C19" s="21" t="inlineStr">
        <is>
          <t>On-BS liability + issuing-bank receivable raised</t>
        </is>
      </c>
      <c r="D19" s="19" t="inlineStr">
        <is>
          <t>I18</t>
        </is>
      </c>
      <c r="E19" s="19" t="inlineStr">
        <is>
          <t>3</t>
        </is>
      </c>
    </row>
    <row r="20" ht="15" customHeight="1" s="40">
      <c r="A20" s="14" t="inlineStr">
        <is>
          <t>T16</t>
        </is>
      </c>
      <c r="B20" s="15" t="inlineStr">
        <is>
          <t>Discrepant docs, 5 banking days lapse, no refusal notice</t>
        </is>
      </c>
      <c r="C20" s="15" t="inlineStr">
        <is>
          <t>LC_DOC_PRECLUDED fires UNATTENDED; a later LC_DOC_REFUSE is REJECTED</t>
        </is>
      </c>
      <c r="D20" s="14" t="inlineStr">
        <is>
          <t>v2 §3.4</t>
        </is>
      </c>
      <c r="E20" s="14" t="inlineStr">
        <is>
          <t>2</t>
        </is>
      </c>
    </row>
    <row r="21" ht="15" customHeight="1" s="40">
      <c r="A21" s="19" t="inlineStr">
        <is>
          <t>T17</t>
        </is>
      </c>
      <c r="B21" s="21" t="inlineStr">
        <is>
          <t>Paid under reserve, reserve later called</t>
        </is>
      </c>
      <c r="C21" s="21" t="inlineStr">
        <is>
          <t>Contingent REINSTATED if within validity</t>
        </is>
      </c>
      <c r="D21" s="19" t="inlineStr">
        <is>
          <t>v2 §3.4</t>
        </is>
      </c>
      <c r="E21" s="19" t="inlineStr">
        <is>
          <t>2</t>
        </is>
      </c>
    </row>
    <row r="22" ht="15" customHeight="1" s="40">
      <c r="A22" s="14" t="inlineStr">
        <is>
          <t>T18</t>
        </is>
      </c>
      <c r="B22" s="15" t="inlineStr">
        <is>
          <t>USD LC settled from a CNY account</t>
        </is>
      </c>
      <c r="C22" s="15" t="inlineStr">
        <is>
          <t>FX position pair posted; FX_REVALUATION income non-zero</t>
        </is>
      </c>
      <c r="D22" s="14" t="inlineStr">
        <is>
          <t>I14</t>
        </is>
      </c>
      <c r="E22" s="14" t="inlineStr">
        <is>
          <t>4</t>
        </is>
      </c>
    </row>
    <row r="23" ht="15" customHeight="1" s="40">
      <c r="A23" s="19" t="inlineStr">
        <is>
          <t>T19</t>
        </is>
      </c>
      <c r="B23" s="21" t="inlineStr">
        <is>
          <t>LC_AMD_TENOR with no amount change</t>
        </is>
      </c>
      <c r="C23" s="21" t="inlineStr">
        <is>
          <t>ECL_ASSESS FIRES</t>
        </is>
      </c>
      <c r="D23" s="19" t="inlineStr">
        <is>
          <t>v2 §9.3</t>
        </is>
      </c>
      <c r="E23" s="19" t="inlineStr">
        <is>
          <t>4</t>
        </is>
      </c>
    </row>
    <row r="24" ht="15" customHeight="1" s="40">
      <c r="A24" s="14" t="inlineStr">
        <is>
          <t>T20</t>
        </is>
      </c>
      <c r="B24" s="15" t="inlineStr">
        <is>
          <t>Guarantee with ifrs_scope = IFRS9_FGC</t>
        </is>
      </c>
      <c r="C24" s="15" t="inlineStr">
        <is>
          <t>Liability = HIGHER OF ECL and unamortised fee, not the sum</t>
        </is>
      </c>
      <c r="D24" s="14" t="inlineStr">
        <is>
          <t>v2 §9.3</t>
        </is>
      </c>
      <c r="E24" s="14" t="inlineStr">
        <is>
          <t>4</t>
        </is>
      </c>
    </row>
    <row r="25" ht="15" customHeight="1" s="40">
      <c r="A25" s="19" t="inlineStr">
        <is>
          <t>T21</t>
        </is>
      </c>
      <c r="B25" s="21" t="inlineStr">
        <is>
          <t>Any exposure with ccf_source = INTERNAL_POLICY</t>
        </is>
      </c>
      <c r="C25" s="21" t="inlineStr">
        <is>
          <t>Excluded from the regulatory return; included in ead_economic</t>
        </is>
      </c>
      <c r="D25" s="19" t="inlineStr">
        <is>
          <t>I10</t>
        </is>
      </c>
      <c r="E25" s="19" t="inlineStr">
        <is>
          <t>5</t>
        </is>
      </c>
    </row>
    <row r="26" ht="15" customHeight="1" s="40">
      <c r="A26" s="14" t="inlineStr">
        <is>
          <t>T22</t>
        </is>
      </c>
      <c r="B26" s="15" t="inlineStr">
        <is>
          <t>AWB release, no original document of title to return</t>
        </is>
      </c>
      <c r="C26" s="15" t="inlineStr">
        <is>
          <t>Discharges on AWB_DISCHARGE; NEVER stuck in REDEEMABLE</t>
        </is>
      </c>
      <c r="D26" s="14" t="inlineStr">
        <is>
          <t>v2 §11</t>
        </is>
      </c>
      <c r="E26" s="14" t="inlineStr">
        <is>
          <t>2</t>
        </is>
      </c>
    </row>
    <row r="27" ht="15" customHeight="1" s="40">
      <c r="A27" s="19" t="inlineStr">
        <is>
          <t>T23</t>
        </is>
      </c>
      <c r="B27" s="21" t="inlineStr">
        <is>
          <t>Duplicate LC_ISSUE, same source_ref, same payload</t>
        </is>
      </c>
      <c r="C27" s="21" t="inlineStr">
        <is>
          <t>Idempotent replay: committed result returned, BALANCES UNCHANGED, no second event row</t>
        </is>
      </c>
      <c r="D27" s="19" t="inlineStr">
        <is>
          <t>I15</t>
        </is>
      </c>
      <c r="E27" s="19" t="inlineStr">
        <is>
          <t>1</t>
        </is>
      </c>
    </row>
    <row r="28" ht="23.25" customHeight="1" s="40">
      <c r="A28" s="14" t="inlineStr">
        <is>
          <t>T24</t>
        </is>
      </c>
      <c r="B28" s="15" t="inlineStr">
        <is>
          <t>Two concurrent partial utilisations, 70k and 50k against 100k available</t>
        </is>
      </c>
      <c r="C28" s="15" t="inlineStr">
        <is>
          <t>One commits; the second gets a version conflict, reloads, and fails the business rule on the true remaining balance</t>
        </is>
      </c>
      <c r="D28" s="14" t="inlineStr">
        <is>
          <t>I16</t>
        </is>
      </c>
      <c r="E28" s="14" t="inlineStr">
        <is>
          <t>1</t>
        </is>
      </c>
    </row>
    <row r="29" ht="23.25" customHeight="1" s="40">
      <c r="A29" s="19" t="inlineStr">
        <is>
          <t>T25</t>
        </is>
      </c>
      <c r="B29" s="21" t="inlineStr">
        <is>
          <t>Transformation where the release commits and the paired create throws</t>
        </is>
      </c>
      <c r="C29" s="21" t="inlineStr">
        <is>
          <t>ENTIRE transaction rolls back. No orphan release, no half-transformed undertaking</t>
        </is>
      </c>
      <c r="D29" s="19" t="inlineStr">
        <is>
          <t>I2</t>
        </is>
      </c>
      <c r="E29" s="19" t="inlineStr">
        <is>
          <t>1</t>
        </is>
      </c>
    </row>
    <row r="30" ht="15" customHeight="1" s="40">
      <c r="A30" s="14" t="inlineStr">
        <is>
          <t>T26</t>
        </is>
      </c>
      <c r="B30" s="15" t="inlineStr">
        <is>
          <t>Posting against an unmapped (entity, balance_type, ccy, product)</t>
        </is>
      </c>
      <c r="C30" s="15" t="inlineStr">
        <is>
          <t>REJECTED before ledger commit. Never a suspense account</t>
        </is>
      </c>
      <c r="D30" s="14" t="inlineStr">
        <is>
          <t>A1 / G1</t>
        </is>
      </c>
      <c r="E30" s="14" t="inlineStr">
        <is>
          <t>1</t>
        </is>
      </c>
    </row>
    <row r="31" ht="15" customHeight="1" s="40">
      <c r="A31" s="19" t="inlineStr">
        <is>
          <t>T27</t>
        </is>
      </c>
      <c r="B31" s="21" t="inlineStr">
        <is>
          <t>Config maps a MEMO_ONLY balance to a financial GL range</t>
        </is>
      </c>
      <c r="C31" s="21" t="inlineStr">
        <is>
          <t>Configuration REJECTED AT LOAD, not at posting time</t>
        </is>
      </c>
      <c r="D31" s="19" t="inlineStr">
        <is>
          <t>I6 / A2 / G3</t>
        </is>
      </c>
      <c r="E31" s="19" t="inlineStr">
        <is>
          <t>1</t>
        </is>
      </c>
    </row>
    <row r="32" ht="23.25" customHeight="1" s="40">
      <c r="A32" s="14" t="inlineStr">
        <is>
          <t>T28</t>
        </is>
      </c>
      <c r="B32" s="15" t="inlineStr">
        <is>
          <t>Backdated reversal into an open period</t>
        </is>
      </c>
      <c r="C32" s="15" t="inlineStr">
        <is>
          <t>Original reversed against original_event_date; fee amortisation, ECL, interest and FX re-run FROM effective_date forward</t>
        </is>
      </c>
      <c r="D32" s="14" t="inlineStr">
        <is>
          <t>spec §5.4</t>
        </is>
      </c>
      <c r="E32" s="14" t="inlineStr">
        <is>
          <t>4</t>
        </is>
      </c>
    </row>
    <row r="33" ht="15" customHeight="1" s="40">
      <c r="A33" s="19" t="inlineStr">
        <is>
          <t>T29</t>
        </is>
      </c>
      <c r="B33" s="21" t="inlineStr">
        <is>
          <t>GL mapping version changed after posting</t>
        </is>
      </c>
      <c r="C33" s="21" t="inlineStr">
        <is>
          <t>Historical events retain the mapping version in force at their booking date</t>
        </is>
      </c>
      <c r="D33" s="19" t="inlineStr">
        <is>
          <t>A6</t>
        </is>
      </c>
      <c r="E33" s="19" t="inlineStr">
        <is>
          <t>1</t>
        </is>
      </c>
    </row>
    <row r="34" ht="23.25" customHeight="1" s="40">
      <c r="A34" s="14" t="inlineStr">
        <is>
          <t>T30</t>
        </is>
      </c>
      <c r="B34" s="15" t="inlineStr">
        <is>
          <t>Amounts requiring rounding at currency precision (JPY 0dp, KWD 3dp)</t>
        </is>
      </c>
      <c r="C34" s="15" t="inlineStr">
        <is>
          <t>Dr and Cr reconcile AT THE CURRENCY'S PRECISION; residual rounding lands on a designated leg, never silently dropped</t>
        </is>
      </c>
      <c r="D34" s="14" t="inlineStr">
        <is>
          <t>I1A</t>
        </is>
      </c>
      <c r="E34" s="14" t="inlineStr">
        <is>
          <t>1</t>
        </is>
      </c>
    </row>
    <row r="35" ht="15" customHeight="1" s="40">
      <c r="A35" s="19" t="inlineStr">
        <is>
          <t>T31</t>
        </is>
      </c>
      <c r="B35" s="21" t="inlineStr">
        <is>
          <t>Same source_ref, DIFFERENT amount</t>
        </is>
      </c>
      <c r="C35" s="21" t="inlineStr">
        <is>
          <t>DUPLICATE_REF_PAYLOAD_MISMATCH hard error. Not idempotent success, not an overwrite</t>
        </is>
      </c>
      <c r="D35" s="19" t="inlineStr">
        <is>
          <t>I15</t>
        </is>
      </c>
      <c r="E35" s="19" t="inlineStr">
        <is>
          <t>1</t>
        </is>
      </c>
    </row>
    <row r="36" ht="15" customHeight="1" s="40">
      <c r="A36" s="14" t="inlineStr">
        <is>
          <t>T32</t>
        </is>
      </c>
      <c r="B36" s="15" t="inlineStr">
        <is>
          <t>CNF_ADD message replayed</t>
        </is>
      </c>
      <c r="C36" s="15" t="inlineStr">
        <is>
          <t>Confirmation contingent NOT doubled</t>
        </is>
      </c>
      <c r="D36" s="14" t="inlineStr">
        <is>
          <t>I15 / I11</t>
        </is>
      </c>
      <c r="E36" s="14" t="inlineStr">
        <is>
          <t>3</t>
        </is>
      </c>
    </row>
    <row r="37" ht="23.25" customHeight="1" s="40">
      <c r="A37" s="19" t="inlineStr">
        <is>
          <t>T33</t>
        </is>
      </c>
      <c r="B37" s="21" t="inlineStr">
        <is>
          <t>System LC_DOC_PRECLUDED races an operator LC_DOC_REFUSE at the deadline boundary</t>
        </is>
      </c>
      <c r="C37" s="21" t="inlineStr">
        <is>
          <t>EXACTLY ONE outcome wins, deterministically, on the business-date clock; the loser is recorded as rejected with a reason, not silently discarded</t>
        </is>
      </c>
      <c r="D37" s="19" t="inlineStr">
        <is>
          <t>I16 / spec §3.4</t>
        </is>
      </c>
      <c r="E37" s="19" t="inlineStr">
        <is>
          <t>2</t>
        </is>
      </c>
    </row>
    <row r="38" ht="23.25" customHeight="1" s="40">
      <c r="A38" s="14" t="inlineStr">
        <is>
          <t>T34</t>
        </is>
      </c>
      <c r="B38" s="15" t="inlineStr">
        <is>
          <t>presentation_treatment = NET_IF_ELIGIBLE, but the set-off right is not enforceable in insolvency</t>
        </is>
      </c>
      <c r="C38" s="15" t="inlineStr">
        <is>
          <t>Presents GROSS. Not net, and NOT an error</t>
        </is>
      </c>
      <c r="D38" s="14" t="inlineStr">
        <is>
          <t>I19</t>
        </is>
      </c>
      <c r="E38" s="14" t="inlineStr">
        <is>
          <t>4</t>
        </is>
      </c>
    </row>
    <row r="39" ht="15" customHeight="1" s="40">
      <c r="A39" s="19" t="inlineStr">
        <is>
          <t>T35</t>
        </is>
      </c>
      <c r="B39" s="21" t="inlineStr">
        <is>
          <t>Nostro goes into overdraft at reporting date</t>
        </is>
      </c>
      <c r="C39" s="21" t="inlineStr">
        <is>
          <t>Presented as a LIABILITY by sign; the ledger balance and balance_class are unchanged</t>
        </is>
      </c>
      <c r="D39" s="19" t="inlineStr">
        <is>
          <t>D6 / spec §2.5</t>
        </is>
      </c>
      <c r="E39" s="19" t="inlineStr">
        <is>
          <t>4</t>
        </is>
      </c>
    </row>
    <row r="40" ht="23.25" customHeight="1" s="40">
      <c r="A40" s="14" t="inlineStr">
        <is>
          <t>T36</t>
        </is>
      </c>
      <c r="B40" s="15" t="inlineStr">
        <is>
          <t>Pro-rata margin apportionment producing a residual in a 0dp currency (JPY)</t>
        </is>
      </c>
      <c r="C40" s="15" t="inlineStr">
        <is>
          <t>Residual posted to rounding_residual_account IN THE SAME JOURNAL; I1A passes on rounded amounts</t>
        </is>
      </c>
      <c r="D40" s="14" t="inlineStr">
        <is>
          <t>I20 / I21</t>
        </is>
      </c>
      <c r="E40" s="14" t="inlineStr">
        <is>
          <t>1</t>
        </is>
      </c>
    </row>
    <row r="41" ht="23.25" customHeight="1" s="40">
      <c r="A41" s="19" t="inlineStr">
        <is>
          <t>T37</t>
        </is>
      </c>
      <c r="B41" s="21" t="inlineStr">
        <is>
          <t>LC_AMD_DEC submitted with event.amount = -20,000</t>
        </is>
      </c>
      <c r="C41" s="21" t="inlineStr">
        <is>
          <t>Basis resolves to MAGNITUDE 20,000; movement = DECREASE alone sets direction; contingent FALLS by 20,000, never rises</t>
        </is>
      </c>
      <c r="D41" s="19" t="inlineStr">
        <is>
          <t>I22 / G13</t>
        </is>
      </c>
      <c r="E41" s="19" t="inlineStr">
        <is>
          <t>1</t>
        </is>
      </c>
    </row>
    <row r="42" ht="23.25" customHeight="1" s="40">
      <c r="A42" s="14" t="inlineStr">
        <is>
          <t>T38</t>
        </is>
      </c>
      <c r="B42" s="15" t="inlineStr">
        <is>
          <t>MT707 replayed on DAY 95, past idempotency_hot_lookup_days</t>
        </is>
      </c>
      <c r="C42" s="15" t="inlineStr">
        <is>
          <t>Hot cache misses, PERMANENT registry hits; recognised as a replay, balances unchanged. Never treated as unseen</t>
        </is>
      </c>
      <c r="D42" s="14" t="inlineStr">
        <is>
          <t>I15 / G14</t>
        </is>
      </c>
      <c r="E42" s="14" t="inlineStr">
        <is>
          <t>1</t>
        </is>
      </c>
    </row>
    <row r="43" ht="15.75" customHeight="1" s="40">
      <c r="A43" s="4" t="n"/>
      <c r="B43" s="4" t="n"/>
      <c r="C43" s="4" t="n"/>
      <c r="D43" s="4" t="n"/>
      <c r="E43" s="4" t="n"/>
    </row>
    <row r="44" ht="15.75" customHeight="1" s="40">
      <c r="A44" s="4" t="n"/>
      <c r="B44" s="4" t="n"/>
      <c r="C44" s="4" t="n"/>
      <c r="D44" s="4" t="n"/>
      <c r="E44" s="4" t="n"/>
    </row>
    <row r="45" ht="15.75" customHeight="1" s="40">
      <c r="A45" s="4" t="n"/>
      <c r="B45" s="4" t="n"/>
      <c r="C45" s="4" t="n"/>
      <c r="D45" s="4" t="n"/>
      <c r="E45" s="4" t="n"/>
    </row>
    <row r="46" ht="15.75" customHeight="1" s="40">
      <c r="A46" s="4" t="n"/>
      <c r="B46" s="4" t="n"/>
      <c r="C46" s="4" t="n"/>
      <c r="D46" s="4" t="n"/>
      <c r="E46" s="4" t="n"/>
    </row>
    <row r="47" ht="15.75" customHeight="1" s="40">
      <c r="A47" s="4" t="n"/>
      <c r="B47" s="4" t="n"/>
      <c r="C47" s="4" t="n"/>
      <c r="D47" s="4" t="n"/>
      <c r="E47" s="4" t="n"/>
    </row>
    <row r="48" ht="15.75" customHeight="1" s="40">
      <c r="A48" s="4" t="n"/>
      <c r="B48" s="4" t="n"/>
      <c r="C48" s="4" t="n"/>
      <c r="D48" s="4" t="n"/>
      <c r="E48" s="4" t="n"/>
    </row>
    <row r="49" ht="15.75" customHeight="1" s="40">
      <c r="A49" s="4" t="n"/>
      <c r="B49" s="4" t="n"/>
      <c r="C49" s="4" t="n"/>
      <c r="D49" s="4" t="n"/>
      <c r="E49" s="4" t="n"/>
    </row>
    <row r="50" ht="15.75" customHeight="1" s="40">
      <c r="A50" s="4" t="n"/>
      <c r="B50" s="4" t="n"/>
      <c r="C50" s="4" t="n"/>
      <c r="D50" s="4" t="n"/>
      <c r="E50" s="4" t="n"/>
    </row>
    <row r="51" ht="15.75" customHeight="1" s="40">
      <c r="A51" s="4" t="n"/>
      <c r="B51" s="4" t="n"/>
      <c r="C51" s="4" t="n"/>
      <c r="D51" s="4" t="n"/>
      <c r="E51" s="4" t="n"/>
    </row>
    <row r="52" ht="15.75" customHeight="1" s="40">
      <c r="A52" s="4" t="n"/>
      <c r="B52" s="4" t="n"/>
      <c r="C52" s="4" t="n"/>
      <c r="D52" s="4" t="n"/>
      <c r="E52" s="4" t="n"/>
    </row>
    <row r="53" ht="15.75" customHeight="1" s="40">
      <c r="A53" s="4" t="n"/>
      <c r="B53" s="4" t="n"/>
      <c r="C53" s="4" t="n"/>
      <c r="D53" s="4" t="n"/>
      <c r="E53" s="4" t="n"/>
    </row>
    <row r="54" ht="15.75" customHeight="1" s="40">
      <c r="A54" s="4" t="n"/>
      <c r="B54" s="4" t="n"/>
      <c r="C54" s="4" t="n"/>
      <c r="D54" s="4" t="n"/>
      <c r="E54" s="4" t="n"/>
    </row>
    <row r="55" ht="15.75" customHeight="1" s="40">
      <c r="A55" s="4" t="n"/>
      <c r="B55" s="4" t="n"/>
      <c r="C55" s="4" t="n"/>
      <c r="D55" s="4" t="n"/>
      <c r="E55" s="4" t="n"/>
    </row>
    <row r="56" ht="15.75" customHeight="1" s="40">
      <c r="A56" s="4" t="n"/>
      <c r="B56" s="4" t="n"/>
      <c r="C56" s="4" t="n"/>
      <c r="D56" s="4" t="n"/>
      <c r="E56" s="4" t="n"/>
    </row>
    <row r="57" ht="15.75" customHeight="1" s="40">
      <c r="A57" s="4" t="n"/>
      <c r="B57" s="4" t="n"/>
      <c r="C57" s="4" t="n"/>
      <c r="D57" s="4" t="n"/>
      <c r="E57" s="4" t="n"/>
    </row>
    <row r="58" ht="15.75" customHeight="1" s="40">
      <c r="A58" s="4" t="n"/>
      <c r="B58" s="4" t="n"/>
      <c r="C58" s="4" t="n"/>
      <c r="D58" s="4" t="n"/>
      <c r="E58" s="4" t="n"/>
    </row>
    <row r="59" ht="15.75" customHeight="1" s="40">
      <c r="A59" s="4" t="n"/>
      <c r="B59" s="4" t="n"/>
      <c r="C59" s="4" t="n"/>
      <c r="D59" s="4" t="n"/>
      <c r="E59" s="4" t="n"/>
    </row>
    <row r="60" ht="15.75" customHeight="1" s="40">
      <c r="A60" s="4" t="n"/>
      <c r="B60" s="4" t="n"/>
      <c r="C60" s="4" t="n"/>
      <c r="D60" s="4" t="n"/>
      <c r="E60" s="4" t="n"/>
    </row>
    <row r="61" ht="15.75" customHeight="1" s="40">
      <c r="A61" s="4" t="n"/>
      <c r="B61" s="4" t="n"/>
      <c r="C61" s="4" t="n"/>
      <c r="D61" s="4" t="n"/>
      <c r="E61" s="4" t="n"/>
    </row>
    <row r="62" ht="15.75" customHeight="1" s="40">
      <c r="A62" s="4" t="n"/>
      <c r="B62" s="4" t="n"/>
      <c r="C62" s="4" t="n"/>
      <c r="D62" s="4" t="n"/>
      <c r="E62" s="4" t="n"/>
    </row>
    <row r="63" ht="15.75" customHeight="1" s="40">
      <c r="A63" s="4" t="n"/>
      <c r="B63" s="4" t="n"/>
      <c r="C63" s="4" t="n"/>
      <c r="D63" s="4" t="n"/>
      <c r="E63" s="4" t="n"/>
    </row>
    <row r="64" ht="15.75" customHeight="1" s="40">
      <c r="A64" s="4" t="n"/>
      <c r="B64" s="4" t="n"/>
      <c r="C64" s="4" t="n"/>
      <c r="D64" s="4" t="n"/>
      <c r="E64" s="4" t="n"/>
    </row>
    <row r="65" ht="15.75" customHeight="1" s="40">
      <c r="A65" s="4" t="n"/>
      <c r="B65" s="4" t="n"/>
      <c r="C65" s="4" t="n"/>
      <c r="D65" s="4" t="n"/>
      <c r="E65" s="4" t="n"/>
    </row>
    <row r="66" ht="15.75" customHeight="1" s="40">
      <c r="A66" s="4" t="n"/>
      <c r="B66" s="4" t="n"/>
      <c r="C66" s="4" t="n"/>
      <c r="D66" s="4" t="n"/>
      <c r="E66" s="4" t="n"/>
    </row>
    <row r="67" ht="15.75" customHeight="1" s="40">
      <c r="A67" s="4" t="n"/>
      <c r="B67" s="4" t="n"/>
      <c r="C67" s="4" t="n"/>
      <c r="D67" s="4" t="n"/>
      <c r="E67" s="4" t="n"/>
    </row>
    <row r="68" ht="15.75" customHeight="1" s="40">
      <c r="A68" s="4" t="n"/>
      <c r="B68" s="4" t="n"/>
      <c r="C68" s="4" t="n"/>
      <c r="D68" s="4" t="n"/>
      <c r="E68" s="4" t="n"/>
    </row>
    <row r="69" ht="15.75" customHeight="1" s="40">
      <c r="A69" s="4" t="n"/>
      <c r="B69" s="4" t="n"/>
      <c r="C69" s="4" t="n"/>
      <c r="D69" s="4" t="n"/>
      <c r="E69" s="4" t="n"/>
    </row>
    <row r="70" ht="15.75" customHeight="1" s="40">
      <c r="A70" s="4" t="n"/>
      <c r="B70" s="4" t="n"/>
      <c r="C70" s="4" t="n"/>
      <c r="D70" s="4" t="n"/>
      <c r="E70" s="4" t="n"/>
    </row>
    <row r="71" ht="15.75" customHeight="1" s="40">
      <c r="A71" s="4" t="n"/>
      <c r="B71" s="4" t="n"/>
      <c r="C71" s="4" t="n"/>
      <c r="D71" s="4" t="n"/>
      <c r="E71" s="4" t="n"/>
    </row>
    <row r="72" ht="15.75" customHeight="1" s="40">
      <c r="A72" s="4" t="n"/>
      <c r="B72" s="4" t="n"/>
      <c r="C72" s="4" t="n"/>
      <c r="D72" s="4" t="n"/>
      <c r="E72" s="4" t="n"/>
    </row>
    <row r="73" ht="15.75" customHeight="1" s="40">
      <c r="A73" s="4" t="n"/>
      <c r="B73" s="4" t="n"/>
      <c r="C73" s="4" t="n"/>
      <c r="D73" s="4" t="n"/>
      <c r="E73" s="4" t="n"/>
    </row>
    <row r="74" ht="15.75" customHeight="1" s="40">
      <c r="A74" s="4" t="n"/>
      <c r="B74" s="4" t="n"/>
      <c r="C74" s="4" t="n"/>
      <c r="D74" s="4" t="n"/>
      <c r="E74" s="4" t="n"/>
    </row>
    <row r="75" ht="15.75" customHeight="1" s="40">
      <c r="A75" s="4" t="n"/>
      <c r="B75" s="4" t="n"/>
      <c r="C75" s="4" t="n"/>
      <c r="D75" s="4" t="n"/>
      <c r="E75" s="4" t="n"/>
    </row>
    <row r="76" ht="15.75" customHeight="1" s="40">
      <c r="A76" s="4" t="n"/>
      <c r="B76" s="4" t="n"/>
      <c r="C76" s="4" t="n"/>
      <c r="D76" s="4" t="n"/>
      <c r="E76" s="4" t="n"/>
    </row>
    <row r="77" ht="15.75" customHeight="1" s="40">
      <c r="A77" s="4" t="n"/>
      <c r="B77" s="4" t="n"/>
      <c r="C77" s="4" t="n"/>
      <c r="D77" s="4" t="n"/>
      <c r="E77" s="4" t="n"/>
    </row>
    <row r="78" ht="15.75" customHeight="1" s="40">
      <c r="A78" s="4" t="n"/>
      <c r="B78" s="4" t="n"/>
      <c r="C78" s="4" t="n"/>
      <c r="D78" s="4" t="n"/>
      <c r="E78" s="4" t="n"/>
    </row>
    <row r="79" ht="15.75" customHeight="1" s="40">
      <c r="A79" s="4" t="n"/>
      <c r="B79" s="4" t="n"/>
      <c r="C79" s="4" t="n"/>
      <c r="D79" s="4" t="n"/>
      <c r="E79" s="4" t="n"/>
    </row>
    <row r="80" ht="15.75" customHeight="1" s="40">
      <c r="A80" s="4" t="n"/>
      <c r="B80" s="4" t="n"/>
      <c r="C80" s="4" t="n"/>
      <c r="D80" s="4" t="n"/>
      <c r="E80" s="4" t="n"/>
    </row>
    <row r="81" ht="15.75" customHeight="1" s="40">
      <c r="A81" s="4" t="n"/>
      <c r="B81" s="4" t="n"/>
      <c r="C81" s="4" t="n"/>
      <c r="D81" s="4" t="n"/>
      <c r="E81" s="4" t="n"/>
    </row>
    <row r="82" ht="15.75" customHeight="1" s="40">
      <c r="A82" s="4" t="n"/>
      <c r="B82" s="4" t="n"/>
      <c r="C82" s="4" t="n"/>
      <c r="D82" s="4" t="n"/>
      <c r="E82" s="4" t="n"/>
    </row>
    <row r="83" ht="15.75" customHeight="1" s="40">
      <c r="A83" s="4" t="n"/>
      <c r="B83" s="4" t="n"/>
      <c r="C83" s="4" t="n"/>
      <c r="D83" s="4" t="n"/>
      <c r="E83" s="4" t="n"/>
    </row>
    <row r="84" ht="15.75" customHeight="1" s="40">
      <c r="A84" s="4" t="n"/>
      <c r="B84" s="4" t="n"/>
      <c r="C84" s="4" t="n"/>
      <c r="D84" s="4" t="n"/>
      <c r="E84" s="4" t="n"/>
    </row>
    <row r="85" ht="15.75" customHeight="1" s="40">
      <c r="A85" s="4" t="n"/>
      <c r="B85" s="4" t="n"/>
      <c r="C85" s="4" t="n"/>
      <c r="D85" s="4" t="n"/>
      <c r="E85" s="4" t="n"/>
    </row>
    <row r="86" ht="15.75" customHeight="1" s="40">
      <c r="A86" s="4" t="n"/>
      <c r="B86" s="4" t="n"/>
      <c r="C86" s="4" t="n"/>
      <c r="D86" s="4" t="n"/>
      <c r="E86" s="4" t="n"/>
    </row>
    <row r="87" ht="15.75" customHeight="1" s="40">
      <c r="A87" s="4" t="n"/>
      <c r="B87" s="4" t="n"/>
      <c r="C87" s="4" t="n"/>
      <c r="D87" s="4" t="n"/>
      <c r="E87" s="4" t="n"/>
    </row>
    <row r="88" ht="15.75" customHeight="1" s="40">
      <c r="A88" s="4" t="n"/>
      <c r="B88" s="4" t="n"/>
      <c r="C88" s="4" t="n"/>
      <c r="D88" s="4" t="n"/>
      <c r="E88" s="4" t="n"/>
    </row>
    <row r="89" ht="15.75" customHeight="1" s="40">
      <c r="A89" s="4" t="n"/>
      <c r="B89" s="4" t="n"/>
      <c r="C89" s="4" t="n"/>
      <c r="D89" s="4" t="n"/>
      <c r="E89" s="4" t="n"/>
    </row>
    <row r="90" ht="15.75" customHeight="1" s="40">
      <c r="A90" s="4" t="n"/>
      <c r="B90" s="4" t="n"/>
      <c r="C90" s="4" t="n"/>
      <c r="D90" s="4" t="n"/>
      <c r="E90" s="4" t="n"/>
    </row>
    <row r="91" ht="15.75" customHeight="1" s="40">
      <c r="A91" s="4" t="n"/>
      <c r="B91" s="4" t="n"/>
      <c r="C91" s="4" t="n"/>
      <c r="D91" s="4" t="n"/>
      <c r="E91" s="4" t="n"/>
    </row>
    <row r="92" ht="15.75" customHeight="1" s="40">
      <c r="A92" s="4" t="n"/>
      <c r="B92" s="4" t="n"/>
      <c r="C92" s="4" t="n"/>
      <c r="D92" s="4" t="n"/>
      <c r="E92" s="4" t="n"/>
    </row>
    <row r="93" ht="15.75" customHeight="1" s="40">
      <c r="A93" s="4" t="n"/>
      <c r="B93" s="4" t="n"/>
      <c r="C93" s="4" t="n"/>
      <c r="D93" s="4" t="n"/>
      <c r="E93" s="4" t="n"/>
    </row>
    <row r="94" ht="15.75" customHeight="1" s="40">
      <c r="A94" s="4" t="n"/>
      <c r="B94" s="4" t="n"/>
      <c r="C94" s="4" t="n"/>
      <c r="D94" s="4" t="n"/>
      <c r="E94" s="4" t="n"/>
    </row>
    <row r="95" ht="15.75" customHeight="1" s="40">
      <c r="A95" s="4" t="n"/>
      <c r="B95" s="4" t="n"/>
      <c r="C95" s="4" t="n"/>
      <c r="D95" s="4" t="n"/>
      <c r="E95" s="4" t="n"/>
    </row>
    <row r="96" ht="15.75" customHeight="1" s="40">
      <c r="A96" s="4" t="n"/>
      <c r="B96" s="4" t="n"/>
      <c r="C96" s="4" t="n"/>
      <c r="D96" s="4" t="n"/>
      <c r="E96" s="4" t="n"/>
    </row>
    <row r="97" ht="15.75" customHeight="1" s="40">
      <c r="A97" s="4" t="n"/>
      <c r="B97" s="4" t="n"/>
      <c r="C97" s="4" t="n"/>
      <c r="D97" s="4" t="n"/>
      <c r="E97" s="4" t="n"/>
    </row>
    <row r="98" ht="15.75" customHeight="1" s="40">
      <c r="A98" s="4" t="n"/>
      <c r="B98" s="4" t="n"/>
      <c r="C98" s="4" t="n"/>
      <c r="D98" s="4" t="n"/>
      <c r="E98" s="4" t="n"/>
    </row>
    <row r="99" ht="15.75" customHeight="1" s="40">
      <c r="A99" s="4" t="n"/>
      <c r="B99" s="4" t="n"/>
      <c r="C99" s="4" t="n"/>
      <c r="D99" s="4" t="n"/>
      <c r="E99" s="4" t="n"/>
    </row>
    <row r="100" ht="15.75" customHeight="1" s="40">
      <c r="A100" s="4" t="n"/>
      <c r="B100" s="4" t="n"/>
      <c r="C100" s="4" t="n"/>
      <c r="D100" s="4" t="n"/>
      <c r="E100" s="4" t="n"/>
    </row>
    <row r="101" ht="15.75" customHeight="1" s="40">
      <c r="A101" s="4" t="n"/>
      <c r="B101" s="4" t="n"/>
      <c r="C101" s="4" t="n"/>
      <c r="D101" s="4" t="n"/>
      <c r="E101" s="4" t="n"/>
    </row>
    <row r="102" ht="15.75" customHeight="1" s="40">
      <c r="A102" s="4" t="n"/>
      <c r="B102" s="4" t="n"/>
      <c r="C102" s="4" t="n"/>
      <c r="D102" s="4" t="n"/>
      <c r="E102" s="4" t="n"/>
    </row>
    <row r="103" ht="15.75" customHeight="1" s="40">
      <c r="A103" s="4" t="n"/>
      <c r="B103" s="4" t="n"/>
      <c r="C103" s="4" t="n"/>
      <c r="D103" s="4" t="n"/>
      <c r="E103" s="4" t="n"/>
    </row>
    <row r="104" ht="15.75" customHeight="1" s="40">
      <c r="A104" s="4" t="n"/>
      <c r="B104" s="4" t="n"/>
      <c r="C104" s="4" t="n"/>
      <c r="D104" s="4" t="n"/>
      <c r="E104" s="4" t="n"/>
    </row>
    <row r="105" ht="15.75" customHeight="1" s="40">
      <c r="A105" s="4" t="n"/>
      <c r="B105" s="4" t="n"/>
      <c r="C105" s="4" t="n"/>
      <c r="D105" s="4" t="n"/>
      <c r="E105" s="4" t="n"/>
    </row>
    <row r="106" ht="15.75" customHeight="1" s="40">
      <c r="A106" s="4" t="n"/>
      <c r="B106" s="4" t="n"/>
      <c r="C106" s="4" t="n"/>
      <c r="D106" s="4" t="n"/>
      <c r="E106" s="4" t="n"/>
    </row>
    <row r="107" ht="15.75" customHeight="1" s="40">
      <c r="A107" s="4" t="n"/>
      <c r="B107" s="4" t="n"/>
      <c r="C107" s="4" t="n"/>
      <c r="D107" s="4" t="n"/>
      <c r="E107" s="4" t="n"/>
    </row>
    <row r="108" ht="15.75" customHeight="1" s="40">
      <c r="A108" s="4" t="n"/>
      <c r="B108" s="4" t="n"/>
      <c r="C108" s="4" t="n"/>
      <c r="D108" s="4" t="n"/>
      <c r="E108" s="4" t="n"/>
    </row>
    <row r="109" ht="15.75" customHeight="1" s="40">
      <c r="A109" s="4" t="n"/>
      <c r="B109" s="4" t="n"/>
      <c r="C109" s="4" t="n"/>
      <c r="D109" s="4" t="n"/>
      <c r="E109" s="4" t="n"/>
    </row>
    <row r="110" ht="15.75" customHeight="1" s="40">
      <c r="A110" s="4" t="n"/>
      <c r="B110" s="4" t="n"/>
      <c r="C110" s="4" t="n"/>
      <c r="D110" s="4" t="n"/>
      <c r="E110" s="4" t="n"/>
    </row>
    <row r="111" ht="15.75" customHeight="1" s="40">
      <c r="A111" s="4" t="n"/>
      <c r="B111" s="4" t="n"/>
      <c r="C111" s="4" t="n"/>
      <c r="D111" s="4" t="n"/>
      <c r="E111" s="4" t="n"/>
    </row>
    <row r="112" ht="15.75" customHeight="1" s="40">
      <c r="A112" s="4" t="n"/>
      <c r="B112" s="4" t="n"/>
      <c r="C112" s="4" t="n"/>
      <c r="D112" s="4" t="n"/>
      <c r="E112" s="4" t="n"/>
    </row>
    <row r="113" ht="15.75" customHeight="1" s="40">
      <c r="A113" s="4" t="n"/>
      <c r="B113" s="4" t="n"/>
      <c r="C113" s="4" t="n"/>
      <c r="D113" s="4" t="n"/>
      <c r="E113" s="4" t="n"/>
    </row>
    <row r="114" ht="15.75" customHeight="1" s="40">
      <c r="A114" s="4" t="n"/>
      <c r="B114" s="4" t="n"/>
      <c r="C114" s="4" t="n"/>
      <c r="D114" s="4" t="n"/>
      <c r="E114" s="4" t="n"/>
    </row>
    <row r="115" ht="15.75" customHeight="1" s="40">
      <c r="A115" s="4" t="n"/>
      <c r="B115" s="4" t="n"/>
      <c r="C115" s="4" t="n"/>
      <c r="D115" s="4" t="n"/>
      <c r="E115" s="4" t="n"/>
    </row>
    <row r="116" ht="15.75" customHeight="1" s="40">
      <c r="A116" s="4" t="n"/>
      <c r="B116" s="4" t="n"/>
      <c r="C116" s="4" t="n"/>
      <c r="D116" s="4" t="n"/>
      <c r="E116" s="4" t="n"/>
    </row>
    <row r="117" ht="15.75" customHeight="1" s="40">
      <c r="A117" s="4" t="n"/>
      <c r="B117" s="4" t="n"/>
      <c r="C117" s="4" t="n"/>
      <c r="D117" s="4" t="n"/>
      <c r="E117" s="4" t="n"/>
    </row>
    <row r="118" ht="15.75" customHeight="1" s="40">
      <c r="A118" s="4" t="n"/>
      <c r="B118" s="4" t="n"/>
      <c r="C118" s="4" t="n"/>
      <c r="D118" s="4" t="n"/>
      <c r="E118" s="4" t="n"/>
    </row>
    <row r="119" ht="15.75" customHeight="1" s="40">
      <c r="A119" s="4" t="n"/>
      <c r="B119" s="4" t="n"/>
      <c r="C119" s="4" t="n"/>
      <c r="D119" s="4" t="n"/>
      <c r="E119" s="4" t="n"/>
    </row>
    <row r="120" ht="15.75" customHeight="1" s="40">
      <c r="A120" s="4" t="n"/>
      <c r="B120" s="4" t="n"/>
      <c r="C120" s="4" t="n"/>
      <c r="D120" s="4" t="n"/>
      <c r="E120" s="4" t="n"/>
    </row>
    <row r="121" ht="15.75" customHeight="1" s="40">
      <c r="A121" s="4" t="n"/>
      <c r="B121" s="4" t="n"/>
      <c r="C121" s="4" t="n"/>
      <c r="D121" s="4" t="n"/>
      <c r="E121" s="4" t="n"/>
    </row>
    <row r="122" ht="15.75" customHeight="1" s="40">
      <c r="A122" s="4" t="n"/>
      <c r="B122" s="4" t="n"/>
      <c r="C122" s="4" t="n"/>
      <c r="D122" s="4" t="n"/>
      <c r="E122" s="4" t="n"/>
    </row>
    <row r="123" ht="15.75" customHeight="1" s="40">
      <c r="A123" s="4" t="n"/>
      <c r="B123" s="4" t="n"/>
      <c r="C123" s="4" t="n"/>
      <c r="D123" s="4" t="n"/>
      <c r="E123" s="4" t="n"/>
    </row>
    <row r="124" ht="15.75" customHeight="1" s="40">
      <c r="A124" s="4" t="n"/>
      <c r="B124" s="4" t="n"/>
      <c r="C124" s="4" t="n"/>
      <c r="D124" s="4" t="n"/>
      <c r="E124" s="4" t="n"/>
    </row>
    <row r="125" ht="15.75" customHeight="1" s="40">
      <c r="A125" s="4" t="n"/>
      <c r="B125" s="4" t="n"/>
      <c r="C125" s="4" t="n"/>
      <c r="D125" s="4" t="n"/>
      <c r="E125" s="4" t="n"/>
    </row>
    <row r="126" ht="15.75" customHeight="1" s="40">
      <c r="A126" s="4" t="n"/>
      <c r="B126" s="4" t="n"/>
      <c r="C126" s="4" t="n"/>
      <c r="D126" s="4" t="n"/>
      <c r="E126" s="4" t="n"/>
    </row>
    <row r="127" ht="15.75" customHeight="1" s="40">
      <c r="A127" s="4" t="n"/>
      <c r="B127" s="4" t="n"/>
      <c r="C127" s="4" t="n"/>
      <c r="D127" s="4" t="n"/>
      <c r="E127" s="4" t="n"/>
    </row>
    <row r="128" ht="15.75" customHeight="1" s="40">
      <c r="A128" s="4" t="n"/>
      <c r="B128" s="4" t="n"/>
      <c r="C128" s="4" t="n"/>
      <c r="D128" s="4" t="n"/>
      <c r="E128" s="4" t="n"/>
    </row>
    <row r="129" ht="15.75" customHeight="1" s="40">
      <c r="A129" s="4" t="n"/>
      <c r="B129" s="4" t="n"/>
      <c r="C129" s="4" t="n"/>
      <c r="D129" s="4" t="n"/>
      <c r="E129" s="4" t="n"/>
    </row>
    <row r="130" ht="15.75" customHeight="1" s="40">
      <c r="A130" s="4" t="n"/>
      <c r="B130" s="4" t="n"/>
      <c r="C130" s="4" t="n"/>
      <c r="D130" s="4" t="n"/>
      <c r="E130" s="4" t="n"/>
    </row>
    <row r="131" ht="15.75" customHeight="1" s="40">
      <c r="A131" s="4" t="n"/>
      <c r="B131" s="4" t="n"/>
      <c r="C131" s="4" t="n"/>
      <c r="D131" s="4" t="n"/>
      <c r="E131" s="4" t="n"/>
    </row>
    <row r="132" ht="15.75" customHeight="1" s="40">
      <c r="A132" s="4" t="n"/>
      <c r="B132" s="4" t="n"/>
      <c r="C132" s="4" t="n"/>
      <c r="D132" s="4" t="n"/>
      <c r="E132" s="4" t="n"/>
    </row>
    <row r="133" ht="15.75" customHeight="1" s="40">
      <c r="A133" s="4" t="n"/>
      <c r="B133" s="4" t="n"/>
      <c r="C133" s="4" t="n"/>
      <c r="D133" s="4" t="n"/>
      <c r="E133" s="4" t="n"/>
    </row>
    <row r="134" ht="15.75" customHeight="1" s="40">
      <c r="A134" s="4" t="n"/>
      <c r="B134" s="4" t="n"/>
      <c r="C134" s="4" t="n"/>
      <c r="D134" s="4" t="n"/>
      <c r="E134" s="4" t="n"/>
    </row>
    <row r="135" ht="15.75" customHeight="1" s="40">
      <c r="A135" s="4" t="n"/>
      <c r="B135" s="4" t="n"/>
      <c r="C135" s="4" t="n"/>
      <c r="D135" s="4" t="n"/>
      <c r="E135" s="4" t="n"/>
    </row>
    <row r="136" ht="15.75" customHeight="1" s="40">
      <c r="A136" s="4" t="n"/>
      <c r="B136" s="4" t="n"/>
      <c r="C136" s="4" t="n"/>
      <c r="D136" s="4" t="n"/>
      <c r="E136" s="4" t="n"/>
    </row>
    <row r="137" ht="15.75" customHeight="1" s="40">
      <c r="A137" s="4" t="n"/>
      <c r="B137" s="4" t="n"/>
      <c r="C137" s="4" t="n"/>
      <c r="D137" s="4" t="n"/>
      <c r="E137" s="4" t="n"/>
    </row>
    <row r="138" ht="15.75" customHeight="1" s="40">
      <c r="A138" s="4" t="n"/>
      <c r="B138" s="4" t="n"/>
      <c r="C138" s="4" t="n"/>
      <c r="D138" s="4" t="n"/>
      <c r="E138" s="4" t="n"/>
    </row>
    <row r="139" ht="15.75" customHeight="1" s="40">
      <c r="A139" s="4" t="n"/>
      <c r="B139" s="4" t="n"/>
      <c r="C139" s="4" t="n"/>
      <c r="D139" s="4" t="n"/>
      <c r="E139" s="4" t="n"/>
    </row>
    <row r="140" ht="15.75" customHeight="1" s="40">
      <c r="A140" s="4" t="n"/>
      <c r="B140" s="4" t="n"/>
      <c r="C140" s="4" t="n"/>
      <c r="D140" s="4" t="n"/>
      <c r="E140" s="4" t="n"/>
    </row>
    <row r="141" ht="15.75" customHeight="1" s="40">
      <c r="A141" s="4" t="n"/>
      <c r="B141" s="4" t="n"/>
      <c r="C141" s="4" t="n"/>
      <c r="D141" s="4" t="n"/>
      <c r="E141" s="4" t="n"/>
    </row>
    <row r="142" ht="15.75" customHeight="1" s="40">
      <c r="A142" s="4" t="n"/>
      <c r="B142" s="4" t="n"/>
      <c r="C142" s="4" t="n"/>
      <c r="D142" s="4" t="n"/>
      <c r="E142" s="4" t="n"/>
    </row>
    <row r="143" ht="15.75" customHeight="1" s="40">
      <c r="A143" s="4" t="n"/>
      <c r="B143" s="4" t="n"/>
      <c r="C143" s="4" t="n"/>
      <c r="D143" s="4" t="n"/>
      <c r="E143" s="4" t="n"/>
    </row>
    <row r="144" ht="15.75" customHeight="1" s="40">
      <c r="A144" s="4" t="n"/>
      <c r="B144" s="4" t="n"/>
      <c r="C144" s="4" t="n"/>
      <c r="D144" s="4" t="n"/>
      <c r="E144" s="4" t="n"/>
    </row>
    <row r="145" ht="15.75" customHeight="1" s="40">
      <c r="A145" s="4" t="n"/>
      <c r="B145" s="4" t="n"/>
      <c r="C145" s="4" t="n"/>
      <c r="D145" s="4" t="n"/>
      <c r="E145" s="4" t="n"/>
    </row>
    <row r="146" ht="15.75" customHeight="1" s="40">
      <c r="A146" s="4" t="n"/>
      <c r="B146" s="4" t="n"/>
      <c r="C146" s="4" t="n"/>
      <c r="D146" s="4" t="n"/>
      <c r="E146" s="4" t="n"/>
    </row>
    <row r="147" ht="15.75" customHeight="1" s="40">
      <c r="A147" s="4" t="n"/>
      <c r="B147" s="4" t="n"/>
      <c r="C147" s="4" t="n"/>
      <c r="D147" s="4" t="n"/>
      <c r="E147" s="4" t="n"/>
    </row>
    <row r="148" ht="15.75" customHeight="1" s="40">
      <c r="A148" s="4" t="n"/>
      <c r="B148" s="4" t="n"/>
      <c r="C148" s="4" t="n"/>
      <c r="D148" s="4" t="n"/>
      <c r="E148" s="4" t="n"/>
    </row>
    <row r="149" ht="15.75" customHeight="1" s="40">
      <c r="A149" s="4" t="n"/>
      <c r="B149" s="4" t="n"/>
      <c r="C149" s="4" t="n"/>
      <c r="D149" s="4" t="n"/>
      <c r="E149" s="4" t="n"/>
    </row>
    <row r="150" ht="15.75" customHeight="1" s="40">
      <c r="A150" s="4" t="n"/>
      <c r="B150" s="4" t="n"/>
      <c r="C150" s="4" t="n"/>
      <c r="D150" s="4" t="n"/>
      <c r="E150" s="4" t="n"/>
    </row>
    <row r="151" ht="15.75" customHeight="1" s="40">
      <c r="A151" s="4" t="n"/>
      <c r="B151" s="4" t="n"/>
      <c r="C151" s="4" t="n"/>
      <c r="D151" s="4" t="n"/>
      <c r="E151" s="4" t="n"/>
    </row>
    <row r="152" ht="15.75" customHeight="1" s="40">
      <c r="A152" s="4" t="n"/>
      <c r="B152" s="4" t="n"/>
      <c r="C152" s="4" t="n"/>
      <c r="D152" s="4" t="n"/>
      <c r="E152" s="4" t="n"/>
    </row>
    <row r="153" ht="15.75" customHeight="1" s="40">
      <c r="A153" s="4" t="n"/>
      <c r="B153" s="4" t="n"/>
      <c r="C153" s="4" t="n"/>
      <c r="D153" s="4" t="n"/>
      <c r="E153" s="4" t="n"/>
    </row>
    <row r="154" ht="15.75" customHeight="1" s="40">
      <c r="A154" s="4" t="n"/>
      <c r="B154" s="4" t="n"/>
      <c r="C154" s="4" t="n"/>
      <c r="D154" s="4" t="n"/>
      <c r="E154" s="4" t="n"/>
    </row>
    <row r="155" ht="15.75" customHeight="1" s="40">
      <c r="A155" s="4" t="n"/>
      <c r="B155" s="4" t="n"/>
      <c r="C155" s="4" t="n"/>
      <c r="D155" s="4" t="n"/>
      <c r="E155" s="4" t="n"/>
    </row>
    <row r="156" ht="15.75" customHeight="1" s="40">
      <c r="A156" s="4" t="n"/>
      <c r="B156" s="4" t="n"/>
      <c r="C156" s="4" t="n"/>
      <c r="D156" s="4" t="n"/>
      <c r="E156" s="4" t="n"/>
    </row>
    <row r="157" ht="15.75" customHeight="1" s="40">
      <c r="A157" s="4" t="n"/>
      <c r="B157" s="4" t="n"/>
      <c r="C157" s="4" t="n"/>
      <c r="D157" s="4" t="n"/>
      <c r="E157" s="4" t="n"/>
    </row>
    <row r="158" ht="15.75" customHeight="1" s="40">
      <c r="A158" s="4" t="n"/>
      <c r="B158" s="4" t="n"/>
      <c r="C158" s="4" t="n"/>
      <c r="D158" s="4" t="n"/>
      <c r="E158" s="4" t="n"/>
    </row>
    <row r="159" ht="15.75" customHeight="1" s="40">
      <c r="A159" s="4" t="n"/>
      <c r="B159" s="4" t="n"/>
      <c r="C159" s="4" t="n"/>
      <c r="D159" s="4" t="n"/>
      <c r="E159" s="4" t="n"/>
    </row>
    <row r="160" ht="15.75" customHeight="1" s="40">
      <c r="A160" s="4" t="n"/>
      <c r="B160" s="4" t="n"/>
      <c r="C160" s="4" t="n"/>
      <c r="D160" s="4" t="n"/>
      <c r="E160" s="4" t="n"/>
    </row>
    <row r="161" ht="15.75" customHeight="1" s="40">
      <c r="A161" s="4" t="n"/>
      <c r="B161" s="4" t="n"/>
      <c r="C161" s="4" t="n"/>
      <c r="D161" s="4" t="n"/>
      <c r="E161" s="4" t="n"/>
    </row>
    <row r="162" ht="15.75" customHeight="1" s="40">
      <c r="A162" s="4" t="n"/>
      <c r="B162" s="4" t="n"/>
      <c r="C162" s="4" t="n"/>
      <c r="D162" s="4" t="n"/>
      <c r="E162" s="4" t="n"/>
    </row>
    <row r="163" ht="15.75" customHeight="1" s="40">
      <c r="A163" s="4" t="n"/>
      <c r="B163" s="4" t="n"/>
      <c r="C163" s="4" t="n"/>
      <c r="D163" s="4" t="n"/>
      <c r="E163" s="4" t="n"/>
    </row>
    <row r="164" ht="15.75" customHeight="1" s="40">
      <c r="A164" s="4" t="n"/>
      <c r="B164" s="4" t="n"/>
      <c r="C164" s="4" t="n"/>
      <c r="D164" s="4" t="n"/>
      <c r="E164" s="4" t="n"/>
    </row>
    <row r="165" ht="15.75" customHeight="1" s="40">
      <c r="A165" s="4" t="n"/>
      <c r="B165" s="4" t="n"/>
      <c r="C165" s="4" t="n"/>
      <c r="D165" s="4" t="n"/>
      <c r="E165" s="4" t="n"/>
    </row>
    <row r="166" ht="15.75" customHeight="1" s="40">
      <c r="A166" s="4" t="n"/>
      <c r="B166" s="4" t="n"/>
      <c r="C166" s="4" t="n"/>
      <c r="D166" s="4" t="n"/>
      <c r="E166" s="4" t="n"/>
    </row>
    <row r="167" ht="15.75" customHeight="1" s="40">
      <c r="A167" s="4" t="n"/>
      <c r="B167" s="4" t="n"/>
      <c r="C167" s="4" t="n"/>
      <c r="D167" s="4" t="n"/>
      <c r="E167" s="4" t="n"/>
    </row>
    <row r="168" ht="15.75" customHeight="1" s="40">
      <c r="A168" s="4" t="n"/>
      <c r="B168" s="4" t="n"/>
      <c r="C168" s="4" t="n"/>
      <c r="D168" s="4" t="n"/>
      <c r="E168" s="4" t="n"/>
    </row>
    <row r="169" ht="15.75" customHeight="1" s="40">
      <c r="A169" s="4" t="n"/>
      <c r="B169" s="4" t="n"/>
      <c r="C169" s="4" t="n"/>
      <c r="D169" s="4" t="n"/>
      <c r="E169" s="4" t="n"/>
    </row>
    <row r="170" ht="15.75" customHeight="1" s="40">
      <c r="A170" s="4" t="n"/>
      <c r="B170" s="4" t="n"/>
      <c r="C170" s="4" t="n"/>
      <c r="D170" s="4" t="n"/>
      <c r="E170" s="4" t="n"/>
    </row>
    <row r="171" ht="15.75" customHeight="1" s="40">
      <c r="A171" s="4" t="n"/>
      <c r="B171" s="4" t="n"/>
      <c r="C171" s="4" t="n"/>
      <c r="D171" s="4" t="n"/>
      <c r="E171" s="4" t="n"/>
    </row>
    <row r="172" ht="15.75" customHeight="1" s="40">
      <c r="A172" s="4" t="n"/>
      <c r="B172" s="4" t="n"/>
      <c r="C172" s="4" t="n"/>
      <c r="D172" s="4" t="n"/>
      <c r="E172" s="4" t="n"/>
    </row>
    <row r="173" ht="15.75" customHeight="1" s="40">
      <c r="A173" s="4" t="n"/>
      <c r="B173" s="4" t="n"/>
      <c r="C173" s="4" t="n"/>
      <c r="D173" s="4" t="n"/>
      <c r="E173" s="4" t="n"/>
    </row>
    <row r="174" ht="15.75" customHeight="1" s="40">
      <c r="A174" s="4" t="n"/>
      <c r="B174" s="4" t="n"/>
      <c r="C174" s="4" t="n"/>
      <c r="D174" s="4" t="n"/>
      <c r="E174" s="4" t="n"/>
    </row>
    <row r="175" ht="15.75" customHeight="1" s="40">
      <c r="A175" s="4" t="n"/>
      <c r="B175" s="4" t="n"/>
      <c r="C175" s="4" t="n"/>
      <c r="D175" s="4" t="n"/>
      <c r="E175" s="4" t="n"/>
    </row>
    <row r="176" ht="15.75" customHeight="1" s="40">
      <c r="A176" s="4" t="n"/>
      <c r="B176" s="4" t="n"/>
      <c r="C176" s="4" t="n"/>
      <c r="D176" s="4" t="n"/>
      <c r="E176" s="4" t="n"/>
    </row>
    <row r="177" ht="15.75" customHeight="1" s="40">
      <c r="A177" s="4" t="n"/>
      <c r="B177" s="4" t="n"/>
      <c r="C177" s="4" t="n"/>
      <c r="D177" s="4" t="n"/>
      <c r="E177" s="4" t="n"/>
    </row>
    <row r="178" ht="15.75" customHeight="1" s="40">
      <c r="A178" s="4" t="n"/>
      <c r="B178" s="4" t="n"/>
      <c r="C178" s="4" t="n"/>
      <c r="D178" s="4" t="n"/>
      <c r="E178" s="4" t="n"/>
    </row>
    <row r="179" ht="15.75" customHeight="1" s="40">
      <c r="A179" s="4" t="n"/>
      <c r="B179" s="4" t="n"/>
      <c r="C179" s="4" t="n"/>
      <c r="D179" s="4" t="n"/>
      <c r="E179" s="4" t="n"/>
    </row>
    <row r="180" ht="15.75" customHeight="1" s="40">
      <c r="A180" s="4" t="n"/>
      <c r="B180" s="4" t="n"/>
      <c r="C180" s="4" t="n"/>
      <c r="D180" s="4" t="n"/>
      <c r="E180" s="4" t="n"/>
    </row>
    <row r="181" ht="15.75" customHeight="1" s="40">
      <c r="A181" s="4" t="n"/>
      <c r="B181" s="4" t="n"/>
      <c r="C181" s="4" t="n"/>
      <c r="D181" s="4" t="n"/>
      <c r="E181" s="4" t="n"/>
    </row>
    <row r="182" ht="15.75" customHeight="1" s="40">
      <c r="A182" s="4" t="n"/>
      <c r="B182" s="4" t="n"/>
      <c r="C182" s="4" t="n"/>
      <c r="D182" s="4" t="n"/>
      <c r="E182" s="4" t="n"/>
    </row>
    <row r="183" ht="15.75" customHeight="1" s="40">
      <c r="A183" s="4" t="n"/>
      <c r="B183" s="4" t="n"/>
      <c r="C183" s="4" t="n"/>
      <c r="D183" s="4" t="n"/>
      <c r="E183" s="4" t="n"/>
    </row>
    <row r="184" ht="15.75" customHeight="1" s="40">
      <c r="A184" s="4" t="n"/>
      <c r="B184" s="4" t="n"/>
      <c r="C184" s="4" t="n"/>
      <c r="D184" s="4" t="n"/>
      <c r="E184" s="4" t="n"/>
    </row>
    <row r="185" ht="15.75" customHeight="1" s="40">
      <c r="A185" s="4" t="n"/>
      <c r="B185" s="4" t="n"/>
      <c r="C185" s="4" t="n"/>
      <c r="D185" s="4" t="n"/>
      <c r="E185" s="4" t="n"/>
    </row>
    <row r="186" ht="15.75" customHeight="1" s="40">
      <c r="A186" s="4" t="n"/>
      <c r="B186" s="4" t="n"/>
      <c r="C186" s="4" t="n"/>
      <c r="D186" s="4" t="n"/>
      <c r="E186" s="4" t="n"/>
    </row>
    <row r="187" ht="15.75" customHeight="1" s="40">
      <c r="A187" s="4" t="n"/>
      <c r="B187" s="4" t="n"/>
      <c r="C187" s="4" t="n"/>
      <c r="D187" s="4" t="n"/>
      <c r="E187" s="4" t="n"/>
    </row>
    <row r="188" ht="15.75" customHeight="1" s="40">
      <c r="A188" s="4" t="n"/>
      <c r="B188" s="4" t="n"/>
      <c r="C188" s="4" t="n"/>
      <c r="D188" s="4" t="n"/>
      <c r="E188" s="4" t="n"/>
    </row>
    <row r="189" ht="15.75" customHeight="1" s="40">
      <c r="A189" s="4" t="n"/>
      <c r="B189" s="4" t="n"/>
      <c r="C189" s="4" t="n"/>
      <c r="D189" s="4" t="n"/>
      <c r="E189" s="4" t="n"/>
    </row>
    <row r="190" ht="15.75" customHeight="1" s="40">
      <c r="A190" s="4" t="n"/>
      <c r="B190" s="4" t="n"/>
      <c r="C190" s="4" t="n"/>
      <c r="D190" s="4" t="n"/>
      <c r="E190" s="4" t="n"/>
    </row>
    <row r="191" ht="15.75" customHeight="1" s="40">
      <c r="A191" s="4" t="n"/>
      <c r="B191" s="4" t="n"/>
      <c r="C191" s="4" t="n"/>
      <c r="D191" s="4" t="n"/>
      <c r="E191" s="4" t="n"/>
    </row>
    <row r="192" ht="15.75" customHeight="1" s="40">
      <c r="A192" s="4" t="n"/>
      <c r="B192" s="4" t="n"/>
      <c r="C192" s="4" t="n"/>
      <c r="D192" s="4" t="n"/>
      <c r="E192" s="4" t="n"/>
    </row>
    <row r="193" ht="15.75" customHeight="1" s="40">
      <c r="A193" s="4" t="n"/>
      <c r="B193" s="4" t="n"/>
      <c r="C193" s="4" t="n"/>
      <c r="D193" s="4" t="n"/>
      <c r="E193" s="4" t="n"/>
    </row>
    <row r="194" ht="15.75" customHeight="1" s="40">
      <c r="A194" s="4" t="n"/>
      <c r="B194" s="4" t="n"/>
      <c r="C194" s="4" t="n"/>
      <c r="D194" s="4" t="n"/>
      <c r="E194" s="4" t="n"/>
    </row>
    <row r="195" ht="15.75" customHeight="1" s="40">
      <c r="A195" s="4" t="n"/>
      <c r="B195" s="4" t="n"/>
      <c r="C195" s="4" t="n"/>
      <c r="D195" s="4" t="n"/>
      <c r="E195" s="4" t="n"/>
    </row>
    <row r="196" ht="15.75" customHeight="1" s="40">
      <c r="A196" s="4" t="n"/>
      <c r="B196" s="4" t="n"/>
      <c r="C196" s="4" t="n"/>
      <c r="D196" s="4" t="n"/>
      <c r="E196" s="4" t="n"/>
    </row>
    <row r="197" ht="15.75" customHeight="1" s="40">
      <c r="A197" s="4" t="n"/>
      <c r="B197" s="4" t="n"/>
      <c r="C197" s="4" t="n"/>
      <c r="D197" s="4" t="n"/>
      <c r="E197" s="4" t="n"/>
    </row>
    <row r="198" ht="15.75" customHeight="1" s="40">
      <c r="A198" s="4" t="n"/>
      <c r="B198" s="4" t="n"/>
      <c r="C198" s="4" t="n"/>
      <c r="D198" s="4" t="n"/>
      <c r="E198" s="4" t="n"/>
    </row>
    <row r="199" ht="15.75" customHeight="1" s="40">
      <c r="A199" s="4" t="n"/>
      <c r="B199" s="4" t="n"/>
      <c r="C199" s="4" t="n"/>
      <c r="D199" s="4" t="n"/>
      <c r="E199" s="4" t="n"/>
    </row>
    <row r="200" ht="15.75" customHeight="1" s="40">
      <c r="A200" s="4" t="n"/>
      <c r="B200" s="4" t="n"/>
      <c r="C200" s="4" t="n"/>
      <c r="D200" s="4" t="n"/>
      <c r="E200" s="4" t="n"/>
    </row>
    <row r="201" ht="15.75" customHeight="1" s="40">
      <c r="A201" s="4" t="n"/>
      <c r="B201" s="4" t="n"/>
      <c r="C201" s="4" t="n"/>
      <c r="D201" s="4" t="n"/>
      <c r="E201" s="4" t="n"/>
    </row>
    <row r="202" ht="15.75" customHeight="1" s="40">
      <c r="A202" s="4" t="n"/>
      <c r="B202" s="4" t="n"/>
      <c r="C202" s="4" t="n"/>
      <c r="D202" s="4" t="n"/>
      <c r="E202" s="4" t="n"/>
    </row>
    <row r="203" ht="15.75" customHeight="1" s="40">
      <c r="A203" s="4" t="n"/>
      <c r="B203" s="4" t="n"/>
      <c r="C203" s="4" t="n"/>
      <c r="D203" s="4" t="n"/>
      <c r="E203" s="4" t="n"/>
    </row>
    <row r="204" ht="15.75" customHeight="1" s="40">
      <c r="A204" s="4" t="n"/>
      <c r="B204" s="4" t="n"/>
      <c r="C204" s="4" t="n"/>
      <c r="D204" s="4" t="n"/>
      <c r="E204" s="4" t="n"/>
    </row>
    <row r="205" ht="15.75" customHeight="1" s="40">
      <c r="A205" s="4" t="n"/>
      <c r="B205" s="4" t="n"/>
      <c r="C205" s="4" t="n"/>
      <c r="D205" s="4" t="n"/>
      <c r="E205" s="4" t="n"/>
    </row>
    <row r="206" ht="15.75" customHeight="1" s="40">
      <c r="A206" s="4" t="n"/>
      <c r="B206" s="4" t="n"/>
      <c r="C206" s="4" t="n"/>
      <c r="D206" s="4" t="n"/>
      <c r="E206" s="4" t="n"/>
    </row>
    <row r="207" ht="15.75" customHeight="1" s="40">
      <c r="A207" s="4" t="n"/>
      <c r="B207" s="4" t="n"/>
      <c r="C207" s="4" t="n"/>
      <c r="D207" s="4" t="n"/>
      <c r="E207" s="4" t="n"/>
    </row>
    <row r="208" ht="15.75" customHeight="1" s="40">
      <c r="A208" s="4" t="n"/>
      <c r="B208" s="4" t="n"/>
      <c r="C208" s="4" t="n"/>
      <c r="D208" s="4" t="n"/>
      <c r="E208" s="4" t="n"/>
    </row>
    <row r="209" ht="15.75" customHeight="1" s="40">
      <c r="A209" s="4" t="n"/>
      <c r="B209" s="4" t="n"/>
      <c r="C209" s="4" t="n"/>
      <c r="D209" s="4" t="n"/>
      <c r="E209" s="4" t="n"/>
    </row>
    <row r="210" ht="15.75" customHeight="1" s="40">
      <c r="A210" s="4" t="n"/>
      <c r="B210" s="4" t="n"/>
      <c r="C210" s="4" t="n"/>
      <c r="D210" s="4" t="n"/>
      <c r="E210" s="4" t="n"/>
    </row>
    <row r="211" ht="15.75" customHeight="1" s="40">
      <c r="A211" s="4" t="n"/>
      <c r="B211" s="4" t="n"/>
      <c r="C211" s="4" t="n"/>
      <c r="D211" s="4" t="n"/>
      <c r="E211" s="4" t="n"/>
    </row>
    <row r="212" ht="15.75" customHeight="1" s="40">
      <c r="A212" s="4" t="n"/>
      <c r="B212" s="4" t="n"/>
      <c r="C212" s="4" t="n"/>
      <c r="D212" s="4" t="n"/>
      <c r="E212" s="4" t="n"/>
    </row>
    <row r="213" ht="15.75" customHeight="1" s="40">
      <c r="A213" s="4" t="n"/>
      <c r="B213" s="4" t="n"/>
      <c r="C213" s="4" t="n"/>
      <c r="D213" s="4" t="n"/>
      <c r="E213" s="4" t="n"/>
    </row>
    <row r="214" ht="15.75" customHeight="1" s="40">
      <c r="A214" s="4" t="n"/>
      <c r="B214" s="4" t="n"/>
      <c r="C214" s="4" t="n"/>
      <c r="D214" s="4" t="n"/>
      <c r="E214" s="4" t="n"/>
    </row>
    <row r="215" ht="15.75" customHeight="1" s="40">
      <c r="A215" s="4" t="n"/>
      <c r="B215" s="4" t="n"/>
      <c r="C215" s="4" t="n"/>
      <c r="D215" s="4" t="n"/>
      <c r="E215" s="4" t="n"/>
    </row>
    <row r="216" ht="15.75" customHeight="1" s="40">
      <c r="A216" s="4" t="n"/>
      <c r="B216" s="4" t="n"/>
      <c r="C216" s="4" t="n"/>
      <c r="D216" s="4" t="n"/>
      <c r="E216" s="4" t="n"/>
    </row>
    <row r="217" ht="15.75" customHeight="1" s="40">
      <c r="A217" s="4" t="n"/>
      <c r="B217" s="4" t="n"/>
      <c r="C217" s="4" t="n"/>
      <c r="D217" s="4" t="n"/>
      <c r="E217" s="4" t="n"/>
    </row>
    <row r="218" ht="15.75" customHeight="1" s="40">
      <c r="A218" s="4" t="n"/>
      <c r="B218" s="4" t="n"/>
      <c r="C218" s="4" t="n"/>
      <c r="D218" s="4" t="n"/>
      <c r="E218" s="4" t="n"/>
    </row>
    <row r="219" ht="15.75" customHeight="1" s="40">
      <c r="A219" s="4" t="n"/>
      <c r="B219" s="4" t="n"/>
      <c r="C219" s="4" t="n"/>
      <c r="D219" s="4" t="n"/>
      <c r="E219" s="4" t="n"/>
    </row>
    <row r="220" ht="15.75" customHeight="1" s="40">
      <c r="A220" s="4" t="n"/>
      <c r="B220" s="4" t="n"/>
      <c r="C220" s="4" t="n"/>
      <c r="D220" s="4" t="n"/>
      <c r="E220" s="4" t="n"/>
    </row>
    <row r="221" ht="15.75" customHeight="1" s="40">
      <c r="A221" s="4" t="n"/>
      <c r="B221" s="4" t="n"/>
      <c r="C221" s="4" t="n"/>
      <c r="D221" s="4" t="n"/>
      <c r="E221" s="4" t="n"/>
    </row>
    <row r="222" ht="15.75" customHeight="1" s="40">
      <c r="A222" s="4" t="n"/>
      <c r="B222" s="4" t="n"/>
      <c r="C222" s="4" t="n"/>
      <c r="D222" s="4" t="n"/>
      <c r="E222" s="4" t="n"/>
    </row>
    <row r="223" ht="15.75" customHeight="1" s="40">
      <c r="A223" s="4" t="n"/>
      <c r="B223" s="4" t="n"/>
      <c r="C223" s="4" t="n"/>
      <c r="D223" s="4" t="n"/>
      <c r="E223" s="4" t="n"/>
    </row>
    <row r="224" ht="15.75" customHeight="1" s="40">
      <c r="A224" s="4" t="n"/>
      <c r="B224" s="4" t="n"/>
      <c r="C224" s="4" t="n"/>
      <c r="D224" s="4" t="n"/>
      <c r="E224" s="4" t="n"/>
    </row>
    <row r="225" ht="15.75" customHeight="1" s="40">
      <c r="A225" s="4" t="n"/>
      <c r="B225" s="4" t="n"/>
      <c r="C225" s="4" t="n"/>
      <c r="D225" s="4" t="n"/>
      <c r="E225" s="4" t="n"/>
    </row>
    <row r="226" ht="15.75" customHeight="1" s="40">
      <c r="A226" s="4" t="n"/>
      <c r="B226" s="4" t="n"/>
      <c r="C226" s="4" t="n"/>
      <c r="D226" s="4" t="n"/>
      <c r="E226" s="4" t="n"/>
    </row>
    <row r="227" ht="15.75" customHeight="1" s="40">
      <c r="A227" s="4" t="n"/>
      <c r="B227" s="4" t="n"/>
      <c r="C227" s="4" t="n"/>
      <c r="D227" s="4" t="n"/>
      <c r="E227" s="4" t="n"/>
    </row>
    <row r="228" ht="15.75" customHeight="1" s="40">
      <c r="A228" s="4" t="n"/>
      <c r="B228" s="4" t="n"/>
      <c r="C228" s="4" t="n"/>
      <c r="D228" s="4" t="n"/>
      <c r="E228" s="4" t="n"/>
    </row>
    <row r="229" ht="15.75" customHeight="1" s="40">
      <c r="A229" s="4" t="n"/>
      <c r="B229" s="4" t="n"/>
      <c r="C229" s="4" t="n"/>
      <c r="D229" s="4" t="n"/>
      <c r="E229" s="4" t="n"/>
    </row>
    <row r="230" ht="15.75" customHeight="1" s="40">
      <c r="A230" s="4" t="n"/>
      <c r="B230" s="4" t="n"/>
      <c r="C230" s="4" t="n"/>
      <c r="D230" s="4" t="n"/>
      <c r="E230" s="4" t="n"/>
    </row>
    <row r="231" ht="15.75" customHeight="1" s="40">
      <c r="A231" s="4" t="n"/>
      <c r="B231" s="4" t="n"/>
      <c r="C231" s="4" t="n"/>
      <c r="D231" s="4" t="n"/>
      <c r="E231" s="4" t="n"/>
    </row>
    <row r="232" ht="15.75" customHeight="1" s="40">
      <c r="A232" s="4" t="n"/>
      <c r="B232" s="4" t="n"/>
      <c r="C232" s="4" t="n"/>
      <c r="D232" s="4" t="n"/>
      <c r="E232" s="4" t="n"/>
    </row>
    <row r="233" ht="15.75" customHeight="1" s="40">
      <c r="A233" s="4" t="n"/>
      <c r="B233" s="4" t="n"/>
      <c r="C233" s="4" t="n"/>
      <c r="D233" s="4" t="n"/>
      <c r="E233" s="4" t="n"/>
    </row>
    <row r="234" ht="15.75" customHeight="1" s="40">
      <c r="A234" s="4" t="n"/>
      <c r="B234" s="4" t="n"/>
      <c r="C234" s="4" t="n"/>
      <c r="D234" s="4" t="n"/>
      <c r="E234" s="4" t="n"/>
    </row>
    <row r="235" ht="15.75" customHeight="1" s="40">
      <c r="A235" s="4" t="n"/>
      <c r="B235" s="4" t="n"/>
      <c r="C235" s="4" t="n"/>
      <c r="D235" s="4" t="n"/>
      <c r="E235" s="4" t="n"/>
    </row>
    <row r="236" ht="15.75" customHeight="1" s="40">
      <c r="A236" s="4" t="n"/>
      <c r="B236" s="4" t="n"/>
      <c r="C236" s="4" t="n"/>
      <c r="D236" s="4" t="n"/>
      <c r="E236" s="4" t="n"/>
    </row>
    <row r="237" ht="15.75" customHeight="1" s="40">
      <c r="A237" s="4" t="n"/>
      <c r="B237" s="4" t="n"/>
      <c r="C237" s="4" t="n"/>
      <c r="D237" s="4" t="n"/>
      <c r="E237" s="4" t="n"/>
    </row>
    <row r="238" ht="15.75" customHeight="1" s="40">
      <c r="A238" s="4" t="n"/>
      <c r="B238" s="4" t="n"/>
      <c r="C238" s="4" t="n"/>
      <c r="D238" s="4" t="n"/>
      <c r="E238" s="4" t="n"/>
    </row>
    <row r="239" ht="15.75" customHeight="1" s="40">
      <c r="A239" s="4" t="n"/>
      <c r="B239" s="4" t="n"/>
      <c r="C239" s="4" t="n"/>
      <c r="D239" s="4" t="n"/>
      <c r="E239" s="4" t="n"/>
    </row>
    <row r="240" ht="15.75" customHeight="1" s="40">
      <c r="A240" s="4" t="n"/>
      <c r="B240" s="4" t="n"/>
      <c r="C240" s="4" t="n"/>
      <c r="D240" s="4" t="n"/>
      <c r="E240" s="4" t="n"/>
    </row>
    <row r="241" ht="15.75" customHeight="1" s="40">
      <c r="A241" s="4" t="n"/>
      <c r="B241" s="4" t="n"/>
      <c r="C241" s="4" t="n"/>
      <c r="D241" s="4" t="n"/>
      <c r="E241" s="4" t="n"/>
    </row>
    <row r="242" ht="15.75" customHeight="1" s="40">
      <c r="A242" s="4" t="n"/>
      <c r="B242" s="4" t="n"/>
      <c r="C242" s="4" t="n"/>
      <c r="D242" s="4" t="n"/>
      <c r="E242" s="4" t="n"/>
    </row>
    <row r="243" ht="15.75" customHeight="1" s="40">
      <c r="A243" s="4" t="n"/>
      <c r="B243" s="4" t="n"/>
      <c r="C243" s="4" t="n"/>
      <c r="D243" s="4" t="n"/>
      <c r="E243" s="4" t="n"/>
    </row>
    <row r="244" ht="15.75" customHeight="1" s="40">
      <c r="A244" s="4" t="n"/>
      <c r="B244" s="4" t="n"/>
      <c r="C244" s="4" t="n"/>
      <c r="D244" s="4" t="n"/>
      <c r="E244" s="4" t="n"/>
    </row>
    <row r="245" ht="15.75" customHeight="1" s="40">
      <c r="A245" s="4" t="n"/>
      <c r="B245" s="4" t="n"/>
      <c r="C245" s="4" t="n"/>
      <c r="D245" s="4" t="n"/>
      <c r="E245" s="4" t="n"/>
    </row>
    <row r="246" ht="15.75" customHeight="1" s="40">
      <c r="A246" s="4" t="n"/>
      <c r="B246" s="4" t="n"/>
      <c r="C246" s="4" t="n"/>
      <c r="D246" s="4" t="n"/>
      <c r="E246" s="4" t="n"/>
    </row>
    <row r="247" ht="15.75" customHeight="1" s="40">
      <c r="A247" s="4" t="n"/>
      <c r="B247" s="4" t="n"/>
      <c r="C247" s="4" t="n"/>
      <c r="D247" s="4" t="n"/>
      <c r="E247" s="4" t="n"/>
    </row>
    <row r="248" ht="15.75" customHeight="1" s="40">
      <c r="A248" s="4" t="n"/>
      <c r="B248" s="4" t="n"/>
      <c r="C248" s="4" t="n"/>
      <c r="D248" s="4" t="n"/>
      <c r="E248" s="4" t="n"/>
    </row>
    <row r="249" ht="15.75" customHeight="1" s="40">
      <c r="A249" s="4" t="n"/>
      <c r="B249" s="4" t="n"/>
      <c r="C249" s="4" t="n"/>
      <c r="D249" s="4" t="n"/>
      <c r="E249" s="4" t="n"/>
    </row>
    <row r="250" ht="15.75" customHeight="1" s="40">
      <c r="A250" s="4" t="n"/>
      <c r="B250" s="4" t="n"/>
      <c r="C250" s="4" t="n"/>
      <c r="D250" s="4" t="n"/>
      <c r="E250" s="4" t="n"/>
    </row>
    <row r="251" ht="15.75" customHeight="1" s="40">
      <c r="A251" s="4" t="n"/>
      <c r="B251" s="4" t="n"/>
      <c r="C251" s="4" t="n"/>
      <c r="D251" s="4" t="n"/>
      <c r="E251" s="4" t="n"/>
    </row>
    <row r="252" ht="15.75" customHeight="1" s="40">
      <c r="A252" s="4" t="n"/>
      <c r="B252" s="4" t="n"/>
      <c r="C252" s="4" t="n"/>
      <c r="D252" s="4" t="n"/>
      <c r="E252" s="4" t="n"/>
    </row>
    <row r="253" ht="15.75" customHeight="1" s="40">
      <c r="A253" s="4" t="n"/>
      <c r="B253" s="4" t="n"/>
      <c r="C253" s="4" t="n"/>
      <c r="D253" s="4" t="n"/>
      <c r="E253" s="4" t="n"/>
    </row>
    <row r="254" ht="15.75" customHeight="1" s="40">
      <c r="A254" s="4" t="n"/>
      <c r="B254" s="4" t="n"/>
      <c r="C254" s="4" t="n"/>
      <c r="D254" s="4" t="n"/>
      <c r="E254" s="4" t="n"/>
    </row>
    <row r="255" ht="15.75" customHeight="1" s="40">
      <c r="A255" s="4" t="n"/>
      <c r="B255" s="4" t="n"/>
      <c r="C255" s="4" t="n"/>
      <c r="D255" s="4" t="n"/>
      <c r="E255" s="4" t="n"/>
    </row>
    <row r="256" ht="15.75" customHeight="1" s="40">
      <c r="A256" s="4" t="n"/>
      <c r="B256" s="4" t="n"/>
      <c r="C256" s="4" t="n"/>
      <c r="D256" s="4" t="n"/>
      <c r="E256" s="4" t="n"/>
    </row>
    <row r="257" ht="15.75" customHeight="1" s="40">
      <c r="A257" s="4" t="n"/>
      <c r="B257" s="4" t="n"/>
      <c r="C257" s="4" t="n"/>
      <c r="D257" s="4" t="n"/>
      <c r="E257" s="4" t="n"/>
    </row>
    <row r="258" ht="15.75" customHeight="1" s="40">
      <c r="A258" s="4" t="n"/>
      <c r="B258" s="4" t="n"/>
      <c r="C258" s="4" t="n"/>
      <c r="D258" s="4" t="n"/>
      <c r="E258" s="4" t="n"/>
    </row>
    <row r="259" ht="15.75" customHeight="1" s="40">
      <c r="A259" s="4" t="n"/>
      <c r="B259" s="4" t="n"/>
      <c r="C259" s="4" t="n"/>
      <c r="D259" s="4" t="n"/>
      <c r="E259" s="4" t="n"/>
    </row>
    <row r="260" ht="15.75" customHeight="1" s="40">
      <c r="A260" s="4" t="n"/>
      <c r="B260" s="4" t="n"/>
      <c r="C260" s="4" t="n"/>
      <c r="D260" s="4" t="n"/>
      <c r="E260" s="4" t="n"/>
    </row>
    <row r="261" ht="15.75" customHeight="1" s="40">
      <c r="A261" s="4" t="n"/>
      <c r="B261" s="4" t="n"/>
      <c r="C261" s="4" t="n"/>
      <c r="D261" s="4" t="n"/>
      <c r="E261" s="4" t="n"/>
    </row>
    <row r="262" ht="15.75" customHeight="1" s="40">
      <c r="A262" s="4" t="n"/>
      <c r="B262" s="4" t="n"/>
      <c r="C262" s="4" t="n"/>
      <c r="D262" s="4" t="n"/>
      <c r="E262" s="4" t="n"/>
    </row>
    <row r="263" ht="15.75" customHeight="1" s="40">
      <c r="A263" s="4" t="n"/>
      <c r="B263" s="4" t="n"/>
      <c r="C263" s="4" t="n"/>
      <c r="D263" s="4" t="n"/>
      <c r="E263" s="4" t="n"/>
    </row>
    <row r="264" ht="15.75" customHeight="1" s="40">
      <c r="A264" s="4" t="n"/>
      <c r="B264" s="4" t="n"/>
      <c r="C264" s="4" t="n"/>
      <c r="D264" s="4" t="n"/>
      <c r="E264" s="4" t="n"/>
    </row>
    <row r="265" ht="15.75" customHeight="1" s="40">
      <c r="A265" s="4" t="n"/>
      <c r="B265" s="4" t="n"/>
      <c r="C265" s="4" t="n"/>
      <c r="D265" s="4" t="n"/>
      <c r="E265" s="4" t="n"/>
    </row>
    <row r="266" ht="15.75" customHeight="1" s="40">
      <c r="A266" s="4" t="n"/>
      <c r="B266" s="4" t="n"/>
      <c r="C266" s="4" t="n"/>
      <c r="D266" s="4" t="n"/>
      <c r="E266" s="4" t="n"/>
    </row>
    <row r="267" ht="15.75" customHeight="1" s="40">
      <c r="A267" s="4" t="n"/>
      <c r="B267" s="4" t="n"/>
      <c r="C267" s="4" t="n"/>
      <c r="D267" s="4" t="n"/>
      <c r="E267" s="4" t="n"/>
    </row>
    <row r="268" ht="15.75" customHeight="1" s="40">
      <c r="A268" s="4" t="n"/>
      <c r="B268" s="4" t="n"/>
      <c r="C268" s="4" t="n"/>
      <c r="D268" s="4" t="n"/>
      <c r="E268" s="4" t="n"/>
    </row>
    <row r="269" ht="15.75" customHeight="1" s="40">
      <c r="A269" s="4" t="n"/>
      <c r="B269" s="4" t="n"/>
      <c r="C269" s="4" t="n"/>
      <c r="D269" s="4" t="n"/>
      <c r="E269" s="4" t="n"/>
    </row>
    <row r="270" ht="15.75" customHeight="1" s="40">
      <c r="A270" s="4" t="n"/>
      <c r="B270" s="4" t="n"/>
      <c r="C270" s="4" t="n"/>
      <c r="D270" s="4" t="n"/>
      <c r="E270" s="4" t="n"/>
    </row>
    <row r="271" ht="15.75" customHeight="1" s="40">
      <c r="A271" s="4" t="n"/>
      <c r="B271" s="4" t="n"/>
      <c r="C271" s="4" t="n"/>
      <c r="D271" s="4" t="n"/>
      <c r="E271" s="4" t="n"/>
    </row>
    <row r="272" ht="15.75" customHeight="1" s="40">
      <c r="A272" s="4" t="n"/>
      <c r="B272" s="4" t="n"/>
      <c r="C272" s="4" t="n"/>
      <c r="D272" s="4" t="n"/>
      <c r="E272" s="4" t="n"/>
    </row>
    <row r="273" ht="15.75" customHeight="1" s="40">
      <c r="A273" s="4" t="n"/>
      <c r="B273" s="4" t="n"/>
      <c r="C273" s="4" t="n"/>
      <c r="D273" s="4" t="n"/>
      <c r="E273" s="4" t="n"/>
    </row>
    <row r="274" ht="15.75" customHeight="1" s="40">
      <c r="A274" s="4" t="n"/>
      <c r="B274" s="4" t="n"/>
      <c r="C274" s="4" t="n"/>
      <c r="D274" s="4" t="n"/>
      <c r="E274" s="4" t="n"/>
    </row>
    <row r="275" ht="15.75" customHeight="1" s="40">
      <c r="A275" s="4" t="n"/>
      <c r="B275" s="4" t="n"/>
      <c r="C275" s="4" t="n"/>
      <c r="D275" s="4" t="n"/>
      <c r="E275" s="4" t="n"/>
    </row>
    <row r="276" ht="15.75" customHeight="1" s="40">
      <c r="A276" s="4" t="n"/>
      <c r="B276" s="4" t="n"/>
      <c r="C276" s="4" t="n"/>
      <c r="D276" s="4" t="n"/>
      <c r="E276" s="4" t="n"/>
    </row>
    <row r="277" ht="15.75" customHeight="1" s="40">
      <c r="A277" s="4" t="n"/>
      <c r="B277" s="4" t="n"/>
      <c r="C277" s="4" t="n"/>
      <c r="D277" s="4" t="n"/>
      <c r="E277" s="4" t="n"/>
    </row>
    <row r="278" ht="15.75" customHeight="1" s="40">
      <c r="A278" s="4" t="n"/>
      <c r="B278" s="4" t="n"/>
      <c r="C278" s="4" t="n"/>
      <c r="D278" s="4" t="n"/>
      <c r="E278" s="4" t="n"/>
    </row>
    <row r="279" ht="15.75" customHeight="1" s="40">
      <c r="A279" s="4" t="n"/>
      <c r="B279" s="4" t="n"/>
      <c r="C279" s="4" t="n"/>
      <c r="D279" s="4" t="n"/>
      <c r="E279" s="4" t="n"/>
    </row>
    <row r="280" ht="15.75" customHeight="1" s="40">
      <c r="A280" s="4" t="n"/>
      <c r="B280" s="4" t="n"/>
      <c r="C280" s="4" t="n"/>
      <c r="D280" s="4" t="n"/>
      <c r="E280" s="4" t="n"/>
    </row>
    <row r="281" ht="15.75" customHeight="1" s="40">
      <c r="A281" s="4" t="n"/>
      <c r="B281" s="4" t="n"/>
      <c r="C281" s="4" t="n"/>
      <c r="D281" s="4" t="n"/>
      <c r="E281" s="4" t="n"/>
    </row>
    <row r="282" ht="15.75" customHeight="1" s="40">
      <c r="A282" s="4" t="n"/>
      <c r="B282" s="4" t="n"/>
      <c r="C282" s="4" t="n"/>
      <c r="D282" s="4" t="n"/>
      <c r="E282" s="4" t="n"/>
    </row>
    <row r="283" ht="15.75" customHeight="1" s="40">
      <c r="A283" s="4" t="n"/>
      <c r="B283" s="4" t="n"/>
      <c r="C283" s="4" t="n"/>
      <c r="D283" s="4" t="n"/>
      <c r="E283" s="4" t="n"/>
    </row>
    <row r="284" ht="15.75" customHeight="1" s="40">
      <c r="A284" s="4" t="n"/>
      <c r="B284" s="4" t="n"/>
      <c r="C284" s="4" t="n"/>
      <c r="D284" s="4" t="n"/>
      <c r="E284" s="4" t="n"/>
    </row>
    <row r="285" ht="15.75" customHeight="1" s="40">
      <c r="A285" s="4" t="n"/>
      <c r="B285" s="4" t="n"/>
      <c r="C285" s="4" t="n"/>
      <c r="D285" s="4" t="n"/>
      <c r="E285" s="4" t="n"/>
    </row>
    <row r="286" ht="15.75" customHeight="1" s="40">
      <c r="A286" s="4" t="n"/>
      <c r="B286" s="4" t="n"/>
      <c r="C286" s="4" t="n"/>
      <c r="D286" s="4" t="n"/>
      <c r="E286" s="4" t="n"/>
    </row>
    <row r="287" ht="15.75" customHeight="1" s="40">
      <c r="A287" s="4" t="n"/>
      <c r="B287" s="4" t="n"/>
      <c r="C287" s="4" t="n"/>
      <c r="D287" s="4" t="n"/>
      <c r="E287" s="4" t="n"/>
    </row>
    <row r="288" ht="15.75" customHeight="1" s="40">
      <c r="A288" s="4" t="n"/>
      <c r="B288" s="4" t="n"/>
      <c r="C288" s="4" t="n"/>
      <c r="D288" s="4" t="n"/>
      <c r="E288" s="4" t="n"/>
    </row>
    <row r="289" ht="15.75" customHeight="1" s="40">
      <c r="A289" s="4" t="n"/>
      <c r="B289" s="4" t="n"/>
      <c r="C289" s="4" t="n"/>
      <c r="D289" s="4" t="n"/>
      <c r="E289" s="4" t="n"/>
    </row>
    <row r="290" ht="15.75" customHeight="1" s="40">
      <c r="A290" s="4" t="n"/>
      <c r="B290" s="4" t="n"/>
      <c r="C290" s="4" t="n"/>
      <c r="D290" s="4" t="n"/>
      <c r="E290" s="4" t="n"/>
    </row>
    <row r="291" ht="15.75" customHeight="1" s="40">
      <c r="A291" s="4" t="n"/>
      <c r="B291" s="4" t="n"/>
      <c r="C291" s="4" t="n"/>
      <c r="D291" s="4" t="n"/>
      <c r="E291" s="4" t="n"/>
    </row>
    <row r="292" ht="15.75" customHeight="1" s="40">
      <c r="A292" s="4" t="n"/>
      <c r="B292" s="4" t="n"/>
      <c r="C292" s="4" t="n"/>
      <c r="D292" s="4" t="n"/>
      <c r="E292" s="4" t="n"/>
    </row>
    <row r="293" ht="15.75" customHeight="1" s="40">
      <c r="A293" s="4" t="n"/>
      <c r="B293" s="4" t="n"/>
      <c r="C293" s="4" t="n"/>
      <c r="D293" s="4" t="n"/>
      <c r="E293" s="4" t="n"/>
    </row>
    <row r="294" ht="15.75" customHeight="1" s="40">
      <c r="A294" s="4" t="n"/>
      <c r="B294" s="4" t="n"/>
      <c r="C294" s="4" t="n"/>
      <c r="D294" s="4" t="n"/>
      <c r="E294" s="4" t="n"/>
    </row>
    <row r="295" ht="15.75" customHeight="1" s="40">
      <c r="A295" s="4" t="n"/>
      <c r="B295" s="4" t="n"/>
      <c r="C295" s="4" t="n"/>
      <c r="D295" s="4" t="n"/>
      <c r="E295" s="4" t="n"/>
    </row>
    <row r="296" ht="15.75" customHeight="1" s="40">
      <c r="A296" s="4" t="n"/>
      <c r="B296" s="4" t="n"/>
      <c r="C296" s="4" t="n"/>
      <c r="D296" s="4" t="n"/>
      <c r="E296" s="4" t="n"/>
    </row>
    <row r="297" ht="15.75" customHeight="1" s="40">
      <c r="A297" s="4" t="n"/>
      <c r="B297" s="4" t="n"/>
      <c r="C297" s="4" t="n"/>
      <c r="D297" s="4" t="n"/>
      <c r="E297" s="4" t="n"/>
    </row>
    <row r="298" ht="15.75" customHeight="1" s="40">
      <c r="A298" s="4" t="n"/>
      <c r="B298" s="4" t="n"/>
      <c r="C298" s="4" t="n"/>
      <c r="D298" s="4" t="n"/>
      <c r="E298" s="4" t="n"/>
    </row>
    <row r="299" ht="15.75" customHeight="1" s="40">
      <c r="A299" s="4" t="n"/>
      <c r="B299" s="4" t="n"/>
      <c r="C299" s="4" t="n"/>
      <c r="D299" s="4" t="n"/>
      <c r="E299" s="4" t="n"/>
    </row>
    <row r="300" ht="15.75" customHeight="1" s="40">
      <c r="A300" s="4" t="n"/>
      <c r="B300" s="4" t="n"/>
      <c r="C300" s="4" t="n"/>
      <c r="D300" s="4" t="n"/>
      <c r="E300" s="4" t="n"/>
    </row>
    <row r="301" ht="15.75" customHeight="1" s="40">
      <c r="A301" s="4" t="n"/>
      <c r="B301" s="4" t="n"/>
      <c r="C301" s="4" t="n"/>
      <c r="D301" s="4" t="n"/>
      <c r="E301" s="4" t="n"/>
    </row>
    <row r="302" ht="15.75" customHeight="1" s="40">
      <c r="A302" s="4" t="n"/>
      <c r="B302" s="4" t="n"/>
      <c r="C302" s="4" t="n"/>
      <c r="D302" s="4" t="n"/>
      <c r="E302" s="4" t="n"/>
    </row>
    <row r="303" ht="15.75" customHeight="1" s="40">
      <c r="A303" s="4" t="n"/>
      <c r="B303" s="4" t="n"/>
      <c r="C303" s="4" t="n"/>
      <c r="D303" s="4" t="n"/>
      <c r="E303" s="4" t="n"/>
    </row>
    <row r="304" ht="15.75" customHeight="1" s="40">
      <c r="A304" s="4" t="n"/>
      <c r="B304" s="4" t="n"/>
      <c r="C304" s="4" t="n"/>
      <c r="D304" s="4" t="n"/>
      <c r="E304" s="4" t="n"/>
    </row>
    <row r="305" ht="15.75" customHeight="1" s="40">
      <c r="A305" s="4" t="n"/>
      <c r="B305" s="4" t="n"/>
      <c r="C305" s="4" t="n"/>
      <c r="D305" s="4" t="n"/>
      <c r="E305" s="4" t="n"/>
    </row>
    <row r="306" ht="15.75" customHeight="1" s="40">
      <c r="A306" s="4" t="n"/>
      <c r="B306" s="4" t="n"/>
      <c r="C306" s="4" t="n"/>
      <c r="D306" s="4" t="n"/>
      <c r="E306" s="4" t="n"/>
    </row>
    <row r="307" ht="15.75" customHeight="1" s="40">
      <c r="A307" s="4" t="n"/>
      <c r="B307" s="4" t="n"/>
      <c r="C307" s="4" t="n"/>
      <c r="D307" s="4" t="n"/>
      <c r="E307" s="4" t="n"/>
    </row>
    <row r="308" ht="15.75" customHeight="1" s="40">
      <c r="A308" s="4" t="n"/>
      <c r="B308" s="4" t="n"/>
      <c r="C308" s="4" t="n"/>
      <c r="D308" s="4" t="n"/>
      <c r="E308" s="4" t="n"/>
    </row>
    <row r="309" ht="15.75" customHeight="1" s="40">
      <c r="A309" s="4" t="n"/>
      <c r="B309" s="4" t="n"/>
      <c r="C309" s="4" t="n"/>
      <c r="D309" s="4" t="n"/>
      <c r="E309" s="4" t="n"/>
    </row>
    <row r="310" ht="15.75" customHeight="1" s="40">
      <c r="A310" s="4" t="n"/>
      <c r="B310" s="4" t="n"/>
      <c r="C310" s="4" t="n"/>
      <c r="D310" s="4" t="n"/>
      <c r="E310" s="4" t="n"/>
    </row>
    <row r="311" ht="15.75" customHeight="1" s="40">
      <c r="A311" s="4" t="n"/>
      <c r="B311" s="4" t="n"/>
      <c r="C311" s="4" t="n"/>
      <c r="D311" s="4" t="n"/>
      <c r="E311" s="4" t="n"/>
    </row>
    <row r="312" ht="15.75" customHeight="1" s="40">
      <c r="A312" s="4" t="n"/>
      <c r="B312" s="4" t="n"/>
      <c r="C312" s="4" t="n"/>
      <c r="D312" s="4" t="n"/>
      <c r="E312" s="4" t="n"/>
    </row>
    <row r="313" ht="15.75" customHeight="1" s="40">
      <c r="A313" s="4" t="n"/>
      <c r="B313" s="4" t="n"/>
      <c r="C313" s="4" t="n"/>
      <c r="D313" s="4" t="n"/>
      <c r="E313" s="4" t="n"/>
    </row>
    <row r="314" ht="15.75" customHeight="1" s="40">
      <c r="A314" s="4" t="n"/>
      <c r="B314" s="4" t="n"/>
      <c r="C314" s="4" t="n"/>
      <c r="D314" s="4" t="n"/>
      <c r="E314" s="4" t="n"/>
    </row>
    <row r="315" ht="15.75" customHeight="1" s="40">
      <c r="A315" s="4" t="n"/>
      <c r="B315" s="4" t="n"/>
      <c r="C315" s="4" t="n"/>
      <c r="D315" s="4" t="n"/>
      <c r="E315" s="4" t="n"/>
    </row>
    <row r="316" ht="15.75" customHeight="1" s="40">
      <c r="A316" s="4" t="n"/>
      <c r="B316" s="4" t="n"/>
      <c r="C316" s="4" t="n"/>
      <c r="D316" s="4" t="n"/>
      <c r="E316" s="4" t="n"/>
    </row>
    <row r="317" ht="15.75" customHeight="1" s="40">
      <c r="A317" s="4" t="n"/>
      <c r="B317" s="4" t="n"/>
      <c r="C317" s="4" t="n"/>
      <c r="D317" s="4" t="n"/>
      <c r="E317" s="4" t="n"/>
    </row>
    <row r="318" ht="15.75" customHeight="1" s="40">
      <c r="A318" s="4" t="n"/>
      <c r="B318" s="4" t="n"/>
      <c r="C318" s="4" t="n"/>
      <c r="D318" s="4" t="n"/>
      <c r="E318" s="4" t="n"/>
    </row>
    <row r="319" ht="15.75" customHeight="1" s="40">
      <c r="A319" s="4" t="n"/>
      <c r="B319" s="4" t="n"/>
      <c r="C319" s="4" t="n"/>
      <c r="D319" s="4" t="n"/>
      <c r="E319" s="4" t="n"/>
    </row>
    <row r="320" ht="15.75" customHeight="1" s="40">
      <c r="A320" s="4" t="n"/>
      <c r="B320" s="4" t="n"/>
      <c r="C320" s="4" t="n"/>
      <c r="D320" s="4" t="n"/>
      <c r="E320" s="4" t="n"/>
    </row>
    <row r="321" ht="15.75" customHeight="1" s="40">
      <c r="A321" s="4" t="n"/>
      <c r="B321" s="4" t="n"/>
      <c r="C321" s="4" t="n"/>
      <c r="D321" s="4" t="n"/>
      <c r="E321" s="4" t="n"/>
    </row>
    <row r="322" ht="15.75" customHeight="1" s="40">
      <c r="A322" s="4" t="n"/>
      <c r="B322" s="4" t="n"/>
      <c r="C322" s="4" t="n"/>
      <c r="D322" s="4" t="n"/>
      <c r="E322" s="4" t="n"/>
    </row>
    <row r="323" ht="15.75" customHeight="1" s="40">
      <c r="A323" s="4" t="n"/>
      <c r="B323" s="4" t="n"/>
      <c r="C323" s="4" t="n"/>
      <c r="D323" s="4" t="n"/>
      <c r="E323" s="4" t="n"/>
    </row>
    <row r="324" ht="15.75" customHeight="1" s="40">
      <c r="A324" s="4" t="n"/>
      <c r="B324" s="4" t="n"/>
      <c r="C324" s="4" t="n"/>
      <c r="D324" s="4" t="n"/>
      <c r="E324" s="4" t="n"/>
    </row>
    <row r="325" ht="15.75" customHeight="1" s="40">
      <c r="A325" s="4" t="n"/>
      <c r="B325" s="4" t="n"/>
      <c r="C325" s="4" t="n"/>
      <c r="D325" s="4" t="n"/>
      <c r="E325" s="4" t="n"/>
    </row>
    <row r="326" ht="15.75" customHeight="1" s="40">
      <c r="A326" s="4" t="n"/>
      <c r="B326" s="4" t="n"/>
      <c r="C326" s="4" t="n"/>
      <c r="D326" s="4" t="n"/>
      <c r="E326" s="4" t="n"/>
    </row>
    <row r="327" ht="15.75" customHeight="1" s="40">
      <c r="A327" s="4" t="n"/>
      <c r="B327" s="4" t="n"/>
      <c r="C327" s="4" t="n"/>
      <c r="D327" s="4" t="n"/>
      <c r="E327" s="4" t="n"/>
    </row>
    <row r="328" ht="15.75" customHeight="1" s="40">
      <c r="A328" s="4" t="n"/>
      <c r="B328" s="4" t="n"/>
      <c r="C328" s="4" t="n"/>
      <c r="D328" s="4" t="n"/>
      <c r="E328" s="4" t="n"/>
    </row>
    <row r="329" ht="15.75" customHeight="1" s="40">
      <c r="A329" s="4" t="n"/>
      <c r="B329" s="4" t="n"/>
      <c r="C329" s="4" t="n"/>
      <c r="D329" s="4" t="n"/>
      <c r="E329" s="4" t="n"/>
    </row>
    <row r="330" ht="15.75" customHeight="1" s="40">
      <c r="A330" s="4" t="n"/>
      <c r="B330" s="4" t="n"/>
      <c r="C330" s="4" t="n"/>
      <c r="D330" s="4" t="n"/>
      <c r="E330" s="4" t="n"/>
    </row>
    <row r="331" ht="15.75" customHeight="1" s="40">
      <c r="A331" s="4" t="n"/>
      <c r="B331" s="4" t="n"/>
      <c r="C331" s="4" t="n"/>
      <c r="D331" s="4" t="n"/>
      <c r="E331" s="4" t="n"/>
    </row>
    <row r="332" ht="15.75" customHeight="1" s="40">
      <c r="A332" s="4" t="n"/>
      <c r="B332" s="4" t="n"/>
      <c r="C332" s="4" t="n"/>
      <c r="D332" s="4" t="n"/>
      <c r="E332" s="4" t="n"/>
    </row>
    <row r="333" ht="15.75" customHeight="1" s="40">
      <c r="A333" s="4" t="n"/>
      <c r="B333" s="4" t="n"/>
      <c r="C333" s="4" t="n"/>
      <c r="D333" s="4" t="n"/>
      <c r="E333" s="4" t="n"/>
    </row>
    <row r="334" ht="15.75" customHeight="1" s="40">
      <c r="A334" s="4" t="n"/>
      <c r="B334" s="4" t="n"/>
      <c r="C334" s="4" t="n"/>
      <c r="D334" s="4" t="n"/>
      <c r="E334" s="4" t="n"/>
    </row>
    <row r="335" ht="15.75" customHeight="1" s="40">
      <c r="A335" s="4" t="n"/>
      <c r="B335" s="4" t="n"/>
      <c r="C335" s="4" t="n"/>
      <c r="D335" s="4" t="n"/>
      <c r="E335" s="4" t="n"/>
    </row>
    <row r="336" ht="15.75" customHeight="1" s="40">
      <c r="A336" s="4" t="n"/>
      <c r="B336" s="4" t="n"/>
      <c r="C336" s="4" t="n"/>
      <c r="D336" s="4" t="n"/>
      <c r="E336" s="4" t="n"/>
    </row>
    <row r="337" ht="15.75" customHeight="1" s="40">
      <c r="A337" s="4" t="n"/>
      <c r="B337" s="4" t="n"/>
      <c r="C337" s="4" t="n"/>
      <c r="D337" s="4" t="n"/>
      <c r="E337" s="4" t="n"/>
    </row>
    <row r="338" ht="15.75" customHeight="1" s="40">
      <c r="A338" s="4" t="n"/>
      <c r="B338" s="4" t="n"/>
      <c r="C338" s="4" t="n"/>
      <c r="D338" s="4" t="n"/>
      <c r="E338" s="4" t="n"/>
    </row>
    <row r="339" ht="15.75" customHeight="1" s="40">
      <c r="A339" s="4" t="n"/>
      <c r="B339" s="4" t="n"/>
      <c r="C339" s="4" t="n"/>
      <c r="D339" s="4" t="n"/>
      <c r="E339" s="4" t="n"/>
    </row>
    <row r="340" ht="15.75" customHeight="1" s="40">
      <c r="A340" s="4" t="n"/>
      <c r="B340" s="4" t="n"/>
      <c r="C340" s="4" t="n"/>
      <c r="D340" s="4" t="n"/>
      <c r="E340" s="4" t="n"/>
    </row>
    <row r="341" ht="15.75" customHeight="1" s="40">
      <c r="A341" s="4" t="n"/>
      <c r="B341" s="4" t="n"/>
      <c r="C341" s="4" t="n"/>
      <c r="D341" s="4" t="n"/>
      <c r="E341" s="4" t="n"/>
    </row>
    <row r="342" ht="15.75" customHeight="1" s="40">
      <c r="A342" s="4" t="n"/>
      <c r="B342" s="4" t="n"/>
      <c r="C342" s="4" t="n"/>
      <c r="D342" s="4" t="n"/>
      <c r="E342" s="4" t="n"/>
    </row>
    <row r="343" ht="15.75" customHeight="1" s="40">
      <c r="A343" s="4" t="n"/>
      <c r="B343" s="4" t="n"/>
      <c r="C343" s="4" t="n"/>
      <c r="D343" s="4" t="n"/>
      <c r="E343" s="4" t="n"/>
    </row>
    <row r="344" ht="15.75" customHeight="1" s="40">
      <c r="A344" s="4" t="n"/>
      <c r="B344" s="4" t="n"/>
      <c r="C344" s="4" t="n"/>
      <c r="D344" s="4" t="n"/>
      <c r="E344" s="4" t="n"/>
    </row>
    <row r="345" ht="15.75" customHeight="1" s="40">
      <c r="A345" s="4" t="n"/>
      <c r="B345" s="4" t="n"/>
      <c r="C345" s="4" t="n"/>
      <c r="D345" s="4" t="n"/>
      <c r="E345" s="4" t="n"/>
    </row>
    <row r="346" ht="15.75" customHeight="1" s="40">
      <c r="A346" s="4" t="n"/>
      <c r="B346" s="4" t="n"/>
      <c r="C346" s="4" t="n"/>
      <c r="D346" s="4" t="n"/>
      <c r="E346" s="4" t="n"/>
    </row>
    <row r="347" ht="15.75" customHeight="1" s="40">
      <c r="A347" s="4" t="n"/>
      <c r="B347" s="4" t="n"/>
      <c r="C347" s="4" t="n"/>
      <c r="D347" s="4" t="n"/>
      <c r="E347" s="4" t="n"/>
    </row>
    <row r="348" ht="15.75" customHeight="1" s="40">
      <c r="A348" s="4" t="n"/>
      <c r="B348" s="4" t="n"/>
      <c r="C348" s="4" t="n"/>
      <c r="D348" s="4" t="n"/>
      <c r="E348" s="4" t="n"/>
    </row>
    <row r="349" ht="15.75" customHeight="1" s="40">
      <c r="A349" s="4" t="n"/>
      <c r="B349" s="4" t="n"/>
      <c r="C349" s="4" t="n"/>
      <c r="D349" s="4" t="n"/>
      <c r="E349" s="4" t="n"/>
    </row>
    <row r="350" ht="15.75" customHeight="1" s="40">
      <c r="A350" s="4" t="n"/>
      <c r="B350" s="4" t="n"/>
      <c r="C350" s="4" t="n"/>
      <c r="D350" s="4" t="n"/>
      <c r="E350" s="4" t="n"/>
    </row>
    <row r="351" ht="15.75" customHeight="1" s="40">
      <c r="A351" s="4" t="n"/>
      <c r="B351" s="4" t="n"/>
      <c r="C351" s="4" t="n"/>
      <c r="D351" s="4" t="n"/>
      <c r="E351" s="4" t="n"/>
    </row>
    <row r="352" ht="15.75" customHeight="1" s="40">
      <c r="A352" s="4" t="n"/>
      <c r="B352" s="4" t="n"/>
      <c r="C352" s="4" t="n"/>
      <c r="D352" s="4" t="n"/>
      <c r="E352" s="4" t="n"/>
    </row>
    <row r="353" ht="15.75" customHeight="1" s="40">
      <c r="A353" s="4" t="n"/>
      <c r="B353" s="4" t="n"/>
      <c r="C353" s="4" t="n"/>
      <c r="D353" s="4" t="n"/>
      <c r="E353" s="4" t="n"/>
    </row>
    <row r="354" ht="15.75" customHeight="1" s="40">
      <c r="A354" s="4" t="n"/>
      <c r="B354" s="4" t="n"/>
      <c r="C354" s="4" t="n"/>
      <c r="D354" s="4" t="n"/>
      <c r="E354" s="4" t="n"/>
    </row>
    <row r="355" ht="15.75" customHeight="1" s="40">
      <c r="A355" s="4" t="n"/>
      <c r="B355" s="4" t="n"/>
      <c r="C355" s="4" t="n"/>
      <c r="D355" s="4" t="n"/>
      <c r="E355" s="4" t="n"/>
    </row>
    <row r="356" ht="15.75" customHeight="1" s="40">
      <c r="A356" s="4" t="n"/>
      <c r="B356" s="4" t="n"/>
      <c r="C356" s="4" t="n"/>
      <c r="D356" s="4" t="n"/>
      <c r="E356" s="4" t="n"/>
    </row>
    <row r="357" ht="15.75" customHeight="1" s="40">
      <c r="A357" s="4" t="n"/>
      <c r="B357" s="4" t="n"/>
      <c r="C357" s="4" t="n"/>
      <c r="D357" s="4" t="n"/>
      <c r="E357" s="4" t="n"/>
    </row>
    <row r="358" ht="15.75" customHeight="1" s="40">
      <c r="A358" s="4" t="n"/>
      <c r="B358" s="4" t="n"/>
      <c r="C358" s="4" t="n"/>
      <c r="D358" s="4" t="n"/>
      <c r="E358" s="4" t="n"/>
    </row>
    <row r="359" ht="15.75" customHeight="1" s="40">
      <c r="A359" s="4" t="n"/>
      <c r="B359" s="4" t="n"/>
      <c r="C359" s="4" t="n"/>
      <c r="D359" s="4" t="n"/>
      <c r="E359" s="4" t="n"/>
    </row>
    <row r="360" ht="15.75" customHeight="1" s="40">
      <c r="A360" s="4" t="n"/>
      <c r="B360" s="4" t="n"/>
      <c r="C360" s="4" t="n"/>
      <c r="D360" s="4" t="n"/>
      <c r="E360" s="4" t="n"/>
    </row>
    <row r="361" ht="15.75" customHeight="1" s="40">
      <c r="A361" s="4" t="n"/>
      <c r="B361" s="4" t="n"/>
      <c r="C361" s="4" t="n"/>
      <c r="D361" s="4" t="n"/>
      <c r="E361" s="4" t="n"/>
    </row>
    <row r="362" ht="15.75" customHeight="1" s="40">
      <c r="A362" s="4" t="n"/>
      <c r="B362" s="4" t="n"/>
      <c r="C362" s="4" t="n"/>
      <c r="D362" s="4" t="n"/>
      <c r="E362" s="4" t="n"/>
    </row>
    <row r="363" ht="15.75" customHeight="1" s="40">
      <c r="A363" s="4" t="n"/>
      <c r="B363" s="4" t="n"/>
      <c r="C363" s="4" t="n"/>
      <c r="D363" s="4" t="n"/>
      <c r="E363" s="4" t="n"/>
    </row>
    <row r="364" ht="15.75" customHeight="1" s="40">
      <c r="A364" s="4" t="n"/>
      <c r="B364" s="4" t="n"/>
      <c r="C364" s="4" t="n"/>
      <c r="D364" s="4" t="n"/>
      <c r="E364" s="4" t="n"/>
    </row>
    <row r="365" ht="15.75" customHeight="1" s="40">
      <c r="A365" s="4" t="n"/>
      <c r="B365" s="4" t="n"/>
      <c r="C365" s="4" t="n"/>
      <c r="D365" s="4" t="n"/>
      <c r="E365" s="4" t="n"/>
    </row>
    <row r="366" ht="15.75" customHeight="1" s="40">
      <c r="A366" s="4" t="n"/>
      <c r="B366" s="4" t="n"/>
      <c r="C366" s="4" t="n"/>
      <c r="D366" s="4" t="n"/>
      <c r="E366" s="4" t="n"/>
    </row>
    <row r="367" ht="15.75" customHeight="1" s="40">
      <c r="A367" s="4" t="n"/>
      <c r="B367" s="4" t="n"/>
      <c r="C367" s="4" t="n"/>
      <c r="D367" s="4" t="n"/>
      <c r="E367" s="4" t="n"/>
    </row>
    <row r="368" ht="15.75" customHeight="1" s="40">
      <c r="A368" s="4" t="n"/>
      <c r="B368" s="4" t="n"/>
      <c r="C368" s="4" t="n"/>
      <c r="D368" s="4" t="n"/>
      <c r="E368" s="4" t="n"/>
    </row>
    <row r="369" ht="15.75" customHeight="1" s="40">
      <c r="A369" s="4" t="n"/>
      <c r="B369" s="4" t="n"/>
      <c r="C369" s="4" t="n"/>
      <c r="D369" s="4" t="n"/>
      <c r="E369" s="4" t="n"/>
    </row>
    <row r="370" ht="15.75" customHeight="1" s="40">
      <c r="A370" s="4" t="n"/>
      <c r="B370" s="4" t="n"/>
      <c r="C370" s="4" t="n"/>
      <c r="D370" s="4" t="n"/>
      <c r="E370" s="4" t="n"/>
    </row>
    <row r="371" ht="15.75" customHeight="1" s="40">
      <c r="A371" s="4" t="n"/>
      <c r="B371" s="4" t="n"/>
      <c r="C371" s="4" t="n"/>
      <c r="D371" s="4" t="n"/>
      <c r="E371" s="4" t="n"/>
    </row>
    <row r="372" ht="15.75" customHeight="1" s="40">
      <c r="A372" s="4" t="n"/>
      <c r="B372" s="4" t="n"/>
      <c r="C372" s="4" t="n"/>
      <c r="D372" s="4" t="n"/>
      <c r="E372" s="4" t="n"/>
    </row>
    <row r="373" ht="15.75" customHeight="1" s="40">
      <c r="A373" s="4" t="n"/>
      <c r="B373" s="4" t="n"/>
      <c r="C373" s="4" t="n"/>
      <c r="D373" s="4" t="n"/>
      <c r="E373" s="4" t="n"/>
    </row>
    <row r="374" ht="15.75" customHeight="1" s="40">
      <c r="A374" s="4" t="n"/>
      <c r="B374" s="4" t="n"/>
      <c r="C374" s="4" t="n"/>
      <c r="D374" s="4" t="n"/>
      <c r="E374" s="4" t="n"/>
    </row>
    <row r="375" ht="15.75" customHeight="1" s="40">
      <c r="A375" s="4" t="n"/>
      <c r="B375" s="4" t="n"/>
      <c r="C375" s="4" t="n"/>
      <c r="D375" s="4" t="n"/>
      <c r="E375" s="4" t="n"/>
    </row>
    <row r="376" ht="15.75" customHeight="1" s="40">
      <c r="A376" s="4" t="n"/>
      <c r="B376" s="4" t="n"/>
      <c r="C376" s="4" t="n"/>
      <c r="D376" s="4" t="n"/>
      <c r="E376" s="4" t="n"/>
    </row>
    <row r="377" ht="15.75" customHeight="1" s="40">
      <c r="A377" s="4" t="n"/>
      <c r="B377" s="4" t="n"/>
      <c r="C377" s="4" t="n"/>
      <c r="D377" s="4" t="n"/>
      <c r="E377" s="4" t="n"/>
    </row>
    <row r="378" ht="15.75" customHeight="1" s="40">
      <c r="A378" s="4" t="n"/>
      <c r="B378" s="4" t="n"/>
      <c r="C378" s="4" t="n"/>
      <c r="D378" s="4" t="n"/>
      <c r="E378" s="4" t="n"/>
    </row>
    <row r="379" ht="15.75" customHeight="1" s="40">
      <c r="A379" s="4" t="n"/>
      <c r="B379" s="4" t="n"/>
      <c r="C379" s="4" t="n"/>
      <c r="D379" s="4" t="n"/>
      <c r="E379" s="4" t="n"/>
    </row>
    <row r="380" ht="15.75" customHeight="1" s="40">
      <c r="A380" s="4" t="n"/>
      <c r="B380" s="4" t="n"/>
      <c r="C380" s="4" t="n"/>
      <c r="D380" s="4" t="n"/>
      <c r="E380" s="4" t="n"/>
    </row>
    <row r="381" ht="15.75" customHeight="1" s="40">
      <c r="A381" s="4" t="n"/>
      <c r="B381" s="4" t="n"/>
      <c r="C381" s="4" t="n"/>
      <c r="D381" s="4" t="n"/>
      <c r="E381" s="4" t="n"/>
    </row>
    <row r="382" ht="15.75" customHeight="1" s="40">
      <c r="A382" s="4" t="n"/>
      <c r="B382" s="4" t="n"/>
      <c r="C382" s="4" t="n"/>
      <c r="D382" s="4" t="n"/>
      <c r="E382" s="4" t="n"/>
    </row>
    <row r="383" ht="15.75" customHeight="1" s="40">
      <c r="A383" s="4" t="n"/>
      <c r="B383" s="4" t="n"/>
      <c r="C383" s="4" t="n"/>
      <c r="D383" s="4" t="n"/>
      <c r="E383" s="4" t="n"/>
    </row>
    <row r="384" ht="15.75" customHeight="1" s="40">
      <c r="A384" s="4" t="n"/>
      <c r="B384" s="4" t="n"/>
      <c r="C384" s="4" t="n"/>
      <c r="D384" s="4" t="n"/>
      <c r="E384" s="4" t="n"/>
    </row>
    <row r="385" ht="15.75" customHeight="1" s="40">
      <c r="A385" s="4" t="n"/>
      <c r="B385" s="4" t="n"/>
      <c r="C385" s="4" t="n"/>
      <c r="D385" s="4" t="n"/>
      <c r="E385" s="4" t="n"/>
    </row>
    <row r="386" ht="15.75" customHeight="1" s="40">
      <c r="A386" s="4" t="n"/>
      <c r="B386" s="4" t="n"/>
      <c r="C386" s="4" t="n"/>
      <c r="D386" s="4" t="n"/>
      <c r="E386" s="4" t="n"/>
    </row>
    <row r="387" ht="15.75" customHeight="1" s="40">
      <c r="A387" s="4" t="n"/>
      <c r="B387" s="4" t="n"/>
      <c r="C387" s="4" t="n"/>
      <c r="D387" s="4" t="n"/>
      <c r="E387" s="4" t="n"/>
    </row>
    <row r="388" ht="15.75" customHeight="1" s="40">
      <c r="A388" s="4" t="n"/>
      <c r="B388" s="4" t="n"/>
      <c r="C388" s="4" t="n"/>
      <c r="D388" s="4" t="n"/>
      <c r="E388" s="4" t="n"/>
    </row>
    <row r="389" ht="15.75" customHeight="1" s="40">
      <c r="A389" s="4" t="n"/>
      <c r="B389" s="4" t="n"/>
      <c r="C389" s="4" t="n"/>
      <c r="D389" s="4" t="n"/>
      <c r="E389" s="4" t="n"/>
    </row>
    <row r="390" ht="15.75" customHeight="1" s="40">
      <c r="A390" s="4" t="n"/>
      <c r="B390" s="4" t="n"/>
      <c r="C390" s="4" t="n"/>
      <c r="D390" s="4" t="n"/>
      <c r="E390" s="4" t="n"/>
    </row>
    <row r="391" ht="15.75" customHeight="1" s="40">
      <c r="A391" s="4" t="n"/>
      <c r="B391" s="4" t="n"/>
      <c r="C391" s="4" t="n"/>
      <c r="D391" s="4" t="n"/>
      <c r="E391" s="4" t="n"/>
    </row>
    <row r="392" ht="15.75" customHeight="1" s="40">
      <c r="A392" s="4" t="n"/>
      <c r="B392" s="4" t="n"/>
      <c r="C392" s="4" t="n"/>
      <c r="D392" s="4" t="n"/>
      <c r="E392" s="4" t="n"/>
    </row>
    <row r="393" ht="15.75" customHeight="1" s="40">
      <c r="A393" s="4" t="n"/>
      <c r="B393" s="4" t="n"/>
      <c r="C393" s="4" t="n"/>
      <c r="D393" s="4" t="n"/>
      <c r="E393" s="4" t="n"/>
    </row>
    <row r="394" ht="15.75" customHeight="1" s="40">
      <c r="A394" s="4" t="n"/>
      <c r="B394" s="4" t="n"/>
      <c r="C394" s="4" t="n"/>
      <c r="D394" s="4" t="n"/>
      <c r="E394" s="4" t="n"/>
    </row>
    <row r="395" ht="15.75" customHeight="1" s="40">
      <c r="A395" s="4" t="n"/>
      <c r="B395" s="4" t="n"/>
      <c r="C395" s="4" t="n"/>
      <c r="D395" s="4" t="n"/>
      <c r="E395" s="4" t="n"/>
    </row>
    <row r="396" ht="15.75" customHeight="1" s="40">
      <c r="A396" s="4" t="n"/>
      <c r="B396" s="4" t="n"/>
      <c r="C396" s="4" t="n"/>
      <c r="D396" s="4" t="n"/>
      <c r="E396" s="4" t="n"/>
    </row>
    <row r="397" ht="15.75" customHeight="1" s="40">
      <c r="A397" s="4" t="n"/>
      <c r="B397" s="4" t="n"/>
      <c r="C397" s="4" t="n"/>
      <c r="D397" s="4" t="n"/>
      <c r="E397" s="4" t="n"/>
    </row>
    <row r="398" ht="15.75" customHeight="1" s="40">
      <c r="A398" s="4" t="n"/>
      <c r="B398" s="4" t="n"/>
      <c r="C398" s="4" t="n"/>
      <c r="D398" s="4" t="n"/>
      <c r="E398" s="4" t="n"/>
    </row>
    <row r="399" ht="15.75" customHeight="1" s="40">
      <c r="A399" s="4" t="n"/>
      <c r="B399" s="4" t="n"/>
      <c r="C399" s="4" t="n"/>
      <c r="D399" s="4" t="n"/>
      <c r="E399" s="4" t="n"/>
    </row>
    <row r="400" ht="15.75" customHeight="1" s="40">
      <c r="A400" s="4" t="n"/>
      <c r="B400" s="4" t="n"/>
      <c r="C400" s="4" t="n"/>
      <c r="D400" s="4" t="n"/>
      <c r="E400" s="4" t="n"/>
    </row>
    <row r="401" ht="15.75" customHeight="1" s="40">
      <c r="A401" s="4" t="n"/>
      <c r="B401" s="4" t="n"/>
      <c r="C401" s="4" t="n"/>
      <c r="D401" s="4" t="n"/>
      <c r="E401" s="4" t="n"/>
    </row>
    <row r="402" ht="15.75" customHeight="1" s="40">
      <c r="A402" s="4" t="n"/>
      <c r="B402" s="4" t="n"/>
      <c r="C402" s="4" t="n"/>
      <c r="D402" s="4" t="n"/>
      <c r="E402" s="4" t="n"/>
    </row>
    <row r="403" ht="15.75" customHeight="1" s="40">
      <c r="A403" s="4" t="n"/>
      <c r="B403" s="4" t="n"/>
      <c r="C403" s="4" t="n"/>
      <c r="D403" s="4" t="n"/>
      <c r="E403" s="4" t="n"/>
    </row>
    <row r="404" ht="15.75" customHeight="1" s="40">
      <c r="A404" s="4" t="n"/>
      <c r="B404" s="4" t="n"/>
      <c r="C404" s="4" t="n"/>
      <c r="D404" s="4" t="n"/>
      <c r="E404" s="4" t="n"/>
    </row>
    <row r="405" ht="15.75" customHeight="1" s="40">
      <c r="A405" s="4" t="n"/>
      <c r="B405" s="4" t="n"/>
      <c r="C405" s="4" t="n"/>
      <c r="D405" s="4" t="n"/>
      <c r="E405" s="4" t="n"/>
    </row>
    <row r="406" ht="15.75" customHeight="1" s="40">
      <c r="A406" s="4" t="n"/>
      <c r="B406" s="4" t="n"/>
      <c r="C406" s="4" t="n"/>
      <c r="D406" s="4" t="n"/>
      <c r="E406" s="4" t="n"/>
    </row>
    <row r="407" ht="15.75" customHeight="1" s="40">
      <c r="A407" s="4" t="n"/>
      <c r="B407" s="4" t="n"/>
      <c r="C407" s="4" t="n"/>
      <c r="D407" s="4" t="n"/>
      <c r="E407" s="4" t="n"/>
    </row>
    <row r="408" ht="15.75" customHeight="1" s="40">
      <c r="A408" s="4" t="n"/>
      <c r="B408" s="4" t="n"/>
      <c r="C408" s="4" t="n"/>
      <c r="D408" s="4" t="n"/>
      <c r="E408" s="4" t="n"/>
    </row>
    <row r="409" ht="15.75" customHeight="1" s="40">
      <c r="A409" s="4" t="n"/>
      <c r="B409" s="4" t="n"/>
      <c r="C409" s="4" t="n"/>
      <c r="D409" s="4" t="n"/>
      <c r="E409" s="4" t="n"/>
    </row>
    <row r="410" ht="15.75" customHeight="1" s="40">
      <c r="A410" s="4" t="n"/>
      <c r="B410" s="4" t="n"/>
      <c r="C410" s="4" t="n"/>
      <c r="D410" s="4" t="n"/>
      <c r="E410" s="4" t="n"/>
    </row>
    <row r="411" ht="15.75" customHeight="1" s="40">
      <c r="A411" s="4" t="n"/>
      <c r="B411" s="4" t="n"/>
      <c r="C411" s="4" t="n"/>
      <c r="D411" s="4" t="n"/>
      <c r="E411" s="4" t="n"/>
    </row>
    <row r="412" ht="15.75" customHeight="1" s="40">
      <c r="A412" s="4" t="n"/>
      <c r="B412" s="4" t="n"/>
      <c r="C412" s="4" t="n"/>
      <c r="D412" s="4" t="n"/>
      <c r="E412" s="4" t="n"/>
    </row>
    <row r="413" ht="15.75" customHeight="1" s="40">
      <c r="A413" s="4" t="n"/>
      <c r="B413" s="4" t="n"/>
      <c r="C413" s="4" t="n"/>
      <c r="D413" s="4" t="n"/>
      <c r="E413" s="4" t="n"/>
    </row>
    <row r="414" ht="15.75" customHeight="1" s="40">
      <c r="A414" s="4" t="n"/>
      <c r="B414" s="4" t="n"/>
      <c r="C414" s="4" t="n"/>
      <c r="D414" s="4" t="n"/>
      <c r="E414" s="4" t="n"/>
    </row>
    <row r="415" ht="15.75" customHeight="1" s="40">
      <c r="A415" s="4" t="n"/>
      <c r="B415" s="4" t="n"/>
      <c r="C415" s="4" t="n"/>
      <c r="D415" s="4" t="n"/>
      <c r="E415" s="4" t="n"/>
    </row>
    <row r="416" ht="15.75" customHeight="1" s="40">
      <c r="A416" s="4" t="n"/>
      <c r="B416" s="4" t="n"/>
      <c r="C416" s="4" t="n"/>
      <c r="D416" s="4" t="n"/>
      <c r="E416" s="4" t="n"/>
    </row>
    <row r="417" ht="15.75" customHeight="1" s="40">
      <c r="A417" s="4" t="n"/>
      <c r="B417" s="4" t="n"/>
      <c r="C417" s="4" t="n"/>
      <c r="D417" s="4" t="n"/>
      <c r="E417" s="4" t="n"/>
    </row>
    <row r="418" ht="15.75" customHeight="1" s="40">
      <c r="A418" s="4" t="n"/>
      <c r="B418" s="4" t="n"/>
      <c r="C418" s="4" t="n"/>
      <c r="D418" s="4" t="n"/>
      <c r="E418" s="4" t="n"/>
    </row>
    <row r="419" ht="15.75" customHeight="1" s="40">
      <c r="A419" s="4" t="n"/>
      <c r="B419" s="4" t="n"/>
      <c r="C419" s="4" t="n"/>
      <c r="D419" s="4" t="n"/>
      <c r="E419" s="4" t="n"/>
    </row>
    <row r="420" ht="15.75" customHeight="1" s="40">
      <c r="A420" s="4" t="n"/>
      <c r="B420" s="4" t="n"/>
      <c r="C420" s="4" t="n"/>
      <c r="D420" s="4" t="n"/>
      <c r="E420" s="4" t="n"/>
    </row>
    <row r="421" ht="15.75" customHeight="1" s="40">
      <c r="A421" s="4" t="n"/>
      <c r="B421" s="4" t="n"/>
      <c r="C421" s="4" t="n"/>
      <c r="D421" s="4" t="n"/>
      <c r="E421" s="4" t="n"/>
    </row>
    <row r="422" ht="15.75" customHeight="1" s="40">
      <c r="A422" s="4" t="n"/>
      <c r="B422" s="4" t="n"/>
      <c r="C422" s="4" t="n"/>
      <c r="D422" s="4" t="n"/>
      <c r="E422" s="4" t="n"/>
    </row>
    <row r="423" ht="15.75" customHeight="1" s="40">
      <c r="A423" s="4" t="n"/>
      <c r="B423" s="4" t="n"/>
      <c r="C423" s="4" t="n"/>
      <c r="D423" s="4" t="n"/>
      <c r="E423" s="4" t="n"/>
    </row>
    <row r="424" ht="15.75" customHeight="1" s="40">
      <c r="A424" s="4" t="n"/>
      <c r="B424" s="4" t="n"/>
      <c r="C424" s="4" t="n"/>
      <c r="D424" s="4" t="n"/>
      <c r="E424" s="4" t="n"/>
    </row>
    <row r="425" ht="15.75" customHeight="1" s="40">
      <c r="A425" s="4" t="n"/>
      <c r="B425" s="4" t="n"/>
      <c r="C425" s="4" t="n"/>
      <c r="D425" s="4" t="n"/>
      <c r="E425" s="4" t="n"/>
    </row>
    <row r="426" ht="15.75" customHeight="1" s="40">
      <c r="A426" s="4" t="n"/>
      <c r="B426" s="4" t="n"/>
      <c r="C426" s="4" t="n"/>
      <c r="D426" s="4" t="n"/>
      <c r="E426" s="4" t="n"/>
    </row>
    <row r="427" ht="15.75" customHeight="1" s="40">
      <c r="A427" s="4" t="n"/>
      <c r="B427" s="4" t="n"/>
      <c r="C427" s="4" t="n"/>
      <c r="D427" s="4" t="n"/>
      <c r="E427" s="4" t="n"/>
    </row>
    <row r="428" ht="15.75" customHeight="1" s="40">
      <c r="A428" s="4" t="n"/>
      <c r="B428" s="4" t="n"/>
      <c r="C428" s="4" t="n"/>
      <c r="D428" s="4" t="n"/>
      <c r="E428" s="4" t="n"/>
    </row>
    <row r="429" ht="15.75" customHeight="1" s="40">
      <c r="A429" s="4" t="n"/>
      <c r="B429" s="4" t="n"/>
      <c r="C429" s="4" t="n"/>
      <c r="D429" s="4" t="n"/>
      <c r="E429" s="4" t="n"/>
    </row>
    <row r="430" ht="15.75" customHeight="1" s="40">
      <c r="A430" s="4" t="n"/>
      <c r="B430" s="4" t="n"/>
      <c r="C430" s="4" t="n"/>
      <c r="D430" s="4" t="n"/>
      <c r="E430" s="4" t="n"/>
    </row>
    <row r="431" ht="15.75" customHeight="1" s="40">
      <c r="A431" s="4" t="n"/>
      <c r="B431" s="4" t="n"/>
      <c r="C431" s="4" t="n"/>
      <c r="D431" s="4" t="n"/>
      <c r="E431" s="4" t="n"/>
    </row>
    <row r="432" ht="15.75" customHeight="1" s="40">
      <c r="A432" s="4" t="n"/>
      <c r="B432" s="4" t="n"/>
      <c r="C432" s="4" t="n"/>
      <c r="D432" s="4" t="n"/>
      <c r="E432" s="4" t="n"/>
    </row>
    <row r="433" ht="15.75" customHeight="1" s="40">
      <c r="A433" s="4" t="n"/>
      <c r="B433" s="4" t="n"/>
      <c r="C433" s="4" t="n"/>
      <c r="D433" s="4" t="n"/>
      <c r="E433" s="4" t="n"/>
    </row>
    <row r="434" ht="15.75" customHeight="1" s="40">
      <c r="A434" s="4" t="n"/>
      <c r="B434" s="4" t="n"/>
      <c r="C434" s="4" t="n"/>
      <c r="D434" s="4" t="n"/>
      <c r="E434" s="4" t="n"/>
    </row>
    <row r="435" ht="15.75" customHeight="1" s="40">
      <c r="A435" s="4" t="n"/>
      <c r="B435" s="4" t="n"/>
      <c r="C435" s="4" t="n"/>
      <c r="D435" s="4" t="n"/>
      <c r="E435" s="4" t="n"/>
    </row>
    <row r="436" ht="15.75" customHeight="1" s="40">
      <c r="A436" s="4" t="n"/>
      <c r="B436" s="4" t="n"/>
      <c r="C436" s="4" t="n"/>
      <c r="D436" s="4" t="n"/>
      <c r="E436" s="4" t="n"/>
    </row>
    <row r="437" ht="15.75" customHeight="1" s="40">
      <c r="A437" s="4" t="n"/>
      <c r="B437" s="4" t="n"/>
      <c r="C437" s="4" t="n"/>
      <c r="D437" s="4" t="n"/>
      <c r="E437" s="4" t="n"/>
    </row>
    <row r="438" ht="15.75" customHeight="1" s="40">
      <c r="A438" s="4" t="n"/>
      <c r="B438" s="4" t="n"/>
      <c r="C438" s="4" t="n"/>
      <c r="D438" s="4" t="n"/>
      <c r="E438" s="4" t="n"/>
    </row>
    <row r="439" ht="15.75" customHeight="1" s="40">
      <c r="A439" s="4" t="n"/>
      <c r="B439" s="4" t="n"/>
      <c r="C439" s="4" t="n"/>
      <c r="D439" s="4" t="n"/>
      <c r="E439" s="4" t="n"/>
    </row>
    <row r="440" ht="15.75" customHeight="1" s="40">
      <c r="A440" s="4" t="n"/>
      <c r="B440" s="4" t="n"/>
      <c r="C440" s="4" t="n"/>
      <c r="D440" s="4" t="n"/>
      <c r="E440" s="4" t="n"/>
    </row>
    <row r="441" ht="15.75" customHeight="1" s="40">
      <c r="A441" s="4" t="n"/>
      <c r="B441" s="4" t="n"/>
      <c r="C441" s="4" t="n"/>
      <c r="D441" s="4" t="n"/>
      <c r="E441" s="4" t="n"/>
    </row>
    <row r="442" ht="15.75" customHeight="1" s="40">
      <c r="A442" s="4" t="n"/>
      <c r="B442" s="4" t="n"/>
      <c r="C442" s="4" t="n"/>
      <c r="D442" s="4" t="n"/>
      <c r="E442" s="4" t="n"/>
    </row>
    <row r="443" ht="15.75" customHeight="1" s="40">
      <c r="A443" s="4" t="n"/>
      <c r="B443" s="4" t="n"/>
      <c r="C443" s="4" t="n"/>
      <c r="D443" s="4" t="n"/>
      <c r="E443" s="4" t="n"/>
    </row>
    <row r="444" ht="15.75" customHeight="1" s="40">
      <c r="A444" s="4" t="n"/>
      <c r="B444" s="4" t="n"/>
      <c r="C444" s="4" t="n"/>
      <c r="D444" s="4" t="n"/>
      <c r="E444" s="4" t="n"/>
    </row>
    <row r="445" ht="15.75" customHeight="1" s="40">
      <c r="A445" s="4" t="n"/>
      <c r="B445" s="4" t="n"/>
      <c r="C445" s="4" t="n"/>
      <c r="D445" s="4" t="n"/>
      <c r="E445" s="4" t="n"/>
    </row>
    <row r="446" ht="15.75" customHeight="1" s="40">
      <c r="A446" s="4" t="n"/>
      <c r="B446" s="4" t="n"/>
      <c r="C446" s="4" t="n"/>
      <c r="D446" s="4" t="n"/>
      <c r="E446" s="4" t="n"/>
    </row>
    <row r="447" ht="15.75" customHeight="1" s="40">
      <c r="A447" s="4" t="n"/>
      <c r="B447" s="4" t="n"/>
      <c r="C447" s="4" t="n"/>
      <c r="D447" s="4" t="n"/>
      <c r="E447" s="4" t="n"/>
    </row>
    <row r="448" ht="15.75" customHeight="1" s="40">
      <c r="A448" s="4" t="n"/>
      <c r="B448" s="4" t="n"/>
      <c r="C448" s="4" t="n"/>
      <c r="D448" s="4" t="n"/>
      <c r="E448" s="4" t="n"/>
    </row>
    <row r="449" ht="15.75" customHeight="1" s="40">
      <c r="A449" s="4" t="n"/>
      <c r="B449" s="4" t="n"/>
      <c r="C449" s="4" t="n"/>
      <c r="D449" s="4" t="n"/>
      <c r="E449" s="4" t="n"/>
    </row>
    <row r="450" ht="15.75" customHeight="1" s="40">
      <c r="A450" s="4" t="n"/>
      <c r="B450" s="4" t="n"/>
      <c r="C450" s="4" t="n"/>
      <c r="D450" s="4" t="n"/>
      <c r="E450" s="4" t="n"/>
    </row>
    <row r="451" ht="15.75" customHeight="1" s="40">
      <c r="A451" s="4" t="n"/>
      <c r="B451" s="4" t="n"/>
      <c r="C451" s="4" t="n"/>
      <c r="D451" s="4" t="n"/>
      <c r="E451" s="4" t="n"/>
    </row>
    <row r="452" ht="15.75" customHeight="1" s="40">
      <c r="A452" s="4" t="n"/>
      <c r="B452" s="4" t="n"/>
      <c r="C452" s="4" t="n"/>
      <c r="D452" s="4" t="n"/>
      <c r="E452" s="4" t="n"/>
    </row>
    <row r="453" ht="15.75" customHeight="1" s="40">
      <c r="A453" s="4" t="n"/>
      <c r="B453" s="4" t="n"/>
      <c r="C453" s="4" t="n"/>
      <c r="D453" s="4" t="n"/>
      <c r="E453" s="4" t="n"/>
    </row>
    <row r="454" ht="15.75" customHeight="1" s="40">
      <c r="A454" s="4" t="n"/>
      <c r="B454" s="4" t="n"/>
      <c r="C454" s="4" t="n"/>
      <c r="D454" s="4" t="n"/>
      <c r="E454" s="4" t="n"/>
    </row>
    <row r="455" ht="15.75" customHeight="1" s="40">
      <c r="A455" s="4" t="n"/>
      <c r="B455" s="4" t="n"/>
      <c r="C455" s="4" t="n"/>
      <c r="D455" s="4" t="n"/>
      <c r="E455" s="4" t="n"/>
    </row>
    <row r="456" ht="15.75" customHeight="1" s="40">
      <c r="A456" s="4" t="n"/>
      <c r="B456" s="4" t="n"/>
      <c r="C456" s="4" t="n"/>
      <c r="D456" s="4" t="n"/>
      <c r="E456" s="4" t="n"/>
    </row>
    <row r="457" ht="15.75" customHeight="1" s="40">
      <c r="A457" s="4" t="n"/>
      <c r="B457" s="4" t="n"/>
      <c r="C457" s="4" t="n"/>
      <c r="D457" s="4" t="n"/>
      <c r="E457" s="4" t="n"/>
    </row>
    <row r="458" ht="15.75" customHeight="1" s="40">
      <c r="A458" s="4" t="n"/>
      <c r="B458" s="4" t="n"/>
      <c r="C458" s="4" t="n"/>
      <c r="D458" s="4" t="n"/>
      <c r="E458" s="4" t="n"/>
    </row>
    <row r="459" ht="15.75" customHeight="1" s="40">
      <c r="A459" s="4" t="n"/>
      <c r="B459" s="4" t="n"/>
      <c r="C459" s="4" t="n"/>
      <c r="D459" s="4" t="n"/>
      <c r="E459" s="4" t="n"/>
    </row>
    <row r="460" ht="15.75" customHeight="1" s="40">
      <c r="A460" s="4" t="n"/>
      <c r="B460" s="4" t="n"/>
      <c r="C460" s="4" t="n"/>
      <c r="D460" s="4" t="n"/>
      <c r="E460" s="4" t="n"/>
    </row>
    <row r="461" ht="15.75" customHeight="1" s="40">
      <c r="A461" s="4" t="n"/>
      <c r="B461" s="4" t="n"/>
      <c r="C461" s="4" t="n"/>
      <c r="D461" s="4" t="n"/>
      <c r="E461" s="4" t="n"/>
    </row>
    <row r="462" ht="15.75" customHeight="1" s="40">
      <c r="A462" s="4" t="n"/>
      <c r="B462" s="4" t="n"/>
      <c r="C462" s="4" t="n"/>
      <c r="D462" s="4" t="n"/>
      <c r="E462" s="4" t="n"/>
    </row>
    <row r="463" ht="15.75" customHeight="1" s="40">
      <c r="A463" s="4" t="n"/>
      <c r="B463" s="4" t="n"/>
      <c r="C463" s="4" t="n"/>
      <c r="D463" s="4" t="n"/>
      <c r="E463" s="4" t="n"/>
    </row>
    <row r="464" ht="15.75" customHeight="1" s="40">
      <c r="A464" s="4" t="n"/>
      <c r="B464" s="4" t="n"/>
      <c r="C464" s="4" t="n"/>
      <c r="D464" s="4" t="n"/>
      <c r="E464" s="4" t="n"/>
    </row>
    <row r="465" ht="15.75" customHeight="1" s="40">
      <c r="A465" s="4" t="n"/>
      <c r="B465" s="4" t="n"/>
      <c r="C465" s="4" t="n"/>
      <c r="D465" s="4" t="n"/>
      <c r="E465" s="4" t="n"/>
    </row>
    <row r="466" ht="15.75" customHeight="1" s="40">
      <c r="A466" s="4" t="n"/>
      <c r="B466" s="4" t="n"/>
      <c r="C466" s="4" t="n"/>
      <c r="D466" s="4" t="n"/>
      <c r="E466" s="4" t="n"/>
    </row>
    <row r="467" ht="15.75" customHeight="1" s="40">
      <c r="A467" s="4" t="n"/>
      <c r="B467" s="4" t="n"/>
      <c r="C467" s="4" t="n"/>
      <c r="D467" s="4" t="n"/>
      <c r="E467" s="4" t="n"/>
    </row>
    <row r="468" ht="15.75" customHeight="1" s="40">
      <c r="A468" s="4" t="n"/>
      <c r="B468" s="4" t="n"/>
      <c r="C468" s="4" t="n"/>
      <c r="D468" s="4" t="n"/>
      <c r="E468" s="4" t="n"/>
    </row>
    <row r="469" ht="15.75" customHeight="1" s="40">
      <c r="A469" s="4" t="n"/>
      <c r="B469" s="4" t="n"/>
      <c r="C469" s="4" t="n"/>
      <c r="D469" s="4" t="n"/>
      <c r="E469" s="4" t="n"/>
    </row>
    <row r="470" ht="15.75" customHeight="1" s="40">
      <c r="A470" s="4" t="n"/>
      <c r="B470" s="4" t="n"/>
      <c r="C470" s="4" t="n"/>
      <c r="D470" s="4" t="n"/>
      <c r="E470" s="4" t="n"/>
    </row>
    <row r="471" ht="15.75" customHeight="1" s="40">
      <c r="A471" s="4" t="n"/>
      <c r="B471" s="4" t="n"/>
      <c r="C471" s="4" t="n"/>
      <c r="D471" s="4" t="n"/>
      <c r="E471" s="4" t="n"/>
    </row>
    <row r="472" ht="15.75" customHeight="1" s="40">
      <c r="A472" s="4" t="n"/>
      <c r="B472" s="4" t="n"/>
      <c r="C472" s="4" t="n"/>
      <c r="D472" s="4" t="n"/>
      <c r="E472" s="4" t="n"/>
    </row>
    <row r="473" ht="15.75" customHeight="1" s="40">
      <c r="A473" s="4" t="n"/>
      <c r="B473" s="4" t="n"/>
      <c r="C473" s="4" t="n"/>
      <c r="D473" s="4" t="n"/>
      <c r="E473" s="4" t="n"/>
    </row>
    <row r="474" ht="15.75" customHeight="1" s="40">
      <c r="A474" s="4" t="n"/>
      <c r="B474" s="4" t="n"/>
      <c r="C474" s="4" t="n"/>
      <c r="D474" s="4" t="n"/>
      <c r="E474" s="4" t="n"/>
    </row>
    <row r="475" ht="15.75" customHeight="1" s="40">
      <c r="A475" s="4" t="n"/>
      <c r="B475" s="4" t="n"/>
      <c r="C475" s="4" t="n"/>
      <c r="D475" s="4" t="n"/>
      <c r="E475" s="4" t="n"/>
    </row>
    <row r="476" ht="15.75" customHeight="1" s="40">
      <c r="A476" s="4" t="n"/>
      <c r="B476" s="4" t="n"/>
      <c r="C476" s="4" t="n"/>
      <c r="D476" s="4" t="n"/>
      <c r="E476" s="4" t="n"/>
    </row>
    <row r="477" ht="15.75" customHeight="1" s="40">
      <c r="A477" s="4" t="n"/>
      <c r="B477" s="4" t="n"/>
      <c r="C477" s="4" t="n"/>
      <c r="D477" s="4" t="n"/>
      <c r="E477" s="4" t="n"/>
    </row>
    <row r="478" ht="15.75" customHeight="1" s="40">
      <c r="A478" s="4" t="n"/>
      <c r="B478" s="4" t="n"/>
      <c r="C478" s="4" t="n"/>
      <c r="D478" s="4" t="n"/>
      <c r="E478" s="4" t="n"/>
    </row>
    <row r="479" ht="15.75" customHeight="1" s="40">
      <c r="A479" s="4" t="n"/>
      <c r="B479" s="4" t="n"/>
      <c r="C479" s="4" t="n"/>
      <c r="D479" s="4" t="n"/>
      <c r="E479" s="4" t="n"/>
    </row>
    <row r="480" ht="15.75" customHeight="1" s="40">
      <c r="A480" s="4" t="n"/>
      <c r="B480" s="4" t="n"/>
      <c r="C480" s="4" t="n"/>
      <c r="D480" s="4" t="n"/>
      <c r="E480" s="4" t="n"/>
    </row>
    <row r="481" ht="15.75" customHeight="1" s="40">
      <c r="A481" s="4" t="n"/>
      <c r="B481" s="4" t="n"/>
      <c r="C481" s="4" t="n"/>
      <c r="D481" s="4" t="n"/>
      <c r="E481" s="4" t="n"/>
    </row>
    <row r="482" ht="15.75" customHeight="1" s="40">
      <c r="A482" s="4" t="n"/>
      <c r="B482" s="4" t="n"/>
      <c r="C482" s="4" t="n"/>
      <c r="D482" s="4" t="n"/>
      <c r="E482" s="4" t="n"/>
    </row>
    <row r="483" ht="15.75" customHeight="1" s="40">
      <c r="A483" s="4" t="n"/>
      <c r="B483" s="4" t="n"/>
      <c r="C483" s="4" t="n"/>
      <c r="D483" s="4" t="n"/>
      <c r="E483" s="4" t="n"/>
    </row>
    <row r="484" ht="15.75" customHeight="1" s="40">
      <c r="A484" s="4" t="n"/>
      <c r="B484" s="4" t="n"/>
      <c r="C484" s="4" t="n"/>
      <c r="D484" s="4" t="n"/>
      <c r="E484" s="4" t="n"/>
    </row>
    <row r="485" ht="15.75" customHeight="1" s="40">
      <c r="A485" s="4" t="n"/>
      <c r="B485" s="4" t="n"/>
      <c r="C485" s="4" t="n"/>
      <c r="D485" s="4" t="n"/>
      <c r="E485" s="4" t="n"/>
    </row>
    <row r="486" ht="15.75" customHeight="1" s="40">
      <c r="A486" s="4" t="n"/>
      <c r="B486" s="4" t="n"/>
      <c r="C486" s="4" t="n"/>
      <c r="D486" s="4" t="n"/>
      <c r="E486" s="4" t="n"/>
    </row>
    <row r="487" ht="15.75" customHeight="1" s="40">
      <c r="A487" s="4" t="n"/>
      <c r="B487" s="4" t="n"/>
      <c r="C487" s="4" t="n"/>
      <c r="D487" s="4" t="n"/>
      <c r="E487" s="4" t="n"/>
    </row>
    <row r="488" ht="15.75" customHeight="1" s="40">
      <c r="A488" s="4" t="n"/>
      <c r="B488" s="4" t="n"/>
      <c r="C488" s="4" t="n"/>
      <c r="D488" s="4" t="n"/>
      <c r="E488" s="4" t="n"/>
    </row>
    <row r="489" ht="15.75" customHeight="1" s="40">
      <c r="A489" s="4" t="n"/>
      <c r="B489" s="4" t="n"/>
      <c r="C489" s="4" t="n"/>
      <c r="D489" s="4" t="n"/>
      <c r="E489" s="4" t="n"/>
    </row>
    <row r="490" ht="15.75" customHeight="1" s="40">
      <c r="A490" s="4" t="n"/>
      <c r="B490" s="4" t="n"/>
      <c r="C490" s="4" t="n"/>
      <c r="D490" s="4" t="n"/>
      <c r="E490" s="4" t="n"/>
    </row>
    <row r="491" ht="15.75" customHeight="1" s="40">
      <c r="A491" s="4" t="n"/>
      <c r="B491" s="4" t="n"/>
      <c r="C491" s="4" t="n"/>
      <c r="D491" s="4" t="n"/>
      <c r="E491" s="4" t="n"/>
    </row>
    <row r="492" ht="15.75" customHeight="1" s="40">
      <c r="A492" s="4" t="n"/>
      <c r="B492" s="4" t="n"/>
      <c r="C492" s="4" t="n"/>
      <c r="D492" s="4" t="n"/>
      <c r="E492" s="4" t="n"/>
    </row>
    <row r="493" ht="15.75" customHeight="1" s="40">
      <c r="A493" s="4" t="n"/>
      <c r="B493" s="4" t="n"/>
      <c r="C493" s="4" t="n"/>
      <c r="D493" s="4" t="n"/>
      <c r="E493" s="4" t="n"/>
    </row>
    <row r="494" ht="15.75" customHeight="1" s="40">
      <c r="A494" s="4" t="n"/>
      <c r="B494" s="4" t="n"/>
      <c r="C494" s="4" t="n"/>
      <c r="D494" s="4" t="n"/>
      <c r="E494" s="4" t="n"/>
    </row>
    <row r="495" ht="15.75" customHeight="1" s="40">
      <c r="A495" s="4" t="n"/>
      <c r="B495" s="4" t="n"/>
      <c r="C495" s="4" t="n"/>
      <c r="D495" s="4" t="n"/>
      <c r="E495" s="4" t="n"/>
    </row>
    <row r="496" ht="15.75" customHeight="1" s="40">
      <c r="A496" s="4" t="n"/>
      <c r="B496" s="4" t="n"/>
      <c r="C496" s="4" t="n"/>
      <c r="D496" s="4" t="n"/>
      <c r="E496" s="4" t="n"/>
    </row>
    <row r="497" ht="15.75" customHeight="1" s="40">
      <c r="A497" s="4" t="n"/>
      <c r="B497" s="4" t="n"/>
      <c r="C497" s="4" t="n"/>
      <c r="D497" s="4" t="n"/>
      <c r="E497" s="4" t="n"/>
    </row>
    <row r="498" ht="15.75" customHeight="1" s="40">
      <c r="A498" s="4" t="n"/>
      <c r="B498" s="4" t="n"/>
      <c r="C498" s="4" t="n"/>
      <c r="D498" s="4" t="n"/>
      <c r="E498" s="4" t="n"/>
    </row>
    <row r="499" ht="15.75" customHeight="1" s="40">
      <c r="A499" s="4" t="n"/>
      <c r="B499" s="4" t="n"/>
      <c r="C499" s="4" t="n"/>
      <c r="D499" s="4" t="n"/>
      <c r="E499" s="4" t="n"/>
    </row>
    <row r="500" ht="15.75" customHeight="1" s="40">
      <c r="A500" s="4" t="n"/>
      <c r="B500" s="4" t="n"/>
      <c r="C500" s="4" t="n"/>
      <c r="D500" s="4" t="n"/>
      <c r="E500" s="4" t="n"/>
    </row>
    <row r="501" ht="15.75" customHeight="1" s="40">
      <c r="A501" s="4" t="n"/>
      <c r="B501" s="4" t="n"/>
      <c r="C501" s="4" t="n"/>
      <c r="D501" s="4" t="n"/>
      <c r="E501" s="4" t="n"/>
    </row>
    <row r="502" ht="15.75" customHeight="1" s="40">
      <c r="A502" s="4" t="n"/>
      <c r="B502" s="4" t="n"/>
      <c r="C502" s="4" t="n"/>
      <c r="D502" s="4" t="n"/>
      <c r="E502" s="4" t="n"/>
    </row>
    <row r="503" ht="15.75" customHeight="1" s="40">
      <c r="A503" s="4" t="n"/>
      <c r="B503" s="4" t="n"/>
      <c r="C503" s="4" t="n"/>
      <c r="D503" s="4" t="n"/>
      <c r="E503" s="4" t="n"/>
    </row>
    <row r="504" ht="15.75" customHeight="1" s="40">
      <c r="A504" s="4" t="n"/>
      <c r="B504" s="4" t="n"/>
      <c r="C504" s="4" t="n"/>
      <c r="D504" s="4" t="n"/>
      <c r="E504" s="4" t="n"/>
    </row>
    <row r="505" ht="15.75" customHeight="1" s="40">
      <c r="A505" s="4" t="n"/>
      <c r="B505" s="4" t="n"/>
      <c r="C505" s="4" t="n"/>
      <c r="D505" s="4" t="n"/>
      <c r="E505" s="4" t="n"/>
    </row>
    <row r="506" ht="15.75" customHeight="1" s="40">
      <c r="A506" s="4" t="n"/>
      <c r="B506" s="4" t="n"/>
      <c r="C506" s="4" t="n"/>
      <c r="D506" s="4" t="n"/>
      <c r="E506" s="4" t="n"/>
    </row>
    <row r="507" ht="15.75" customHeight="1" s="40">
      <c r="A507" s="4" t="n"/>
      <c r="B507" s="4" t="n"/>
      <c r="C507" s="4" t="n"/>
      <c r="D507" s="4" t="n"/>
      <c r="E507" s="4" t="n"/>
    </row>
    <row r="508" ht="15.75" customHeight="1" s="40">
      <c r="A508" s="4" t="n"/>
      <c r="B508" s="4" t="n"/>
      <c r="C508" s="4" t="n"/>
      <c r="D508" s="4" t="n"/>
      <c r="E508" s="4" t="n"/>
    </row>
    <row r="509" ht="15.75" customHeight="1" s="40">
      <c r="A509" s="4" t="n"/>
      <c r="B509" s="4" t="n"/>
      <c r="C509" s="4" t="n"/>
      <c r="D509" s="4" t="n"/>
      <c r="E509" s="4" t="n"/>
    </row>
    <row r="510" ht="15.75" customHeight="1" s="40">
      <c r="A510" s="4" t="n"/>
      <c r="B510" s="4" t="n"/>
      <c r="C510" s="4" t="n"/>
      <c r="D510" s="4" t="n"/>
      <c r="E510" s="4" t="n"/>
    </row>
    <row r="511" ht="15.75" customHeight="1" s="40">
      <c r="A511" s="4" t="n"/>
      <c r="B511" s="4" t="n"/>
      <c r="C511" s="4" t="n"/>
      <c r="D511" s="4" t="n"/>
      <c r="E511" s="4" t="n"/>
    </row>
    <row r="512" ht="15.75" customHeight="1" s="40">
      <c r="A512" s="4" t="n"/>
      <c r="B512" s="4" t="n"/>
      <c r="C512" s="4" t="n"/>
      <c r="D512" s="4" t="n"/>
      <c r="E512" s="4" t="n"/>
    </row>
    <row r="513" ht="15.75" customHeight="1" s="40">
      <c r="A513" s="4" t="n"/>
      <c r="B513" s="4" t="n"/>
      <c r="C513" s="4" t="n"/>
      <c r="D513" s="4" t="n"/>
      <c r="E513" s="4" t="n"/>
    </row>
    <row r="514" ht="15.75" customHeight="1" s="40">
      <c r="A514" s="4" t="n"/>
      <c r="B514" s="4" t="n"/>
      <c r="C514" s="4" t="n"/>
      <c r="D514" s="4" t="n"/>
      <c r="E514" s="4" t="n"/>
    </row>
    <row r="515" ht="15.75" customHeight="1" s="40">
      <c r="A515" s="4" t="n"/>
      <c r="B515" s="4" t="n"/>
      <c r="C515" s="4" t="n"/>
      <c r="D515" s="4" t="n"/>
      <c r="E515" s="4" t="n"/>
    </row>
    <row r="516" ht="15.75" customHeight="1" s="40">
      <c r="A516" s="4" t="n"/>
      <c r="B516" s="4" t="n"/>
      <c r="C516" s="4" t="n"/>
      <c r="D516" s="4" t="n"/>
      <c r="E516" s="4" t="n"/>
    </row>
    <row r="517" ht="15.75" customHeight="1" s="40">
      <c r="A517" s="4" t="n"/>
      <c r="B517" s="4" t="n"/>
      <c r="C517" s="4" t="n"/>
      <c r="D517" s="4" t="n"/>
      <c r="E517" s="4" t="n"/>
    </row>
    <row r="518" ht="15.75" customHeight="1" s="40">
      <c r="A518" s="4" t="n"/>
      <c r="B518" s="4" t="n"/>
      <c r="C518" s="4" t="n"/>
      <c r="D518" s="4" t="n"/>
      <c r="E518" s="4" t="n"/>
    </row>
    <row r="519" ht="15.75" customHeight="1" s="40">
      <c r="A519" s="4" t="n"/>
      <c r="B519" s="4" t="n"/>
      <c r="C519" s="4" t="n"/>
      <c r="D519" s="4" t="n"/>
      <c r="E519" s="4" t="n"/>
    </row>
    <row r="520" ht="15.75" customHeight="1" s="40">
      <c r="A520" s="4" t="n"/>
      <c r="B520" s="4" t="n"/>
      <c r="C520" s="4" t="n"/>
      <c r="D520" s="4" t="n"/>
      <c r="E520" s="4" t="n"/>
    </row>
    <row r="521" ht="15.75" customHeight="1" s="40">
      <c r="A521" s="4" t="n"/>
      <c r="B521" s="4" t="n"/>
      <c r="C521" s="4" t="n"/>
      <c r="D521" s="4" t="n"/>
      <c r="E521" s="4" t="n"/>
    </row>
    <row r="522" ht="15.75" customHeight="1" s="40">
      <c r="A522" s="4" t="n"/>
      <c r="B522" s="4" t="n"/>
      <c r="C522" s="4" t="n"/>
      <c r="D522" s="4" t="n"/>
      <c r="E522" s="4" t="n"/>
    </row>
    <row r="523" ht="15.75" customHeight="1" s="40">
      <c r="A523" s="4" t="n"/>
      <c r="B523" s="4" t="n"/>
      <c r="C523" s="4" t="n"/>
      <c r="D523" s="4" t="n"/>
      <c r="E523" s="4" t="n"/>
    </row>
    <row r="524" ht="15.75" customHeight="1" s="40">
      <c r="A524" s="4" t="n"/>
      <c r="B524" s="4" t="n"/>
      <c r="C524" s="4" t="n"/>
      <c r="D524" s="4" t="n"/>
      <c r="E524" s="4" t="n"/>
    </row>
    <row r="525" ht="15.75" customHeight="1" s="40">
      <c r="A525" s="4" t="n"/>
      <c r="B525" s="4" t="n"/>
      <c r="C525" s="4" t="n"/>
      <c r="D525" s="4" t="n"/>
      <c r="E525" s="4" t="n"/>
    </row>
    <row r="526" ht="15.75" customHeight="1" s="40">
      <c r="A526" s="4" t="n"/>
      <c r="B526" s="4" t="n"/>
      <c r="C526" s="4" t="n"/>
      <c r="D526" s="4" t="n"/>
      <c r="E526" s="4" t="n"/>
    </row>
    <row r="527" ht="15.75" customHeight="1" s="40">
      <c r="A527" s="4" t="n"/>
      <c r="B527" s="4" t="n"/>
      <c r="C527" s="4" t="n"/>
      <c r="D527" s="4" t="n"/>
      <c r="E527" s="4" t="n"/>
    </row>
    <row r="528" ht="15.75" customHeight="1" s="40">
      <c r="A528" s="4" t="n"/>
      <c r="B528" s="4" t="n"/>
      <c r="C528" s="4" t="n"/>
      <c r="D528" s="4" t="n"/>
      <c r="E528" s="4" t="n"/>
    </row>
    <row r="529" ht="15.75" customHeight="1" s="40">
      <c r="A529" s="4" t="n"/>
      <c r="B529" s="4" t="n"/>
      <c r="C529" s="4" t="n"/>
      <c r="D529" s="4" t="n"/>
      <c r="E529" s="4" t="n"/>
    </row>
    <row r="530" ht="15.75" customHeight="1" s="40">
      <c r="A530" s="4" t="n"/>
      <c r="B530" s="4" t="n"/>
      <c r="C530" s="4" t="n"/>
      <c r="D530" s="4" t="n"/>
      <c r="E530" s="4" t="n"/>
    </row>
    <row r="531" ht="15.75" customHeight="1" s="40">
      <c r="A531" s="4" t="n"/>
      <c r="B531" s="4" t="n"/>
      <c r="C531" s="4" t="n"/>
      <c r="D531" s="4" t="n"/>
      <c r="E531" s="4" t="n"/>
    </row>
    <row r="532" ht="15.75" customHeight="1" s="40">
      <c r="A532" s="4" t="n"/>
      <c r="B532" s="4" t="n"/>
      <c r="C532" s="4" t="n"/>
      <c r="D532" s="4" t="n"/>
      <c r="E532" s="4" t="n"/>
    </row>
    <row r="533" ht="15.75" customHeight="1" s="40">
      <c r="A533" s="4" t="n"/>
      <c r="B533" s="4" t="n"/>
      <c r="C533" s="4" t="n"/>
      <c r="D533" s="4" t="n"/>
      <c r="E533" s="4" t="n"/>
    </row>
    <row r="534" ht="15.75" customHeight="1" s="40">
      <c r="A534" s="4" t="n"/>
      <c r="B534" s="4" t="n"/>
      <c r="C534" s="4" t="n"/>
      <c r="D534" s="4" t="n"/>
      <c r="E534" s="4" t="n"/>
    </row>
    <row r="535" ht="15.75" customHeight="1" s="40">
      <c r="A535" s="4" t="n"/>
      <c r="B535" s="4" t="n"/>
      <c r="C535" s="4" t="n"/>
      <c r="D535" s="4" t="n"/>
      <c r="E535" s="4" t="n"/>
    </row>
    <row r="536" ht="15.75" customHeight="1" s="40">
      <c r="A536" s="4" t="n"/>
      <c r="B536" s="4" t="n"/>
      <c r="C536" s="4" t="n"/>
      <c r="D536" s="4" t="n"/>
      <c r="E536" s="4" t="n"/>
    </row>
    <row r="537" ht="15.75" customHeight="1" s="40">
      <c r="A537" s="4" t="n"/>
      <c r="B537" s="4" t="n"/>
      <c r="C537" s="4" t="n"/>
      <c r="D537" s="4" t="n"/>
      <c r="E537" s="4" t="n"/>
    </row>
    <row r="538" ht="15.75" customHeight="1" s="40">
      <c r="A538" s="4" t="n"/>
      <c r="B538" s="4" t="n"/>
      <c r="C538" s="4" t="n"/>
      <c r="D538" s="4" t="n"/>
      <c r="E538" s="4" t="n"/>
    </row>
    <row r="539" ht="15.75" customHeight="1" s="40">
      <c r="A539" s="4" t="n"/>
      <c r="B539" s="4" t="n"/>
      <c r="C539" s="4" t="n"/>
      <c r="D539" s="4" t="n"/>
      <c r="E539" s="4" t="n"/>
    </row>
    <row r="540" ht="15.75" customHeight="1" s="40">
      <c r="A540" s="4" t="n"/>
      <c r="B540" s="4" t="n"/>
      <c r="C540" s="4" t="n"/>
      <c r="D540" s="4" t="n"/>
      <c r="E540" s="4" t="n"/>
    </row>
    <row r="541" ht="15.75" customHeight="1" s="40">
      <c r="A541" s="4" t="n"/>
      <c r="B541" s="4" t="n"/>
      <c r="C541" s="4" t="n"/>
      <c r="D541" s="4" t="n"/>
      <c r="E541" s="4" t="n"/>
    </row>
    <row r="542" ht="15.75" customHeight="1" s="40">
      <c r="A542" s="4" t="n"/>
      <c r="B542" s="4" t="n"/>
      <c r="C542" s="4" t="n"/>
      <c r="D542" s="4" t="n"/>
      <c r="E542" s="4" t="n"/>
    </row>
    <row r="543" ht="15.75" customHeight="1" s="40">
      <c r="A543" s="4" t="n"/>
      <c r="B543" s="4" t="n"/>
      <c r="C543" s="4" t="n"/>
      <c r="D543" s="4" t="n"/>
      <c r="E543" s="4" t="n"/>
    </row>
    <row r="544" ht="15.75" customHeight="1" s="40">
      <c r="A544" s="4" t="n"/>
      <c r="B544" s="4" t="n"/>
      <c r="C544" s="4" t="n"/>
      <c r="D544" s="4" t="n"/>
      <c r="E544" s="4" t="n"/>
    </row>
    <row r="545" ht="15.75" customHeight="1" s="40">
      <c r="A545" s="4" t="n"/>
      <c r="B545" s="4" t="n"/>
      <c r="C545" s="4" t="n"/>
      <c r="D545" s="4" t="n"/>
      <c r="E545" s="4" t="n"/>
    </row>
    <row r="546" ht="15.75" customHeight="1" s="40">
      <c r="A546" s="4" t="n"/>
      <c r="B546" s="4" t="n"/>
      <c r="C546" s="4" t="n"/>
      <c r="D546" s="4" t="n"/>
      <c r="E546" s="4" t="n"/>
    </row>
    <row r="547" ht="15.75" customHeight="1" s="40">
      <c r="A547" s="4" t="n"/>
      <c r="B547" s="4" t="n"/>
      <c r="C547" s="4" t="n"/>
      <c r="D547" s="4" t="n"/>
      <c r="E547" s="4" t="n"/>
    </row>
    <row r="548" ht="15.75" customHeight="1" s="40">
      <c r="A548" s="4" t="n"/>
      <c r="B548" s="4" t="n"/>
      <c r="C548" s="4" t="n"/>
      <c r="D548" s="4" t="n"/>
      <c r="E548" s="4" t="n"/>
    </row>
    <row r="549" ht="15.75" customHeight="1" s="40">
      <c r="A549" s="4" t="n"/>
      <c r="B549" s="4" t="n"/>
      <c r="C549" s="4" t="n"/>
      <c r="D549" s="4" t="n"/>
      <c r="E549" s="4" t="n"/>
    </row>
    <row r="550" ht="15.75" customHeight="1" s="40">
      <c r="A550" s="4" t="n"/>
      <c r="B550" s="4" t="n"/>
      <c r="C550" s="4" t="n"/>
      <c r="D550" s="4" t="n"/>
      <c r="E550" s="4" t="n"/>
    </row>
    <row r="551" ht="15.75" customHeight="1" s="40">
      <c r="A551" s="4" t="n"/>
      <c r="B551" s="4" t="n"/>
      <c r="C551" s="4" t="n"/>
      <c r="D551" s="4" t="n"/>
      <c r="E551" s="4" t="n"/>
    </row>
    <row r="552" ht="15.75" customHeight="1" s="40">
      <c r="A552" s="4" t="n"/>
      <c r="B552" s="4" t="n"/>
      <c r="C552" s="4" t="n"/>
      <c r="D552" s="4" t="n"/>
      <c r="E552" s="4" t="n"/>
    </row>
    <row r="553" ht="15.75" customHeight="1" s="40">
      <c r="A553" s="4" t="n"/>
      <c r="B553" s="4" t="n"/>
      <c r="C553" s="4" t="n"/>
      <c r="D553" s="4" t="n"/>
      <c r="E553" s="4" t="n"/>
    </row>
    <row r="554" ht="15.75" customHeight="1" s="40">
      <c r="A554" s="4" t="n"/>
      <c r="B554" s="4" t="n"/>
      <c r="C554" s="4" t="n"/>
      <c r="D554" s="4" t="n"/>
      <c r="E554" s="4" t="n"/>
    </row>
    <row r="555" ht="15.75" customHeight="1" s="40">
      <c r="A555" s="4" t="n"/>
      <c r="B555" s="4" t="n"/>
      <c r="C555" s="4" t="n"/>
      <c r="D555" s="4" t="n"/>
      <c r="E555" s="4" t="n"/>
    </row>
    <row r="556" ht="15.75" customHeight="1" s="40">
      <c r="A556" s="4" t="n"/>
      <c r="B556" s="4" t="n"/>
      <c r="C556" s="4" t="n"/>
      <c r="D556" s="4" t="n"/>
      <c r="E556" s="4" t="n"/>
    </row>
    <row r="557" ht="15.75" customHeight="1" s="40">
      <c r="A557" s="4" t="n"/>
      <c r="B557" s="4" t="n"/>
      <c r="C557" s="4" t="n"/>
      <c r="D557" s="4" t="n"/>
      <c r="E557" s="4" t="n"/>
    </row>
    <row r="558" ht="15.75" customHeight="1" s="40">
      <c r="A558" s="4" t="n"/>
      <c r="B558" s="4" t="n"/>
      <c r="C558" s="4" t="n"/>
      <c r="D558" s="4" t="n"/>
      <c r="E558" s="4" t="n"/>
    </row>
    <row r="559" ht="15.75" customHeight="1" s="40">
      <c r="A559" s="4" t="n"/>
      <c r="B559" s="4" t="n"/>
      <c r="C559" s="4" t="n"/>
      <c r="D559" s="4" t="n"/>
      <c r="E559" s="4" t="n"/>
    </row>
    <row r="560" ht="15.75" customHeight="1" s="40">
      <c r="A560" s="4" t="n"/>
      <c r="B560" s="4" t="n"/>
      <c r="C560" s="4" t="n"/>
      <c r="D560" s="4" t="n"/>
      <c r="E560" s="4" t="n"/>
    </row>
    <row r="561" ht="15.75" customHeight="1" s="40">
      <c r="A561" s="4" t="n"/>
      <c r="B561" s="4" t="n"/>
      <c r="C561" s="4" t="n"/>
      <c r="D561" s="4" t="n"/>
      <c r="E561" s="4" t="n"/>
    </row>
    <row r="562" ht="15.75" customHeight="1" s="40">
      <c r="A562" s="4" t="n"/>
      <c r="B562" s="4" t="n"/>
      <c r="C562" s="4" t="n"/>
      <c r="D562" s="4" t="n"/>
      <c r="E562" s="4" t="n"/>
    </row>
    <row r="563" ht="15.75" customHeight="1" s="40">
      <c r="A563" s="4" t="n"/>
      <c r="B563" s="4" t="n"/>
      <c r="C563" s="4" t="n"/>
      <c r="D563" s="4" t="n"/>
      <c r="E563" s="4" t="n"/>
    </row>
    <row r="564" ht="15.75" customHeight="1" s="40">
      <c r="A564" s="4" t="n"/>
      <c r="B564" s="4" t="n"/>
      <c r="C564" s="4" t="n"/>
      <c r="D564" s="4" t="n"/>
      <c r="E564" s="4" t="n"/>
    </row>
    <row r="565" ht="15.75" customHeight="1" s="40">
      <c r="A565" s="4" t="n"/>
      <c r="B565" s="4" t="n"/>
      <c r="C565" s="4" t="n"/>
      <c r="D565" s="4" t="n"/>
      <c r="E565" s="4" t="n"/>
    </row>
    <row r="566" ht="15.75" customHeight="1" s="40">
      <c r="A566" s="4" t="n"/>
      <c r="B566" s="4" t="n"/>
      <c r="C566" s="4" t="n"/>
      <c r="D566" s="4" t="n"/>
      <c r="E566" s="4" t="n"/>
    </row>
    <row r="567" ht="15.75" customHeight="1" s="40">
      <c r="A567" s="4" t="n"/>
      <c r="B567" s="4" t="n"/>
      <c r="C567" s="4" t="n"/>
      <c r="D567" s="4" t="n"/>
      <c r="E567" s="4" t="n"/>
    </row>
    <row r="568" ht="15.75" customHeight="1" s="40">
      <c r="A568" s="4" t="n"/>
      <c r="B568" s="4" t="n"/>
      <c r="C568" s="4" t="n"/>
      <c r="D568" s="4" t="n"/>
      <c r="E568" s="4" t="n"/>
    </row>
    <row r="569" ht="15.75" customHeight="1" s="40">
      <c r="A569" s="4" t="n"/>
      <c r="B569" s="4" t="n"/>
      <c r="C569" s="4" t="n"/>
      <c r="D569" s="4" t="n"/>
      <c r="E569" s="4" t="n"/>
    </row>
    <row r="570" ht="15.75" customHeight="1" s="40">
      <c r="A570" s="4" t="n"/>
      <c r="B570" s="4" t="n"/>
      <c r="C570" s="4" t="n"/>
      <c r="D570" s="4" t="n"/>
      <c r="E570" s="4" t="n"/>
    </row>
    <row r="571" ht="15.75" customHeight="1" s="40">
      <c r="A571" s="4" t="n"/>
      <c r="B571" s="4" t="n"/>
      <c r="C571" s="4" t="n"/>
      <c r="D571" s="4" t="n"/>
      <c r="E571" s="4" t="n"/>
    </row>
    <row r="572" ht="15.75" customHeight="1" s="40">
      <c r="A572" s="4" t="n"/>
      <c r="B572" s="4" t="n"/>
      <c r="C572" s="4" t="n"/>
      <c r="D572" s="4" t="n"/>
      <c r="E572" s="4" t="n"/>
    </row>
    <row r="573" ht="15.75" customHeight="1" s="40">
      <c r="A573" s="4" t="n"/>
      <c r="B573" s="4" t="n"/>
      <c r="C573" s="4" t="n"/>
      <c r="D573" s="4" t="n"/>
      <c r="E573" s="4" t="n"/>
    </row>
    <row r="574" ht="15.75" customHeight="1" s="40">
      <c r="A574" s="4" t="n"/>
      <c r="B574" s="4" t="n"/>
      <c r="C574" s="4" t="n"/>
      <c r="D574" s="4" t="n"/>
      <c r="E574" s="4" t="n"/>
    </row>
    <row r="575" ht="15.75" customHeight="1" s="40">
      <c r="A575" s="4" t="n"/>
      <c r="B575" s="4" t="n"/>
      <c r="C575" s="4" t="n"/>
      <c r="D575" s="4" t="n"/>
      <c r="E575" s="4" t="n"/>
    </row>
    <row r="576" ht="15.75" customHeight="1" s="40">
      <c r="A576" s="4" t="n"/>
      <c r="B576" s="4" t="n"/>
      <c r="C576" s="4" t="n"/>
      <c r="D576" s="4" t="n"/>
      <c r="E576" s="4" t="n"/>
    </row>
    <row r="577" ht="15.75" customHeight="1" s="40">
      <c r="A577" s="4" t="n"/>
      <c r="B577" s="4" t="n"/>
      <c r="C577" s="4" t="n"/>
      <c r="D577" s="4" t="n"/>
      <c r="E577" s="4" t="n"/>
    </row>
    <row r="578" ht="15.75" customHeight="1" s="40">
      <c r="A578" s="4" t="n"/>
      <c r="B578" s="4" t="n"/>
      <c r="C578" s="4" t="n"/>
      <c r="D578" s="4" t="n"/>
      <c r="E578" s="4" t="n"/>
    </row>
    <row r="579" ht="15.75" customHeight="1" s="40">
      <c r="A579" s="4" t="n"/>
      <c r="B579" s="4" t="n"/>
      <c r="C579" s="4" t="n"/>
      <c r="D579" s="4" t="n"/>
      <c r="E579" s="4" t="n"/>
    </row>
    <row r="580" ht="15.75" customHeight="1" s="40">
      <c r="A580" s="4" t="n"/>
      <c r="B580" s="4" t="n"/>
      <c r="C580" s="4" t="n"/>
      <c r="D580" s="4" t="n"/>
      <c r="E580" s="4" t="n"/>
    </row>
    <row r="581" ht="15.75" customHeight="1" s="40">
      <c r="A581" s="4" t="n"/>
      <c r="B581" s="4" t="n"/>
      <c r="C581" s="4" t="n"/>
      <c r="D581" s="4" t="n"/>
      <c r="E581" s="4" t="n"/>
    </row>
    <row r="582" ht="15.75" customHeight="1" s="40">
      <c r="A582" s="4" t="n"/>
      <c r="B582" s="4" t="n"/>
      <c r="C582" s="4" t="n"/>
      <c r="D582" s="4" t="n"/>
      <c r="E582" s="4" t="n"/>
    </row>
    <row r="583" ht="15.75" customHeight="1" s="40">
      <c r="A583" s="4" t="n"/>
      <c r="B583" s="4" t="n"/>
      <c r="C583" s="4" t="n"/>
      <c r="D583" s="4" t="n"/>
      <c r="E583" s="4" t="n"/>
    </row>
    <row r="584" ht="15.75" customHeight="1" s="40">
      <c r="A584" s="4" t="n"/>
      <c r="B584" s="4" t="n"/>
      <c r="C584" s="4" t="n"/>
      <c r="D584" s="4" t="n"/>
      <c r="E584" s="4" t="n"/>
    </row>
    <row r="585" ht="15.75" customHeight="1" s="40">
      <c r="A585" s="4" t="n"/>
      <c r="B585" s="4" t="n"/>
      <c r="C585" s="4" t="n"/>
      <c r="D585" s="4" t="n"/>
      <c r="E585" s="4" t="n"/>
    </row>
    <row r="586" ht="15.75" customHeight="1" s="40">
      <c r="A586" s="4" t="n"/>
      <c r="B586" s="4" t="n"/>
      <c r="C586" s="4" t="n"/>
      <c r="D586" s="4" t="n"/>
      <c r="E586" s="4" t="n"/>
    </row>
    <row r="587" ht="15.75" customHeight="1" s="40">
      <c r="A587" s="4" t="n"/>
      <c r="B587" s="4" t="n"/>
      <c r="C587" s="4" t="n"/>
      <c r="D587" s="4" t="n"/>
      <c r="E587" s="4" t="n"/>
    </row>
    <row r="588" ht="15.75" customHeight="1" s="40">
      <c r="A588" s="4" t="n"/>
      <c r="B588" s="4" t="n"/>
      <c r="C588" s="4" t="n"/>
      <c r="D588" s="4" t="n"/>
      <c r="E588" s="4" t="n"/>
    </row>
    <row r="589" ht="15.75" customHeight="1" s="40">
      <c r="A589" s="4" t="n"/>
      <c r="B589" s="4" t="n"/>
      <c r="C589" s="4" t="n"/>
      <c r="D589" s="4" t="n"/>
      <c r="E589" s="4" t="n"/>
    </row>
    <row r="590" ht="15.75" customHeight="1" s="40">
      <c r="A590" s="4" t="n"/>
      <c r="B590" s="4" t="n"/>
      <c r="C590" s="4" t="n"/>
      <c r="D590" s="4" t="n"/>
      <c r="E590" s="4" t="n"/>
    </row>
    <row r="591" ht="15.75" customHeight="1" s="40">
      <c r="A591" s="4" t="n"/>
      <c r="B591" s="4" t="n"/>
      <c r="C591" s="4" t="n"/>
      <c r="D591" s="4" t="n"/>
      <c r="E591" s="4" t="n"/>
    </row>
    <row r="592" ht="15.75" customHeight="1" s="40">
      <c r="A592" s="4" t="n"/>
      <c r="B592" s="4" t="n"/>
      <c r="C592" s="4" t="n"/>
      <c r="D592" s="4" t="n"/>
      <c r="E592" s="4" t="n"/>
    </row>
    <row r="593" ht="15.75" customHeight="1" s="40">
      <c r="A593" s="4" t="n"/>
      <c r="B593" s="4" t="n"/>
      <c r="C593" s="4" t="n"/>
      <c r="D593" s="4" t="n"/>
      <c r="E593" s="4" t="n"/>
    </row>
    <row r="594" ht="15.75" customHeight="1" s="40">
      <c r="A594" s="4" t="n"/>
      <c r="B594" s="4" t="n"/>
      <c r="C594" s="4" t="n"/>
      <c r="D594" s="4" t="n"/>
      <c r="E594" s="4" t="n"/>
    </row>
    <row r="595" ht="15.75" customHeight="1" s="40">
      <c r="A595" s="4" t="n"/>
      <c r="B595" s="4" t="n"/>
      <c r="C595" s="4" t="n"/>
      <c r="D595" s="4" t="n"/>
      <c r="E595" s="4" t="n"/>
    </row>
    <row r="596" ht="15.75" customHeight="1" s="40">
      <c r="A596" s="4" t="n"/>
      <c r="B596" s="4" t="n"/>
      <c r="C596" s="4" t="n"/>
      <c r="D596" s="4" t="n"/>
      <c r="E596" s="4" t="n"/>
    </row>
    <row r="597" ht="15.75" customHeight="1" s="40">
      <c r="A597" s="4" t="n"/>
      <c r="B597" s="4" t="n"/>
      <c r="C597" s="4" t="n"/>
      <c r="D597" s="4" t="n"/>
      <c r="E597" s="4" t="n"/>
    </row>
    <row r="598" ht="15.75" customHeight="1" s="40">
      <c r="A598" s="4" t="n"/>
      <c r="B598" s="4" t="n"/>
      <c r="C598" s="4" t="n"/>
      <c r="D598" s="4" t="n"/>
      <c r="E598" s="4" t="n"/>
    </row>
    <row r="599" ht="15.75" customHeight="1" s="40">
      <c r="A599" s="4" t="n"/>
      <c r="B599" s="4" t="n"/>
      <c r="C599" s="4" t="n"/>
      <c r="D599" s="4" t="n"/>
      <c r="E599" s="4" t="n"/>
    </row>
    <row r="600" ht="15.75" customHeight="1" s="40">
      <c r="A600" s="4" t="n"/>
      <c r="B600" s="4" t="n"/>
      <c r="C600" s="4" t="n"/>
      <c r="D600" s="4" t="n"/>
      <c r="E600" s="4" t="n"/>
    </row>
    <row r="601" ht="15.75" customHeight="1" s="40">
      <c r="A601" s="4" t="n"/>
      <c r="B601" s="4" t="n"/>
      <c r="C601" s="4" t="n"/>
      <c r="D601" s="4" t="n"/>
      <c r="E601" s="4" t="n"/>
    </row>
    <row r="602" ht="15.75" customHeight="1" s="40">
      <c r="A602" s="4" t="n"/>
      <c r="B602" s="4" t="n"/>
      <c r="C602" s="4" t="n"/>
      <c r="D602" s="4" t="n"/>
      <c r="E602" s="4" t="n"/>
    </row>
    <row r="603" ht="15.75" customHeight="1" s="40">
      <c r="A603" s="4" t="n"/>
      <c r="B603" s="4" t="n"/>
      <c r="C603" s="4" t="n"/>
      <c r="D603" s="4" t="n"/>
      <c r="E603" s="4" t="n"/>
    </row>
    <row r="604" ht="15.75" customHeight="1" s="40">
      <c r="A604" s="4" t="n"/>
      <c r="B604" s="4" t="n"/>
      <c r="C604" s="4" t="n"/>
      <c r="D604" s="4" t="n"/>
      <c r="E604" s="4" t="n"/>
    </row>
    <row r="605" ht="15.75" customHeight="1" s="40">
      <c r="A605" s="4" t="n"/>
      <c r="B605" s="4" t="n"/>
      <c r="C605" s="4" t="n"/>
      <c r="D605" s="4" t="n"/>
      <c r="E605" s="4" t="n"/>
    </row>
    <row r="606" ht="15.75" customHeight="1" s="40">
      <c r="A606" s="4" t="n"/>
      <c r="B606" s="4" t="n"/>
      <c r="C606" s="4" t="n"/>
      <c r="D606" s="4" t="n"/>
      <c r="E606" s="4" t="n"/>
    </row>
    <row r="607" ht="15.75" customHeight="1" s="40">
      <c r="A607" s="4" t="n"/>
      <c r="B607" s="4" t="n"/>
      <c r="C607" s="4" t="n"/>
      <c r="D607" s="4" t="n"/>
      <c r="E607" s="4" t="n"/>
    </row>
    <row r="608" ht="15.75" customHeight="1" s="40">
      <c r="A608" s="4" t="n"/>
      <c r="B608" s="4" t="n"/>
      <c r="C608" s="4" t="n"/>
      <c r="D608" s="4" t="n"/>
      <c r="E608" s="4" t="n"/>
    </row>
    <row r="609" ht="15.75" customHeight="1" s="40">
      <c r="A609" s="4" t="n"/>
      <c r="B609" s="4" t="n"/>
      <c r="C609" s="4" t="n"/>
      <c r="D609" s="4" t="n"/>
      <c r="E609" s="4" t="n"/>
    </row>
    <row r="610" ht="15.75" customHeight="1" s="40">
      <c r="A610" s="4" t="n"/>
      <c r="B610" s="4" t="n"/>
      <c r="C610" s="4" t="n"/>
      <c r="D610" s="4" t="n"/>
      <c r="E610" s="4" t="n"/>
    </row>
    <row r="611" ht="15.75" customHeight="1" s="40">
      <c r="A611" s="4" t="n"/>
      <c r="B611" s="4" t="n"/>
      <c r="C611" s="4" t="n"/>
      <c r="D611" s="4" t="n"/>
      <c r="E611" s="4" t="n"/>
    </row>
    <row r="612" ht="15.75" customHeight="1" s="40">
      <c r="A612" s="4" t="n"/>
      <c r="B612" s="4" t="n"/>
      <c r="C612" s="4" t="n"/>
      <c r="D612" s="4" t="n"/>
      <c r="E612" s="4" t="n"/>
    </row>
    <row r="613" ht="15.75" customHeight="1" s="40">
      <c r="A613" s="4" t="n"/>
      <c r="B613" s="4" t="n"/>
      <c r="C613" s="4" t="n"/>
      <c r="D613" s="4" t="n"/>
      <c r="E613" s="4" t="n"/>
    </row>
    <row r="614" ht="15.75" customHeight="1" s="40">
      <c r="A614" s="4" t="n"/>
      <c r="B614" s="4" t="n"/>
      <c r="C614" s="4" t="n"/>
      <c r="D614" s="4" t="n"/>
      <c r="E614" s="4" t="n"/>
    </row>
    <row r="615" ht="15.75" customHeight="1" s="40">
      <c r="A615" s="4" t="n"/>
      <c r="B615" s="4" t="n"/>
      <c r="C615" s="4" t="n"/>
      <c r="D615" s="4" t="n"/>
      <c r="E615" s="4" t="n"/>
    </row>
    <row r="616" ht="15.75" customHeight="1" s="40">
      <c r="A616" s="4" t="n"/>
      <c r="B616" s="4" t="n"/>
      <c r="C616" s="4" t="n"/>
      <c r="D616" s="4" t="n"/>
      <c r="E616" s="4" t="n"/>
    </row>
    <row r="617" ht="15.75" customHeight="1" s="40">
      <c r="A617" s="4" t="n"/>
      <c r="B617" s="4" t="n"/>
      <c r="C617" s="4" t="n"/>
      <c r="D617" s="4" t="n"/>
      <c r="E617" s="4" t="n"/>
    </row>
    <row r="618" ht="15.75" customHeight="1" s="40">
      <c r="A618" s="4" t="n"/>
      <c r="B618" s="4" t="n"/>
      <c r="C618" s="4" t="n"/>
      <c r="D618" s="4" t="n"/>
      <c r="E618" s="4" t="n"/>
    </row>
    <row r="619" ht="15.75" customHeight="1" s="40">
      <c r="A619" s="4" t="n"/>
      <c r="B619" s="4" t="n"/>
      <c r="C619" s="4" t="n"/>
      <c r="D619" s="4" t="n"/>
      <c r="E619" s="4" t="n"/>
    </row>
    <row r="620" ht="15.75" customHeight="1" s="40">
      <c r="A620" s="4" t="n"/>
      <c r="B620" s="4" t="n"/>
      <c r="C620" s="4" t="n"/>
      <c r="D620" s="4" t="n"/>
      <c r="E620" s="4" t="n"/>
    </row>
    <row r="621" ht="15.75" customHeight="1" s="40">
      <c r="A621" s="4" t="n"/>
      <c r="B621" s="4" t="n"/>
      <c r="C621" s="4" t="n"/>
      <c r="D621" s="4" t="n"/>
      <c r="E621" s="4" t="n"/>
    </row>
    <row r="622" ht="15.75" customHeight="1" s="40">
      <c r="A622" s="4" t="n"/>
      <c r="B622" s="4" t="n"/>
      <c r="C622" s="4" t="n"/>
      <c r="D622" s="4" t="n"/>
      <c r="E622" s="4" t="n"/>
    </row>
    <row r="623" ht="15.75" customHeight="1" s="40">
      <c r="A623" s="4" t="n"/>
      <c r="B623" s="4" t="n"/>
      <c r="C623" s="4" t="n"/>
      <c r="D623" s="4" t="n"/>
      <c r="E623" s="4" t="n"/>
    </row>
    <row r="624" ht="15.75" customHeight="1" s="40">
      <c r="A624" s="4" t="n"/>
      <c r="B624" s="4" t="n"/>
      <c r="C624" s="4" t="n"/>
      <c r="D624" s="4" t="n"/>
      <c r="E624" s="4" t="n"/>
    </row>
    <row r="625" ht="15.75" customHeight="1" s="40">
      <c r="A625" s="4" t="n"/>
      <c r="B625" s="4" t="n"/>
      <c r="C625" s="4" t="n"/>
      <c r="D625" s="4" t="n"/>
      <c r="E625" s="4" t="n"/>
    </row>
    <row r="626" ht="15.75" customHeight="1" s="40">
      <c r="A626" s="4" t="n"/>
      <c r="B626" s="4" t="n"/>
      <c r="C626" s="4" t="n"/>
      <c r="D626" s="4" t="n"/>
      <c r="E626" s="4" t="n"/>
    </row>
    <row r="627" ht="15.75" customHeight="1" s="40">
      <c r="A627" s="4" t="n"/>
      <c r="B627" s="4" t="n"/>
      <c r="C627" s="4" t="n"/>
      <c r="D627" s="4" t="n"/>
      <c r="E627" s="4" t="n"/>
    </row>
    <row r="628" ht="15.75" customHeight="1" s="40">
      <c r="A628" s="4" t="n"/>
      <c r="B628" s="4" t="n"/>
      <c r="C628" s="4" t="n"/>
      <c r="D628" s="4" t="n"/>
      <c r="E628" s="4" t="n"/>
    </row>
    <row r="629" ht="15.75" customHeight="1" s="40">
      <c r="A629" s="4" t="n"/>
      <c r="B629" s="4" t="n"/>
      <c r="C629" s="4" t="n"/>
      <c r="D629" s="4" t="n"/>
      <c r="E629" s="4" t="n"/>
    </row>
    <row r="630" ht="15.75" customHeight="1" s="40">
      <c r="A630" s="4" t="n"/>
      <c r="B630" s="4" t="n"/>
      <c r="C630" s="4" t="n"/>
      <c r="D630" s="4" t="n"/>
      <c r="E630" s="4" t="n"/>
    </row>
    <row r="631" ht="15.75" customHeight="1" s="40">
      <c r="A631" s="4" t="n"/>
      <c r="B631" s="4" t="n"/>
      <c r="C631" s="4" t="n"/>
      <c r="D631" s="4" t="n"/>
      <c r="E631" s="4" t="n"/>
    </row>
    <row r="632" ht="15.75" customHeight="1" s="40">
      <c r="A632" s="4" t="n"/>
      <c r="B632" s="4" t="n"/>
      <c r="C632" s="4" t="n"/>
      <c r="D632" s="4" t="n"/>
      <c r="E632" s="4" t="n"/>
    </row>
    <row r="633" ht="15.75" customHeight="1" s="40">
      <c r="A633" s="4" t="n"/>
      <c r="B633" s="4" t="n"/>
      <c r="C633" s="4" t="n"/>
      <c r="D633" s="4" t="n"/>
      <c r="E633" s="4" t="n"/>
    </row>
    <row r="634" ht="15.75" customHeight="1" s="40">
      <c r="A634" s="4" t="n"/>
      <c r="B634" s="4" t="n"/>
      <c r="C634" s="4" t="n"/>
      <c r="D634" s="4" t="n"/>
      <c r="E634" s="4" t="n"/>
    </row>
    <row r="635" ht="15.75" customHeight="1" s="40">
      <c r="A635" s="4" t="n"/>
      <c r="B635" s="4" t="n"/>
      <c r="C635" s="4" t="n"/>
      <c r="D635" s="4" t="n"/>
      <c r="E635" s="4" t="n"/>
    </row>
    <row r="636" ht="15.75" customHeight="1" s="40">
      <c r="A636" s="4" t="n"/>
      <c r="B636" s="4" t="n"/>
      <c r="C636" s="4" t="n"/>
      <c r="D636" s="4" t="n"/>
      <c r="E636" s="4" t="n"/>
    </row>
    <row r="637" ht="15.75" customHeight="1" s="40">
      <c r="A637" s="4" t="n"/>
      <c r="B637" s="4" t="n"/>
      <c r="C637" s="4" t="n"/>
      <c r="D637" s="4" t="n"/>
      <c r="E637" s="4" t="n"/>
    </row>
    <row r="638" ht="15.75" customHeight="1" s="40">
      <c r="A638" s="4" t="n"/>
      <c r="B638" s="4" t="n"/>
      <c r="C638" s="4" t="n"/>
      <c r="D638" s="4" t="n"/>
      <c r="E638" s="4" t="n"/>
    </row>
    <row r="639" ht="15.75" customHeight="1" s="40">
      <c r="A639" s="4" t="n"/>
      <c r="B639" s="4" t="n"/>
      <c r="C639" s="4" t="n"/>
      <c r="D639" s="4" t="n"/>
      <c r="E639" s="4" t="n"/>
    </row>
    <row r="640" ht="15.75" customHeight="1" s="40">
      <c r="A640" s="4" t="n"/>
      <c r="B640" s="4" t="n"/>
      <c r="C640" s="4" t="n"/>
      <c r="D640" s="4" t="n"/>
      <c r="E640" s="4" t="n"/>
    </row>
    <row r="641" ht="15.75" customHeight="1" s="40">
      <c r="A641" s="4" t="n"/>
      <c r="B641" s="4" t="n"/>
      <c r="C641" s="4" t="n"/>
      <c r="D641" s="4" t="n"/>
      <c r="E641" s="4" t="n"/>
    </row>
    <row r="642" ht="15.75" customHeight="1" s="40">
      <c r="A642" s="4" t="n"/>
      <c r="B642" s="4" t="n"/>
      <c r="C642" s="4" t="n"/>
      <c r="D642" s="4" t="n"/>
      <c r="E642" s="4" t="n"/>
    </row>
    <row r="643" ht="15.75" customHeight="1" s="40">
      <c r="A643" s="4" t="n"/>
      <c r="B643" s="4" t="n"/>
      <c r="C643" s="4" t="n"/>
      <c r="D643" s="4" t="n"/>
      <c r="E643" s="4" t="n"/>
    </row>
    <row r="644" ht="15.75" customHeight="1" s="40">
      <c r="A644" s="4" t="n"/>
      <c r="B644" s="4" t="n"/>
      <c r="C644" s="4" t="n"/>
      <c r="D644" s="4" t="n"/>
      <c r="E644" s="4" t="n"/>
    </row>
    <row r="645" ht="15.75" customHeight="1" s="40">
      <c r="A645" s="4" t="n"/>
      <c r="B645" s="4" t="n"/>
      <c r="C645" s="4" t="n"/>
      <c r="D645" s="4" t="n"/>
      <c r="E645" s="4" t="n"/>
    </row>
    <row r="646" ht="15.75" customHeight="1" s="40">
      <c r="A646" s="4" t="n"/>
      <c r="B646" s="4" t="n"/>
      <c r="C646" s="4" t="n"/>
      <c r="D646" s="4" t="n"/>
      <c r="E646" s="4" t="n"/>
    </row>
    <row r="647" ht="15.75" customHeight="1" s="40">
      <c r="A647" s="4" t="n"/>
      <c r="B647" s="4" t="n"/>
      <c r="C647" s="4" t="n"/>
      <c r="D647" s="4" t="n"/>
      <c r="E647" s="4" t="n"/>
    </row>
    <row r="648" ht="15.75" customHeight="1" s="40">
      <c r="A648" s="4" t="n"/>
      <c r="B648" s="4" t="n"/>
      <c r="C648" s="4" t="n"/>
      <c r="D648" s="4" t="n"/>
      <c r="E648" s="4" t="n"/>
    </row>
    <row r="649" ht="15.75" customHeight="1" s="40">
      <c r="A649" s="4" t="n"/>
      <c r="B649" s="4" t="n"/>
      <c r="C649" s="4" t="n"/>
      <c r="D649" s="4" t="n"/>
      <c r="E649" s="4" t="n"/>
    </row>
    <row r="650" ht="15.75" customHeight="1" s="40">
      <c r="A650" s="4" t="n"/>
      <c r="B650" s="4" t="n"/>
      <c r="C650" s="4" t="n"/>
      <c r="D650" s="4" t="n"/>
      <c r="E650" s="4" t="n"/>
    </row>
    <row r="651" ht="15.75" customHeight="1" s="40">
      <c r="A651" s="4" t="n"/>
      <c r="B651" s="4" t="n"/>
      <c r="C651" s="4" t="n"/>
      <c r="D651" s="4" t="n"/>
      <c r="E651" s="4" t="n"/>
    </row>
    <row r="652" ht="15.75" customHeight="1" s="40">
      <c r="A652" s="4" t="n"/>
      <c r="B652" s="4" t="n"/>
      <c r="C652" s="4" t="n"/>
      <c r="D652" s="4" t="n"/>
      <c r="E652" s="4" t="n"/>
    </row>
    <row r="653" ht="15.75" customHeight="1" s="40">
      <c r="A653" s="4" t="n"/>
      <c r="B653" s="4" t="n"/>
      <c r="C653" s="4" t="n"/>
      <c r="D653" s="4" t="n"/>
      <c r="E653" s="4" t="n"/>
    </row>
    <row r="654" ht="15.75" customHeight="1" s="40">
      <c r="A654" s="4" t="n"/>
      <c r="B654" s="4" t="n"/>
      <c r="C654" s="4" t="n"/>
      <c r="D654" s="4" t="n"/>
      <c r="E654" s="4" t="n"/>
    </row>
    <row r="655" ht="15.75" customHeight="1" s="40">
      <c r="A655" s="4" t="n"/>
      <c r="B655" s="4" t="n"/>
      <c r="C655" s="4" t="n"/>
      <c r="D655" s="4" t="n"/>
      <c r="E655" s="4" t="n"/>
    </row>
    <row r="656" ht="15.75" customHeight="1" s="40">
      <c r="A656" s="4" t="n"/>
      <c r="B656" s="4" t="n"/>
      <c r="C656" s="4" t="n"/>
      <c r="D656" s="4" t="n"/>
      <c r="E656" s="4" t="n"/>
    </row>
    <row r="657" ht="15.75" customHeight="1" s="40">
      <c r="A657" s="4" t="n"/>
      <c r="B657" s="4" t="n"/>
      <c r="C657" s="4" t="n"/>
      <c r="D657" s="4" t="n"/>
      <c r="E657" s="4" t="n"/>
    </row>
    <row r="658" ht="15.75" customHeight="1" s="40">
      <c r="A658" s="4" t="n"/>
      <c r="B658" s="4" t="n"/>
      <c r="C658" s="4" t="n"/>
      <c r="D658" s="4" t="n"/>
      <c r="E658" s="4" t="n"/>
    </row>
    <row r="659" ht="15.75" customHeight="1" s="40">
      <c r="A659" s="4" t="n"/>
      <c r="B659" s="4" t="n"/>
      <c r="C659" s="4" t="n"/>
      <c r="D659" s="4" t="n"/>
      <c r="E659" s="4" t="n"/>
    </row>
    <row r="660" ht="15.75" customHeight="1" s="40">
      <c r="A660" s="4" t="n"/>
      <c r="B660" s="4" t="n"/>
      <c r="C660" s="4" t="n"/>
      <c r="D660" s="4" t="n"/>
      <c r="E660" s="4" t="n"/>
    </row>
    <row r="661" ht="15.75" customHeight="1" s="40">
      <c r="A661" s="4" t="n"/>
      <c r="B661" s="4" t="n"/>
      <c r="C661" s="4" t="n"/>
      <c r="D661" s="4" t="n"/>
      <c r="E661" s="4" t="n"/>
    </row>
    <row r="662" ht="15.75" customHeight="1" s="40">
      <c r="A662" s="4" t="n"/>
      <c r="B662" s="4" t="n"/>
      <c r="C662" s="4" t="n"/>
      <c r="D662" s="4" t="n"/>
      <c r="E662" s="4" t="n"/>
    </row>
    <row r="663" ht="15.75" customHeight="1" s="40">
      <c r="A663" s="4" t="n"/>
      <c r="B663" s="4" t="n"/>
      <c r="C663" s="4" t="n"/>
      <c r="D663" s="4" t="n"/>
      <c r="E663" s="4" t="n"/>
    </row>
    <row r="664" ht="15.75" customHeight="1" s="40">
      <c r="A664" s="4" t="n"/>
      <c r="B664" s="4" t="n"/>
      <c r="C664" s="4" t="n"/>
      <c r="D664" s="4" t="n"/>
      <c r="E664" s="4" t="n"/>
    </row>
    <row r="665" ht="15.75" customHeight="1" s="40">
      <c r="A665" s="4" t="n"/>
      <c r="B665" s="4" t="n"/>
      <c r="C665" s="4" t="n"/>
      <c r="D665" s="4" t="n"/>
      <c r="E665" s="4" t="n"/>
    </row>
    <row r="666" ht="15.75" customHeight="1" s="40">
      <c r="A666" s="4" t="n"/>
      <c r="B666" s="4" t="n"/>
      <c r="C666" s="4" t="n"/>
      <c r="D666" s="4" t="n"/>
      <c r="E666" s="4" t="n"/>
    </row>
    <row r="667" ht="15.75" customHeight="1" s="40">
      <c r="A667" s="4" t="n"/>
      <c r="B667" s="4" t="n"/>
      <c r="C667" s="4" t="n"/>
      <c r="D667" s="4" t="n"/>
      <c r="E667" s="4" t="n"/>
    </row>
    <row r="668" ht="15.75" customHeight="1" s="40">
      <c r="A668" s="4" t="n"/>
      <c r="B668" s="4" t="n"/>
      <c r="C668" s="4" t="n"/>
      <c r="D668" s="4" t="n"/>
      <c r="E668" s="4" t="n"/>
    </row>
    <row r="669" ht="15.75" customHeight="1" s="40">
      <c r="A669" s="4" t="n"/>
      <c r="B669" s="4" t="n"/>
      <c r="C669" s="4" t="n"/>
      <c r="D669" s="4" t="n"/>
      <c r="E669" s="4" t="n"/>
    </row>
    <row r="670" ht="15.75" customHeight="1" s="40">
      <c r="A670" s="4" t="n"/>
      <c r="B670" s="4" t="n"/>
      <c r="C670" s="4" t="n"/>
      <c r="D670" s="4" t="n"/>
      <c r="E670" s="4" t="n"/>
    </row>
    <row r="671" ht="15.75" customHeight="1" s="40">
      <c r="A671" s="4" t="n"/>
      <c r="B671" s="4" t="n"/>
      <c r="C671" s="4" t="n"/>
      <c r="D671" s="4" t="n"/>
      <c r="E671" s="4" t="n"/>
    </row>
    <row r="672" ht="15.75" customHeight="1" s="40">
      <c r="A672" s="4" t="n"/>
      <c r="B672" s="4" t="n"/>
      <c r="C672" s="4" t="n"/>
      <c r="D672" s="4" t="n"/>
      <c r="E672" s="4" t="n"/>
    </row>
    <row r="673" ht="15.75" customHeight="1" s="40">
      <c r="A673" s="4" t="n"/>
      <c r="B673" s="4" t="n"/>
      <c r="C673" s="4" t="n"/>
      <c r="D673" s="4" t="n"/>
      <c r="E673" s="4" t="n"/>
    </row>
    <row r="674" ht="15.75" customHeight="1" s="40">
      <c r="A674" s="4" t="n"/>
      <c r="B674" s="4" t="n"/>
      <c r="C674" s="4" t="n"/>
      <c r="D674" s="4" t="n"/>
      <c r="E674" s="4" t="n"/>
    </row>
    <row r="675" ht="15.75" customHeight="1" s="40">
      <c r="A675" s="4" t="n"/>
      <c r="B675" s="4" t="n"/>
      <c r="C675" s="4" t="n"/>
      <c r="D675" s="4" t="n"/>
      <c r="E675" s="4" t="n"/>
    </row>
    <row r="676" ht="15.75" customHeight="1" s="40">
      <c r="A676" s="4" t="n"/>
      <c r="B676" s="4" t="n"/>
      <c r="C676" s="4" t="n"/>
      <c r="D676" s="4" t="n"/>
      <c r="E676" s="4" t="n"/>
    </row>
    <row r="677" ht="15.75" customHeight="1" s="40">
      <c r="A677" s="4" t="n"/>
      <c r="B677" s="4" t="n"/>
      <c r="C677" s="4" t="n"/>
      <c r="D677" s="4" t="n"/>
      <c r="E677" s="4" t="n"/>
    </row>
    <row r="678" ht="15.75" customHeight="1" s="40">
      <c r="A678" s="4" t="n"/>
      <c r="B678" s="4" t="n"/>
      <c r="C678" s="4" t="n"/>
      <c r="D678" s="4" t="n"/>
      <c r="E678" s="4" t="n"/>
    </row>
    <row r="679" ht="15.75" customHeight="1" s="40">
      <c r="A679" s="4" t="n"/>
      <c r="B679" s="4" t="n"/>
      <c r="C679" s="4" t="n"/>
      <c r="D679" s="4" t="n"/>
      <c r="E679" s="4" t="n"/>
    </row>
    <row r="680" ht="15.75" customHeight="1" s="40">
      <c r="A680" s="4" t="n"/>
      <c r="B680" s="4" t="n"/>
      <c r="C680" s="4" t="n"/>
      <c r="D680" s="4" t="n"/>
      <c r="E680" s="4" t="n"/>
    </row>
    <row r="681" ht="15.75" customHeight="1" s="40">
      <c r="A681" s="4" t="n"/>
      <c r="B681" s="4" t="n"/>
      <c r="C681" s="4" t="n"/>
      <c r="D681" s="4" t="n"/>
      <c r="E681" s="4" t="n"/>
    </row>
    <row r="682" ht="15.75" customHeight="1" s="40">
      <c r="A682" s="4" t="n"/>
      <c r="B682" s="4" t="n"/>
      <c r="C682" s="4" t="n"/>
      <c r="D682" s="4" t="n"/>
      <c r="E682" s="4" t="n"/>
    </row>
    <row r="683" ht="15.75" customHeight="1" s="40">
      <c r="A683" s="4" t="n"/>
      <c r="B683" s="4" t="n"/>
      <c r="C683" s="4" t="n"/>
      <c r="D683" s="4" t="n"/>
      <c r="E683" s="4" t="n"/>
    </row>
    <row r="684" ht="15.75" customHeight="1" s="40">
      <c r="A684" s="4" t="n"/>
      <c r="B684" s="4" t="n"/>
      <c r="C684" s="4" t="n"/>
      <c r="D684" s="4" t="n"/>
      <c r="E684" s="4" t="n"/>
    </row>
    <row r="685" ht="15.75" customHeight="1" s="40">
      <c r="A685" s="4" t="n"/>
      <c r="B685" s="4" t="n"/>
      <c r="C685" s="4" t="n"/>
      <c r="D685" s="4" t="n"/>
      <c r="E685" s="4" t="n"/>
    </row>
    <row r="686" ht="15.75" customHeight="1" s="40">
      <c r="A686" s="4" t="n"/>
      <c r="B686" s="4" t="n"/>
      <c r="C686" s="4" t="n"/>
      <c r="D686" s="4" t="n"/>
      <c r="E686" s="4" t="n"/>
    </row>
    <row r="687" ht="15.75" customHeight="1" s="40">
      <c r="A687" s="4" t="n"/>
      <c r="B687" s="4" t="n"/>
      <c r="C687" s="4" t="n"/>
      <c r="D687" s="4" t="n"/>
      <c r="E687" s="4" t="n"/>
    </row>
    <row r="688" ht="15.75" customHeight="1" s="40">
      <c r="A688" s="4" t="n"/>
      <c r="B688" s="4" t="n"/>
      <c r="C688" s="4" t="n"/>
      <c r="D688" s="4" t="n"/>
      <c r="E688" s="4" t="n"/>
    </row>
    <row r="689" ht="15.75" customHeight="1" s="40">
      <c r="A689" s="4" t="n"/>
      <c r="B689" s="4" t="n"/>
      <c r="C689" s="4" t="n"/>
      <c r="D689" s="4" t="n"/>
      <c r="E689" s="4" t="n"/>
    </row>
    <row r="690" ht="15.75" customHeight="1" s="40">
      <c r="A690" s="4" t="n"/>
      <c r="B690" s="4" t="n"/>
      <c r="C690" s="4" t="n"/>
      <c r="D690" s="4" t="n"/>
      <c r="E690" s="4" t="n"/>
    </row>
    <row r="691" ht="15.75" customHeight="1" s="40">
      <c r="A691" s="4" t="n"/>
      <c r="B691" s="4" t="n"/>
      <c r="C691" s="4" t="n"/>
      <c r="D691" s="4" t="n"/>
      <c r="E691" s="4" t="n"/>
    </row>
    <row r="692" ht="15.75" customHeight="1" s="40">
      <c r="A692" s="4" t="n"/>
      <c r="B692" s="4" t="n"/>
      <c r="C692" s="4" t="n"/>
      <c r="D692" s="4" t="n"/>
      <c r="E692" s="4" t="n"/>
    </row>
    <row r="693" ht="15.75" customHeight="1" s="40">
      <c r="A693" s="4" t="n"/>
      <c r="B693" s="4" t="n"/>
      <c r="C693" s="4" t="n"/>
      <c r="D693" s="4" t="n"/>
      <c r="E693" s="4" t="n"/>
    </row>
    <row r="694" ht="15.75" customHeight="1" s="40">
      <c r="A694" s="4" t="n"/>
      <c r="B694" s="4" t="n"/>
      <c r="C694" s="4" t="n"/>
      <c r="D694" s="4" t="n"/>
      <c r="E694" s="4" t="n"/>
    </row>
    <row r="695" ht="15.75" customHeight="1" s="40">
      <c r="A695" s="4" t="n"/>
      <c r="B695" s="4" t="n"/>
      <c r="C695" s="4" t="n"/>
      <c r="D695" s="4" t="n"/>
      <c r="E695" s="4" t="n"/>
    </row>
    <row r="696" ht="15.75" customHeight="1" s="40">
      <c r="A696" s="4" t="n"/>
      <c r="B696" s="4" t="n"/>
      <c r="C696" s="4" t="n"/>
      <c r="D696" s="4" t="n"/>
      <c r="E696" s="4" t="n"/>
    </row>
    <row r="697" ht="15.75" customHeight="1" s="40">
      <c r="A697" s="4" t="n"/>
      <c r="B697" s="4" t="n"/>
      <c r="C697" s="4" t="n"/>
      <c r="D697" s="4" t="n"/>
      <c r="E697" s="4" t="n"/>
    </row>
    <row r="698" ht="15.75" customHeight="1" s="40">
      <c r="A698" s="4" t="n"/>
      <c r="B698" s="4" t="n"/>
      <c r="C698" s="4" t="n"/>
      <c r="D698" s="4" t="n"/>
      <c r="E698" s="4" t="n"/>
    </row>
    <row r="699" ht="15.75" customHeight="1" s="40">
      <c r="A699" s="4" t="n"/>
      <c r="B699" s="4" t="n"/>
      <c r="C699" s="4" t="n"/>
      <c r="D699" s="4" t="n"/>
      <c r="E699" s="4" t="n"/>
    </row>
    <row r="700" ht="15.75" customHeight="1" s="40">
      <c r="A700" s="4" t="n"/>
      <c r="B700" s="4" t="n"/>
      <c r="C700" s="4" t="n"/>
      <c r="D700" s="4" t="n"/>
      <c r="E700" s="4" t="n"/>
    </row>
    <row r="701" ht="15.75" customHeight="1" s="40">
      <c r="A701" s="4" t="n"/>
      <c r="B701" s="4" t="n"/>
      <c r="C701" s="4" t="n"/>
      <c r="D701" s="4" t="n"/>
      <c r="E701" s="4" t="n"/>
    </row>
    <row r="702" ht="15.75" customHeight="1" s="40">
      <c r="A702" s="4" t="n"/>
      <c r="B702" s="4" t="n"/>
      <c r="C702" s="4" t="n"/>
      <c r="D702" s="4" t="n"/>
      <c r="E702" s="4" t="n"/>
    </row>
    <row r="703" ht="15.75" customHeight="1" s="40">
      <c r="A703" s="4" t="n"/>
      <c r="B703" s="4" t="n"/>
      <c r="C703" s="4" t="n"/>
      <c r="D703" s="4" t="n"/>
      <c r="E703" s="4" t="n"/>
    </row>
    <row r="704" ht="15.75" customHeight="1" s="40">
      <c r="A704" s="4" t="n"/>
      <c r="B704" s="4" t="n"/>
      <c r="C704" s="4" t="n"/>
      <c r="D704" s="4" t="n"/>
      <c r="E704" s="4" t="n"/>
    </row>
    <row r="705" ht="15.75" customHeight="1" s="40">
      <c r="A705" s="4" t="n"/>
      <c r="B705" s="4" t="n"/>
      <c r="C705" s="4" t="n"/>
      <c r="D705" s="4" t="n"/>
      <c r="E705" s="4" t="n"/>
    </row>
    <row r="706" ht="15.75" customHeight="1" s="40">
      <c r="A706" s="4" t="n"/>
      <c r="B706" s="4" t="n"/>
      <c r="C706" s="4" t="n"/>
      <c r="D706" s="4" t="n"/>
      <c r="E706" s="4" t="n"/>
    </row>
    <row r="707" ht="15.75" customHeight="1" s="40">
      <c r="A707" s="4" t="n"/>
      <c r="B707" s="4" t="n"/>
      <c r="C707" s="4" t="n"/>
      <c r="D707" s="4" t="n"/>
      <c r="E707" s="4" t="n"/>
    </row>
    <row r="708" ht="15.75" customHeight="1" s="40">
      <c r="A708" s="4" t="n"/>
      <c r="B708" s="4" t="n"/>
      <c r="C708" s="4" t="n"/>
      <c r="D708" s="4" t="n"/>
      <c r="E708" s="4" t="n"/>
    </row>
    <row r="709" ht="15.75" customHeight="1" s="40">
      <c r="A709" s="4" t="n"/>
      <c r="B709" s="4" t="n"/>
      <c r="C709" s="4" t="n"/>
      <c r="D709" s="4" t="n"/>
      <c r="E709" s="4" t="n"/>
    </row>
    <row r="710" ht="15.75" customHeight="1" s="40">
      <c r="A710" s="4" t="n"/>
      <c r="B710" s="4" t="n"/>
      <c r="C710" s="4" t="n"/>
      <c r="D710" s="4" t="n"/>
      <c r="E710" s="4" t="n"/>
    </row>
    <row r="711" ht="15.75" customHeight="1" s="40">
      <c r="A711" s="4" t="n"/>
      <c r="B711" s="4" t="n"/>
      <c r="C711" s="4" t="n"/>
      <c r="D711" s="4" t="n"/>
      <c r="E711" s="4" t="n"/>
    </row>
    <row r="712" ht="15.75" customHeight="1" s="40">
      <c r="A712" s="4" t="n"/>
      <c r="B712" s="4" t="n"/>
      <c r="C712" s="4" t="n"/>
      <c r="D712" s="4" t="n"/>
      <c r="E712" s="4" t="n"/>
    </row>
    <row r="713" ht="15.75" customHeight="1" s="40">
      <c r="A713" s="4" t="n"/>
      <c r="B713" s="4" t="n"/>
      <c r="C713" s="4" t="n"/>
      <c r="D713" s="4" t="n"/>
      <c r="E713" s="4" t="n"/>
    </row>
    <row r="714" ht="15.75" customHeight="1" s="40">
      <c r="A714" s="4" t="n"/>
      <c r="B714" s="4" t="n"/>
      <c r="C714" s="4" t="n"/>
      <c r="D714" s="4" t="n"/>
      <c r="E714" s="4" t="n"/>
    </row>
    <row r="715" ht="15.75" customHeight="1" s="40">
      <c r="A715" s="4" t="n"/>
      <c r="B715" s="4" t="n"/>
      <c r="C715" s="4" t="n"/>
      <c r="D715" s="4" t="n"/>
      <c r="E715" s="4" t="n"/>
    </row>
    <row r="716" ht="15.75" customHeight="1" s="40">
      <c r="A716" s="4" t="n"/>
      <c r="B716" s="4" t="n"/>
      <c r="C716" s="4" t="n"/>
      <c r="D716" s="4" t="n"/>
      <c r="E716" s="4" t="n"/>
    </row>
    <row r="717" ht="15.75" customHeight="1" s="40">
      <c r="A717" s="4" t="n"/>
      <c r="B717" s="4" t="n"/>
      <c r="C717" s="4" t="n"/>
      <c r="D717" s="4" t="n"/>
      <c r="E717" s="4" t="n"/>
    </row>
    <row r="718" ht="15.75" customHeight="1" s="40">
      <c r="A718" s="4" t="n"/>
      <c r="B718" s="4" t="n"/>
      <c r="C718" s="4" t="n"/>
      <c r="D718" s="4" t="n"/>
      <c r="E718" s="4" t="n"/>
    </row>
    <row r="719" ht="15.75" customHeight="1" s="40">
      <c r="A719" s="4" t="n"/>
      <c r="B719" s="4" t="n"/>
      <c r="C719" s="4" t="n"/>
      <c r="D719" s="4" t="n"/>
      <c r="E719" s="4" t="n"/>
    </row>
    <row r="720" ht="15.75" customHeight="1" s="40">
      <c r="A720" s="4" t="n"/>
      <c r="B720" s="4" t="n"/>
      <c r="C720" s="4" t="n"/>
      <c r="D720" s="4" t="n"/>
      <c r="E720" s="4" t="n"/>
    </row>
    <row r="721" ht="15.75" customHeight="1" s="40">
      <c r="A721" s="4" t="n"/>
      <c r="B721" s="4" t="n"/>
      <c r="C721" s="4" t="n"/>
      <c r="D721" s="4" t="n"/>
      <c r="E721" s="4" t="n"/>
    </row>
    <row r="722" ht="15.75" customHeight="1" s="40">
      <c r="A722" s="4" t="n"/>
      <c r="B722" s="4" t="n"/>
      <c r="C722" s="4" t="n"/>
      <c r="D722" s="4" t="n"/>
      <c r="E722" s="4" t="n"/>
    </row>
    <row r="723" ht="15.75" customHeight="1" s="40">
      <c r="A723" s="4" t="n"/>
      <c r="B723" s="4" t="n"/>
      <c r="C723" s="4" t="n"/>
      <c r="D723" s="4" t="n"/>
      <c r="E723" s="4" t="n"/>
    </row>
    <row r="724" ht="15.75" customHeight="1" s="40">
      <c r="A724" s="4" t="n"/>
      <c r="B724" s="4" t="n"/>
      <c r="C724" s="4" t="n"/>
      <c r="D724" s="4" t="n"/>
      <c r="E724" s="4" t="n"/>
    </row>
    <row r="725" ht="15.75" customHeight="1" s="40">
      <c r="A725" s="4" t="n"/>
      <c r="B725" s="4" t="n"/>
      <c r="C725" s="4" t="n"/>
      <c r="D725" s="4" t="n"/>
      <c r="E725" s="4" t="n"/>
    </row>
    <row r="726" ht="15.75" customHeight="1" s="40">
      <c r="A726" s="4" t="n"/>
      <c r="B726" s="4" t="n"/>
      <c r="C726" s="4" t="n"/>
      <c r="D726" s="4" t="n"/>
      <c r="E726" s="4" t="n"/>
    </row>
    <row r="727" ht="15.75" customHeight="1" s="40">
      <c r="A727" s="4" t="n"/>
      <c r="B727" s="4" t="n"/>
      <c r="C727" s="4" t="n"/>
      <c r="D727" s="4" t="n"/>
      <c r="E727" s="4" t="n"/>
    </row>
    <row r="728" ht="15.75" customHeight="1" s="40">
      <c r="A728" s="4" t="n"/>
      <c r="B728" s="4" t="n"/>
      <c r="C728" s="4" t="n"/>
      <c r="D728" s="4" t="n"/>
      <c r="E728" s="4" t="n"/>
    </row>
    <row r="729" ht="15.75" customHeight="1" s="40">
      <c r="A729" s="4" t="n"/>
      <c r="B729" s="4" t="n"/>
      <c r="C729" s="4" t="n"/>
      <c r="D729" s="4" t="n"/>
      <c r="E729" s="4" t="n"/>
    </row>
    <row r="730" ht="15.75" customHeight="1" s="40">
      <c r="A730" s="4" t="n"/>
      <c r="B730" s="4" t="n"/>
      <c r="C730" s="4" t="n"/>
      <c r="D730" s="4" t="n"/>
      <c r="E730" s="4" t="n"/>
    </row>
    <row r="731" ht="15.75" customHeight="1" s="40">
      <c r="A731" s="4" t="n"/>
      <c r="B731" s="4" t="n"/>
      <c r="C731" s="4" t="n"/>
      <c r="D731" s="4" t="n"/>
      <c r="E731" s="4" t="n"/>
    </row>
    <row r="732" ht="15.75" customHeight="1" s="40">
      <c r="A732" s="4" t="n"/>
      <c r="B732" s="4" t="n"/>
      <c r="C732" s="4" t="n"/>
      <c r="D732" s="4" t="n"/>
      <c r="E732" s="4" t="n"/>
    </row>
    <row r="733" ht="15.75" customHeight="1" s="40">
      <c r="A733" s="4" t="n"/>
      <c r="B733" s="4" t="n"/>
      <c r="C733" s="4" t="n"/>
      <c r="D733" s="4" t="n"/>
      <c r="E733" s="4" t="n"/>
    </row>
    <row r="734" ht="15.75" customHeight="1" s="40">
      <c r="A734" s="4" t="n"/>
      <c r="B734" s="4" t="n"/>
      <c r="C734" s="4" t="n"/>
      <c r="D734" s="4" t="n"/>
      <c r="E734" s="4" t="n"/>
    </row>
    <row r="735" ht="15.75" customHeight="1" s="40">
      <c r="A735" s="4" t="n"/>
      <c r="B735" s="4" t="n"/>
      <c r="C735" s="4" t="n"/>
      <c r="D735" s="4" t="n"/>
      <c r="E735" s="4" t="n"/>
    </row>
    <row r="736" ht="15.75" customHeight="1" s="40">
      <c r="A736" s="4" t="n"/>
      <c r="B736" s="4" t="n"/>
      <c r="C736" s="4" t="n"/>
      <c r="D736" s="4" t="n"/>
      <c r="E736" s="4" t="n"/>
    </row>
    <row r="737" ht="15.75" customHeight="1" s="40">
      <c r="A737" s="4" t="n"/>
      <c r="B737" s="4" t="n"/>
      <c r="C737" s="4" t="n"/>
      <c r="D737" s="4" t="n"/>
      <c r="E737" s="4" t="n"/>
    </row>
    <row r="738" ht="15.75" customHeight="1" s="40">
      <c r="A738" s="4" t="n"/>
      <c r="B738" s="4" t="n"/>
      <c r="C738" s="4" t="n"/>
      <c r="D738" s="4" t="n"/>
      <c r="E738" s="4" t="n"/>
    </row>
    <row r="739" ht="15.75" customHeight="1" s="40">
      <c r="A739" s="4" t="n"/>
      <c r="B739" s="4" t="n"/>
      <c r="C739" s="4" t="n"/>
      <c r="D739" s="4" t="n"/>
      <c r="E739" s="4" t="n"/>
    </row>
    <row r="740" ht="15.75" customHeight="1" s="40">
      <c r="A740" s="4" t="n"/>
      <c r="B740" s="4" t="n"/>
      <c r="C740" s="4" t="n"/>
      <c r="D740" s="4" t="n"/>
      <c r="E740" s="4" t="n"/>
    </row>
    <row r="741" ht="15.75" customHeight="1" s="40">
      <c r="A741" s="4" t="n"/>
      <c r="B741" s="4" t="n"/>
      <c r="C741" s="4" t="n"/>
      <c r="D741" s="4" t="n"/>
      <c r="E741" s="4" t="n"/>
    </row>
    <row r="742" ht="15.75" customHeight="1" s="40">
      <c r="A742" s="4" t="n"/>
      <c r="B742" s="4" t="n"/>
      <c r="C742" s="4" t="n"/>
      <c r="D742" s="4" t="n"/>
      <c r="E742" s="4" t="n"/>
    </row>
    <row r="743" ht="15.75" customHeight="1" s="40">
      <c r="A743" s="4" t="n"/>
      <c r="B743" s="4" t="n"/>
      <c r="C743" s="4" t="n"/>
      <c r="D743" s="4" t="n"/>
      <c r="E743" s="4" t="n"/>
    </row>
    <row r="744" ht="15.75" customHeight="1" s="40">
      <c r="A744" s="4" t="n"/>
      <c r="B744" s="4" t="n"/>
      <c r="C744" s="4" t="n"/>
      <c r="D744" s="4" t="n"/>
      <c r="E744" s="4" t="n"/>
    </row>
    <row r="745" ht="15.75" customHeight="1" s="40">
      <c r="A745" s="4" t="n"/>
      <c r="B745" s="4" t="n"/>
      <c r="C745" s="4" t="n"/>
      <c r="D745" s="4" t="n"/>
      <c r="E745" s="4" t="n"/>
    </row>
    <row r="746" ht="15.75" customHeight="1" s="40">
      <c r="A746" s="4" t="n"/>
      <c r="B746" s="4" t="n"/>
      <c r="C746" s="4" t="n"/>
      <c r="D746" s="4" t="n"/>
      <c r="E746" s="4" t="n"/>
    </row>
    <row r="747" ht="15.75" customHeight="1" s="40">
      <c r="A747" s="4" t="n"/>
      <c r="B747" s="4" t="n"/>
      <c r="C747" s="4" t="n"/>
      <c r="D747" s="4" t="n"/>
      <c r="E747" s="4" t="n"/>
    </row>
    <row r="748" ht="15.75" customHeight="1" s="40">
      <c r="A748" s="4" t="n"/>
      <c r="B748" s="4" t="n"/>
      <c r="C748" s="4" t="n"/>
      <c r="D748" s="4" t="n"/>
      <c r="E748" s="4" t="n"/>
    </row>
    <row r="749" ht="15.75" customHeight="1" s="40">
      <c r="A749" s="4" t="n"/>
      <c r="B749" s="4" t="n"/>
      <c r="C749" s="4" t="n"/>
      <c r="D749" s="4" t="n"/>
      <c r="E749" s="4" t="n"/>
    </row>
    <row r="750" ht="15.75" customHeight="1" s="40">
      <c r="A750" s="4" t="n"/>
      <c r="B750" s="4" t="n"/>
      <c r="C750" s="4" t="n"/>
      <c r="D750" s="4" t="n"/>
      <c r="E750" s="4" t="n"/>
    </row>
    <row r="751" ht="15.75" customHeight="1" s="40">
      <c r="A751" s="4" t="n"/>
      <c r="B751" s="4" t="n"/>
      <c r="C751" s="4" t="n"/>
      <c r="D751" s="4" t="n"/>
      <c r="E751" s="4" t="n"/>
    </row>
    <row r="752" ht="15.75" customHeight="1" s="40">
      <c r="A752" s="4" t="n"/>
      <c r="B752" s="4" t="n"/>
      <c r="C752" s="4" t="n"/>
      <c r="D752" s="4" t="n"/>
      <c r="E752" s="4" t="n"/>
    </row>
    <row r="753" ht="15.75" customHeight="1" s="40">
      <c r="A753" s="4" t="n"/>
      <c r="B753" s="4" t="n"/>
      <c r="C753" s="4" t="n"/>
      <c r="D753" s="4" t="n"/>
      <c r="E753" s="4" t="n"/>
    </row>
    <row r="754" ht="15.75" customHeight="1" s="40">
      <c r="A754" s="4" t="n"/>
      <c r="B754" s="4" t="n"/>
      <c r="C754" s="4" t="n"/>
      <c r="D754" s="4" t="n"/>
      <c r="E754" s="4" t="n"/>
    </row>
    <row r="755" ht="15.75" customHeight="1" s="40">
      <c r="A755" s="4" t="n"/>
      <c r="B755" s="4" t="n"/>
      <c r="C755" s="4" t="n"/>
      <c r="D755" s="4" t="n"/>
      <c r="E755" s="4" t="n"/>
    </row>
    <row r="756" ht="15.75" customHeight="1" s="40">
      <c r="A756" s="4" t="n"/>
      <c r="B756" s="4" t="n"/>
      <c r="C756" s="4" t="n"/>
      <c r="D756" s="4" t="n"/>
      <c r="E756" s="4" t="n"/>
    </row>
    <row r="757" ht="15.75" customHeight="1" s="40">
      <c r="A757" s="4" t="n"/>
      <c r="B757" s="4" t="n"/>
      <c r="C757" s="4" t="n"/>
      <c r="D757" s="4" t="n"/>
      <c r="E757" s="4" t="n"/>
    </row>
    <row r="758" ht="15.75" customHeight="1" s="40">
      <c r="A758" s="4" t="n"/>
      <c r="B758" s="4" t="n"/>
      <c r="C758" s="4" t="n"/>
      <c r="D758" s="4" t="n"/>
      <c r="E758" s="4" t="n"/>
    </row>
    <row r="759" ht="15.75" customHeight="1" s="40">
      <c r="A759" s="4" t="n"/>
      <c r="B759" s="4" t="n"/>
      <c r="C759" s="4" t="n"/>
      <c r="D759" s="4" t="n"/>
      <c r="E759" s="4" t="n"/>
    </row>
    <row r="760" ht="15.75" customHeight="1" s="40">
      <c r="A760" s="4" t="n"/>
      <c r="B760" s="4" t="n"/>
      <c r="C760" s="4" t="n"/>
      <c r="D760" s="4" t="n"/>
      <c r="E760" s="4" t="n"/>
    </row>
    <row r="761" ht="15.75" customHeight="1" s="40">
      <c r="A761" s="4" t="n"/>
      <c r="B761" s="4" t="n"/>
      <c r="C761" s="4" t="n"/>
      <c r="D761" s="4" t="n"/>
      <c r="E761" s="4" t="n"/>
    </row>
    <row r="762" ht="15.75" customHeight="1" s="40">
      <c r="A762" s="4" t="n"/>
      <c r="B762" s="4" t="n"/>
      <c r="C762" s="4" t="n"/>
      <c r="D762" s="4" t="n"/>
      <c r="E762" s="4" t="n"/>
    </row>
    <row r="763" ht="15.75" customHeight="1" s="40">
      <c r="A763" s="4" t="n"/>
      <c r="B763" s="4" t="n"/>
      <c r="C763" s="4" t="n"/>
      <c r="D763" s="4" t="n"/>
      <c r="E763" s="4" t="n"/>
    </row>
    <row r="764" ht="15.75" customHeight="1" s="40">
      <c r="A764" s="4" t="n"/>
      <c r="B764" s="4" t="n"/>
      <c r="C764" s="4" t="n"/>
      <c r="D764" s="4" t="n"/>
      <c r="E764" s="4" t="n"/>
    </row>
    <row r="765" ht="15.75" customHeight="1" s="40">
      <c r="A765" s="4" t="n"/>
      <c r="B765" s="4" t="n"/>
      <c r="C765" s="4" t="n"/>
      <c r="D765" s="4" t="n"/>
      <c r="E765" s="4" t="n"/>
    </row>
    <row r="766" ht="15.75" customHeight="1" s="40">
      <c r="A766" s="4" t="n"/>
      <c r="B766" s="4" t="n"/>
      <c r="C766" s="4" t="n"/>
      <c r="D766" s="4" t="n"/>
      <c r="E766" s="4" t="n"/>
    </row>
    <row r="767" ht="15.75" customHeight="1" s="40">
      <c r="A767" s="4" t="n"/>
      <c r="B767" s="4" t="n"/>
      <c r="C767" s="4" t="n"/>
      <c r="D767" s="4" t="n"/>
      <c r="E767" s="4" t="n"/>
    </row>
    <row r="768" ht="15.75" customHeight="1" s="40">
      <c r="A768" s="4" t="n"/>
      <c r="B768" s="4" t="n"/>
      <c r="C768" s="4" t="n"/>
      <c r="D768" s="4" t="n"/>
      <c r="E768" s="4" t="n"/>
    </row>
    <row r="769" ht="15.75" customHeight="1" s="40">
      <c r="A769" s="4" t="n"/>
      <c r="B769" s="4" t="n"/>
      <c r="C769" s="4" t="n"/>
      <c r="D769" s="4" t="n"/>
      <c r="E769" s="4" t="n"/>
    </row>
    <row r="770" ht="15.75" customHeight="1" s="40">
      <c r="A770" s="4" t="n"/>
      <c r="B770" s="4" t="n"/>
      <c r="C770" s="4" t="n"/>
      <c r="D770" s="4" t="n"/>
      <c r="E770" s="4" t="n"/>
    </row>
    <row r="771" ht="15.75" customHeight="1" s="40">
      <c r="A771" s="4" t="n"/>
      <c r="B771" s="4" t="n"/>
      <c r="C771" s="4" t="n"/>
      <c r="D771" s="4" t="n"/>
      <c r="E771" s="4" t="n"/>
    </row>
    <row r="772" ht="15.75" customHeight="1" s="40">
      <c r="A772" s="4" t="n"/>
      <c r="B772" s="4" t="n"/>
      <c r="C772" s="4" t="n"/>
      <c r="D772" s="4" t="n"/>
      <c r="E772" s="4" t="n"/>
    </row>
    <row r="773" ht="15.75" customHeight="1" s="40">
      <c r="A773" s="4" t="n"/>
      <c r="B773" s="4" t="n"/>
      <c r="C773" s="4" t="n"/>
      <c r="D773" s="4" t="n"/>
      <c r="E773" s="4" t="n"/>
    </row>
    <row r="774" ht="15.75" customHeight="1" s="40">
      <c r="A774" s="4" t="n"/>
      <c r="B774" s="4" t="n"/>
      <c r="C774" s="4" t="n"/>
      <c r="D774" s="4" t="n"/>
      <c r="E774" s="4" t="n"/>
    </row>
    <row r="775" ht="15.75" customHeight="1" s="40">
      <c r="A775" s="4" t="n"/>
      <c r="B775" s="4" t="n"/>
      <c r="C775" s="4" t="n"/>
      <c r="D775" s="4" t="n"/>
      <c r="E775" s="4" t="n"/>
    </row>
    <row r="776" ht="15.75" customHeight="1" s="40">
      <c r="A776" s="4" t="n"/>
      <c r="B776" s="4" t="n"/>
      <c r="C776" s="4" t="n"/>
      <c r="D776" s="4" t="n"/>
      <c r="E776" s="4" t="n"/>
    </row>
    <row r="777" ht="15.75" customHeight="1" s="40">
      <c r="A777" s="4" t="n"/>
      <c r="B777" s="4" t="n"/>
      <c r="C777" s="4" t="n"/>
      <c r="D777" s="4" t="n"/>
      <c r="E777" s="4" t="n"/>
    </row>
    <row r="778" ht="15.75" customHeight="1" s="40">
      <c r="A778" s="4" t="n"/>
      <c r="B778" s="4" t="n"/>
      <c r="C778" s="4" t="n"/>
      <c r="D778" s="4" t="n"/>
      <c r="E778" s="4" t="n"/>
    </row>
    <row r="779" ht="15.75" customHeight="1" s="40">
      <c r="A779" s="4" t="n"/>
      <c r="B779" s="4" t="n"/>
      <c r="C779" s="4" t="n"/>
      <c r="D779" s="4" t="n"/>
      <c r="E779" s="4" t="n"/>
    </row>
    <row r="780" ht="15.75" customHeight="1" s="40">
      <c r="A780" s="4" t="n"/>
      <c r="B780" s="4" t="n"/>
      <c r="C780" s="4" t="n"/>
      <c r="D780" s="4" t="n"/>
      <c r="E780" s="4" t="n"/>
    </row>
    <row r="781" ht="15.75" customHeight="1" s="40">
      <c r="A781" s="4" t="n"/>
      <c r="B781" s="4" t="n"/>
      <c r="C781" s="4" t="n"/>
      <c r="D781" s="4" t="n"/>
      <c r="E781" s="4" t="n"/>
    </row>
    <row r="782" ht="15.75" customHeight="1" s="40">
      <c r="A782" s="4" t="n"/>
      <c r="B782" s="4" t="n"/>
      <c r="C782" s="4" t="n"/>
      <c r="D782" s="4" t="n"/>
      <c r="E782" s="4" t="n"/>
    </row>
    <row r="783" ht="15.75" customHeight="1" s="40">
      <c r="A783" s="4" t="n"/>
      <c r="B783" s="4" t="n"/>
      <c r="C783" s="4" t="n"/>
      <c r="D783" s="4" t="n"/>
      <c r="E783" s="4" t="n"/>
    </row>
    <row r="784" ht="15.75" customHeight="1" s="40">
      <c r="A784" s="4" t="n"/>
      <c r="B784" s="4" t="n"/>
      <c r="C784" s="4" t="n"/>
      <c r="D784" s="4" t="n"/>
      <c r="E784" s="4" t="n"/>
    </row>
    <row r="785" ht="15.75" customHeight="1" s="40">
      <c r="A785" s="4" t="n"/>
      <c r="B785" s="4" t="n"/>
      <c r="C785" s="4" t="n"/>
      <c r="D785" s="4" t="n"/>
      <c r="E785" s="4" t="n"/>
    </row>
    <row r="786" ht="15.75" customHeight="1" s="40">
      <c r="A786" s="4" t="n"/>
      <c r="B786" s="4" t="n"/>
      <c r="C786" s="4" t="n"/>
      <c r="D786" s="4" t="n"/>
      <c r="E786" s="4" t="n"/>
    </row>
    <row r="787" ht="15.75" customHeight="1" s="40">
      <c r="A787" s="4" t="n"/>
      <c r="B787" s="4" t="n"/>
      <c r="C787" s="4" t="n"/>
      <c r="D787" s="4" t="n"/>
      <c r="E787" s="4" t="n"/>
    </row>
    <row r="788" ht="15.75" customHeight="1" s="40">
      <c r="A788" s="4" t="n"/>
      <c r="B788" s="4" t="n"/>
      <c r="C788" s="4" t="n"/>
      <c r="D788" s="4" t="n"/>
      <c r="E788" s="4" t="n"/>
    </row>
    <row r="789" ht="15.75" customHeight="1" s="40">
      <c r="A789" s="4" t="n"/>
      <c r="B789" s="4" t="n"/>
      <c r="C789" s="4" t="n"/>
      <c r="D789" s="4" t="n"/>
      <c r="E789" s="4" t="n"/>
    </row>
    <row r="790" ht="15.75" customHeight="1" s="40">
      <c r="A790" s="4" t="n"/>
      <c r="B790" s="4" t="n"/>
      <c r="C790" s="4" t="n"/>
      <c r="D790" s="4" t="n"/>
      <c r="E790" s="4" t="n"/>
    </row>
    <row r="791" ht="15.75" customHeight="1" s="40">
      <c r="A791" s="4" t="n"/>
      <c r="B791" s="4" t="n"/>
      <c r="C791" s="4" t="n"/>
      <c r="D791" s="4" t="n"/>
      <c r="E791" s="4" t="n"/>
    </row>
    <row r="792" ht="15.75" customHeight="1" s="40">
      <c r="A792" s="4" t="n"/>
      <c r="B792" s="4" t="n"/>
      <c r="C792" s="4" t="n"/>
      <c r="D792" s="4" t="n"/>
      <c r="E792" s="4" t="n"/>
    </row>
    <row r="793" ht="15.75" customHeight="1" s="40">
      <c r="A793" s="4" t="n"/>
      <c r="B793" s="4" t="n"/>
      <c r="C793" s="4" t="n"/>
      <c r="D793" s="4" t="n"/>
      <c r="E793" s="4" t="n"/>
    </row>
    <row r="794" ht="15.75" customHeight="1" s="40">
      <c r="A794" s="4" t="n"/>
      <c r="B794" s="4" t="n"/>
      <c r="C794" s="4" t="n"/>
      <c r="D794" s="4" t="n"/>
      <c r="E794" s="4" t="n"/>
    </row>
    <row r="795" ht="15.75" customHeight="1" s="40">
      <c r="A795" s="4" t="n"/>
      <c r="B795" s="4" t="n"/>
      <c r="C795" s="4" t="n"/>
      <c r="D795" s="4" t="n"/>
      <c r="E795" s="4" t="n"/>
    </row>
    <row r="796" ht="15.75" customHeight="1" s="40">
      <c r="A796" s="4" t="n"/>
      <c r="B796" s="4" t="n"/>
      <c r="C796" s="4" t="n"/>
      <c r="D796" s="4" t="n"/>
      <c r="E796" s="4" t="n"/>
    </row>
    <row r="797" ht="15.75" customHeight="1" s="40">
      <c r="A797" s="4" t="n"/>
      <c r="B797" s="4" t="n"/>
      <c r="C797" s="4" t="n"/>
      <c r="D797" s="4" t="n"/>
      <c r="E797" s="4" t="n"/>
    </row>
    <row r="798" ht="15.75" customHeight="1" s="40">
      <c r="A798" s="4" t="n"/>
      <c r="B798" s="4" t="n"/>
      <c r="C798" s="4" t="n"/>
      <c r="D798" s="4" t="n"/>
      <c r="E798" s="4" t="n"/>
    </row>
    <row r="799" ht="15.75" customHeight="1" s="40">
      <c r="A799" s="4" t="n"/>
      <c r="B799" s="4" t="n"/>
      <c r="C799" s="4" t="n"/>
      <c r="D799" s="4" t="n"/>
      <c r="E799" s="4" t="n"/>
    </row>
    <row r="800" ht="15.75" customHeight="1" s="40">
      <c r="A800" s="4" t="n"/>
      <c r="B800" s="4" t="n"/>
      <c r="C800" s="4" t="n"/>
      <c r="D800" s="4" t="n"/>
      <c r="E800" s="4" t="n"/>
    </row>
    <row r="801" ht="15.75" customHeight="1" s="40">
      <c r="A801" s="4" t="n"/>
      <c r="B801" s="4" t="n"/>
      <c r="C801" s="4" t="n"/>
      <c r="D801" s="4" t="n"/>
      <c r="E801" s="4" t="n"/>
    </row>
    <row r="802" ht="15.75" customHeight="1" s="40">
      <c r="A802" s="4" t="n"/>
      <c r="B802" s="4" t="n"/>
      <c r="C802" s="4" t="n"/>
      <c r="D802" s="4" t="n"/>
      <c r="E802" s="4" t="n"/>
    </row>
    <row r="803" ht="15.75" customHeight="1" s="40">
      <c r="A803" s="4" t="n"/>
      <c r="B803" s="4" t="n"/>
      <c r="C803" s="4" t="n"/>
      <c r="D803" s="4" t="n"/>
      <c r="E803" s="4" t="n"/>
    </row>
    <row r="804" ht="15.75" customHeight="1" s="40">
      <c r="A804" s="4" t="n"/>
      <c r="B804" s="4" t="n"/>
      <c r="C804" s="4" t="n"/>
      <c r="D804" s="4" t="n"/>
      <c r="E804" s="4" t="n"/>
    </row>
    <row r="805" ht="15.75" customHeight="1" s="40">
      <c r="A805" s="4" t="n"/>
      <c r="B805" s="4" t="n"/>
      <c r="C805" s="4" t="n"/>
      <c r="D805" s="4" t="n"/>
      <c r="E805" s="4" t="n"/>
    </row>
    <row r="806" ht="15.75" customHeight="1" s="40">
      <c r="A806" s="4" t="n"/>
      <c r="B806" s="4" t="n"/>
      <c r="C806" s="4" t="n"/>
      <c r="D806" s="4" t="n"/>
      <c r="E806" s="4" t="n"/>
    </row>
    <row r="807" ht="15.75" customHeight="1" s="40">
      <c r="A807" s="4" t="n"/>
      <c r="B807" s="4" t="n"/>
      <c r="C807" s="4" t="n"/>
      <c r="D807" s="4" t="n"/>
      <c r="E807" s="4" t="n"/>
    </row>
    <row r="808" ht="15.75" customHeight="1" s="40">
      <c r="A808" s="4" t="n"/>
      <c r="B808" s="4" t="n"/>
      <c r="C808" s="4" t="n"/>
      <c r="D808" s="4" t="n"/>
      <c r="E808" s="4" t="n"/>
    </row>
    <row r="809" ht="15.75" customHeight="1" s="40">
      <c r="A809" s="4" t="n"/>
      <c r="B809" s="4" t="n"/>
      <c r="C809" s="4" t="n"/>
      <c r="D809" s="4" t="n"/>
      <c r="E809" s="4" t="n"/>
    </row>
    <row r="810" ht="15.75" customHeight="1" s="40">
      <c r="A810" s="4" t="n"/>
      <c r="B810" s="4" t="n"/>
      <c r="C810" s="4" t="n"/>
      <c r="D810" s="4" t="n"/>
      <c r="E810" s="4" t="n"/>
    </row>
    <row r="811" ht="15.75" customHeight="1" s="40">
      <c r="A811" s="4" t="n"/>
      <c r="B811" s="4" t="n"/>
      <c r="C811" s="4" t="n"/>
      <c r="D811" s="4" t="n"/>
      <c r="E811" s="4" t="n"/>
    </row>
    <row r="812" ht="15.75" customHeight="1" s="40">
      <c r="A812" s="4" t="n"/>
      <c r="B812" s="4" t="n"/>
      <c r="C812" s="4" t="n"/>
      <c r="D812" s="4" t="n"/>
      <c r="E812" s="4" t="n"/>
    </row>
    <row r="813" ht="15.75" customHeight="1" s="40">
      <c r="A813" s="4" t="n"/>
      <c r="B813" s="4" t="n"/>
      <c r="C813" s="4" t="n"/>
      <c r="D813" s="4" t="n"/>
      <c r="E813" s="4" t="n"/>
    </row>
    <row r="814" ht="15.75" customHeight="1" s="40">
      <c r="A814" s="4" t="n"/>
      <c r="B814" s="4" t="n"/>
      <c r="C814" s="4" t="n"/>
      <c r="D814" s="4" t="n"/>
      <c r="E814" s="4" t="n"/>
    </row>
    <row r="815" ht="15.75" customHeight="1" s="40">
      <c r="A815" s="4" t="n"/>
      <c r="B815" s="4" t="n"/>
      <c r="C815" s="4" t="n"/>
      <c r="D815" s="4" t="n"/>
      <c r="E815" s="4" t="n"/>
    </row>
    <row r="816" ht="15.75" customHeight="1" s="40">
      <c r="A816" s="4" t="n"/>
      <c r="B816" s="4" t="n"/>
      <c r="C816" s="4" t="n"/>
      <c r="D816" s="4" t="n"/>
      <c r="E816" s="4" t="n"/>
    </row>
    <row r="817" ht="15.75" customHeight="1" s="40">
      <c r="A817" s="4" t="n"/>
      <c r="B817" s="4" t="n"/>
      <c r="C817" s="4" t="n"/>
      <c r="D817" s="4" t="n"/>
      <c r="E817" s="4" t="n"/>
    </row>
    <row r="818" ht="15.75" customHeight="1" s="40">
      <c r="A818" s="4" t="n"/>
      <c r="B818" s="4" t="n"/>
      <c r="C818" s="4" t="n"/>
      <c r="D818" s="4" t="n"/>
      <c r="E818" s="4" t="n"/>
    </row>
    <row r="819" ht="15.75" customHeight="1" s="40">
      <c r="A819" s="4" t="n"/>
      <c r="B819" s="4" t="n"/>
      <c r="C819" s="4" t="n"/>
      <c r="D819" s="4" t="n"/>
      <c r="E819" s="4" t="n"/>
    </row>
    <row r="820" ht="15.75" customHeight="1" s="40">
      <c r="A820" s="4" t="n"/>
      <c r="B820" s="4" t="n"/>
      <c r="C820" s="4" t="n"/>
      <c r="D820" s="4" t="n"/>
      <c r="E820" s="4" t="n"/>
    </row>
    <row r="821" ht="15.75" customHeight="1" s="40">
      <c r="A821" s="4" t="n"/>
      <c r="B821" s="4" t="n"/>
      <c r="C821" s="4" t="n"/>
      <c r="D821" s="4" t="n"/>
      <c r="E821" s="4" t="n"/>
    </row>
    <row r="822" ht="15.75" customHeight="1" s="40">
      <c r="A822" s="4" t="n"/>
      <c r="B822" s="4" t="n"/>
      <c r="C822" s="4" t="n"/>
      <c r="D822" s="4" t="n"/>
      <c r="E822" s="4" t="n"/>
    </row>
    <row r="823" ht="15.75" customHeight="1" s="40">
      <c r="A823" s="4" t="n"/>
      <c r="B823" s="4" t="n"/>
      <c r="C823" s="4" t="n"/>
      <c r="D823" s="4" t="n"/>
      <c r="E823" s="4" t="n"/>
    </row>
    <row r="824" ht="15.75" customHeight="1" s="40">
      <c r="A824" s="4" t="n"/>
      <c r="B824" s="4" t="n"/>
      <c r="C824" s="4" t="n"/>
      <c r="D824" s="4" t="n"/>
      <c r="E824" s="4" t="n"/>
    </row>
    <row r="825" ht="15.75" customHeight="1" s="40">
      <c r="A825" s="4" t="n"/>
      <c r="B825" s="4" t="n"/>
      <c r="C825" s="4" t="n"/>
      <c r="D825" s="4" t="n"/>
      <c r="E825" s="4" t="n"/>
    </row>
    <row r="826" ht="15.75" customHeight="1" s="40">
      <c r="A826" s="4" t="n"/>
      <c r="B826" s="4" t="n"/>
      <c r="C826" s="4" t="n"/>
      <c r="D826" s="4" t="n"/>
      <c r="E826" s="4" t="n"/>
    </row>
    <row r="827" ht="15.75" customHeight="1" s="40">
      <c r="A827" s="4" t="n"/>
      <c r="B827" s="4" t="n"/>
      <c r="C827" s="4" t="n"/>
      <c r="D827" s="4" t="n"/>
      <c r="E827" s="4" t="n"/>
    </row>
    <row r="828" ht="15.75" customHeight="1" s="40">
      <c r="A828" s="4" t="n"/>
      <c r="B828" s="4" t="n"/>
      <c r="C828" s="4" t="n"/>
      <c r="D828" s="4" t="n"/>
      <c r="E828" s="4" t="n"/>
    </row>
    <row r="829" ht="15.75" customHeight="1" s="40">
      <c r="A829" s="4" t="n"/>
      <c r="B829" s="4" t="n"/>
      <c r="C829" s="4" t="n"/>
      <c r="D829" s="4" t="n"/>
      <c r="E829" s="4" t="n"/>
    </row>
    <row r="830" ht="15.75" customHeight="1" s="40">
      <c r="A830" s="4" t="n"/>
      <c r="B830" s="4" t="n"/>
      <c r="C830" s="4" t="n"/>
      <c r="D830" s="4" t="n"/>
      <c r="E830" s="4" t="n"/>
    </row>
    <row r="831" ht="15.75" customHeight="1" s="40">
      <c r="A831" s="4" t="n"/>
      <c r="B831" s="4" t="n"/>
      <c r="C831" s="4" t="n"/>
      <c r="D831" s="4" t="n"/>
      <c r="E831" s="4" t="n"/>
    </row>
    <row r="832" ht="15.75" customHeight="1" s="40">
      <c r="A832" s="4" t="n"/>
      <c r="B832" s="4" t="n"/>
      <c r="C832" s="4" t="n"/>
      <c r="D832" s="4" t="n"/>
      <c r="E832" s="4" t="n"/>
    </row>
    <row r="833" ht="15.75" customHeight="1" s="40">
      <c r="A833" s="4" t="n"/>
      <c r="B833" s="4" t="n"/>
      <c r="C833" s="4" t="n"/>
      <c r="D833" s="4" t="n"/>
      <c r="E833" s="4" t="n"/>
    </row>
    <row r="834" ht="15.75" customHeight="1" s="40">
      <c r="A834" s="4" t="n"/>
      <c r="B834" s="4" t="n"/>
      <c r="C834" s="4" t="n"/>
      <c r="D834" s="4" t="n"/>
      <c r="E834" s="4" t="n"/>
    </row>
    <row r="835" ht="15.75" customHeight="1" s="40">
      <c r="A835" s="4" t="n"/>
      <c r="B835" s="4" t="n"/>
      <c r="C835" s="4" t="n"/>
      <c r="D835" s="4" t="n"/>
      <c r="E835" s="4" t="n"/>
    </row>
    <row r="836" ht="15.75" customHeight="1" s="40">
      <c r="A836" s="4" t="n"/>
      <c r="B836" s="4" t="n"/>
      <c r="C836" s="4" t="n"/>
      <c r="D836" s="4" t="n"/>
      <c r="E836" s="4" t="n"/>
    </row>
    <row r="837" ht="15.75" customHeight="1" s="40">
      <c r="A837" s="4" t="n"/>
      <c r="B837" s="4" t="n"/>
      <c r="C837" s="4" t="n"/>
      <c r="D837" s="4" t="n"/>
      <c r="E837" s="4" t="n"/>
    </row>
    <row r="838" ht="15.75" customHeight="1" s="40">
      <c r="A838" s="4" t="n"/>
      <c r="B838" s="4" t="n"/>
      <c r="C838" s="4" t="n"/>
      <c r="D838" s="4" t="n"/>
      <c r="E838" s="4" t="n"/>
    </row>
    <row r="839" ht="15.75" customHeight="1" s="40">
      <c r="A839" s="4" t="n"/>
      <c r="B839" s="4" t="n"/>
      <c r="C839" s="4" t="n"/>
      <c r="D839" s="4" t="n"/>
      <c r="E839" s="4" t="n"/>
    </row>
    <row r="840" ht="15.75" customHeight="1" s="40">
      <c r="A840" s="4" t="n"/>
      <c r="B840" s="4" t="n"/>
      <c r="C840" s="4" t="n"/>
      <c r="D840" s="4" t="n"/>
      <c r="E840" s="4" t="n"/>
    </row>
    <row r="841" ht="15.75" customHeight="1" s="40">
      <c r="A841" s="4" t="n"/>
      <c r="B841" s="4" t="n"/>
      <c r="C841" s="4" t="n"/>
      <c r="D841" s="4" t="n"/>
      <c r="E841" s="4" t="n"/>
    </row>
    <row r="842" ht="15.75" customHeight="1" s="40">
      <c r="A842" s="4" t="n"/>
      <c r="B842" s="4" t="n"/>
      <c r="C842" s="4" t="n"/>
      <c r="D842" s="4" t="n"/>
      <c r="E842" s="4" t="n"/>
    </row>
    <row r="843" ht="15.75" customHeight="1" s="40">
      <c r="A843" s="4" t="n"/>
      <c r="B843" s="4" t="n"/>
      <c r="C843" s="4" t="n"/>
      <c r="D843" s="4" t="n"/>
      <c r="E843" s="4" t="n"/>
    </row>
    <row r="844" ht="15.75" customHeight="1" s="40">
      <c r="A844" s="4" t="n"/>
      <c r="B844" s="4" t="n"/>
      <c r="C844" s="4" t="n"/>
      <c r="D844" s="4" t="n"/>
      <c r="E844" s="4" t="n"/>
    </row>
    <row r="845" ht="15.75" customHeight="1" s="40">
      <c r="A845" s="4" t="n"/>
      <c r="B845" s="4" t="n"/>
      <c r="C845" s="4" t="n"/>
      <c r="D845" s="4" t="n"/>
      <c r="E845" s="4" t="n"/>
    </row>
    <row r="846" ht="15.75" customHeight="1" s="40">
      <c r="A846" s="4" t="n"/>
      <c r="B846" s="4" t="n"/>
      <c r="C846" s="4" t="n"/>
      <c r="D846" s="4" t="n"/>
      <c r="E846" s="4" t="n"/>
    </row>
    <row r="847" ht="15.75" customHeight="1" s="40">
      <c r="A847" s="4" t="n"/>
      <c r="B847" s="4" t="n"/>
      <c r="C847" s="4" t="n"/>
      <c r="D847" s="4" t="n"/>
      <c r="E847" s="4" t="n"/>
    </row>
    <row r="848" ht="15.75" customHeight="1" s="40">
      <c r="A848" s="4" t="n"/>
      <c r="B848" s="4" t="n"/>
      <c r="C848" s="4" t="n"/>
      <c r="D848" s="4" t="n"/>
      <c r="E848" s="4" t="n"/>
    </row>
    <row r="849" ht="15.75" customHeight="1" s="40">
      <c r="A849" s="4" t="n"/>
      <c r="B849" s="4" t="n"/>
      <c r="C849" s="4" t="n"/>
      <c r="D849" s="4" t="n"/>
      <c r="E849" s="4" t="n"/>
    </row>
    <row r="850" ht="15.75" customHeight="1" s="40">
      <c r="A850" s="4" t="n"/>
      <c r="B850" s="4" t="n"/>
      <c r="C850" s="4" t="n"/>
      <c r="D850" s="4" t="n"/>
      <c r="E850" s="4" t="n"/>
    </row>
    <row r="851" ht="15.75" customHeight="1" s="40">
      <c r="A851" s="4" t="n"/>
      <c r="B851" s="4" t="n"/>
      <c r="C851" s="4" t="n"/>
      <c r="D851" s="4" t="n"/>
      <c r="E851" s="4" t="n"/>
    </row>
    <row r="852" ht="15.75" customHeight="1" s="40">
      <c r="A852" s="4" t="n"/>
      <c r="B852" s="4" t="n"/>
      <c r="C852" s="4" t="n"/>
      <c r="D852" s="4" t="n"/>
      <c r="E852" s="4" t="n"/>
    </row>
    <row r="853" ht="15.75" customHeight="1" s="40">
      <c r="A853" s="4" t="n"/>
      <c r="B853" s="4" t="n"/>
      <c r="C853" s="4" t="n"/>
      <c r="D853" s="4" t="n"/>
      <c r="E853" s="4" t="n"/>
    </row>
    <row r="854" ht="15.75" customHeight="1" s="40">
      <c r="A854" s="4" t="n"/>
      <c r="B854" s="4" t="n"/>
      <c r="C854" s="4" t="n"/>
      <c r="D854" s="4" t="n"/>
      <c r="E854" s="4" t="n"/>
    </row>
    <row r="855" ht="15.75" customHeight="1" s="40">
      <c r="A855" s="4" t="n"/>
      <c r="B855" s="4" t="n"/>
      <c r="C855" s="4" t="n"/>
      <c r="D855" s="4" t="n"/>
      <c r="E855" s="4" t="n"/>
    </row>
    <row r="856" ht="15.75" customHeight="1" s="40">
      <c r="A856" s="4" t="n"/>
      <c r="B856" s="4" t="n"/>
      <c r="C856" s="4" t="n"/>
      <c r="D856" s="4" t="n"/>
      <c r="E856" s="4" t="n"/>
    </row>
    <row r="857" ht="15.75" customHeight="1" s="40">
      <c r="A857" s="4" t="n"/>
      <c r="B857" s="4" t="n"/>
      <c r="C857" s="4" t="n"/>
      <c r="D857" s="4" t="n"/>
      <c r="E857" s="4" t="n"/>
    </row>
    <row r="858" ht="15.75" customHeight="1" s="40">
      <c r="A858" s="4" t="n"/>
      <c r="B858" s="4" t="n"/>
      <c r="C858" s="4" t="n"/>
      <c r="D858" s="4" t="n"/>
      <c r="E858" s="4" t="n"/>
    </row>
    <row r="859" ht="15.75" customHeight="1" s="40">
      <c r="A859" s="4" t="n"/>
      <c r="B859" s="4" t="n"/>
      <c r="C859" s="4" t="n"/>
      <c r="D859" s="4" t="n"/>
      <c r="E859" s="4" t="n"/>
    </row>
    <row r="860" ht="15.75" customHeight="1" s="40">
      <c r="A860" s="4" t="n"/>
      <c r="B860" s="4" t="n"/>
      <c r="C860" s="4" t="n"/>
      <c r="D860" s="4" t="n"/>
      <c r="E860" s="4" t="n"/>
    </row>
    <row r="861" ht="15.75" customHeight="1" s="40">
      <c r="A861" s="4" t="n"/>
      <c r="B861" s="4" t="n"/>
      <c r="C861" s="4" t="n"/>
      <c r="D861" s="4" t="n"/>
      <c r="E861" s="4" t="n"/>
    </row>
    <row r="862" ht="15.75" customHeight="1" s="40">
      <c r="A862" s="4" t="n"/>
      <c r="B862" s="4" t="n"/>
      <c r="C862" s="4" t="n"/>
      <c r="D862" s="4" t="n"/>
      <c r="E862" s="4" t="n"/>
    </row>
    <row r="863" ht="15.75" customHeight="1" s="40">
      <c r="A863" s="4" t="n"/>
      <c r="B863" s="4" t="n"/>
      <c r="C863" s="4" t="n"/>
      <c r="D863" s="4" t="n"/>
      <c r="E863" s="4" t="n"/>
    </row>
    <row r="864" ht="15.75" customHeight="1" s="40">
      <c r="A864" s="4" t="n"/>
      <c r="B864" s="4" t="n"/>
      <c r="C864" s="4" t="n"/>
      <c r="D864" s="4" t="n"/>
      <c r="E864" s="4" t="n"/>
    </row>
    <row r="865" ht="15.75" customHeight="1" s="40">
      <c r="A865" s="4" t="n"/>
      <c r="B865" s="4" t="n"/>
      <c r="C865" s="4" t="n"/>
      <c r="D865" s="4" t="n"/>
      <c r="E865" s="4" t="n"/>
    </row>
    <row r="866" ht="15.75" customHeight="1" s="40">
      <c r="A866" s="4" t="n"/>
      <c r="B866" s="4" t="n"/>
      <c r="C866" s="4" t="n"/>
      <c r="D866" s="4" t="n"/>
      <c r="E866" s="4" t="n"/>
    </row>
    <row r="867" ht="15.75" customHeight="1" s="40">
      <c r="A867" s="4" t="n"/>
      <c r="B867" s="4" t="n"/>
      <c r="C867" s="4" t="n"/>
      <c r="D867" s="4" t="n"/>
      <c r="E867" s="4" t="n"/>
    </row>
    <row r="868" ht="15.75" customHeight="1" s="40">
      <c r="A868" s="4" t="n"/>
      <c r="B868" s="4" t="n"/>
      <c r="C868" s="4" t="n"/>
      <c r="D868" s="4" t="n"/>
      <c r="E868" s="4" t="n"/>
    </row>
    <row r="869" ht="15.75" customHeight="1" s="40">
      <c r="A869" s="4" t="n"/>
      <c r="B869" s="4" t="n"/>
      <c r="C869" s="4" t="n"/>
      <c r="D869" s="4" t="n"/>
      <c r="E869" s="4" t="n"/>
    </row>
    <row r="870" ht="15.75" customHeight="1" s="40">
      <c r="A870" s="4" t="n"/>
      <c r="B870" s="4" t="n"/>
      <c r="C870" s="4" t="n"/>
      <c r="D870" s="4" t="n"/>
      <c r="E870" s="4" t="n"/>
    </row>
    <row r="871" ht="15.75" customHeight="1" s="40">
      <c r="A871" s="4" t="n"/>
      <c r="B871" s="4" t="n"/>
      <c r="C871" s="4" t="n"/>
      <c r="D871" s="4" t="n"/>
      <c r="E871" s="4" t="n"/>
    </row>
    <row r="872" ht="15.75" customHeight="1" s="40">
      <c r="A872" s="4" t="n"/>
      <c r="B872" s="4" t="n"/>
      <c r="C872" s="4" t="n"/>
      <c r="D872" s="4" t="n"/>
      <c r="E872" s="4" t="n"/>
    </row>
    <row r="873" ht="15.75" customHeight="1" s="40">
      <c r="A873" s="4" t="n"/>
      <c r="B873" s="4" t="n"/>
      <c r="C873" s="4" t="n"/>
      <c r="D873" s="4" t="n"/>
      <c r="E873" s="4" t="n"/>
    </row>
    <row r="874" ht="15.75" customHeight="1" s="40">
      <c r="A874" s="4" t="n"/>
      <c r="B874" s="4" t="n"/>
      <c r="C874" s="4" t="n"/>
      <c r="D874" s="4" t="n"/>
      <c r="E874" s="4" t="n"/>
    </row>
    <row r="875" ht="15.75" customHeight="1" s="40">
      <c r="A875" s="4" t="n"/>
      <c r="B875" s="4" t="n"/>
      <c r="C875" s="4" t="n"/>
      <c r="D875" s="4" t="n"/>
      <c r="E875" s="4" t="n"/>
    </row>
    <row r="876" ht="15.75" customHeight="1" s="40">
      <c r="A876" s="4" t="n"/>
      <c r="B876" s="4" t="n"/>
      <c r="C876" s="4" t="n"/>
      <c r="D876" s="4" t="n"/>
      <c r="E876" s="4" t="n"/>
    </row>
    <row r="877" ht="15.75" customHeight="1" s="40">
      <c r="A877" s="4" t="n"/>
      <c r="B877" s="4" t="n"/>
      <c r="C877" s="4" t="n"/>
      <c r="D877" s="4" t="n"/>
      <c r="E877" s="4" t="n"/>
    </row>
    <row r="878" ht="15.75" customHeight="1" s="40">
      <c r="A878" s="4" t="n"/>
      <c r="B878" s="4" t="n"/>
      <c r="C878" s="4" t="n"/>
      <c r="D878" s="4" t="n"/>
      <c r="E878" s="4" t="n"/>
    </row>
    <row r="879" ht="15.75" customHeight="1" s="40">
      <c r="A879" s="4" t="n"/>
      <c r="B879" s="4" t="n"/>
      <c r="C879" s="4" t="n"/>
      <c r="D879" s="4" t="n"/>
      <c r="E879" s="4" t="n"/>
    </row>
    <row r="880" ht="15.75" customHeight="1" s="40">
      <c r="A880" s="4" t="n"/>
      <c r="B880" s="4" t="n"/>
      <c r="C880" s="4" t="n"/>
      <c r="D880" s="4" t="n"/>
      <c r="E880" s="4" t="n"/>
    </row>
    <row r="881" ht="15.75" customHeight="1" s="40">
      <c r="A881" s="4" t="n"/>
      <c r="B881" s="4" t="n"/>
      <c r="C881" s="4" t="n"/>
      <c r="D881" s="4" t="n"/>
      <c r="E881" s="4" t="n"/>
    </row>
    <row r="882" ht="15.75" customHeight="1" s="40">
      <c r="A882" s="4" t="n"/>
      <c r="B882" s="4" t="n"/>
      <c r="C882" s="4" t="n"/>
      <c r="D882" s="4" t="n"/>
      <c r="E882" s="4" t="n"/>
    </row>
    <row r="883" ht="15.75" customHeight="1" s="40">
      <c r="A883" s="4" t="n"/>
      <c r="B883" s="4" t="n"/>
      <c r="C883" s="4" t="n"/>
      <c r="D883" s="4" t="n"/>
      <c r="E883" s="4" t="n"/>
    </row>
    <row r="884" ht="15.75" customHeight="1" s="40">
      <c r="A884" s="4" t="n"/>
      <c r="B884" s="4" t="n"/>
      <c r="C884" s="4" t="n"/>
      <c r="D884" s="4" t="n"/>
      <c r="E884" s="4" t="n"/>
    </row>
    <row r="885" ht="15.75" customHeight="1" s="40">
      <c r="A885" s="4" t="n"/>
      <c r="B885" s="4" t="n"/>
      <c r="C885" s="4" t="n"/>
      <c r="D885" s="4" t="n"/>
      <c r="E885" s="4" t="n"/>
    </row>
    <row r="886" ht="15.75" customHeight="1" s="40">
      <c r="A886" s="4" t="n"/>
      <c r="B886" s="4" t="n"/>
      <c r="C886" s="4" t="n"/>
      <c r="D886" s="4" t="n"/>
      <c r="E886" s="4" t="n"/>
    </row>
    <row r="887" ht="15.75" customHeight="1" s="40">
      <c r="A887" s="4" t="n"/>
      <c r="B887" s="4" t="n"/>
      <c r="C887" s="4" t="n"/>
      <c r="D887" s="4" t="n"/>
      <c r="E887" s="4" t="n"/>
    </row>
    <row r="888" ht="15.75" customHeight="1" s="40">
      <c r="A888" s="4" t="n"/>
      <c r="B888" s="4" t="n"/>
      <c r="C888" s="4" t="n"/>
      <c r="D888" s="4" t="n"/>
      <c r="E888" s="4" t="n"/>
    </row>
    <row r="889" ht="15.75" customHeight="1" s="40">
      <c r="A889" s="4" t="n"/>
      <c r="B889" s="4" t="n"/>
      <c r="C889" s="4" t="n"/>
      <c r="D889" s="4" t="n"/>
      <c r="E889" s="4" t="n"/>
    </row>
    <row r="890" ht="15.75" customHeight="1" s="40">
      <c r="A890" s="4" t="n"/>
      <c r="B890" s="4" t="n"/>
      <c r="C890" s="4" t="n"/>
      <c r="D890" s="4" t="n"/>
      <c r="E890" s="4" t="n"/>
    </row>
    <row r="891" ht="15.75" customHeight="1" s="40">
      <c r="A891" s="4" t="n"/>
      <c r="B891" s="4" t="n"/>
      <c r="C891" s="4" t="n"/>
      <c r="D891" s="4" t="n"/>
      <c r="E891" s="4" t="n"/>
    </row>
    <row r="892" ht="15.75" customHeight="1" s="40">
      <c r="A892" s="4" t="n"/>
      <c r="B892" s="4" t="n"/>
      <c r="C892" s="4" t="n"/>
      <c r="D892" s="4" t="n"/>
      <c r="E892" s="4" t="n"/>
    </row>
    <row r="893" ht="15.75" customHeight="1" s="40">
      <c r="A893" s="4" t="n"/>
      <c r="B893" s="4" t="n"/>
      <c r="C893" s="4" t="n"/>
      <c r="D893" s="4" t="n"/>
      <c r="E893" s="4" t="n"/>
    </row>
    <row r="894" ht="15.75" customHeight="1" s="40">
      <c r="A894" s="4" t="n"/>
      <c r="B894" s="4" t="n"/>
      <c r="C894" s="4" t="n"/>
      <c r="D894" s="4" t="n"/>
      <c r="E894" s="4" t="n"/>
    </row>
    <row r="895" ht="15.75" customHeight="1" s="40">
      <c r="A895" s="4" t="n"/>
      <c r="B895" s="4" t="n"/>
      <c r="C895" s="4" t="n"/>
      <c r="D895" s="4" t="n"/>
      <c r="E895" s="4" t="n"/>
    </row>
    <row r="896" ht="15.75" customHeight="1" s="40">
      <c r="A896" s="4" t="n"/>
      <c r="B896" s="4" t="n"/>
      <c r="C896" s="4" t="n"/>
      <c r="D896" s="4" t="n"/>
      <c r="E896" s="4" t="n"/>
    </row>
    <row r="897" ht="15.75" customHeight="1" s="40">
      <c r="A897" s="4" t="n"/>
      <c r="B897" s="4" t="n"/>
      <c r="C897" s="4" t="n"/>
      <c r="D897" s="4" t="n"/>
      <c r="E897" s="4" t="n"/>
    </row>
    <row r="898" ht="15.75" customHeight="1" s="40">
      <c r="A898" s="4" t="n"/>
      <c r="B898" s="4" t="n"/>
      <c r="C898" s="4" t="n"/>
      <c r="D898" s="4" t="n"/>
      <c r="E898" s="4" t="n"/>
    </row>
    <row r="899" ht="15.75" customHeight="1" s="40">
      <c r="A899" s="4" t="n"/>
      <c r="B899" s="4" t="n"/>
      <c r="C899" s="4" t="n"/>
      <c r="D899" s="4" t="n"/>
      <c r="E899" s="4" t="n"/>
    </row>
    <row r="900" ht="15.75" customHeight="1" s="40">
      <c r="A900" s="4" t="n"/>
      <c r="B900" s="4" t="n"/>
      <c r="C900" s="4" t="n"/>
      <c r="D900" s="4" t="n"/>
      <c r="E900" s="4" t="n"/>
    </row>
    <row r="901" ht="15.75" customHeight="1" s="40">
      <c r="A901" s="4" t="n"/>
      <c r="B901" s="4" t="n"/>
      <c r="C901" s="4" t="n"/>
      <c r="D901" s="4" t="n"/>
      <c r="E901" s="4" t="n"/>
    </row>
    <row r="902" ht="15.75" customHeight="1" s="40">
      <c r="A902" s="4" t="n"/>
      <c r="B902" s="4" t="n"/>
      <c r="C902" s="4" t="n"/>
      <c r="D902" s="4" t="n"/>
      <c r="E902" s="4" t="n"/>
    </row>
    <row r="903" ht="15.75" customHeight="1" s="40">
      <c r="A903" s="4" t="n"/>
      <c r="B903" s="4" t="n"/>
      <c r="C903" s="4" t="n"/>
      <c r="D903" s="4" t="n"/>
      <c r="E903" s="4" t="n"/>
    </row>
    <row r="904" ht="15.75" customHeight="1" s="40">
      <c r="A904" s="4" t="n"/>
      <c r="B904" s="4" t="n"/>
      <c r="C904" s="4" t="n"/>
      <c r="D904" s="4" t="n"/>
      <c r="E904" s="4" t="n"/>
    </row>
    <row r="905" ht="15.75" customHeight="1" s="40">
      <c r="A905" s="4" t="n"/>
      <c r="B905" s="4" t="n"/>
      <c r="C905" s="4" t="n"/>
      <c r="D905" s="4" t="n"/>
      <c r="E905" s="4" t="n"/>
    </row>
    <row r="906" ht="15.75" customHeight="1" s="40">
      <c r="A906" s="4" t="n"/>
      <c r="B906" s="4" t="n"/>
      <c r="C906" s="4" t="n"/>
      <c r="D906" s="4" t="n"/>
      <c r="E906" s="4" t="n"/>
    </row>
    <row r="907" ht="15.75" customHeight="1" s="40">
      <c r="A907" s="4" t="n"/>
      <c r="B907" s="4" t="n"/>
      <c r="C907" s="4" t="n"/>
      <c r="D907" s="4" t="n"/>
      <c r="E907" s="4" t="n"/>
    </row>
    <row r="908" ht="15.75" customHeight="1" s="40">
      <c r="A908" s="4" t="n"/>
      <c r="B908" s="4" t="n"/>
      <c r="C908" s="4" t="n"/>
      <c r="D908" s="4" t="n"/>
      <c r="E908" s="4" t="n"/>
    </row>
    <row r="909" ht="15.75" customHeight="1" s="40">
      <c r="A909" s="4" t="n"/>
      <c r="B909" s="4" t="n"/>
      <c r="C909" s="4" t="n"/>
      <c r="D909" s="4" t="n"/>
      <c r="E909" s="4" t="n"/>
    </row>
    <row r="910" ht="15.75" customHeight="1" s="40">
      <c r="A910" s="4" t="n"/>
      <c r="B910" s="4" t="n"/>
      <c r="C910" s="4" t="n"/>
      <c r="D910" s="4" t="n"/>
      <c r="E910" s="4" t="n"/>
    </row>
    <row r="911" ht="15.75" customHeight="1" s="40">
      <c r="A911" s="4" t="n"/>
      <c r="B911" s="4" t="n"/>
      <c r="C911" s="4" t="n"/>
      <c r="D911" s="4" t="n"/>
      <c r="E911" s="4" t="n"/>
    </row>
    <row r="912" ht="15.75" customHeight="1" s="40">
      <c r="A912" s="4" t="n"/>
      <c r="B912" s="4" t="n"/>
      <c r="C912" s="4" t="n"/>
      <c r="D912" s="4" t="n"/>
      <c r="E912" s="4" t="n"/>
    </row>
    <row r="913" ht="15.75" customHeight="1" s="40">
      <c r="A913" s="4" t="n"/>
      <c r="B913" s="4" t="n"/>
      <c r="C913" s="4" t="n"/>
      <c r="D913" s="4" t="n"/>
      <c r="E913" s="4" t="n"/>
    </row>
    <row r="914" ht="15.75" customHeight="1" s="40">
      <c r="A914" s="4" t="n"/>
      <c r="B914" s="4" t="n"/>
      <c r="C914" s="4" t="n"/>
      <c r="D914" s="4" t="n"/>
      <c r="E914" s="4" t="n"/>
    </row>
    <row r="915" ht="15.75" customHeight="1" s="40">
      <c r="A915" s="4" t="n"/>
      <c r="B915" s="4" t="n"/>
      <c r="C915" s="4" t="n"/>
      <c r="D915" s="4" t="n"/>
      <c r="E915" s="4" t="n"/>
    </row>
    <row r="916" ht="15.75" customHeight="1" s="40">
      <c r="A916" s="4" t="n"/>
      <c r="B916" s="4" t="n"/>
      <c r="C916" s="4" t="n"/>
      <c r="D916" s="4" t="n"/>
      <c r="E916" s="4" t="n"/>
    </row>
    <row r="917" ht="15.75" customHeight="1" s="40">
      <c r="A917" s="4" t="n"/>
      <c r="B917" s="4" t="n"/>
      <c r="C917" s="4" t="n"/>
      <c r="D917" s="4" t="n"/>
      <c r="E917" s="4" t="n"/>
    </row>
    <row r="918" ht="15.75" customHeight="1" s="40">
      <c r="A918" s="4" t="n"/>
      <c r="B918" s="4" t="n"/>
      <c r="C918" s="4" t="n"/>
      <c r="D918" s="4" t="n"/>
      <c r="E918" s="4" t="n"/>
    </row>
    <row r="919" ht="15.75" customHeight="1" s="40">
      <c r="A919" s="4" t="n"/>
      <c r="B919" s="4" t="n"/>
      <c r="C919" s="4" t="n"/>
      <c r="D919" s="4" t="n"/>
      <c r="E919" s="4" t="n"/>
    </row>
    <row r="920" ht="15.75" customHeight="1" s="40">
      <c r="A920" s="4" t="n"/>
      <c r="B920" s="4" t="n"/>
      <c r="C920" s="4" t="n"/>
      <c r="D920" s="4" t="n"/>
      <c r="E920" s="4" t="n"/>
    </row>
    <row r="921" ht="15.75" customHeight="1" s="40">
      <c r="A921" s="4" t="n"/>
      <c r="B921" s="4" t="n"/>
      <c r="C921" s="4" t="n"/>
      <c r="D921" s="4" t="n"/>
      <c r="E921" s="4" t="n"/>
    </row>
    <row r="922" ht="15.75" customHeight="1" s="40">
      <c r="A922" s="4" t="n"/>
      <c r="B922" s="4" t="n"/>
      <c r="C922" s="4" t="n"/>
      <c r="D922" s="4" t="n"/>
      <c r="E922" s="4" t="n"/>
    </row>
    <row r="923" ht="15.75" customHeight="1" s="40">
      <c r="A923" s="4" t="n"/>
      <c r="B923" s="4" t="n"/>
      <c r="C923" s="4" t="n"/>
      <c r="D923" s="4" t="n"/>
      <c r="E923" s="4" t="n"/>
    </row>
    <row r="924" ht="15.75" customHeight="1" s="40">
      <c r="A924" s="4" t="n"/>
      <c r="B924" s="4" t="n"/>
      <c r="C924" s="4" t="n"/>
      <c r="D924" s="4" t="n"/>
      <c r="E924" s="4" t="n"/>
    </row>
    <row r="925" ht="15.75" customHeight="1" s="40">
      <c r="A925" s="4" t="n"/>
      <c r="B925" s="4" t="n"/>
      <c r="C925" s="4" t="n"/>
      <c r="D925" s="4" t="n"/>
      <c r="E925" s="4" t="n"/>
    </row>
    <row r="926" ht="15.75" customHeight="1" s="40">
      <c r="A926" s="4" t="n"/>
      <c r="B926" s="4" t="n"/>
      <c r="C926" s="4" t="n"/>
      <c r="D926" s="4" t="n"/>
      <c r="E926" s="4" t="n"/>
    </row>
    <row r="927" ht="15.75" customHeight="1" s="40">
      <c r="A927" s="4" t="n"/>
      <c r="B927" s="4" t="n"/>
      <c r="C927" s="4" t="n"/>
      <c r="D927" s="4" t="n"/>
      <c r="E927" s="4" t="n"/>
    </row>
    <row r="928" ht="15.75" customHeight="1" s="40">
      <c r="A928" s="4" t="n"/>
      <c r="B928" s="4" t="n"/>
      <c r="C928" s="4" t="n"/>
      <c r="D928" s="4" t="n"/>
      <c r="E928" s="4" t="n"/>
    </row>
    <row r="929" ht="15.75" customHeight="1" s="40">
      <c r="A929" s="4" t="n"/>
      <c r="B929" s="4" t="n"/>
      <c r="C929" s="4" t="n"/>
      <c r="D929" s="4" t="n"/>
      <c r="E929" s="4" t="n"/>
    </row>
    <row r="930" ht="15.75" customHeight="1" s="40">
      <c r="A930" s="4" t="n"/>
      <c r="B930" s="4" t="n"/>
      <c r="C930" s="4" t="n"/>
      <c r="D930" s="4" t="n"/>
      <c r="E930" s="4" t="n"/>
    </row>
    <row r="931" ht="15.75" customHeight="1" s="40">
      <c r="A931" s="4" t="n"/>
      <c r="B931" s="4" t="n"/>
      <c r="C931" s="4" t="n"/>
      <c r="D931" s="4" t="n"/>
      <c r="E931" s="4" t="n"/>
    </row>
    <row r="932" ht="15.75" customHeight="1" s="40">
      <c r="A932" s="4" t="n"/>
      <c r="B932" s="4" t="n"/>
      <c r="C932" s="4" t="n"/>
      <c r="D932" s="4" t="n"/>
      <c r="E932" s="4" t="n"/>
    </row>
    <row r="933" ht="15.75" customHeight="1" s="40">
      <c r="A933" s="4" t="n"/>
      <c r="B933" s="4" t="n"/>
      <c r="C933" s="4" t="n"/>
      <c r="D933" s="4" t="n"/>
      <c r="E933" s="4" t="n"/>
    </row>
    <row r="934" ht="15.75" customHeight="1" s="40">
      <c r="A934" s="4" t="n"/>
      <c r="B934" s="4" t="n"/>
      <c r="C934" s="4" t="n"/>
      <c r="D934" s="4" t="n"/>
      <c r="E934" s="4" t="n"/>
    </row>
    <row r="935" ht="15.75" customHeight="1" s="40">
      <c r="A935" s="4" t="n"/>
      <c r="B935" s="4" t="n"/>
      <c r="C935" s="4" t="n"/>
      <c r="D935" s="4" t="n"/>
      <c r="E935" s="4" t="n"/>
    </row>
    <row r="936" ht="15.75" customHeight="1" s="40">
      <c r="A936" s="4" t="n"/>
      <c r="B936" s="4" t="n"/>
      <c r="C936" s="4" t="n"/>
      <c r="D936" s="4" t="n"/>
      <c r="E936" s="4" t="n"/>
    </row>
    <row r="937" ht="15.75" customHeight="1" s="40">
      <c r="A937" s="4" t="n"/>
      <c r="B937" s="4" t="n"/>
      <c r="C937" s="4" t="n"/>
      <c r="D937" s="4" t="n"/>
      <c r="E937" s="4" t="n"/>
    </row>
    <row r="938" ht="15.75" customHeight="1" s="40">
      <c r="A938" s="4" t="n"/>
      <c r="B938" s="4" t="n"/>
      <c r="C938" s="4" t="n"/>
      <c r="D938" s="4" t="n"/>
      <c r="E938" s="4" t="n"/>
    </row>
    <row r="939" ht="15.75" customHeight="1" s="40">
      <c r="A939" s="4" t="n"/>
      <c r="B939" s="4" t="n"/>
      <c r="C939" s="4" t="n"/>
      <c r="D939" s="4" t="n"/>
      <c r="E939" s="4" t="n"/>
    </row>
    <row r="940" ht="15.75" customHeight="1" s="40">
      <c r="A940" s="4" t="n"/>
      <c r="B940" s="4" t="n"/>
      <c r="C940" s="4" t="n"/>
      <c r="D940" s="4" t="n"/>
      <c r="E940" s="4" t="n"/>
    </row>
    <row r="941" ht="15.75" customHeight="1" s="40">
      <c r="A941" s="4" t="n"/>
      <c r="B941" s="4" t="n"/>
      <c r="C941" s="4" t="n"/>
      <c r="D941" s="4" t="n"/>
      <c r="E941" s="4" t="n"/>
    </row>
    <row r="942" ht="15.75" customHeight="1" s="40">
      <c r="A942" s="4" t="n"/>
      <c r="B942" s="4" t="n"/>
      <c r="C942" s="4" t="n"/>
      <c r="D942" s="4" t="n"/>
      <c r="E942" s="4" t="n"/>
    </row>
    <row r="943" ht="15.75" customHeight="1" s="40">
      <c r="A943" s="4" t="n"/>
      <c r="B943" s="4" t="n"/>
      <c r="C943" s="4" t="n"/>
      <c r="D943" s="4" t="n"/>
      <c r="E943" s="4" t="n"/>
    </row>
    <row r="944" ht="15.75" customHeight="1" s="40">
      <c r="A944" s="4" t="n"/>
      <c r="B944" s="4" t="n"/>
      <c r="C944" s="4" t="n"/>
      <c r="D944" s="4" t="n"/>
      <c r="E944" s="4" t="n"/>
    </row>
    <row r="945" ht="15.75" customHeight="1" s="40">
      <c r="A945" s="4" t="n"/>
      <c r="B945" s="4" t="n"/>
      <c r="C945" s="4" t="n"/>
      <c r="D945" s="4" t="n"/>
      <c r="E945" s="4" t="n"/>
    </row>
    <row r="946" ht="15.75" customHeight="1" s="40">
      <c r="A946" s="4" t="n"/>
      <c r="B946" s="4" t="n"/>
      <c r="C946" s="4" t="n"/>
      <c r="D946" s="4" t="n"/>
      <c r="E946" s="4" t="n"/>
    </row>
    <row r="947" ht="15.75" customHeight="1" s="40">
      <c r="A947" s="4" t="n"/>
      <c r="B947" s="4" t="n"/>
      <c r="C947" s="4" t="n"/>
      <c r="D947" s="4" t="n"/>
      <c r="E947" s="4" t="n"/>
    </row>
    <row r="948" ht="15.75" customHeight="1" s="40">
      <c r="A948" s="4" t="n"/>
      <c r="B948" s="4" t="n"/>
      <c r="C948" s="4" t="n"/>
      <c r="D948" s="4" t="n"/>
      <c r="E948" s="4" t="n"/>
    </row>
    <row r="949" ht="15.75" customHeight="1" s="40">
      <c r="A949" s="4" t="n"/>
      <c r="B949" s="4" t="n"/>
      <c r="C949" s="4" t="n"/>
      <c r="D949" s="4" t="n"/>
      <c r="E949" s="4" t="n"/>
    </row>
    <row r="950" ht="15.75" customHeight="1" s="40">
      <c r="A950" s="4" t="n"/>
      <c r="B950" s="4" t="n"/>
      <c r="C950" s="4" t="n"/>
      <c r="D950" s="4" t="n"/>
      <c r="E950" s="4" t="n"/>
    </row>
    <row r="951" ht="15.75" customHeight="1" s="40">
      <c r="A951" s="4" t="n"/>
      <c r="B951" s="4" t="n"/>
      <c r="C951" s="4" t="n"/>
      <c r="D951" s="4" t="n"/>
      <c r="E951" s="4" t="n"/>
    </row>
    <row r="952" ht="15.75" customHeight="1" s="40">
      <c r="A952" s="4" t="n"/>
      <c r="B952" s="4" t="n"/>
      <c r="C952" s="4" t="n"/>
      <c r="D952" s="4" t="n"/>
      <c r="E952" s="4" t="n"/>
    </row>
    <row r="953" ht="15.75" customHeight="1" s="40">
      <c r="A953" s="4" t="n"/>
      <c r="B953" s="4" t="n"/>
      <c r="C953" s="4" t="n"/>
      <c r="D953" s="4" t="n"/>
      <c r="E953" s="4" t="n"/>
    </row>
    <row r="954" ht="15.75" customHeight="1" s="40">
      <c r="A954" s="4" t="n"/>
      <c r="B954" s="4" t="n"/>
      <c r="C954" s="4" t="n"/>
      <c r="D954" s="4" t="n"/>
      <c r="E954" s="4" t="n"/>
    </row>
    <row r="955" ht="15.75" customHeight="1" s="40">
      <c r="A955" s="4" t="n"/>
      <c r="B955" s="4" t="n"/>
      <c r="C955" s="4" t="n"/>
      <c r="D955" s="4" t="n"/>
      <c r="E955" s="4" t="n"/>
    </row>
    <row r="956" ht="15.75" customHeight="1" s="40">
      <c r="A956" s="4" t="n"/>
      <c r="B956" s="4" t="n"/>
      <c r="C956" s="4" t="n"/>
      <c r="D956" s="4" t="n"/>
      <c r="E956" s="4" t="n"/>
    </row>
    <row r="957" ht="15.75" customHeight="1" s="40">
      <c r="A957" s="4" t="n"/>
      <c r="B957" s="4" t="n"/>
      <c r="C957" s="4" t="n"/>
      <c r="D957" s="4" t="n"/>
      <c r="E957" s="4" t="n"/>
    </row>
    <row r="958" ht="15.75" customHeight="1" s="40">
      <c r="A958" s="4" t="n"/>
      <c r="B958" s="4" t="n"/>
      <c r="C958" s="4" t="n"/>
      <c r="D958" s="4" t="n"/>
      <c r="E958" s="4" t="n"/>
    </row>
    <row r="959" ht="15.75" customHeight="1" s="40">
      <c r="A959" s="4" t="n"/>
      <c r="B959" s="4" t="n"/>
      <c r="C959" s="4" t="n"/>
      <c r="D959" s="4" t="n"/>
      <c r="E959" s="4" t="n"/>
    </row>
    <row r="960" ht="15.75" customHeight="1" s="40">
      <c r="A960" s="4" t="n"/>
      <c r="B960" s="4" t="n"/>
      <c r="C960" s="4" t="n"/>
      <c r="D960" s="4" t="n"/>
      <c r="E960" s="4" t="n"/>
    </row>
    <row r="961" ht="15.75" customHeight="1" s="40">
      <c r="A961" s="4" t="n"/>
      <c r="B961" s="4" t="n"/>
      <c r="C961" s="4" t="n"/>
      <c r="D961" s="4" t="n"/>
      <c r="E961" s="4" t="n"/>
    </row>
    <row r="962" ht="15.75" customHeight="1" s="40">
      <c r="A962" s="4" t="n"/>
      <c r="B962" s="4" t="n"/>
      <c r="C962" s="4" t="n"/>
      <c r="D962" s="4" t="n"/>
      <c r="E962" s="4" t="n"/>
    </row>
    <row r="963" ht="15.75" customHeight="1" s="40">
      <c r="A963" s="4" t="n"/>
      <c r="B963" s="4" t="n"/>
      <c r="C963" s="4" t="n"/>
      <c r="D963" s="4" t="n"/>
      <c r="E963" s="4" t="n"/>
    </row>
    <row r="964" ht="15.75" customHeight="1" s="40">
      <c r="A964" s="4" t="n"/>
      <c r="B964" s="4" t="n"/>
      <c r="C964" s="4" t="n"/>
      <c r="D964" s="4" t="n"/>
      <c r="E964" s="4" t="n"/>
    </row>
    <row r="965" ht="15.75" customHeight="1" s="40">
      <c r="A965" s="4" t="n"/>
      <c r="B965" s="4" t="n"/>
      <c r="C965" s="4" t="n"/>
      <c r="D965" s="4" t="n"/>
      <c r="E965" s="4" t="n"/>
    </row>
    <row r="966" ht="15.75" customHeight="1" s="40">
      <c r="A966" s="4" t="n"/>
      <c r="B966" s="4" t="n"/>
      <c r="C966" s="4" t="n"/>
      <c r="D966" s="4" t="n"/>
      <c r="E966" s="4" t="n"/>
    </row>
    <row r="967" ht="15.75" customHeight="1" s="40">
      <c r="A967" s="4" t="n"/>
      <c r="B967" s="4" t="n"/>
      <c r="C967" s="4" t="n"/>
      <c r="D967" s="4" t="n"/>
      <c r="E967" s="4" t="n"/>
    </row>
    <row r="968" ht="15.75" customHeight="1" s="40">
      <c r="A968" s="4" t="n"/>
      <c r="B968" s="4" t="n"/>
      <c r="C968" s="4" t="n"/>
      <c r="D968" s="4" t="n"/>
      <c r="E968" s="4" t="n"/>
    </row>
    <row r="969" ht="15.75" customHeight="1" s="40">
      <c r="A969" s="4" t="n"/>
      <c r="B969" s="4" t="n"/>
      <c r="C969" s="4" t="n"/>
      <c r="D969" s="4" t="n"/>
      <c r="E969" s="4" t="n"/>
    </row>
    <row r="970" ht="15.75" customHeight="1" s="40">
      <c r="A970" s="4" t="n"/>
      <c r="B970" s="4" t="n"/>
      <c r="C970" s="4" t="n"/>
      <c r="D970" s="4" t="n"/>
      <c r="E970" s="4" t="n"/>
    </row>
    <row r="971" ht="15.75" customHeight="1" s="40">
      <c r="A971" s="4" t="n"/>
      <c r="B971" s="4" t="n"/>
      <c r="C971" s="4" t="n"/>
      <c r="D971" s="4" t="n"/>
      <c r="E971" s="4" t="n"/>
    </row>
    <row r="972" ht="15.75" customHeight="1" s="40">
      <c r="A972" s="4" t="n"/>
      <c r="B972" s="4" t="n"/>
      <c r="C972" s="4" t="n"/>
      <c r="D972" s="4" t="n"/>
      <c r="E972" s="4" t="n"/>
    </row>
    <row r="973" ht="15.75" customHeight="1" s="40">
      <c r="A973" s="4" t="n"/>
      <c r="B973" s="4" t="n"/>
      <c r="C973" s="4" t="n"/>
      <c r="D973" s="4" t="n"/>
      <c r="E973" s="4" t="n"/>
    </row>
    <row r="974" ht="15.75" customHeight="1" s="40">
      <c r="A974" s="4" t="n"/>
      <c r="B974" s="4" t="n"/>
      <c r="C974" s="4" t="n"/>
      <c r="D974" s="4" t="n"/>
      <c r="E974" s="4" t="n"/>
    </row>
    <row r="975" ht="15.75" customHeight="1" s="40">
      <c r="A975" s="4" t="n"/>
      <c r="B975" s="4" t="n"/>
      <c r="C975" s="4" t="n"/>
      <c r="D975" s="4" t="n"/>
      <c r="E975" s="4" t="n"/>
    </row>
    <row r="976" ht="15.75" customHeight="1" s="40">
      <c r="A976" s="4" t="n"/>
      <c r="B976" s="4" t="n"/>
      <c r="C976" s="4" t="n"/>
      <c r="D976" s="4" t="n"/>
      <c r="E976" s="4" t="n"/>
    </row>
    <row r="977" ht="15.75" customHeight="1" s="40">
      <c r="A977" s="4" t="n"/>
      <c r="B977" s="4" t="n"/>
      <c r="C977" s="4" t="n"/>
      <c r="D977" s="4" t="n"/>
      <c r="E977" s="4" t="n"/>
    </row>
    <row r="978" ht="15.75" customHeight="1" s="40">
      <c r="A978" s="4" t="n"/>
      <c r="B978" s="4" t="n"/>
      <c r="C978" s="4" t="n"/>
      <c r="D978" s="4" t="n"/>
      <c r="E978" s="4" t="n"/>
    </row>
    <row r="979" ht="15.75" customHeight="1" s="40">
      <c r="A979" s="4" t="n"/>
      <c r="B979" s="4" t="n"/>
      <c r="C979" s="4" t="n"/>
      <c r="D979" s="4" t="n"/>
      <c r="E979" s="4" t="n"/>
    </row>
    <row r="980" ht="15.75" customHeight="1" s="40">
      <c r="A980" s="4" t="n"/>
      <c r="B980" s="4" t="n"/>
      <c r="C980" s="4" t="n"/>
      <c r="D980" s="4" t="n"/>
      <c r="E980" s="4" t="n"/>
    </row>
    <row r="981" ht="15.75" customHeight="1" s="40">
      <c r="A981" s="4" t="n"/>
      <c r="B981" s="4" t="n"/>
      <c r="C981" s="4" t="n"/>
      <c r="D981" s="4" t="n"/>
      <c r="E981" s="4" t="n"/>
    </row>
    <row r="982" ht="15.75" customHeight="1" s="40">
      <c r="A982" s="4" t="n"/>
      <c r="B982" s="4" t="n"/>
      <c r="C982" s="4" t="n"/>
      <c r="D982" s="4" t="n"/>
      <c r="E982" s="4" t="n"/>
    </row>
    <row r="983" ht="15.75" customHeight="1" s="40">
      <c r="A983" s="4" t="n"/>
      <c r="B983" s="4" t="n"/>
      <c r="C983" s="4" t="n"/>
      <c r="D983" s="4" t="n"/>
      <c r="E983" s="4" t="n"/>
    </row>
    <row r="984" ht="15.75" customHeight="1" s="40">
      <c r="A984" s="4" t="n"/>
      <c r="B984" s="4" t="n"/>
      <c r="C984" s="4" t="n"/>
      <c r="D984" s="4" t="n"/>
      <c r="E984" s="4" t="n"/>
    </row>
    <row r="985" ht="15.75" customHeight="1" s="40">
      <c r="A985" s="4" t="n"/>
      <c r="B985" s="4" t="n"/>
      <c r="C985" s="4" t="n"/>
      <c r="D985" s="4" t="n"/>
      <c r="E985" s="4" t="n"/>
    </row>
    <row r="986" ht="15.75" customHeight="1" s="40">
      <c r="A986" s="4" t="n"/>
      <c r="B986" s="4" t="n"/>
      <c r="C986" s="4" t="n"/>
      <c r="D986" s="4" t="n"/>
      <c r="E986" s="4" t="n"/>
    </row>
    <row r="987" ht="15.75" customHeight="1" s="40">
      <c r="A987" s="4" t="n"/>
      <c r="B987" s="4" t="n"/>
      <c r="C987" s="4" t="n"/>
      <c r="D987" s="4" t="n"/>
      <c r="E987" s="4" t="n"/>
    </row>
    <row r="988" ht="15.75" customHeight="1" s="40">
      <c r="A988" s="4" t="n"/>
      <c r="B988" s="4" t="n"/>
      <c r="C988" s="4" t="n"/>
      <c r="D988" s="4" t="n"/>
      <c r="E988" s="4" t="n"/>
    </row>
    <row r="989" ht="15.75" customHeight="1" s="40">
      <c r="A989" s="4" t="n"/>
      <c r="B989" s="4" t="n"/>
      <c r="C989" s="4" t="n"/>
      <c r="D989" s="4" t="n"/>
      <c r="E989" s="4" t="n"/>
    </row>
    <row r="990" ht="15.75" customHeight="1" s="40">
      <c r="A990" s="4" t="n"/>
      <c r="B990" s="4" t="n"/>
      <c r="C990" s="4" t="n"/>
      <c r="D990" s="4" t="n"/>
      <c r="E990" s="4" t="n"/>
    </row>
    <row r="991" ht="15.75" customHeight="1" s="40">
      <c r="A991" s="4" t="n"/>
      <c r="B991" s="4" t="n"/>
      <c r="C991" s="4" t="n"/>
      <c r="D991" s="4" t="n"/>
      <c r="E991" s="4" t="n"/>
    </row>
    <row r="992" ht="15.75" customHeight="1" s="40">
      <c r="A992" s="4" t="n"/>
      <c r="B992" s="4" t="n"/>
      <c r="C992" s="4" t="n"/>
      <c r="D992" s="4" t="n"/>
      <c r="E992" s="4" t="n"/>
    </row>
    <row r="993" ht="15.75" customHeight="1" s="40">
      <c r="A993" s="4" t="n"/>
      <c r="B993" s="4" t="n"/>
      <c r="C993" s="4" t="n"/>
      <c r="D993" s="4" t="n"/>
      <c r="E993" s="4" t="n"/>
    </row>
    <row r="994" ht="15.75" customHeight="1" s="40">
      <c r="A994" s="4" t="n"/>
      <c r="B994" s="4" t="n"/>
      <c r="C994" s="4" t="n"/>
      <c r="D994" s="4" t="n"/>
      <c r="E994" s="4" t="n"/>
    </row>
    <row r="995" ht="15.75" customHeight="1" s="40">
      <c r="A995" s="4" t="n"/>
      <c r="B995" s="4" t="n"/>
      <c r="C995" s="4" t="n"/>
      <c r="D995" s="4" t="n"/>
      <c r="E995" s="4" t="n"/>
    </row>
    <row r="996" ht="15.75" customHeight="1" s="40">
      <c r="A996" s="4" t="n"/>
      <c r="B996" s="4" t="n"/>
      <c r="C996" s="4" t="n"/>
      <c r="D996" s="4" t="n"/>
      <c r="E996" s="4" t="n"/>
    </row>
    <row r="997" ht="15.75" customHeight="1" s="40">
      <c r="A997" s="4" t="n"/>
      <c r="B997" s="4" t="n"/>
      <c r="C997" s="4" t="n"/>
      <c r="D997" s="4" t="n"/>
      <c r="E997" s="4" t="n"/>
    </row>
    <row r="998" ht="15.75" customHeight="1" s="40">
      <c r="A998" s="4" t="n"/>
      <c r="B998" s="4" t="n"/>
      <c r="C998" s="4" t="n"/>
      <c r="D998" s="4" t="n"/>
      <c r="E998" s="4" t="n"/>
    </row>
    <row r="999" ht="15.75" customHeight="1" s="40">
      <c r="A999" s="4" t="n"/>
      <c r="B999" s="4" t="n"/>
      <c r="C999" s="4" t="n"/>
      <c r="D999" s="4" t="n"/>
      <c r="E999" s="4" t="n"/>
    </row>
    <row r="1000" ht="15.75" customHeight="1" s="40">
      <c r="A1000" s="4" t="n"/>
      <c r="B1000" s="4" t="n"/>
      <c r="C1000" s="4" t="n"/>
      <c r="D1000" s="4" t="n"/>
      <c r="E1000" s="4" t="n"/>
    </row>
  </sheetData>
  <autoFilter ref="$A$4:$E$42"/>
  <pageMargins left="0.75" right="0.75" top="1" bottom="1" header="0" footer="0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66" customWidth="1" style="40" min="1" max="1"/>
    <col width="14" customWidth="1" style="40" min="2" max="2"/>
    <col width="80" customWidth="1" style="40" min="3" max="3"/>
    <col width="10" customWidth="1" style="40" min="4" max="4"/>
    <col width="8.710000000000001" customWidth="1" style="40" min="5" max="26"/>
  </cols>
  <sheetData>
    <row r="1" ht="17.25" customHeight="1" s="40">
      <c r="A1" s="3" t="inlineStr">
        <is>
          <t>控制与报表</t>
        </is>
      </c>
      <c r="B1" s="4" t="n"/>
      <c r="C1" s="4" t="n"/>
      <c r="D1" s="4" t="n"/>
    </row>
    <row r="2" ht="15" customHeight="1" s="40">
      <c r="A2" s="9" t="inlineStr">
        <is>
          <t>每日类报表是账簿可证明性的基础，不得推迟到后续阶段。</t>
        </is>
      </c>
      <c r="B2" s="4" t="n"/>
      <c r="C2" s="4" t="n"/>
      <c r="D2" s="4" t="n"/>
    </row>
    <row r="3">
      <c r="A3" s="4" t="n"/>
      <c r="B3" s="4" t="n"/>
      <c r="C3" s="4" t="n"/>
      <c r="D3" s="4" t="n"/>
    </row>
    <row r="4" ht="30" customHeight="1" s="40">
      <c r="A4" s="10" t="inlineStr">
        <is>
          <t>报表</t>
        </is>
      </c>
      <c r="B4" s="10" t="inlineStr">
        <is>
          <t>频率</t>
        </is>
      </c>
      <c r="C4" s="10" t="inlineStr">
        <is>
          <t>用途</t>
        </is>
      </c>
      <c r="D4" s="12" t="inlineStr">
        <is>
          <t>v2 出处</t>
        </is>
      </c>
    </row>
    <row r="5" ht="15" customHeight="1" s="40">
      <c r="A5" s="21" t="inlineStr">
        <is>
          <t>Contingent trial balance: Sum Dr = Sum Cr per undertaking x currency</t>
        </is>
      </c>
      <c r="B5" s="19" t="inlineStr">
        <is>
          <t>Daily</t>
        </is>
      </c>
      <c r="C5" s="21" t="inlineStr">
        <is>
          <t>Cheapest defect detector in the system</t>
        </is>
      </c>
      <c r="D5" s="19" t="inlineStr">
        <is>
          <t>§9.1</t>
        </is>
      </c>
    </row>
    <row r="6" ht="15" customHeight="1" s="40">
      <c r="A6" s="15" t="inlineStr">
        <is>
          <t>balance_class = MEMO_ONLY reconciliation to financials = ZERO</t>
        </is>
      </c>
      <c r="B6" s="14" t="inlineStr">
        <is>
          <t>Daily</t>
        </is>
      </c>
      <c r="C6" s="15" t="inlineStr">
        <is>
          <t>Proves the shadow book cannot reach the financials</t>
        </is>
      </c>
      <c r="D6" s="14" t="inlineStr">
        <is>
          <t>§3.7</t>
        </is>
      </c>
    </row>
    <row r="7" ht="15" customHeight="1" s="40">
      <c r="A7" s="21" t="inlineStr">
        <is>
          <t>SGs in REDEEMABLE status beyond the ageing threshold</t>
        </is>
      </c>
      <c r="B7" s="19" t="inlineStr">
        <is>
          <t>Daily</t>
        </is>
      </c>
      <c r="C7" s="21" t="inlineStr">
        <is>
          <t>Highest-value SG control — live exposure and an operational failure to chase the carrier</t>
        </is>
      </c>
      <c r="D7" s="19" t="inlineStr">
        <is>
          <t>§4.4</t>
        </is>
      </c>
    </row>
    <row r="8" ht="15" customHeight="1" s="40">
      <c r="A8" s="15" t="inlineStr">
        <is>
          <t>Contingents past expiry + mail_float_grace with no release event</t>
        </is>
      </c>
      <c r="B8" s="14" t="inlineStr">
        <is>
          <t>Daily</t>
        </is>
      </c>
      <c r="C8" s="15" t="inlineStr">
        <is>
          <t>Stranded contingent</t>
        </is>
      </c>
      <c r="D8" s="14" t="inlineStr">
        <is>
          <t>§3.9</t>
        </is>
      </c>
    </row>
    <row r="9" ht="15" customHeight="1" s="40">
      <c r="A9" s="21" t="inlineStr">
        <is>
          <t>Presentations approaching the Art. 16 deadline (T-1)</t>
        </is>
      </c>
      <c r="B9" s="19" t="inlineStr">
        <is>
          <t>Daily</t>
        </is>
      </c>
      <c r="C9" s="21" t="inlineStr">
        <is>
          <t>Prevents *_DOC_PRECLUDED firing</t>
        </is>
      </c>
      <c r="D9" s="19" t="inlineStr">
        <is>
          <t>§3.4</t>
        </is>
      </c>
    </row>
    <row r="10" ht="15" customHeight="1" s="40">
      <c r="A10" s="15" t="inlineStr">
        <is>
          <t>ead_economic vs ead_regulatory bridge</t>
        </is>
      </c>
      <c r="B10" s="14" t="inlineStr">
        <is>
          <t>Monthly</t>
        </is>
      </c>
      <c r="C10" s="15" t="inlineStr">
        <is>
          <t>Keeps the two views separable and explains the delta</t>
        </is>
      </c>
      <c r="D10" s="14" t="inlineStr">
        <is>
          <t>§10.2</t>
        </is>
      </c>
    </row>
    <row r="11" ht="15" customHeight="1" s="40">
      <c r="A11" s="21" t="inlineStr">
        <is>
          <t>Acceptances outstanding with no original instrument on file</t>
        </is>
      </c>
      <c r="B11" s="19" t="inlineStr">
        <is>
          <t>Monthly</t>
        </is>
      </c>
      <c r="C11" s="21" t="inlineStr">
        <is>
          <t>Negotiable-instrument risk</t>
        </is>
      </c>
      <c r="D11" s="19" t="inlineStr">
        <is>
          <t>§5.2</t>
        </is>
      </c>
    </row>
    <row r="12" ht="15" customHeight="1" s="40">
      <c r="A12" s="15" t="inlineStr">
        <is>
          <t>confirmed_amount != lc_amount register</t>
        </is>
      </c>
      <c r="B12" s="14" t="inlineStr">
        <is>
          <t>Monthly</t>
        </is>
      </c>
      <c r="C12" s="15" t="inlineStr">
        <is>
          <t>Art. 10(b) divergence</t>
        </is>
      </c>
      <c r="D12" s="14" t="inlineStr">
        <is>
          <t>§7.2</t>
        </is>
      </c>
    </row>
    <row r="13" ht="15" customHeight="1" s="40">
      <c r="A13" s="21" t="inlineStr">
        <is>
          <t>Undertakings tagged ccf_source = INTERNAL_POLICY</t>
        </is>
      </c>
      <c r="B13" s="19" t="inlineStr">
        <is>
          <t>Quarterly</t>
        </is>
      </c>
      <c r="C13" s="21" t="inlineStr">
        <is>
          <t>Regulatory hygiene</t>
        </is>
      </c>
      <c r="D13" s="19" t="inlineStr">
        <is>
          <t>§10.3</t>
        </is>
      </c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 ht="15.75" customHeight="1" s="40">
      <c r="A21" s="4" t="n"/>
      <c r="B21" s="4" t="n"/>
      <c r="C21" s="4" t="n"/>
      <c r="D21" s="4" t="n"/>
    </row>
    <row r="22" ht="15.75" customHeight="1" s="40">
      <c r="A22" s="4" t="n"/>
      <c r="B22" s="4" t="n"/>
      <c r="C22" s="4" t="n"/>
      <c r="D22" s="4" t="n"/>
    </row>
    <row r="23" ht="15.75" customHeight="1" s="40">
      <c r="A23" s="4" t="n"/>
      <c r="B23" s="4" t="n"/>
      <c r="C23" s="4" t="n"/>
      <c r="D23" s="4" t="n"/>
    </row>
    <row r="24" ht="15.75" customHeight="1" s="40">
      <c r="A24" s="4" t="n"/>
      <c r="B24" s="4" t="n"/>
      <c r="C24" s="4" t="n"/>
      <c r="D24" s="4" t="n"/>
    </row>
    <row r="25" ht="15.75" customHeight="1" s="40">
      <c r="A25" s="4" t="n"/>
      <c r="B25" s="4" t="n"/>
      <c r="C25" s="4" t="n"/>
      <c r="D25" s="4" t="n"/>
    </row>
    <row r="26" ht="15.75" customHeight="1" s="40">
      <c r="A26" s="4" t="n"/>
      <c r="B26" s="4" t="n"/>
      <c r="C26" s="4" t="n"/>
      <c r="D26" s="4" t="n"/>
    </row>
    <row r="27" ht="15.75" customHeight="1" s="40">
      <c r="A27" s="4" t="n"/>
      <c r="B27" s="4" t="n"/>
      <c r="C27" s="4" t="n"/>
      <c r="D27" s="4" t="n"/>
    </row>
    <row r="28" ht="15.75" customHeight="1" s="40">
      <c r="A28" s="4" t="n"/>
      <c r="B28" s="4" t="n"/>
      <c r="C28" s="4" t="n"/>
      <c r="D28" s="4" t="n"/>
    </row>
    <row r="29" ht="15.75" customHeight="1" s="40">
      <c r="A29" s="4" t="n"/>
      <c r="B29" s="4" t="n"/>
      <c r="C29" s="4" t="n"/>
      <c r="D29" s="4" t="n"/>
    </row>
    <row r="30" ht="15.75" customHeight="1" s="40">
      <c r="A30" s="4" t="n"/>
      <c r="B30" s="4" t="n"/>
      <c r="C30" s="4" t="n"/>
      <c r="D30" s="4" t="n"/>
    </row>
    <row r="31" ht="15.75" customHeight="1" s="40">
      <c r="A31" s="4" t="n"/>
      <c r="B31" s="4" t="n"/>
      <c r="C31" s="4" t="n"/>
      <c r="D31" s="4" t="n"/>
    </row>
    <row r="32" ht="15.75" customHeight="1" s="40">
      <c r="A32" s="4" t="n"/>
      <c r="B32" s="4" t="n"/>
      <c r="C32" s="4" t="n"/>
      <c r="D32" s="4" t="n"/>
    </row>
    <row r="33" ht="15.75" customHeight="1" s="40">
      <c r="A33" s="4" t="n"/>
      <c r="B33" s="4" t="n"/>
      <c r="C33" s="4" t="n"/>
      <c r="D33" s="4" t="n"/>
    </row>
    <row r="34" ht="15.75" customHeight="1" s="40">
      <c r="A34" s="4" t="n"/>
      <c r="B34" s="4" t="n"/>
      <c r="C34" s="4" t="n"/>
      <c r="D34" s="4" t="n"/>
    </row>
    <row r="35" ht="15.75" customHeight="1" s="40">
      <c r="A35" s="4" t="n"/>
      <c r="B35" s="4" t="n"/>
      <c r="C35" s="4" t="n"/>
      <c r="D35" s="4" t="n"/>
    </row>
    <row r="36" ht="15.75" customHeight="1" s="40">
      <c r="A36" s="4" t="n"/>
      <c r="B36" s="4" t="n"/>
      <c r="C36" s="4" t="n"/>
      <c r="D36" s="4" t="n"/>
    </row>
    <row r="37" ht="15.75" customHeight="1" s="40">
      <c r="A37" s="4" t="n"/>
      <c r="B37" s="4" t="n"/>
      <c r="C37" s="4" t="n"/>
      <c r="D37" s="4" t="n"/>
    </row>
    <row r="38" ht="15.75" customHeight="1" s="40">
      <c r="A38" s="4" t="n"/>
      <c r="B38" s="4" t="n"/>
      <c r="C38" s="4" t="n"/>
      <c r="D38" s="4" t="n"/>
    </row>
    <row r="39" ht="15.75" customHeight="1" s="40">
      <c r="A39" s="4" t="n"/>
      <c r="B39" s="4" t="n"/>
      <c r="C39" s="4" t="n"/>
      <c r="D39" s="4" t="n"/>
    </row>
    <row r="40" ht="15.75" customHeight="1" s="40">
      <c r="A40" s="4" t="n"/>
      <c r="B40" s="4" t="n"/>
      <c r="C40" s="4" t="n"/>
      <c r="D40" s="4" t="n"/>
    </row>
    <row r="41" ht="15.75" customHeight="1" s="40">
      <c r="A41" s="4" t="n"/>
      <c r="B41" s="4" t="n"/>
      <c r="C41" s="4" t="n"/>
      <c r="D41" s="4" t="n"/>
    </row>
    <row r="42" ht="15.75" customHeight="1" s="40">
      <c r="A42" s="4" t="n"/>
      <c r="B42" s="4" t="n"/>
      <c r="C42" s="4" t="n"/>
      <c r="D42" s="4" t="n"/>
    </row>
    <row r="43" ht="15.75" customHeight="1" s="40">
      <c r="A43" s="4" t="n"/>
      <c r="B43" s="4" t="n"/>
      <c r="C43" s="4" t="n"/>
      <c r="D43" s="4" t="n"/>
    </row>
    <row r="44" ht="15.75" customHeight="1" s="40">
      <c r="A44" s="4" t="n"/>
      <c r="B44" s="4" t="n"/>
      <c r="C44" s="4" t="n"/>
      <c r="D44" s="4" t="n"/>
    </row>
    <row r="45" ht="15.75" customHeight="1" s="40">
      <c r="A45" s="4" t="n"/>
      <c r="B45" s="4" t="n"/>
      <c r="C45" s="4" t="n"/>
      <c r="D45" s="4" t="n"/>
    </row>
    <row r="46" ht="15.75" customHeight="1" s="40">
      <c r="A46" s="4" t="n"/>
      <c r="B46" s="4" t="n"/>
      <c r="C46" s="4" t="n"/>
      <c r="D46" s="4" t="n"/>
    </row>
    <row r="47" ht="15.75" customHeight="1" s="40">
      <c r="A47" s="4" t="n"/>
      <c r="B47" s="4" t="n"/>
      <c r="C47" s="4" t="n"/>
      <c r="D47" s="4" t="n"/>
    </row>
    <row r="48" ht="15.75" customHeight="1" s="40">
      <c r="A48" s="4" t="n"/>
      <c r="B48" s="4" t="n"/>
      <c r="C48" s="4" t="n"/>
      <c r="D48" s="4" t="n"/>
    </row>
    <row r="49" ht="15.75" customHeight="1" s="40">
      <c r="A49" s="4" t="n"/>
      <c r="B49" s="4" t="n"/>
      <c r="C49" s="4" t="n"/>
      <c r="D49" s="4" t="n"/>
    </row>
    <row r="50" ht="15.75" customHeight="1" s="40">
      <c r="A50" s="4" t="n"/>
      <c r="B50" s="4" t="n"/>
      <c r="C50" s="4" t="n"/>
      <c r="D50" s="4" t="n"/>
    </row>
    <row r="51" ht="15.75" customHeight="1" s="40">
      <c r="A51" s="4" t="n"/>
      <c r="B51" s="4" t="n"/>
      <c r="C51" s="4" t="n"/>
      <c r="D51" s="4" t="n"/>
    </row>
    <row r="52" ht="15.75" customHeight="1" s="40">
      <c r="A52" s="4" t="n"/>
      <c r="B52" s="4" t="n"/>
      <c r="C52" s="4" t="n"/>
      <c r="D52" s="4" t="n"/>
    </row>
    <row r="53" ht="15.75" customHeight="1" s="40">
      <c r="A53" s="4" t="n"/>
      <c r="B53" s="4" t="n"/>
      <c r="C53" s="4" t="n"/>
      <c r="D53" s="4" t="n"/>
    </row>
    <row r="54" ht="15.75" customHeight="1" s="40">
      <c r="A54" s="4" t="n"/>
      <c r="B54" s="4" t="n"/>
      <c r="C54" s="4" t="n"/>
      <c r="D54" s="4" t="n"/>
    </row>
    <row r="55" ht="15.75" customHeight="1" s="40">
      <c r="A55" s="4" t="n"/>
      <c r="B55" s="4" t="n"/>
      <c r="C55" s="4" t="n"/>
      <c r="D55" s="4" t="n"/>
    </row>
    <row r="56" ht="15.75" customHeight="1" s="40">
      <c r="A56" s="4" t="n"/>
      <c r="B56" s="4" t="n"/>
      <c r="C56" s="4" t="n"/>
      <c r="D56" s="4" t="n"/>
    </row>
    <row r="57" ht="15.75" customHeight="1" s="40">
      <c r="A57" s="4" t="n"/>
      <c r="B57" s="4" t="n"/>
      <c r="C57" s="4" t="n"/>
      <c r="D57" s="4" t="n"/>
    </row>
    <row r="58" ht="15.75" customHeight="1" s="40">
      <c r="A58" s="4" t="n"/>
      <c r="B58" s="4" t="n"/>
      <c r="C58" s="4" t="n"/>
      <c r="D58" s="4" t="n"/>
    </row>
    <row r="59" ht="15.75" customHeight="1" s="40">
      <c r="A59" s="4" t="n"/>
      <c r="B59" s="4" t="n"/>
      <c r="C59" s="4" t="n"/>
      <c r="D59" s="4" t="n"/>
    </row>
    <row r="60" ht="15.75" customHeight="1" s="40">
      <c r="A60" s="4" t="n"/>
      <c r="B60" s="4" t="n"/>
      <c r="C60" s="4" t="n"/>
      <c r="D60" s="4" t="n"/>
    </row>
    <row r="61" ht="15.75" customHeight="1" s="40">
      <c r="A61" s="4" t="n"/>
      <c r="B61" s="4" t="n"/>
      <c r="C61" s="4" t="n"/>
      <c r="D61" s="4" t="n"/>
    </row>
    <row r="62" ht="15.75" customHeight="1" s="40">
      <c r="A62" s="4" t="n"/>
      <c r="B62" s="4" t="n"/>
      <c r="C62" s="4" t="n"/>
      <c r="D62" s="4" t="n"/>
    </row>
    <row r="63" ht="15.75" customHeight="1" s="40">
      <c r="A63" s="4" t="n"/>
      <c r="B63" s="4" t="n"/>
      <c r="C63" s="4" t="n"/>
      <c r="D63" s="4" t="n"/>
    </row>
    <row r="64" ht="15.75" customHeight="1" s="40">
      <c r="A64" s="4" t="n"/>
      <c r="B64" s="4" t="n"/>
      <c r="C64" s="4" t="n"/>
      <c r="D64" s="4" t="n"/>
    </row>
    <row r="65" ht="15.75" customHeight="1" s="40">
      <c r="A65" s="4" t="n"/>
      <c r="B65" s="4" t="n"/>
      <c r="C65" s="4" t="n"/>
      <c r="D65" s="4" t="n"/>
    </row>
    <row r="66" ht="15.75" customHeight="1" s="40">
      <c r="A66" s="4" t="n"/>
      <c r="B66" s="4" t="n"/>
      <c r="C66" s="4" t="n"/>
      <c r="D66" s="4" t="n"/>
    </row>
    <row r="67" ht="15.75" customHeight="1" s="40">
      <c r="A67" s="4" t="n"/>
      <c r="B67" s="4" t="n"/>
      <c r="C67" s="4" t="n"/>
      <c r="D67" s="4" t="n"/>
    </row>
    <row r="68" ht="15.75" customHeight="1" s="40">
      <c r="A68" s="4" t="n"/>
      <c r="B68" s="4" t="n"/>
      <c r="C68" s="4" t="n"/>
      <c r="D68" s="4" t="n"/>
    </row>
    <row r="69" ht="15.75" customHeight="1" s="40">
      <c r="A69" s="4" t="n"/>
      <c r="B69" s="4" t="n"/>
      <c r="C69" s="4" t="n"/>
      <c r="D69" s="4" t="n"/>
    </row>
    <row r="70" ht="15.75" customHeight="1" s="40">
      <c r="A70" s="4" t="n"/>
      <c r="B70" s="4" t="n"/>
      <c r="C70" s="4" t="n"/>
      <c r="D70" s="4" t="n"/>
    </row>
    <row r="71" ht="15.75" customHeight="1" s="40">
      <c r="A71" s="4" t="n"/>
      <c r="B71" s="4" t="n"/>
      <c r="C71" s="4" t="n"/>
      <c r="D71" s="4" t="n"/>
    </row>
    <row r="72" ht="15.75" customHeight="1" s="40">
      <c r="A72" s="4" t="n"/>
      <c r="B72" s="4" t="n"/>
      <c r="C72" s="4" t="n"/>
      <c r="D72" s="4" t="n"/>
    </row>
    <row r="73" ht="15.75" customHeight="1" s="40">
      <c r="A73" s="4" t="n"/>
      <c r="B73" s="4" t="n"/>
      <c r="C73" s="4" t="n"/>
      <c r="D73" s="4" t="n"/>
    </row>
    <row r="74" ht="15.75" customHeight="1" s="40">
      <c r="A74" s="4" t="n"/>
      <c r="B74" s="4" t="n"/>
      <c r="C74" s="4" t="n"/>
      <c r="D74" s="4" t="n"/>
    </row>
    <row r="75" ht="15.75" customHeight="1" s="40">
      <c r="A75" s="4" t="n"/>
      <c r="B75" s="4" t="n"/>
      <c r="C75" s="4" t="n"/>
      <c r="D75" s="4" t="n"/>
    </row>
    <row r="76" ht="15.75" customHeight="1" s="40">
      <c r="A76" s="4" t="n"/>
      <c r="B76" s="4" t="n"/>
      <c r="C76" s="4" t="n"/>
      <c r="D76" s="4" t="n"/>
    </row>
    <row r="77" ht="15.75" customHeight="1" s="40">
      <c r="A77" s="4" t="n"/>
      <c r="B77" s="4" t="n"/>
      <c r="C77" s="4" t="n"/>
      <c r="D77" s="4" t="n"/>
    </row>
    <row r="78" ht="15.75" customHeight="1" s="40">
      <c r="A78" s="4" t="n"/>
      <c r="B78" s="4" t="n"/>
      <c r="C78" s="4" t="n"/>
      <c r="D78" s="4" t="n"/>
    </row>
    <row r="79" ht="15.75" customHeight="1" s="40">
      <c r="A79" s="4" t="n"/>
      <c r="B79" s="4" t="n"/>
      <c r="C79" s="4" t="n"/>
      <c r="D79" s="4" t="n"/>
    </row>
    <row r="80" ht="15.75" customHeight="1" s="40">
      <c r="A80" s="4" t="n"/>
      <c r="B80" s="4" t="n"/>
      <c r="C80" s="4" t="n"/>
      <c r="D80" s="4" t="n"/>
    </row>
    <row r="81" ht="15.75" customHeight="1" s="40">
      <c r="A81" s="4" t="n"/>
      <c r="B81" s="4" t="n"/>
      <c r="C81" s="4" t="n"/>
      <c r="D81" s="4" t="n"/>
    </row>
    <row r="82" ht="15.75" customHeight="1" s="40">
      <c r="A82" s="4" t="n"/>
      <c r="B82" s="4" t="n"/>
      <c r="C82" s="4" t="n"/>
      <c r="D82" s="4" t="n"/>
    </row>
    <row r="83" ht="15.75" customHeight="1" s="40">
      <c r="A83" s="4" t="n"/>
      <c r="B83" s="4" t="n"/>
      <c r="C83" s="4" t="n"/>
      <c r="D83" s="4" t="n"/>
    </row>
    <row r="84" ht="15.75" customHeight="1" s="40">
      <c r="A84" s="4" t="n"/>
      <c r="B84" s="4" t="n"/>
      <c r="C84" s="4" t="n"/>
      <c r="D84" s="4" t="n"/>
    </row>
    <row r="85" ht="15.75" customHeight="1" s="40">
      <c r="A85" s="4" t="n"/>
      <c r="B85" s="4" t="n"/>
      <c r="C85" s="4" t="n"/>
      <c r="D85" s="4" t="n"/>
    </row>
    <row r="86" ht="15.75" customHeight="1" s="40">
      <c r="A86" s="4" t="n"/>
      <c r="B86" s="4" t="n"/>
      <c r="C86" s="4" t="n"/>
      <c r="D86" s="4" t="n"/>
    </row>
    <row r="87" ht="15.75" customHeight="1" s="40">
      <c r="A87" s="4" t="n"/>
      <c r="B87" s="4" t="n"/>
      <c r="C87" s="4" t="n"/>
      <c r="D87" s="4" t="n"/>
    </row>
    <row r="88" ht="15.75" customHeight="1" s="40">
      <c r="A88" s="4" t="n"/>
      <c r="B88" s="4" t="n"/>
      <c r="C88" s="4" t="n"/>
      <c r="D88" s="4" t="n"/>
    </row>
    <row r="89" ht="15.75" customHeight="1" s="40">
      <c r="A89" s="4" t="n"/>
      <c r="B89" s="4" t="n"/>
      <c r="C89" s="4" t="n"/>
      <c r="D89" s="4" t="n"/>
    </row>
    <row r="90" ht="15.75" customHeight="1" s="40">
      <c r="A90" s="4" t="n"/>
      <c r="B90" s="4" t="n"/>
      <c r="C90" s="4" t="n"/>
      <c r="D90" s="4" t="n"/>
    </row>
    <row r="91" ht="15.75" customHeight="1" s="40">
      <c r="A91" s="4" t="n"/>
      <c r="B91" s="4" t="n"/>
      <c r="C91" s="4" t="n"/>
      <c r="D91" s="4" t="n"/>
    </row>
    <row r="92" ht="15.75" customHeight="1" s="40">
      <c r="A92" s="4" t="n"/>
      <c r="B92" s="4" t="n"/>
      <c r="C92" s="4" t="n"/>
      <c r="D92" s="4" t="n"/>
    </row>
    <row r="93" ht="15.75" customHeight="1" s="40">
      <c r="A93" s="4" t="n"/>
      <c r="B93" s="4" t="n"/>
      <c r="C93" s="4" t="n"/>
      <c r="D93" s="4" t="n"/>
    </row>
    <row r="94" ht="15.75" customHeight="1" s="40">
      <c r="A94" s="4" t="n"/>
      <c r="B94" s="4" t="n"/>
      <c r="C94" s="4" t="n"/>
      <c r="D94" s="4" t="n"/>
    </row>
    <row r="95" ht="15.75" customHeight="1" s="40">
      <c r="A95" s="4" t="n"/>
      <c r="B95" s="4" t="n"/>
      <c r="C95" s="4" t="n"/>
      <c r="D95" s="4" t="n"/>
    </row>
    <row r="96" ht="15.75" customHeight="1" s="40">
      <c r="A96" s="4" t="n"/>
      <c r="B96" s="4" t="n"/>
      <c r="C96" s="4" t="n"/>
      <c r="D96" s="4" t="n"/>
    </row>
    <row r="97" ht="15.75" customHeight="1" s="40">
      <c r="A97" s="4" t="n"/>
      <c r="B97" s="4" t="n"/>
      <c r="C97" s="4" t="n"/>
      <c r="D97" s="4" t="n"/>
    </row>
    <row r="98" ht="15.75" customHeight="1" s="40">
      <c r="A98" s="4" t="n"/>
      <c r="B98" s="4" t="n"/>
      <c r="C98" s="4" t="n"/>
      <c r="D98" s="4" t="n"/>
    </row>
    <row r="99" ht="15.75" customHeight="1" s="40">
      <c r="A99" s="4" t="n"/>
      <c r="B99" s="4" t="n"/>
      <c r="C99" s="4" t="n"/>
      <c r="D99" s="4" t="n"/>
    </row>
    <row r="100" ht="15.75" customHeight="1" s="40">
      <c r="A100" s="4" t="n"/>
      <c r="B100" s="4" t="n"/>
      <c r="C100" s="4" t="n"/>
      <c r="D100" s="4" t="n"/>
    </row>
    <row r="101" ht="15.75" customHeight="1" s="40">
      <c r="A101" s="4" t="n"/>
      <c r="B101" s="4" t="n"/>
      <c r="C101" s="4" t="n"/>
      <c r="D101" s="4" t="n"/>
    </row>
    <row r="102" ht="15.75" customHeight="1" s="40">
      <c r="A102" s="4" t="n"/>
      <c r="B102" s="4" t="n"/>
      <c r="C102" s="4" t="n"/>
      <c r="D102" s="4" t="n"/>
    </row>
    <row r="103" ht="15.75" customHeight="1" s="40">
      <c r="A103" s="4" t="n"/>
      <c r="B103" s="4" t="n"/>
      <c r="C103" s="4" t="n"/>
      <c r="D103" s="4" t="n"/>
    </row>
    <row r="104" ht="15.75" customHeight="1" s="40">
      <c r="A104" s="4" t="n"/>
      <c r="B104" s="4" t="n"/>
      <c r="C104" s="4" t="n"/>
      <c r="D104" s="4" t="n"/>
    </row>
    <row r="105" ht="15.75" customHeight="1" s="40">
      <c r="A105" s="4" t="n"/>
      <c r="B105" s="4" t="n"/>
      <c r="C105" s="4" t="n"/>
      <c r="D105" s="4" t="n"/>
    </row>
    <row r="106" ht="15.75" customHeight="1" s="40">
      <c r="A106" s="4" t="n"/>
      <c r="B106" s="4" t="n"/>
      <c r="C106" s="4" t="n"/>
      <c r="D106" s="4" t="n"/>
    </row>
    <row r="107" ht="15.75" customHeight="1" s="40">
      <c r="A107" s="4" t="n"/>
      <c r="B107" s="4" t="n"/>
      <c r="C107" s="4" t="n"/>
      <c r="D107" s="4" t="n"/>
    </row>
    <row r="108" ht="15.75" customHeight="1" s="40">
      <c r="A108" s="4" t="n"/>
      <c r="B108" s="4" t="n"/>
      <c r="C108" s="4" t="n"/>
      <c r="D108" s="4" t="n"/>
    </row>
    <row r="109" ht="15.75" customHeight="1" s="40">
      <c r="A109" s="4" t="n"/>
      <c r="B109" s="4" t="n"/>
      <c r="C109" s="4" t="n"/>
      <c r="D109" s="4" t="n"/>
    </row>
    <row r="110" ht="15.75" customHeight="1" s="40">
      <c r="A110" s="4" t="n"/>
      <c r="B110" s="4" t="n"/>
      <c r="C110" s="4" t="n"/>
      <c r="D110" s="4" t="n"/>
    </row>
    <row r="111" ht="15.75" customHeight="1" s="40">
      <c r="A111" s="4" t="n"/>
      <c r="B111" s="4" t="n"/>
      <c r="C111" s="4" t="n"/>
      <c r="D111" s="4" t="n"/>
    </row>
    <row r="112" ht="15.75" customHeight="1" s="40">
      <c r="A112" s="4" t="n"/>
      <c r="B112" s="4" t="n"/>
      <c r="C112" s="4" t="n"/>
      <c r="D112" s="4" t="n"/>
    </row>
    <row r="113" ht="15.75" customHeight="1" s="40">
      <c r="A113" s="4" t="n"/>
      <c r="B113" s="4" t="n"/>
      <c r="C113" s="4" t="n"/>
      <c r="D113" s="4" t="n"/>
    </row>
    <row r="114" ht="15.75" customHeight="1" s="40">
      <c r="A114" s="4" t="n"/>
      <c r="B114" s="4" t="n"/>
      <c r="C114" s="4" t="n"/>
      <c r="D114" s="4" t="n"/>
    </row>
    <row r="115" ht="15.75" customHeight="1" s="40">
      <c r="A115" s="4" t="n"/>
      <c r="B115" s="4" t="n"/>
      <c r="C115" s="4" t="n"/>
      <c r="D115" s="4" t="n"/>
    </row>
    <row r="116" ht="15.75" customHeight="1" s="40">
      <c r="A116" s="4" t="n"/>
      <c r="B116" s="4" t="n"/>
      <c r="C116" s="4" t="n"/>
      <c r="D116" s="4" t="n"/>
    </row>
    <row r="117" ht="15.75" customHeight="1" s="40">
      <c r="A117" s="4" t="n"/>
      <c r="B117" s="4" t="n"/>
      <c r="C117" s="4" t="n"/>
      <c r="D117" s="4" t="n"/>
    </row>
    <row r="118" ht="15.75" customHeight="1" s="40">
      <c r="A118" s="4" t="n"/>
      <c r="B118" s="4" t="n"/>
      <c r="C118" s="4" t="n"/>
      <c r="D118" s="4" t="n"/>
    </row>
    <row r="119" ht="15.75" customHeight="1" s="40">
      <c r="A119" s="4" t="n"/>
      <c r="B119" s="4" t="n"/>
      <c r="C119" s="4" t="n"/>
      <c r="D119" s="4" t="n"/>
    </row>
    <row r="120" ht="15.75" customHeight="1" s="40">
      <c r="A120" s="4" t="n"/>
      <c r="B120" s="4" t="n"/>
      <c r="C120" s="4" t="n"/>
      <c r="D120" s="4" t="n"/>
    </row>
    <row r="121" ht="15.75" customHeight="1" s="40">
      <c r="A121" s="4" t="n"/>
      <c r="B121" s="4" t="n"/>
      <c r="C121" s="4" t="n"/>
      <c r="D121" s="4" t="n"/>
    </row>
    <row r="122" ht="15.75" customHeight="1" s="40">
      <c r="A122" s="4" t="n"/>
      <c r="B122" s="4" t="n"/>
      <c r="C122" s="4" t="n"/>
      <c r="D122" s="4" t="n"/>
    </row>
    <row r="123" ht="15.75" customHeight="1" s="40">
      <c r="A123" s="4" t="n"/>
      <c r="B123" s="4" t="n"/>
      <c r="C123" s="4" t="n"/>
      <c r="D123" s="4" t="n"/>
    </row>
    <row r="124" ht="15.75" customHeight="1" s="40">
      <c r="A124" s="4" t="n"/>
      <c r="B124" s="4" t="n"/>
      <c r="C124" s="4" t="n"/>
      <c r="D124" s="4" t="n"/>
    </row>
    <row r="125" ht="15.75" customHeight="1" s="40">
      <c r="A125" s="4" t="n"/>
      <c r="B125" s="4" t="n"/>
      <c r="C125" s="4" t="n"/>
      <c r="D125" s="4" t="n"/>
    </row>
    <row r="126" ht="15.75" customHeight="1" s="40">
      <c r="A126" s="4" t="n"/>
      <c r="B126" s="4" t="n"/>
      <c r="C126" s="4" t="n"/>
      <c r="D126" s="4" t="n"/>
    </row>
    <row r="127" ht="15.75" customHeight="1" s="40">
      <c r="A127" s="4" t="n"/>
      <c r="B127" s="4" t="n"/>
      <c r="C127" s="4" t="n"/>
      <c r="D127" s="4" t="n"/>
    </row>
    <row r="128" ht="15.75" customHeight="1" s="40">
      <c r="A128" s="4" t="n"/>
      <c r="B128" s="4" t="n"/>
      <c r="C128" s="4" t="n"/>
      <c r="D128" s="4" t="n"/>
    </row>
    <row r="129" ht="15.75" customHeight="1" s="40">
      <c r="A129" s="4" t="n"/>
      <c r="B129" s="4" t="n"/>
      <c r="C129" s="4" t="n"/>
      <c r="D129" s="4" t="n"/>
    </row>
    <row r="130" ht="15.75" customHeight="1" s="40">
      <c r="A130" s="4" t="n"/>
      <c r="B130" s="4" t="n"/>
      <c r="C130" s="4" t="n"/>
      <c r="D130" s="4" t="n"/>
    </row>
    <row r="131" ht="15.75" customHeight="1" s="40">
      <c r="A131" s="4" t="n"/>
      <c r="B131" s="4" t="n"/>
      <c r="C131" s="4" t="n"/>
      <c r="D131" s="4" t="n"/>
    </row>
    <row r="132" ht="15.75" customHeight="1" s="40">
      <c r="A132" s="4" t="n"/>
      <c r="B132" s="4" t="n"/>
      <c r="C132" s="4" t="n"/>
      <c r="D132" s="4" t="n"/>
    </row>
    <row r="133" ht="15.75" customHeight="1" s="40">
      <c r="A133" s="4" t="n"/>
      <c r="B133" s="4" t="n"/>
      <c r="C133" s="4" t="n"/>
      <c r="D133" s="4" t="n"/>
    </row>
    <row r="134" ht="15.75" customHeight="1" s="40">
      <c r="A134" s="4" t="n"/>
      <c r="B134" s="4" t="n"/>
      <c r="C134" s="4" t="n"/>
      <c r="D134" s="4" t="n"/>
    </row>
    <row r="135" ht="15.75" customHeight="1" s="40">
      <c r="A135" s="4" t="n"/>
      <c r="B135" s="4" t="n"/>
      <c r="C135" s="4" t="n"/>
      <c r="D135" s="4" t="n"/>
    </row>
    <row r="136" ht="15.75" customHeight="1" s="40">
      <c r="A136" s="4" t="n"/>
      <c r="B136" s="4" t="n"/>
      <c r="C136" s="4" t="n"/>
      <c r="D136" s="4" t="n"/>
    </row>
    <row r="137" ht="15.75" customHeight="1" s="40">
      <c r="A137" s="4" t="n"/>
      <c r="B137" s="4" t="n"/>
      <c r="C137" s="4" t="n"/>
      <c r="D137" s="4" t="n"/>
    </row>
    <row r="138" ht="15.75" customHeight="1" s="40">
      <c r="A138" s="4" t="n"/>
      <c r="B138" s="4" t="n"/>
      <c r="C138" s="4" t="n"/>
      <c r="D138" s="4" t="n"/>
    </row>
    <row r="139" ht="15.75" customHeight="1" s="40">
      <c r="A139" s="4" t="n"/>
      <c r="B139" s="4" t="n"/>
      <c r="C139" s="4" t="n"/>
      <c r="D139" s="4" t="n"/>
    </row>
    <row r="140" ht="15.75" customHeight="1" s="40">
      <c r="A140" s="4" t="n"/>
      <c r="B140" s="4" t="n"/>
      <c r="C140" s="4" t="n"/>
      <c r="D140" s="4" t="n"/>
    </row>
    <row r="141" ht="15.75" customHeight="1" s="40">
      <c r="A141" s="4" t="n"/>
      <c r="B141" s="4" t="n"/>
      <c r="C141" s="4" t="n"/>
      <c r="D141" s="4" t="n"/>
    </row>
    <row r="142" ht="15.75" customHeight="1" s="40">
      <c r="A142" s="4" t="n"/>
      <c r="B142" s="4" t="n"/>
      <c r="C142" s="4" t="n"/>
      <c r="D142" s="4" t="n"/>
    </row>
    <row r="143" ht="15.75" customHeight="1" s="40">
      <c r="A143" s="4" t="n"/>
      <c r="B143" s="4" t="n"/>
      <c r="C143" s="4" t="n"/>
      <c r="D143" s="4" t="n"/>
    </row>
    <row r="144" ht="15.75" customHeight="1" s="40">
      <c r="A144" s="4" t="n"/>
      <c r="B144" s="4" t="n"/>
      <c r="C144" s="4" t="n"/>
      <c r="D144" s="4" t="n"/>
    </row>
    <row r="145" ht="15.75" customHeight="1" s="40">
      <c r="A145" s="4" t="n"/>
      <c r="B145" s="4" t="n"/>
      <c r="C145" s="4" t="n"/>
      <c r="D145" s="4" t="n"/>
    </row>
    <row r="146" ht="15.75" customHeight="1" s="40">
      <c r="A146" s="4" t="n"/>
      <c r="B146" s="4" t="n"/>
      <c r="C146" s="4" t="n"/>
      <c r="D146" s="4" t="n"/>
    </row>
    <row r="147" ht="15.75" customHeight="1" s="40">
      <c r="A147" s="4" t="n"/>
      <c r="B147" s="4" t="n"/>
      <c r="C147" s="4" t="n"/>
      <c r="D147" s="4" t="n"/>
    </row>
    <row r="148" ht="15.75" customHeight="1" s="40">
      <c r="A148" s="4" t="n"/>
      <c r="B148" s="4" t="n"/>
      <c r="C148" s="4" t="n"/>
      <c r="D148" s="4" t="n"/>
    </row>
    <row r="149" ht="15.75" customHeight="1" s="40">
      <c r="A149" s="4" t="n"/>
      <c r="B149" s="4" t="n"/>
      <c r="C149" s="4" t="n"/>
      <c r="D149" s="4" t="n"/>
    </row>
    <row r="150" ht="15.75" customHeight="1" s="40">
      <c r="A150" s="4" t="n"/>
      <c r="B150" s="4" t="n"/>
      <c r="C150" s="4" t="n"/>
      <c r="D150" s="4" t="n"/>
    </row>
    <row r="151" ht="15.75" customHeight="1" s="40">
      <c r="A151" s="4" t="n"/>
      <c r="B151" s="4" t="n"/>
      <c r="C151" s="4" t="n"/>
      <c r="D151" s="4" t="n"/>
    </row>
    <row r="152" ht="15.75" customHeight="1" s="40">
      <c r="A152" s="4" t="n"/>
      <c r="B152" s="4" t="n"/>
      <c r="C152" s="4" t="n"/>
      <c r="D152" s="4" t="n"/>
    </row>
    <row r="153" ht="15.75" customHeight="1" s="40">
      <c r="A153" s="4" t="n"/>
      <c r="B153" s="4" t="n"/>
      <c r="C153" s="4" t="n"/>
      <c r="D153" s="4" t="n"/>
    </row>
    <row r="154" ht="15.75" customHeight="1" s="40">
      <c r="A154" s="4" t="n"/>
      <c r="B154" s="4" t="n"/>
      <c r="C154" s="4" t="n"/>
      <c r="D154" s="4" t="n"/>
    </row>
    <row r="155" ht="15.75" customHeight="1" s="40">
      <c r="A155" s="4" t="n"/>
      <c r="B155" s="4" t="n"/>
      <c r="C155" s="4" t="n"/>
      <c r="D155" s="4" t="n"/>
    </row>
    <row r="156" ht="15.75" customHeight="1" s="40">
      <c r="A156" s="4" t="n"/>
      <c r="B156" s="4" t="n"/>
      <c r="C156" s="4" t="n"/>
      <c r="D156" s="4" t="n"/>
    </row>
    <row r="157" ht="15.75" customHeight="1" s="40">
      <c r="A157" s="4" t="n"/>
      <c r="B157" s="4" t="n"/>
      <c r="C157" s="4" t="n"/>
      <c r="D157" s="4" t="n"/>
    </row>
    <row r="158" ht="15.75" customHeight="1" s="40">
      <c r="A158" s="4" t="n"/>
      <c r="B158" s="4" t="n"/>
      <c r="C158" s="4" t="n"/>
      <c r="D158" s="4" t="n"/>
    </row>
    <row r="159" ht="15.75" customHeight="1" s="40">
      <c r="A159" s="4" t="n"/>
      <c r="B159" s="4" t="n"/>
      <c r="C159" s="4" t="n"/>
      <c r="D159" s="4" t="n"/>
    </row>
    <row r="160" ht="15.75" customHeight="1" s="40">
      <c r="A160" s="4" t="n"/>
      <c r="B160" s="4" t="n"/>
      <c r="C160" s="4" t="n"/>
      <c r="D160" s="4" t="n"/>
    </row>
    <row r="161" ht="15.75" customHeight="1" s="40">
      <c r="A161" s="4" t="n"/>
      <c r="B161" s="4" t="n"/>
      <c r="C161" s="4" t="n"/>
      <c r="D161" s="4" t="n"/>
    </row>
    <row r="162" ht="15.75" customHeight="1" s="40">
      <c r="A162" s="4" t="n"/>
      <c r="B162" s="4" t="n"/>
      <c r="C162" s="4" t="n"/>
      <c r="D162" s="4" t="n"/>
    </row>
    <row r="163" ht="15.75" customHeight="1" s="40">
      <c r="A163" s="4" t="n"/>
      <c r="B163" s="4" t="n"/>
      <c r="C163" s="4" t="n"/>
      <c r="D163" s="4" t="n"/>
    </row>
    <row r="164" ht="15.75" customHeight="1" s="40">
      <c r="A164" s="4" t="n"/>
      <c r="B164" s="4" t="n"/>
      <c r="C164" s="4" t="n"/>
      <c r="D164" s="4" t="n"/>
    </row>
    <row r="165" ht="15.75" customHeight="1" s="40">
      <c r="A165" s="4" t="n"/>
      <c r="B165" s="4" t="n"/>
      <c r="C165" s="4" t="n"/>
      <c r="D165" s="4" t="n"/>
    </row>
    <row r="166" ht="15.75" customHeight="1" s="40">
      <c r="A166" s="4" t="n"/>
      <c r="B166" s="4" t="n"/>
      <c r="C166" s="4" t="n"/>
      <c r="D166" s="4" t="n"/>
    </row>
    <row r="167" ht="15.75" customHeight="1" s="40">
      <c r="A167" s="4" t="n"/>
      <c r="B167" s="4" t="n"/>
      <c r="C167" s="4" t="n"/>
      <c r="D167" s="4" t="n"/>
    </row>
    <row r="168" ht="15.75" customHeight="1" s="40">
      <c r="A168" s="4" t="n"/>
      <c r="B168" s="4" t="n"/>
      <c r="C168" s="4" t="n"/>
      <c r="D168" s="4" t="n"/>
    </row>
    <row r="169" ht="15.75" customHeight="1" s="40">
      <c r="A169" s="4" t="n"/>
      <c r="B169" s="4" t="n"/>
      <c r="C169" s="4" t="n"/>
      <c r="D169" s="4" t="n"/>
    </row>
    <row r="170" ht="15.75" customHeight="1" s="40">
      <c r="A170" s="4" t="n"/>
      <c r="B170" s="4" t="n"/>
      <c r="C170" s="4" t="n"/>
      <c r="D170" s="4" t="n"/>
    </row>
    <row r="171" ht="15.75" customHeight="1" s="40">
      <c r="A171" s="4" t="n"/>
      <c r="B171" s="4" t="n"/>
      <c r="C171" s="4" t="n"/>
      <c r="D171" s="4" t="n"/>
    </row>
    <row r="172" ht="15.75" customHeight="1" s="40">
      <c r="A172" s="4" t="n"/>
      <c r="B172" s="4" t="n"/>
      <c r="C172" s="4" t="n"/>
      <c r="D172" s="4" t="n"/>
    </row>
    <row r="173" ht="15.75" customHeight="1" s="40">
      <c r="A173" s="4" t="n"/>
      <c r="B173" s="4" t="n"/>
      <c r="C173" s="4" t="n"/>
      <c r="D173" s="4" t="n"/>
    </row>
    <row r="174" ht="15.75" customHeight="1" s="40">
      <c r="A174" s="4" t="n"/>
      <c r="B174" s="4" t="n"/>
      <c r="C174" s="4" t="n"/>
      <c r="D174" s="4" t="n"/>
    </row>
    <row r="175" ht="15.75" customHeight="1" s="40">
      <c r="A175" s="4" t="n"/>
      <c r="B175" s="4" t="n"/>
      <c r="C175" s="4" t="n"/>
      <c r="D175" s="4" t="n"/>
    </row>
    <row r="176" ht="15.75" customHeight="1" s="40">
      <c r="A176" s="4" t="n"/>
      <c r="B176" s="4" t="n"/>
      <c r="C176" s="4" t="n"/>
      <c r="D176" s="4" t="n"/>
    </row>
    <row r="177" ht="15.75" customHeight="1" s="40">
      <c r="A177" s="4" t="n"/>
      <c r="B177" s="4" t="n"/>
      <c r="C177" s="4" t="n"/>
      <c r="D177" s="4" t="n"/>
    </row>
    <row r="178" ht="15.75" customHeight="1" s="40">
      <c r="A178" s="4" t="n"/>
      <c r="B178" s="4" t="n"/>
      <c r="C178" s="4" t="n"/>
      <c r="D178" s="4" t="n"/>
    </row>
    <row r="179" ht="15.75" customHeight="1" s="40">
      <c r="A179" s="4" t="n"/>
      <c r="B179" s="4" t="n"/>
      <c r="C179" s="4" t="n"/>
      <c r="D179" s="4" t="n"/>
    </row>
    <row r="180" ht="15.75" customHeight="1" s="40">
      <c r="A180" s="4" t="n"/>
      <c r="B180" s="4" t="n"/>
      <c r="C180" s="4" t="n"/>
      <c r="D180" s="4" t="n"/>
    </row>
    <row r="181" ht="15.75" customHeight="1" s="40">
      <c r="A181" s="4" t="n"/>
      <c r="B181" s="4" t="n"/>
      <c r="C181" s="4" t="n"/>
      <c r="D181" s="4" t="n"/>
    </row>
    <row r="182" ht="15.75" customHeight="1" s="40">
      <c r="A182" s="4" t="n"/>
      <c r="B182" s="4" t="n"/>
      <c r="C182" s="4" t="n"/>
      <c r="D182" s="4" t="n"/>
    </row>
    <row r="183" ht="15.75" customHeight="1" s="40">
      <c r="A183" s="4" t="n"/>
      <c r="B183" s="4" t="n"/>
      <c r="C183" s="4" t="n"/>
      <c r="D183" s="4" t="n"/>
    </row>
    <row r="184" ht="15.75" customHeight="1" s="40">
      <c r="A184" s="4" t="n"/>
      <c r="B184" s="4" t="n"/>
      <c r="C184" s="4" t="n"/>
      <c r="D184" s="4" t="n"/>
    </row>
    <row r="185" ht="15.75" customHeight="1" s="40">
      <c r="A185" s="4" t="n"/>
      <c r="B185" s="4" t="n"/>
      <c r="C185" s="4" t="n"/>
      <c r="D185" s="4" t="n"/>
    </row>
    <row r="186" ht="15.75" customHeight="1" s="40">
      <c r="A186" s="4" t="n"/>
      <c r="B186" s="4" t="n"/>
      <c r="C186" s="4" t="n"/>
      <c r="D186" s="4" t="n"/>
    </row>
    <row r="187" ht="15.75" customHeight="1" s="40">
      <c r="A187" s="4" t="n"/>
      <c r="B187" s="4" t="n"/>
      <c r="C187" s="4" t="n"/>
      <c r="D187" s="4" t="n"/>
    </row>
    <row r="188" ht="15.75" customHeight="1" s="40">
      <c r="A188" s="4" t="n"/>
      <c r="B188" s="4" t="n"/>
      <c r="C188" s="4" t="n"/>
      <c r="D188" s="4" t="n"/>
    </row>
    <row r="189" ht="15.75" customHeight="1" s="40">
      <c r="A189" s="4" t="n"/>
      <c r="B189" s="4" t="n"/>
      <c r="C189" s="4" t="n"/>
      <c r="D189" s="4" t="n"/>
    </row>
    <row r="190" ht="15.75" customHeight="1" s="40">
      <c r="A190" s="4" t="n"/>
      <c r="B190" s="4" t="n"/>
      <c r="C190" s="4" t="n"/>
      <c r="D190" s="4" t="n"/>
    </row>
    <row r="191" ht="15.75" customHeight="1" s="40">
      <c r="A191" s="4" t="n"/>
      <c r="B191" s="4" t="n"/>
      <c r="C191" s="4" t="n"/>
      <c r="D191" s="4" t="n"/>
    </row>
    <row r="192" ht="15.75" customHeight="1" s="40">
      <c r="A192" s="4" t="n"/>
      <c r="B192" s="4" t="n"/>
      <c r="C192" s="4" t="n"/>
      <c r="D192" s="4" t="n"/>
    </row>
    <row r="193" ht="15.75" customHeight="1" s="40">
      <c r="A193" s="4" t="n"/>
      <c r="B193" s="4" t="n"/>
      <c r="C193" s="4" t="n"/>
      <c r="D193" s="4" t="n"/>
    </row>
    <row r="194" ht="15.75" customHeight="1" s="40">
      <c r="A194" s="4" t="n"/>
      <c r="B194" s="4" t="n"/>
      <c r="C194" s="4" t="n"/>
      <c r="D194" s="4" t="n"/>
    </row>
    <row r="195" ht="15.75" customHeight="1" s="40">
      <c r="A195" s="4" t="n"/>
      <c r="B195" s="4" t="n"/>
      <c r="C195" s="4" t="n"/>
      <c r="D195" s="4" t="n"/>
    </row>
    <row r="196" ht="15.75" customHeight="1" s="40">
      <c r="A196" s="4" t="n"/>
      <c r="B196" s="4" t="n"/>
      <c r="C196" s="4" t="n"/>
      <c r="D196" s="4" t="n"/>
    </row>
    <row r="197" ht="15.75" customHeight="1" s="40">
      <c r="A197" s="4" t="n"/>
      <c r="B197" s="4" t="n"/>
      <c r="C197" s="4" t="n"/>
      <c r="D197" s="4" t="n"/>
    </row>
    <row r="198" ht="15.75" customHeight="1" s="40">
      <c r="A198" s="4" t="n"/>
      <c r="B198" s="4" t="n"/>
      <c r="C198" s="4" t="n"/>
      <c r="D198" s="4" t="n"/>
    </row>
    <row r="199" ht="15.75" customHeight="1" s="40">
      <c r="A199" s="4" t="n"/>
      <c r="B199" s="4" t="n"/>
      <c r="C199" s="4" t="n"/>
      <c r="D199" s="4" t="n"/>
    </row>
    <row r="200" ht="15.75" customHeight="1" s="40">
      <c r="A200" s="4" t="n"/>
      <c r="B200" s="4" t="n"/>
      <c r="C200" s="4" t="n"/>
      <c r="D200" s="4" t="n"/>
    </row>
    <row r="201" ht="15.75" customHeight="1" s="40">
      <c r="A201" s="4" t="n"/>
      <c r="B201" s="4" t="n"/>
      <c r="C201" s="4" t="n"/>
      <c r="D201" s="4" t="n"/>
    </row>
    <row r="202" ht="15.75" customHeight="1" s="40">
      <c r="A202" s="4" t="n"/>
      <c r="B202" s="4" t="n"/>
      <c r="C202" s="4" t="n"/>
      <c r="D202" s="4" t="n"/>
    </row>
    <row r="203" ht="15.75" customHeight="1" s="40">
      <c r="A203" s="4" t="n"/>
      <c r="B203" s="4" t="n"/>
      <c r="C203" s="4" t="n"/>
      <c r="D203" s="4" t="n"/>
    </row>
    <row r="204" ht="15.75" customHeight="1" s="40">
      <c r="A204" s="4" t="n"/>
      <c r="B204" s="4" t="n"/>
      <c r="C204" s="4" t="n"/>
      <c r="D204" s="4" t="n"/>
    </row>
    <row r="205" ht="15.75" customHeight="1" s="40">
      <c r="A205" s="4" t="n"/>
      <c r="B205" s="4" t="n"/>
      <c r="C205" s="4" t="n"/>
      <c r="D205" s="4" t="n"/>
    </row>
    <row r="206" ht="15.75" customHeight="1" s="40">
      <c r="A206" s="4" t="n"/>
      <c r="B206" s="4" t="n"/>
      <c r="C206" s="4" t="n"/>
      <c r="D206" s="4" t="n"/>
    </row>
    <row r="207" ht="15.75" customHeight="1" s="40">
      <c r="A207" s="4" t="n"/>
      <c r="B207" s="4" t="n"/>
      <c r="C207" s="4" t="n"/>
      <c r="D207" s="4" t="n"/>
    </row>
    <row r="208" ht="15.75" customHeight="1" s="40">
      <c r="A208" s="4" t="n"/>
      <c r="B208" s="4" t="n"/>
      <c r="C208" s="4" t="n"/>
      <c r="D208" s="4" t="n"/>
    </row>
    <row r="209" ht="15.75" customHeight="1" s="40">
      <c r="A209" s="4" t="n"/>
      <c r="B209" s="4" t="n"/>
      <c r="C209" s="4" t="n"/>
      <c r="D209" s="4" t="n"/>
    </row>
    <row r="210" ht="15.75" customHeight="1" s="40">
      <c r="A210" s="4" t="n"/>
      <c r="B210" s="4" t="n"/>
      <c r="C210" s="4" t="n"/>
      <c r="D210" s="4" t="n"/>
    </row>
    <row r="211" ht="15.75" customHeight="1" s="40">
      <c r="A211" s="4" t="n"/>
      <c r="B211" s="4" t="n"/>
      <c r="C211" s="4" t="n"/>
      <c r="D211" s="4" t="n"/>
    </row>
    <row r="212" ht="15.75" customHeight="1" s="40">
      <c r="A212" s="4" t="n"/>
      <c r="B212" s="4" t="n"/>
      <c r="C212" s="4" t="n"/>
      <c r="D212" s="4" t="n"/>
    </row>
    <row r="213" ht="15.75" customHeight="1" s="40">
      <c r="A213" s="4" t="n"/>
      <c r="B213" s="4" t="n"/>
      <c r="C213" s="4" t="n"/>
      <c r="D213" s="4" t="n"/>
    </row>
    <row r="214" ht="15.75" customHeight="1" s="40">
      <c r="A214" s="4" t="n"/>
      <c r="B214" s="4" t="n"/>
      <c r="C214" s="4" t="n"/>
      <c r="D214" s="4" t="n"/>
    </row>
    <row r="215" ht="15.75" customHeight="1" s="40">
      <c r="A215" s="4" t="n"/>
      <c r="B215" s="4" t="n"/>
      <c r="C215" s="4" t="n"/>
      <c r="D215" s="4" t="n"/>
    </row>
    <row r="216" ht="15.75" customHeight="1" s="40">
      <c r="A216" s="4" t="n"/>
      <c r="B216" s="4" t="n"/>
      <c r="C216" s="4" t="n"/>
      <c r="D216" s="4" t="n"/>
    </row>
    <row r="217" ht="15.75" customHeight="1" s="40">
      <c r="A217" s="4" t="n"/>
      <c r="B217" s="4" t="n"/>
      <c r="C217" s="4" t="n"/>
      <c r="D217" s="4" t="n"/>
    </row>
    <row r="218" ht="15.75" customHeight="1" s="40">
      <c r="A218" s="4" t="n"/>
      <c r="B218" s="4" t="n"/>
      <c r="C218" s="4" t="n"/>
      <c r="D218" s="4" t="n"/>
    </row>
    <row r="219" ht="15.75" customHeight="1" s="40">
      <c r="A219" s="4" t="n"/>
      <c r="B219" s="4" t="n"/>
      <c r="C219" s="4" t="n"/>
      <c r="D219" s="4" t="n"/>
    </row>
    <row r="220" ht="15.75" customHeight="1" s="40">
      <c r="A220" s="4" t="n"/>
      <c r="B220" s="4" t="n"/>
      <c r="C220" s="4" t="n"/>
      <c r="D220" s="4" t="n"/>
    </row>
    <row r="221" ht="15.75" customHeight="1" s="40">
      <c r="A221" s="4" t="n"/>
      <c r="B221" s="4" t="n"/>
      <c r="C221" s="4" t="n"/>
      <c r="D221" s="4" t="n"/>
    </row>
    <row r="222" ht="15.75" customHeight="1" s="40">
      <c r="A222" s="4" t="n"/>
      <c r="B222" s="4" t="n"/>
      <c r="C222" s="4" t="n"/>
      <c r="D222" s="4" t="n"/>
    </row>
    <row r="223" ht="15.75" customHeight="1" s="40">
      <c r="A223" s="4" t="n"/>
      <c r="B223" s="4" t="n"/>
      <c r="C223" s="4" t="n"/>
      <c r="D223" s="4" t="n"/>
    </row>
    <row r="224" ht="15.75" customHeight="1" s="40">
      <c r="A224" s="4" t="n"/>
      <c r="B224" s="4" t="n"/>
      <c r="C224" s="4" t="n"/>
      <c r="D224" s="4" t="n"/>
    </row>
    <row r="225" ht="15.75" customHeight="1" s="40">
      <c r="A225" s="4" t="n"/>
      <c r="B225" s="4" t="n"/>
      <c r="C225" s="4" t="n"/>
      <c r="D225" s="4" t="n"/>
    </row>
    <row r="226" ht="15.75" customHeight="1" s="40">
      <c r="A226" s="4" t="n"/>
      <c r="B226" s="4" t="n"/>
      <c r="C226" s="4" t="n"/>
      <c r="D226" s="4" t="n"/>
    </row>
    <row r="227" ht="15.75" customHeight="1" s="40">
      <c r="A227" s="4" t="n"/>
      <c r="B227" s="4" t="n"/>
      <c r="C227" s="4" t="n"/>
      <c r="D227" s="4" t="n"/>
    </row>
    <row r="228" ht="15.75" customHeight="1" s="40">
      <c r="A228" s="4" t="n"/>
      <c r="B228" s="4" t="n"/>
      <c r="C228" s="4" t="n"/>
      <c r="D228" s="4" t="n"/>
    </row>
    <row r="229" ht="15.75" customHeight="1" s="40">
      <c r="A229" s="4" t="n"/>
      <c r="B229" s="4" t="n"/>
      <c r="C229" s="4" t="n"/>
      <c r="D229" s="4" t="n"/>
    </row>
    <row r="230" ht="15.75" customHeight="1" s="40">
      <c r="A230" s="4" t="n"/>
      <c r="B230" s="4" t="n"/>
      <c r="C230" s="4" t="n"/>
      <c r="D230" s="4" t="n"/>
    </row>
    <row r="231" ht="15.75" customHeight="1" s="40">
      <c r="A231" s="4" t="n"/>
      <c r="B231" s="4" t="n"/>
      <c r="C231" s="4" t="n"/>
      <c r="D231" s="4" t="n"/>
    </row>
    <row r="232" ht="15.75" customHeight="1" s="40">
      <c r="A232" s="4" t="n"/>
      <c r="B232" s="4" t="n"/>
      <c r="C232" s="4" t="n"/>
      <c r="D232" s="4" t="n"/>
    </row>
    <row r="233" ht="15.75" customHeight="1" s="40">
      <c r="A233" s="4" t="n"/>
      <c r="B233" s="4" t="n"/>
      <c r="C233" s="4" t="n"/>
      <c r="D233" s="4" t="n"/>
    </row>
    <row r="234" ht="15.75" customHeight="1" s="40">
      <c r="A234" s="4" t="n"/>
      <c r="B234" s="4" t="n"/>
      <c r="C234" s="4" t="n"/>
      <c r="D234" s="4" t="n"/>
    </row>
    <row r="235" ht="15.75" customHeight="1" s="40">
      <c r="A235" s="4" t="n"/>
      <c r="B235" s="4" t="n"/>
      <c r="C235" s="4" t="n"/>
      <c r="D235" s="4" t="n"/>
    </row>
    <row r="236" ht="15.75" customHeight="1" s="40">
      <c r="A236" s="4" t="n"/>
      <c r="B236" s="4" t="n"/>
      <c r="C236" s="4" t="n"/>
      <c r="D236" s="4" t="n"/>
    </row>
    <row r="237" ht="15.75" customHeight="1" s="40">
      <c r="A237" s="4" t="n"/>
      <c r="B237" s="4" t="n"/>
      <c r="C237" s="4" t="n"/>
      <c r="D237" s="4" t="n"/>
    </row>
    <row r="238" ht="15.75" customHeight="1" s="40">
      <c r="A238" s="4" t="n"/>
      <c r="B238" s="4" t="n"/>
      <c r="C238" s="4" t="n"/>
      <c r="D238" s="4" t="n"/>
    </row>
    <row r="239" ht="15.75" customHeight="1" s="40">
      <c r="A239" s="4" t="n"/>
      <c r="B239" s="4" t="n"/>
      <c r="C239" s="4" t="n"/>
      <c r="D239" s="4" t="n"/>
    </row>
    <row r="240" ht="15.75" customHeight="1" s="40">
      <c r="A240" s="4" t="n"/>
      <c r="B240" s="4" t="n"/>
      <c r="C240" s="4" t="n"/>
      <c r="D240" s="4" t="n"/>
    </row>
    <row r="241" ht="15.75" customHeight="1" s="40">
      <c r="A241" s="4" t="n"/>
      <c r="B241" s="4" t="n"/>
      <c r="C241" s="4" t="n"/>
      <c r="D241" s="4" t="n"/>
    </row>
    <row r="242" ht="15.75" customHeight="1" s="40">
      <c r="A242" s="4" t="n"/>
      <c r="B242" s="4" t="n"/>
      <c r="C242" s="4" t="n"/>
      <c r="D242" s="4" t="n"/>
    </row>
    <row r="243" ht="15.75" customHeight="1" s="40">
      <c r="A243" s="4" t="n"/>
      <c r="B243" s="4" t="n"/>
      <c r="C243" s="4" t="n"/>
      <c r="D243" s="4" t="n"/>
    </row>
    <row r="244" ht="15.75" customHeight="1" s="40">
      <c r="A244" s="4" t="n"/>
      <c r="B244" s="4" t="n"/>
      <c r="C244" s="4" t="n"/>
      <c r="D244" s="4" t="n"/>
    </row>
    <row r="245" ht="15.75" customHeight="1" s="40">
      <c r="A245" s="4" t="n"/>
      <c r="B245" s="4" t="n"/>
      <c r="C245" s="4" t="n"/>
      <c r="D245" s="4" t="n"/>
    </row>
    <row r="246" ht="15.75" customHeight="1" s="40">
      <c r="A246" s="4" t="n"/>
      <c r="B246" s="4" t="n"/>
      <c r="C246" s="4" t="n"/>
      <c r="D246" s="4" t="n"/>
    </row>
    <row r="247" ht="15.75" customHeight="1" s="40">
      <c r="A247" s="4" t="n"/>
      <c r="B247" s="4" t="n"/>
      <c r="C247" s="4" t="n"/>
      <c r="D247" s="4" t="n"/>
    </row>
    <row r="248" ht="15.75" customHeight="1" s="40">
      <c r="A248" s="4" t="n"/>
      <c r="B248" s="4" t="n"/>
      <c r="C248" s="4" t="n"/>
      <c r="D248" s="4" t="n"/>
    </row>
    <row r="249" ht="15.75" customHeight="1" s="40">
      <c r="A249" s="4" t="n"/>
      <c r="B249" s="4" t="n"/>
      <c r="C249" s="4" t="n"/>
      <c r="D249" s="4" t="n"/>
    </row>
    <row r="250" ht="15.75" customHeight="1" s="40">
      <c r="A250" s="4" t="n"/>
      <c r="B250" s="4" t="n"/>
      <c r="C250" s="4" t="n"/>
      <c r="D250" s="4" t="n"/>
    </row>
    <row r="251" ht="15.75" customHeight="1" s="40">
      <c r="A251" s="4" t="n"/>
      <c r="B251" s="4" t="n"/>
      <c r="C251" s="4" t="n"/>
      <c r="D251" s="4" t="n"/>
    </row>
    <row r="252" ht="15.75" customHeight="1" s="40">
      <c r="A252" s="4" t="n"/>
      <c r="B252" s="4" t="n"/>
      <c r="C252" s="4" t="n"/>
      <c r="D252" s="4" t="n"/>
    </row>
    <row r="253" ht="15.75" customHeight="1" s="40">
      <c r="A253" s="4" t="n"/>
      <c r="B253" s="4" t="n"/>
      <c r="C253" s="4" t="n"/>
      <c r="D253" s="4" t="n"/>
    </row>
    <row r="254" ht="15.75" customHeight="1" s="40">
      <c r="A254" s="4" t="n"/>
      <c r="B254" s="4" t="n"/>
      <c r="C254" s="4" t="n"/>
      <c r="D254" s="4" t="n"/>
    </row>
    <row r="255" ht="15.75" customHeight="1" s="40">
      <c r="A255" s="4" t="n"/>
      <c r="B255" s="4" t="n"/>
      <c r="C255" s="4" t="n"/>
      <c r="D255" s="4" t="n"/>
    </row>
    <row r="256" ht="15.75" customHeight="1" s="40">
      <c r="A256" s="4" t="n"/>
      <c r="B256" s="4" t="n"/>
      <c r="C256" s="4" t="n"/>
      <c r="D256" s="4" t="n"/>
    </row>
    <row r="257" ht="15.75" customHeight="1" s="40">
      <c r="A257" s="4" t="n"/>
      <c r="B257" s="4" t="n"/>
      <c r="C257" s="4" t="n"/>
      <c r="D257" s="4" t="n"/>
    </row>
    <row r="258" ht="15.75" customHeight="1" s="40">
      <c r="A258" s="4" t="n"/>
      <c r="B258" s="4" t="n"/>
      <c r="C258" s="4" t="n"/>
      <c r="D258" s="4" t="n"/>
    </row>
    <row r="259" ht="15.75" customHeight="1" s="40">
      <c r="A259" s="4" t="n"/>
      <c r="B259" s="4" t="n"/>
      <c r="C259" s="4" t="n"/>
      <c r="D259" s="4" t="n"/>
    </row>
    <row r="260" ht="15.75" customHeight="1" s="40">
      <c r="A260" s="4" t="n"/>
      <c r="B260" s="4" t="n"/>
      <c r="C260" s="4" t="n"/>
      <c r="D260" s="4" t="n"/>
    </row>
    <row r="261" ht="15.75" customHeight="1" s="40">
      <c r="A261" s="4" t="n"/>
      <c r="B261" s="4" t="n"/>
      <c r="C261" s="4" t="n"/>
      <c r="D261" s="4" t="n"/>
    </row>
    <row r="262" ht="15.75" customHeight="1" s="40">
      <c r="A262" s="4" t="n"/>
      <c r="B262" s="4" t="n"/>
      <c r="C262" s="4" t="n"/>
      <c r="D262" s="4" t="n"/>
    </row>
    <row r="263" ht="15.75" customHeight="1" s="40">
      <c r="A263" s="4" t="n"/>
      <c r="B263" s="4" t="n"/>
      <c r="C263" s="4" t="n"/>
      <c r="D263" s="4" t="n"/>
    </row>
    <row r="264" ht="15.75" customHeight="1" s="40">
      <c r="A264" s="4" t="n"/>
      <c r="B264" s="4" t="n"/>
      <c r="C264" s="4" t="n"/>
      <c r="D264" s="4" t="n"/>
    </row>
    <row r="265" ht="15.75" customHeight="1" s="40">
      <c r="A265" s="4" t="n"/>
      <c r="B265" s="4" t="n"/>
      <c r="C265" s="4" t="n"/>
      <c r="D265" s="4" t="n"/>
    </row>
    <row r="266" ht="15.75" customHeight="1" s="40">
      <c r="A266" s="4" t="n"/>
      <c r="B266" s="4" t="n"/>
      <c r="C266" s="4" t="n"/>
      <c r="D266" s="4" t="n"/>
    </row>
    <row r="267" ht="15.75" customHeight="1" s="40">
      <c r="A267" s="4" t="n"/>
      <c r="B267" s="4" t="n"/>
      <c r="C267" s="4" t="n"/>
      <c r="D267" s="4" t="n"/>
    </row>
    <row r="268" ht="15.75" customHeight="1" s="40">
      <c r="A268" s="4" t="n"/>
      <c r="B268" s="4" t="n"/>
      <c r="C268" s="4" t="n"/>
      <c r="D268" s="4" t="n"/>
    </row>
    <row r="269" ht="15.75" customHeight="1" s="40">
      <c r="A269" s="4" t="n"/>
      <c r="B269" s="4" t="n"/>
      <c r="C269" s="4" t="n"/>
      <c r="D269" s="4" t="n"/>
    </row>
    <row r="270" ht="15.75" customHeight="1" s="40">
      <c r="A270" s="4" t="n"/>
      <c r="B270" s="4" t="n"/>
      <c r="C270" s="4" t="n"/>
      <c r="D270" s="4" t="n"/>
    </row>
    <row r="271" ht="15.75" customHeight="1" s="40">
      <c r="A271" s="4" t="n"/>
      <c r="B271" s="4" t="n"/>
      <c r="C271" s="4" t="n"/>
      <c r="D271" s="4" t="n"/>
    </row>
    <row r="272" ht="15.75" customHeight="1" s="40">
      <c r="A272" s="4" t="n"/>
      <c r="B272" s="4" t="n"/>
      <c r="C272" s="4" t="n"/>
      <c r="D272" s="4" t="n"/>
    </row>
    <row r="273" ht="15.75" customHeight="1" s="40">
      <c r="A273" s="4" t="n"/>
      <c r="B273" s="4" t="n"/>
      <c r="C273" s="4" t="n"/>
      <c r="D273" s="4" t="n"/>
    </row>
    <row r="274" ht="15.75" customHeight="1" s="40">
      <c r="A274" s="4" t="n"/>
      <c r="B274" s="4" t="n"/>
      <c r="C274" s="4" t="n"/>
      <c r="D274" s="4" t="n"/>
    </row>
    <row r="275" ht="15.75" customHeight="1" s="40">
      <c r="A275" s="4" t="n"/>
      <c r="B275" s="4" t="n"/>
      <c r="C275" s="4" t="n"/>
      <c r="D275" s="4" t="n"/>
    </row>
    <row r="276" ht="15.75" customHeight="1" s="40">
      <c r="A276" s="4" t="n"/>
      <c r="B276" s="4" t="n"/>
      <c r="C276" s="4" t="n"/>
      <c r="D276" s="4" t="n"/>
    </row>
    <row r="277" ht="15.75" customHeight="1" s="40">
      <c r="A277" s="4" t="n"/>
      <c r="B277" s="4" t="n"/>
      <c r="C277" s="4" t="n"/>
      <c r="D277" s="4" t="n"/>
    </row>
    <row r="278" ht="15.75" customHeight="1" s="40">
      <c r="A278" s="4" t="n"/>
      <c r="B278" s="4" t="n"/>
      <c r="C278" s="4" t="n"/>
      <c r="D278" s="4" t="n"/>
    </row>
    <row r="279" ht="15.75" customHeight="1" s="40">
      <c r="A279" s="4" t="n"/>
      <c r="B279" s="4" t="n"/>
      <c r="C279" s="4" t="n"/>
      <c r="D279" s="4" t="n"/>
    </row>
    <row r="280" ht="15.75" customHeight="1" s="40">
      <c r="A280" s="4" t="n"/>
      <c r="B280" s="4" t="n"/>
      <c r="C280" s="4" t="n"/>
      <c r="D280" s="4" t="n"/>
    </row>
    <row r="281" ht="15.75" customHeight="1" s="40">
      <c r="A281" s="4" t="n"/>
      <c r="B281" s="4" t="n"/>
      <c r="C281" s="4" t="n"/>
      <c r="D281" s="4" t="n"/>
    </row>
    <row r="282" ht="15.75" customHeight="1" s="40">
      <c r="A282" s="4" t="n"/>
      <c r="B282" s="4" t="n"/>
      <c r="C282" s="4" t="n"/>
      <c r="D282" s="4" t="n"/>
    </row>
    <row r="283" ht="15.75" customHeight="1" s="40">
      <c r="A283" s="4" t="n"/>
      <c r="B283" s="4" t="n"/>
      <c r="C283" s="4" t="n"/>
      <c r="D283" s="4" t="n"/>
    </row>
    <row r="284" ht="15.75" customHeight="1" s="40">
      <c r="A284" s="4" t="n"/>
      <c r="B284" s="4" t="n"/>
      <c r="C284" s="4" t="n"/>
      <c r="D284" s="4" t="n"/>
    </row>
    <row r="285" ht="15.75" customHeight="1" s="40">
      <c r="A285" s="4" t="n"/>
      <c r="B285" s="4" t="n"/>
      <c r="C285" s="4" t="n"/>
      <c r="D285" s="4" t="n"/>
    </row>
    <row r="286" ht="15.75" customHeight="1" s="40">
      <c r="A286" s="4" t="n"/>
      <c r="B286" s="4" t="n"/>
      <c r="C286" s="4" t="n"/>
      <c r="D286" s="4" t="n"/>
    </row>
    <row r="287" ht="15.75" customHeight="1" s="40">
      <c r="A287" s="4" t="n"/>
      <c r="B287" s="4" t="n"/>
      <c r="C287" s="4" t="n"/>
      <c r="D287" s="4" t="n"/>
    </row>
    <row r="288" ht="15.75" customHeight="1" s="40">
      <c r="A288" s="4" t="n"/>
      <c r="B288" s="4" t="n"/>
      <c r="C288" s="4" t="n"/>
      <c r="D288" s="4" t="n"/>
    </row>
    <row r="289" ht="15.75" customHeight="1" s="40">
      <c r="A289" s="4" t="n"/>
      <c r="B289" s="4" t="n"/>
      <c r="C289" s="4" t="n"/>
      <c r="D289" s="4" t="n"/>
    </row>
    <row r="290" ht="15.75" customHeight="1" s="40">
      <c r="A290" s="4" t="n"/>
      <c r="B290" s="4" t="n"/>
      <c r="C290" s="4" t="n"/>
      <c r="D290" s="4" t="n"/>
    </row>
    <row r="291" ht="15.75" customHeight="1" s="40">
      <c r="A291" s="4" t="n"/>
      <c r="B291" s="4" t="n"/>
      <c r="C291" s="4" t="n"/>
      <c r="D291" s="4" t="n"/>
    </row>
    <row r="292" ht="15.75" customHeight="1" s="40">
      <c r="A292" s="4" t="n"/>
      <c r="B292" s="4" t="n"/>
      <c r="C292" s="4" t="n"/>
      <c r="D292" s="4" t="n"/>
    </row>
    <row r="293" ht="15.75" customHeight="1" s="40">
      <c r="A293" s="4" t="n"/>
      <c r="B293" s="4" t="n"/>
      <c r="C293" s="4" t="n"/>
      <c r="D293" s="4" t="n"/>
    </row>
    <row r="294" ht="15.75" customHeight="1" s="40">
      <c r="A294" s="4" t="n"/>
      <c r="B294" s="4" t="n"/>
      <c r="C294" s="4" t="n"/>
      <c r="D294" s="4" t="n"/>
    </row>
    <row r="295" ht="15.75" customHeight="1" s="40">
      <c r="A295" s="4" t="n"/>
      <c r="B295" s="4" t="n"/>
      <c r="C295" s="4" t="n"/>
      <c r="D295" s="4" t="n"/>
    </row>
    <row r="296" ht="15.75" customHeight="1" s="40">
      <c r="A296" s="4" t="n"/>
      <c r="B296" s="4" t="n"/>
      <c r="C296" s="4" t="n"/>
      <c r="D296" s="4" t="n"/>
    </row>
    <row r="297" ht="15.75" customHeight="1" s="40">
      <c r="A297" s="4" t="n"/>
      <c r="B297" s="4" t="n"/>
      <c r="C297" s="4" t="n"/>
      <c r="D297" s="4" t="n"/>
    </row>
    <row r="298" ht="15.75" customHeight="1" s="40">
      <c r="A298" s="4" t="n"/>
      <c r="B298" s="4" t="n"/>
      <c r="C298" s="4" t="n"/>
      <c r="D298" s="4" t="n"/>
    </row>
    <row r="299" ht="15.75" customHeight="1" s="40">
      <c r="A299" s="4" t="n"/>
      <c r="B299" s="4" t="n"/>
      <c r="C299" s="4" t="n"/>
      <c r="D299" s="4" t="n"/>
    </row>
    <row r="300" ht="15.75" customHeight="1" s="40">
      <c r="A300" s="4" t="n"/>
      <c r="B300" s="4" t="n"/>
      <c r="C300" s="4" t="n"/>
      <c r="D300" s="4" t="n"/>
    </row>
    <row r="301" ht="15.75" customHeight="1" s="40">
      <c r="A301" s="4" t="n"/>
      <c r="B301" s="4" t="n"/>
      <c r="C301" s="4" t="n"/>
      <c r="D301" s="4" t="n"/>
    </row>
    <row r="302" ht="15.75" customHeight="1" s="40">
      <c r="A302" s="4" t="n"/>
      <c r="B302" s="4" t="n"/>
      <c r="C302" s="4" t="n"/>
      <c r="D302" s="4" t="n"/>
    </row>
    <row r="303" ht="15.75" customHeight="1" s="40">
      <c r="A303" s="4" t="n"/>
      <c r="B303" s="4" t="n"/>
      <c r="C303" s="4" t="n"/>
      <c r="D303" s="4" t="n"/>
    </row>
    <row r="304" ht="15.75" customHeight="1" s="40">
      <c r="A304" s="4" t="n"/>
      <c r="B304" s="4" t="n"/>
      <c r="C304" s="4" t="n"/>
      <c r="D304" s="4" t="n"/>
    </row>
    <row r="305" ht="15.75" customHeight="1" s="40">
      <c r="A305" s="4" t="n"/>
      <c r="B305" s="4" t="n"/>
      <c r="C305" s="4" t="n"/>
      <c r="D305" s="4" t="n"/>
    </row>
    <row r="306" ht="15.75" customHeight="1" s="40">
      <c r="A306" s="4" t="n"/>
      <c r="B306" s="4" t="n"/>
      <c r="C306" s="4" t="n"/>
      <c r="D306" s="4" t="n"/>
    </row>
    <row r="307" ht="15.75" customHeight="1" s="40">
      <c r="A307" s="4" t="n"/>
      <c r="B307" s="4" t="n"/>
      <c r="C307" s="4" t="n"/>
      <c r="D307" s="4" t="n"/>
    </row>
    <row r="308" ht="15.75" customHeight="1" s="40">
      <c r="A308" s="4" t="n"/>
      <c r="B308" s="4" t="n"/>
      <c r="C308" s="4" t="n"/>
      <c r="D308" s="4" t="n"/>
    </row>
    <row r="309" ht="15.75" customHeight="1" s="40">
      <c r="A309" s="4" t="n"/>
      <c r="B309" s="4" t="n"/>
      <c r="C309" s="4" t="n"/>
      <c r="D309" s="4" t="n"/>
    </row>
    <row r="310" ht="15.75" customHeight="1" s="40">
      <c r="A310" s="4" t="n"/>
      <c r="B310" s="4" t="n"/>
      <c r="C310" s="4" t="n"/>
      <c r="D310" s="4" t="n"/>
    </row>
    <row r="311" ht="15.75" customHeight="1" s="40">
      <c r="A311" s="4" t="n"/>
      <c r="B311" s="4" t="n"/>
      <c r="C311" s="4" t="n"/>
      <c r="D311" s="4" t="n"/>
    </row>
    <row r="312" ht="15.75" customHeight="1" s="40">
      <c r="A312" s="4" t="n"/>
      <c r="B312" s="4" t="n"/>
      <c r="C312" s="4" t="n"/>
      <c r="D312" s="4" t="n"/>
    </row>
    <row r="313" ht="15.75" customHeight="1" s="40">
      <c r="A313" s="4" t="n"/>
      <c r="B313" s="4" t="n"/>
      <c r="C313" s="4" t="n"/>
      <c r="D313" s="4" t="n"/>
    </row>
    <row r="314" ht="15.75" customHeight="1" s="40">
      <c r="A314" s="4" t="n"/>
      <c r="B314" s="4" t="n"/>
      <c r="C314" s="4" t="n"/>
      <c r="D314" s="4" t="n"/>
    </row>
    <row r="315" ht="15.75" customHeight="1" s="40">
      <c r="A315" s="4" t="n"/>
      <c r="B315" s="4" t="n"/>
      <c r="C315" s="4" t="n"/>
      <c r="D315" s="4" t="n"/>
    </row>
    <row r="316" ht="15.75" customHeight="1" s="40">
      <c r="A316" s="4" t="n"/>
      <c r="B316" s="4" t="n"/>
      <c r="C316" s="4" t="n"/>
      <c r="D316" s="4" t="n"/>
    </row>
    <row r="317" ht="15.75" customHeight="1" s="40">
      <c r="A317" s="4" t="n"/>
      <c r="B317" s="4" t="n"/>
      <c r="C317" s="4" t="n"/>
      <c r="D317" s="4" t="n"/>
    </row>
    <row r="318" ht="15.75" customHeight="1" s="40">
      <c r="A318" s="4" t="n"/>
      <c r="B318" s="4" t="n"/>
      <c r="C318" s="4" t="n"/>
      <c r="D318" s="4" t="n"/>
    </row>
    <row r="319" ht="15.75" customHeight="1" s="40">
      <c r="A319" s="4" t="n"/>
      <c r="B319" s="4" t="n"/>
      <c r="C319" s="4" t="n"/>
      <c r="D319" s="4" t="n"/>
    </row>
    <row r="320" ht="15.75" customHeight="1" s="40">
      <c r="A320" s="4" t="n"/>
      <c r="B320" s="4" t="n"/>
      <c r="C320" s="4" t="n"/>
      <c r="D320" s="4" t="n"/>
    </row>
    <row r="321" ht="15.75" customHeight="1" s="40">
      <c r="A321" s="4" t="n"/>
      <c r="B321" s="4" t="n"/>
      <c r="C321" s="4" t="n"/>
      <c r="D321" s="4" t="n"/>
    </row>
    <row r="322" ht="15.75" customHeight="1" s="40">
      <c r="A322" s="4" t="n"/>
      <c r="B322" s="4" t="n"/>
      <c r="C322" s="4" t="n"/>
      <c r="D322" s="4" t="n"/>
    </row>
    <row r="323" ht="15.75" customHeight="1" s="40">
      <c r="A323" s="4" t="n"/>
      <c r="B323" s="4" t="n"/>
      <c r="C323" s="4" t="n"/>
      <c r="D323" s="4" t="n"/>
    </row>
    <row r="324" ht="15.75" customHeight="1" s="40">
      <c r="A324" s="4" t="n"/>
      <c r="B324" s="4" t="n"/>
      <c r="C324" s="4" t="n"/>
      <c r="D324" s="4" t="n"/>
    </row>
    <row r="325" ht="15.75" customHeight="1" s="40">
      <c r="A325" s="4" t="n"/>
      <c r="B325" s="4" t="n"/>
      <c r="C325" s="4" t="n"/>
      <c r="D325" s="4" t="n"/>
    </row>
    <row r="326" ht="15.75" customHeight="1" s="40">
      <c r="A326" s="4" t="n"/>
      <c r="B326" s="4" t="n"/>
      <c r="C326" s="4" t="n"/>
      <c r="D326" s="4" t="n"/>
    </row>
    <row r="327" ht="15.75" customHeight="1" s="40">
      <c r="A327" s="4" t="n"/>
      <c r="B327" s="4" t="n"/>
      <c r="C327" s="4" t="n"/>
      <c r="D327" s="4" t="n"/>
    </row>
    <row r="328" ht="15.75" customHeight="1" s="40">
      <c r="A328" s="4" t="n"/>
      <c r="B328" s="4" t="n"/>
      <c r="C328" s="4" t="n"/>
      <c r="D328" s="4" t="n"/>
    </row>
    <row r="329" ht="15.75" customHeight="1" s="40">
      <c r="A329" s="4" t="n"/>
      <c r="B329" s="4" t="n"/>
      <c r="C329" s="4" t="n"/>
      <c r="D329" s="4" t="n"/>
    </row>
    <row r="330" ht="15.75" customHeight="1" s="40">
      <c r="A330" s="4" t="n"/>
      <c r="B330" s="4" t="n"/>
      <c r="C330" s="4" t="n"/>
      <c r="D330" s="4" t="n"/>
    </row>
    <row r="331" ht="15.75" customHeight="1" s="40">
      <c r="A331" s="4" t="n"/>
      <c r="B331" s="4" t="n"/>
      <c r="C331" s="4" t="n"/>
      <c r="D331" s="4" t="n"/>
    </row>
    <row r="332" ht="15.75" customHeight="1" s="40">
      <c r="A332" s="4" t="n"/>
      <c r="B332" s="4" t="n"/>
      <c r="C332" s="4" t="n"/>
      <c r="D332" s="4" t="n"/>
    </row>
    <row r="333" ht="15.75" customHeight="1" s="40">
      <c r="A333" s="4" t="n"/>
      <c r="B333" s="4" t="n"/>
      <c r="C333" s="4" t="n"/>
      <c r="D333" s="4" t="n"/>
    </row>
    <row r="334" ht="15.75" customHeight="1" s="40">
      <c r="A334" s="4" t="n"/>
      <c r="B334" s="4" t="n"/>
      <c r="C334" s="4" t="n"/>
      <c r="D334" s="4" t="n"/>
    </row>
    <row r="335" ht="15.75" customHeight="1" s="40">
      <c r="A335" s="4" t="n"/>
      <c r="B335" s="4" t="n"/>
      <c r="C335" s="4" t="n"/>
      <c r="D335" s="4" t="n"/>
    </row>
    <row r="336" ht="15.75" customHeight="1" s="40">
      <c r="A336" s="4" t="n"/>
      <c r="B336" s="4" t="n"/>
      <c r="C336" s="4" t="n"/>
      <c r="D336" s="4" t="n"/>
    </row>
    <row r="337" ht="15.75" customHeight="1" s="40">
      <c r="A337" s="4" t="n"/>
      <c r="B337" s="4" t="n"/>
      <c r="C337" s="4" t="n"/>
      <c r="D337" s="4" t="n"/>
    </row>
    <row r="338" ht="15.75" customHeight="1" s="40">
      <c r="A338" s="4" t="n"/>
      <c r="B338" s="4" t="n"/>
      <c r="C338" s="4" t="n"/>
      <c r="D338" s="4" t="n"/>
    </row>
    <row r="339" ht="15.75" customHeight="1" s="40">
      <c r="A339" s="4" t="n"/>
      <c r="B339" s="4" t="n"/>
      <c r="C339" s="4" t="n"/>
      <c r="D339" s="4" t="n"/>
    </row>
    <row r="340" ht="15.75" customHeight="1" s="40">
      <c r="A340" s="4" t="n"/>
      <c r="B340" s="4" t="n"/>
      <c r="C340" s="4" t="n"/>
      <c r="D340" s="4" t="n"/>
    </row>
    <row r="341" ht="15.75" customHeight="1" s="40">
      <c r="A341" s="4" t="n"/>
      <c r="B341" s="4" t="n"/>
      <c r="C341" s="4" t="n"/>
      <c r="D341" s="4" t="n"/>
    </row>
    <row r="342" ht="15.75" customHeight="1" s="40">
      <c r="A342" s="4" t="n"/>
      <c r="B342" s="4" t="n"/>
      <c r="C342" s="4" t="n"/>
      <c r="D342" s="4" t="n"/>
    </row>
    <row r="343" ht="15.75" customHeight="1" s="40">
      <c r="A343" s="4" t="n"/>
      <c r="B343" s="4" t="n"/>
      <c r="C343" s="4" t="n"/>
      <c r="D343" s="4" t="n"/>
    </row>
    <row r="344" ht="15.75" customHeight="1" s="40">
      <c r="A344" s="4" t="n"/>
      <c r="B344" s="4" t="n"/>
      <c r="C344" s="4" t="n"/>
      <c r="D344" s="4" t="n"/>
    </row>
    <row r="345" ht="15.75" customHeight="1" s="40">
      <c r="A345" s="4" t="n"/>
      <c r="B345" s="4" t="n"/>
      <c r="C345" s="4" t="n"/>
      <c r="D345" s="4" t="n"/>
    </row>
    <row r="346" ht="15.75" customHeight="1" s="40">
      <c r="A346" s="4" t="n"/>
      <c r="B346" s="4" t="n"/>
      <c r="C346" s="4" t="n"/>
      <c r="D346" s="4" t="n"/>
    </row>
    <row r="347" ht="15.75" customHeight="1" s="40">
      <c r="A347" s="4" t="n"/>
      <c r="B347" s="4" t="n"/>
      <c r="C347" s="4" t="n"/>
      <c r="D347" s="4" t="n"/>
    </row>
    <row r="348" ht="15.75" customHeight="1" s="40">
      <c r="A348" s="4" t="n"/>
      <c r="B348" s="4" t="n"/>
      <c r="C348" s="4" t="n"/>
      <c r="D348" s="4" t="n"/>
    </row>
    <row r="349" ht="15.75" customHeight="1" s="40">
      <c r="A349" s="4" t="n"/>
      <c r="B349" s="4" t="n"/>
      <c r="C349" s="4" t="n"/>
      <c r="D349" s="4" t="n"/>
    </row>
    <row r="350" ht="15.75" customHeight="1" s="40">
      <c r="A350" s="4" t="n"/>
      <c r="B350" s="4" t="n"/>
      <c r="C350" s="4" t="n"/>
      <c r="D350" s="4" t="n"/>
    </row>
    <row r="351" ht="15.75" customHeight="1" s="40">
      <c r="A351" s="4" t="n"/>
      <c r="B351" s="4" t="n"/>
      <c r="C351" s="4" t="n"/>
      <c r="D351" s="4" t="n"/>
    </row>
    <row r="352" ht="15.75" customHeight="1" s="40">
      <c r="A352" s="4" t="n"/>
      <c r="B352" s="4" t="n"/>
      <c r="C352" s="4" t="n"/>
      <c r="D352" s="4" t="n"/>
    </row>
    <row r="353" ht="15.75" customHeight="1" s="40">
      <c r="A353" s="4" t="n"/>
      <c r="B353" s="4" t="n"/>
      <c r="C353" s="4" t="n"/>
      <c r="D353" s="4" t="n"/>
    </row>
    <row r="354" ht="15.75" customHeight="1" s="40">
      <c r="A354" s="4" t="n"/>
      <c r="B354" s="4" t="n"/>
      <c r="C354" s="4" t="n"/>
      <c r="D354" s="4" t="n"/>
    </row>
    <row r="355" ht="15.75" customHeight="1" s="40">
      <c r="A355" s="4" t="n"/>
      <c r="B355" s="4" t="n"/>
      <c r="C355" s="4" t="n"/>
      <c r="D355" s="4" t="n"/>
    </row>
    <row r="356" ht="15.75" customHeight="1" s="40">
      <c r="A356" s="4" t="n"/>
      <c r="B356" s="4" t="n"/>
      <c r="C356" s="4" t="n"/>
      <c r="D356" s="4" t="n"/>
    </row>
    <row r="357" ht="15.75" customHeight="1" s="40">
      <c r="A357" s="4" t="n"/>
      <c r="B357" s="4" t="n"/>
      <c r="C357" s="4" t="n"/>
      <c r="D357" s="4" t="n"/>
    </row>
    <row r="358" ht="15.75" customHeight="1" s="40">
      <c r="A358" s="4" t="n"/>
      <c r="B358" s="4" t="n"/>
      <c r="C358" s="4" t="n"/>
      <c r="D358" s="4" t="n"/>
    </row>
    <row r="359" ht="15.75" customHeight="1" s="40">
      <c r="A359" s="4" t="n"/>
      <c r="B359" s="4" t="n"/>
      <c r="C359" s="4" t="n"/>
      <c r="D359" s="4" t="n"/>
    </row>
    <row r="360" ht="15.75" customHeight="1" s="40">
      <c r="A360" s="4" t="n"/>
      <c r="B360" s="4" t="n"/>
      <c r="C360" s="4" t="n"/>
      <c r="D360" s="4" t="n"/>
    </row>
    <row r="361" ht="15.75" customHeight="1" s="40">
      <c r="A361" s="4" t="n"/>
      <c r="B361" s="4" t="n"/>
      <c r="C361" s="4" t="n"/>
      <c r="D361" s="4" t="n"/>
    </row>
    <row r="362" ht="15.75" customHeight="1" s="40">
      <c r="A362" s="4" t="n"/>
      <c r="B362" s="4" t="n"/>
      <c r="C362" s="4" t="n"/>
      <c r="D362" s="4" t="n"/>
    </row>
    <row r="363" ht="15.75" customHeight="1" s="40">
      <c r="A363" s="4" t="n"/>
      <c r="B363" s="4" t="n"/>
      <c r="C363" s="4" t="n"/>
      <c r="D363" s="4" t="n"/>
    </row>
    <row r="364" ht="15.75" customHeight="1" s="40">
      <c r="A364" s="4" t="n"/>
      <c r="B364" s="4" t="n"/>
      <c r="C364" s="4" t="n"/>
      <c r="D364" s="4" t="n"/>
    </row>
    <row r="365" ht="15.75" customHeight="1" s="40">
      <c r="A365" s="4" t="n"/>
      <c r="B365" s="4" t="n"/>
      <c r="C365" s="4" t="n"/>
      <c r="D365" s="4" t="n"/>
    </row>
    <row r="366" ht="15.75" customHeight="1" s="40">
      <c r="A366" s="4" t="n"/>
      <c r="B366" s="4" t="n"/>
      <c r="C366" s="4" t="n"/>
      <c r="D366" s="4" t="n"/>
    </row>
    <row r="367" ht="15.75" customHeight="1" s="40">
      <c r="A367" s="4" t="n"/>
      <c r="B367" s="4" t="n"/>
      <c r="C367" s="4" t="n"/>
      <c r="D367" s="4" t="n"/>
    </row>
    <row r="368" ht="15.75" customHeight="1" s="40">
      <c r="A368" s="4" t="n"/>
      <c r="B368" s="4" t="n"/>
      <c r="C368" s="4" t="n"/>
      <c r="D368" s="4" t="n"/>
    </row>
    <row r="369" ht="15.75" customHeight="1" s="40">
      <c r="A369" s="4" t="n"/>
      <c r="B369" s="4" t="n"/>
      <c r="C369" s="4" t="n"/>
      <c r="D369" s="4" t="n"/>
    </row>
    <row r="370" ht="15.75" customHeight="1" s="40">
      <c r="A370" s="4" t="n"/>
      <c r="B370" s="4" t="n"/>
      <c r="C370" s="4" t="n"/>
      <c r="D370" s="4" t="n"/>
    </row>
    <row r="371" ht="15.75" customHeight="1" s="40">
      <c r="A371" s="4" t="n"/>
      <c r="B371" s="4" t="n"/>
      <c r="C371" s="4" t="n"/>
      <c r="D371" s="4" t="n"/>
    </row>
    <row r="372" ht="15.75" customHeight="1" s="40">
      <c r="A372" s="4" t="n"/>
      <c r="B372" s="4" t="n"/>
      <c r="C372" s="4" t="n"/>
      <c r="D372" s="4" t="n"/>
    </row>
    <row r="373" ht="15.75" customHeight="1" s="40">
      <c r="A373" s="4" t="n"/>
      <c r="B373" s="4" t="n"/>
      <c r="C373" s="4" t="n"/>
      <c r="D373" s="4" t="n"/>
    </row>
    <row r="374" ht="15.75" customHeight="1" s="40">
      <c r="A374" s="4" t="n"/>
      <c r="B374" s="4" t="n"/>
      <c r="C374" s="4" t="n"/>
      <c r="D374" s="4" t="n"/>
    </row>
    <row r="375" ht="15.75" customHeight="1" s="40">
      <c r="A375" s="4" t="n"/>
      <c r="B375" s="4" t="n"/>
      <c r="C375" s="4" t="n"/>
      <c r="D375" s="4" t="n"/>
    </row>
    <row r="376" ht="15.75" customHeight="1" s="40">
      <c r="A376" s="4" t="n"/>
      <c r="B376" s="4" t="n"/>
      <c r="C376" s="4" t="n"/>
      <c r="D376" s="4" t="n"/>
    </row>
    <row r="377" ht="15.75" customHeight="1" s="40">
      <c r="A377" s="4" t="n"/>
      <c r="B377" s="4" t="n"/>
      <c r="C377" s="4" t="n"/>
      <c r="D377" s="4" t="n"/>
    </row>
    <row r="378" ht="15.75" customHeight="1" s="40">
      <c r="A378" s="4" t="n"/>
      <c r="B378" s="4" t="n"/>
      <c r="C378" s="4" t="n"/>
      <c r="D378" s="4" t="n"/>
    </row>
    <row r="379" ht="15.75" customHeight="1" s="40">
      <c r="A379" s="4" t="n"/>
      <c r="B379" s="4" t="n"/>
      <c r="C379" s="4" t="n"/>
      <c r="D379" s="4" t="n"/>
    </row>
    <row r="380" ht="15.75" customHeight="1" s="40">
      <c r="A380" s="4" t="n"/>
      <c r="B380" s="4" t="n"/>
      <c r="C380" s="4" t="n"/>
      <c r="D380" s="4" t="n"/>
    </row>
    <row r="381" ht="15.75" customHeight="1" s="40">
      <c r="A381" s="4" t="n"/>
      <c r="B381" s="4" t="n"/>
      <c r="C381" s="4" t="n"/>
      <c r="D381" s="4" t="n"/>
    </row>
    <row r="382" ht="15.75" customHeight="1" s="40">
      <c r="A382" s="4" t="n"/>
      <c r="B382" s="4" t="n"/>
      <c r="C382" s="4" t="n"/>
      <c r="D382" s="4" t="n"/>
    </row>
    <row r="383" ht="15.75" customHeight="1" s="40">
      <c r="A383" s="4" t="n"/>
      <c r="B383" s="4" t="n"/>
      <c r="C383" s="4" t="n"/>
      <c r="D383" s="4" t="n"/>
    </row>
    <row r="384" ht="15.75" customHeight="1" s="40">
      <c r="A384" s="4" t="n"/>
      <c r="B384" s="4" t="n"/>
      <c r="C384" s="4" t="n"/>
      <c r="D384" s="4" t="n"/>
    </row>
    <row r="385" ht="15.75" customHeight="1" s="40">
      <c r="A385" s="4" t="n"/>
      <c r="B385" s="4" t="n"/>
      <c r="C385" s="4" t="n"/>
      <c r="D385" s="4" t="n"/>
    </row>
    <row r="386" ht="15.75" customHeight="1" s="40">
      <c r="A386" s="4" t="n"/>
      <c r="B386" s="4" t="n"/>
      <c r="C386" s="4" t="n"/>
      <c r="D386" s="4" t="n"/>
    </row>
    <row r="387" ht="15.75" customHeight="1" s="40">
      <c r="A387" s="4" t="n"/>
      <c r="B387" s="4" t="n"/>
      <c r="C387" s="4" t="n"/>
      <c r="D387" s="4" t="n"/>
    </row>
    <row r="388" ht="15.75" customHeight="1" s="40">
      <c r="A388" s="4" t="n"/>
      <c r="B388" s="4" t="n"/>
      <c r="C388" s="4" t="n"/>
      <c r="D388" s="4" t="n"/>
    </row>
    <row r="389" ht="15.75" customHeight="1" s="40">
      <c r="A389" s="4" t="n"/>
      <c r="B389" s="4" t="n"/>
      <c r="C389" s="4" t="n"/>
      <c r="D389" s="4" t="n"/>
    </row>
    <row r="390" ht="15.75" customHeight="1" s="40">
      <c r="A390" s="4" t="n"/>
      <c r="B390" s="4" t="n"/>
      <c r="C390" s="4" t="n"/>
      <c r="D390" s="4" t="n"/>
    </row>
    <row r="391" ht="15.75" customHeight="1" s="40">
      <c r="A391" s="4" t="n"/>
      <c r="B391" s="4" t="n"/>
      <c r="C391" s="4" t="n"/>
      <c r="D391" s="4" t="n"/>
    </row>
    <row r="392" ht="15.75" customHeight="1" s="40">
      <c r="A392" s="4" t="n"/>
      <c r="B392" s="4" t="n"/>
      <c r="C392" s="4" t="n"/>
      <c r="D392" s="4" t="n"/>
    </row>
    <row r="393" ht="15.75" customHeight="1" s="40">
      <c r="A393" s="4" t="n"/>
      <c r="B393" s="4" t="n"/>
      <c r="C393" s="4" t="n"/>
      <c r="D393" s="4" t="n"/>
    </row>
    <row r="394" ht="15.75" customHeight="1" s="40">
      <c r="A394" s="4" t="n"/>
      <c r="B394" s="4" t="n"/>
      <c r="C394" s="4" t="n"/>
      <c r="D394" s="4" t="n"/>
    </row>
    <row r="395" ht="15.75" customHeight="1" s="40">
      <c r="A395" s="4" t="n"/>
      <c r="B395" s="4" t="n"/>
      <c r="C395" s="4" t="n"/>
      <c r="D395" s="4" t="n"/>
    </row>
    <row r="396" ht="15.75" customHeight="1" s="40">
      <c r="A396" s="4" t="n"/>
      <c r="B396" s="4" t="n"/>
      <c r="C396" s="4" t="n"/>
      <c r="D396" s="4" t="n"/>
    </row>
    <row r="397" ht="15.75" customHeight="1" s="40">
      <c r="A397" s="4" t="n"/>
      <c r="B397" s="4" t="n"/>
      <c r="C397" s="4" t="n"/>
      <c r="D397" s="4" t="n"/>
    </row>
    <row r="398" ht="15.75" customHeight="1" s="40">
      <c r="A398" s="4" t="n"/>
      <c r="B398" s="4" t="n"/>
      <c r="C398" s="4" t="n"/>
      <c r="D398" s="4" t="n"/>
    </row>
    <row r="399" ht="15.75" customHeight="1" s="40">
      <c r="A399" s="4" t="n"/>
      <c r="B399" s="4" t="n"/>
      <c r="C399" s="4" t="n"/>
      <c r="D399" s="4" t="n"/>
    </row>
    <row r="400" ht="15.75" customHeight="1" s="40">
      <c r="A400" s="4" t="n"/>
      <c r="B400" s="4" t="n"/>
      <c r="C400" s="4" t="n"/>
      <c r="D400" s="4" t="n"/>
    </row>
    <row r="401" ht="15.75" customHeight="1" s="40">
      <c r="A401" s="4" t="n"/>
      <c r="B401" s="4" t="n"/>
      <c r="C401" s="4" t="n"/>
      <c r="D401" s="4" t="n"/>
    </row>
    <row r="402" ht="15.75" customHeight="1" s="40">
      <c r="A402" s="4" t="n"/>
      <c r="B402" s="4" t="n"/>
      <c r="C402" s="4" t="n"/>
      <c r="D402" s="4" t="n"/>
    </row>
    <row r="403" ht="15.75" customHeight="1" s="40">
      <c r="A403" s="4" t="n"/>
      <c r="B403" s="4" t="n"/>
      <c r="C403" s="4" t="n"/>
      <c r="D403" s="4" t="n"/>
    </row>
    <row r="404" ht="15.75" customHeight="1" s="40">
      <c r="A404" s="4" t="n"/>
      <c r="B404" s="4" t="n"/>
      <c r="C404" s="4" t="n"/>
      <c r="D404" s="4" t="n"/>
    </row>
    <row r="405" ht="15.75" customHeight="1" s="40">
      <c r="A405" s="4" t="n"/>
      <c r="B405" s="4" t="n"/>
      <c r="C405" s="4" t="n"/>
      <c r="D405" s="4" t="n"/>
    </row>
    <row r="406" ht="15.75" customHeight="1" s="40">
      <c r="A406" s="4" t="n"/>
      <c r="B406" s="4" t="n"/>
      <c r="C406" s="4" t="n"/>
      <c r="D406" s="4" t="n"/>
    </row>
    <row r="407" ht="15.75" customHeight="1" s="40">
      <c r="A407" s="4" t="n"/>
      <c r="B407" s="4" t="n"/>
      <c r="C407" s="4" t="n"/>
      <c r="D407" s="4" t="n"/>
    </row>
    <row r="408" ht="15.75" customHeight="1" s="40">
      <c r="A408" s="4" t="n"/>
      <c r="B408" s="4" t="n"/>
      <c r="C408" s="4" t="n"/>
      <c r="D408" s="4" t="n"/>
    </row>
    <row r="409" ht="15.75" customHeight="1" s="40">
      <c r="A409" s="4" t="n"/>
      <c r="B409" s="4" t="n"/>
      <c r="C409" s="4" t="n"/>
      <c r="D409" s="4" t="n"/>
    </row>
    <row r="410" ht="15.75" customHeight="1" s="40">
      <c r="A410" s="4" t="n"/>
      <c r="B410" s="4" t="n"/>
      <c r="C410" s="4" t="n"/>
      <c r="D410" s="4" t="n"/>
    </row>
    <row r="411" ht="15.75" customHeight="1" s="40">
      <c r="A411" s="4" t="n"/>
      <c r="B411" s="4" t="n"/>
      <c r="C411" s="4" t="n"/>
      <c r="D411" s="4" t="n"/>
    </row>
    <row r="412" ht="15.75" customHeight="1" s="40">
      <c r="A412" s="4" t="n"/>
      <c r="B412" s="4" t="n"/>
      <c r="C412" s="4" t="n"/>
      <c r="D412" s="4" t="n"/>
    </row>
    <row r="413" ht="15.75" customHeight="1" s="40">
      <c r="A413" s="4" t="n"/>
      <c r="B413" s="4" t="n"/>
      <c r="C413" s="4" t="n"/>
      <c r="D413" s="4" t="n"/>
    </row>
    <row r="414" ht="15.75" customHeight="1" s="40">
      <c r="A414" s="4" t="n"/>
      <c r="B414" s="4" t="n"/>
      <c r="C414" s="4" t="n"/>
      <c r="D414" s="4" t="n"/>
    </row>
    <row r="415" ht="15.75" customHeight="1" s="40">
      <c r="A415" s="4" t="n"/>
      <c r="B415" s="4" t="n"/>
      <c r="C415" s="4" t="n"/>
      <c r="D415" s="4" t="n"/>
    </row>
    <row r="416" ht="15.75" customHeight="1" s="40">
      <c r="A416" s="4" t="n"/>
      <c r="B416" s="4" t="n"/>
      <c r="C416" s="4" t="n"/>
      <c r="D416" s="4" t="n"/>
    </row>
    <row r="417" ht="15.75" customHeight="1" s="40">
      <c r="A417" s="4" t="n"/>
      <c r="B417" s="4" t="n"/>
      <c r="C417" s="4" t="n"/>
      <c r="D417" s="4" t="n"/>
    </row>
    <row r="418" ht="15.75" customHeight="1" s="40">
      <c r="A418" s="4" t="n"/>
      <c r="B418" s="4" t="n"/>
      <c r="C418" s="4" t="n"/>
      <c r="D418" s="4" t="n"/>
    </row>
    <row r="419" ht="15.75" customHeight="1" s="40">
      <c r="A419" s="4" t="n"/>
      <c r="B419" s="4" t="n"/>
      <c r="C419" s="4" t="n"/>
      <c r="D419" s="4" t="n"/>
    </row>
    <row r="420" ht="15.75" customHeight="1" s="40">
      <c r="A420" s="4" t="n"/>
      <c r="B420" s="4" t="n"/>
      <c r="C420" s="4" t="n"/>
      <c r="D420" s="4" t="n"/>
    </row>
    <row r="421" ht="15.75" customHeight="1" s="40">
      <c r="A421" s="4" t="n"/>
      <c r="B421" s="4" t="n"/>
      <c r="C421" s="4" t="n"/>
      <c r="D421" s="4" t="n"/>
    </row>
    <row r="422" ht="15.75" customHeight="1" s="40">
      <c r="A422" s="4" t="n"/>
      <c r="B422" s="4" t="n"/>
      <c r="C422" s="4" t="n"/>
      <c r="D422" s="4" t="n"/>
    </row>
    <row r="423" ht="15.75" customHeight="1" s="40">
      <c r="A423" s="4" t="n"/>
      <c r="B423" s="4" t="n"/>
      <c r="C423" s="4" t="n"/>
      <c r="D423" s="4" t="n"/>
    </row>
    <row r="424" ht="15.75" customHeight="1" s="40">
      <c r="A424" s="4" t="n"/>
      <c r="B424" s="4" t="n"/>
      <c r="C424" s="4" t="n"/>
      <c r="D424" s="4" t="n"/>
    </row>
    <row r="425" ht="15.75" customHeight="1" s="40">
      <c r="A425" s="4" t="n"/>
      <c r="B425" s="4" t="n"/>
      <c r="C425" s="4" t="n"/>
      <c r="D425" s="4" t="n"/>
    </row>
    <row r="426" ht="15.75" customHeight="1" s="40">
      <c r="A426" s="4" t="n"/>
      <c r="B426" s="4" t="n"/>
      <c r="C426" s="4" t="n"/>
      <c r="D426" s="4" t="n"/>
    </row>
    <row r="427" ht="15.75" customHeight="1" s="40">
      <c r="A427" s="4" t="n"/>
      <c r="B427" s="4" t="n"/>
      <c r="C427" s="4" t="n"/>
      <c r="D427" s="4" t="n"/>
    </row>
    <row r="428" ht="15.75" customHeight="1" s="40">
      <c r="A428" s="4" t="n"/>
      <c r="B428" s="4" t="n"/>
      <c r="C428" s="4" t="n"/>
      <c r="D428" s="4" t="n"/>
    </row>
    <row r="429" ht="15.75" customHeight="1" s="40">
      <c r="A429" s="4" t="n"/>
      <c r="B429" s="4" t="n"/>
      <c r="C429" s="4" t="n"/>
      <c r="D429" s="4" t="n"/>
    </row>
    <row r="430" ht="15.75" customHeight="1" s="40">
      <c r="A430" s="4" t="n"/>
      <c r="B430" s="4" t="n"/>
      <c r="C430" s="4" t="n"/>
      <c r="D430" s="4" t="n"/>
    </row>
    <row r="431" ht="15.75" customHeight="1" s="40">
      <c r="A431" s="4" t="n"/>
      <c r="B431" s="4" t="n"/>
      <c r="C431" s="4" t="n"/>
      <c r="D431" s="4" t="n"/>
    </row>
    <row r="432" ht="15.75" customHeight="1" s="40">
      <c r="A432" s="4" t="n"/>
      <c r="B432" s="4" t="n"/>
      <c r="C432" s="4" t="n"/>
      <c r="D432" s="4" t="n"/>
    </row>
    <row r="433" ht="15.75" customHeight="1" s="40">
      <c r="A433" s="4" t="n"/>
      <c r="B433" s="4" t="n"/>
      <c r="C433" s="4" t="n"/>
      <c r="D433" s="4" t="n"/>
    </row>
    <row r="434" ht="15.75" customHeight="1" s="40">
      <c r="A434" s="4" t="n"/>
      <c r="B434" s="4" t="n"/>
      <c r="C434" s="4" t="n"/>
      <c r="D434" s="4" t="n"/>
    </row>
    <row r="435" ht="15.75" customHeight="1" s="40">
      <c r="A435" s="4" t="n"/>
      <c r="B435" s="4" t="n"/>
      <c r="C435" s="4" t="n"/>
      <c r="D435" s="4" t="n"/>
    </row>
    <row r="436" ht="15.75" customHeight="1" s="40">
      <c r="A436" s="4" t="n"/>
      <c r="B436" s="4" t="n"/>
      <c r="C436" s="4" t="n"/>
      <c r="D436" s="4" t="n"/>
    </row>
    <row r="437" ht="15.75" customHeight="1" s="40">
      <c r="A437" s="4" t="n"/>
      <c r="B437" s="4" t="n"/>
      <c r="C437" s="4" t="n"/>
      <c r="D437" s="4" t="n"/>
    </row>
    <row r="438" ht="15.75" customHeight="1" s="40">
      <c r="A438" s="4" t="n"/>
      <c r="B438" s="4" t="n"/>
      <c r="C438" s="4" t="n"/>
      <c r="D438" s="4" t="n"/>
    </row>
    <row r="439" ht="15.75" customHeight="1" s="40">
      <c r="A439" s="4" t="n"/>
      <c r="B439" s="4" t="n"/>
      <c r="C439" s="4" t="n"/>
      <c r="D439" s="4" t="n"/>
    </row>
    <row r="440" ht="15.75" customHeight="1" s="40">
      <c r="A440" s="4" t="n"/>
      <c r="B440" s="4" t="n"/>
      <c r="C440" s="4" t="n"/>
      <c r="D440" s="4" t="n"/>
    </row>
    <row r="441" ht="15.75" customHeight="1" s="40">
      <c r="A441" s="4" t="n"/>
      <c r="B441" s="4" t="n"/>
      <c r="C441" s="4" t="n"/>
      <c r="D441" s="4" t="n"/>
    </row>
    <row r="442" ht="15.75" customHeight="1" s="40">
      <c r="A442" s="4" t="n"/>
      <c r="B442" s="4" t="n"/>
      <c r="C442" s="4" t="n"/>
      <c r="D442" s="4" t="n"/>
    </row>
    <row r="443" ht="15.75" customHeight="1" s="40">
      <c r="A443" s="4" t="n"/>
      <c r="B443" s="4" t="n"/>
      <c r="C443" s="4" t="n"/>
      <c r="D443" s="4" t="n"/>
    </row>
    <row r="444" ht="15.75" customHeight="1" s="40">
      <c r="A444" s="4" t="n"/>
      <c r="B444" s="4" t="n"/>
      <c r="C444" s="4" t="n"/>
      <c r="D444" s="4" t="n"/>
    </row>
    <row r="445" ht="15.75" customHeight="1" s="40">
      <c r="A445" s="4" t="n"/>
      <c r="B445" s="4" t="n"/>
      <c r="C445" s="4" t="n"/>
      <c r="D445" s="4" t="n"/>
    </row>
    <row r="446" ht="15.75" customHeight="1" s="40">
      <c r="A446" s="4" t="n"/>
      <c r="B446" s="4" t="n"/>
      <c r="C446" s="4" t="n"/>
      <c r="D446" s="4" t="n"/>
    </row>
    <row r="447" ht="15.75" customHeight="1" s="40">
      <c r="A447" s="4" t="n"/>
      <c r="B447" s="4" t="n"/>
      <c r="C447" s="4" t="n"/>
      <c r="D447" s="4" t="n"/>
    </row>
    <row r="448" ht="15.75" customHeight="1" s="40">
      <c r="A448" s="4" t="n"/>
      <c r="B448" s="4" t="n"/>
      <c r="C448" s="4" t="n"/>
      <c r="D448" s="4" t="n"/>
    </row>
    <row r="449" ht="15.75" customHeight="1" s="40">
      <c r="A449" s="4" t="n"/>
      <c r="B449" s="4" t="n"/>
      <c r="C449" s="4" t="n"/>
      <c r="D449" s="4" t="n"/>
    </row>
    <row r="450" ht="15.75" customHeight="1" s="40">
      <c r="A450" s="4" t="n"/>
      <c r="B450" s="4" t="n"/>
      <c r="C450" s="4" t="n"/>
      <c r="D450" s="4" t="n"/>
    </row>
    <row r="451" ht="15.75" customHeight="1" s="40">
      <c r="A451" s="4" t="n"/>
      <c r="B451" s="4" t="n"/>
      <c r="C451" s="4" t="n"/>
      <c r="D451" s="4" t="n"/>
    </row>
    <row r="452" ht="15.75" customHeight="1" s="40">
      <c r="A452" s="4" t="n"/>
      <c r="B452" s="4" t="n"/>
      <c r="C452" s="4" t="n"/>
      <c r="D452" s="4" t="n"/>
    </row>
    <row r="453" ht="15.75" customHeight="1" s="40">
      <c r="A453" s="4" t="n"/>
      <c r="B453" s="4" t="n"/>
      <c r="C453" s="4" t="n"/>
      <c r="D453" s="4" t="n"/>
    </row>
    <row r="454" ht="15.75" customHeight="1" s="40">
      <c r="A454" s="4" t="n"/>
      <c r="B454" s="4" t="n"/>
      <c r="C454" s="4" t="n"/>
      <c r="D454" s="4" t="n"/>
    </row>
    <row r="455" ht="15.75" customHeight="1" s="40">
      <c r="A455" s="4" t="n"/>
      <c r="B455" s="4" t="n"/>
      <c r="C455" s="4" t="n"/>
      <c r="D455" s="4" t="n"/>
    </row>
    <row r="456" ht="15.75" customHeight="1" s="40">
      <c r="A456" s="4" t="n"/>
      <c r="B456" s="4" t="n"/>
      <c r="C456" s="4" t="n"/>
      <c r="D456" s="4" t="n"/>
    </row>
    <row r="457" ht="15.75" customHeight="1" s="40">
      <c r="A457" s="4" t="n"/>
      <c r="B457" s="4" t="n"/>
      <c r="C457" s="4" t="n"/>
      <c r="D457" s="4" t="n"/>
    </row>
    <row r="458" ht="15.75" customHeight="1" s="40">
      <c r="A458" s="4" t="n"/>
      <c r="B458" s="4" t="n"/>
      <c r="C458" s="4" t="n"/>
      <c r="D458" s="4" t="n"/>
    </row>
    <row r="459" ht="15.75" customHeight="1" s="40">
      <c r="A459" s="4" t="n"/>
      <c r="B459" s="4" t="n"/>
      <c r="C459" s="4" t="n"/>
      <c r="D459" s="4" t="n"/>
    </row>
    <row r="460" ht="15.75" customHeight="1" s="40">
      <c r="A460" s="4" t="n"/>
      <c r="B460" s="4" t="n"/>
      <c r="C460" s="4" t="n"/>
      <c r="D460" s="4" t="n"/>
    </row>
    <row r="461" ht="15.75" customHeight="1" s="40">
      <c r="A461" s="4" t="n"/>
      <c r="B461" s="4" t="n"/>
      <c r="C461" s="4" t="n"/>
      <c r="D461" s="4" t="n"/>
    </row>
    <row r="462" ht="15.75" customHeight="1" s="40">
      <c r="A462" s="4" t="n"/>
      <c r="B462" s="4" t="n"/>
      <c r="C462" s="4" t="n"/>
      <c r="D462" s="4" t="n"/>
    </row>
    <row r="463" ht="15.75" customHeight="1" s="40">
      <c r="A463" s="4" t="n"/>
      <c r="B463" s="4" t="n"/>
      <c r="C463" s="4" t="n"/>
      <c r="D463" s="4" t="n"/>
    </row>
    <row r="464" ht="15.75" customHeight="1" s="40">
      <c r="A464" s="4" t="n"/>
      <c r="B464" s="4" t="n"/>
      <c r="C464" s="4" t="n"/>
      <c r="D464" s="4" t="n"/>
    </row>
    <row r="465" ht="15.75" customHeight="1" s="40">
      <c r="A465" s="4" t="n"/>
      <c r="B465" s="4" t="n"/>
      <c r="C465" s="4" t="n"/>
      <c r="D465" s="4" t="n"/>
    </row>
    <row r="466" ht="15.75" customHeight="1" s="40">
      <c r="A466" s="4" t="n"/>
      <c r="B466" s="4" t="n"/>
      <c r="C466" s="4" t="n"/>
      <c r="D466" s="4" t="n"/>
    </row>
    <row r="467" ht="15.75" customHeight="1" s="40">
      <c r="A467" s="4" t="n"/>
      <c r="B467" s="4" t="n"/>
      <c r="C467" s="4" t="n"/>
      <c r="D467" s="4" t="n"/>
    </row>
    <row r="468" ht="15.75" customHeight="1" s="40">
      <c r="A468" s="4" t="n"/>
      <c r="B468" s="4" t="n"/>
      <c r="C468" s="4" t="n"/>
      <c r="D468" s="4" t="n"/>
    </row>
    <row r="469" ht="15.75" customHeight="1" s="40">
      <c r="A469" s="4" t="n"/>
      <c r="B469" s="4" t="n"/>
      <c r="C469" s="4" t="n"/>
      <c r="D469" s="4" t="n"/>
    </row>
    <row r="470" ht="15.75" customHeight="1" s="40">
      <c r="A470" s="4" t="n"/>
      <c r="B470" s="4" t="n"/>
      <c r="C470" s="4" t="n"/>
      <c r="D470" s="4" t="n"/>
    </row>
    <row r="471" ht="15.75" customHeight="1" s="40">
      <c r="A471" s="4" t="n"/>
      <c r="B471" s="4" t="n"/>
      <c r="C471" s="4" t="n"/>
      <c r="D471" s="4" t="n"/>
    </row>
    <row r="472" ht="15.75" customHeight="1" s="40">
      <c r="A472" s="4" t="n"/>
      <c r="B472" s="4" t="n"/>
      <c r="C472" s="4" t="n"/>
      <c r="D472" s="4" t="n"/>
    </row>
    <row r="473" ht="15.75" customHeight="1" s="40">
      <c r="A473" s="4" t="n"/>
      <c r="B473" s="4" t="n"/>
      <c r="C473" s="4" t="n"/>
      <c r="D473" s="4" t="n"/>
    </row>
    <row r="474" ht="15.75" customHeight="1" s="40">
      <c r="A474" s="4" t="n"/>
      <c r="B474" s="4" t="n"/>
      <c r="C474" s="4" t="n"/>
      <c r="D474" s="4" t="n"/>
    </row>
    <row r="475" ht="15.75" customHeight="1" s="40">
      <c r="A475" s="4" t="n"/>
      <c r="B475" s="4" t="n"/>
      <c r="C475" s="4" t="n"/>
      <c r="D475" s="4" t="n"/>
    </row>
    <row r="476" ht="15.75" customHeight="1" s="40">
      <c r="A476" s="4" t="n"/>
      <c r="B476" s="4" t="n"/>
      <c r="C476" s="4" t="n"/>
      <c r="D476" s="4" t="n"/>
    </row>
    <row r="477" ht="15.75" customHeight="1" s="40">
      <c r="A477" s="4" t="n"/>
      <c r="B477" s="4" t="n"/>
      <c r="C477" s="4" t="n"/>
      <c r="D477" s="4" t="n"/>
    </row>
    <row r="478" ht="15.75" customHeight="1" s="40">
      <c r="A478" s="4" t="n"/>
      <c r="B478" s="4" t="n"/>
      <c r="C478" s="4" t="n"/>
      <c r="D478" s="4" t="n"/>
    </row>
    <row r="479" ht="15.75" customHeight="1" s="40">
      <c r="A479" s="4" t="n"/>
      <c r="B479" s="4" t="n"/>
      <c r="C479" s="4" t="n"/>
      <c r="D479" s="4" t="n"/>
    </row>
    <row r="480" ht="15.75" customHeight="1" s="40">
      <c r="A480" s="4" t="n"/>
      <c r="B480" s="4" t="n"/>
      <c r="C480" s="4" t="n"/>
      <c r="D480" s="4" t="n"/>
    </row>
    <row r="481" ht="15.75" customHeight="1" s="40">
      <c r="A481" s="4" t="n"/>
      <c r="B481" s="4" t="n"/>
      <c r="C481" s="4" t="n"/>
      <c r="D481" s="4" t="n"/>
    </row>
    <row r="482" ht="15.75" customHeight="1" s="40">
      <c r="A482" s="4" t="n"/>
      <c r="B482" s="4" t="n"/>
      <c r="C482" s="4" t="n"/>
      <c r="D482" s="4" t="n"/>
    </row>
    <row r="483" ht="15.75" customHeight="1" s="40">
      <c r="A483" s="4" t="n"/>
      <c r="B483" s="4" t="n"/>
      <c r="C483" s="4" t="n"/>
      <c r="D483" s="4" t="n"/>
    </row>
    <row r="484" ht="15.75" customHeight="1" s="40">
      <c r="A484" s="4" t="n"/>
      <c r="B484" s="4" t="n"/>
      <c r="C484" s="4" t="n"/>
      <c r="D484" s="4" t="n"/>
    </row>
    <row r="485" ht="15.75" customHeight="1" s="40">
      <c r="A485" s="4" t="n"/>
      <c r="B485" s="4" t="n"/>
      <c r="C485" s="4" t="n"/>
      <c r="D485" s="4" t="n"/>
    </row>
    <row r="486" ht="15.75" customHeight="1" s="40">
      <c r="A486" s="4" t="n"/>
      <c r="B486" s="4" t="n"/>
      <c r="C486" s="4" t="n"/>
      <c r="D486" s="4" t="n"/>
    </row>
    <row r="487" ht="15.75" customHeight="1" s="40">
      <c r="A487" s="4" t="n"/>
      <c r="B487" s="4" t="n"/>
      <c r="C487" s="4" t="n"/>
      <c r="D487" s="4" t="n"/>
    </row>
    <row r="488" ht="15.75" customHeight="1" s="40">
      <c r="A488" s="4" t="n"/>
      <c r="B488" s="4" t="n"/>
      <c r="C488" s="4" t="n"/>
      <c r="D488" s="4" t="n"/>
    </row>
    <row r="489" ht="15.75" customHeight="1" s="40">
      <c r="A489" s="4" t="n"/>
      <c r="B489" s="4" t="n"/>
      <c r="C489" s="4" t="n"/>
      <c r="D489" s="4" t="n"/>
    </row>
    <row r="490" ht="15.75" customHeight="1" s="40">
      <c r="A490" s="4" t="n"/>
      <c r="B490" s="4" t="n"/>
      <c r="C490" s="4" t="n"/>
      <c r="D490" s="4" t="n"/>
    </row>
    <row r="491" ht="15.75" customHeight="1" s="40">
      <c r="A491" s="4" t="n"/>
      <c r="B491" s="4" t="n"/>
      <c r="C491" s="4" t="n"/>
      <c r="D491" s="4" t="n"/>
    </row>
    <row r="492" ht="15.75" customHeight="1" s="40">
      <c r="A492" s="4" t="n"/>
      <c r="B492" s="4" t="n"/>
      <c r="C492" s="4" t="n"/>
      <c r="D492" s="4" t="n"/>
    </row>
    <row r="493" ht="15.75" customHeight="1" s="40">
      <c r="A493" s="4" t="n"/>
      <c r="B493" s="4" t="n"/>
      <c r="C493" s="4" t="n"/>
      <c r="D493" s="4" t="n"/>
    </row>
    <row r="494" ht="15.75" customHeight="1" s="40">
      <c r="A494" s="4" t="n"/>
      <c r="B494" s="4" t="n"/>
      <c r="C494" s="4" t="n"/>
      <c r="D494" s="4" t="n"/>
    </row>
    <row r="495" ht="15.75" customHeight="1" s="40">
      <c r="A495" s="4" t="n"/>
      <c r="B495" s="4" t="n"/>
      <c r="C495" s="4" t="n"/>
      <c r="D495" s="4" t="n"/>
    </row>
    <row r="496" ht="15.75" customHeight="1" s="40">
      <c r="A496" s="4" t="n"/>
      <c r="B496" s="4" t="n"/>
      <c r="C496" s="4" t="n"/>
      <c r="D496" s="4" t="n"/>
    </row>
    <row r="497" ht="15.75" customHeight="1" s="40">
      <c r="A497" s="4" t="n"/>
      <c r="B497" s="4" t="n"/>
      <c r="C497" s="4" t="n"/>
      <c r="D497" s="4" t="n"/>
    </row>
    <row r="498" ht="15.75" customHeight="1" s="40">
      <c r="A498" s="4" t="n"/>
      <c r="B498" s="4" t="n"/>
      <c r="C498" s="4" t="n"/>
      <c r="D498" s="4" t="n"/>
    </row>
    <row r="499" ht="15.75" customHeight="1" s="40">
      <c r="A499" s="4" t="n"/>
      <c r="B499" s="4" t="n"/>
      <c r="C499" s="4" t="n"/>
      <c r="D499" s="4" t="n"/>
    </row>
    <row r="500" ht="15.75" customHeight="1" s="40">
      <c r="A500" s="4" t="n"/>
      <c r="B500" s="4" t="n"/>
      <c r="C500" s="4" t="n"/>
      <c r="D500" s="4" t="n"/>
    </row>
    <row r="501" ht="15.75" customHeight="1" s="40">
      <c r="A501" s="4" t="n"/>
      <c r="B501" s="4" t="n"/>
      <c r="C501" s="4" t="n"/>
      <c r="D501" s="4" t="n"/>
    </row>
    <row r="502" ht="15.75" customHeight="1" s="40">
      <c r="A502" s="4" t="n"/>
      <c r="B502" s="4" t="n"/>
      <c r="C502" s="4" t="n"/>
      <c r="D502" s="4" t="n"/>
    </row>
    <row r="503" ht="15.75" customHeight="1" s="40">
      <c r="A503" s="4" t="n"/>
      <c r="B503" s="4" t="n"/>
      <c r="C503" s="4" t="n"/>
      <c r="D503" s="4" t="n"/>
    </row>
    <row r="504" ht="15.75" customHeight="1" s="40">
      <c r="A504" s="4" t="n"/>
      <c r="B504" s="4" t="n"/>
      <c r="C504" s="4" t="n"/>
      <c r="D504" s="4" t="n"/>
    </row>
    <row r="505" ht="15.75" customHeight="1" s="40">
      <c r="A505" s="4" t="n"/>
      <c r="B505" s="4" t="n"/>
      <c r="C505" s="4" t="n"/>
      <c r="D505" s="4" t="n"/>
    </row>
    <row r="506" ht="15.75" customHeight="1" s="40">
      <c r="A506" s="4" t="n"/>
      <c r="B506" s="4" t="n"/>
      <c r="C506" s="4" t="n"/>
      <c r="D506" s="4" t="n"/>
    </row>
    <row r="507" ht="15.75" customHeight="1" s="40">
      <c r="A507" s="4" t="n"/>
      <c r="B507" s="4" t="n"/>
      <c r="C507" s="4" t="n"/>
      <c r="D507" s="4" t="n"/>
    </row>
    <row r="508" ht="15.75" customHeight="1" s="40">
      <c r="A508" s="4" t="n"/>
      <c r="B508" s="4" t="n"/>
      <c r="C508" s="4" t="n"/>
      <c r="D508" s="4" t="n"/>
    </row>
    <row r="509" ht="15.75" customHeight="1" s="40">
      <c r="A509" s="4" t="n"/>
      <c r="B509" s="4" t="n"/>
      <c r="C509" s="4" t="n"/>
      <c r="D509" s="4" t="n"/>
    </row>
    <row r="510" ht="15.75" customHeight="1" s="40">
      <c r="A510" s="4" t="n"/>
      <c r="B510" s="4" t="n"/>
      <c r="C510" s="4" t="n"/>
      <c r="D510" s="4" t="n"/>
    </row>
    <row r="511" ht="15.75" customHeight="1" s="40">
      <c r="A511" s="4" t="n"/>
      <c r="B511" s="4" t="n"/>
      <c r="C511" s="4" t="n"/>
      <c r="D511" s="4" t="n"/>
    </row>
    <row r="512" ht="15.75" customHeight="1" s="40">
      <c r="A512" s="4" t="n"/>
      <c r="B512" s="4" t="n"/>
      <c r="C512" s="4" t="n"/>
      <c r="D512" s="4" t="n"/>
    </row>
    <row r="513" ht="15.75" customHeight="1" s="40">
      <c r="A513" s="4" t="n"/>
      <c r="B513" s="4" t="n"/>
      <c r="C513" s="4" t="n"/>
      <c r="D513" s="4" t="n"/>
    </row>
    <row r="514" ht="15.75" customHeight="1" s="40">
      <c r="A514" s="4" t="n"/>
      <c r="B514" s="4" t="n"/>
      <c r="C514" s="4" t="n"/>
      <c r="D514" s="4" t="n"/>
    </row>
    <row r="515" ht="15.75" customHeight="1" s="40">
      <c r="A515" s="4" t="n"/>
      <c r="B515" s="4" t="n"/>
      <c r="C515" s="4" t="n"/>
      <c r="D515" s="4" t="n"/>
    </row>
    <row r="516" ht="15.75" customHeight="1" s="40">
      <c r="A516" s="4" t="n"/>
      <c r="B516" s="4" t="n"/>
      <c r="C516" s="4" t="n"/>
      <c r="D516" s="4" t="n"/>
    </row>
    <row r="517" ht="15.75" customHeight="1" s="40">
      <c r="A517" s="4" t="n"/>
      <c r="B517" s="4" t="n"/>
      <c r="C517" s="4" t="n"/>
      <c r="D517" s="4" t="n"/>
    </row>
    <row r="518" ht="15.75" customHeight="1" s="40">
      <c r="A518" s="4" t="n"/>
      <c r="B518" s="4" t="n"/>
      <c r="C518" s="4" t="n"/>
      <c r="D518" s="4" t="n"/>
    </row>
    <row r="519" ht="15.75" customHeight="1" s="40">
      <c r="A519" s="4" t="n"/>
      <c r="B519" s="4" t="n"/>
      <c r="C519" s="4" t="n"/>
      <c r="D519" s="4" t="n"/>
    </row>
    <row r="520" ht="15.75" customHeight="1" s="40">
      <c r="A520" s="4" t="n"/>
      <c r="B520" s="4" t="n"/>
      <c r="C520" s="4" t="n"/>
      <c r="D520" s="4" t="n"/>
    </row>
    <row r="521" ht="15.75" customHeight="1" s="40">
      <c r="A521" s="4" t="n"/>
      <c r="B521" s="4" t="n"/>
      <c r="C521" s="4" t="n"/>
      <c r="D521" s="4" t="n"/>
    </row>
    <row r="522" ht="15.75" customHeight="1" s="40">
      <c r="A522" s="4" t="n"/>
      <c r="B522" s="4" t="n"/>
      <c r="C522" s="4" t="n"/>
      <c r="D522" s="4" t="n"/>
    </row>
    <row r="523" ht="15.75" customHeight="1" s="40">
      <c r="A523" s="4" t="n"/>
      <c r="B523" s="4" t="n"/>
      <c r="C523" s="4" t="n"/>
      <c r="D523" s="4" t="n"/>
    </row>
    <row r="524" ht="15.75" customHeight="1" s="40">
      <c r="A524" s="4" t="n"/>
      <c r="B524" s="4" t="n"/>
      <c r="C524" s="4" t="n"/>
      <c r="D524" s="4" t="n"/>
    </row>
    <row r="525" ht="15.75" customHeight="1" s="40">
      <c r="A525" s="4" t="n"/>
      <c r="B525" s="4" t="n"/>
      <c r="C525" s="4" t="n"/>
      <c r="D525" s="4" t="n"/>
    </row>
    <row r="526" ht="15.75" customHeight="1" s="40">
      <c r="A526" s="4" t="n"/>
      <c r="B526" s="4" t="n"/>
      <c r="C526" s="4" t="n"/>
      <c r="D526" s="4" t="n"/>
    </row>
    <row r="527" ht="15.75" customHeight="1" s="40">
      <c r="A527" s="4" t="n"/>
      <c r="B527" s="4" t="n"/>
      <c r="C527" s="4" t="n"/>
      <c r="D527" s="4" t="n"/>
    </row>
    <row r="528" ht="15.75" customHeight="1" s="40">
      <c r="A528" s="4" t="n"/>
      <c r="B528" s="4" t="n"/>
      <c r="C528" s="4" t="n"/>
      <c r="D528" s="4" t="n"/>
    </row>
    <row r="529" ht="15.75" customHeight="1" s="40">
      <c r="A529" s="4" t="n"/>
      <c r="B529" s="4" t="n"/>
      <c r="C529" s="4" t="n"/>
      <c r="D529" s="4" t="n"/>
    </row>
    <row r="530" ht="15.75" customHeight="1" s="40">
      <c r="A530" s="4" t="n"/>
      <c r="B530" s="4" t="n"/>
      <c r="C530" s="4" t="n"/>
      <c r="D530" s="4" t="n"/>
    </row>
    <row r="531" ht="15.75" customHeight="1" s="40">
      <c r="A531" s="4" t="n"/>
      <c r="B531" s="4" t="n"/>
      <c r="C531" s="4" t="n"/>
      <c r="D531" s="4" t="n"/>
    </row>
    <row r="532" ht="15.75" customHeight="1" s="40">
      <c r="A532" s="4" t="n"/>
      <c r="B532" s="4" t="n"/>
      <c r="C532" s="4" t="n"/>
      <c r="D532" s="4" t="n"/>
    </row>
    <row r="533" ht="15.75" customHeight="1" s="40">
      <c r="A533" s="4" t="n"/>
      <c r="B533" s="4" t="n"/>
      <c r="C533" s="4" t="n"/>
      <c r="D533" s="4" t="n"/>
    </row>
    <row r="534" ht="15.75" customHeight="1" s="40">
      <c r="A534" s="4" t="n"/>
      <c r="B534" s="4" t="n"/>
      <c r="C534" s="4" t="n"/>
      <c r="D534" s="4" t="n"/>
    </row>
    <row r="535" ht="15.75" customHeight="1" s="40">
      <c r="A535" s="4" t="n"/>
      <c r="B535" s="4" t="n"/>
      <c r="C535" s="4" t="n"/>
      <c r="D535" s="4" t="n"/>
    </row>
    <row r="536" ht="15.75" customHeight="1" s="40">
      <c r="A536" s="4" t="n"/>
      <c r="B536" s="4" t="n"/>
      <c r="C536" s="4" t="n"/>
      <c r="D536" s="4" t="n"/>
    </row>
    <row r="537" ht="15.75" customHeight="1" s="40">
      <c r="A537" s="4" t="n"/>
      <c r="B537" s="4" t="n"/>
      <c r="C537" s="4" t="n"/>
      <c r="D537" s="4" t="n"/>
    </row>
    <row r="538" ht="15.75" customHeight="1" s="40">
      <c r="A538" s="4" t="n"/>
      <c r="B538" s="4" t="n"/>
      <c r="C538" s="4" t="n"/>
      <c r="D538" s="4" t="n"/>
    </row>
    <row r="539" ht="15.75" customHeight="1" s="40">
      <c r="A539" s="4" t="n"/>
      <c r="B539" s="4" t="n"/>
      <c r="C539" s="4" t="n"/>
      <c r="D539" s="4" t="n"/>
    </row>
    <row r="540" ht="15.75" customHeight="1" s="40">
      <c r="A540" s="4" t="n"/>
      <c r="B540" s="4" t="n"/>
      <c r="C540" s="4" t="n"/>
      <c r="D540" s="4" t="n"/>
    </row>
    <row r="541" ht="15.75" customHeight="1" s="40">
      <c r="A541" s="4" t="n"/>
      <c r="B541" s="4" t="n"/>
      <c r="C541" s="4" t="n"/>
      <c r="D541" s="4" t="n"/>
    </row>
    <row r="542" ht="15.75" customHeight="1" s="40">
      <c r="A542" s="4" t="n"/>
      <c r="B542" s="4" t="n"/>
      <c r="C542" s="4" t="n"/>
      <c r="D542" s="4" t="n"/>
    </row>
    <row r="543" ht="15.75" customHeight="1" s="40">
      <c r="A543" s="4" t="n"/>
      <c r="B543" s="4" t="n"/>
      <c r="C543" s="4" t="n"/>
      <c r="D543" s="4" t="n"/>
    </row>
    <row r="544" ht="15.75" customHeight="1" s="40">
      <c r="A544" s="4" t="n"/>
      <c r="B544" s="4" t="n"/>
      <c r="C544" s="4" t="n"/>
      <c r="D544" s="4" t="n"/>
    </row>
    <row r="545" ht="15.75" customHeight="1" s="40">
      <c r="A545" s="4" t="n"/>
      <c r="B545" s="4" t="n"/>
      <c r="C545" s="4" t="n"/>
      <c r="D545" s="4" t="n"/>
    </row>
    <row r="546" ht="15.75" customHeight="1" s="40">
      <c r="A546" s="4" t="n"/>
      <c r="B546" s="4" t="n"/>
      <c r="C546" s="4" t="n"/>
      <c r="D546" s="4" t="n"/>
    </row>
    <row r="547" ht="15.75" customHeight="1" s="40">
      <c r="A547" s="4" t="n"/>
      <c r="B547" s="4" t="n"/>
      <c r="C547" s="4" t="n"/>
      <c r="D547" s="4" t="n"/>
    </row>
    <row r="548" ht="15.75" customHeight="1" s="40">
      <c r="A548" s="4" t="n"/>
      <c r="B548" s="4" t="n"/>
      <c r="C548" s="4" t="n"/>
      <c r="D548" s="4" t="n"/>
    </row>
    <row r="549" ht="15.75" customHeight="1" s="40">
      <c r="A549" s="4" t="n"/>
      <c r="B549" s="4" t="n"/>
      <c r="C549" s="4" t="n"/>
      <c r="D549" s="4" t="n"/>
    </row>
    <row r="550" ht="15.75" customHeight="1" s="40">
      <c r="A550" s="4" t="n"/>
      <c r="B550" s="4" t="n"/>
      <c r="C550" s="4" t="n"/>
      <c r="D550" s="4" t="n"/>
    </row>
    <row r="551" ht="15.75" customHeight="1" s="40">
      <c r="A551" s="4" t="n"/>
      <c r="B551" s="4" t="n"/>
      <c r="C551" s="4" t="n"/>
      <c r="D551" s="4" t="n"/>
    </row>
    <row r="552" ht="15.75" customHeight="1" s="40">
      <c r="A552" s="4" t="n"/>
      <c r="B552" s="4" t="n"/>
      <c r="C552" s="4" t="n"/>
      <c r="D552" s="4" t="n"/>
    </row>
    <row r="553" ht="15.75" customHeight="1" s="40">
      <c r="A553" s="4" t="n"/>
      <c r="B553" s="4" t="n"/>
      <c r="C553" s="4" t="n"/>
      <c r="D553" s="4" t="n"/>
    </row>
    <row r="554" ht="15.75" customHeight="1" s="40">
      <c r="A554" s="4" t="n"/>
      <c r="B554" s="4" t="n"/>
      <c r="C554" s="4" t="n"/>
      <c r="D554" s="4" t="n"/>
    </row>
    <row r="555" ht="15.75" customHeight="1" s="40">
      <c r="A555" s="4" t="n"/>
      <c r="B555" s="4" t="n"/>
      <c r="C555" s="4" t="n"/>
      <c r="D555" s="4" t="n"/>
    </row>
    <row r="556" ht="15.75" customHeight="1" s="40">
      <c r="A556" s="4" t="n"/>
      <c r="B556" s="4" t="n"/>
      <c r="C556" s="4" t="n"/>
      <c r="D556" s="4" t="n"/>
    </row>
    <row r="557" ht="15.75" customHeight="1" s="40">
      <c r="A557" s="4" t="n"/>
      <c r="B557" s="4" t="n"/>
      <c r="C557" s="4" t="n"/>
      <c r="D557" s="4" t="n"/>
    </row>
    <row r="558" ht="15.75" customHeight="1" s="40">
      <c r="A558" s="4" t="n"/>
      <c r="B558" s="4" t="n"/>
      <c r="C558" s="4" t="n"/>
      <c r="D558" s="4" t="n"/>
    </row>
    <row r="559" ht="15.75" customHeight="1" s="40">
      <c r="A559" s="4" t="n"/>
      <c r="B559" s="4" t="n"/>
      <c r="C559" s="4" t="n"/>
      <c r="D559" s="4" t="n"/>
    </row>
    <row r="560" ht="15.75" customHeight="1" s="40">
      <c r="A560" s="4" t="n"/>
      <c r="B560" s="4" t="n"/>
      <c r="C560" s="4" t="n"/>
      <c r="D560" s="4" t="n"/>
    </row>
    <row r="561" ht="15.75" customHeight="1" s="40">
      <c r="A561" s="4" t="n"/>
      <c r="B561" s="4" t="n"/>
      <c r="C561" s="4" t="n"/>
      <c r="D561" s="4" t="n"/>
    </row>
    <row r="562" ht="15.75" customHeight="1" s="40">
      <c r="A562" s="4" t="n"/>
      <c r="B562" s="4" t="n"/>
      <c r="C562" s="4" t="n"/>
      <c r="D562" s="4" t="n"/>
    </row>
    <row r="563" ht="15.75" customHeight="1" s="40">
      <c r="A563" s="4" t="n"/>
      <c r="B563" s="4" t="n"/>
      <c r="C563" s="4" t="n"/>
      <c r="D563" s="4" t="n"/>
    </row>
    <row r="564" ht="15.75" customHeight="1" s="40">
      <c r="A564" s="4" t="n"/>
      <c r="B564" s="4" t="n"/>
      <c r="C564" s="4" t="n"/>
      <c r="D564" s="4" t="n"/>
    </row>
    <row r="565" ht="15.75" customHeight="1" s="40">
      <c r="A565" s="4" t="n"/>
      <c r="B565" s="4" t="n"/>
      <c r="C565" s="4" t="n"/>
      <c r="D565" s="4" t="n"/>
    </row>
    <row r="566" ht="15.75" customHeight="1" s="40">
      <c r="A566" s="4" t="n"/>
      <c r="B566" s="4" t="n"/>
      <c r="C566" s="4" t="n"/>
      <c r="D566" s="4" t="n"/>
    </row>
    <row r="567" ht="15.75" customHeight="1" s="40">
      <c r="A567" s="4" t="n"/>
      <c r="B567" s="4" t="n"/>
      <c r="C567" s="4" t="n"/>
      <c r="D567" s="4" t="n"/>
    </row>
    <row r="568" ht="15.75" customHeight="1" s="40">
      <c r="A568" s="4" t="n"/>
      <c r="B568" s="4" t="n"/>
      <c r="C568" s="4" t="n"/>
      <c r="D568" s="4" t="n"/>
    </row>
    <row r="569" ht="15.75" customHeight="1" s="40">
      <c r="A569" s="4" t="n"/>
      <c r="B569" s="4" t="n"/>
      <c r="C569" s="4" t="n"/>
      <c r="D569" s="4" t="n"/>
    </row>
    <row r="570" ht="15.75" customHeight="1" s="40">
      <c r="A570" s="4" t="n"/>
      <c r="B570" s="4" t="n"/>
      <c r="C570" s="4" t="n"/>
      <c r="D570" s="4" t="n"/>
    </row>
    <row r="571" ht="15.75" customHeight="1" s="40">
      <c r="A571" s="4" t="n"/>
      <c r="B571" s="4" t="n"/>
      <c r="C571" s="4" t="n"/>
      <c r="D571" s="4" t="n"/>
    </row>
    <row r="572" ht="15.75" customHeight="1" s="40">
      <c r="A572" s="4" t="n"/>
      <c r="B572" s="4" t="n"/>
      <c r="C572" s="4" t="n"/>
      <c r="D572" s="4" t="n"/>
    </row>
    <row r="573" ht="15.75" customHeight="1" s="40">
      <c r="A573" s="4" t="n"/>
      <c r="B573" s="4" t="n"/>
      <c r="C573" s="4" t="n"/>
      <c r="D573" s="4" t="n"/>
    </row>
    <row r="574" ht="15.75" customHeight="1" s="40">
      <c r="A574" s="4" t="n"/>
      <c r="B574" s="4" t="n"/>
      <c r="C574" s="4" t="n"/>
      <c r="D574" s="4" t="n"/>
    </row>
    <row r="575" ht="15.75" customHeight="1" s="40">
      <c r="A575" s="4" t="n"/>
      <c r="B575" s="4" t="n"/>
      <c r="C575" s="4" t="n"/>
      <c r="D575" s="4" t="n"/>
    </row>
    <row r="576" ht="15.75" customHeight="1" s="40">
      <c r="A576" s="4" t="n"/>
      <c r="B576" s="4" t="n"/>
      <c r="C576" s="4" t="n"/>
      <c r="D576" s="4" t="n"/>
    </row>
    <row r="577" ht="15.75" customHeight="1" s="40">
      <c r="A577" s="4" t="n"/>
      <c r="B577" s="4" t="n"/>
      <c r="C577" s="4" t="n"/>
      <c r="D577" s="4" t="n"/>
    </row>
    <row r="578" ht="15.75" customHeight="1" s="40">
      <c r="A578" s="4" t="n"/>
      <c r="B578" s="4" t="n"/>
      <c r="C578" s="4" t="n"/>
      <c r="D578" s="4" t="n"/>
    </row>
    <row r="579" ht="15.75" customHeight="1" s="40">
      <c r="A579" s="4" t="n"/>
      <c r="B579" s="4" t="n"/>
      <c r="C579" s="4" t="n"/>
      <c r="D579" s="4" t="n"/>
    </row>
    <row r="580" ht="15.75" customHeight="1" s="40">
      <c r="A580" s="4" t="n"/>
      <c r="B580" s="4" t="n"/>
      <c r="C580" s="4" t="n"/>
      <c r="D580" s="4" t="n"/>
    </row>
    <row r="581" ht="15.75" customHeight="1" s="40">
      <c r="A581" s="4" t="n"/>
      <c r="B581" s="4" t="n"/>
      <c r="C581" s="4" t="n"/>
      <c r="D581" s="4" t="n"/>
    </row>
    <row r="582" ht="15.75" customHeight="1" s="40">
      <c r="A582" s="4" t="n"/>
      <c r="B582" s="4" t="n"/>
      <c r="C582" s="4" t="n"/>
      <c r="D582" s="4" t="n"/>
    </row>
    <row r="583" ht="15.75" customHeight="1" s="40">
      <c r="A583" s="4" t="n"/>
      <c r="B583" s="4" t="n"/>
      <c r="C583" s="4" t="n"/>
      <c r="D583" s="4" t="n"/>
    </row>
    <row r="584" ht="15.75" customHeight="1" s="40">
      <c r="A584" s="4" t="n"/>
      <c r="B584" s="4" t="n"/>
      <c r="C584" s="4" t="n"/>
      <c r="D584" s="4" t="n"/>
    </row>
    <row r="585" ht="15.75" customHeight="1" s="40">
      <c r="A585" s="4" t="n"/>
      <c r="B585" s="4" t="n"/>
      <c r="C585" s="4" t="n"/>
      <c r="D585" s="4" t="n"/>
    </row>
    <row r="586" ht="15.75" customHeight="1" s="40">
      <c r="A586" s="4" t="n"/>
      <c r="B586" s="4" t="n"/>
      <c r="C586" s="4" t="n"/>
      <c r="D586" s="4" t="n"/>
    </row>
    <row r="587" ht="15.75" customHeight="1" s="40">
      <c r="A587" s="4" t="n"/>
      <c r="B587" s="4" t="n"/>
      <c r="C587" s="4" t="n"/>
      <c r="D587" s="4" t="n"/>
    </row>
    <row r="588" ht="15.75" customHeight="1" s="40">
      <c r="A588" s="4" t="n"/>
      <c r="B588" s="4" t="n"/>
      <c r="C588" s="4" t="n"/>
      <c r="D588" s="4" t="n"/>
    </row>
    <row r="589" ht="15.75" customHeight="1" s="40">
      <c r="A589" s="4" t="n"/>
      <c r="B589" s="4" t="n"/>
      <c r="C589" s="4" t="n"/>
      <c r="D589" s="4" t="n"/>
    </row>
    <row r="590" ht="15.75" customHeight="1" s="40">
      <c r="A590" s="4" t="n"/>
      <c r="B590" s="4" t="n"/>
      <c r="C590" s="4" t="n"/>
      <c r="D590" s="4" t="n"/>
    </row>
    <row r="591" ht="15.75" customHeight="1" s="40">
      <c r="A591" s="4" t="n"/>
      <c r="B591" s="4" t="n"/>
      <c r="C591" s="4" t="n"/>
      <c r="D591" s="4" t="n"/>
    </row>
    <row r="592" ht="15.75" customHeight="1" s="40">
      <c r="A592" s="4" t="n"/>
      <c r="B592" s="4" t="n"/>
      <c r="C592" s="4" t="n"/>
      <c r="D592" s="4" t="n"/>
    </row>
    <row r="593" ht="15.75" customHeight="1" s="40">
      <c r="A593" s="4" t="n"/>
      <c r="B593" s="4" t="n"/>
      <c r="C593" s="4" t="n"/>
      <c r="D593" s="4" t="n"/>
    </row>
    <row r="594" ht="15.75" customHeight="1" s="40">
      <c r="A594" s="4" t="n"/>
      <c r="B594" s="4" t="n"/>
      <c r="C594" s="4" t="n"/>
      <c r="D594" s="4" t="n"/>
    </row>
    <row r="595" ht="15.75" customHeight="1" s="40">
      <c r="A595" s="4" t="n"/>
      <c r="B595" s="4" t="n"/>
      <c r="C595" s="4" t="n"/>
      <c r="D595" s="4" t="n"/>
    </row>
    <row r="596" ht="15.75" customHeight="1" s="40">
      <c r="A596" s="4" t="n"/>
      <c r="B596" s="4" t="n"/>
      <c r="C596" s="4" t="n"/>
      <c r="D596" s="4" t="n"/>
    </row>
    <row r="597" ht="15.75" customHeight="1" s="40">
      <c r="A597" s="4" t="n"/>
      <c r="B597" s="4" t="n"/>
      <c r="C597" s="4" t="n"/>
      <c r="D597" s="4" t="n"/>
    </row>
    <row r="598" ht="15.75" customHeight="1" s="40">
      <c r="A598" s="4" t="n"/>
      <c r="B598" s="4" t="n"/>
      <c r="C598" s="4" t="n"/>
      <c r="D598" s="4" t="n"/>
    </row>
    <row r="599" ht="15.75" customHeight="1" s="40">
      <c r="A599" s="4" t="n"/>
      <c r="B599" s="4" t="n"/>
      <c r="C599" s="4" t="n"/>
      <c r="D599" s="4" t="n"/>
    </row>
    <row r="600" ht="15.75" customHeight="1" s="40">
      <c r="A600" s="4" t="n"/>
      <c r="B600" s="4" t="n"/>
      <c r="C600" s="4" t="n"/>
      <c r="D600" s="4" t="n"/>
    </row>
    <row r="601" ht="15.75" customHeight="1" s="40">
      <c r="A601" s="4" t="n"/>
      <c r="B601" s="4" t="n"/>
      <c r="C601" s="4" t="n"/>
      <c r="D601" s="4" t="n"/>
    </row>
    <row r="602" ht="15.75" customHeight="1" s="40">
      <c r="A602" s="4" t="n"/>
      <c r="B602" s="4" t="n"/>
      <c r="C602" s="4" t="n"/>
      <c r="D602" s="4" t="n"/>
    </row>
    <row r="603" ht="15.75" customHeight="1" s="40">
      <c r="A603" s="4" t="n"/>
      <c r="B603" s="4" t="n"/>
      <c r="C603" s="4" t="n"/>
      <c r="D603" s="4" t="n"/>
    </row>
    <row r="604" ht="15.75" customHeight="1" s="40">
      <c r="A604" s="4" t="n"/>
      <c r="B604" s="4" t="n"/>
      <c r="C604" s="4" t="n"/>
      <c r="D604" s="4" t="n"/>
    </row>
    <row r="605" ht="15.75" customHeight="1" s="40">
      <c r="A605" s="4" t="n"/>
      <c r="B605" s="4" t="n"/>
      <c r="C605" s="4" t="n"/>
      <c r="D605" s="4" t="n"/>
    </row>
    <row r="606" ht="15.75" customHeight="1" s="40">
      <c r="A606" s="4" t="n"/>
      <c r="B606" s="4" t="n"/>
      <c r="C606" s="4" t="n"/>
      <c r="D606" s="4" t="n"/>
    </row>
    <row r="607" ht="15.75" customHeight="1" s="40">
      <c r="A607" s="4" t="n"/>
      <c r="B607" s="4" t="n"/>
      <c r="C607" s="4" t="n"/>
      <c r="D607" s="4" t="n"/>
    </row>
    <row r="608" ht="15.75" customHeight="1" s="40">
      <c r="A608" s="4" t="n"/>
      <c r="B608" s="4" t="n"/>
      <c r="C608" s="4" t="n"/>
      <c r="D608" s="4" t="n"/>
    </row>
    <row r="609" ht="15.75" customHeight="1" s="40">
      <c r="A609" s="4" t="n"/>
      <c r="B609" s="4" t="n"/>
      <c r="C609" s="4" t="n"/>
      <c r="D609" s="4" t="n"/>
    </row>
    <row r="610" ht="15.75" customHeight="1" s="40">
      <c r="A610" s="4" t="n"/>
      <c r="B610" s="4" t="n"/>
      <c r="C610" s="4" t="n"/>
      <c r="D610" s="4" t="n"/>
    </row>
    <row r="611" ht="15.75" customHeight="1" s="40">
      <c r="A611" s="4" t="n"/>
      <c r="B611" s="4" t="n"/>
      <c r="C611" s="4" t="n"/>
      <c r="D611" s="4" t="n"/>
    </row>
    <row r="612" ht="15.75" customHeight="1" s="40">
      <c r="A612" s="4" t="n"/>
      <c r="B612" s="4" t="n"/>
      <c r="C612" s="4" t="n"/>
      <c r="D612" s="4" t="n"/>
    </row>
    <row r="613" ht="15.75" customHeight="1" s="40">
      <c r="A613" s="4" t="n"/>
      <c r="B613" s="4" t="n"/>
      <c r="C613" s="4" t="n"/>
      <c r="D613" s="4" t="n"/>
    </row>
    <row r="614" ht="15.75" customHeight="1" s="40">
      <c r="A614" s="4" t="n"/>
      <c r="B614" s="4" t="n"/>
      <c r="C614" s="4" t="n"/>
      <c r="D614" s="4" t="n"/>
    </row>
    <row r="615" ht="15.75" customHeight="1" s="40">
      <c r="A615" s="4" t="n"/>
      <c r="B615" s="4" t="n"/>
      <c r="C615" s="4" t="n"/>
      <c r="D615" s="4" t="n"/>
    </row>
    <row r="616" ht="15.75" customHeight="1" s="40">
      <c r="A616" s="4" t="n"/>
      <c r="B616" s="4" t="n"/>
      <c r="C616" s="4" t="n"/>
      <c r="D616" s="4" t="n"/>
    </row>
    <row r="617" ht="15.75" customHeight="1" s="40">
      <c r="A617" s="4" t="n"/>
      <c r="B617" s="4" t="n"/>
      <c r="C617" s="4" t="n"/>
      <c r="D617" s="4" t="n"/>
    </row>
    <row r="618" ht="15.75" customHeight="1" s="40">
      <c r="A618" s="4" t="n"/>
      <c r="B618" s="4" t="n"/>
      <c r="C618" s="4" t="n"/>
      <c r="D618" s="4" t="n"/>
    </row>
    <row r="619" ht="15.75" customHeight="1" s="40">
      <c r="A619" s="4" t="n"/>
      <c r="B619" s="4" t="n"/>
      <c r="C619" s="4" t="n"/>
      <c r="D619" s="4" t="n"/>
    </row>
    <row r="620" ht="15.75" customHeight="1" s="40">
      <c r="A620" s="4" t="n"/>
      <c r="B620" s="4" t="n"/>
      <c r="C620" s="4" t="n"/>
      <c r="D620" s="4" t="n"/>
    </row>
    <row r="621" ht="15.75" customHeight="1" s="40">
      <c r="A621" s="4" t="n"/>
      <c r="B621" s="4" t="n"/>
      <c r="C621" s="4" t="n"/>
      <c r="D621" s="4" t="n"/>
    </row>
    <row r="622" ht="15.75" customHeight="1" s="40">
      <c r="A622" s="4" t="n"/>
      <c r="B622" s="4" t="n"/>
      <c r="C622" s="4" t="n"/>
      <c r="D622" s="4" t="n"/>
    </row>
    <row r="623" ht="15.75" customHeight="1" s="40">
      <c r="A623" s="4" t="n"/>
      <c r="B623" s="4" t="n"/>
      <c r="C623" s="4" t="n"/>
      <c r="D623" s="4" t="n"/>
    </row>
    <row r="624" ht="15.75" customHeight="1" s="40">
      <c r="A624" s="4" t="n"/>
      <c r="B624" s="4" t="n"/>
      <c r="C624" s="4" t="n"/>
      <c r="D624" s="4" t="n"/>
    </row>
    <row r="625" ht="15.75" customHeight="1" s="40">
      <c r="A625" s="4" t="n"/>
      <c r="B625" s="4" t="n"/>
      <c r="C625" s="4" t="n"/>
      <c r="D625" s="4" t="n"/>
    </row>
    <row r="626" ht="15.75" customHeight="1" s="40">
      <c r="A626" s="4" t="n"/>
      <c r="B626" s="4" t="n"/>
      <c r="C626" s="4" t="n"/>
      <c r="D626" s="4" t="n"/>
    </row>
    <row r="627" ht="15.75" customHeight="1" s="40">
      <c r="A627" s="4" t="n"/>
      <c r="B627" s="4" t="n"/>
      <c r="C627" s="4" t="n"/>
      <c r="D627" s="4" t="n"/>
    </row>
    <row r="628" ht="15.75" customHeight="1" s="40">
      <c r="A628" s="4" t="n"/>
      <c r="B628" s="4" t="n"/>
      <c r="C628" s="4" t="n"/>
      <c r="D628" s="4" t="n"/>
    </row>
    <row r="629" ht="15.75" customHeight="1" s="40">
      <c r="A629" s="4" t="n"/>
      <c r="B629" s="4" t="n"/>
      <c r="C629" s="4" t="n"/>
      <c r="D629" s="4" t="n"/>
    </row>
    <row r="630" ht="15.75" customHeight="1" s="40">
      <c r="A630" s="4" t="n"/>
      <c r="B630" s="4" t="n"/>
      <c r="C630" s="4" t="n"/>
      <c r="D630" s="4" t="n"/>
    </row>
    <row r="631" ht="15.75" customHeight="1" s="40">
      <c r="A631" s="4" t="n"/>
      <c r="B631" s="4" t="n"/>
      <c r="C631" s="4" t="n"/>
      <c r="D631" s="4" t="n"/>
    </row>
    <row r="632" ht="15.75" customHeight="1" s="40">
      <c r="A632" s="4" t="n"/>
      <c r="B632" s="4" t="n"/>
      <c r="C632" s="4" t="n"/>
      <c r="D632" s="4" t="n"/>
    </row>
    <row r="633" ht="15.75" customHeight="1" s="40">
      <c r="A633" s="4" t="n"/>
      <c r="B633" s="4" t="n"/>
      <c r="C633" s="4" t="n"/>
      <c r="D633" s="4" t="n"/>
    </row>
    <row r="634" ht="15.75" customHeight="1" s="40">
      <c r="A634" s="4" t="n"/>
      <c r="B634" s="4" t="n"/>
      <c r="C634" s="4" t="n"/>
      <c r="D634" s="4" t="n"/>
    </row>
    <row r="635" ht="15.75" customHeight="1" s="40">
      <c r="A635" s="4" t="n"/>
      <c r="B635" s="4" t="n"/>
      <c r="C635" s="4" t="n"/>
      <c r="D635" s="4" t="n"/>
    </row>
    <row r="636" ht="15.75" customHeight="1" s="40">
      <c r="A636" s="4" t="n"/>
      <c r="B636" s="4" t="n"/>
      <c r="C636" s="4" t="n"/>
      <c r="D636" s="4" t="n"/>
    </row>
    <row r="637" ht="15.75" customHeight="1" s="40">
      <c r="A637" s="4" t="n"/>
      <c r="B637" s="4" t="n"/>
      <c r="C637" s="4" t="n"/>
      <c r="D637" s="4" t="n"/>
    </row>
    <row r="638" ht="15.75" customHeight="1" s="40">
      <c r="A638" s="4" t="n"/>
      <c r="B638" s="4" t="n"/>
      <c r="C638" s="4" t="n"/>
      <c r="D638" s="4" t="n"/>
    </row>
    <row r="639" ht="15.75" customHeight="1" s="40">
      <c r="A639" s="4" t="n"/>
      <c r="B639" s="4" t="n"/>
      <c r="C639" s="4" t="n"/>
      <c r="D639" s="4" t="n"/>
    </row>
    <row r="640" ht="15.75" customHeight="1" s="40">
      <c r="A640" s="4" t="n"/>
      <c r="B640" s="4" t="n"/>
      <c r="C640" s="4" t="n"/>
      <c r="D640" s="4" t="n"/>
    </row>
    <row r="641" ht="15.75" customHeight="1" s="40">
      <c r="A641" s="4" t="n"/>
      <c r="B641" s="4" t="n"/>
      <c r="C641" s="4" t="n"/>
      <c r="D641" s="4" t="n"/>
    </row>
    <row r="642" ht="15.75" customHeight="1" s="40">
      <c r="A642" s="4" t="n"/>
      <c r="B642" s="4" t="n"/>
      <c r="C642" s="4" t="n"/>
      <c r="D642" s="4" t="n"/>
    </row>
    <row r="643" ht="15.75" customHeight="1" s="40">
      <c r="A643" s="4" t="n"/>
      <c r="B643" s="4" t="n"/>
      <c r="C643" s="4" t="n"/>
      <c r="D643" s="4" t="n"/>
    </row>
    <row r="644" ht="15.75" customHeight="1" s="40">
      <c r="A644" s="4" t="n"/>
      <c r="B644" s="4" t="n"/>
      <c r="C644" s="4" t="n"/>
      <c r="D644" s="4" t="n"/>
    </row>
    <row r="645" ht="15.75" customHeight="1" s="40">
      <c r="A645" s="4" t="n"/>
      <c r="B645" s="4" t="n"/>
      <c r="C645" s="4" t="n"/>
      <c r="D645" s="4" t="n"/>
    </row>
    <row r="646" ht="15.75" customHeight="1" s="40">
      <c r="A646" s="4" t="n"/>
      <c r="B646" s="4" t="n"/>
      <c r="C646" s="4" t="n"/>
      <c r="D646" s="4" t="n"/>
    </row>
    <row r="647" ht="15.75" customHeight="1" s="40">
      <c r="A647" s="4" t="n"/>
      <c r="B647" s="4" t="n"/>
      <c r="C647" s="4" t="n"/>
      <c r="D647" s="4" t="n"/>
    </row>
    <row r="648" ht="15.75" customHeight="1" s="40">
      <c r="A648" s="4" t="n"/>
      <c r="B648" s="4" t="n"/>
      <c r="C648" s="4" t="n"/>
      <c r="D648" s="4" t="n"/>
    </row>
    <row r="649" ht="15.75" customHeight="1" s="40">
      <c r="A649" s="4" t="n"/>
      <c r="B649" s="4" t="n"/>
      <c r="C649" s="4" t="n"/>
      <c r="D649" s="4" t="n"/>
    </row>
    <row r="650" ht="15.75" customHeight="1" s="40">
      <c r="A650" s="4" t="n"/>
      <c r="B650" s="4" t="n"/>
      <c r="C650" s="4" t="n"/>
      <c r="D650" s="4" t="n"/>
    </row>
    <row r="651" ht="15.75" customHeight="1" s="40">
      <c r="A651" s="4" t="n"/>
      <c r="B651" s="4" t="n"/>
      <c r="C651" s="4" t="n"/>
      <c r="D651" s="4" t="n"/>
    </row>
    <row r="652" ht="15.75" customHeight="1" s="40">
      <c r="A652" s="4" t="n"/>
      <c r="B652" s="4" t="n"/>
      <c r="C652" s="4" t="n"/>
      <c r="D652" s="4" t="n"/>
    </row>
    <row r="653" ht="15.75" customHeight="1" s="40">
      <c r="A653" s="4" t="n"/>
      <c r="B653" s="4" t="n"/>
      <c r="C653" s="4" t="n"/>
      <c r="D653" s="4" t="n"/>
    </row>
    <row r="654" ht="15.75" customHeight="1" s="40">
      <c r="A654" s="4" t="n"/>
      <c r="B654" s="4" t="n"/>
      <c r="C654" s="4" t="n"/>
      <c r="D654" s="4" t="n"/>
    </row>
    <row r="655" ht="15.75" customHeight="1" s="40">
      <c r="A655" s="4" t="n"/>
      <c r="B655" s="4" t="n"/>
      <c r="C655" s="4" t="n"/>
      <c r="D655" s="4" t="n"/>
    </row>
    <row r="656" ht="15.75" customHeight="1" s="40">
      <c r="A656" s="4" t="n"/>
      <c r="B656" s="4" t="n"/>
      <c r="C656" s="4" t="n"/>
      <c r="D656" s="4" t="n"/>
    </row>
    <row r="657" ht="15.75" customHeight="1" s="40">
      <c r="A657" s="4" t="n"/>
      <c r="B657" s="4" t="n"/>
      <c r="C657" s="4" t="n"/>
      <c r="D657" s="4" t="n"/>
    </row>
    <row r="658" ht="15.75" customHeight="1" s="40">
      <c r="A658" s="4" t="n"/>
      <c r="B658" s="4" t="n"/>
      <c r="C658" s="4" t="n"/>
      <c r="D658" s="4" t="n"/>
    </row>
    <row r="659" ht="15.75" customHeight="1" s="40">
      <c r="A659" s="4" t="n"/>
      <c r="B659" s="4" t="n"/>
      <c r="C659" s="4" t="n"/>
      <c r="D659" s="4" t="n"/>
    </row>
    <row r="660" ht="15.75" customHeight="1" s="40">
      <c r="A660" s="4" t="n"/>
      <c r="B660" s="4" t="n"/>
      <c r="C660" s="4" t="n"/>
      <c r="D660" s="4" t="n"/>
    </row>
    <row r="661" ht="15.75" customHeight="1" s="40">
      <c r="A661" s="4" t="n"/>
      <c r="B661" s="4" t="n"/>
      <c r="C661" s="4" t="n"/>
      <c r="D661" s="4" t="n"/>
    </row>
    <row r="662" ht="15.75" customHeight="1" s="40">
      <c r="A662" s="4" t="n"/>
      <c r="B662" s="4" t="n"/>
      <c r="C662" s="4" t="n"/>
      <c r="D662" s="4" t="n"/>
    </row>
    <row r="663" ht="15.75" customHeight="1" s="40">
      <c r="A663" s="4" t="n"/>
      <c r="B663" s="4" t="n"/>
      <c r="C663" s="4" t="n"/>
      <c r="D663" s="4" t="n"/>
    </row>
    <row r="664" ht="15.75" customHeight="1" s="40">
      <c r="A664" s="4" t="n"/>
      <c r="B664" s="4" t="n"/>
      <c r="C664" s="4" t="n"/>
      <c r="D664" s="4" t="n"/>
    </row>
    <row r="665" ht="15.75" customHeight="1" s="40">
      <c r="A665" s="4" t="n"/>
      <c r="B665" s="4" t="n"/>
      <c r="C665" s="4" t="n"/>
      <c r="D665" s="4" t="n"/>
    </row>
    <row r="666" ht="15.75" customHeight="1" s="40">
      <c r="A666" s="4" t="n"/>
      <c r="B666" s="4" t="n"/>
      <c r="C666" s="4" t="n"/>
      <c r="D666" s="4" t="n"/>
    </row>
    <row r="667" ht="15.75" customHeight="1" s="40">
      <c r="A667" s="4" t="n"/>
      <c r="B667" s="4" t="n"/>
      <c r="C667" s="4" t="n"/>
      <c r="D667" s="4" t="n"/>
    </row>
    <row r="668" ht="15.75" customHeight="1" s="40">
      <c r="A668" s="4" t="n"/>
      <c r="B668" s="4" t="n"/>
      <c r="C668" s="4" t="n"/>
      <c r="D668" s="4" t="n"/>
    </row>
    <row r="669" ht="15.75" customHeight="1" s="40">
      <c r="A669" s="4" t="n"/>
      <c r="B669" s="4" t="n"/>
      <c r="C669" s="4" t="n"/>
      <c r="D669" s="4" t="n"/>
    </row>
    <row r="670" ht="15.75" customHeight="1" s="40">
      <c r="A670" s="4" t="n"/>
      <c r="B670" s="4" t="n"/>
      <c r="C670" s="4" t="n"/>
      <c r="D670" s="4" t="n"/>
    </row>
    <row r="671" ht="15.75" customHeight="1" s="40">
      <c r="A671" s="4" t="n"/>
      <c r="B671" s="4" t="n"/>
      <c r="C671" s="4" t="n"/>
      <c r="D671" s="4" t="n"/>
    </row>
    <row r="672" ht="15.75" customHeight="1" s="40">
      <c r="A672" s="4" t="n"/>
      <c r="B672" s="4" t="n"/>
      <c r="C672" s="4" t="n"/>
      <c r="D672" s="4" t="n"/>
    </row>
    <row r="673" ht="15.75" customHeight="1" s="40">
      <c r="A673" s="4" t="n"/>
      <c r="B673" s="4" t="n"/>
      <c r="C673" s="4" t="n"/>
      <c r="D673" s="4" t="n"/>
    </row>
    <row r="674" ht="15.75" customHeight="1" s="40">
      <c r="A674" s="4" t="n"/>
      <c r="B674" s="4" t="n"/>
      <c r="C674" s="4" t="n"/>
      <c r="D674" s="4" t="n"/>
    </row>
    <row r="675" ht="15.75" customHeight="1" s="40">
      <c r="A675" s="4" t="n"/>
      <c r="B675" s="4" t="n"/>
      <c r="C675" s="4" t="n"/>
      <c r="D675" s="4" t="n"/>
    </row>
    <row r="676" ht="15.75" customHeight="1" s="40">
      <c r="A676" s="4" t="n"/>
      <c r="B676" s="4" t="n"/>
      <c r="C676" s="4" t="n"/>
      <c r="D676" s="4" t="n"/>
    </row>
    <row r="677" ht="15.75" customHeight="1" s="40">
      <c r="A677" s="4" t="n"/>
      <c r="B677" s="4" t="n"/>
      <c r="C677" s="4" t="n"/>
      <c r="D677" s="4" t="n"/>
    </row>
    <row r="678" ht="15.75" customHeight="1" s="40">
      <c r="A678" s="4" t="n"/>
      <c r="B678" s="4" t="n"/>
      <c r="C678" s="4" t="n"/>
      <c r="D678" s="4" t="n"/>
    </row>
    <row r="679" ht="15.75" customHeight="1" s="40">
      <c r="A679" s="4" t="n"/>
      <c r="B679" s="4" t="n"/>
      <c r="C679" s="4" t="n"/>
      <c r="D679" s="4" t="n"/>
    </row>
    <row r="680" ht="15.75" customHeight="1" s="40">
      <c r="A680" s="4" t="n"/>
      <c r="B680" s="4" t="n"/>
      <c r="C680" s="4" t="n"/>
      <c r="D680" s="4" t="n"/>
    </row>
    <row r="681" ht="15.75" customHeight="1" s="40">
      <c r="A681" s="4" t="n"/>
      <c r="B681" s="4" t="n"/>
      <c r="C681" s="4" t="n"/>
      <c r="D681" s="4" t="n"/>
    </row>
    <row r="682" ht="15.75" customHeight="1" s="40">
      <c r="A682" s="4" t="n"/>
      <c r="B682" s="4" t="n"/>
      <c r="C682" s="4" t="n"/>
      <c r="D682" s="4" t="n"/>
    </row>
    <row r="683" ht="15.75" customHeight="1" s="40">
      <c r="A683" s="4" t="n"/>
      <c r="B683" s="4" t="n"/>
      <c r="C683" s="4" t="n"/>
      <c r="D683" s="4" t="n"/>
    </row>
    <row r="684" ht="15.75" customHeight="1" s="40">
      <c r="A684" s="4" t="n"/>
      <c r="B684" s="4" t="n"/>
      <c r="C684" s="4" t="n"/>
      <c r="D684" s="4" t="n"/>
    </row>
    <row r="685" ht="15.75" customHeight="1" s="40">
      <c r="A685" s="4" t="n"/>
      <c r="B685" s="4" t="n"/>
      <c r="C685" s="4" t="n"/>
      <c r="D685" s="4" t="n"/>
    </row>
    <row r="686" ht="15.75" customHeight="1" s="40">
      <c r="A686" s="4" t="n"/>
      <c r="B686" s="4" t="n"/>
      <c r="C686" s="4" t="n"/>
      <c r="D686" s="4" t="n"/>
    </row>
    <row r="687" ht="15.75" customHeight="1" s="40">
      <c r="A687" s="4" t="n"/>
      <c r="B687" s="4" t="n"/>
      <c r="C687" s="4" t="n"/>
      <c r="D687" s="4" t="n"/>
    </row>
    <row r="688" ht="15.75" customHeight="1" s="40">
      <c r="A688" s="4" t="n"/>
      <c r="B688" s="4" t="n"/>
      <c r="C688" s="4" t="n"/>
      <c r="D688" s="4" t="n"/>
    </row>
    <row r="689" ht="15.75" customHeight="1" s="40">
      <c r="A689" s="4" t="n"/>
      <c r="B689" s="4" t="n"/>
      <c r="C689" s="4" t="n"/>
      <c r="D689" s="4" t="n"/>
    </row>
    <row r="690" ht="15.75" customHeight="1" s="40">
      <c r="A690" s="4" t="n"/>
      <c r="B690" s="4" t="n"/>
      <c r="C690" s="4" t="n"/>
      <c r="D690" s="4" t="n"/>
    </row>
    <row r="691" ht="15.75" customHeight="1" s="40">
      <c r="A691" s="4" t="n"/>
      <c r="B691" s="4" t="n"/>
      <c r="C691" s="4" t="n"/>
      <c r="D691" s="4" t="n"/>
    </row>
    <row r="692" ht="15.75" customHeight="1" s="40">
      <c r="A692" s="4" t="n"/>
      <c r="B692" s="4" t="n"/>
      <c r="C692" s="4" t="n"/>
      <c r="D692" s="4" t="n"/>
    </row>
    <row r="693" ht="15.75" customHeight="1" s="40">
      <c r="A693" s="4" t="n"/>
      <c r="B693" s="4" t="n"/>
      <c r="C693" s="4" t="n"/>
      <c r="D693" s="4" t="n"/>
    </row>
    <row r="694" ht="15.75" customHeight="1" s="40">
      <c r="A694" s="4" t="n"/>
      <c r="B694" s="4" t="n"/>
      <c r="C694" s="4" t="n"/>
      <c r="D694" s="4" t="n"/>
    </row>
    <row r="695" ht="15.75" customHeight="1" s="40">
      <c r="A695" s="4" t="n"/>
      <c r="B695" s="4" t="n"/>
      <c r="C695" s="4" t="n"/>
      <c r="D695" s="4" t="n"/>
    </row>
    <row r="696" ht="15.75" customHeight="1" s="40">
      <c r="A696" s="4" t="n"/>
      <c r="B696" s="4" t="n"/>
      <c r="C696" s="4" t="n"/>
      <c r="D696" s="4" t="n"/>
    </row>
    <row r="697" ht="15.75" customHeight="1" s="40">
      <c r="A697" s="4" t="n"/>
      <c r="B697" s="4" t="n"/>
      <c r="C697" s="4" t="n"/>
      <c r="D697" s="4" t="n"/>
    </row>
    <row r="698" ht="15.75" customHeight="1" s="40">
      <c r="A698" s="4" t="n"/>
      <c r="B698" s="4" t="n"/>
      <c r="C698" s="4" t="n"/>
      <c r="D698" s="4" t="n"/>
    </row>
    <row r="699" ht="15.75" customHeight="1" s="40">
      <c r="A699" s="4" t="n"/>
      <c r="B699" s="4" t="n"/>
      <c r="C699" s="4" t="n"/>
      <c r="D699" s="4" t="n"/>
    </row>
    <row r="700" ht="15.75" customHeight="1" s="40">
      <c r="A700" s="4" t="n"/>
      <c r="B700" s="4" t="n"/>
      <c r="C700" s="4" t="n"/>
      <c r="D700" s="4" t="n"/>
    </row>
    <row r="701" ht="15.75" customHeight="1" s="40">
      <c r="A701" s="4" t="n"/>
      <c r="B701" s="4" t="n"/>
      <c r="C701" s="4" t="n"/>
      <c r="D701" s="4" t="n"/>
    </row>
    <row r="702" ht="15.75" customHeight="1" s="40">
      <c r="A702" s="4" t="n"/>
      <c r="B702" s="4" t="n"/>
      <c r="C702" s="4" t="n"/>
      <c r="D702" s="4" t="n"/>
    </row>
    <row r="703" ht="15.75" customHeight="1" s="40">
      <c r="A703" s="4" t="n"/>
      <c r="B703" s="4" t="n"/>
      <c r="C703" s="4" t="n"/>
      <c r="D703" s="4" t="n"/>
    </row>
    <row r="704" ht="15.75" customHeight="1" s="40">
      <c r="A704" s="4" t="n"/>
      <c r="B704" s="4" t="n"/>
      <c r="C704" s="4" t="n"/>
      <c r="D704" s="4" t="n"/>
    </row>
    <row r="705" ht="15.75" customHeight="1" s="40">
      <c r="A705" s="4" t="n"/>
      <c r="B705" s="4" t="n"/>
      <c r="C705" s="4" t="n"/>
      <c r="D705" s="4" t="n"/>
    </row>
    <row r="706" ht="15.75" customHeight="1" s="40">
      <c r="A706" s="4" t="n"/>
      <c r="B706" s="4" t="n"/>
      <c r="C706" s="4" t="n"/>
      <c r="D706" s="4" t="n"/>
    </row>
    <row r="707" ht="15.75" customHeight="1" s="40">
      <c r="A707" s="4" t="n"/>
      <c r="B707" s="4" t="n"/>
      <c r="C707" s="4" t="n"/>
      <c r="D707" s="4" t="n"/>
    </row>
    <row r="708" ht="15.75" customHeight="1" s="40">
      <c r="A708" s="4" t="n"/>
      <c r="B708" s="4" t="n"/>
      <c r="C708" s="4" t="n"/>
      <c r="D708" s="4" t="n"/>
    </row>
    <row r="709" ht="15.75" customHeight="1" s="40">
      <c r="A709" s="4" t="n"/>
      <c r="B709" s="4" t="n"/>
      <c r="C709" s="4" t="n"/>
      <c r="D709" s="4" t="n"/>
    </row>
    <row r="710" ht="15.75" customHeight="1" s="40">
      <c r="A710" s="4" t="n"/>
      <c r="B710" s="4" t="n"/>
      <c r="C710" s="4" t="n"/>
      <c r="D710" s="4" t="n"/>
    </row>
    <row r="711" ht="15.75" customHeight="1" s="40">
      <c r="A711" s="4" t="n"/>
      <c r="B711" s="4" t="n"/>
      <c r="C711" s="4" t="n"/>
      <c r="D711" s="4" t="n"/>
    </row>
    <row r="712" ht="15.75" customHeight="1" s="40">
      <c r="A712" s="4" t="n"/>
      <c r="B712" s="4" t="n"/>
      <c r="C712" s="4" t="n"/>
      <c r="D712" s="4" t="n"/>
    </row>
    <row r="713" ht="15.75" customHeight="1" s="40">
      <c r="A713" s="4" t="n"/>
      <c r="B713" s="4" t="n"/>
      <c r="C713" s="4" t="n"/>
      <c r="D713" s="4" t="n"/>
    </row>
    <row r="714" ht="15.75" customHeight="1" s="40">
      <c r="A714" s="4" t="n"/>
      <c r="B714" s="4" t="n"/>
      <c r="C714" s="4" t="n"/>
      <c r="D714" s="4" t="n"/>
    </row>
    <row r="715" ht="15.75" customHeight="1" s="40">
      <c r="A715" s="4" t="n"/>
      <c r="B715" s="4" t="n"/>
      <c r="C715" s="4" t="n"/>
      <c r="D715" s="4" t="n"/>
    </row>
    <row r="716" ht="15.75" customHeight="1" s="40">
      <c r="A716" s="4" t="n"/>
      <c r="B716" s="4" t="n"/>
      <c r="C716" s="4" t="n"/>
      <c r="D716" s="4" t="n"/>
    </row>
    <row r="717" ht="15.75" customHeight="1" s="40">
      <c r="A717" s="4" t="n"/>
      <c r="B717" s="4" t="n"/>
      <c r="C717" s="4" t="n"/>
      <c r="D717" s="4" t="n"/>
    </row>
    <row r="718" ht="15.75" customHeight="1" s="40">
      <c r="A718" s="4" t="n"/>
      <c r="B718" s="4" t="n"/>
      <c r="C718" s="4" t="n"/>
      <c r="D718" s="4" t="n"/>
    </row>
    <row r="719" ht="15.75" customHeight="1" s="40">
      <c r="A719" s="4" t="n"/>
      <c r="B719" s="4" t="n"/>
      <c r="C719" s="4" t="n"/>
      <c r="D719" s="4" t="n"/>
    </row>
    <row r="720" ht="15.75" customHeight="1" s="40">
      <c r="A720" s="4" t="n"/>
      <c r="B720" s="4" t="n"/>
      <c r="C720" s="4" t="n"/>
      <c r="D720" s="4" t="n"/>
    </row>
    <row r="721" ht="15.75" customHeight="1" s="40">
      <c r="A721" s="4" t="n"/>
      <c r="B721" s="4" t="n"/>
      <c r="C721" s="4" t="n"/>
      <c r="D721" s="4" t="n"/>
    </row>
    <row r="722" ht="15.75" customHeight="1" s="40">
      <c r="A722" s="4" t="n"/>
      <c r="B722" s="4" t="n"/>
      <c r="C722" s="4" t="n"/>
      <c r="D722" s="4" t="n"/>
    </row>
    <row r="723" ht="15.75" customHeight="1" s="40">
      <c r="A723" s="4" t="n"/>
      <c r="B723" s="4" t="n"/>
      <c r="C723" s="4" t="n"/>
      <c r="D723" s="4" t="n"/>
    </row>
    <row r="724" ht="15.75" customHeight="1" s="40">
      <c r="A724" s="4" t="n"/>
      <c r="B724" s="4" t="n"/>
      <c r="C724" s="4" t="n"/>
      <c r="D724" s="4" t="n"/>
    </row>
    <row r="725" ht="15.75" customHeight="1" s="40">
      <c r="A725" s="4" t="n"/>
      <c r="B725" s="4" t="n"/>
      <c r="C725" s="4" t="n"/>
      <c r="D725" s="4" t="n"/>
    </row>
    <row r="726" ht="15.75" customHeight="1" s="40">
      <c r="A726" s="4" t="n"/>
      <c r="B726" s="4" t="n"/>
      <c r="C726" s="4" t="n"/>
      <c r="D726" s="4" t="n"/>
    </row>
    <row r="727" ht="15.75" customHeight="1" s="40">
      <c r="A727" s="4" t="n"/>
      <c r="B727" s="4" t="n"/>
      <c r="C727" s="4" t="n"/>
      <c r="D727" s="4" t="n"/>
    </row>
    <row r="728" ht="15.75" customHeight="1" s="40">
      <c r="A728" s="4" t="n"/>
      <c r="B728" s="4" t="n"/>
      <c r="C728" s="4" t="n"/>
      <c r="D728" s="4" t="n"/>
    </row>
    <row r="729" ht="15.75" customHeight="1" s="40">
      <c r="A729" s="4" t="n"/>
      <c r="B729" s="4" t="n"/>
      <c r="C729" s="4" t="n"/>
      <c r="D729" s="4" t="n"/>
    </row>
    <row r="730" ht="15.75" customHeight="1" s="40">
      <c r="A730" s="4" t="n"/>
      <c r="B730" s="4" t="n"/>
      <c r="C730" s="4" t="n"/>
      <c r="D730" s="4" t="n"/>
    </row>
    <row r="731" ht="15.75" customHeight="1" s="40">
      <c r="A731" s="4" t="n"/>
      <c r="B731" s="4" t="n"/>
      <c r="C731" s="4" t="n"/>
      <c r="D731" s="4" t="n"/>
    </row>
    <row r="732" ht="15.75" customHeight="1" s="40">
      <c r="A732" s="4" t="n"/>
      <c r="B732" s="4" t="n"/>
      <c r="C732" s="4" t="n"/>
      <c r="D732" s="4" t="n"/>
    </row>
    <row r="733" ht="15.75" customHeight="1" s="40">
      <c r="A733" s="4" t="n"/>
      <c r="B733" s="4" t="n"/>
      <c r="C733" s="4" t="n"/>
      <c r="D733" s="4" t="n"/>
    </row>
    <row r="734" ht="15.75" customHeight="1" s="40">
      <c r="A734" s="4" t="n"/>
      <c r="B734" s="4" t="n"/>
      <c r="C734" s="4" t="n"/>
      <c r="D734" s="4" t="n"/>
    </row>
    <row r="735" ht="15.75" customHeight="1" s="40">
      <c r="A735" s="4" t="n"/>
      <c r="B735" s="4" t="n"/>
      <c r="C735" s="4" t="n"/>
      <c r="D735" s="4" t="n"/>
    </row>
    <row r="736" ht="15.75" customHeight="1" s="40">
      <c r="A736" s="4" t="n"/>
      <c r="B736" s="4" t="n"/>
      <c r="C736" s="4" t="n"/>
      <c r="D736" s="4" t="n"/>
    </row>
    <row r="737" ht="15.75" customHeight="1" s="40">
      <c r="A737" s="4" t="n"/>
      <c r="B737" s="4" t="n"/>
      <c r="C737" s="4" t="n"/>
      <c r="D737" s="4" t="n"/>
    </row>
    <row r="738" ht="15.75" customHeight="1" s="40">
      <c r="A738" s="4" t="n"/>
      <c r="B738" s="4" t="n"/>
      <c r="C738" s="4" t="n"/>
      <c r="D738" s="4" t="n"/>
    </row>
    <row r="739" ht="15.75" customHeight="1" s="40">
      <c r="A739" s="4" t="n"/>
      <c r="B739" s="4" t="n"/>
      <c r="C739" s="4" t="n"/>
      <c r="D739" s="4" t="n"/>
    </row>
    <row r="740" ht="15.75" customHeight="1" s="40">
      <c r="A740" s="4" t="n"/>
      <c r="B740" s="4" t="n"/>
      <c r="C740" s="4" t="n"/>
      <c r="D740" s="4" t="n"/>
    </row>
    <row r="741" ht="15.75" customHeight="1" s="40">
      <c r="A741" s="4" t="n"/>
      <c r="B741" s="4" t="n"/>
      <c r="C741" s="4" t="n"/>
      <c r="D741" s="4" t="n"/>
    </row>
    <row r="742" ht="15.75" customHeight="1" s="40">
      <c r="A742" s="4" t="n"/>
      <c r="B742" s="4" t="n"/>
      <c r="C742" s="4" t="n"/>
      <c r="D742" s="4" t="n"/>
    </row>
    <row r="743" ht="15.75" customHeight="1" s="40">
      <c r="A743" s="4" t="n"/>
      <c r="B743" s="4" t="n"/>
      <c r="C743" s="4" t="n"/>
      <c r="D743" s="4" t="n"/>
    </row>
    <row r="744" ht="15.75" customHeight="1" s="40">
      <c r="A744" s="4" t="n"/>
      <c r="B744" s="4" t="n"/>
      <c r="C744" s="4" t="n"/>
      <c r="D744" s="4" t="n"/>
    </row>
    <row r="745" ht="15.75" customHeight="1" s="40">
      <c r="A745" s="4" t="n"/>
      <c r="B745" s="4" t="n"/>
      <c r="C745" s="4" t="n"/>
      <c r="D745" s="4" t="n"/>
    </row>
    <row r="746" ht="15.75" customHeight="1" s="40">
      <c r="A746" s="4" t="n"/>
      <c r="B746" s="4" t="n"/>
      <c r="C746" s="4" t="n"/>
      <c r="D746" s="4" t="n"/>
    </row>
    <row r="747" ht="15.75" customHeight="1" s="40">
      <c r="A747" s="4" t="n"/>
      <c r="B747" s="4" t="n"/>
      <c r="C747" s="4" t="n"/>
      <c r="D747" s="4" t="n"/>
    </row>
    <row r="748" ht="15.75" customHeight="1" s="40">
      <c r="A748" s="4" t="n"/>
      <c r="B748" s="4" t="n"/>
      <c r="C748" s="4" t="n"/>
      <c r="D748" s="4" t="n"/>
    </row>
    <row r="749" ht="15.75" customHeight="1" s="40">
      <c r="A749" s="4" t="n"/>
      <c r="B749" s="4" t="n"/>
      <c r="C749" s="4" t="n"/>
      <c r="D749" s="4" t="n"/>
    </row>
    <row r="750" ht="15.75" customHeight="1" s="40">
      <c r="A750" s="4" t="n"/>
      <c r="B750" s="4" t="n"/>
      <c r="C750" s="4" t="n"/>
      <c r="D750" s="4" t="n"/>
    </row>
    <row r="751" ht="15.75" customHeight="1" s="40">
      <c r="A751" s="4" t="n"/>
      <c r="B751" s="4" t="n"/>
      <c r="C751" s="4" t="n"/>
      <c r="D751" s="4" t="n"/>
    </row>
    <row r="752" ht="15.75" customHeight="1" s="40">
      <c r="A752" s="4" t="n"/>
      <c r="B752" s="4" t="n"/>
      <c r="C752" s="4" t="n"/>
      <c r="D752" s="4" t="n"/>
    </row>
    <row r="753" ht="15.75" customHeight="1" s="40">
      <c r="A753" s="4" t="n"/>
      <c r="B753" s="4" t="n"/>
      <c r="C753" s="4" t="n"/>
      <c r="D753" s="4" t="n"/>
    </row>
    <row r="754" ht="15.75" customHeight="1" s="40">
      <c r="A754" s="4" t="n"/>
      <c r="B754" s="4" t="n"/>
      <c r="C754" s="4" t="n"/>
      <c r="D754" s="4" t="n"/>
    </row>
    <row r="755" ht="15.75" customHeight="1" s="40">
      <c r="A755" s="4" t="n"/>
      <c r="B755" s="4" t="n"/>
      <c r="C755" s="4" t="n"/>
      <c r="D755" s="4" t="n"/>
    </row>
    <row r="756" ht="15.75" customHeight="1" s="40">
      <c r="A756" s="4" t="n"/>
      <c r="B756" s="4" t="n"/>
      <c r="C756" s="4" t="n"/>
      <c r="D756" s="4" t="n"/>
    </row>
    <row r="757" ht="15.75" customHeight="1" s="40">
      <c r="A757" s="4" t="n"/>
      <c r="B757" s="4" t="n"/>
      <c r="C757" s="4" t="n"/>
      <c r="D757" s="4" t="n"/>
    </row>
    <row r="758" ht="15.75" customHeight="1" s="40">
      <c r="A758" s="4" t="n"/>
      <c r="B758" s="4" t="n"/>
      <c r="C758" s="4" t="n"/>
      <c r="D758" s="4" t="n"/>
    </row>
    <row r="759" ht="15.75" customHeight="1" s="40">
      <c r="A759" s="4" t="n"/>
      <c r="B759" s="4" t="n"/>
      <c r="C759" s="4" t="n"/>
      <c r="D759" s="4" t="n"/>
    </row>
    <row r="760" ht="15.75" customHeight="1" s="40">
      <c r="A760" s="4" t="n"/>
      <c r="B760" s="4" t="n"/>
      <c r="C760" s="4" t="n"/>
      <c r="D760" s="4" t="n"/>
    </row>
    <row r="761" ht="15.75" customHeight="1" s="40">
      <c r="A761" s="4" t="n"/>
      <c r="B761" s="4" t="n"/>
      <c r="C761" s="4" t="n"/>
      <c r="D761" s="4" t="n"/>
    </row>
    <row r="762" ht="15.75" customHeight="1" s="40">
      <c r="A762" s="4" t="n"/>
      <c r="B762" s="4" t="n"/>
      <c r="C762" s="4" t="n"/>
      <c r="D762" s="4" t="n"/>
    </row>
    <row r="763" ht="15.75" customHeight="1" s="40">
      <c r="A763" s="4" t="n"/>
      <c r="B763" s="4" t="n"/>
      <c r="C763" s="4" t="n"/>
      <c r="D763" s="4" t="n"/>
    </row>
    <row r="764" ht="15.75" customHeight="1" s="40">
      <c r="A764" s="4" t="n"/>
      <c r="B764" s="4" t="n"/>
      <c r="C764" s="4" t="n"/>
      <c r="D764" s="4" t="n"/>
    </row>
    <row r="765" ht="15.75" customHeight="1" s="40">
      <c r="A765" s="4" t="n"/>
      <c r="B765" s="4" t="n"/>
      <c r="C765" s="4" t="n"/>
      <c r="D765" s="4" t="n"/>
    </row>
    <row r="766" ht="15.75" customHeight="1" s="40">
      <c r="A766" s="4" t="n"/>
      <c r="B766" s="4" t="n"/>
      <c r="C766" s="4" t="n"/>
      <c r="D766" s="4" t="n"/>
    </row>
    <row r="767" ht="15.75" customHeight="1" s="40">
      <c r="A767" s="4" t="n"/>
      <c r="B767" s="4" t="n"/>
      <c r="C767" s="4" t="n"/>
      <c r="D767" s="4" t="n"/>
    </row>
    <row r="768" ht="15.75" customHeight="1" s="40">
      <c r="A768" s="4" t="n"/>
      <c r="B768" s="4" t="n"/>
      <c r="C768" s="4" t="n"/>
      <c r="D768" s="4" t="n"/>
    </row>
    <row r="769" ht="15.75" customHeight="1" s="40">
      <c r="A769" s="4" t="n"/>
      <c r="B769" s="4" t="n"/>
      <c r="C769" s="4" t="n"/>
      <c r="D769" s="4" t="n"/>
    </row>
    <row r="770" ht="15.75" customHeight="1" s="40">
      <c r="A770" s="4" t="n"/>
      <c r="B770" s="4" t="n"/>
      <c r="C770" s="4" t="n"/>
      <c r="D770" s="4" t="n"/>
    </row>
    <row r="771" ht="15.75" customHeight="1" s="40">
      <c r="A771" s="4" t="n"/>
      <c r="B771" s="4" t="n"/>
      <c r="C771" s="4" t="n"/>
      <c r="D771" s="4" t="n"/>
    </row>
    <row r="772" ht="15.75" customHeight="1" s="40">
      <c r="A772" s="4" t="n"/>
      <c r="B772" s="4" t="n"/>
      <c r="C772" s="4" t="n"/>
      <c r="D772" s="4" t="n"/>
    </row>
    <row r="773" ht="15.75" customHeight="1" s="40">
      <c r="A773" s="4" t="n"/>
      <c r="B773" s="4" t="n"/>
      <c r="C773" s="4" t="n"/>
      <c r="D773" s="4" t="n"/>
    </row>
    <row r="774" ht="15.75" customHeight="1" s="40">
      <c r="A774" s="4" t="n"/>
      <c r="B774" s="4" t="n"/>
      <c r="C774" s="4" t="n"/>
      <c r="D774" s="4" t="n"/>
    </row>
    <row r="775" ht="15.75" customHeight="1" s="40">
      <c r="A775" s="4" t="n"/>
      <c r="B775" s="4" t="n"/>
      <c r="C775" s="4" t="n"/>
      <c r="D775" s="4" t="n"/>
    </row>
    <row r="776" ht="15.75" customHeight="1" s="40">
      <c r="A776" s="4" t="n"/>
      <c r="B776" s="4" t="n"/>
      <c r="C776" s="4" t="n"/>
      <c r="D776" s="4" t="n"/>
    </row>
    <row r="777" ht="15.75" customHeight="1" s="40">
      <c r="A777" s="4" t="n"/>
      <c r="B777" s="4" t="n"/>
      <c r="C777" s="4" t="n"/>
      <c r="D777" s="4" t="n"/>
    </row>
    <row r="778" ht="15.75" customHeight="1" s="40">
      <c r="A778" s="4" t="n"/>
      <c r="B778" s="4" t="n"/>
      <c r="C778" s="4" t="n"/>
      <c r="D778" s="4" t="n"/>
    </row>
    <row r="779" ht="15.75" customHeight="1" s="40">
      <c r="A779" s="4" t="n"/>
      <c r="B779" s="4" t="n"/>
      <c r="C779" s="4" t="n"/>
      <c r="D779" s="4" t="n"/>
    </row>
    <row r="780" ht="15.75" customHeight="1" s="40">
      <c r="A780" s="4" t="n"/>
      <c r="B780" s="4" t="n"/>
      <c r="C780" s="4" t="n"/>
      <c r="D780" s="4" t="n"/>
    </row>
    <row r="781" ht="15.75" customHeight="1" s="40">
      <c r="A781" s="4" t="n"/>
      <c r="B781" s="4" t="n"/>
      <c r="C781" s="4" t="n"/>
      <c r="D781" s="4" t="n"/>
    </row>
    <row r="782" ht="15.75" customHeight="1" s="40">
      <c r="A782" s="4" t="n"/>
      <c r="B782" s="4" t="n"/>
      <c r="C782" s="4" t="n"/>
      <c r="D782" s="4" t="n"/>
    </row>
    <row r="783" ht="15.75" customHeight="1" s="40">
      <c r="A783" s="4" t="n"/>
      <c r="B783" s="4" t="n"/>
      <c r="C783" s="4" t="n"/>
      <c r="D783" s="4" t="n"/>
    </row>
    <row r="784" ht="15.75" customHeight="1" s="40">
      <c r="A784" s="4" t="n"/>
      <c r="B784" s="4" t="n"/>
      <c r="C784" s="4" t="n"/>
      <c r="D784" s="4" t="n"/>
    </row>
    <row r="785" ht="15.75" customHeight="1" s="40">
      <c r="A785" s="4" t="n"/>
      <c r="B785" s="4" t="n"/>
      <c r="C785" s="4" t="n"/>
      <c r="D785" s="4" t="n"/>
    </row>
    <row r="786" ht="15.75" customHeight="1" s="40">
      <c r="A786" s="4" t="n"/>
      <c r="B786" s="4" t="n"/>
      <c r="C786" s="4" t="n"/>
      <c r="D786" s="4" t="n"/>
    </row>
    <row r="787" ht="15.75" customHeight="1" s="40">
      <c r="A787" s="4" t="n"/>
      <c r="B787" s="4" t="n"/>
      <c r="C787" s="4" t="n"/>
      <c r="D787" s="4" t="n"/>
    </row>
    <row r="788" ht="15.75" customHeight="1" s="40">
      <c r="A788" s="4" t="n"/>
      <c r="B788" s="4" t="n"/>
      <c r="C788" s="4" t="n"/>
      <c r="D788" s="4" t="n"/>
    </row>
    <row r="789" ht="15.75" customHeight="1" s="40">
      <c r="A789" s="4" t="n"/>
      <c r="B789" s="4" t="n"/>
      <c r="C789" s="4" t="n"/>
      <c r="D789" s="4" t="n"/>
    </row>
    <row r="790" ht="15.75" customHeight="1" s="40">
      <c r="A790" s="4" t="n"/>
      <c r="B790" s="4" t="n"/>
      <c r="C790" s="4" t="n"/>
      <c r="D790" s="4" t="n"/>
    </row>
    <row r="791" ht="15.75" customHeight="1" s="40">
      <c r="A791" s="4" t="n"/>
      <c r="B791" s="4" t="n"/>
      <c r="C791" s="4" t="n"/>
      <c r="D791" s="4" t="n"/>
    </row>
    <row r="792" ht="15.75" customHeight="1" s="40">
      <c r="A792" s="4" t="n"/>
      <c r="B792" s="4" t="n"/>
      <c r="C792" s="4" t="n"/>
      <c r="D792" s="4" t="n"/>
    </row>
    <row r="793" ht="15.75" customHeight="1" s="40">
      <c r="A793" s="4" t="n"/>
      <c r="B793" s="4" t="n"/>
      <c r="C793" s="4" t="n"/>
      <c r="D793" s="4" t="n"/>
    </row>
    <row r="794" ht="15.75" customHeight="1" s="40">
      <c r="A794" s="4" t="n"/>
      <c r="B794" s="4" t="n"/>
      <c r="C794" s="4" t="n"/>
      <c r="D794" s="4" t="n"/>
    </row>
    <row r="795" ht="15.75" customHeight="1" s="40">
      <c r="A795" s="4" t="n"/>
      <c r="B795" s="4" t="n"/>
      <c r="C795" s="4" t="n"/>
      <c r="D795" s="4" t="n"/>
    </row>
    <row r="796" ht="15.75" customHeight="1" s="40">
      <c r="A796" s="4" t="n"/>
      <c r="B796" s="4" t="n"/>
      <c r="C796" s="4" t="n"/>
      <c r="D796" s="4" t="n"/>
    </row>
    <row r="797" ht="15.75" customHeight="1" s="40">
      <c r="A797" s="4" t="n"/>
      <c r="B797" s="4" t="n"/>
      <c r="C797" s="4" t="n"/>
      <c r="D797" s="4" t="n"/>
    </row>
    <row r="798" ht="15.75" customHeight="1" s="40">
      <c r="A798" s="4" t="n"/>
      <c r="B798" s="4" t="n"/>
      <c r="C798" s="4" t="n"/>
      <c r="D798" s="4" t="n"/>
    </row>
    <row r="799" ht="15.75" customHeight="1" s="40">
      <c r="A799" s="4" t="n"/>
      <c r="B799" s="4" t="n"/>
      <c r="C799" s="4" t="n"/>
      <c r="D799" s="4" t="n"/>
    </row>
    <row r="800" ht="15.75" customHeight="1" s="40">
      <c r="A800" s="4" t="n"/>
      <c r="B800" s="4" t="n"/>
      <c r="C800" s="4" t="n"/>
      <c r="D800" s="4" t="n"/>
    </row>
    <row r="801" ht="15.75" customHeight="1" s="40">
      <c r="A801" s="4" t="n"/>
      <c r="B801" s="4" t="n"/>
      <c r="C801" s="4" t="n"/>
      <c r="D801" s="4" t="n"/>
    </row>
    <row r="802" ht="15.75" customHeight="1" s="40">
      <c r="A802" s="4" t="n"/>
      <c r="B802" s="4" t="n"/>
      <c r="C802" s="4" t="n"/>
      <c r="D802" s="4" t="n"/>
    </row>
    <row r="803" ht="15.75" customHeight="1" s="40">
      <c r="A803" s="4" t="n"/>
      <c r="B803" s="4" t="n"/>
      <c r="C803" s="4" t="n"/>
      <c r="D803" s="4" t="n"/>
    </row>
    <row r="804" ht="15.75" customHeight="1" s="40">
      <c r="A804" s="4" t="n"/>
      <c r="B804" s="4" t="n"/>
      <c r="C804" s="4" t="n"/>
      <c r="D804" s="4" t="n"/>
    </row>
    <row r="805" ht="15.75" customHeight="1" s="40">
      <c r="A805" s="4" t="n"/>
      <c r="B805" s="4" t="n"/>
      <c r="C805" s="4" t="n"/>
      <c r="D805" s="4" t="n"/>
    </row>
    <row r="806" ht="15.75" customHeight="1" s="40">
      <c r="A806" s="4" t="n"/>
      <c r="B806" s="4" t="n"/>
      <c r="C806" s="4" t="n"/>
      <c r="D806" s="4" t="n"/>
    </row>
    <row r="807" ht="15.75" customHeight="1" s="40">
      <c r="A807" s="4" t="n"/>
      <c r="B807" s="4" t="n"/>
      <c r="C807" s="4" t="n"/>
      <c r="D807" s="4" t="n"/>
    </row>
    <row r="808" ht="15.75" customHeight="1" s="40">
      <c r="A808" s="4" t="n"/>
      <c r="B808" s="4" t="n"/>
      <c r="C808" s="4" t="n"/>
      <c r="D808" s="4" t="n"/>
    </row>
    <row r="809" ht="15.75" customHeight="1" s="40">
      <c r="A809" s="4" t="n"/>
      <c r="B809" s="4" t="n"/>
      <c r="C809" s="4" t="n"/>
      <c r="D809" s="4" t="n"/>
    </row>
    <row r="810" ht="15.75" customHeight="1" s="40">
      <c r="A810" s="4" t="n"/>
      <c r="B810" s="4" t="n"/>
      <c r="C810" s="4" t="n"/>
      <c r="D810" s="4" t="n"/>
    </row>
    <row r="811" ht="15.75" customHeight="1" s="40">
      <c r="A811" s="4" t="n"/>
      <c r="B811" s="4" t="n"/>
      <c r="C811" s="4" t="n"/>
      <c r="D811" s="4" t="n"/>
    </row>
    <row r="812" ht="15.75" customHeight="1" s="40">
      <c r="A812" s="4" t="n"/>
      <c r="B812" s="4" t="n"/>
      <c r="C812" s="4" t="n"/>
      <c r="D812" s="4" t="n"/>
    </row>
    <row r="813" ht="15.75" customHeight="1" s="40">
      <c r="A813" s="4" t="n"/>
      <c r="B813" s="4" t="n"/>
      <c r="C813" s="4" t="n"/>
      <c r="D813" s="4" t="n"/>
    </row>
    <row r="814" ht="15.75" customHeight="1" s="40">
      <c r="A814" s="4" t="n"/>
      <c r="B814" s="4" t="n"/>
      <c r="C814" s="4" t="n"/>
      <c r="D814" s="4" t="n"/>
    </row>
    <row r="815" ht="15.75" customHeight="1" s="40">
      <c r="A815" s="4" t="n"/>
      <c r="B815" s="4" t="n"/>
      <c r="C815" s="4" t="n"/>
      <c r="D815" s="4" t="n"/>
    </row>
    <row r="816" ht="15.75" customHeight="1" s="40">
      <c r="A816" s="4" t="n"/>
      <c r="B816" s="4" t="n"/>
      <c r="C816" s="4" t="n"/>
      <c r="D816" s="4" t="n"/>
    </row>
    <row r="817" ht="15.75" customHeight="1" s="40">
      <c r="A817" s="4" t="n"/>
      <c r="B817" s="4" t="n"/>
      <c r="C817" s="4" t="n"/>
      <c r="D817" s="4" t="n"/>
    </row>
    <row r="818" ht="15.75" customHeight="1" s="40">
      <c r="A818" s="4" t="n"/>
      <c r="B818" s="4" t="n"/>
      <c r="C818" s="4" t="n"/>
      <c r="D818" s="4" t="n"/>
    </row>
    <row r="819" ht="15.75" customHeight="1" s="40">
      <c r="A819" s="4" t="n"/>
      <c r="B819" s="4" t="n"/>
      <c r="C819" s="4" t="n"/>
      <c r="D819" s="4" t="n"/>
    </row>
    <row r="820" ht="15.75" customHeight="1" s="40">
      <c r="A820" s="4" t="n"/>
      <c r="B820" s="4" t="n"/>
      <c r="C820" s="4" t="n"/>
      <c r="D820" s="4" t="n"/>
    </row>
    <row r="821" ht="15.75" customHeight="1" s="40">
      <c r="A821" s="4" t="n"/>
      <c r="B821" s="4" t="n"/>
      <c r="C821" s="4" t="n"/>
      <c r="D821" s="4" t="n"/>
    </row>
    <row r="822" ht="15.75" customHeight="1" s="40">
      <c r="A822" s="4" t="n"/>
      <c r="B822" s="4" t="n"/>
      <c r="C822" s="4" t="n"/>
      <c r="D822" s="4" t="n"/>
    </row>
    <row r="823" ht="15.75" customHeight="1" s="40">
      <c r="A823" s="4" t="n"/>
      <c r="B823" s="4" t="n"/>
      <c r="C823" s="4" t="n"/>
      <c r="D823" s="4" t="n"/>
    </row>
    <row r="824" ht="15.75" customHeight="1" s="40">
      <c r="A824" s="4" t="n"/>
      <c r="B824" s="4" t="n"/>
      <c r="C824" s="4" t="n"/>
      <c r="D824" s="4" t="n"/>
    </row>
    <row r="825" ht="15.75" customHeight="1" s="40">
      <c r="A825" s="4" t="n"/>
      <c r="B825" s="4" t="n"/>
      <c r="C825" s="4" t="n"/>
      <c r="D825" s="4" t="n"/>
    </row>
    <row r="826" ht="15.75" customHeight="1" s="40">
      <c r="A826" s="4" t="n"/>
      <c r="B826" s="4" t="n"/>
      <c r="C826" s="4" t="n"/>
      <c r="D826" s="4" t="n"/>
    </row>
    <row r="827" ht="15.75" customHeight="1" s="40">
      <c r="A827" s="4" t="n"/>
      <c r="B827" s="4" t="n"/>
      <c r="C827" s="4" t="n"/>
      <c r="D827" s="4" t="n"/>
    </row>
    <row r="828" ht="15.75" customHeight="1" s="40">
      <c r="A828" s="4" t="n"/>
      <c r="B828" s="4" t="n"/>
      <c r="C828" s="4" t="n"/>
      <c r="D828" s="4" t="n"/>
    </row>
    <row r="829" ht="15.75" customHeight="1" s="40">
      <c r="A829" s="4" t="n"/>
      <c r="B829" s="4" t="n"/>
      <c r="C829" s="4" t="n"/>
      <c r="D829" s="4" t="n"/>
    </row>
    <row r="830" ht="15.75" customHeight="1" s="40">
      <c r="A830" s="4" t="n"/>
      <c r="B830" s="4" t="n"/>
      <c r="C830" s="4" t="n"/>
      <c r="D830" s="4" t="n"/>
    </row>
    <row r="831" ht="15.75" customHeight="1" s="40">
      <c r="A831" s="4" t="n"/>
      <c r="B831" s="4" t="n"/>
      <c r="C831" s="4" t="n"/>
      <c r="D831" s="4" t="n"/>
    </row>
    <row r="832" ht="15.75" customHeight="1" s="40">
      <c r="A832" s="4" t="n"/>
      <c r="B832" s="4" t="n"/>
      <c r="C832" s="4" t="n"/>
      <c r="D832" s="4" t="n"/>
    </row>
    <row r="833" ht="15.75" customHeight="1" s="40">
      <c r="A833" s="4" t="n"/>
      <c r="B833" s="4" t="n"/>
      <c r="C833" s="4" t="n"/>
      <c r="D833" s="4" t="n"/>
    </row>
    <row r="834" ht="15.75" customHeight="1" s="40">
      <c r="A834" s="4" t="n"/>
      <c r="B834" s="4" t="n"/>
      <c r="C834" s="4" t="n"/>
      <c r="D834" s="4" t="n"/>
    </row>
    <row r="835" ht="15.75" customHeight="1" s="40">
      <c r="A835" s="4" t="n"/>
      <c r="B835" s="4" t="n"/>
      <c r="C835" s="4" t="n"/>
      <c r="D835" s="4" t="n"/>
    </row>
    <row r="836" ht="15.75" customHeight="1" s="40">
      <c r="A836" s="4" t="n"/>
      <c r="B836" s="4" t="n"/>
      <c r="C836" s="4" t="n"/>
      <c r="D836" s="4" t="n"/>
    </row>
    <row r="837" ht="15.75" customHeight="1" s="40">
      <c r="A837" s="4" t="n"/>
      <c r="B837" s="4" t="n"/>
      <c r="C837" s="4" t="n"/>
      <c r="D837" s="4" t="n"/>
    </row>
    <row r="838" ht="15.75" customHeight="1" s="40">
      <c r="A838" s="4" t="n"/>
      <c r="B838" s="4" t="n"/>
      <c r="C838" s="4" t="n"/>
      <c r="D838" s="4" t="n"/>
    </row>
    <row r="839" ht="15.75" customHeight="1" s="40">
      <c r="A839" s="4" t="n"/>
      <c r="B839" s="4" t="n"/>
      <c r="C839" s="4" t="n"/>
      <c r="D839" s="4" t="n"/>
    </row>
    <row r="840" ht="15.75" customHeight="1" s="40">
      <c r="A840" s="4" t="n"/>
      <c r="B840" s="4" t="n"/>
      <c r="C840" s="4" t="n"/>
      <c r="D840" s="4" t="n"/>
    </row>
    <row r="841" ht="15.75" customHeight="1" s="40">
      <c r="A841" s="4" t="n"/>
      <c r="B841" s="4" t="n"/>
      <c r="C841" s="4" t="n"/>
      <c r="D841" s="4" t="n"/>
    </row>
    <row r="842" ht="15.75" customHeight="1" s="40">
      <c r="A842" s="4" t="n"/>
      <c r="B842" s="4" t="n"/>
      <c r="C842" s="4" t="n"/>
      <c r="D842" s="4" t="n"/>
    </row>
    <row r="843" ht="15.75" customHeight="1" s="40">
      <c r="A843" s="4" t="n"/>
      <c r="B843" s="4" t="n"/>
      <c r="C843" s="4" t="n"/>
      <c r="D843" s="4" t="n"/>
    </row>
    <row r="844" ht="15.75" customHeight="1" s="40">
      <c r="A844" s="4" t="n"/>
      <c r="B844" s="4" t="n"/>
      <c r="C844" s="4" t="n"/>
      <c r="D844" s="4" t="n"/>
    </row>
    <row r="845" ht="15.75" customHeight="1" s="40">
      <c r="A845" s="4" t="n"/>
      <c r="B845" s="4" t="n"/>
      <c r="C845" s="4" t="n"/>
      <c r="D845" s="4" t="n"/>
    </row>
    <row r="846" ht="15.75" customHeight="1" s="40">
      <c r="A846" s="4" t="n"/>
      <c r="B846" s="4" t="n"/>
      <c r="C846" s="4" t="n"/>
      <c r="D846" s="4" t="n"/>
    </row>
    <row r="847" ht="15.75" customHeight="1" s="40">
      <c r="A847" s="4" t="n"/>
      <c r="B847" s="4" t="n"/>
      <c r="C847" s="4" t="n"/>
      <c r="D847" s="4" t="n"/>
    </row>
    <row r="848" ht="15.75" customHeight="1" s="40">
      <c r="A848" s="4" t="n"/>
      <c r="B848" s="4" t="n"/>
      <c r="C848" s="4" t="n"/>
      <c r="D848" s="4" t="n"/>
    </row>
    <row r="849" ht="15.75" customHeight="1" s="40">
      <c r="A849" s="4" t="n"/>
      <c r="B849" s="4" t="n"/>
      <c r="C849" s="4" t="n"/>
      <c r="D849" s="4" t="n"/>
    </row>
    <row r="850" ht="15.75" customHeight="1" s="40">
      <c r="A850" s="4" t="n"/>
      <c r="B850" s="4" t="n"/>
      <c r="C850" s="4" t="n"/>
      <c r="D850" s="4" t="n"/>
    </row>
    <row r="851" ht="15.75" customHeight="1" s="40">
      <c r="A851" s="4" t="n"/>
      <c r="B851" s="4" t="n"/>
      <c r="C851" s="4" t="n"/>
      <c r="D851" s="4" t="n"/>
    </row>
    <row r="852" ht="15.75" customHeight="1" s="40">
      <c r="A852" s="4" t="n"/>
      <c r="B852" s="4" t="n"/>
      <c r="C852" s="4" t="n"/>
      <c r="D852" s="4" t="n"/>
    </row>
    <row r="853" ht="15.75" customHeight="1" s="40">
      <c r="A853" s="4" t="n"/>
      <c r="B853" s="4" t="n"/>
      <c r="C853" s="4" t="n"/>
      <c r="D853" s="4" t="n"/>
    </row>
    <row r="854" ht="15.75" customHeight="1" s="40">
      <c r="A854" s="4" t="n"/>
      <c r="B854" s="4" t="n"/>
      <c r="C854" s="4" t="n"/>
      <c r="D854" s="4" t="n"/>
    </row>
    <row r="855" ht="15.75" customHeight="1" s="40">
      <c r="A855" s="4" t="n"/>
      <c r="B855" s="4" t="n"/>
      <c r="C855" s="4" t="n"/>
      <c r="D855" s="4" t="n"/>
    </row>
    <row r="856" ht="15.75" customHeight="1" s="40">
      <c r="A856" s="4" t="n"/>
      <c r="B856" s="4" t="n"/>
      <c r="C856" s="4" t="n"/>
      <c r="D856" s="4" t="n"/>
    </row>
    <row r="857" ht="15.75" customHeight="1" s="40">
      <c r="A857" s="4" t="n"/>
      <c r="B857" s="4" t="n"/>
      <c r="C857" s="4" t="n"/>
      <c r="D857" s="4" t="n"/>
    </row>
    <row r="858" ht="15.75" customHeight="1" s="40">
      <c r="A858" s="4" t="n"/>
      <c r="B858" s="4" t="n"/>
      <c r="C858" s="4" t="n"/>
      <c r="D858" s="4" t="n"/>
    </row>
    <row r="859" ht="15.75" customHeight="1" s="40">
      <c r="A859" s="4" t="n"/>
      <c r="B859" s="4" t="n"/>
      <c r="C859" s="4" t="n"/>
      <c r="D859" s="4" t="n"/>
    </row>
    <row r="860" ht="15.75" customHeight="1" s="40">
      <c r="A860" s="4" t="n"/>
      <c r="B860" s="4" t="n"/>
      <c r="C860" s="4" t="n"/>
      <c r="D860" s="4" t="n"/>
    </row>
    <row r="861" ht="15.75" customHeight="1" s="40">
      <c r="A861" s="4" t="n"/>
      <c r="B861" s="4" t="n"/>
      <c r="C861" s="4" t="n"/>
      <c r="D861" s="4" t="n"/>
    </row>
    <row r="862" ht="15.75" customHeight="1" s="40">
      <c r="A862" s="4" t="n"/>
      <c r="B862" s="4" t="n"/>
      <c r="C862" s="4" t="n"/>
      <c r="D862" s="4" t="n"/>
    </row>
    <row r="863" ht="15.75" customHeight="1" s="40">
      <c r="A863" s="4" t="n"/>
      <c r="B863" s="4" t="n"/>
      <c r="C863" s="4" t="n"/>
      <c r="D863" s="4" t="n"/>
    </row>
    <row r="864" ht="15.75" customHeight="1" s="40">
      <c r="A864" s="4" t="n"/>
      <c r="B864" s="4" t="n"/>
      <c r="C864" s="4" t="n"/>
      <c r="D864" s="4" t="n"/>
    </row>
    <row r="865" ht="15.75" customHeight="1" s="40">
      <c r="A865" s="4" t="n"/>
      <c r="B865" s="4" t="n"/>
      <c r="C865" s="4" t="n"/>
      <c r="D865" s="4" t="n"/>
    </row>
    <row r="866" ht="15.75" customHeight="1" s="40">
      <c r="A866" s="4" t="n"/>
      <c r="B866" s="4" t="n"/>
      <c r="C866" s="4" t="n"/>
      <c r="D866" s="4" t="n"/>
    </row>
    <row r="867" ht="15.75" customHeight="1" s="40">
      <c r="A867" s="4" t="n"/>
      <c r="B867" s="4" t="n"/>
      <c r="C867" s="4" t="n"/>
      <c r="D867" s="4" t="n"/>
    </row>
    <row r="868" ht="15.75" customHeight="1" s="40">
      <c r="A868" s="4" t="n"/>
      <c r="B868" s="4" t="n"/>
      <c r="C868" s="4" t="n"/>
      <c r="D868" s="4" t="n"/>
    </row>
    <row r="869" ht="15.75" customHeight="1" s="40">
      <c r="A869" s="4" t="n"/>
      <c r="B869" s="4" t="n"/>
      <c r="C869" s="4" t="n"/>
      <c r="D869" s="4" t="n"/>
    </row>
    <row r="870" ht="15.75" customHeight="1" s="40">
      <c r="A870" s="4" t="n"/>
      <c r="B870" s="4" t="n"/>
      <c r="C870" s="4" t="n"/>
      <c r="D870" s="4" t="n"/>
    </row>
    <row r="871" ht="15.75" customHeight="1" s="40">
      <c r="A871" s="4" t="n"/>
      <c r="B871" s="4" t="n"/>
      <c r="C871" s="4" t="n"/>
      <c r="D871" s="4" t="n"/>
    </row>
    <row r="872" ht="15.75" customHeight="1" s="40">
      <c r="A872" s="4" t="n"/>
      <c r="B872" s="4" t="n"/>
      <c r="C872" s="4" t="n"/>
      <c r="D872" s="4" t="n"/>
    </row>
    <row r="873" ht="15.75" customHeight="1" s="40">
      <c r="A873" s="4" t="n"/>
      <c r="B873" s="4" t="n"/>
      <c r="C873" s="4" t="n"/>
      <c r="D873" s="4" t="n"/>
    </row>
    <row r="874" ht="15.75" customHeight="1" s="40">
      <c r="A874" s="4" t="n"/>
      <c r="B874" s="4" t="n"/>
      <c r="C874" s="4" t="n"/>
      <c r="D874" s="4" t="n"/>
    </row>
    <row r="875" ht="15.75" customHeight="1" s="40">
      <c r="A875" s="4" t="n"/>
      <c r="B875" s="4" t="n"/>
      <c r="C875" s="4" t="n"/>
      <c r="D875" s="4" t="n"/>
    </row>
    <row r="876" ht="15.75" customHeight="1" s="40">
      <c r="A876" s="4" t="n"/>
      <c r="B876" s="4" t="n"/>
      <c r="C876" s="4" t="n"/>
      <c r="D876" s="4" t="n"/>
    </row>
    <row r="877" ht="15.75" customHeight="1" s="40">
      <c r="A877" s="4" t="n"/>
      <c r="B877" s="4" t="n"/>
      <c r="C877" s="4" t="n"/>
      <c r="D877" s="4" t="n"/>
    </row>
    <row r="878" ht="15.75" customHeight="1" s="40">
      <c r="A878" s="4" t="n"/>
      <c r="B878" s="4" t="n"/>
      <c r="C878" s="4" t="n"/>
      <c r="D878" s="4" t="n"/>
    </row>
    <row r="879" ht="15.75" customHeight="1" s="40">
      <c r="A879" s="4" t="n"/>
      <c r="B879" s="4" t="n"/>
      <c r="C879" s="4" t="n"/>
      <c r="D879" s="4" t="n"/>
    </row>
    <row r="880" ht="15.75" customHeight="1" s="40">
      <c r="A880" s="4" t="n"/>
      <c r="B880" s="4" t="n"/>
      <c r="C880" s="4" t="n"/>
      <c r="D880" s="4" t="n"/>
    </row>
    <row r="881" ht="15.75" customHeight="1" s="40">
      <c r="A881" s="4" t="n"/>
      <c r="B881" s="4" t="n"/>
      <c r="C881" s="4" t="n"/>
      <c r="D881" s="4" t="n"/>
    </row>
    <row r="882" ht="15.75" customHeight="1" s="40">
      <c r="A882" s="4" t="n"/>
      <c r="B882" s="4" t="n"/>
      <c r="C882" s="4" t="n"/>
      <c r="D882" s="4" t="n"/>
    </row>
    <row r="883" ht="15.75" customHeight="1" s="40">
      <c r="A883" s="4" t="n"/>
      <c r="B883" s="4" t="n"/>
      <c r="C883" s="4" t="n"/>
      <c r="D883" s="4" t="n"/>
    </row>
    <row r="884" ht="15.75" customHeight="1" s="40">
      <c r="A884" s="4" t="n"/>
      <c r="B884" s="4" t="n"/>
      <c r="C884" s="4" t="n"/>
      <c r="D884" s="4" t="n"/>
    </row>
    <row r="885" ht="15.75" customHeight="1" s="40">
      <c r="A885" s="4" t="n"/>
      <c r="B885" s="4" t="n"/>
      <c r="C885" s="4" t="n"/>
      <c r="D885" s="4" t="n"/>
    </row>
    <row r="886" ht="15.75" customHeight="1" s="40">
      <c r="A886" s="4" t="n"/>
      <c r="B886" s="4" t="n"/>
      <c r="C886" s="4" t="n"/>
      <c r="D886" s="4" t="n"/>
    </row>
    <row r="887" ht="15.75" customHeight="1" s="40">
      <c r="A887" s="4" t="n"/>
      <c r="B887" s="4" t="n"/>
      <c r="C887" s="4" t="n"/>
      <c r="D887" s="4" t="n"/>
    </row>
    <row r="888" ht="15.75" customHeight="1" s="40">
      <c r="A888" s="4" t="n"/>
      <c r="B888" s="4" t="n"/>
      <c r="C888" s="4" t="n"/>
      <c r="D888" s="4" t="n"/>
    </row>
    <row r="889" ht="15.75" customHeight="1" s="40">
      <c r="A889" s="4" t="n"/>
      <c r="B889" s="4" t="n"/>
      <c r="C889" s="4" t="n"/>
      <c r="D889" s="4" t="n"/>
    </row>
    <row r="890" ht="15.75" customHeight="1" s="40">
      <c r="A890" s="4" t="n"/>
      <c r="B890" s="4" t="n"/>
      <c r="C890" s="4" t="n"/>
      <c r="D890" s="4" t="n"/>
    </row>
    <row r="891" ht="15.75" customHeight="1" s="40">
      <c r="A891" s="4" t="n"/>
      <c r="B891" s="4" t="n"/>
      <c r="C891" s="4" t="n"/>
      <c r="D891" s="4" t="n"/>
    </row>
    <row r="892" ht="15.75" customHeight="1" s="40">
      <c r="A892" s="4" t="n"/>
      <c r="B892" s="4" t="n"/>
      <c r="C892" s="4" t="n"/>
      <c r="D892" s="4" t="n"/>
    </row>
    <row r="893" ht="15.75" customHeight="1" s="40">
      <c r="A893" s="4" t="n"/>
      <c r="B893" s="4" t="n"/>
      <c r="C893" s="4" t="n"/>
      <c r="D893" s="4" t="n"/>
    </row>
    <row r="894" ht="15.75" customHeight="1" s="40">
      <c r="A894" s="4" t="n"/>
      <c r="B894" s="4" t="n"/>
      <c r="C894" s="4" t="n"/>
      <c r="D894" s="4" t="n"/>
    </row>
    <row r="895" ht="15.75" customHeight="1" s="40">
      <c r="A895" s="4" t="n"/>
      <c r="B895" s="4" t="n"/>
      <c r="C895" s="4" t="n"/>
      <c r="D895" s="4" t="n"/>
    </row>
    <row r="896" ht="15.75" customHeight="1" s="40">
      <c r="A896" s="4" t="n"/>
      <c r="B896" s="4" t="n"/>
      <c r="C896" s="4" t="n"/>
      <c r="D896" s="4" t="n"/>
    </row>
    <row r="897" ht="15.75" customHeight="1" s="40">
      <c r="A897" s="4" t="n"/>
      <c r="B897" s="4" t="n"/>
      <c r="C897" s="4" t="n"/>
      <c r="D897" s="4" t="n"/>
    </row>
    <row r="898" ht="15.75" customHeight="1" s="40">
      <c r="A898" s="4" t="n"/>
      <c r="B898" s="4" t="n"/>
      <c r="C898" s="4" t="n"/>
      <c r="D898" s="4" t="n"/>
    </row>
    <row r="899" ht="15.75" customHeight="1" s="40">
      <c r="A899" s="4" t="n"/>
      <c r="B899" s="4" t="n"/>
      <c r="C899" s="4" t="n"/>
      <c r="D899" s="4" t="n"/>
    </row>
    <row r="900" ht="15.75" customHeight="1" s="40">
      <c r="A900" s="4" t="n"/>
      <c r="B900" s="4" t="n"/>
      <c r="C900" s="4" t="n"/>
      <c r="D900" s="4" t="n"/>
    </row>
    <row r="901" ht="15.75" customHeight="1" s="40">
      <c r="A901" s="4" t="n"/>
      <c r="B901" s="4" t="n"/>
      <c r="C901" s="4" t="n"/>
      <c r="D901" s="4" t="n"/>
    </row>
    <row r="902" ht="15.75" customHeight="1" s="40">
      <c r="A902" s="4" t="n"/>
      <c r="B902" s="4" t="n"/>
      <c r="C902" s="4" t="n"/>
      <c r="D902" s="4" t="n"/>
    </row>
    <row r="903" ht="15.75" customHeight="1" s="40">
      <c r="A903" s="4" t="n"/>
      <c r="B903" s="4" t="n"/>
      <c r="C903" s="4" t="n"/>
      <c r="D903" s="4" t="n"/>
    </row>
    <row r="904" ht="15.75" customHeight="1" s="40">
      <c r="A904" s="4" t="n"/>
      <c r="B904" s="4" t="n"/>
      <c r="C904" s="4" t="n"/>
      <c r="D904" s="4" t="n"/>
    </row>
    <row r="905" ht="15.75" customHeight="1" s="40">
      <c r="A905" s="4" t="n"/>
      <c r="B905" s="4" t="n"/>
      <c r="C905" s="4" t="n"/>
      <c r="D905" s="4" t="n"/>
    </row>
    <row r="906" ht="15.75" customHeight="1" s="40">
      <c r="A906" s="4" t="n"/>
      <c r="B906" s="4" t="n"/>
      <c r="C906" s="4" t="n"/>
      <c r="D906" s="4" t="n"/>
    </row>
    <row r="907" ht="15.75" customHeight="1" s="40">
      <c r="A907" s="4" t="n"/>
      <c r="B907" s="4" t="n"/>
      <c r="C907" s="4" t="n"/>
      <c r="D907" s="4" t="n"/>
    </row>
    <row r="908" ht="15.75" customHeight="1" s="40">
      <c r="A908" s="4" t="n"/>
      <c r="B908" s="4" t="n"/>
      <c r="C908" s="4" t="n"/>
      <c r="D908" s="4" t="n"/>
    </row>
    <row r="909" ht="15.75" customHeight="1" s="40">
      <c r="A909" s="4" t="n"/>
      <c r="B909" s="4" t="n"/>
      <c r="C909" s="4" t="n"/>
      <c r="D909" s="4" t="n"/>
    </row>
    <row r="910" ht="15.75" customHeight="1" s="40">
      <c r="A910" s="4" t="n"/>
      <c r="B910" s="4" t="n"/>
      <c r="C910" s="4" t="n"/>
      <c r="D910" s="4" t="n"/>
    </row>
    <row r="911" ht="15.75" customHeight="1" s="40">
      <c r="A911" s="4" t="n"/>
      <c r="B911" s="4" t="n"/>
      <c r="C911" s="4" t="n"/>
      <c r="D911" s="4" t="n"/>
    </row>
    <row r="912" ht="15.75" customHeight="1" s="40">
      <c r="A912" s="4" t="n"/>
      <c r="B912" s="4" t="n"/>
      <c r="C912" s="4" t="n"/>
      <c r="D912" s="4" t="n"/>
    </row>
    <row r="913" ht="15.75" customHeight="1" s="40">
      <c r="A913" s="4" t="n"/>
      <c r="B913" s="4" t="n"/>
      <c r="C913" s="4" t="n"/>
      <c r="D913" s="4" t="n"/>
    </row>
    <row r="914" ht="15.75" customHeight="1" s="40">
      <c r="A914" s="4" t="n"/>
      <c r="B914" s="4" t="n"/>
      <c r="C914" s="4" t="n"/>
      <c r="D914" s="4" t="n"/>
    </row>
    <row r="915" ht="15.75" customHeight="1" s="40">
      <c r="A915" s="4" t="n"/>
      <c r="B915" s="4" t="n"/>
      <c r="C915" s="4" t="n"/>
      <c r="D915" s="4" t="n"/>
    </row>
    <row r="916" ht="15.75" customHeight="1" s="40">
      <c r="A916" s="4" t="n"/>
      <c r="B916" s="4" t="n"/>
      <c r="C916" s="4" t="n"/>
      <c r="D916" s="4" t="n"/>
    </row>
    <row r="917" ht="15.75" customHeight="1" s="40">
      <c r="A917" s="4" t="n"/>
      <c r="B917" s="4" t="n"/>
      <c r="C917" s="4" t="n"/>
      <c r="D917" s="4" t="n"/>
    </row>
    <row r="918" ht="15.75" customHeight="1" s="40">
      <c r="A918" s="4" t="n"/>
      <c r="B918" s="4" t="n"/>
      <c r="C918" s="4" t="n"/>
      <c r="D918" s="4" t="n"/>
    </row>
    <row r="919" ht="15.75" customHeight="1" s="40">
      <c r="A919" s="4" t="n"/>
      <c r="B919" s="4" t="n"/>
      <c r="C919" s="4" t="n"/>
      <c r="D919" s="4" t="n"/>
    </row>
    <row r="920" ht="15.75" customHeight="1" s="40">
      <c r="A920" s="4" t="n"/>
      <c r="B920" s="4" t="n"/>
      <c r="C920" s="4" t="n"/>
      <c r="D920" s="4" t="n"/>
    </row>
    <row r="921" ht="15.75" customHeight="1" s="40">
      <c r="A921" s="4" t="n"/>
      <c r="B921" s="4" t="n"/>
      <c r="C921" s="4" t="n"/>
      <c r="D921" s="4" t="n"/>
    </row>
    <row r="922" ht="15.75" customHeight="1" s="40">
      <c r="A922" s="4" t="n"/>
      <c r="B922" s="4" t="n"/>
      <c r="C922" s="4" t="n"/>
      <c r="D922" s="4" t="n"/>
    </row>
    <row r="923" ht="15.75" customHeight="1" s="40">
      <c r="A923" s="4" t="n"/>
      <c r="B923" s="4" t="n"/>
      <c r="C923" s="4" t="n"/>
      <c r="D923" s="4" t="n"/>
    </row>
    <row r="924" ht="15.75" customHeight="1" s="40">
      <c r="A924" s="4" t="n"/>
      <c r="B924" s="4" t="n"/>
      <c r="C924" s="4" t="n"/>
      <c r="D924" s="4" t="n"/>
    </row>
    <row r="925" ht="15.75" customHeight="1" s="40">
      <c r="A925" s="4" t="n"/>
      <c r="B925" s="4" t="n"/>
      <c r="C925" s="4" t="n"/>
      <c r="D925" s="4" t="n"/>
    </row>
    <row r="926" ht="15.75" customHeight="1" s="40">
      <c r="A926" s="4" t="n"/>
      <c r="B926" s="4" t="n"/>
      <c r="C926" s="4" t="n"/>
      <c r="D926" s="4" t="n"/>
    </row>
    <row r="927" ht="15.75" customHeight="1" s="40">
      <c r="A927" s="4" t="n"/>
      <c r="B927" s="4" t="n"/>
      <c r="C927" s="4" t="n"/>
      <c r="D927" s="4" t="n"/>
    </row>
    <row r="928" ht="15.75" customHeight="1" s="40">
      <c r="A928" s="4" t="n"/>
      <c r="B928" s="4" t="n"/>
      <c r="C928" s="4" t="n"/>
      <c r="D928" s="4" t="n"/>
    </row>
    <row r="929" ht="15.75" customHeight="1" s="40">
      <c r="A929" s="4" t="n"/>
      <c r="B929" s="4" t="n"/>
      <c r="C929" s="4" t="n"/>
      <c r="D929" s="4" t="n"/>
    </row>
    <row r="930" ht="15.75" customHeight="1" s="40">
      <c r="A930" s="4" t="n"/>
      <c r="B930" s="4" t="n"/>
      <c r="C930" s="4" t="n"/>
      <c r="D930" s="4" t="n"/>
    </row>
    <row r="931" ht="15.75" customHeight="1" s="40">
      <c r="A931" s="4" t="n"/>
      <c r="B931" s="4" t="n"/>
      <c r="C931" s="4" t="n"/>
      <c r="D931" s="4" t="n"/>
    </row>
    <row r="932" ht="15.75" customHeight="1" s="40">
      <c r="A932" s="4" t="n"/>
      <c r="B932" s="4" t="n"/>
      <c r="C932" s="4" t="n"/>
      <c r="D932" s="4" t="n"/>
    </row>
    <row r="933" ht="15.75" customHeight="1" s="40">
      <c r="A933" s="4" t="n"/>
      <c r="B933" s="4" t="n"/>
      <c r="C933" s="4" t="n"/>
      <c r="D933" s="4" t="n"/>
    </row>
    <row r="934" ht="15.75" customHeight="1" s="40">
      <c r="A934" s="4" t="n"/>
      <c r="B934" s="4" t="n"/>
      <c r="C934" s="4" t="n"/>
      <c r="D934" s="4" t="n"/>
    </row>
    <row r="935" ht="15.75" customHeight="1" s="40">
      <c r="A935" s="4" t="n"/>
      <c r="B935" s="4" t="n"/>
      <c r="C935" s="4" t="n"/>
      <c r="D935" s="4" t="n"/>
    </row>
    <row r="936" ht="15.75" customHeight="1" s="40">
      <c r="A936" s="4" t="n"/>
      <c r="B936" s="4" t="n"/>
      <c r="C936" s="4" t="n"/>
      <c r="D936" s="4" t="n"/>
    </row>
    <row r="937" ht="15.75" customHeight="1" s="40">
      <c r="A937" s="4" t="n"/>
      <c r="B937" s="4" t="n"/>
      <c r="C937" s="4" t="n"/>
      <c r="D937" s="4" t="n"/>
    </row>
    <row r="938" ht="15.75" customHeight="1" s="40">
      <c r="A938" s="4" t="n"/>
      <c r="B938" s="4" t="n"/>
      <c r="C938" s="4" t="n"/>
      <c r="D938" s="4" t="n"/>
    </row>
    <row r="939" ht="15.75" customHeight="1" s="40">
      <c r="A939" s="4" t="n"/>
      <c r="B939" s="4" t="n"/>
      <c r="C939" s="4" t="n"/>
      <c r="D939" s="4" t="n"/>
    </row>
    <row r="940" ht="15.75" customHeight="1" s="40">
      <c r="A940" s="4" t="n"/>
      <c r="B940" s="4" t="n"/>
      <c r="C940" s="4" t="n"/>
      <c r="D940" s="4" t="n"/>
    </row>
    <row r="941" ht="15.75" customHeight="1" s="40">
      <c r="A941" s="4" t="n"/>
      <c r="B941" s="4" t="n"/>
      <c r="C941" s="4" t="n"/>
      <c r="D941" s="4" t="n"/>
    </row>
    <row r="942" ht="15.75" customHeight="1" s="40">
      <c r="A942" s="4" t="n"/>
      <c r="B942" s="4" t="n"/>
      <c r="C942" s="4" t="n"/>
      <c r="D942" s="4" t="n"/>
    </row>
    <row r="943" ht="15.75" customHeight="1" s="40">
      <c r="A943" s="4" t="n"/>
      <c r="B943" s="4" t="n"/>
      <c r="C943" s="4" t="n"/>
      <c r="D943" s="4" t="n"/>
    </row>
    <row r="944" ht="15.75" customHeight="1" s="40">
      <c r="A944" s="4" t="n"/>
      <c r="B944" s="4" t="n"/>
      <c r="C944" s="4" t="n"/>
      <c r="D944" s="4" t="n"/>
    </row>
    <row r="945" ht="15.75" customHeight="1" s="40">
      <c r="A945" s="4" t="n"/>
      <c r="B945" s="4" t="n"/>
      <c r="C945" s="4" t="n"/>
      <c r="D945" s="4" t="n"/>
    </row>
    <row r="946" ht="15.75" customHeight="1" s="40">
      <c r="A946" s="4" t="n"/>
      <c r="B946" s="4" t="n"/>
      <c r="C946" s="4" t="n"/>
      <c r="D946" s="4" t="n"/>
    </row>
    <row r="947" ht="15.75" customHeight="1" s="40">
      <c r="A947" s="4" t="n"/>
      <c r="B947" s="4" t="n"/>
      <c r="C947" s="4" t="n"/>
      <c r="D947" s="4" t="n"/>
    </row>
    <row r="948" ht="15.75" customHeight="1" s="40">
      <c r="A948" s="4" t="n"/>
      <c r="B948" s="4" t="n"/>
      <c r="C948" s="4" t="n"/>
      <c r="D948" s="4" t="n"/>
    </row>
    <row r="949" ht="15.75" customHeight="1" s="40">
      <c r="A949" s="4" t="n"/>
      <c r="B949" s="4" t="n"/>
      <c r="C949" s="4" t="n"/>
      <c r="D949" s="4" t="n"/>
    </row>
    <row r="950" ht="15.75" customHeight="1" s="40">
      <c r="A950" s="4" t="n"/>
      <c r="B950" s="4" t="n"/>
      <c r="C950" s="4" t="n"/>
      <c r="D950" s="4" t="n"/>
    </row>
    <row r="951" ht="15.75" customHeight="1" s="40">
      <c r="A951" s="4" t="n"/>
      <c r="B951" s="4" t="n"/>
      <c r="C951" s="4" t="n"/>
      <c r="D951" s="4" t="n"/>
    </row>
    <row r="952" ht="15.75" customHeight="1" s="40">
      <c r="A952" s="4" t="n"/>
      <c r="B952" s="4" t="n"/>
      <c r="C952" s="4" t="n"/>
      <c r="D952" s="4" t="n"/>
    </row>
    <row r="953" ht="15.75" customHeight="1" s="40">
      <c r="A953" s="4" t="n"/>
      <c r="B953" s="4" t="n"/>
      <c r="C953" s="4" t="n"/>
      <c r="D953" s="4" t="n"/>
    </row>
    <row r="954" ht="15.75" customHeight="1" s="40">
      <c r="A954" s="4" t="n"/>
      <c r="B954" s="4" t="n"/>
      <c r="C954" s="4" t="n"/>
      <c r="D954" s="4" t="n"/>
    </row>
    <row r="955" ht="15.75" customHeight="1" s="40">
      <c r="A955" s="4" t="n"/>
      <c r="B955" s="4" t="n"/>
      <c r="C955" s="4" t="n"/>
      <c r="D955" s="4" t="n"/>
    </row>
    <row r="956" ht="15.75" customHeight="1" s="40">
      <c r="A956" s="4" t="n"/>
      <c r="B956" s="4" t="n"/>
      <c r="C956" s="4" t="n"/>
      <c r="D956" s="4" t="n"/>
    </row>
    <row r="957" ht="15.75" customHeight="1" s="40">
      <c r="A957" s="4" t="n"/>
      <c r="B957" s="4" t="n"/>
      <c r="C957" s="4" t="n"/>
      <c r="D957" s="4" t="n"/>
    </row>
    <row r="958" ht="15.75" customHeight="1" s="40">
      <c r="A958" s="4" t="n"/>
      <c r="B958" s="4" t="n"/>
      <c r="C958" s="4" t="n"/>
      <c r="D958" s="4" t="n"/>
    </row>
    <row r="959" ht="15.75" customHeight="1" s="40">
      <c r="A959" s="4" t="n"/>
      <c r="B959" s="4" t="n"/>
      <c r="C959" s="4" t="n"/>
      <c r="D959" s="4" t="n"/>
    </row>
    <row r="960" ht="15.75" customHeight="1" s="40">
      <c r="A960" s="4" t="n"/>
      <c r="B960" s="4" t="n"/>
      <c r="C960" s="4" t="n"/>
      <c r="D960" s="4" t="n"/>
    </row>
    <row r="961" ht="15.75" customHeight="1" s="40">
      <c r="A961" s="4" t="n"/>
      <c r="B961" s="4" t="n"/>
      <c r="C961" s="4" t="n"/>
      <c r="D961" s="4" t="n"/>
    </row>
    <row r="962" ht="15.75" customHeight="1" s="40">
      <c r="A962" s="4" t="n"/>
      <c r="B962" s="4" t="n"/>
      <c r="C962" s="4" t="n"/>
      <c r="D962" s="4" t="n"/>
    </row>
    <row r="963" ht="15.75" customHeight="1" s="40">
      <c r="A963" s="4" t="n"/>
      <c r="B963" s="4" t="n"/>
      <c r="C963" s="4" t="n"/>
      <c r="D963" s="4" t="n"/>
    </row>
    <row r="964" ht="15.75" customHeight="1" s="40">
      <c r="A964" s="4" t="n"/>
      <c r="B964" s="4" t="n"/>
      <c r="C964" s="4" t="n"/>
      <c r="D964" s="4" t="n"/>
    </row>
    <row r="965" ht="15.75" customHeight="1" s="40">
      <c r="A965" s="4" t="n"/>
      <c r="B965" s="4" t="n"/>
      <c r="C965" s="4" t="n"/>
      <c r="D965" s="4" t="n"/>
    </row>
    <row r="966" ht="15.75" customHeight="1" s="40">
      <c r="A966" s="4" t="n"/>
      <c r="B966" s="4" t="n"/>
      <c r="C966" s="4" t="n"/>
      <c r="D966" s="4" t="n"/>
    </row>
    <row r="967" ht="15.75" customHeight="1" s="40">
      <c r="A967" s="4" t="n"/>
      <c r="B967" s="4" t="n"/>
      <c r="C967" s="4" t="n"/>
      <c r="D967" s="4" t="n"/>
    </row>
    <row r="968" ht="15.75" customHeight="1" s="40">
      <c r="A968" s="4" t="n"/>
      <c r="B968" s="4" t="n"/>
      <c r="C968" s="4" t="n"/>
      <c r="D968" s="4" t="n"/>
    </row>
    <row r="969" ht="15.75" customHeight="1" s="40">
      <c r="A969" s="4" t="n"/>
      <c r="B969" s="4" t="n"/>
      <c r="C969" s="4" t="n"/>
      <c r="D969" s="4" t="n"/>
    </row>
    <row r="970" ht="15.75" customHeight="1" s="40">
      <c r="A970" s="4" t="n"/>
      <c r="B970" s="4" t="n"/>
      <c r="C970" s="4" t="n"/>
      <c r="D970" s="4" t="n"/>
    </row>
    <row r="971" ht="15.75" customHeight="1" s="40">
      <c r="A971" s="4" t="n"/>
      <c r="B971" s="4" t="n"/>
      <c r="C971" s="4" t="n"/>
      <c r="D971" s="4" t="n"/>
    </row>
    <row r="972" ht="15.75" customHeight="1" s="40">
      <c r="A972" s="4" t="n"/>
      <c r="B972" s="4" t="n"/>
      <c r="C972" s="4" t="n"/>
      <c r="D972" s="4" t="n"/>
    </row>
    <row r="973" ht="15.75" customHeight="1" s="40">
      <c r="A973" s="4" t="n"/>
      <c r="B973" s="4" t="n"/>
      <c r="C973" s="4" t="n"/>
      <c r="D973" s="4" t="n"/>
    </row>
    <row r="974" ht="15.75" customHeight="1" s="40">
      <c r="A974" s="4" t="n"/>
      <c r="B974" s="4" t="n"/>
      <c r="C974" s="4" t="n"/>
      <c r="D974" s="4" t="n"/>
    </row>
    <row r="975" ht="15.75" customHeight="1" s="40">
      <c r="A975" s="4" t="n"/>
      <c r="B975" s="4" t="n"/>
      <c r="C975" s="4" t="n"/>
      <c r="D975" s="4" t="n"/>
    </row>
    <row r="976" ht="15.75" customHeight="1" s="40">
      <c r="A976" s="4" t="n"/>
      <c r="B976" s="4" t="n"/>
      <c r="C976" s="4" t="n"/>
      <c r="D976" s="4" t="n"/>
    </row>
    <row r="977" ht="15.75" customHeight="1" s="40">
      <c r="A977" s="4" t="n"/>
      <c r="B977" s="4" t="n"/>
      <c r="C977" s="4" t="n"/>
      <c r="D977" s="4" t="n"/>
    </row>
    <row r="978" ht="15.75" customHeight="1" s="40">
      <c r="A978" s="4" t="n"/>
      <c r="B978" s="4" t="n"/>
      <c r="C978" s="4" t="n"/>
      <c r="D978" s="4" t="n"/>
    </row>
    <row r="979" ht="15.75" customHeight="1" s="40">
      <c r="A979" s="4" t="n"/>
      <c r="B979" s="4" t="n"/>
      <c r="C979" s="4" t="n"/>
      <c r="D979" s="4" t="n"/>
    </row>
    <row r="980" ht="15.75" customHeight="1" s="40">
      <c r="A980" s="4" t="n"/>
      <c r="B980" s="4" t="n"/>
      <c r="C980" s="4" t="n"/>
      <c r="D980" s="4" t="n"/>
    </row>
    <row r="981" ht="15.75" customHeight="1" s="40">
      <c r="A981" s="4" t="n"/>
      <c r="B981" s="4" t="n"/>
      <c r="C981" s="4" t="n"/>
      <c r="D981" s="4" t="n"/>
    </row>
    <row r="982" ht="15.75" customHeight="1" s="40">
      <c r="A982" s="4" t="n"/>
      <c r="B982" s="4" t="n"/>
      <c r="C982" s="4" t="n"/>
      <c r="D982" s="4" t="n"/>
    </row>
    <row r="983" ht="15.75" customHeight="1" s="40">
      <c r="A983" s="4" t="n"/>
      <c r="B983" s="4" t="n"/>
      <c r="C983" s="4" t="n"/>
      <c r="D983" s="4" t="n"/>
    </row>
    <row r="984" ht="15.75" customHeight="1" s="40">
      <c r="A984" s="4" t="n"/>
      <c r="B984" s="4" t="n"/>
      <c r="C984" s="4" t="n"/>
      <c r="D984" s="4" t="n"/>
    </row>
    <row r="985" ht="15.75" customHeight="1" s="40">
      <c r="A985" s="4" t="n"/>
      <c r="B985" s="4" t="n"/>
      <c r="C985" s="4" t="n"/>
      <c r="D985" s="4" t="n"/>
    </row>
    <row r="986" ht="15.75" customHeight="1" s="40">
      <c r="A986" s="4" t="n"/>
      <c r="B986" s="4" t="n"/>
      <c r="C986" s="4" t="n"/>
      <c r="D986" s="4" t="n"/>
    </row>
    <row r="987" ht="15.75" customHeight="1" s="40">
      <c r="A987" s="4" t="n"/>
      <c r="B987" s="4" t="n"/>
      <c r="C987" s="4" t="n"/>
      <c r="D987" s="4" t="n"/>
    </row>
    <row r="988" ht="15.75" customHeight="1" s="40">
      <c r="A988" s="4" t="n"/>
      <c r="B988" s="4" t="n"/>
      <c r="C988" s="4" t="n"/>
      <c r="D988" s="4" t="n"/>
    </row>
    <row r="989" ht="15.75" customHeight="1" s="40">
      <c r="A989" s="4" t="n"/>
      <c r="B989" s="4" t="n"/>
      <c r="C989" s="4" t="n"/>
      <c r="D989" s="4" t="n"/>
    </row>
    <row r="990" ht="15.75" customHeight="1" s="40">
      <c r="A990" s="4" t="n"/>
      <c r="B990" s="4" t="n"/>
      <c r="C990" s="4" t="n"/>
      <c r="D990" s="4" t="n"/>
    </row>
    <row r="991" ht="15.75" customHeight="1" s="40">
      <c r="A991" s="4" t="n"/>
      <c r="B991" s="4" t="n"/>
      <c r="C991" s="4" t="n"/>
      <c r="D991" s="4" t="n"/>
    </row>
    <row r="992" ht="15.75" customHeight="1" s="40">
      <c r="A992" s="4" t="n"/>
      <c r="B992" s="4" t="n"/>
      <c r="C992" s="4" t="n"/>
      <c r="D992" s="4" t="n"/>
    </row>
    <row r="993" ht="15.75" customHeight="1" s="40">
      <c r="A993" s="4" t="n"/>
      <c r="B993" s="4" t="n"/>
      <c r="C993" s="4" t="n"/>
      <c r="D993" s="4" t="n"/>
    </row>
    <row r="994" ht="15.75" customHeight="1" s="40">
      <c r="A994" s="4" t="n"/>
      <c r="B994" s="4" t="n"/>
      <c r="C994" s="4" t="n"/>
      <c r="D994" s="4" t="n"/>
    </row>
    <row r="995" ht="15.75" customHeight="1" s="40">
      <c r="A995" s="4" t="n"/>
      <c r="B995" s="4" t="n"/>
      <c r="C995" s="4" t="n"/>
      <c r="D995" s="4" t="n"/>
    </row>
    <row r="996" ht="15.75" customHeight="1" s="40">
      <c r="A996" s="4" t="n"/>
      <c r="B996" s="4" t="n"/>
      <c r="C996" s="4" t="n"/>
      <c r="D996" s="4" t="n"/>
    </row>
    <row r="997" ht="15.75" customHeight="1" s="40">
      <c r="A997" s="4" t="n"/>
      <c r="B997" s="4" t="n"/>
      <c r="C997" s="4" t="n"/>
      <c r="D997" s="4" t="n"/>
    </row>
    <row r="998" ht="15.75" customHeight="1" s="40">
      <c r="A998" s="4" t="n"/>
      <c r="B998" s="4" t="n"/>
      <c r="C998" s="4" t="n"/>
      <c r="D998" s="4" t="n"/>
    </row>
    <row r="999" ht="15.75" customHeight="1" s="40">
      <c r="A999" s="4" t="n"/>
      <c r="B999" s="4" t="n"/>
      <c r="C999" s="4" t="n"/>
      <c r="D999" s="4" t="n"/>
    </row>
    <row r="1000" ht="15.75" customHeight="1" s="40">
      <c r="A1000" s="4" t="n"/>
      <c r="B1000" s="4" t="n"/>
      <c r="C1000" s="4" t="n"/>
      <c r="D1000" s="4" t="n"/>
    </row>
  </sheetData>
  <autoFilter ref="$A$4:$D$13"/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2026-08-21T17:42:05Z</dcterms:created>
  <dcterms:modified xmlns:dcterms="http://purl.org/dc/terms/" xmlns:xsi="http://www.w3.org/2001/XMLSchema-instance" xsi:type="dcterms:W3CDTF">2026-08-21T17:42:05Z</dcterms:modified>
</cp:coreProperties>
</file>