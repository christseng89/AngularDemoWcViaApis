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AT 執行清單 v2" sheetId="1" state="visible" r:id="rId1"/>
    <sheet xmlns:r="http://schemas.openxmlformats.org/officeDocument/2006/relationships" name="情境專項測試" sheetId="2" state="visible" r:id="rId2"/>
    <sheet xmlns:r="http://schemas.openxmlformats.org/officeDocument/2006/relationships" name="SSI 候選明細 v2" sheetId="3" state="visible" r:id="rId3"/>
    <sheet xmlns:r="http://schemas.openxmlformats.org/officeDocument/2006/relationships" name="已知缺陷與阻斷" sheetId="4" state="visible" r:id="rId4"/>
    <sheet xmlns:r="http://schemas.openxmlformats.org/officeDocument/2006/relationships" name="輸入指引" sheetId="5" state="visible" r:id="rId5"/>
    <sheet xmlns:r="http://schemas.openxmlformats.org/officeDocument/2006/relationships" name="證據與範圍 v2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rgb="FF1F3864"/>
      <sz val="15"/>
    </font>
    <font>
      <name val="Noto Sans CJK SC"/>
      <family val="2"/>
      <b val="1"/>
      <color rgb="FF1F3864"/>
      <sz val="15"/>
    </font>
    <font>
      <name val="Noto Sans CJK SC"/>
      <family val="2"/>
      <i val="1"/>
      <color rgb="FF595959"/>
      <sz val="11"/>
    </font>
    <font>
      <name val="Times New Roman"/>
      <charset val="1"/>
      <family val="0"/>
      <i val="1"/>
      <color rgb="FF595959"/>
      <sz val="11"/>
    </font>
    <font>
      <name val="Noto Sans CJK SC"/>
      <family val="2"/>
      <b val="1"/>
      <color rgb="FFFFFFFF"/>
      <sz val="11"/>
    </font>
    <font>
      <name val="Times New Roman"/>
      <charset val="1"/>
      <family val="0"/>
      <b val="1"/>
      <color rgb="FFFFFFFF"/>
      <sz val="11"/>
    </font>
    <font>
      <name val="Times New Roman"/>
      <charset val="1"/>
      <family val="0"/>
      <sz val="11"/>
    </font>
    <font>
      <name val="Noto Sans CJK SC"/>
      <family val="2"/>
      <sz val="11"/>
    </font>
    <font>
      <name val="Noto Sans CJK SC"/>
      <family val="2"/>
      <b val="1"/>
      <sz val="11"/>
    </font>
    <font>
      <name val="Times New Roman"/>
      <charset val="1"/>
      <family val="0"/>
      <b val="1"/>
      <sz val="11"/>
    </font>
    <font>
      <name val="Times New Roman"/>
      <charset val="1"/>
      <family val="2"/>
      <color theme="1"/>
      <sz val="11"/>
    </font>
    <font>
      <name val="Times New Roman"/>
      <family val="2"/>
      <i val="1"/>
      <color rgb="FF595959"/>
      <sz val="11"/>
    </font>
    <font>
      <name val="Times New Roman"/>
      <family val="2"/>
      <b val="1"/>
      <color rgb="FFFFFFFF"/>
      <sz val="11"/>
    </font>
    <font>
      <name val="Times New Roman"/>
      <family val="2"/>
      <sz val="11"/>
    </font>
    <font>
      <name val="Times New Roman"/>
      <family val="2"/>
      <b val="1"/>
      <sz val="11"/>
    </font>
    <font>
      <name val="Times New Roman"/>
      <family val="2"/>
      <b val="1"/>
      <color rgb="FF1F3864"/>
      <sz val="15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DDEBF7"/>
      </patternFill>
    </fill>
    <fill>
      <patternFill patternType="solid">
        <fgColor rgb="FFC6E0B4"/>
        <bgColor rgb="FFBFBFBF"/>
      </patternFill>
    </fill>
    <fill>
      <patternFill patternType="solid">
        <fgColor rgb="FFF8CBAD"/>
        <bgColor rgb="FFFFE69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11" fillId="7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14" fillId="0" borderId="0" pivotButton="0" quotePrefix="0" xfId="0"/>
    <xf numFmtId="0" fontId="15" fillId="0" borderId="0" applyAlignment="1" pivotButton="0" quotePrefix="0" xfId="0">
      <alignment horizontal="general" vertical="bottom"/>
    </xf>
    <xf numFmtId="0" fontId="16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general" vertical="top" wrapText="1"/>
    </xf>
    <xf numFmtId="0" fontId="17" fillId="3" borderId="1" applyAlignment="1" pivotButton="0" quotePrefix="0" xfId="0">
      <alignment horizontal="general" vertical="top" wrapText="1"/>
    </xf>
    <xf numFmtId="0" fontId="17" fillId="0" borderId="1" applyAlignment="1" pivotButton="0" quotePrefix="0" xfId="0">
      <alignment horizontal="general" vertical="top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general" vertical="top" wrapText="1"/>
    </xf>
    <xf numFmtId="0" fontId="17" fillId="5" borderId="1" applyAlignment="1" pivotButton="0" quotePrefix="0" xfId="0">
      <alignment horizontal="general" vertical="top" wrapText="1"/>
    </xf>
    <xf numFmtId="0" fontId="17" fillId="6" borderId="1" applyAlignment="1" pivotButton="0" quotePrefix="0" xfId="0">
      <alignment horizontal="general" vertical="top" wrapText="1"/>
    </xf>
    <xf numFmtId="0" fontId="10" fillId="7" borderId="1" applyAlignment="1" pivotButton="0" quotePrefix="0" xfId="0">
      <alignment horizontal="general" vertical="top" wrapText="1"/>
    </xf>
    <xf numFmtId="0" fontId="17" fillId="7" borderId="1" applyAlignment="1" pivotButton="0" quotePrefix="0" xfId="0">
      <alignment horizontal="general" vertical="top" wrapText="1"/>
    </xf>
    <xf numFmtId="0" fontId="10" fillId="8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3" fillId="5" borderId="0" applyAlignment="1" pivotButton="0" quotePrefix="0" xfId="0">
      <alignment horizontal="general" vertical="bottom"/>
    </xf>
    <xf numFmtId="164" fontId="13" fillId="5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top" wrapText="1"/>
    </xf>
    <xf numFmtId="0" fontId="10" fillId="6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19" fillId="0" borderId="0" applyAlignment="1" pivotButton="0" quotePrefix="0" xfId="0">
      <alignment horizontal="general" vertical="bottom"/>
    </xf>
    <xf numFmtId="0" fontId="10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general" vertical="top" wrapText="1"/>
    </xf>
    <xf numFmtId="0" fontId="17" fillId="8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8" fillId="0" borderId="1" applyAlignment="1" pivotButton="0" quotePrefix="0" xfId="0">
      <alignment horizontal="general" vertical="top" wrapText="1"/>
    </xf>
    <xf numFmtId="0" fontId="13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X7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35" min="1" max="1"/>
    <col width="7" customWidth="1" style="35" min="2" max="2"/>
    <col width="12" customWidth="1" style="35" min="3" max="3"/>
    <col width="22" customWidth="1" style="35" min="4" max="4"/>
    <col width="7" customWidth="1" style="35" min="5" max="6"/>
    <col width="10" customWidth="1" style="35" min="7" max="7"/>
    <col width="18" customWidth="1" style="35" min="8" max="8"/>
    <col width="13" customWidth="1" style="35" min="9" max="9"/>
    <col width="9" customWidth="1" style="35" min="10" max="10"/>
    <col width="20" customWidth="1" style="35" min="11" max="11"/>
    <col width="15" customWidth="1" style="35" min="12" max="12"/>
    <col width="8" customWidth="1" style="35" min="13" max="14"/>
    <col width="7" customWidth="1" style="35" min="15" max="15"/>
    <col width="22" customWidth="1" style="35" min="16" max="16"/>
    <col width="14" customWidth="1" style="35" min="17" max="17"/>
    <col width="50" customWidth="1" style="35" min="18" max="18"/>
    <col width="9" customWidth="1" style="35" min="19" max="19"/>
    <col width="16" customWidth="1" style="35" min="20" max="20"/>
    <col width="15" customWidth="1" style="35" min="21" max="21"/>
    <col width="10" customWidth="1" style="35" min="22" max="23"/>
    <col width="11" customWidth="1" style="35" min="24" max="24"/>
  </cols>
  <sheetData>
    <row r="1" ht="23.1" customHeight="1" s="36">
      <c r="A1" s="37" t="inlineStr">
        <is>
          <t>MT2xx SSI Resolution — UAT 執行清單 v2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  <c r="X1" s="38" t="n"/>
    </row>
    <row r="2" ht="17.15" customHeight="1" s="36">
      <c r="A2" s="39" t="inlineStr">
        <is>
          <t>資料：live demo DB（254 列 / 42 ACTIVE SSI）與受控 snapshot 7492CC26…4EF3 並列。14 組 × 4 電文 = 56 案。判定預期已納入 DEF-001。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</row>
    <row r="4" ht="33.75" customHeight="1" s="36">
      <c r="A4" s="40" t="inlineStr">
        <is>
          <t>案例編號</t>
        </is>
      </c>
      <c r="B4" s="40" t="inlineStr">
        <is>
          <t>矩陣列</t>
        </is>
      </c>
      <c r="C4" s="41" t="inlineStr">
        <is>
          <t>Counterparty</t>
        </is>
      </c>
      <c r="D4" s="40" t="inlineStr">
        <is>
          <t>對手行</t>
        </is>
      </c>
      <c r="E4" s="40" t="inlineStr">
        <is>
          <t>幣別</t>
        </is>
      </c>
      <c r="F4" s="40" t="inlineStr">
        <is>
          <t>分行</t>
        </is>
      </c>
      <c r="G4" s="40" t="inlineStr">
        <is>
          <t>電文</t>
        </is>
      </c>
      <c r="H4" s="41" t="inlineStr">
        <is>
          <t>businessService</t>
        </is>
      </c>
      <c r="I4" s="41" t="inlineStr">
        <is>
          <t>agent 對照</t>
        </is>
      </c>
      <c r="J4" s="40" t="inlineStr">
        <is>
          <t>預期 HTTP</t>
        </is>
      </c>
      <c r="K4" s="40" t="inlineStr">
        <is>
          <t>預期 code</t>
        </is>
      </c>
      <c r="L4" s="40" t="inlineStr">
        <is>
          <t>預期 chosen SSI</t>
        </is>
      </c>
      <c r="M4" s="41" t="inlineStr">
        <is>
          <t>live 版本</t>
        </is>
      </c>
      <c r="N4" s="41" t="inlineStr">
        <is>
          <t>snap 版本</t>
        </is>
      </c>
      <c r="O4" s="40" t="inlineStr">
        <is>
          <t>候選數</t>
        </is>
      </c>
      <c r="P4" s="40" t="inlineStr">
        <is>
          <t>判定預期</t>
        </is>
      </c>
      <c r="Q4" s="40" t="inlineStr">
        <is>
          <t>依據／缺陷</t>
        </is>
      </c>
      <c r="R4" s="40" t="inlineStr">
        <is>
          <t>備註</t>
        </is>
      </c>
      <c r="S4" s="40" t="inlineStr">
        <is>
          <t>實際 HTTP</t>
        </is>
      </c>
      <c r="T4" s="40" t="inlineStr">
        <is>
          <t>實際 code</t>
        </is>
      </c>
      <c r="U4" s="40" t="inlineStr">
        <is>
          <t>實際 chosen</t>
        </is>
      </c>
      <c r="V4" s="41" t="inlineStr">
        <is>
          <t>Pass/Fail</t>
        </is>
      </c>
      <c r="W4" s="40" t="inlineStr">
        <is>
          <t>執行人</t>
        </is>
      </c>
      <c r="X4" s="40" t="inlineStr">
        <is>
          <t>執行日期</t>
        </is>
      </c>
    </row>
    <row r="5" ht="57.75" customHeight="1" s="36">
      <c r="A5" s="42" t="inlineStr">
        <is>
          <t>UAT2-001</t>
        </is>
      </c>
      <c r="B5" s="43" t="n">
        <v>1</v>
      </c>
      <c r="C5" s="42" t="inlineStr">
        <is>
          <t>CITIUS33</t>
        </is>
      </c>
      <c r="D5" s="42" t="inlineStr">
        <is>
          <t>Citibank N.A.</t>
        </is>
      </c>
      <c r="E5" s="43" t="inlineStr">
        <is>
          <t>USD</t>
        </is>
      </c>
      <c r="F5" s="43" t="inlineStr">
        <is>
          <t>HK01</t>
        </is>
      </c>
      <c r="G5" s="42" t="inlineStr">
        <is>
          <t>MT202</t>
        </is>
      </c>
      <c r="H5" s="42" t="inlineStr">
        <is>
          <t>swift.cbprplus.04</t>
        </is>
      </c>
      <c r="I5" s="44" t="inlineStr">
        <is>
          <t>SAME-BIC</t>
        </is>
      </c>
      <c r="J5" s="43" t="n">
        <v>200</v>
      </c>
      <c r="K5" s="42" t="inlineStr">
        <is>
          <t>SSI_RESOLVED</t>
        </is>
      </c>
      <c r="L5" s="42" t="inlineStr">
        <is>
          <t>SSI-DEMO-001</t>
        </is>
      </c>
      <c r="M5" s="43" t="n">
        <v>44</v>
      </c>
      <c r="N5" s="43" t="n">
        <v>39</v>
      </c>
      <c r="O5" s="43" t="n">
        <v>2</v>
      </c>
      <c r="P5" s="45" t="inlineStr">
        <is>
          <t>預期 PASS（FALSE GREEN）</t>
        </is>
      </c>
      <c r="Q5" s="42" t="inlineStr">
        <is>
          <t>DEF-001 隱形</t>
        </is>
      </c>
      <c r="R5" s="46" t="inlineStr">
        <is>
          <t>本組 actualReceiverBic（CITIUS33）與 counterparty 相同，DEF-001 覆蓋後的值恰好正確，因此會通過。此通過不構成 agent 來源正確的證據，不得單獨作為驗收依據。</t>
        </is>
      </c>
      <c r="S5" s="47" t="n"/>
      <c r="T5" s="48" t="n"/>
      <c r="U5" s="48" t="n"/>
      <c r="V5" s="47" t="n"/>
      <c r="W5" s="47" t="n"/>
      <c r="X5" s="47" t="n"/>
    </row>
    <row r="6" ht="57.75" customHeight="1" s="36">
      <c r="A6" s="42" t="inlineStr">
        <is>
          <t>UAT2-002</t>
        </is>
      </c>
      <c r="B6" s="43" t="n">
        <v>1</v>
      </c>
      <c r="C6" s="42" t="inlineStr">
        <is>
          <t>CITIUS33</t>
        </is>
      </c>
      <c r="D6" s="42" t="inlineStr">
        <is>
          <t>Citibank N.A.</t>
        </is>
      </c>
      <c r="E6" s="43" t="inlineStr">
        <is>
          <t>USD</t>
        </is>
      </c>
      <c r="F6" s="43" t="inlineStr">
        <is>
          <t>HK01</t>
        </is>
      </c>
      <c r="G6" s="42" t="inlineStr">
        <is>
          <t>MT205</t>
        </is>
      </c>
      <c r="H6" s="42" t="inlineStr">
        <is>
          <t>swift.cbprplus.04</t>
        </is>
      </c>
      <c r="I6" s="44" t="inlineStr">
        <is>
          <t>SAME-BIC</t>
        </is>
      </c>
      <c r="J6" s="43" t="n">
        <v>200</v>
      </c>
      <c r="K6" s="42" t="inlineStr">
        <is>
          <t>SSI_RESOLVED</t>
        </is>
      </c>
      <c r="L6" s="42" t="inlineStr">
        <is>
          <t>SSI-DEMO-001</t>
        </is>
      </c>
      <c r="M6" s="43" t="n">
        <v>44</v>
      </c>
      <c r="N6" s="43" t="n">
        <v>39</v>
      </c>
      <c r="O6" s="43" t="n">
        <v>2</v>
      </c>
      <c r="P6" s="45" t="inlineStr">
        <is>
          <t>預期 PASS（FALSE GREEN）</t>
        </is>
      </c>
      <c r="Q6" s="42" t="inlineStr">
        <is>
          <t>DEF-001 隱形</t>
        </is>
      </c>
      <c r="R6" s="46" t="inlineStr">
        <is>
          <t>本組 actualReceiverBic（CITIUS33）與 counterparty 相同，DEF-001 覆蓋後的值恰好正確，因此會通過。此通過不構成 agent 來源正確的證據，不得單獨作為驗收依據。</t>
        </is>
      </c>
      <c r="S6" s="47" t="n"/>
      <c r="T6" s="48" t="n"/>
      <c r="U6" s="48" t="n"/>
      <c r="V6" s="47" t="n"/>
      <c r="W6" s="47" t="n"/>
      <c r="X6" s="47" t="n"/>
    </row>
    <row r="7" ht="57.75" customHeight="1" s="36">
      <c r="A7" s="42" t="inlineStr">
        <is>
          <t>UAT2-003</t>
        </is>
      </c>
      <c r="B7" s="43" t="n">
        <v>1</v>
      </c>
      <c r="C7" s="42" t="inlineStr">
        <is>
          <t>CITIUS33</t>
        </is>
      </c>
      <c r="D7" s="42" t="inlineStr">
        <is>
          <t>Citibank N.A.</t>
        </is>
      </c>
      <c r="E7" s="43" t="inlineStr">
        <is>
          <t>USD</t>
        </is>
      </c>
      <c r="F7" s="43" t="inlineStr">
        <is>
          <t>HK01</t>
        </is>
      </c>
      <c r="G7" s="42" t="inlineStr">
        <is>
          <t>MT202COV</t>
        </is>
      </c>
      <c r="H7" s="42" t="inlineStr">
        <is>
          <t>swift.cbprplus.cov.04</t>
        </is>
      </c>
      <c r="I7" s="44" t="inlineStr">
        <is>
          <t>SAME-BIC</t>
        </is>
      </c>
      <c r="J7" s="43" t="n">
        <v>503</v>
      </c>
      <c r="K7" s="42" t="inlineStr">
        <is>
          <t>PROFILE_INCOMPLETE</t>
        </is>
      </c>
      <c r="L7" s="42" t="inlineStr">
        <is>
          <t>null（rank 前即擋）</t>
        </is>
      </c>
      <c r="M7" s="43" t="n">
        <v>44</v>
      </c>
      <c r="N7" s="43" t="n">
        <v>39</v>
      </c>
      <c r="O7" s="43" t="n">
        <v>2</v>
      </c>
      <c r="P7" s="49" t="inlineStr">
        <is>
          <t>阻擋 — 不列入分母</t>
        </is>
      </c>
      <c r="Q7" s="42" t="inlineStr">
        <is>
          <t>DG-COV-PROFILE</t>
        </is>
      </c>
      <c r="R7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7" s="47" t="n"/>
      <c r="T7" s="48" t="n"/>
      <c r="U7" s="48" t="n"/>
      <c r="V7" s="47" t="n"/>
      <c r="W7" s="47" t="n"/>
      <c r="X7" s="47" t="n"/>
    </row>
    <row r="8" ht="57.75" customHeight="1" s="36">
      <c r="A8" s="42" t="inlineStr">
        <is>
          <t>UAT2-004</t>
        </is>
      </c>
      <c r="B8" s="43" t="n">
        <v>1</v>
      </c>
      <c r="C8" s="42" t="inlineStr">
        <is>
          <t>CITIUS33</t>
        </is>
      </c>
      <c r="D8" s="42" t="inlineStr">
        <is>
          <t>Citibank N.A.</t>
        </is>
      </c>
      <c r="E8" s="43" t="inlineStr">
        <is>
          <t>USD</t>
        </is>
      </c>
      <c r="F8" s="43" t="inlineStr">
        <is>
          <t>HK01</t>
        </is>
      </c>
      <c r="G8" s="42" t="inlineStr">
        <is>
          <t>MT205COV</t>
        </is>
      </c>
      <c r="H8" s="42" t="inlineStr">
        <is>
          <t>swift.cbprplus.cov.04</t>
        </is>
      </c>
      <c r="I8" s="44" t="inlineStr">
        <is>
          <t>SAME-BIC</t>
        </is>
      </c>
      <c r="J8" s="43" t="n">
        <v>503</v>
      </c>
      <c r="K8" s="42" t="inlineStr">
        <is>
          <t>PROFILE_INCOMPLETE</t>
        </is>
      </c>
      <c r="L8" s="42" t="inlineStr">
        <is>
          <t>null（rank 前即擋）</t>
        </is>
      </c>
      <c r="M8" s="43" t="n">
        <v>44</v>
      </c>
      <c r="N8" s="43" t="n">
        <v>39</v>
      </c>
      <c r="O8" s="43" t="n">
        <v>2</v>
      </c>
      <c r="P8" s="49" t="inlineStr">
        <is>
          <t>阻擋 — 不列入分母</t>
        </is>
      </c>
      <c r="Q8" s="42" t="inlineStr">
        <is>
          <t>DG-COV-PROFILE</t>
        </is>
      </c>
      <c r="R8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8" s="47" t="n"/>
      <c r="T8" s="48" t="n"/>
      <c r="U8" s="48" t="n"/>
      <c r="V8" s="47" t="n"/>
      <c r="W8" s="47" t="n"/>
      <c r="X8" s="47" t="n"/>
    </row>
    <row r="9" ht="57.75" customHeight="1" s="36">
      <c r="A9" s="42" t="inlineStr">
        <is>
          <t>UAT2-005</t>
        </is>
      </c>
      <c r="B9" s="43" t="n">
        <v>2</v>
      </c>
      <c r="C9" s="42" t="inlineStr">
        <is>
          <t>BARCGB22</t>
        </is>
      </c>
      <c r="D9" s="42" t="inlineStr">
        <is>
          <t>Barclays Bank PLC</t>
        </is>
      </c>
      <c r="E9" s="43" t="inlineStr">
        <is>
          <t>GBP</t>
        </is>
      </c>
      <c r="F9" s="43" t="inlineStr">
        <is>
          <t>HK01</t>
        </is>
      </c>
      <c r="G9" s="42" t="inlineStr">
        <is>
          <t>MT202</t>
        </is>
      </c>
      <c r="H9" s="42" t="inlineStr">
        <is>
          <t>swift.cbprplus.04</t>
        </is>
      </c>
      <c r="I9" s="48" t="inlineStr">
        <is>
          <t>N/A — TIE</t>
        </is>
      </c>
      <c r="J9" s="43" t="n">
        <v>422</v>
      </c>
      <c r="K9" s="42" t="inlineStr">
        <is>
          <t>SSI_AMBIGUOUS</t>
        </is>
      </c>
      <c r="L9" s="42" t="inlineStr">
        <is>
          <t>null（fail closed）</t>
        </is>
      </c>
      <c r="M9" s="43" t="inlineStr">
        <is>
          <t>003:44/022:39</t>
        </is>
      </c>
      <c r="N9" s="43" t="inlineStr">
        <is>
          <t>003:39/022:34</t>
        </is>
      </c>
      <c r="O9" s="43" t="n">
        <v>3</v>
      </c>
      <c r="P9" s="50" t="inlineStr">
        <is>
          <t>預期 PASS（有效證據）</t>
        </is>
      </c>
      <c r="Q9" s="42" t="inlineStr">
        <is>
          <t>A2/A3、EC-RANK-01</t>
        </is>
      </c>
      <c r="R9" s="46" t="inlineStr">
        <is>
          <t>唯一受控平手：003／022 於 priority(10)→routePreference(PRIMARY)→specificity 全等。ambiguity 路徑不輸出任何 agent 角色，故不受 DEF-001 影響，是目前少數具鑑別力的通過案例。驗 chosenRoute／roleProvenance 皆為 null、candidates 無序三筆、payloadGenerated=false。</t>
        </is>
      </c>
      <c r="S9" s="47" t="n"/>
      <c r="T9" s="48" t="n"/>
      <c r="U9" s="48" t="n"/>
      <c r="V9" s="47" t="n"/>
      <c r="W9" s="47" t="n"/>
      <c r="X9" s="47" t="n"/>
    </row>
    <row r="10" ht="57.75" customHeight="1" s="36">
      <c r="A10" s="42" t="inlineStr">
        <is>
          <t>UAT2-006</t>
        </is>
      </c>
      <c r="B10" s="43" t="n">
        <v>2</v>
      </c>
      <c r="C10" s="42" t="inlineStr">
        <is>
          <t>BARCGB22</t>
        </is>
      </c>
      <c r="D10" s="42" t="inlineStr">
        <is>
          <t>Barclays Bank PLC</t>
        </is>
      </c>
      <c r="E10" s="43" t="inlineStr">
        <is>
          <t>GBP</t>
        </is>
      </c>
      <c r="F10" s="43" t="inlineStr">
        <is>
          <t>HK01</t>
        </is>
      </c>
      <c r="G10" s="42" t="inlineStr">
        <is>
          <t>MT205</t>
        </is>
      </c>
      <c r="H10" s="42" t="inlineStr">
        <is>
          <t>swift.cbprplus.04</t>
        </is>
      </c>
      <c r="I10" s="48" t="inlineStr">
        <is>
          <t>N/A — TIE</t>
        </is>
      </c>
      <c r="J10" s="43" t="n">
        <v>422</v>
      </c>
      <c r="K10" s="42" t="inlineStr">
        <is>
          <t>SSI_AMBIGUOUS</t>
        </is>
      </c>
      <c r="L10" s="42" t="inlineStr">
        <is>
          <t>null（fail closed）</t>
        </is>
      </c>
      <c r="M10" s="43" t="inlineStr">
        <is>
          <t>003:44/022:39</t>
        </is>
      </c>
      <c r="N10" s="43" t="inlineStr">
        <is>
          <t>003:39/022:34</t>
        </is>
      </c>
      <c r="O10" s="43" t="n">
        <v>3</v>
      </c>
      <c r="P10" s="50" t="inlineStr">
        <is>
          <t>預期 PASS（有效證據）</t>
        </is>
      </c>
      <c r="Q10" s="42" t="inlineStr">
        <is>
          <t>A2/A3、EC-RANK-01</t>
        </is>
      </c>
      <c r="R10" s="46" t="inlineStr">
        <is>
          <t>唯一受控平手：003／022 於 priority(10)→routePreference(PRIMARY)→specificity 全等。ambiguity 路徑不輸出任何 agent 角色，故不受 DEF-001 影響，是目前少數具鑑別力的通過案例。驗 chosenRoute／roleProvenance 皆為 null、candidates 無序三筆、payloadGenerated=false。</t>
        </is>
      </c>
      <c r="S10" s="47" t="n"/>
      <c r="T10" s="48" t="n"/>
      <c r="U10" s="48" t="n"/>
      <c r="V10" s="47" t="n"/>
      <c r="W10" s="47" t="n"/>
      <c r="X10" s="47" t="n"/>
    </row>
    <row r="11" ht="57.75" customHeight="1" s="36">
      <c r="A11" s="42" t="inlineStr">
        <is>
          <t>UAT2-007</t>
        </is>
      </c>
      <c r="B11" s="43" t="n">
        <v>2</v>
      </c>
      <c r="C11" s="42" t="inlineStr">
        <is>
          <t>BARCGB22</t>
        </is>
      </c>
      <c r="D11" s="42" t="inlineStr">
        <is>
          <t>Barclays Bank PLC</t>
        </is>
      </c>
      <c r="E11" s="43" t="inlineStr">
        <is>
          <t>GBP</t>
        </is>
      </c>
      <c r="F11" s="43" t="inlineStr">
        <is>
          <t>HK01</t>
        </is>
      </c>
      <c r="G11" s="42" t="inlineStr">
        <is>
          <t>MT202COV</t>
        </is>
      </c>
      <c r="H11" s="42" t="inlineStr">
        <is>
          <t>swift.cbprplus.cov.04</t>
        </is>
      </c>
      <c r="I11" s="48" t="inlineStr">
        <is>
          <t>N/A — TIE</t>
        </is>
      </c>
      <c r="J11" s="43" t="n">
        <v>503</v>
      </c>
      <c r="K11" s="42" t="inlineStr">
        <is>
          <t>PROFILE_INCOMPLETE</t>
        </is>
      </c>
      <c r="L11" s="42" t="inlineStr">
        <is>
          <t>null（rank 前即擋）</t>
        </is>
      </c>
      <c r="M11" s="43" t="inlineStr">
        <is>
          <t>003:44/022:39</t>
        </is>
      </c>
      <c r="N11" s="43" t="inlineStr">
        <is>
          <t>003:39/022:34</t>
        </is>
      </c>
      <c r="O11" s="43" t="n">
        <v>3</v>
      </c>
      <c r="P11" s="49" t="inlineStr">
        <is>
          <t>阻擋 — 不列入分母</t>
        </is>
      </c>
      <c r="Q11" s="42" t="inlineStr">
        <is>
          <t>DG-COV-PROFILE</t>
        </is>
      </c>
      <c r="R11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11" s="47" t="n"/>
      <c r="T11" s="48" t="n"/>
      <c r="U11" s="48" t="n"/>
      <c r="V11" s="47" t="n"/>
      <c r="W11" s="47" t="n"/>
      <c r="X11" s="47" t="n"/>
    </row>
    <row r="12" ht="57.75" customHeight="1" s="36">
      <c r="A12" s="42" t="inlineStr">
        <is>
          <t>UAT2-008</t>
        </is>
      </c>
      <c r="B12" s="43" t="n">
        <v>2</v>
      </c>
      <c r="C12" s="42" t="inlineStr">
        <is>
          <t>BARCGB22</t>
        </is>
      </c>
      <c r="D12" s="42" t="inlineStr">
        <is>
          <t>Barclays Bank PLC</t>
        </is>
      </c>
      <c r="E12" s="43" t="inlineStr">
        <is>
          <t>GBP</t>
        </is>
      </c>
      <c r="F12" s="43" t="inlineStr">
        <is>
          <t>HK01</t>
        </is>
      </c>
      <c r="G12" s="42" t="inlineStr">
        <is>
          <t>MT205COV</t>
        </is>
      </c>
      <c r="H12" s="42" t="inlineStr">
        <is>
          <t>swift.cbprplus.cov.04</t>
        </is>
      </c>
      <c r="I12" s="48" t="inlineStr">
        <is>
          <t>N/A — TIE</t>
        </is>
      </c>
      <c r="J12" s="43" t="n">
        <v>503</v>
      </c>
      <c r="K12" s="42" t="inlineStr">
        <is>
          <t>PROFILE_INCOMPLETE</t>
        </is>
      </c>
      <c r="L12" s="42" t="inlineStr">
        <is>
          <t>null（rank 前即擋）</t>
        </is>
      </c>
      <c r="M12" s="43" t="inlineStr">
        <is>
          <t>003:44/022:39</t>
        </is>
      </c>
      <c r="N12" s="43" t="inlineStr">
        <is>
          <t>003:39/022:34</t>
        </is>
      </c>
      <c r="O12" s="43" t="n">
        <v>3</v>
      </c>
      <c r="P12" s="49" t="inlineStr">
        <is>
          <t>阻擋 — 不列入分母</t>
        </is>
      </c>
      <c r="Q12" s="42" t="inlineStr">
        <is>
          <t>DG-COV-PROFILE</t>
        </is>
      </c>
      <c r="R12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12" s="47" t="n"/>
      <c r="T12" s="48" t="n"/>
      <c r="U12" s="48" t="n"/>
      <c r="V12" s="47" t="n"/>
      <c r="W12" s="47" t="n"/>
      <c r="X12" s="47" t="n"/>
    </row>
    <row r="13" ht="57.75" customHeight="1" s="36">
      <c r="A13" s="42" t="inlineStr">
        <is>
          <t>UAT2-009</t>
        </is>
      </c>
      <c r="B13" s="43" t="n">
        <v>3</v>
      </c>
      <c r="C13" s="42" t="inlineStr">
        <is>
          <t>BARCGB22</t>
        </is>
      </c>
      <c r="D13" s="42" t="inlineStr">
        <is>
          <t>Barclays Bank PLC</t>
        </is>
      </c>
      <c r="E13" s="43" t="inlineStr">
        <is>
          <t>USD</t>
        </is>
      </c>
      <c r="F13" s="43" t="inlineStr">
        <is>
          <t>HK01</t>
        </is>
      </c>
      <c r="G13" s="42" t="inlineStr">
        <is>
          <t>MT202</t>
        </is>
      </c>
      <c r="H13" s="42" t="inlineStr">
        <is>
          <t>swift.cbprplus.04</t>
        </is>
      </c>
      <c r="I13" s="51" t="inlineStr">
        <is>
          <t>VIA-BIC</t>
        </is>
      </c>
      <c r="J13" s="43" t="n">
        <v>200</v>
      </c>
      <c r="K13" s="42" t="inlineStr">
        <is>
          <t>SSI_RESOLVED</t>
        </is>
      </c>
      <c r="L13" s="42" t="inlineStr">
        <is>
          <t>SSI-DEMO-024</t>
        </is>
      </c>
      <c r="M13" s="43" t="n">
        <v>19</v>
      </c>
      <c r="N13" s="43" t="n">
        <v>14</v>
      </c>
      <c r="O13" s="43" t="n">
        <v>1</v>
      </c>
      <c r="P13" s="52" t="inlineStr">
        <is>
          <t>預期 FAIL（已知缺陷）</t>
        </is>
      </c>
      <c r="Q13" s="42" t="inlineStr">
        <is>
          <t>DEF-001</t>
        </is>
      </c>
      <c r="R13" s="46" t="inlineStr">
        <is>
          <t>路由為「經由第三行」：actualReceiverBic=CITIUS33、beneficiaryBic=BARCGB22、Nostro servicer=CITIUS33。正確 instructedAgent 應為 CITIUS33；若回傳 BARCGB22 即命中 DEF-001。同時檢查 SttlmMtd=INDA 與 SttlmAcct 所屬 servicer 是否一致。</t>
        </is>
      </c>
      <c r="S13" s="47" t="n"/>
      <c r="T13" s="48" t="n"/>
      <c r="U13" s="48" t="n"/>
      <c r="V13" s="47" t="n"/>
      <c r="W13" s="47" t="n"/>
      <c r="X13" s="47" t="n"/>
    </row>
    <row r="14" ht="57.75" customHeight="1" s="36">
      <c r="A14" s="42" t="inlineStr">
        <is>
          <t>UAT2-010</t>
        </is>
      </c>
      <c r="B14" s="43" t="n">
        <v>3</v>
      </c>
      <c r="C14" s="42" t="inlineStr">
        <is>
          <t>BARCGB22</t>
        </is>
      </c>
      <c r="D14" s="42" t="inlineStr">
        <is>
          <t>Barclays Bank PLC</t>
        </is>
      </c>
      <c r="E14" s="43" t="inlineStr">
        <is>
          <t>USD</t>
        </is>
      </c>
      <c r="F14" s="43" t="inlineStr">
        <is>
          <t>HK01</t>
        </is>
      </c>
      <c r="G14" s="42" t="inlineStr">
        <is>
          <t>MT205</t>
        </is>
      </c>
      <c r="H14" s="42" t="inlineStr">
        <is>
          <t>swift.cbprplus.04</t>
        </is>
      </c>
      <c r="I14" s="51" t="inlineStr">
        <is>
          <t>VIA-BIC</t>
        </is>
      </c>
      <c r="J14" s="43" t="n">
        <v>200</v>
      </c>
      <c r="K14" s="42" t="inlineStr">
        <is>
          <t>SSI_RESOLVED</t>
        </is>
      </c>
      <c r="L14" s="42" t="inlineStr">
        <is>
          <t>SSI-DEMO-024</t>
        </is>
      </c>
      <c r="M14" s="43" t="n">
        <v>19</v>
      </c>
      <c r="N14" s="43" t="n">
        <v>14</v>
      </c>
      <c r="O14" s="43" t="n">
        <v>1</v>
      </c>
      <c r="P14" s="52" t="inlineStr">
        <is>
          <t>預期 FAIL（已知缺陷）</t>
        </is>
      </c>
      <c r="Q14" s="42" t="inlineStr">
        <is>
          <t>DEF-001</t>
        </is>
      </c>
      <c r="R14" s="46" t="inlineStr">
        <is>
          <t>路由為「經由第三行」：actualReceiverBic=CITIUS33、beneficiaryBic=BARCGB22、Nostro servicer=CITIUS33。正確 instructedAgent 應為 CITIUS33；若回傳 BARCGB22 即命中 DEF-001。同時檢查 SttlmMtd=INDA 與 SttlmAcct 所屬 servicer 是否一致。</t>
        </is>
      </c>
      <c r="S14" s="47" t="n"/>
      <c r="T14" s="48" t="n"/>
      <c r="U14" s="48" t="n"/>
      <c r="V14" s="47" t="n"/>
      <c r="W14" s="47" t="n"/>
      <c r="X14" s="47" t="n"/>
    </row>
    <row r="15" ht="57.75" customHeight="1" s="36">
      <c r="A15" s="42" t="inlineStr">
        <is>
          <t>UAT2-011</t>
        </is>
      </c>
      <c r="B15" s="43" t="n">
        <v>3</v>
      </c>
      <c r="C15" s="42" t="inlineStr">
        <is>
          <t>BARCGB22</t>
        </is>
      </c>
      <c r="D15" s="42" t="inlineStr">
        <is>
          <t>Barclays Bank PLC</t>
        </is>
      </c>
      <c r="E15" s="43" t="inlineStr">
        <is>
          <t>USD</t>
        </is>
      </c>
      <c r="F15" s="43" t="inlineStr">
        <is>
          <t>HK01</t>
        </is>
      </c>
      <c r="G15" s="42" t="inlineStr">
        <is>
          <t>MT202COV</t>
        </is>
      </c>
      <c r="H15" s="42" t="inlineStr">
        <is>
          <t>swift.cbprplus.cov.04</t>
        </is>
      </c>
      <c r="I15" s="51" t="inlineStr">
        <is>
          <t>VIA-BIC</t>
        </is>
      </c>
      <c r="J15" s="43" t="n">
        <v>503</v>
      </c>
      <c r="K15" s="42" t="inlineStr">
        <is>
          <t>PROFILE_INCOMPLETE</t>
        </is>
      </c>
      <c r="L15" s="42" t="inlineStr">
        <is>
          <t>null（rank 前即擋）</t>
        </is>
      </c>
      <c r="M15" s="43" t="n">
        <v>19</v>
      </c>
      <c r="N15" s="43" t="n">
        <v>14</v>
      </c>
      <c r="O15" s="43" t="n">
        <v>1</v>
      </c>
      <c r="P15" s="49" t="inlineStr">
        <is>
          <t>阻擋 — 不列入分母</t>
        </is>
      </c>
      <c r="Q15" s="42" t="inlineStr">
        <is>
          <t>DG-COV-PROFILE</t>
        </is>
      </c>
      <c r="R15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15" s="47" t="n"/>
      <c r="T15" s="48" t="n"/>
      <c r="U15" s="48" t="n"/>
      <c r="V15" s="47" t="n"/>
      <c r="W15" s="47" t="n"/>
      <c r="X15" s="47" t="n"/>
    </row>
    <row r="16" ht="57.75" customHeight="1" s="36">
      <c r="A16" s="42" t="inlineStr">
        <is>
          <t>UAT2-012</t>
        </is>
      </c>
      <c r="B16" s="43" t="n">
        <v>3</v>
      </c>
      <c r="C16" s="42" t="inlineStr">
        <is>
          <t>BARCGB22</t>
        </is>
      </c>
      <c r="D16" s="42" t="inlineStr">
        <is>
          <t>Barclays Bank PLC</t>
        </is>
      </c>
      <c r="E16" s="43" t="inlineStr">
        <is>
          <t>USD</t>
        </is>
      </c>
      <c r="F16" s="43" t="inlineStr">
        <is>
          <t>HK01</t>
        </is>
      </c>
      <c r="G16" s="42" t="inlineStr">
        <is>
          <t>MT205COV</t>
        </is>
      </c>
      <c r="H16" s="42" t="inlineStr">
        <is>
          <t>swift.cbprplus.cov.04</t>
        </is>
      </c>
      <c r="I16" s="51" t="inlineStr">
        <is>
          <t>VIA-BIC</t>
        </is>
      </c>
      <c r="J16" s="43" t="n">
        <v>503</v>
      </c>
      <c r="K16" s="42" t="inlineStr">
        <is>
          <t>PROFILE_INCOMPLETE</t>
        </is>
      </c>
      <c r="L16" s="42" t="inlineStr">
        <is>
          <t>null（rank 前即擋）</t>
        </is>
      </c>
      <c r="M16" s="43" t="n">
        <v>19</v>
      </c>
      <c r="N16" s="43" t="n">
        <v>14</v>
      </c>
      <c r="O16" s="43" t="n">
        <v>1</v>
      </c>
      <c r="P16" s="49" t="inlineStr">
        <is>
          <t>阻擋 — 不列入分母</t>
        </is>
      </c>
      <c r="Q16" s="42" t="inlineStr">
        <is>
          <t>DG-COV-PROFILE</t>
        </is>
      </c>
      <c r="R16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16" s="47" t="n"/>
      <c r="T16" s="48" t="n"/>
      <c r="U16" s="48" t="n"/>
      <c r="V16" s="47" t="n"/>
      <c r="W16" s="47" t="n"/>
      <c r="X16" s="47" t="n"/>
    </row>
    <row r="17" ht="57.75" customHeight="1" s="36">
      <c r="A17" s="42" t="inlineStr">
        <is>
          <t>UAT2-013</t>
        </is>
      </c>
      <c r="B17" s="43" t="n">
        <v>4</v>
      </c>
      <c r="C17" s="42" t="inlineStr">
        <is>
          <t>DEUTDEFF</t>
        </is>
      </c>
      <c r="D17" s="42" t="inlineStr">
        <is>
          <t>Deutsche Bank AG</t>
        </is>
      </c>
      <c r="E17" s="43" t="inlineStr">
        <is>
          <t>EUR</t>
        </is>
      </c>
      <c r="F17" s="43" t="inlineStr">
        <is>
          <t>HK01</t>
        </is>
      </c>
      <c r="G17" s="42" t="inlineStr">
        <is>
          <t>MT202</t>
        </is>
      </c>
      <c r="H17" s="42" t="inlineStr">
        <is>
          <t>swift.cbprplus.04</t>
        </is>
      </c>
      <c r="I17" s="44" t="inlineStr">
        <is>
          <t>SAME-BIC</t>
        </is>
      </c>
      <c r="J17" s="43" t="n">
        <v>200</v>
      </c>
      <c r="K17" s="42" t="inlineStr">
        <is>
          <t>SSI_RESOLVED</t>
        </is>
      </c>
      <c r="L17" s="42" t="inlineStr">
        <is>
          <t>SSI-DEMO-005</t>
        </is>
      </c>
      <c r="M17" s="43" t="n">
        <v>39</v>
      </c>
      <c r="N17" s="43" t="n">
        <v>34</v>
      </c>
      <c r="O17" s="43" t="n">
        <v>3</v>
      </c>
      <c r="P17" s="45" t="inlineStr">
        <is>
          <t>預期 PASS（FALSE GREEN）</t>
        </is>
      </c>
      <c r="Q17" s="42" t="inlineStr">
        <is>
          <t>DEF-001 隱形</t>
        </is>
      </c>
      <c r="R17" s="46" t="inlineStr">
        <is>
          <t>本組 actualReceiverBic（DEUTDEFF）與 counterparty 相同，DEF-001 覆蓋後的值恰好正確，因此會通過。此通過不構成 agent 來源正確的證據，不得單獨作為驗收依據。</t>
        </is>
      </c>
      <c r="S17" s="47" t="n"/>
      <c r="T17" s="48" t="n"/>
      <c r="U17" s="48" t="n"/>
      <c r="V17" s="47" t="n"/>
      <c r="W17" s="47" t="n"/>
      <c r="X17" s="47" t="n"/>
    </row>
    <row r="18" ht="57.75" customHeight="1" s="36">
      <c r="A18" s="42" t="inlineStr">
        <is>
          <t>UAT2-014</t>
        </is>
      </c>
      <c r="B18" s="43" t="n">
        <v>4</v>
      </c>
      <c r="C18" s="42" t="inlineStr">
        <is>
          <t>DEUTDEFF</t>
        </is>
      </c>
      <c r="D18" s="42" t="inlineStr">
        <is>
          <t>Deutsche Bank AG</t>
        </is>
      </c>
      <c r="E18" s="43" t="inlineStr">
        <is>
          <t>EUR</t>
        </is>
      </c>
      <c r="F18" s="43" t="inlineStr">
        <is>
          <t>HK01</t>
        </is>
      </c>
      <c r="G18" s="42" t="inlineStr">
        <is>
          <t>MT205</t>
        </is>
      </c>
      <c r="H18" s="42" t="inlineStr">
        <is>
          <t>swift.cbprplus.04</t>
        </is>
      </c>
      <c r="I18" s="44" t="inlineStr">
        <is>
          <t>SAME-BIC</t>
        </is>
      </c>
      <c r="J18" s="43" t="n">
        <v>200</v>
      </c>
      <c r="K18" s="42" t="inlineStr">
        <is>
          <t>SSI_RESOLVED</t>
        </is>
      </c>
      <c r="L18" s="42" t="inlineStr">
        <is>
          <t>SSI-DEMO-005</t>
        </is>
      </c>
      <c r="M18" s="43" t="n">
        <v>39</v>
      </c>
      <c r="N18" s="43" t="n">
        <v>34</v>
      </c>
      <c r="O18" s="43" t="n">
        <v>3</v>
      </c>
      <c r="P18" s="45" t="inlineStr">
        <is>
          <t>預期 PASS（FALSE GREEN）</t>
        </is>
      </c>
      <c r="Q18" s="42" t="inlineStr">
        <is>
          <t>DEF-001 隱形</t>
        </is>
      </c>
      <c r="R18" s="46" t="inlineStr">
        <is>
          <t>本組 actualReceiverBic（DEUTDEFF）與 counterparty 相同，DEF-001 覆蓋後的值恰好正確，因此會通過。此通過不構成 agent 來源正確的證據，不得單獨作為驗收依據。</t>
        </is>
      </c>
      <c r="S18" s="47" t="n"/>
      <c r="T18" s="48" t="n"/>
      <c r="U18" s="48" t="n"/>
      <c r="V18" s="47" t="n"/>
      <c r="W18" s="47" t="n"/>
      <c r="X18" s="47" t="n"/>
    </row>
    <row r="19" ht="57.75" customHeight="1" s="36">
      <c r="A19" s="42" t="inlineStr">
        <is>
          <t>UAT2-015</t>
        </is>
      </c>
      <c r="B19" s="43" t="n">
        <v>4</v>
      </c>
      <c r="C19" s="42" t="inlineStr">
        <is>
          <t>DEUTDEFF</t>
        </is>
      </c>
      <c r="D19" s="42" t="inlineStr">
        <is>
          <t>Deutsche Bank AG</t>
        </is>
      </c>
      <c r="E19" s="43" t="inlineStr">
        <is>
          <t>EUR</t>
        </is>
      </c>
      <c r="F19" s="43" t="inlineStr">
        <is>
          <t>HK01</t>
        </is>
      </c>
      <c r="G19" s="42" t="inlineStr">
        <is>
          <t>MT202COV</t>
        </is>
      </c>
      <c r="H19" s="42" t="inlineStr">
        <is>
          <t>swift.cbprplus.cov.04</t>
        </is>
      </c>
      <c r="I19" s="44" t="inlineStr">
        <is>
          <t>SAME-BIC</t>
        </is>
      </c>
      <c r="J19" s="43" t="n">
        <v>503</v>
      </c>
      <c r="K19" s="42" t="inlineStr">
        <is>
          <t>PROFILE_INCOMPLETE</t>
        </is>
      </c>
      <c r="L19" s="42" t="inlineStr">
        <is>
          <t>null（rank 前即擋）</t>
        </is>
      </c>
      <c r="M19" s="43" t="n">
        <v>39</v>
      </c>
      <c r="N19" s="43" t="n">
        <v>34</v>
      </c>
      <c r="O19" s="43" t="n">
        <v>3</v>
      </c>
      <c r="P19" s="49" t="inlineStr">
        <is>
          <t>阻擋 — 不列入分母</t>
        </is>
      </c>
      <c r="Q19" s="42" t="inlineStr">
        <is>
          <t>DG-COV-PROFILE</t>
        </is>
      </c>
      <c r="R19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19" s="47" t="n"/>
      <c r="T19" s="48" t="n"/>
      <c r="U19" s="48" t="n"/>
      <c r="V19" s="47" t="n"/>
      <c r="W19" s="47" t="n"/>
      <c r="X19" s="47" t="n"/>
    </row>
    <row r="20" ht="57.75" customHeight="1" s="36">
      <c r="A20" s="42" t="inlineStr">
        <is>
          <t>UAT2-016</t>
        </is>
      </c>
      <c r="B20" s="43" t="n">
        <v>4</v>
      </c>
      <c r="C20" s="42" t="inlineStr">
        <is>
          <t>DEUTDEFF</t>
        </is>
      </c>
      <c r="D20" s="42" t="inlineStr">
        <is>
          <t>Deutsche Bank AG</t>
        </is>
      </c>
      <c r="E20" s="43" t="inlineStr">
        <is>
          <t>EUR</t>
        </is>
      </c>
      <c r="F20" s="43" t="inlineStr">
        <is>
          <t>HK01</t>
        </is>
      </c>
      <c r="G20" s="42" t="inlineStr">
        <is>
          <t>MT205COV</t>
        </is>
      </c>
      <c r="H20" s="42" t="inlineStr">
        <is>
          <t>swift.cbprplus.cov.04</t>
        </is>
      </c>
      <c r="I20" s="44" t="inlineStr">
        <is>
          <t>SAME-BIC</t>
        </is>
      </c>
      <c r="J20" s="43" t="n">
        <v>503</v>
      </c>
      <c r="K20" s="42" t="inlineStr">
        <is>
          <t>PROFILE_INCOMPLETE</t>
        </is>
      </c>
      <c r="L20" s="42" t="inlineStr">
        <is>
          <t>null（rank 前即擋）</t>
        </is>
      </c>
      <c r="M20" s="43" t="n">
        <v>39</v>
      </c>
      <c r="N20" s="43" t="n">
        <v>34</v>
      </c>
      <c r="O20" s="43" t="n">
        <v>3</v>
      </c>
      <c r="P20" s="49" t="inlineStr">
        <is>
          <t>阻擋 — 不列入分母</t>
        </is>
      </c>
      <c r="Q20" s="42" t="inlineStr">
        <is>
          <t>DG-COV-PROFILE</t>
        </is>
      </c>
      <c r="R20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20" s="47" t="n"/>
      <c r="T20" s="48" t="n"/>
      <c r="U20" s="48" t="n"/>
      <c r="V20" s="47" t="n"/>
      <c r="W20" s="47" t="n"/>
      <c r="X20" s="47" t="n"/>
    </row>
    <row r="21" ht="57.75" customHeight="1" s="36">
      <c r="A21" s="42" t="inlineStr">
        <is>
          <t>UAT2-017</t>
        </is>
      </c>
      <c r="B21" s="43" t="n">
        <v>5</v>
      </c>
      <c r="C21" s="42" t="inlineStr">
        <is>
          <t>DBSSSGSG</t>
        </is>
      </c>
      <c r="D21" s="42" t="inlineStr">
        <is>
          <t>DBS Bank Ltd.</t>
        </is>
      </c>
      <c r="E21" s="43" t="inlineStr">
        <is>
          <t>SGD</t>
        </is>
      </c>
      <c r="F21" s="43" t="inlineStr">
        <is>
          <t>HK01</t>
        </is>
      </c>
      <c r="G21" s="42" t="inlineStr">
        <is>
          <t>MT202</t>
        </is>
      </c>
      <c r="H21" s="42" t="inlineStr">
        <is>
          <t>swift.cbprplus.04</t>
        </is>
      </c>
      <c r="I21" s="44" t="inlineStr">
        <is>
          <t>SAME-BIC</t>
        </is>
      </c>
      <c r="J21" s="43" t="n">
        <v>200</v>
      </c>
      <c r="K21" s="42" t="inlineStr">
        <is>
          <t>SSI_RESOLVED</t>
        </is>
      </c>
      <c r="L21" s="42" t="inlineStr">
        <is>
          <t>SSI-DEMO-007</t>
        </is>
      </c>
      <c r="M21" s="43" t="n">
        <v>44</v>
      </c>
      <c r="N21" s="43" t="n">
        <v>39</v>
      </c>
      <c r="O21" s="43" t="n">
        <v>2</v>
      </c>
      <c r="P21" s="45" t="inlineStr">
        <is>
          <t>預期 PASS（FALSE GREEN）</t>
        </is>
      </c>
      <c r="Q21" s="42" t="inlineStr">
        <is>
          <t>DEF-001 隱形</t>
        </is>
      </c>
      <c r="R21" s="46" t="inlineStr">
        <is>
          <t>本組 actualReceiverBic（DBSSSGSG）與 counterparty 相同，DEF-001 覆蓋後的值恰好正確，因此會通過。此通過不構成 agent 來源正確的證據，不得單獨作為驗收依據。</t>
        </is>
      </c>
      <c r="S21" s="47" t="n"/>
      <c r="T21" s="48" t="n"/>
      <c r="U21" s="48" t="n"/>
      <c r="V21" s="47" t="n"/>
      <c r="W21" s="47" t="n"/>
      <c r="X21" s="47" t="n"/>
    </row>
    <row r="22" ht="57.75" customHeight="1" s="36">
      <c r="A22" s="42" t="inlineStr">
        <is>
          <t>UAT2-018</t>
        </is>
      </c>
      <c r="B22" s="43" t="n">
        <v>5</v>
      </c>
      <c r="C22" s="42" t="inlineStr">
        <is>
          <t>DBSSSGSG</t>
        </is>
      </c>
      <c r="D22" s="42" t="inlineStr">
        <is>
          <t>DBS Bank Ltd.</t>
        </is>
      </c>
      <c r="E22" s="43" t="inlineStr">
        <is>
          <t>SGD</t>
        </is>
      </c>
      <c r="F22" s="43" t="inlineStr">
        <is>
          <t>HK01</t>
        </is>
      </c>
      <c r="G22" s="42" t="inlineStr">
        <is>
          <t>MT205</t>
        </is>
      </c>
      <c r="H22" s="42" t="inlineStr">
        <is>
          <t>swift.cbprplus.04</t>
        </is>
      </c>
      <c r="I22" s="44" t="inlineStr">
        <is>
          <t>SAME-BIC</t>
        </is>
      </c>
      <c r="J22" s="43" t="n">
        <v>200</v>
      </c>
      <c r="K22" s="42" t="inlineStr">
        <is>
          <t>SSI_RESOLVED</t>
        </is>
      </c>
      <c r="L22" s="42" t="inlineStr">
        <is>
          <t>SSI-DEMO-007</t>
        </is>
      </c>
      <c r="M22" s="43" t="n">
        <v>44</v>
      </c>
      <c r="N22" s="43" t="n">
        <v>39</v>
      </c>
      <c r="O22" s="43" t="n">
        <v>2</v>
      </c>
      <c r="P22" s="45" t="inlineStr">
        <is>
          <t>預期 PASS（FALSE GREEN）</t>
        </is>
      </c>
      <c r="Q22" s="42" t="inlineStr">
        <is>
          <t>DEF-001 隱形</t>
        </is>
      </c>
      <c r="R22" s="46" t="inlineStr">
        <is>
          <t>本組 actualReceiverBic（DBSSSGSG）與 counterparty 相同，DEF-001 覆蓋後的值恰好正確，因此會通過。此通過不構成 agent 來源正確的證據，不得單獨作為驗收依據。</t>
        </is>
      </c>
      <c r="S22" s="47" t="n"/>
      <c r="T22" s="48" t="n"/>
      <c r="U22" s="48" t="n"/>
      <c r="V22" s="47" t="n"/>
      <c r="W22" s="47" t="n"/>
      <c r="X22" s="47" t="n"/>
    </row>
    <row r="23" ht="57.75" customHeight="1" s="36">
      <c r="A23" s="42" t="inlineStr">
        <is>
          <t>UAT2-019</t>
        </is>
      </c>
      <c r="B23" s="43" t="n">
        <v>5</v>
      </c>
      <c r="C23" s="42" t="inlineStr">
        <is>
          <t>DBSSSGSG</t>
        </is>
      </c>
      <c r="D23" s="42" t="inlineStr">
        <is>
          <t>DBS Bank Ltd.</t>
        </is>
      </c>
      <c r="E23" s="43" t="inlineStr">
        <is>
          <t>SGD</t>
        </is>
      </c>
      <c r="F23" s="43" t="inlineStr">
        <is>
          <t>HK01</t>
        </is>
      </c>
      <c r="G23" s="42" t="inlineStr">
        <is>
          <t>MT202COV</t>
        </is>
      </c>
      <c r="H23" s="42" t="inlineStr">
        <is>
          <t>swift.cbprplus.cov.04</t>
        </is>
      </c>
      <c r="I23" s="44" t="inlineStr">
        <is>
          <t>SAME-BIC</t>
        </is>
      </c>
      <c r="J23" s="43" t="n">
        <v>503</v>
      </c>
      <c r="K23" s="42" t="inlineStr">
        <is>
          <t>PROFILE_INCOMPLETE</t>
        </is>
      </c>
      <c r="L23" s="42" t="inlineStr">
        <is>
          <t>null（rank 前即擋）</t>
        </is>
      </c>
      <c r="M23" s="43" t="n">
        <v>44</v>
      </c>
      <c r="N23" s="43" t="n">
        <v>39</v>
      </c>
      <c r="O23" s="43" t="n">
        <v>2</v>
      </c>
      <c r="P23" s="49" t="inlineStr">
        <is>
          <t>阻擋 — 不列入分母</t>
        </is>
      </c>
      <c r="Q23" s="42" t="inlineStr">
        <is>
          <t>DG-COV-PROFILE</t>
        </is>
      </c>
      <c r="R23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23" s="47" t="n"/>
      <c r="T23" s="48" t="n"/>
      <c r="U23" s="48" t="n"/>
      <c r="V23" s="47" t="n"/>
      <c r="W23" s="47" t="n"/>
      <c r="X23" s="47" t="n"/>
    </row>
    <row r="24" ht="57.75" customHeight="1" s="36">
      <c r="A24" s="42" t="inlineStr">
        <is>
          <t>UAT2-020</t>
        </is>
      </c>
      <c r="B24" s="43" t="n">
        <v>5</v>
      </c>
      <c r="C24" s="42" t="inlineStr">
        <is>
          <t>DBSSSGSG</t>
        </is>
      </c>
      <c r="D24" s="42" t="inlineStr">
        <is>
          <t>DBS Bank Ltd.</t>
        </is>
      </c>
      <c r="E24" s="43" t="inlineStr">
        <is>
          <t>SGD</t>
        </is>
      </c>
      <c r="F24" s="43" t="inlineStr">
        <is>
          <t>HK01</t>
        </is>
      </c>
      <c r="G24" s="42" t="inlineStr">
        <is>
          <t>MT205COV</t>
        </is>
      </c>
      <c r="H24" s="42" t="inlineStr">
        <is>
          <t>swift.cbprplus.cov.04</t>
        </is>
      </c>
      <c r="I24" s="44" t="inlineStr">
        <is>
          <t>SAME-BIC</t>
        </is>
      </c>
      <c r="J24" s="43" t="n">
        <v>503</v>
      </c>
      <c r="K24" s="42" t="inlineStr">
        <is>
          <t>PROFILE_INCOMPLETE</t>
        </is>
      </c>
      <c r="L24" s="42" t="inlineStr">
        <is>
          <t>null（rank 前即擋）</t>
        </is>
      </c>
      <c r="M24" s="43" t="n">
        <v>44</v>
      </c>
      <c r="N24" s="43" t="n">
        <v>39</v>
      </c>
      <c r="O24" s="43" t="n">
        <v>2</v>
      </c>
      <c r="P24" s="49" t="inlineStr">
        <is>
          <t>阻擋 — 不列入分母</t>
        </is>
      </c>
      <c r="Q24" s="42" t="inlineStr">
        <is>
          <t>DG-COV-PROFILE</t>
        </is>
      </c>
      <c r="R24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24" s="47" t="n"/>
      <c r="T24" s="48" t="n"/>
      <c r="U24" s="48" t="n"/>
      <c r="V24" s="47" t="n"/>
      <c r="W24" s="47" t="n"/>
      <c r="X24" s="47" t="n"/>
    </row>
    <row r="25" ht="57.75" customHeight="1" s="36">
      <c r="A25" s="42" t="inlineStr">
        <is>
          <t>UAT2-021</t>
        </is>
      </c>
      <c r="B25" s="43" t="n">
        <v>6</v>
      </c>
      <c r="C25" s="42" t="inlineStr">
        <is>
          <t>BOTKJPJT</t>
        </is>
      </c>
      <c r="D25" s="42" t="inlineStr">
        <is>
          <t>MUFG Bank, Ltd.</t>
        </is>
      </c>
      <c r="E25" s="43" t="inlineStr">
        <is>
          <t>JPY</t>
        </is>
      </c>
      <c r="F25" s="43" t="inlineStr">
        <is>
          <t>HK01</t>
        </is>
      </c>
      <c r="G25" s="42" t="inlineStr">
        <is>
          <t>MT202</t>
        </is>
      </c>
      <c r="H25" s="42" t="inlineStr">
        <is>
          <t>swift.cbprplus.04</t>
        </is>
      </c>
      <c r="I25" s="44" t="inlineStr">
        <is>
          <t>SAME-BIC</t>
        </is>
      </c>
      <c r="J25" s="43" t="n">
        <v>200</v>
      </c>
      <c r="K25" s="42" t="inlineStr">
        <is>
          <t>SSI_RESOLVED</t>
        </is>
      </c>
      <c r="L25" s="42" t="inlineStr">
        <is>
          <t>SSI-DEMO-009</t>
        </is>
      </c>
      <c r="M25" s="43" t="n">
        <v>39</v>
      </c>
      <c r="N25" s="43" t="n">
        <v>34</v>
      </c>
      <c r="O25" s="43" t="n">
        <v>2</v>
      </c>
      <c r="P25" s="45" t="inlineStr">
        <is>
          <t>預期 PASS（FALSE GREEN）</t>
        </is>
      </c>
      <c r="Q25" s="42" t="inlineStr">
        <is>
          <t>DEF-001 隱形</t>
        </is>
      </c>
      <c r="R25" s="46" t="inlineStr">
        <is>
          <t>本組 actualReceiverBic（BOTKJPJT）與 counterparty 相同，DEF-001 覆蓋後的值恰好正確，因此會通過。此通過不構成 agent 來源正確的證據，不得單獨作為驗收依據。</t>
        </is>
      </c>
      <c r="S25" s="47" t="n"/>
      <c r="T25" s="48" t="n"/>
      <c r="U25" s="48" t="n"/>
      <c r="V25" s="47" t="n"/>
      <c r="W25" s="47" t="n"/>
      <c r="X25" s="47" t="n"/>
    </row>
    <row r="26" ht="57.75" customHeight="1" s="36">
      <c r="A26" s="42" t="inlineStr">
        <is>
          <t>UAT2-022</t>
        </is>
      </c>
      <c r="B26" s="43" t="n">
        <v>6</v>
      </c>
      <c r="C26" s="42" t="inlineStr">
        <is>
          <t>BOTKJPJT</t>
        </is>
      </c>
      <c r="D26" s="42" t="inlineStr">
        <is>
          <t>MUFG Bank, Ltd.</t>
        </is>
      </c>
      <c r="E26" s="43" t="inlineStr">
        <is>
          <t>JPY</t>
        </is>
      </c>
      <c r="F26" s="43" t="inlineStr">
        <is>
          <t>HK01</t>
        </is>
      </c>
      <c r="G26" s="42" t="inlineStr">
        <is>
          <t>MT205</t>
        </is>
      </c>
      <c r="H26" s="42" t="inlineStr">
        <is>
          <t>swift.cbprplus.04</t>
        </is>
      </c>
      <c r="I26" s="44" t="inlineStr">
        <is>
          <t>SAME-BIC</t>
        </is>
      </c>
      <c r="J26" s="43" t="n">
        <v>200</v>
      </c>
      <c r="K26" s="42" t="inlineStr">
        <is>
          <t>SSI_RESOLVED</t>
        </is>
      </c>
      <c r="L26" s="42" t="inlineStr">
        <is>
          <t>SSI-DEMO-009</t>
        </is>
      </c>
      <c r="M26" s="43" t="n">
        <v>39</v>
      </c>
      <c r="N26" s="43" t="n">
        <v>34</v>
      </c>
      <c r="O26" s="43" t="n">
        <v>2</v>
      </c>
      <c r="P26" s="45" t="inlineStr">
        <is>
          <t>預期 PASS（FALSE GREEN）</t>
        </is>
      </c>
      <c r="Q26" s="42" t="inlineStr">
        <is>
          <t>DEF-001 隱形</t>
        </is>
      </c>
      <c r="R26" s="46" t="inlineStr">
        <is>
          <t>本組 actualReceiverBic（BOTKJPJT）與 counterparty 相同，DEF-001 覆蓋後的值恰好正確，因此會通過。此通過不構成 agent 來源正確的證據，不得單獨作為驗收依據。</t>
        </is>
      </c>
      <c r="S26" s="47" t="n"/>
      <c r="T26" s="48" t="n"/>
      <c r="U26" s="48" t="n"/>
      <c r="V26" s="47" t="n"/>
      <c r="W26" s="47" t="n"/>
      <c r="X26" s="47" t="n"/>
    </row>
    <row r="27" ht="57.75" customHeight="1" s="36">
      <c r="A27" s="42" t="inlineStr">
        <is>
          <t>UAT2-023</t>
        </is>
      </c>
      <c r="B27" s="43" t="n">
        <v>6</v>
      </c>
      <c r="C27" s="42" t="inlineStr">
        <is>
          <t>BOTKJPJT</t>
        </is>
      </c>
      <c r="D27" s="42" t="inlineStr">
        <is>
          <t>MUFG Bank, Ltd.</t>
        </is>
      </c>
      <c r="E27" s="43" t="inlineStr">
        <is>
          <t>JPY</t>
        </is>
      </c>
      <c r="F27" s="43" t="inlineStr">
        <is>
          <t>HK01</t>
        </is>
      </c>
      <c r="G27" s="42" t="inlineStr">
        <is>
          <t>MT202COV</t>
        </is>
      </c>
      <c r="H27" s="42" t="inlineStr">
        <is>
          <t>swift.cbprplus.cov.04</t>
        </is>
      </c>
      <c r="I27" s="44" t="inlineStr">
        <is>
          <t>SAME-BIC</t>
        </is>
      </c>
      <c r="J27" s="43" t="n">
        <v>503</v>
      </c>
      <c r="K27" s="42" t="inlineStr">
        <is>
          <t>PROFILE_INCOMPLETE</t>
        </is>
      </c>
      <c r="L27" s="42" t="inlineStr">
        <is>
          <t>null（rank 前即擋）</t>
        </is>
      </c>
      <c r="M27" s="43" t="n">
        <v>39</v>
      </c>
      <c r="N27" s="43" t="n">
        <v>34</v>
      </c>
      <c r="O27" s="43" t="n">
        <v>2</v>
      </c>
      <c r="P27" s="49" t="inlineStr">
        <is>
          <t>阻擋 — 不列入分母</t>
        </is>
      </c>
      <c r="Q27" s="42" t="inlineStr">
        <is>
          <t>DG-COV-PROFILE</t>
        </is>
      </c>
      <c r="R27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27" s="47" t="n"/>
      <c r="T27" s="48" t="n"/>
      <c r="U27" s="48" t="n"/>
      <c r="V27" s="47" t="n"/>
      <c r="W27" s="47" t="n"/>
      <c r="X27" s="47" t="n"/>
    </row>
    <row r="28" ht="57.75" customHeight="1" s="36">
      <c r="A28" s="42" t="inlineStr">
        <is>
          <t>UAT2-024</t>
        </is>
      </c>
      <c r="B28" s="43" t="n">
        <v>6</v>
      </c>
      <c r="C28" s="42" t="inlineStr">
        <is>
          <t>BOTKJPJT</t>
        </is>
      </c>
      <c r="D28" s="42" t="inlineStr">
        <is>
          <t>MUFG Bank, Ltd.</t>
        </is>
      </c>
      <c r="E28" s="43" t="inlineStr">
        <is>
          <t>JPY</t>
        </is>
      </c>
      <c r="F28" s="43" t="inlineStr">
        <is>
          <t>HK01</t>
        </is>
      </c>
      <c r="G28" s="42" t="inlineStr">
        <is>
          <t>MT205COV</t>
        </is>
      </c>
      <c r="H28" s="42" t="inlineStr">
        <is>
          <t>swift.cbprplus.cov.04</t>
        </is>
      </c>
      <c r="I28" s="44" t="inlineStr">
        <is>
          <t>SAME-BIC</t>
        </is>
      </c>
      <c r="J28" s="43" t="n">
        <v>503</v>
      </c>
      <c r="K28" s="42" t="inlineStr">
        <is>
          <t>PROFILE_INCOMPLETE</t>
        </is>
      </c>
      <c r="L28" s="42" t="inlineStr">
        <is>
          <t>null（rank 前即擋）</t>
        </is>
      </c>
      <c r="M28" s="43" t="n">
        <v>39</v>
      </c>
      <c r="N28" s="43" t="n">
        <v>34</v>
      </c>
      <c r="O28" s="43" t="n">
        <v>2</v>
      </c>
      <c r="P28" s="49" t="inlineStr">
        <is>
          <t>阻擋 — 不列入分母</t>
        </is>
      </c>
      <c r="Q28" s="42" t="inlineStr">
        <is>
          <t>DG-COV-PROFILE</t>
        </is>
      </c>
      <c r="R28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28" s="47" t="n"/>
      <c r="T28" s="48" t="n"/>
      <c r="U28" s="48" t="n"/>
      <c r="V28" s="47" t="n"/>
      <c r="W28" s="47" t="n"/>
      <c r="X28" s="47" t="n"/>
    </row>
    <row r="29" ht="57.75" customHeight="1" s="36">
      <c r="A29" s="42" t="inlineStr">
        <is>
          <t>UAT2-025</t>
        </is>
      </c>
      <c r="B29" s="43" t="n">
        <v>7</v>
      </c>
      <c r="C29" s="42" t="inlineStr">
        <is>
          <t>HSBCHKHH</t>
        </is>
      </c>
      <c r="D29" s="42" t="inlineStr">
        <is>
          <t>HSBC</t>
        </is>
      </c>
      <c r="E29" s="43" t="inlineStr">
        <is>
          <t>HKD</t>
        </is>
      </c>
      <c r="F29" s="43" t="inlineStr">
        <is>
          <t>HK01</t>
        </is>
      </c>
      <c r="G29" s="42" t="inlineStr">
        <is>
          <t>MT202</t>
        </is>
      </c>
      <c r="H29" s="42" t="inlineStr">
        <is>
          <t>swift.cbprplus.04</t>
        </is>
      </c>
      <c r="I29" s="44" t="inlineStr">
        <is>
          <t>SAME-BIC</t>
        </is>
      </c>
      <c r="J29" s="43" t="n">
        <v>200</v>
      </c>
      <c r="K29" s="42" t="inlineStr">
        <is>
          <t>SSI_RESOLVED</t>
        </is>
      </c>
      <c r="L29" s="42" t="inlineStr">
        <is>
          <t>SSI-DEMO-011</t>
        </is>
      </c>
      <c r="M29" s="43" t="n">
        <v>39</v>
      </c>
      <c r="N29" s="43" t="n">
        <v>34</v>
      </c>
      <c r="O29" s="43" t="n">
        <v>2</v>
      </c>
      <c r="P29" s="45" t="inlineStr">
        <is>
          <t>預期 PASS（FALSE GREEN）</t>
        </is>
      </c>
      <c r="Q29" s="42" t="inlineStr">
        <is>
          <t>DEF-001 隱形</t>
        </is>
      </c>
      <c r="R29" s="46" t="inlineStr">
        <is>
          <t>本組 actualReceiverBic（HSBCHKHH）與 counterparty 相同，DEF-001 覆蓋後的值恰好正確，因此會通過。此通過不構成 agent 來源正確的證據，不得單獨作為驗收依據。</t>
        </is>
      </c>
      <c r="S29" s="47" t="n"/>
      <c r="T29" s="48" t="n"/>
      <c r="U29" s="48" t="n"/>
      <c r="V29" s="47" t="n"/>
      <c r="W29" s="47" t="n"/>
      <c r="X29" s="47" t="n"/>
    </row>
    <row r="30" ht="57.75" customHeight="1" s="36">
      <c r="A30" s="42" t="inlineStr">
        <is>
          <t>UAT2-026</t>
        </is>
      </c>
      <c r="B30" s="43" t="n">
        <v>7</v>
      </c>
      <c r="C30" s="42" t="inlineStr">
        <is>
          <t>HSBCHKHH</t>
        </is>
      </c>
      <c r="D30" s="42" t="inlineStr">
        <is>
          <t>HSBC</t>
        </is>
      </c>
      <c r="E30" s="43" t="inlineStr">
        <is>
          <t>HKD</t>
        </is>
      </c>
      <c r="F30" s="43" t="inlineStr">
        <is>
          <t>HK01</t>
        </is>
      </c>
      <c r="G30" s="42" t="inlineStr">
        <is>
          <t>MT205</t>
        </is>
      </c>
      <c r="H30" s="42" t="inlineStr">
        <is>
          <t>swift.cbprplus.04</t>
        </is>
      </c>
      <c r="I30" s="44" t="inlineStr">
        <is>
          <t>SAME-BIC</t>
        </is>
      </c>
      <c r="J30" s="43" t="n">
        <v>200</v>
      </c>
      <c r="K30" s="42" t="inlineStr">
        <is>
          <t>SSI_RESOLVED</t>
        </is>
      </c>
      <c r="L30" s="42" t="inlineStr">
        <is>
          <t>SSI-DEMO-011</t>
        </is>
      </c>
      <c r="M30" s="43" t="n">
        <v>39</v>
      </c>
      <c r="N30" s="43" t="n">
        <v>34</v>
      </c>
      <c r="O30" s="43" t="n">
        <v>2</v>
      </c>
      <c r="P30" s="45" t="inlineStr">
        <is>
          <t>預期 PASS（FALSE GREEN）</t>
        </is>
      </c>
      <c r="Q30" s="42" t="inlineStr">
        <is>
          <t>DEF-001 隱形</t>
        </is>
      </c>
      <c r="R30" s="46" t="inlineStr">
        <is>
          <t>本組 actualReceiverBic（HSBCHKHH）與 counterparty 相同，DEF-001 覆蓋後的值恰好正確，因此會通過。此通過不構成 agent 來源正確的證據，不得單獨作為驗收依據。</t>
        </is>
      </c>
      <c r="S30" s="47" t="n"/>
      <c r="T30" s="48" t="n"/>
      <c r="U30" s="48" t="n"/>
      <c r="V30" s="47" t="n"/>
      <c r="W30" s="47" t="n"/>
      <c r="X30" s="47" t="n"/>
    </row>
    <row r="31" ht="57.75" customHeight="1" s="36">
      <c r="A31" s="42" t="inlineStr">
        <is>
          <t>UAT2-027</t>
        </is>
      </c>
      <c r="B31" s="43" t="n">
        <v>7</v>
      </c>
      <c r="C31" s="42" t="inlineStr">
        <is>
          <t>HSBCHKHH</t>
        </is>
      </c>
      <c r="D31" s="42" t="inlineStr">
        <is>
          <t>HSBC</t>
        </is>
      </c>
      <c r="E31" s="43" t="inlineStr">
        <is>
          <t>HKD</t>
        </is>
      </c>
      <c r="F31" s="43" t="inlineStr">
        <is>
          <t>HK01</t>
        </is>
      </c>
      <c r="G31" s="42" t="inlineStr">
        <is>
          <t>MT202COV</t>
        </is>
      </c>
      <c r="H31" s="42" t="inlineStr">
        <is>
          <t>swift.cbprplus.cov.04</t>
        </is>
      </c>
      <c r="I31" s="44" t="inlineStr">
        <is>
          <t>SAME-BIC</t>
        </is>
      </c>
      <c r="J31" s="43" t="n">
        <v>503</v>
      </c>
      <c r="K31" s="42" t="inlineStr">
        <is>
          <t>PROFILE_INCOMPLETE</t>
        </is>
      </c>
      <c r="L31" s="42" t="inlineStr">
        <is>
          <t>null（rank 前即擋）</t>
        </is>
      </c>
      <c r="M31" s="43" t="n">
        <v>39</v>
      </c>
      <c r="N31" s="43" t="n">
        <v>34</v>
      </c>
      <c r="O31" s="43" t="n">
        <v>2</v>
      </c>
      <c r="P31" s="49" t="inlineStr">
        <is>
          <t>阻擋 — 不列入分母</t>
        </is>
      </c>
      <c r="Q31" s="42" t="inlineStr">
        <is>
          <t>DG-COV-PROFILE</t>
        </is>
      </c>
      <c r="R31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31" s="47" t="n"/>
      <c r="T31" s="48" t="n"/>
      <c r="U31" s="48" t="n"/>
      <c r="V31" s="47" t="n"/>
      <c r="W31" s="47" t="n"/>
      <c r="X31" s="47" t="n"/>
    </row>
    <row r="32" ht="57.75" customHeight="1" s="36">
      <c r="A32" s="42" t="inlineStr">
        <is>
          <t>UAT2-028</t>
        </is>
      </c>
      <c r="B32" s="43" t="n">
        <v>7</v>
      </c>
      <c r="C32" s="42" t="inlineStr">
        <is>
          <t>HSBCHKHH</t>
        </is>
      </c>
      <c r="D32" s="42" t="inlineStr">
        <is>
          <t>HSBC</t>
        </is>
      </c>
      <c r="E32" s="43" t="inlineStr">
        <is>
          <t>HKD</t>
        </is>
      </c>
      <c r="F32" s="43" t="inlineStr">
        <is>
          <t>HK01</t>
        </is>
      </c>
      <c r="G32" s="42" t="inlineStr">
        <is>
          <t>MT205COV</t>
        </is>
      </c>
      <c r="H32" s="42" t="inlineStr">
        <is>
          <t>swift.cbprplus.cov.04</t>
        </is>
      </c>
      <c r="I32" s="44" t="inlineStr">
        <is>
          <t>SAME-BIC</t>
        </is>
      </c>
      <c r="J32" s="43" t="n">
        <v>503</v>
      </c>
      <c r="K32" s="42" t="inlineStr">
        <is>
          <t>PROFILE_INCOMPLETE</t>
        </is>
      </c>
      <c r="L32" s="42" t="inlineStr">
        <is>
          <t>null（rank 前即擋）</t>
        </is>
      </c>
      <c r="M32" s="43" t="n">
        <v>39</v>
      </c>
      <c r="N32" s="43" t="n">
        <v>34</v>
      </c>
      <c r="O32" s="43" t="n">
        <v>2</v>
      </c>
      <c r="P32" s="49" t="inlineStr">
        <is>
          <t>阻擋 — 不列入分母</t>
        </is>
      </c>
      <c r="Q32" s="42" t="inlineStr">
        <is>
          <t>DG-COV-PROFILE</t>
        </is>
      </c>
      <c r="R32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32" s="47" t="n"/>
      <c r="T32" s="48" t="n"/>
      <c r="U32" s="48" t="n"/>
      <c r="V32" s="47" t="n"/>
      <c r="W32" s="47" t="n"/>
      <c r="X32" s="47" t="n"/>
    </row>
    <row r="33" ht="57.75" customHeight="1" s="36">
      <c r="A33" s="42" t="inlineStr">
        <is>
          <t>UAT2-029</t>
        </is>
      </c>
      <c r="B33" s="43" t="n">
        <v>8</v>
      </c>
      <c r="C33" s="42" t="inlineStr">
        <is>
          <t>BOFAUS3N</t>
        </is>
      </c>
      <c r="D33" s="42" t="inlineStr">
        <is>
          <t>Bank of America, N.A.</t>
        </is>
      </c>
      <c r="E33" s="43" t="inlineStr">
        <is>
          <t>AUD</t>
        </is>
      </c>
      <c r="F33" s="43" t="inlineStr">
        <is>
          <t>HK01</t>
        </is>
      </c>
      <c r="G33" s="42" t="inlineStr">
        <is>
          <t>MT202</t>
        </is>
      </c>
      <c r="H33" s="42" t="inlineStr">
        <is>
          <t>swift.cbprplus.04</t>
        </is>
      </c>
      <c r="I33" s="51" t="inlineStr">
        <is>
          <t>VIA-BIC</t>
        </is>
      </c>
      <c r="J33" s="43" t="n">
        <v>200</v>
      </c>
      <c r="K33" s="42" t="inlineStr">
        <is>
          <t>SSI_RESOLVED</t>
        </is>
      </c>
      <c r="L33" s="42" t="inlineStr">
        <is>
          <t>SSI-DEMO-013</t>
        </is>
      </c>
      <c r="M33" s="43" t="n">
        <v>39</v>
      </c>
      <c r="N33" s="43" t="n">
        <v>34</v>
      </c>
      <c r="O33" s="43" t="n">
        <v>2</v>
      </c>
      <c r="P33" s="52" t="inlineStr">
        <is>
          <t>預期 FAIL（已知缺陷）</t>
        </is>
      </c>
      <c r="Q33" s="42" t="inlineStr">
        <is>
          <t>DEF-001</t>
        </is>
      </c>
      <c r="R33" s="46" t="inlineStr">
        <is>
          <t>路由為「經由第三行」：actualReceiverBic=CTBAAU2S、beneficiaryBic=BOFAUS3N、Nostro servicer=CTBAAU2S。正確 instructedAgent 應為 CTBAAU2S；若回傳 BOFAUS3N 即命中 DEF-001。同時檢查 SttlmMtd=INDA 與 SttlmAcct 所屬 servicer 是否一致。</t>
        </is>
      </c>
      <c r="S33" s="47" t="n"/>
      <c r="T33" s="48" t="n"/>
      <c r="U33" s="48" t="n"/>
      <c r="V33" s="47" t="n"/>
      <c r="W33" s="47" t="n"/>
      <c r="X33" s="47" t="n"/>
    </row>
    <row r="34" ht="57.75" customHeight="1" s="36">
      <c r="A34" s="42" t="inlineStr">
        <is>
          <t>UAT2-030</t>
        </is>
      </c>
      <c r="B34" s="43" t="n">
        <v>8</v>
      </c>
      <c r="C34" s="42" t="inlineStr">
        <is>
          <t>BOFAUS3N</t>
        </is>
      </c>
      <c r="D34" s="42" t="inlineStr">
        <is>
          <t>Bank of America, N.A.</t>
        </is>
      </c>
      <c r="E34" s="43" t="inlineStr">
        <is>
          <t>AUD</t>
        </is>
      </c>
      <c r="F34" s="43" t="inlineStr">
        <is>
          <t>HK01</t>
        </is>
      </c>
      <c r="G34" s="42" t="inlineStr">
        <is>
          <t>MT205</t>
        </is>
      </c>
      <c r="H34" s="42" t="inlineStr">
        <is>
          <t>swift.cbprplus.04</t>
        </is>
      </c>
      <c r="I34" s="51" t="inlineStr">
        <is>
          <t>VIA-BIC</t>
        </is>
      </c>
      <c r="J34" s="43" t="n">
        <v>200</v>
      </c>
      <c r="K34" s="42" t="inlineStr">
        <is>
          <t>SSI_RESOLVED</t>
        </is>
      </c>
      <c r="L34" s="42" t="inlineStr">
        <is>
          <t>SSI-DEMO-013</t>
        </is>
      </c>
      <c r="M34" s="43" t="n">
        <v>39</v>
      </c>
      <c r="N34" s="43" t="n">
        <v>34</v>
      </c>
      <c r="O34" s="43" t="n">
        <v>2</v>
      </c>
      <c r="P34" s="52" t="inlineStr">
        <is>
          <t>預期 FAIL（已知缺陷）</t>
        </is>
      </c>
      <c r="Q34" s="42" t="inlineStr">
        <is>
          <t>DEF-001</t>
        </is>
      </c>
      <c r="R34" s="46" t="inlineStr">
        <is>
          <t>路由為「經由第三行」：actualReceiverBic=CTBAAU2S、beneficiaryBic=BOFAUS3N、Nostro servicer=CTBAAU2S。正確 instructedAgent 應為 CTBAAU2S；若回傳 BOFAUS3N 即命中 DEF-001。同時檢查 SttlmMtd=INDA 與 SttlmAcct 所屬 servicer 是否一致。</t>
        </is>
      </c>
      <c r="S34" s="47" t="n"/>
      <c r="T34" s="48" t="n"/>
      <c r="U34" s="48" t="n"/>
      <c r="V34" s="47" t="n"/>
      <c r="W34" s="47" t="n"/>
      <c r="X34" s="47" t="n"/>
    </row>
    <row r="35" ht="57.75" customHeight="1" s="36">
      <c r="A35" s="42" t="inlineStr">
        <is>
          <t>UAT2-031</t>
        </is>
      </c>
      <c r="B35" s="43" t="n">
        <v>8</v>
      </c>
      <c r="C35" s="42" t="inlineStr">
        <is>
          <t>BOFAUS3N</t>
        </is>
      </c>
      <c r="D35" s="42" t="inlineStr">
        <is>
          <t>Bank of America, N.A.</t>
        </is>
      </c>
      <c r="E35" s="43" t="inlineStr">
        <is>
          <t>AUD</t>
        </is>
      </c>
      <c r="F35" s="43" t="inlineStr">
        <is>
          <t>HK01</t>
        </is>
      </c>
      <c r="G35" s="42" t="inlineStr">
        <is>
          <t>MT202COV</t>
        </is>
      </c>
      <c r="H35" s="42" t="inlineStr">
        <is>
          <t>swift.cbprplus.cov.04</t>
        </is>
      </c>
      <c r="I35" s="51" t="inlineStr">
        <is>
          <t>VIA-BIC</t>
        </is>
      </c>
      <c r="J35" s="43" t="n">
        <v>503</v>
      </c>
      <c r="K35" s="42" t="inlineStr">
        <is>
          <t>PROFILE_INCOMPLETE</t>
        </is>
      </c>
      <c r="L35" s="42" t="inlineStr">
        <is>
          <t>null（rank 前即擋）</t>
        </is>
      </c>
      <c r="M35" s="43" t="n">
        <v>39</v>
      </c>
      <c r="N35" s="43" t="n">
        <v>34</v>
      </c>
      <c r="O35" s="43" t="n">
        <v>2</v>
      </c>
      <c r="P35" s="49" t="inlineStr">
        <is>
          <t>阻擋 — 不列入分母</t>
        </is>
      </c>
      <c r="Q35" s="42" t="inlineStr">
        <is>
          <t>DG-COV-PROFILE</t>
        </is>
      </c>
      <c r="R35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35" s="47" t="n"/>
      <c r="T35" s="48" t="n"/>
      <c r="U35" s="48" t="n"/>
      <c r="V35" s="47" t="n"/>
      <c r="W35" s="47" t="n"/>
      <c r="X35" s="47" t="n"/>
    </row>
    <row r="36" ht="57.75" customHeight="1" s="36">
      <c r="A36" s="42" t="inlineStr">
        <is>
          <t>UAT2-032</t>
        </is>
      </c>
      <c r="B36" s="43" t="n">
        <v>8</v>
      </c>
      <c r="C36" s="42" t="inlineStr">
        <is>
          <t>BOFAUS3N</t>
        </is>
      </c>
      <c r="D36" s="42" t="inlineStr">
        <is>
          <t>Bank of America, N.A.</t>
        </is>
      </c>
      <c r="E36" s="43" t="inlineStr">
        <is>
          <t>AUD</t>
        </is>
      </c>
      <c r="F36" s="43" t="inlineStr">
        <is>
          <t>HK01</t>
        </is>
      </c>
      <c r="G36" s="42" t="inlineStr">
        <is>
          <t>MT205COV</t>
        </is>
      </c>
      <c r="H36" s="42" t="inlineStr">
        <is>
          <t>swift.cbprplus.cov.04</t>
        </is>
      </c>
      <c r="I36" s="51" t="inlineStr">
        <is>
          <t>VIA-BIC</t>
        </is>
      </c>
      <c r="J36" s="43" t="n">
        <v>503</v>
      </c>
      <c r="K36" s="42" t="inlineStr">
        <is>
          <t>PROFILE_INCOMPLETE</t>
        </is>
      </c>
      <c r="L36" s="42" t="inlineStr">
        <is>
          <t>null（rank 前即擋）</t>
        </is>
      </c>
      <c r="M36" s="43" t="n">
        <v>39</v>
      </c>
      <c r="N36" s="43" t="n">
        <v>34</v>
      </c>
      <c r="O36" s="43" t="n">
        <v>2</v>
      </c>
      <c r="P36" s="49" t="inlineStr">
        <is>
          <t>阻擋 — 不列入分母</t>
        </is>
      </c>
      <c r="Q36" s="42" t="inlineStr">
        <is>
          <t>DG-COV-PROFILE</t>
        </is>
      </c>
      <c r="R36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36" s="47" t="n"/>
      <c r="T36" s="48" t="n"/>
      <c r="U36" s="48" t="n"/>
      <c r="V36" s="47" t="n"/>
      <c r="W36" s="47" t="n"/>
      <c r="X36" s="47" t="n"/>
    </row>
    <row r="37" ht="57.75" customHeight="1" s="36">
      <c r="A37" s="42" t="inlineStr">
        <is>
          <t>UAT2-033</t>
        </is>
      </c>
      <c r="B37" s="43" t="n">
        <v>9</v>
      </c>
      <c r="C37" s="42" t="inlineStr">
        <is>
          <t>CHASUS33</t>
        </is>
      </c>
      <c r="D37" s="42" t="inlineStr">
        <is>
          <t>JPMorgan Chase Bank, N.A.</t>
        </is>
      </c>
      <c r="E37" s="43" t="inlineStr">
        <is>
          <t>CAD</t>
        </is>
      </c>
      <c r="F37" s="43" t="inlineStr">
        <is>
          <t>HK01</t>
        </is>
      </c>
      <c r="G37" s="42" t="inlineStr">
        <is>
          <t>MT202</t>
        </is>
      </c>
      <c r="H37" s="42" t="inlineStr">
        <is>
          <t>swift.cbprplus.04</t>
        </is>
      </c>
      <c r="I37" s="51" t="inlineStr">
        <is>
          <t>VIA-BIC</t>
        </is>
      </c>
      <c r="J37" s="43" t="n">
        <v>200</v>
      </c>
      <c r="K37" s="42" t="inlineStr">
        <is>
          <t>SSI_RESOLVED</t>
        </is>
      </c>
      <c r="L37" s="42" t="inlineStr">
        <is>
          <t>SSI-DEMO-015</t>
        </is>
      </c>
      <c r="M37" s="43" t="n">
        <v>39</v>
      </c>
      <c r="N37" s="43" t="n">
        <v>34</v>
      </c>
      <c r="O37" s="43" t="n">
        <v>2</v>
      </c>
      <c r="P37" s="52" t="inlineStr">
        <is>
          <t>預期 FAIL（已知缺陷）</t>
        </is>
      </c>
      <c r="Q37" s="42" t="inlineStr">
        <is>
          <t>DEF-001</t>
        </is>
      </c>
      <c r="R37" s="46" t="inlineStr">
        <is>
          <t>路由為「經由第三行」：actualReceiverBic=ROYCCAT2、beneficiaryBic=CHASUS33、Nostro servicer=ROYCCAT2。正確 instructedAgent 應為 ROYCCAT2；若回傳 CHASUS33 即命中 DEF-001。同時檢查 SttlmMtd=INDA 與 SttlmAcct 所屬 servicer 是否一致。</t>
        </is>
      </c>
      <c r="S37" s="47" t="n"/>
      <c r="T37" s="48" t="n"/>
      <c r="U37" s="48" t="n"/>
      <c r="V37" s="47" t="n"/>
      <c r="W37" s="47" t="n"/>
      <c r="X37" s="47" t="n"/>
    </row>
    <row r="38" ht="57.75" customHeight="1" s="36">
      <c r="A38" s="42" t="inlineStr">
        <is>
          <t>UAT2-034</t>
        </is>
      </c>
      <c r="B38" s="43" t="n">
        <v>9</v>
      </c>
      <c r="C38" s="42" t="inlineStr">
        <is>
          <t>CHASUS33</t>
        </is>
      </c>
      <c r="D38" s="42" t="inlineStr">
        <is>
          <t>JPMorgan Chase Bank, N.A.</t>
        </is>
      </c>
      <c r="E38" s="43" t="inlineStr">
        <is>
          <t>CAD</t>
        </is>
      </c>
      <c r="F38" s="43" t="inlineStr">
        <is>
          <t>HK01</t>
        </is>
      </c>
      <c r="G38" s="42" t="inlineStr">
        <is>
          <t>MT205</t>
        </is>
      </c>
      <c r="H38" s="42" t="inlineStr">
        <is>
          <t>swift.cbprplus.04</t>
        </is>
      </c>
      <c r="I38" s="51" t="inlineStr">
        <is>
          <t>VIA-BIC</t>
        </is>
      </c>
      <c r="J38" s="43" t="n">
        <v>200</v>
      </c>
      <c r="K38" s="42" t="inlineStr">
        <is>
          <t>SSI_RESOLVED</t>
        </is>
      </c>
      <c r="L38" s="42" t="inlineStr">
        <is>
          <t>SSI-DEMO-015</t>
        </is>
      </c>
      <c r="M38" s="43" t="n">
        <v>39</v>
      </c>
      <c r="N38" s="43" t="n">
        <v>34</v>
      </c>
      <c r="O38" s="43" t="n">
        <v>2</v>
      </c>
      <c r="P38" s="52" t="inlineStr">
        <is>
          <t>預期 FAIL（已知缺陷）</t>
        </is>
      </c>
      <c r="Q38" s="42" t="inlineStr">
        <is>
          <t>DEF-001</t>
        </is>
      </c>
      <c r="R38" s="46" t="inlineStr">
        <is>
          <t>路由為「經由第三行」：actualReceiverBic=ROYCCAT2、beneficiaryBic=CHASUS33、Nostro servicer=ROYCCAT2。正確 instructedAgent 應為 ROYCCAT2；若回傳 CHASUS33 即命中 DEF-001。同時檢查 SttlmMtd=INDA 與 SttlmAcct 所屬 servicer 是否一致。</t>
        </is>
      </c>
      <c r="S38" s="47" t="n"/>
      <c r="T38" s="48" t="n"/>
      <c r="U38" s="48" t="n"/>
      <c r="V38" s="47" t="n"/>
      <c r="W38" s="47" t="n"/>
      <c r="X38" s="47" t="n"/>
    </row>
    <row r="39" ht="57.75" customHeight="1" s="36">
      <c r="A39" s="42" t="inlineStr">
        <is>
          <t>UAT2-035</t>
        </is>
      </c>
      <c r="B39" s="43" t="n">
        <v>9</v>
      </c>
      <c r="C39" s="42" t="inlineStr">
        <is>
          <t>CHASUS33</t>
        </is>
      </c>
      <c r="D39" s="42" t="inlineStr">
        <is>
          <t>JPMorgan Chase Bank, N.A.</t>
        </is>
      </c>
      <c r="E39" s="43" t="inlineStr">
        <is>
          <t>CAD</t>
        </is>
      </c>
      <c r="F39" s="43" t="inlineStr">
        <is>
          <t>HK01</t>
        </is>
      </c>
      <c r="G39" s="42" t="inlineStr">
        <is>
          <t>MT202COV</t>
        </is>
      </c>
      <c r="H39" s="42" t="inlineStr">
        <is>
          <t>swift.cbprplus.cov.04</t>
        </is>
      </c>
      <c r="I39" s="51" t="inlineStr">
        <is>
          <t>VIA-BIC</t>
        </is>
      </c>
      <c r="J39" s="43" t="n">
        <v>503</v>
      </c>
      <c r="K39" s="42" t="inlineStr">
        <is>
          <t>PROFILE_INCOMPLETE</t>
        </is>
      </c>
      <c r="L39" s="42" t="inlineStr">
        <is>
          <t>null（rank 前即擋）</t>
        </is>
      </c>
      <c r="M39" s="43" t="n">
        <v>39</v>
      </c>
      <c r="N39" s="43" t="n">
        <v>34</v>
      </c>
      <c r="O39" s="43" t="n">
        <v>2</v>
      </c>
      <c r="P39" s="49" t="inlineStr">
        <is>
          <t>阻擋 — 不列入分母</t>
        </is>
      </c>
      <c r="Q39" s="42" t="inlineStr">
        <is>
          <t>DG-COV-PROFILE</t>
        </is>
      </c>
      <c r="R39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39" s="47" t="n"/>
      <c r="T39" s="48" t="n"/>
      <c r="U39" s="48" t="n"/>
      <c r="V39" s="47" t="n"/>
      <c r="W39" s="47" t="n"/>
      <c r="X39" s="47" t="n"/>
    </row>
    <row r="40" ht="57.75" customHeight="1" s="36">
      <c r="A40" s="42" t="inlineStr">
        <is>
          <t>UAT2-036</t>
        </is>
      </c>
      <c r="B40" s="43" t="n">
        <v>9</v>
      </c>
      <c r="C40" s="42" t="inlineStr">
        <is>
          <t>CHASUS33</t>
        </is>
      </c>
      <c r="D40" s="42" t="inlineStr">
        <is>
          <t>JPMorgan Chase Bank, N.A.</t>
        </is>
      </c>
      <c r="E40" s="43" t="inlineStr">
        <is>
          <t>CAD</t>
        </is>
      </c>
      <c r="F40" s="43" t="inlineStr">
        <is>
          <t>HK01</t>
        </is>
      </c>
      <c r="G40" s="42" t="inlineStr">
        <is>
          <t>MT205COV</t>
        </is>
      </c>
      <c r="H40" s="42" t="inlineStr">
        <is>
          <t>swift.cbprplus.cov.04</t>
        </is>
      </c>
      <c r="I40" s="51" t="inlineStr">
        <is>
          <t>VIA-BIC</t>
        </is>
      </c>
      <c r="J40" s="43" t="n">
        <v>503</v>
      </c>
      <c r="K40" s="42" t="inlineStr">
        <is>
          <t>PROFILE_INCOMPLETE</t>
        </is>
      </c>
      <c r="L40" s="42" t="inlineStr">
        <is>
          <t>null（rank 前即擋）</t>
        </is>
      </c>
      <c r="M40" s="43" t="n">
        <v>39</v>
      </c>
      <c r="N40" s="43" t="n">
        <v>34</v>
      </c>
      <c r="O40" s="43" t="n">
        <v>2</v>
      </c>
      <c r="P40" s="49" t="inlineStr">
        <is>
          <t>阻擋 — 不列入分母</t>
        </is>
      </c>
      <c r="Q40" s="42" t="inlineStr">
        <is>
          <t>DG-COV-PROFILE</t>
        </is>
      </c>
      <c r="R40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40" s="47" t="n"/>
      <c r="T40" s="48" t="n"/>
      <c r="U40" s="48" t="n"/>
      <c r="V40" s="47" t="n"/>
      <c r="W40" s="47" t="n"/>
      <c r="X40" s="47" t="n"/>
    </row>
    <row r="41" ht="57.75" customHeight="1" s="36">
      <c r="A41" s="42" t="inlineStr">
        <is>
          <t>UAT2-037</t>
        </is>
      </c>
      <c r="B41" s="43" t="n">
        <v>10</v>
      </c>
      <c r="C41" s="42" t="inlineStr">
        <is>
          <t>CHASUS33</t>
        </is>
      </c>
      <c r="D41" s="42" t="inlineStr">
        <is>
          <t>JPMorgan Chase Bank, N.A.</t>
        </is>
      </c>
      <c r="E41" s="43" t="inlineStr">
        <is>
          <t>USD</t>
        </is>
      </c>
      <c r="F41" s="43" t="inlineStr">
        <is>
          <t>HK01</t>
        </is>
      </c>
      <c r="G41" s="42" t="inlineStr">
        <is>
          <t>MT202</t>
        </is>
      </c>
      <c r="H41" s="42" t="inlineStr">
        <is>
          <t>swift.cbprplus.04</t>
        </is>
      </c>
      <c r="I41" s="51" t="inlineStr">
        <is>
          <t>VIA-BIC</t>
        </is>
      </c>
      <c r="J41" s="43" t="n">
        <v>200</v>
      </c>
      <c r="K41" s="42" t="inlineStr">
        <is>
          <t>SSI_RESOLVED</t>
        </is>
      </c>
      <c r="L41" s="42" t="inlineStr">
        <is>
          <t>SSI-DEMO-021</t>
        </is>
      </c>
      <c r="M41" s="43" t="n">
        <v>39</v>
      </c>
      <c r="N41" s="43" t="n">
        <v>34</v>
      </c>
      <c r="O41" s="43" t="n">
        <v>1</v>
      </c>
      <c r="P41" s="52" t="inlineStr">
        <is>
          <t>預期 FAIL（已知缺陷）</t>
        </is>
      </c>
      <c r="Q41" s="42" t="inlineStr">
        <is>
          <t>DEF-001</t>
        </is>
      </c>
      <c r="R41" s="46" t="inlineStr">
        <is>
          <t>路由為「經由第三行」：actualReceiverBic=CITIUS33、beneficiaryBic=CHASUS33、Nostro servicer=CITIUS33。正確 instructedAgent 應為 CITIUS33；若回傳 CHASUS33 即命中 DEF-001。同時檢查 SttlmMtd=INDA 與 SttlmAcct 所屬 servicer 是否一致。</t>
        </is>
      </c>
      <c r="S41" s="47" t="n"/>
      <c r="T41" s="48" t="n"/>
      <c r="U41" s="48" t="n"/>
      <c r="V41" s="47" t="n"/>
      <c r="W41" s="47" t="n"/>
      <c r="X41" s="47" t="n"/>
    </row>
    <row r="42" ht="57.75" customHeight="1" s="36">
      <c r="A42" s="42" t="inlineStr">
        <is>
          <t>UAT2-038</t>
        </is>
      </c>
      <c r="B42" s="43" t="n">
        <v>10</v>
      </c>
      <c r="C42" s="42" t="inlineStr">
        <is>
          <t>CHASUS33</t>
        </is>
      </c>
      <c r="D42" s="42" t="inlineStr">
        <is>
          <t>JPMorgan Chase Bank, N.A.</t>
        </is>
      </c>
      <c r="E42" s="43" t="inlineStr">
        <is>
          <t>USD</t>
        </is>
      </c>
      <c r="F42" s="43" t="inlineStr">
        <is>
          <t>HK01</t>
        </is>
      </c>
      <c r="G42" s="42" t="inlineStr">
        <is>
          <t>MT205</t>
        </is>
      </c>
      <c r="H42" s="42" t="inlineStr">
        <is>
          <t>swift.cbprplus.04</t>
        </is>
      </c>
      <c r="I42" s="51" t="inlineStr">
        <is>
          <t>VIA-BIC</t>
        </is>
      </c>
      <c r="J42" s="43" t="n">
        <v>200</v>
      </c>
      <c r="K42" s="42" t="inlineStr">
        <is>
          <t>SSI_RESOLVED</t>
        </is>
      </c>
      <c r="L42" s="42" t="inlineStr">
        <is>
          <t>SSI-DEMO-021</t>
        </is>
      </c>
      <c r="M42" s="43" t="n">
        <v>39</v>
      </c>
      <c r="N42" s="43" t="n">
        <v>34</v>
      </c>
      <c r="O42" s="43" t="n">
        <v>1</v>
      </c>
      <c r="P42" s="52" t="inlineStr">
        <is>
          <t>預期 FAIL（已知缺陷）</t>
        </is>
      </c>
      <c r="Q42" s="42" t="inlineStr">
        <is>
          <t>DEF-001</t>
        </is>
      </c>
      <c r="R42" s="46" t="inlineStr">
        <is>
          <t>路由為「經由第三行」：actualReceiverBic=CITIUS33、beneficiaryBic=CHASUS33、Nostro servicer=CITIUS33。正確 instructedAgent 應為 CITIUS33；若回傳 CHASUS33 即命中 DEF-001。同時檢查 SttlmMtd=INDA 與 SttlmAcct 所屬 servicer 是否一致。</t>
        </is>
      </c>
      <c r="S42" s="47" t="n"/>
      <c r="T42" s="48" t="n"/>
      <c r="U42" s="48" t="n"/>
      <c r="V42" s="47" t="n"/>
      <c r="W42" s="47" t="n"/>
      <c r="X42" s="47" t="n"/>
    </row>
    <row r="43" ht="57.75" customHeight="1" s="36">
      <c r="A43" s="42" t="inlineStr">
        <is>
          <t>UAT2-039</t>
        </is>
      </c>
      <c r="B43" s="43" t="n">
        <v>10</v>
      </c>
      <c r="C43" s="42" t="inlineStr">
        <is>
          <t>CHASUS33</t>
        </is>
      </c>
      <c r="D43" s="42" t="inlineStr">
        <is>
          <t>JPMorgan Chase Bank, N.A.</t>
        </is>
      </c>
      <c r="E43" s="43" t="inlineStr">
        <is>
          <t>USD</t>
        </is>
      </c>
      <c r="F43" s="43" t="inlineStr">
        <is>
          <t>HK01</t>
        </is>
      </c>
      <c r="G43" s="42" t="inlineStr">
        <is>
          <t>MT202COV</t>
        </is>
      </c>
      <c r="H43" s="42" t="inlineStr">
        <is>
          <t>swift.cbprplus.cov.04</t>
        </is>
      </c>
      <c r="I43" s="51" t="inlineStr">
        <is>
          <t>VIA-BIC</t>
        </is>
      </c>
      <c r="J43" s="43" t="n">
        <v>503</v>
      </c>
      <c r="K43" s="42" t="inlineStr">
        <is>
          <t>PROFILE_INCOMPLETE</t>
        </is>
      </c>
      <c r="L43" s="42" t="inlineStr">
        <is>
          <t>null（rank 前即擋）</t>
        </is>
      </c>
      <c r="M43" s="43" t="n">
        <v>39</v>
      </c>
      <c r="N43" s="43" t="n">
        <v>34</v>
      </c>
      <c r="O43" s="43" t="n">
        <v>1</v>
      </c>
      <c r="P43" s="49" t="inlineStr">
        <is>
          <t>阻擋 — 不列入分母</t>
        </is>
      </c>
      <c r="Q43" s="42" t="inlineStr">
        <is>
          <t>DG-COV-PROFILE</t>
        </is>
      </c>
      <c r="R43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43" s="47" t="n"/>
      <c r="T43" s="48" t="n"/>
      <c r="U43" s="48" t="n"/>
      <c r="V43" s="47" t="n"/>
      <c r="W43" s="47" t="n"/>
      <c r="X43" s="47" t="n"/>
    </row>
    <row r="44" ht="57.75" customHeight="1" s="36">
      <c r="A44" s="42" t="inlineStr">
        <is>
          <t>UAT2-040</t>
        </is>
      </c>
      <c r="B44" s="43" t="n">
        <v>10</v>
      </c>
      <c r="C44" s="42" t="inlineStr">
        <is>
          <t>CHASUS33</t>
        </is>
      </c>
      <c r="D44" s="42" t="inlineStr">
        <is>
          <t>JPMorgan Chase Bank, N.A.</t>
        </is>
      </c>
      <c r="E44" s="43" t="inlineStr">
        <is>
          <t>USD</t>
        </is>
      </c>
      <c r="F44" s="43" t="inlineStr">
        <is>
          <t>HK01</t>
        </is>
      </c>
      <c r="G44" s="42" t="inlineStr">
        <is>
          <t>MT205COV</t>
        </is>
      </c>
      <c r="H44" s="42" t="inlineStr">
        <is>
          <t>swift.cbprplus.cov.04</t>
        </is>
      </c>
      <c r="I44" s="51" t="inlineStr">
        <is>
          <t>VIA-BIC</t>
        </is>
      </c>
      <c r="J44" s="43" t="n">
        <v>503</v>
      </c>
      <c r="K44" s="42" t="inlineStr">
        <is>
          <t>PROFILE_INCOMPLETE</t>
        </is>
      </c>
      <c r="L44" s="42" t="inlineStr">
        <is>
          <t>null（rank 前即擋）</t>
        </is>
      </c>
      <c r="M44" s="43" t="n">
        <v>39</v>
      </c>
      <c r="N44" s="43" t="n">
        <v>34</v>
      </c>
      <c r="O44" s="43" t="n">
        <v>1</v>
      </c>
      <c r="P44" s="49" t="inlineStr">
        <is>
          <t>阻擋 — 不列入分母</t>
        </is>
      </c>
      <c r="Q44" s="42" t="inlineStr">
        <is>
          <t>DG-COV-PROFILE</t>
        </is>
      </c>
      <c r="R44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44" s="47" t="n"/>
      <c r="T44" s="48" t="n"/>
      <c r="U44" s="48" t="n"/>
      <c r="V44" s="47" t="n"/>
      <c r="W44" s="47" t="n"/>
      <c r="X44" s="47" t="n"/>
    </row>
    <row r="45" ht="57.75" customHeight="1" s="36">
      <c r="A45" s="42" t="inlineStr">
        <is>
          <t>UAT2-041</t>
        </is>
      </c>
      <c r="B45" s="43" t="n">
        <v>11</v>
      </c>
      <c r="C45" s="42" t="inlineStr">
        <is>
          <t>SCBLGB2L</t>
        </is>
      </c>
      <c r="D45" s="42" t="inlineStr">
        <is>
          <t>Standard Chartered Bank</t>
        </is>
      </c>
      <c r="E45" s="43" t="inlineStr">
        <is>
          <t>CHF</t>
        </is>
      </c>
      <c r="F45" s="43" t="inlineStr">
        <is>
          <t>HK01</t>
        </is>
      </c>
      <c r="G45" s="42" t="inlineStr">
        <is>
          <t>MT202</t>
        </is>
      </c>
      <c r="H45" s="42" t="inlineStr">
        <is>
          <t>swift.cbprplus.04</t>
        </is>
      </c>
      <c r="I45" s="51" t="inlineStr">
        <is>
          <t>VIA-BIC</t>
        </is>
      </c>
      <c r="J45" s="43" t="n">
        <v>200</v>
      </c>
      <c r="K45" s="42" t="inlineStr">
        <is>
          <t>SSI_RESOLVED</t>
        </is>
      </c>
      <c r="L45" s="42" t="inlineStr">
        <is>
          <t>SSI-DEMO-017</t>
        </is>
      </c>
      <c r="M45" s="43" t="n">
        <v>39</v>
      </c>
      <c r="N45" s="43" t="n">
        <v>34</v>
      </c>
      <c r="O45" s="43" t="n">
        <v>2</v>
      </c>
      <c r="P45" s="52" t="inlineStr">
        <is>
          <t>預期 FAIL（已知缺陷）</t>
        </is>
      </c>
      <c r="Q45" s="42" t="inlineStr">
        <is>
          <t>DEF-001</t>
        </is>
      </c>
      <c r="R45" s="46" t="inlineStr">
        <is>
          <t>路由為「經由第三行」：actualReceiverBic=UBSWCHZH80A、beneficiaryBic=SCBLGB2L、Nostro servicer=UBSWCHZH80A。正確 instructedAgent 應為 UBSWCHZH80A；若回傳 SCBLGB2L 即命中 DEF-001。同時檢查 SttlmMtd=INDA 與 SttlmAcct 所屬 servicer 是否一致。</t>
        </is>
      </c>
      <c r="S45" s="47" t="n"/>
      <c r="T45" s="48" t="n"/>
      <c r="U45" s="48" t="n"/>
      <c r="V45" s="47" t="n"/>
      <c r="W45" s="47" t="n"/>
      <c r="X45" s="47" t="n"/>
    </row>
    <row r="46" ht="57.75" customHeight="1" s="36">
      <c r="A46" s="42" t="inlineStr">
        <is>
          <t>UAT2-042</t>
        </is>
      </c>
      <c r="B46" s="43" t="n">
        <v>11</v>
      </c>
      <c r="C46" s="42" t="inlineStr">
        <is>
          <t>SCBLGB2L</t>
        </is>
      </c>
      <c r="D46" s="42" t="inlineStr">
        <is>
          <t>Standard Chartered Bank</t>
        </is>
      </c>
      <c r="E46" s="43" t="inlineStr">
        <is>
          <t>CHF</t>
        </is>
      </c>
      <c r="F46" s="43" t="inlineStr">
        <is>
          <t>HK01</t>
        </is>
      </c>
      <c r="G46" s="42" t="inlineStr">
        <is>
          <t>MT205</t>
        </is>
      </c>
      <c r="H46" s="42" t="inlineStr">
        <is>
          <t>swift.cbprplus.04</t>
        </is>
      </c>
      <c r="I46" s="51" t="inlineStr">
        <is>
          <t>VIA-BIC</t>
        </is>
      </c>
      <c r="J46" s="43" t="n">
        <v>200</v>
      </c>
      <c r="K46" s="42" t="inlineStr">
        <is>
          <t>SSI_RESOLVED</t>
        </is>
      </c>
      <c r="L46" s="42" t="inlineStr">
        <is>
          <t>SSI-DEMO-017</t>
        </is>
      </c>
      <c r="M46" s="43" t="n">
        <v>39</v>
      </c>
      <c r="N46" s="43" t="n">
        <v>34</v>
      </c>
      <c r="O46" s="43" t="n">
        <v>2</v>
      </c>
      <c r="P46" s="52" t="inlineStr">
        <is>
          <t>預期 FAIL（已知缺陷）</t>
        </is>
      </c>
      <c r="Q46" s="42" t="inlineStr">
        <is>
          <t>DEF-001</t>
        </is>
      </c>
      <c r="R46" s="46" t="inlineStr">
        <is>
          <t>路由為「經由第三行」：actualReceiverBic=UBSWCHZH80A、beneficiaryBic=SCBLGB2L、Nostro servicer=UBSWCHZH80A。正確 instructedAgent 應為 UBSWCHZH80A；若回傳 SCBLGB2L 即命中 DEF-001。同時檢查 SttlmMtd=INDA 與 SttlmAcct 所屬 servicer 是否一致。</t>
        </is>
      </c>
      <c r="S46" s="47" t="n"/>
      <c r="T46" s="48" t="n"/>
      <c r="U46" s="48" t="n"/>
      <c r="V46" s="47" t="n"/>
      <c r="W46" s="47" t="n"/>
      <c r="X46" s="47" t="n"/>
    </row>
    <row r="47" ht="57.75" customHeight="1" s="36">
      <c r="A47" s="42" t="inlineStr">
        <is>
          <t>UAT2-043</t>
        </is>
      </c>
      <c r="B47" s="43" t="n">
        <v>11</v>
      </c>
      <c r="C47" s="42" t="inlineStr">
        <is>
          <t>SCBLGB2L</t>
        </is>
      </c>
      <c r="D47" s="42" t="inlineStr">
        <is>
          <t>Standard Chartered Bank</t>
        </is>
      </c>
      <c r="E47" s="43" t="inlineStr">
        <is>
          <t>CHF</t>
        </is>
      </c>
      <c r="F47" s="43" t="inlineStr">
        <is>
          <t>HK01</t>
        </is>
      </c>
      <c r="G47" s="42" t="inlineStr">
        <is>
          <t>MT202COV</t>
        </is>
      </c>
      <c r="H47" s="42" t="inlineStr">
        <is>
          <t>swift.cbprplus.cov.04</t>
        </is>
      </c>
      <c r="I47" s="51" t="inlineStr">
        <is>
          <t>VIA-BIC</t>
        </is>
      </c>
      <c r="J47" s="43" t="n">
        <v>503</v>
      </c>
      <c r="K47" s="42" t="inlineStr">
        <is>
          <t>PROFILE_INCOMPLETE</t>
        </is>
      </c>
      <c r="L47" s="42" t="inlineStr">
        <is>
          <t>null（rank 前即擋）</t>
        </is>
      </c>
      <c r="M47" s="43" t="n">
        <v>39</v>
      </c>
      <c r="N47" s="43" t="n">
        <v>34</v>
      </c>
      <c r="O47" s="43" t="n">
        <v>2</v>
      </c>
      <c r="P47" s="49" t="inlineStr">
        <is>
          <t>阻擋 — 不列入分母</t>
        </is>
      </c>
      <c r="Q47" s="42" t="inlineStr">
        <is>
          <t>DG-COV-PROFILE</t>
        </is>
      </c>
      <c r="R47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47" s="47" t="n"/>
      <c r="T47" s="48" t="n"/>
      <c r="U47" s="48" t="n"/>
      <c r="V47" s="47" t="n"/>
      <c r="W47" s="47" t="n"/>
      <c r="X47" s="47" t="n"/>
    </row>
    <row r="48" ht="57.75" customHeight="1" s="36">
      <c r="A48" s="42" t="inlineStr">
        <is>
          <t>UAT2-044</t>
        </is>
      </c>
      <c r="B48" s="43" t="n">
        <v>11</v>
      </c>
      <c r="C48" s="42" t="inlineStr">
        <is>
          <t>SCBLGB2L</t>
        </is>
      </c>
      <c r="D48" s="42" t="inlineStr">
        <is>
          <t>Standard Chartered Bank</t>
        </is>
      </c>
      <c r="E48" s="43" t="inlineStr">
        <is>
          <t>CHF</t>
        </is>
      </c>
      <c r="F48" s="43" t="inlineStr">
        <is>
          <t>HK01</t>
        </is>
      </c>
      <c r="G48" s="42" t="inlineStr">
        <is>
          <t>MT205COV</t>
        </is>
      </c>
      <c r="H48" s="42" t="inlineStr">
        <is>
          <t>swift.cbprplus.cov.04</t>
        </is>
      </c>
      <c r="I48" s="51" t="inlineStr">
        <is>
          <t>VIA-BIC</t>
        </is>
      </c>
      <c r="J48" s="43" t="n">
        <v>503</v>
      </c>
      <c r="K48" s="42" t="inlineStr">
        <is>
          <t>PROFILE_INCOMPLETE</t>
        </is>
      </c>
      <c r="L48" s="42" t="inlineStr">
        <is>
          <t>null（rank 前即擋）</t>
        </is>
      </c>
      <c r="M48" s="43" t="n">
        <v>39</v>
      </c>
      <c r="N48" s="43" t="n">
        <v>34</v>
      </c>
      <c r="O48" s="43" t="n">
        <v>2</v>
      </c>
      <c r="P48" s="49" t="inlineStr">
        <is>
          <t>阻擋 — 不列入分母</t>
        </is>
      </c>
      <c r="Q48" s="42" t="inlineStr">
        <is>
          <t>DG-COV-PROFILE</t>
        </is>
      </c>
      <c r="R48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48" s="47" t="n"/>
      <c r="T48" s="48" t="n"/>
      <c r="U48" s="48" t="n"/>
      <c r="V48" s="47" t="n"/>
      <c r="W48" s="47" t="n"/>
      <c r="X48" s="47" t="n"/>
    </row>
    <row r="49" ht="57.75" customHeight="1" s="36">
      <c r="A49" s="42" t="inlineStr">
        <is>
          <t>UAT2-045</t>
        </is>
      </c>
      <c r="B49" s="43" t="n">
        <v>12</v>
      </c>
      <c r="C49" s="42" t="inlineStr">
        <is>
          <t>BNPAFRPP</t>
        </is>
      </c>
      <c r="D49" s="42" t="inlineStr">
        <is>
          <t>BNP Paribas</t>
        </is>
      </c>
      <c r="E49" s="43" t="inlineStr">
        <is>
          <t>CNY</t>
        </is>
      </c>
      <c r="F49" s="43" t="inlineStr">
        <is>
          <t>HK01</t>
        </is>
      </c>
      <c r="G49" s="42" t="inlineStr">
        <is>
          <t>MT202</t>
        </is>
      </c>
      <c r="H49" s="42" t="inlineStr">
        <is>
          <t>swift.cbprplus.04</t>
        </is>
      </c>
      <c r="I49" s="51" t="inlineStr">
        <is>
          <t>VIA-BIC</t>
        </is>
      </c>
      <c r="J49" s="43" t="n">
        <v>200</v>
      </c>
      <c r="K49" s="42" t="inlineStr">
        <is>
          <t>SSI_RESOLVED</t>
        </is>
      </c>
      <c r="L49" s="42" t="inlineStr">
        <is>
          <t>SSI-DEMO-019</t>
        </is>
      </c>
      <c r="M49" s="43" t="n">
        <v>44</v>
      </c>
      <c r="N49" s="43" t="n">
        <v>39</v>
      </c>
      <c r="O49" s="43" t="n">
        <v>2</v>
      </c>
      <c r="P49" s="52" t="inlineStr">
        <is>
          <t>預期 FAIL（已知缺陷）</t>
        </is>
      </c>
      <c r="Q49" s="42" t="inlineStr">
        <is>
          <t>DEF-001</t>
        </is>
      </c>
      <c r="R49" s="46" t="inlineStr">
        <is>
          <t>路由為「經由第三行」：actualReceiverBic=BKCHCNBJ、beneficiaryBic=BNPAFRPP、Nostro servicer=BKCHCNBJ。正確 instructedAgent 應為 BKCHCNBJ；若回傳 BNPAFRPP 即命中 DEF-001。同時檢查 SttlmMtd=INDA 與 SttlmAcct 所屬 servicer 是否一致。</t>
        </is>
      </c>
      <c r="S49" s="47" t="n"/>
      <c r="T49" s="48" t="n"/>
      <c r="U49" s="48" t="n"/>
      <c r="V49" s="47" t="n"/>
      <c r="W49" s="47" t="n"/>
      <c r="X49" s="47" t="n"/>
    </row>
    <row r="50" ht="57.75" customHeight="1" s="36">
      <c r="A50" s="42" t="inlineStr">
        <is>
          <t>UAT2-046</t>
        </is>
      </c>
      <c r="B50" s="43" t="n">
        <v>12</v>
      </c>
      <c r="C50" s="42" t="inlineStr">
        <is>
          <t>BNPAFRPP</t>
        </is>
      </c>
      <c r="D50" s="42" t="inlineStr">
        <is>
          <t>BNP Paribas</t>
        </is>
      </c>
      <c r="E50" s="43" t="inlineStr">
        <is>
          <t>CNY</t>
        </is>
      </c>
      <c r="F50" s="43" t="inlineStr">
        <is>
          <t>HK01</t>
        </is>
      </c>
      <c r="G50" s="42" t="inlineStr">
        <is>
          <t>MT205</t>
        </is>
      </c>
      <c r="H50" s="42" t="inlineStr">
        <is>
          <t>swift.cbprplus.04</t>
        </is>
      </c>
      <c r="I50" s="51" t="inlineStr">
        <is>
          <t>VIA-BIC</t>
        </is>
      </c>
      <c r="J50" s="43" t="n">
        <v>200</v>
      </c>
      <c r="K50" s="42" t="inlineStr">
        <is>
          <t>SSI_RESOLVED</t>
        </is>
      </c>
      <c r="L50" s="42" t="inlineStr">
        <is>
          <t>SSI-DEMO-019</t>
        </is>
      </c>
      <c r="M50" s="43" t="n">
        <v>44</v>
      </c>
      <c r="N50" s="43" t="n">
        <v>39</v>
      </c>
      <c r="O50" s="43" t="n">
        <v>2</v>
      </c>
      <c r="P50" s="52" t="inlineStr">
        <is>
          <t>預期 FAIL（已知缺陷）</t>
        </is>
      </c>
      <c r="Q50" s="42" t="inlineStr">
        <is>
          <t>DEF-001</t>
        </is>
      </c>
      <c r="R50" s="46" t="inlineStr">
        <is>
          <t>路由為「經由第三行」：actualReceiverBic=BKCHCNBJ、beneficiaryBic=BNPAFRPP、Nostro servicer=BKCHCNBJ。正確 instructedAgent 應為 BKCHCNBJ；若回傳 BNPAFRPP 即命中 DEF-001。同時檢查 SttlmMtd=INDA 與 SttlmAcct 所屬 servicer 是否一致。</t>
        </is>
      </c>
      <c r="S50" s="47" t="n"/>
      <c r="T50" s="48" t="n"/>
      <c r="U50" s="48" t="n"/>
      <c r="V50" s="47" t="n"/>
      <c r="W50" s="47" t="n"/>
      <c r="X50" s="47" t="n"/>
    </row>
    <row r="51" ht="57.75" customHeight="1" s="36">
      <c r="A51" s="42" t="inlineStr">
        <is>
          <t>UAT2-047</t>
        </is>
      </c>
      <c r="B51" s="43" t="n">
        <v>12</v>
      </c>
      <c r="C51" s="42" t="inlineStr">
        <is>
          <t>BNPAFRPP</t>
        </is>
      </c>
      <c r="D51" s="42" t="inlineStr">
        <is>
          <t>BNP Paribas</t>
        </is>
      </c>
      <c r="E51" s="43" t="inlineStr">
        <is>
          <t>CNY</t>
        </is>
      </c>
      <c r="F51" s="43" t="inlineStr">
        <is>
          <t>HK01</t>
        </is>
      </c>
      <c r="G51" s="42" t="inlineStr">
        <is>
          <t>MT202COV</t>
        </is>
      </c>
      <c r="H51" s="42" t="inlineStr">
        <is>
          <t>swift.cbprplus.cov.04</t>
        </is>
      </c>
      <c r="I51" s="51" t="inlineStr">
        <is>
          <t>VIA-BIC</t>
        </is>
      </c>
      <c r="J51" s="43" t="n">
        <v>503</v>
      </c>
      <c r="K51" s="42" t="inlineStr">
        <is>
          <t>PROFILE_INCOMPLETE</t>
        </is>
      </c>
      <c r="L51" s="42" t="inlineStr">
        <is>
          <t>null（rank 前即擋）</t>
        </is>
      </c>
      <c r="M51" s="43" t="n">
        <v>44</v>
      </c>
      <c r="N51" s="43" t="n">
        <v>39</v>
      </c>
      <c r="O51" s="43" t="n">
        <v>2</v>
      </c>
      <c r="P51" s="49" t="inlineStr">
        <is>
          <t>阻擋 — 不列入分母</t>
        </is>
      </c>
      <c r="Q51" s="42" t="inlineStr">
        <is>
          <t>DG-COV-PROFILE</t>
        </is>
      </c>
      <c r="R51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51" s="47" t="n"/>
      <c r="T51" s="48" t="n"/>
      <c r="U51" s="48" t="n"/>
      <c r="V51" s="47" t="n"/>
      <c r="W51" s="47" t="n"/>
      <c r="X51" s="47" t="n"/>
    </row>
    <row r="52" ht="57.75" customHeight="1" s="36">
      <c r="A52" s="42" t="inlineStr">
        <is>
          <t>UAT2-048</t>
        </is>
      </c>
      <c r="B52" s="43" t="n">
        <v>12</v>
      </c>
      <c r="C52" s="42" t="inlineStr">
        <is>
          <t>BNPAFRPP</t>
        </is>
      </c>
      <c r="D52" s="42" t="inlineStr">
        <is>
          <t>BNP Paribas</t>
        </is>
      </c>
      <c r="E52" s="43" t="inlineStr">
        <is>
          <t>CNY</t>
        </is>
      </c>
      <c r="F52" s="43" t="inlineStr">
        <is>
          <t>HK01</t>
        </is>
      </c>
      <c r="G52" s="42" t="inlineStr">
        <is>
          <t>MT205COV</t>
        </is>
      </c>
      <c r="H52" s="42" t="inlineStr">
        <is>
          <t>swift.cbprplus.cov.04</t>
        </is>
      </c>
      <c r="I52" s="51" t="inlineStr">
        <is>
          <t>VIA-BIC</t>
        </is>
      </c>
      <c r="J52" s="43" t="n">
        <v>503</v>
      </c>
      <c r="K52" s="42" t="inlineStr">
        <is>
          <t>PROFILE_INCOMPLETE</t>
        </is>
      </c>
      <c r="L52" s="42" t="inlineStr">
        <is>
          <t>null（rank 前即擋）</t>
        </is>
      </c>
      <c r="M52" s="43" t="n">
        <v>44</v>
      </c>
      <c r="N52" s="43" t="n">
        <v>39</v>
      </c>
      <c r="O52" s="43" t="n">
        <v>2</v>
      </c>
      <c r="P52" s="49" t="inlineStr">
        <is>
          <t>阻擋 — 不列入分母</t>
        </is>
      </c>
      <c r="Q52" s="42" t="inlineStr">
        <is>
          <t>DG-COV-PROFILE</t>
        </is>
      </c>
      <c r="R52" s="42" t="inlineStr">
        <is>
          <t>COV 需 businessService + 具名 COV allow-list + 正規化 (.08,businessService) catalogue tuple；現行 ACTIVE SSI 三者皆為 0。不得 fallback 至 Core。此列不計 pass/fail。</t>
        </is>
      </c>
      <c r="S52" s="47" t="n"/>
      <c r="T52" s="48" t="n"/>
      <c r="U52" s="48" t="n"/>
      <c r="V52" s="47" t="n"/>
      <c r="W52" s="47" t="n"/>
      <c r="X52" s="47" t="n"/>
    </row>
    <row r="53" ht="57.75" customHeight="1" s="36">
      <c r="A53" s="42" t="inlineStr">
        <is>
          <t>UAT2-049</t>
        </is>
      </c>
      <c r="B53" s="53" t="n">
        <v>13</v>
      </c>
      <c r="C53" s="42" t="inlineStr">
        <is>
          <t>NSSIUSN1</t>
        </is>
      </c>
      <c r="D53" s="42" t="inlineStr">
        <is>
          <t>Northstar Limited</t>
        </is>
      </c>
      <c r="E53" s="43" t="inlineStr">
        <is>
          <t>USD</t>
        </is>
      </c>
      <c r="F53" s="43" t="inlineStr">
        <is>
          <t>HK01</t>
        </is>
      </c>
      <c r="G53" s="42" t="inlineStr">
        <is>
          <t>MT202</t>
        </is>
      </c>
      <c r="H53" s="42" t="inlineStr">
        <is>
          <t>swift.cbprplus.04</t>
        </is>
      </c>
      <c r="I53" s="51" t="inlineStr">
        <is>
          <t>VIA-BIC</t>
        </is>
      </c>
      <c r="J53" s="43" t="n">
        <v>200</v>
      </c>
      <c r="K53" s="42" t="inlineStr">
        <is>
          <t>SSI_RESOLVED</t>
        </is>
      </c>
      <c r="L53" s="42" t="inlineStr">
        <is>
          <t>SSI-DEMO-041</t>
        </is>
      </c>
      <c r="M53" s="43" t="n">
        <v>14</v>
      </c>
      <c r="N53" s="43" t="n">
        <v>9</v>
      </c>
      <c r="O53" s="43" t="n">
        <v>1</v>
      </c>
      <c r="P53" s="52" t="inlineStr">
        <is>
          <t>預期 FAIL（已知缺陷）</t>
        </is>
      </c>
      <c r="Q53" s="42" t="inlineStr">
        <is>
          <t>DEF-001</t>
        </is>
      </c>
      <c r="R53" s="46" t="inlineStr">
        <is>
          <t>【範圍待確認】本組不在受控 UAT 矩陣內（sampleSet=DEMO-LIMITED-COVERAGE），請 BA 先裁定納入或排除。路由為「經由第三行」：actualReceiverBic=CITIUS33、beneficiaryBic=NSSIUSN1、Nostro servicer=CITIUS33。正確 instructedAgent 應為 CITIUS33；若回傳 NSSIUSN1 即命中 DEF-001。同時檢查 SttlmMtd=INDA 與 SttlmAcct 所屬 servicer 是否一致。</t>
        </is>
      </c>
      <c r="S53" s="47" t="n"/>
      <c r="T53" s="48" t="n"/>
      <c r="U53" s="48" t="n"/>
      <c r="V53" s="47" t="n"/>
      <c r="W53" s="47" t="n"/>
      <c r="X53" s="47" t="n"/>
    </row>
    <row r="54" ht="57.75" customHeight="1" s="36">
      <c r="A54" s="42" t="inlineStr">
        <is>
          <t>UAT2-050</t>
        </is>
      </c>
      <c r="B54" s="53" t="n">
        <v>13</v>
      </c>
      <c r="C54" s="42" t="inlineStr">
        <is>
          <t>NSSIUSN1</t>
        </is>
      </c>
      <c r="D54" s="42" t="inlineStr">
        <is>
          <t>Northstar Limited</t>
        </is>
      </c>
      <c r="E54" s="43" t="inlineStr">
        <is>
          <t>USD</t>
        </is>
      </c>
      <c r="F54" s="43" t="inlineStr">
        <is>
          <t>HK01</t>
        </is>
      </c>
      <c r="G54" s="42" t="inlineStr">
        <is>
          <t>MT205</t>
        </is>
      </c>
      <c r="H54" s="42" t="inlineStr">
        <is>
          <t>swift.cbprplus.04</t>
        </is>
      </c>
      <c r="I54" s="51" t="inlineStr">
        <is>
          <t>VIA-BIC</t>
        </is>
      </c>
      <c r="J54" s="43" t="n">
        <v>200</v>
      </c>
      <c r="K54" s="42" t="inlineStr">
        <is>
          <t>SSI_RESOLVED</t>
        </is>
      </c>
      <c r="L54" s="42" t="inlineStr">
        <is>
          <t>SSI-DEMO-041</t>
        </is>
      </c>
      <c r="M54" s="43" t="n">
        <v>14</v>
      </c>
      <c r="N54" s="43" t="n">
        <v>9</v>
      </c>
      <c r="O54" s="43" t="n">
        <v>1</v>
      </c>
      <c r="P54" s="52" t="inlineStr">
        <is>
          <t>預期 FAIL（已知缺陷）</t>
        </is>
      </c>
      <c r="Q54" s="42" t="inlineStr">
        <is>
          <t>DEF-001</t>
        </is>
      </c>
      <c r="R54" s="46" t="inlineStr">
        <is>
          <t>【範圍待確認】本組不在受控 UAT 矩陣內（sampleSet=DEMO-LIMITED-COVERAGE），請 BA 先裁定納入或排除。路由為「經由第三行」：actualReceiverBic=CITIUS33、beneficiaryBic=NSSIUSN1、Nostro servicer=CITIUS33。正確 instructedAgent 應為 CITIUS33；若回傳 NSSIUSN1 即命中 DEF-001。同時檢查 SttlmMtd=INDA 與 SttlmAcct 所屬 servicer 是否一致。</t>
        </is>
      </c>
      <c r="S54" s="47" t="n"/>
      <c r="T54" s="48" t="n"/>
      <c r="U54" s="48" t="n"/>
      <c r="V54" s="47" t="n"/>
      <c r="W54" s="47" t="n"/>
      <c r="X54" s="47" t="n"/>
    </row>
    <row r="55" ht="57.75" customHeight="1" s="36">
      <c r="A55" s="42" t="inlineStr">
        <is>
          <t>UAT2-051</t>
        </is>
      </c>
      <c r="B55" s="53" t="n">
        <v>13</v>
      </c>
      <c r="C55" s="42" t="inlineStr">
        <is>
          <t>NSSIUSN1</t>
        </is>
      </c>
      <c r="D55" s="42" t="inlineStr">
        <is>
          <t>Northstar Limited</t>
        </is>
      </c>
      <c r="E55" s="43" t="inlineStr">
        <is>
          <t>USD</t>
        </is>
      </c>
      <c r="F55" s="43" t="inlineStr">
        <is>
          <t>HK01</t>
        </is>
      </c>
      <c r="G55" s="42" t="inlineStr">
        <is>
          <t>MT202COV</t>
        </is>
      </c>
      <c r="H55" s="42" t="inlineStr">
        <is>
          <t>swift.cbprplus.cov.04</t>
        </is>
      </c>
      <c r="I55" s="51" t="inlineStr">
        <is>
          <t>VIA-BIC</t>
        </is>
      </c>
      <c r="J55" s="43" t="n">
        <v>503</v>
      </c>
      <c r="K55" s="42" t="inlineStr">
        <is>
          <t>PROFILE_INCOMPLETE</t>
        </is>
      </c>
      <c r="L55" s="42" t="inlineStr">
        <is>
          <t>null（rank 前即擋）</t>
        </is>
      </c>
      <c r="M55" s="43" t="n">
        <v>14</v>
      </c>
      <c r="N55" s="43" t="n">
        <v>9</v>
      </c>
      <c r="O55" s="43" t="n">
        <v>1</v>
      </c>
      <c r="P55" s="49" t="inlineStr">
        <is>
          <t>阻擋 — 不列入分母</t>
        </is>
      </c>
      <c r="Q55" s="42" t="inlineStr">
        <is>
          <t>DG-COV-PROFILE</t>
        </is>
      </c>
      <c r="R55" s="46" t="inlineStr">
        <is>
          <t>【範圍待確認】本組不在受控 UAT 矩陣內（sampleSet=DEMO-LIMITED-COVERAGE），請 BA 先裁定納入或排除。COV 需 businessService + 具名 COV allow-list + 正規化 (.08,businessService) catalogue tuple；現行 ACTIVE SSI 三者皆為 0。不得 fallback 至 Core。此列不計 pass/fail。</t>
        </is>
      </c>
      <c r="S55" s="47" t="n"/>
      <c r="T55" s="48" t="n"/>
      <c r="U55" s="48" t="n"/>
      <c r="V55" s="47" t="n"/>
      <c r="W55" s="47" t="n"/>
      <c r="X55" s="47" t="n"/>
    </row>
    <row r="56" ht="57.75" customHeight="1" s="36">
      <c r="A56" s="42" t="inlineStr">
        <is>
          <t>UAT2-052</t>
        </is>
      </c>
      <c r="B56" s="53" t="n">
        <v>13</v>
      </c>
      <c r="C56" s="42" t="inlineStr">
        <is>
          <t>NSSIUSN1</t>
        </is>
      </c>
      <c r="D56" s="42" t="inlineStr">
        <is>
          <t>Northstar Limited</t>
        </is>
      </c>
      <c r="E56" s="43" t="inlineStr">
        <is>
          <t>USD</t>
        </is>
      </c>
      <c r="F56" s="43" t="inlineStr">
        <is>
          <t>HK01</t>
        </is>
      </c>
      <c r="G56" s="42" t="inlineStr">
        <is>
          <t>MT205COV</t>
        </is>
      </c>
      <c r="H56" s="42" t="inlineStr">
        <is>
          <t>swift.cbprplus.cov.04</t>
        </is>
      </c>
      <c r="I56" s="51" t="inlineStr">
        <is>
          <t>VIA-BIC</t>
        </is>
      </c>
      <c r="J56" s="43" t="n">
        <v>503</v>
      </c>
      <c r="K56" s="42" t="inlineStr">
        <is>
          <t>PROFILE_INCOMPLETE</t>
        </is>
      </c>
      <c r="L56" s="42" t="inlineStr">
        <is>
          <t>null（rank 前即擋）</t>
        </is>
      </c>
      <c r="M56" s="43" t="n">
        <v>14</v>
      </c>
      <c r="N56" s="43" t="n">
        <v>9</v>
      </c>
      <c r="O56" s="43" t="n">
        <v>1</v>
      </c>
      <c r="P56" s="49" t="inlineStr">
        <is>
          <t>阻擋 — 不列入分母</t>
        </is>
      </c>
      <c r="Q56" s="42" t="inlineStr">
        <is>
          <t>DG-COV-PROFILE</t>
        </is>
      </c>
      <c r="R56" s="46" t="inlineStr">
        <is>
          <t>【範圍待確認】本組不在受控 UAT 矩陣內（sampleSet=DEMO-LIMITED-COVERAGE），請 BA 先裁定納入或排除。COV 需 businessService + 具名 COV allow-list + 正規化 (.08,businessService) catalogue tuple；現行 ACTIVE SSI 三者皆為 0。不得 fallback 至 Core。此列不計 pass/fail。</t>
        </is>
      </c>
      <c r="S56" s="47" t="n"/>
      <c r="T56" s="48" t="n"/>
      <c r="U56" s="48" t="n"/>
      <c r="V56" s="47" t="n"/>
      <c r="W56" s="47" t="n"/>
      <c r="X56" s="47" t="n"/>
    </row>
    <row r="57" ht="57.75" customHeight="1" s="36">
      <c r="A57" s="42" t="inlineStr">
        <is>
          <t>UAT2-053</t>
        </is>
      </c>
      <c r="B57" s="53" t="n">
        <v>14</v>
      </c>
      <c r="C57" s="42" t="inlineStr">
        <is>
          <t>NSSIUSN1</t>
        </is>
      </c>
      <c r="D57" s="42" t="inlineStr">
        <is>
          <t>Northstar Limited</t>
        </is>
      </c>
      <c r="E57" s="43" t="inlineStr">
        <is>
          <t>GBP</t>
        </is>
      </c>
      <c r="F57" s="43" t="inlineStr">
        <is>
          <t>HK01</t>
        </is>
      </c>
      <c r="G57" s="42" t="inlineStr">
        <is>
          <t>MT202</t>
        </is>
      </c>
      <c r="H57" s="42" t="inlineStr">
        <is>
          <t>swift.cbprplus.04</t>
        </is>
      </c>
      <c r="I57" s="51" t="inlineStr">
        <is>
          <t>VIA-BIC</t>
        </is>
      </c>
      <c r="J57" s="43" t="n">
        <v>200</v>
      </c>
      <c r="K57" s="42" t="inlineStr">
        <is>
          <t>SSI_RESOLVED</t>
        </is>
      </c>
      <c r="L57" s="42" t="inlineStr">
        <is>
          <t>SSI-DEMO-042</t>
        </is>
      </c>
      <c r="M57" s="43" t="n">
        <v>14</v>
      </c>
      <c r="N57" s="43" t="n">
        <v>9</v>
      </c>
      <c r="O57" s="43" t="n">
        <v>1</v>
      </c>
      <c r="P57" s="52" t="inlineStr">
        <is>
          <t>預期 FAIL（已知缺陷）</t>
        </is>
      </c>
      <c r="Q57" s="42" t="inlineStr">
        <is>
          <t>DEF-001</t>
        </is>
      </c>
      <c r="R57" s="46" t="inlineStr">
        <is>
          <t>【範圍待確認】本組不在受控 UAT 矩陣內（sampleSet=DEMO-LIMITED-COVERAGE），請 BA 先裁定納入或排除。路由為「經由第三行」：actualReceiverBic=BARCGB22、beneficiaryBic=NSSIUSN1、Nostro servicer=BARCGB22。正確 instructedAgent 應為 BARCGB22；若回傳 NSSIUSN1 即命中 DEF-001。同時檢查 SttlmMtd=INDA 與 SttlmAcct 所屬 servicer 是否一致。</t>
        </is>
      </c>
      <c r="S57" s="47" t="n"/>
      <c r="T57" s="48" t="n"/>
      <c r="U57" s="48" t="n"/>
      <c r="V57" s="47" t="n"/>
      <c r="W57" s="47" t="n"/>
      <c r="X57" s="47" t="n"/>
    </row>
    <row r="58" ht="57.75" customHeight="1" s="36">
      <c r="A58" s="42" t="inlineStr">
        <is>
          <t>UAT2-054</t>
        </is>
      </c>
      <c r="B58" s="53" t="n">
        <v>14</v>
      </c>
      <c r="C58" s="42" t="inlineStr">
        <is>
          <t>NSSIUSN1</t>
        </is>
      </c>
      <c r="D58" s="42" t="inlineStr">
        <is>
          <t>Northstar Limited</t>
        </is>
      </c>
      <c r="E58" s="43" t="inlineStr">
        <is>
          <t>GBP</t>
        </is>
      </c>
      <c r="F58" s="43" t="inlineStr">
        <is>
          <t>HK01</t>
        </is>
      </c>
      <c r="G58" s="42" t="inlineStr">
        <is>
          <t>MT205</t>
        </is>
      </c>
      <c r="H58" s="42" t="inlineStr">
        <is>
          <t>swift.cbprplus.04</t>
        </is>
      </c>
      <c r="I58" s="51" t="inlineStr">
        <is>
          <t>VIA-BIC</t>
        </is>
      </c>
      <c r="J58" s="43" t="n">
        <v>200</v>
      </c>
      <c r="K58" s="42" t="inlineStr">
        <is>
          <t>SSI_RESOLVED</t>
        </is>
      </c>
      <c r="L58" s="42" t="inlineStr">
        <is>
          <t>SSI-DEMO-042</t>
        </is>
      </c>
      <c r="M58" s="43" t="n">
        <v>14</v>
      </c>
      <c r="N58" s="43" t="n">
        <v>9</v>
      </c>
      <c r="O58" s="43" t="n">
        <v>1</v>
      </c>
      <c r="P58" s="52" t="inlineStr">
        <is>
          <t>預期 FAIL（已知缺陷）</t>
        </is>
      </c>
      <c r="Q58" s="42" t="inlineStr">
        <is>
          <t>DEF-001</t>
        </is>
      </c>
      <c r="R58" s="46" t="inlineStr">
        <is>
          <t>【範圍待確認】本組不在受控 UAT 矩陣內（sampleSet=DEMO-LIMITED-COVERAGE），請 BA 先裁定納入或排除。路由為「經由第三行」：actualReceiverBic=BARCGB22、beneficiaryBic=NSSIUSN1、Nostro servicer=BARCGB22。正確 instructedAgent 應為 BARCGB22；若回傳 NSSIUSN1 即命中 DEF-001。同時檢查 SttlmMtd=INDA 與 SttlmAcct 所屬 servicer 是否一致。</t>
        </is>
      </c>
      <c r="S58" s="47" t="n"/>
      <c r="T58" s="48" t="n"/>
      <c r="U58" s="48" t="n"/>
      <c r="V58" s="47" t="n"/>
      <c r="W58" s="47" t="n"/>
      <c r="X58" s="47" t="n"/>
    </row>
    <row r="59" ht="57.75" customHeight="1" s="36">
      <c r="A59" s="42" t="inlineStr">
        <is>
          <t>UAT2-055</t>
        </is>
      </c>
      <c r="B59" s="53" t="n">
        <v>14</v>
      </c>
      <c r="C59" s="42" t="inlineStr">
        <is>
          <t>NSSIUSN1</t>
        </is>
      </c>
      <c r="D59" s="42" t="inlineStr">
        <is>
          <t>Northstar Limited</t>
        </is>
      </c>
      <c r="E59" s="43" t="inlineStr">
        <is>
          <t>GBP</t>
        </is>
      </c>
      <c r="F59" s="43" t="inlineStr">
        <is>
          <t>HK01</t>
        </is>
      </c>
      <c r="G59" s="42" t="inlineStr">
        <is>
          <t>MT202COV</t>
        </is>
      </c>
      <c r="H59" s="42" t="inlineStr">
        <is>
          <t>swift.cbprplus.cov.04</t>
        </is>
      </c>
      <c r="I59" s="51" t="inlineStr">
        <is>
          <t>VIA-BIC</t>
        </is>
      </c>
      <c r="J59" s="43" t="n">
        <v>503</v>
      </c>
      <c r="K59" s="42" t="inlineStr">
        <is>
          <t>PROFILE_INCOMPLETE</t>
        </is>
      </c>
      <c r="L59" s="42" t="inlineStr">
        <is>
          <t>null（rank 前即擋）</t>
        </is>
      </c>
      <c r="M59" s="43" t="n">
        <v>14</v>
      </c>
      <c r="N59" s="43" t="n">
        <v>9</v>
      </c>
      <c r="O59" s="43" t="n">
        <v>1</v>
      </c>
      <c r="P59" s="49" t="inlineStr">
        <is>
          <t>阻擋 — 不列入分母</t>
        </is>
      </c>
      <c r="Q59" s="42" t="inlineStr">
        <is>
          <t>DG-COV-PROFILE</t>
        </is>
      </c>
      <c r="R59" s="46" t="inlineStr">
        <is>
          <t>【範圍待確認】本組不在受控 UAT 矩陣內（sampleSet=DEMO-LIMITED-COVERAGE），請 BA 先裁定納入或排除。COV 需 businessService + 具名 COV allow-list + 正規化 (.08,businessService) catalogue tuple；現行 ACTIVE SSI 三者皆為 0。不得 fallback 至 Core。此列不計 pass/fail。</t>
        </is>
      </c>
      <c r="S59" s="47" t="n"/>
      <c r="T59" s="48" t="n"/>
      <c r="U59" s="48" t="n"/>
      <c r="V59" s="47" t="n"/>
      <c r="W59" s="47" t="n"/>
      <c r="X59" s="47" t="n"/>
    </row>
    <row r="60" ht="57.75" customHeight="1" s="36">
      <c r="A60" s="42" t="inlineStr">
        <is>
          <t>UAT2-056</t>
        </is>
      </c>
      <c r="B60" s="53" t="n">
        <v>14</v>
      </c>
      <c r="C60" s="42" t="inlineStr">
        <is>
          <t>NSSIUSN1</t>
        </is>
      </c>
      <c r="D60" s="42" t="inlineStr">
        <is>
          <t>Northstar Limited</t>
        </is>
      </c>
      <c r="E60" s="43" t="inlineStr">
        <is>
          <t>GBP</t>
        </is>
      </c>
      <c r="F60" s="43" t="inlineStr">
        <is>
          <t>HK01</t>
        </is>
      </c>
      <c r="G60" s="42" t="inlineStr">
        <is>
          <t>MT205COV</t>
        </is>
      </c>
      <c r="H60" s="42" t="inlineStr">
        <is>
          <t>swift.cbprplus.cov.04</t>
        </is>
      </c>
      <c r="I60" s="51" t="inlineStr">
        <is>
          <t>VIA-BIC</t>
        </is>
      </c>
      <c r="J60" s="43" t="n">
        <v>503</v>
      </c>
      <c r="K60" s="42" t="inlineStr">
        <is>
          <t>PROFILE_INCOMPLETE</t>
        </is>
      </c>
      <c r="L60" s="42" t="inlineStr">
        <is>
          <t>null（rank 前即擋）</t>
        </is>
      </c>
      <c r="M60" s="43" t="n">
        <v>14</v>
      </c>
      <c r="N60" s="43" t="n">
        <v>9</v>
      </c>
      <c r="O60" s="43" t="n">
        <v>1</v>
      </c>
      <c r="P60" s="49" t="inlineStr">
        <is>
          <t>阻擋 — 不列入分母</t>
        </is>
      </c>
      <c r="Q60" s="42" t="inlineStr">
        <is>
          <t>DG-COV-PROFILE</t>
        </is>
      </c>
      <c r="R60" s="46" t="inlineStr">
        <is>
          <t>【範圍待確認】本組不在受控 UAT 矩陣內（sampleSet=DEMO-LIMITED-COVERAGE），請 BA 先裁定納入或排除。COV 需 businessService + 具名 COV allow-list + 正規化 (.08,businessService) catalogue tuple；現行 ACTIVE SSI 三者皆為 0。不得 fallback 至 Core。此列不計 pass/fail。</t>
        </is>
      </c>
      <c r="S60" s="47" t="n"/>
      <c r="T60" s="48" t="n"/>
      <c r="U60" s="48" t="n"/>
      <c r="V60" s="47" t="n"/>
      <c r="W60" s="47" t="n"/>
      <c r="X60" s="47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8" t="n"/>
      <c r="I61" s="38" t="n"/>
      <c r="J61" s="38" t="n"/>
      <c r="K61" s="38" t="n"/>
      <c r="L61" s="38" t="n"/>
      <c r="M61" s="38" t="n"/>
      <c r="N61" s="38" t="n"/>
      <c r="O61" s="38" t="n"/>
      <c r="P61" s="38" t="n"/>
      <c r="Q61" s="38" t="n"/>
      <c r="R61" s="38" t="n"/>
      <c r="S61" s="38" t="n"/>
      <c r="T61" s="38" t="n"/>
      <c r="U61" s="38" t="n"/>
      <c r="V61" s="38" t="n"/>
      <c r="W61" s="38" t="n"/>
      <c r="X61" s="38" t="n"/>
    </row>
    <row r="62" ht="15" customHeight="1" s="36">
      <c r="A62" s="54" t="inlineStr">
        <is>
          <t>彙總（自動計算）</t>
        </is>
      </c>
      <c r="B62" s="38" t="n"/>
      <c r="C62" s="38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8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</row>
    <row r="63" ht="15" customHeight="1" s="36">
      <c r="A63" s="55" t="inlineStr">
        <is>
          <t>案例總數</t>
        </is>
      </c>
      <c r="B63" s="56">
        <f>COUNTA($A$5:$A$60)</f>
        <v/>
      </c>
      <c r="C63" s="38" t="n"/>
      <c r="D63" s="38" t="n"/>
      <c r="E63" s="38" t="n"/>
      <c r="F63" s="38" t="n"/>
      <c r="G63" s="38" t="n"/>
      <c r="H63" s="38" t="n"/>
      <c r="I63" s="38" t="n"/>
      <c r="J63" s="38" t="n"/>
      <c r="K63" s="38" t="n"/>
      <c r="L63" s="38" t="n"/>
      <c r="M63" s="38" t="n"/>
      <c r="N63" s="38" t="n"/>
      <c r="O63" s="38" t="n"/>
      <c r="P63" s="38" t="n"/>
      <c r="Q63" s="38" t="n"/>
      <c r="R63" s="38" t="n"/>
      <c r="S63" s="38" t="n"/>
      <c r="T63" s="38" t="n"/>
      <c r="U63" s="38" t="n"/>
      <c r="V63" s="38" t="n"/>
      <c r="W63" s="38" t="n"/>
      <c r="X63" s="38" t="n"/>
    </row>
    <row r="64" ht="17.15" customHeight="1" s="36">
      <c r="A64" s="55" t="inlineStr">
        <is>
          <t>預期 PASS — 有效證據（TIE）</t>
        </is>
      </c>
      <c r="B64" s="56">
        <f>COUNTIF($P$5:$P$60,"預期 PASS（有效證據）")</f>
        <v/>
      </c>
      <c r="C64" s="38" t="n"/>
      <c r="D64" s="38" t="n"/>
      <c r="E64" s="38" t="n"/>
      <c r="F64" s="38" t="n"/>
      <c r="G64" s="38" t="n"/>
      <c r="H64" s="38" t="n"/>
      <c r="I64" s="38" t="n"/>
      <c r="J64" s="38" t="n"/>
      <c r="K64" s="38" t="n"/>
      <c r="L64" s="38" t="n"/>
      <c r="M64" s="38" t="n"/>
      <c r="N64" s="38" t="n"/>
      <c r="O64" s="38" t="n"/>
      <c r="P64" s="38" t="n"/>
      <c r="Q64" s="38" t="n"/>
      <c r="R64" s="38" t="n"/>
      <c r="S64" s="38" t="n"/>
      <c r="T64" s="38" t="n"/>
      <c r="U64" s="38" t="n"/>
      <c r="V64" s="38" t="n"/>
      <c r="W64" s="38" t="n"/>
      <c r="X64" s="38" t="n"/>
    </row>
    <row r="65" ht="17.15" customHeight="1" s="36">
      <c r="A65" s="55" t="inlineStr">
        <is>
          <t>預期 PASS — FALSE GREEN</t>
        </is>
      </c>
      <c r="B65" s="56">
        <f>COUNTIF($P$5:$P$60,"預期 PASS（FALSE GREEN）")</f>
        <v/>
      </c>
      <c r="C65" s="38" t="n"/>
      <c r="D65" s="38" t="n"/>
      <c r="E65" s="38" t="n"/>
      <c r="F65" s="38" t="n"/>
      <c r="G65" s="38" t="n"/>
      <c r="H65" s="38" t="n"/>
      <c r="I65" s="38" t="n"/>
      <c r="J65" s="38" t="n"/>
      <c r="K65" s="38" t="n"/>
      <c r="L65" s="38" t="n"/>
      <c r="M65" s="38" t="n"/>
      <c r="N65" s="38" t="n"/>
      <c r="O65" s="38" t="n"/>
      <c r="P65" s="38" t="n"/>
      <c r="Q65" s="38" t="n"/>
      <c r="R65" s="38" t="n"/>
      <c r="S65" s="38" t="n"/>
      <c r="T65" s="38" t="n"/>
      <c r="U65" s="38" t="n"/>
      <c r="V65" s="38" t="n"/>
      <c r="W65" s="38" t="n"/>
      <c r="X65" s="38" t="n"/>
    </row>
    <row r="66" ht="17.15" customHeight="1" s="36">
      <c r="A66" s="55" t="inlineStr">
        <is>
          <t>預期 FAIL（DEF-001）</t>
        </is>
      </c>
      <c r="B66" s="56">
        <f>COUNTIF($P$5:$P$60,"預期 FAIL（已知缺陷）")</f>
        <v/>
      </c>
      <c r="C66" s="38" t="n"/>
      <c r="D66" s="38" t="n"/>
      <c r="E66" s="38" t="n"/>
      <c r="F66" s="38" t="n"/>
      <c r="G66" s="38" t="n"/>
      <c r="H66" s="38" t="n"/>
      <c r="I66" s="38" t="n"/>
      <c r="J66" s="38" t="n"/>
      <c r="K66" s="38" t="n"/>
      <c r="L66" s="38" t="n"/>
      <c r="M66" s="38" t="n"/>
      <c r="N66" s="38" t="n"/>
      <c r="O66" s="38" t="n"/>
      <c r="P66" s="38" t="n"/>
      <c r="Q66" s="38" t="n"/>
      <c r="R66" s="38" t="n"/>
      <c r="S66" s="38" t="n"/>
      <c r="T66" s="38" t="n"/>
      <c r="U66" s="38" t="n"/>
      <c r="V66" s="38" t="n"/>
      <c r="W66" s="38" t="n"/>
      <c r="X66" s="38" t="n"/>
    </row>
    <row r="67" ht="17.15" customHeight="1" s="36">
      <c r="A67" s="55" t="inlineStr">
        <is>
          <t>阻擋（COV，不計分母）</t>
        </is>
      </c>
      <c r="B67" s="56">
        <f>COUNTIF($P$5:$P$60,"阻擋*")</f>
        <v/>
      </c>
      <c r="C67" s="38" t="n"/>
      <c r="D67" s="38" t="n"/>
      <c r="E67" s="38" t="n"/>
      <c r="F67" s="38" t="n"/>
      <c r="G67" s="38" t="n"/>
      <c r="H67" s="38" t="n"/>
      <c r="I67" s="38" t="n"/>
      <c r="J67" s="38" t="n"/>
      <c r="K67" s="38" t="n"/>
      <c r="L67" s="38" t="n"/>
      <c r="M67" s="38" t="n"/>
      <c r="N67" s="38" t="n"/>
      <c r="O67" s="38" t="n"/>
      <c r="P67" s="38" t="n"/>
      <c r="Q67" s="38" t="n"/>
      <c r="R67" s="38" t="n"/>
      <c r="S67" s="38" t="n"/>
      <c r="T67" s="38" t="n"/>
      <c r="U67" s="38" t="n"/>
      <c r="V67" s="38" t="n"/>
      <c r="W67" s="38" t="n"/>
      <c r="X67" s="38" t="n"/>
    </row>
    <row r="68" ht="17.15" customHeight="1" s="36">
      <c r="A68" s="55" t="inlineStr">
        <is>
          <t>可執行分母（Core）</t>
        </is>
      </c>
      <c r="B68" s="56">
        <f>COUNTA($A$5:$A$60)-COUNTIF($P$5:$P$60,"阻擋*")</f>
        <v/>
      </c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38" t="n"/>
      <c r="O68" s="38" t="n"/>
      <c r="P68" s="38" t="n"/>
      <c r="Q68" s="38" t="n"/>
      <c r="R68" s="38" t="n"/>
      <c r="S68" s="38" t="n"/>
      <c r="T68" s="38" t="n"/>
      <c r="U68" s="38" t="n"/>
      <c r="V68" s="38" t="n"/>
      <c r="W68" s="38" t="n"/>
      <c r="X68" s="38" t="n"/>
    </row>
    <row r="69" ht="15" customHeight="1" s="36">
      <c r="A69" s="55" t="inlineStr">
        <is>
          <t>具鑑別力之通過率</t>
        </is>
      </c>
      <c r="B69" s="57">
        <f>COUNTIF($P$5:$P$60,"預期 PASS（有效證據）")/(COUNTA($A$5:$A$60)-COUNTIF($P$5:$P$60,"阻擋*"))</f>
        <v/>
      </c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8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</row>
    <row r="70" ht="17.15" customHeight="1" s="36">
      <c r="A70" s="55" t="inlineStr">
        <is>
          <t>實際 Pass 數（填表後自動）</t>
        </is>
      </c>
      <c r="B70" s="56">
        <f>COUNTIF($V$5:$V$60,"Pass")</f>
        <v/>
      </c>
      <c r="C70" s="38" t="n"/>
      <c r="D70" s="38" t="n"/>
      <c r="E70" s="38" t="n"/>
      <c r="F70" s="38" t="n"/>
      <c r="G70" s="38" t="n"/>
      <c r="H70" s="38" t="n"/>
      <c r="I70" s="38" t="n"/>
      <c r="J70" s="38" t="n"/>
      <c r="K70" s="38" t="n"/>
      <c r="L70" s="38" t="n"/>
      <c r="M70" s="38" t="n"/>
      <c r="N70" s="38" t="n"/>
      <c r="O70" s="38" t="n"/>
      <c r="P70" s="38" t="n"/>
      <c r="Q70" s="38" t="n"/>
      <c r="R70" s="38" t="n"/>
      <c r="S70" s="38" t="n"/>
      <c r="T70" s="38" t="n"/>
      <c r="U70" s="38" t="n"/>
      <c r="V70" s="38" t="n"/>
      <c r="W70" s="38" t="n"/>
      <c r="X70" s="38" t="n"/>
    </row>
    <row r="71" ht="17.15" customHeight="1" s="36">
      <c r="A71" s="55" t="inlineStr">
        <is>
          <t>實際 Fail 數（填表後自動）</t>
        </is>
      </c>
      <c r="B71" s="56">
        <f>COUNTIF($V$5:$V$60,"Fail")</f>
        <v/>
      </c>
      <c r="C71" s="38" t="n"/>
      <c r="D71" s="38" t="n"/>
      <c r="E71" s="38" t="n"/>
      <c r="F71" s="38" t="n"/>
      <c r="G71" s="38" t="n"/>
      <c r="H71" s="38" t="n"/>
      <c r="I71" s="38" t="n"/>
      <c r="J71" s="38" t="n"/>
      <c r="K71" s="38" t="n"/>
      <c r="L71" s="38" t="n"/>
      <c r="M71" s="38" t="n"/>
      <c r="N71" s="38" t="n"/>
      <c r="O71" s="38" t="n"/>
      <c r="P71" s="38" t="n"/>
      <c r="Q71" s="38" t="n"/>
      <c r="R71" s="38" t="n"/>
      <c r="S71" s="38" t="n"/>
      <c r="T71" s="38" t="n"/>
      <c r="U71" s="38" t="n"/>
      <c r="V71" s="38" t="n"/>
      <c r="W71" s="38" t="n"/>
      <c r="X71" s="38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8" t="n"/>
      <c r="I72" s="38" t="n"/>
      <c r="J72" s="38" t="n"/>
      <c r="K72" s="38" t="n"/>
      <c r="L72" s="38" t="n"/>
      <c r="M72" s="38" t="n"/>
      <c r="N72" s="38" t="n"/>
      <c r="O72" s="38" t="n"/>
      <c r="P72" s="38" t="n"/>
      <c r="Q72" s="38" t="n"/>
      <c r="R72" s="38" t="n"/>
      <c r="S72" s="38" t="n"/>
      <c r="T72" s="38" t="n"/>
      <c r="U72" s="38" t="n"/>
      <c r="V72" s="38" t="n"/>
      <c r="W72" s="38" t="n"/>
      <c r="X72" s="38" t="n"/>
    </row>
    <row r="73" ht="17.15" customHeight="1" s="36">
      <c r="A73" s="39" t="inlineStr">
        <is>
          <t>判讀說明：FALSE GREEN 指該組 actualReceiverBic 恰等於 counterpartyBic，DEF-001 覆蓋後值仍正確，故會通過但不證明 agent 來源邏輯正確。驗收時不得把這類通過計入有效覆蓋。</t>
        </is>
      </c>
      <c r="B73" s="38" t="n"/>
      <c r="C73" s="38" t="n"/>
      <c r="D73" s="38" t="n"/>
      <c r="E73" s="38" t="n"/>
      <c r="F73" s="38" t="n"/>
      <c r="G73" s="38" t="n"/>
      <c r="H73" s="38" t="n"/>
      <c r="I73" s="38" t="n"/>
      <c r="J73" s="38" t="n"/>
      <c r="K73" s="38" t="n"/>
      <c r="L73" s="38" t="n"/>
      <c r="M73" s="38" t="n"/>
      <c r="N73" s="38" t="n"/>
      <c r="O73" s="38" t="n"/>
      <c r="P73" s="38" t="n"/>
      <c r="Q73" s="38" t="n"/>
      <c r="R73" s="38" t="n"/>
      <c r="S73" s="38" t="n"/>
      <c r="T73" s="38" t="n"/>
      <c r="U73" s="38" t="n"/>
      <c r="V73" s="38" t="n"/>
      <c r="W73" s="38" t="n"/>
      <c r="X73" s="3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35" min="1" max="1"/>
    <col width="30" customWidth="1" style="35" min="2" max="2"/>
    <col width="10" customWidth="1" style="35" min="3" max="3"/>
    <col width="11" customWidth="1" style="35" min="4" max="4"/>
    <col width="12" customWidth="1" style="35" min="5" max="5"/>
    <col width="7" customWidth="1" style="35" min="6" max="6"/>
    <col width="15" customWidth="1" style="35" min="7" max="7"/>
    <col width="60" customWidth="1" style="35" min="8" max="8"/>
    <col width="24" customWidth="1" style="35" min="9" max="9"/>
    <col width="14" customWidth="1" style="35" min="10" max="10"/>
    <col width="10" customWidth="1" style="35" min="11" max="12"/>
    <col width="11" customWidth="1" style="35" min="13" max="13"/>
  </cols>
  <sheetData>
    <row r="1" ht="23.1" customHeight="1" s="36">
      <c r="A1" s="37" t="inlineStr">
        <is>
          <t>Message Scenario 專項測試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</row>
    <row r="2" ht="17.15" customHeight="1" s="36">
      <c r="A2" s="39" t="inlineStr">
        <is>
          <t>情境影響欄位呈現與 context，不改變 SSI 選取。每個情境各取一組 SAME-BIC 與一組 VIA-BIC 對照，確保情境邏輯與 DEF-001 可分離判讀。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</row>
    <row r="4" ht="33.75" customHeight="1" s="36">
      <c r="A4" s="40" t="inlineStr">
        <is>
          <t>案例編號</t>
        </is>
      </c>
      <c r="B4" s="41" t="inlineStr">
        <is>
          <t>TARGET SCENARIO</t>
        </is>
      </c>
      <c r="C4" s="40" t="inlineStr">
        <is>
          <t>電文</t>
        </is>
      </c>
      <c r="D4" s="40" t="inlineStr">
        <is>
          <t>對照組</t>
        </is>
      </c>
      <c r="E4" s="41" t="inlineStr">
        <is>
          <t>Counterparty</t>
        </is>
      </c>
      <c r="F4" s="40" t="inlineStr">
        <is>
          <t>幣別</t>
        </is>
      </c>
      <c r="G4" s="40" t="inlineStr">
        <is>
          <t>預期 chosen SSI</t>
        </is>
      </c>
      <c r="H4" s="40" t="inlineStr">
        <is>
          <t>情境專屬驗證點</t>
        </is>
      </c>
      <c r="I4" s="40" t="inlineStr">
        <is>
          <t>預期判定</t>
        </is>
      </c>
      <c r="J4" s="40" t="inlineStr">
        <is>
          <t>實際結果</t>
        </is>
      </c>
      <c r="K4" s="41" t="inlineStr">
        <is>
          <t>Pass/Fail</t>
        </is>
      </c>
      <c r="L4" s="40" t="inlineStr">
        <is>
          <t>執行人</t>
        </is>
      </c>
      <c r="M4" s="40" t="inlineStr">
        <is>
          <t>執行日期</t>
        </is>
      </c>
    </row>
    <row r="5" ht="78" customHeight="1" s="36">
      <c r="A5" s="42" t="inlineStr">
        <is>
          <t>UAT2-SC-01</t>
        </is>
      </c>
      <c r="B5" s="42" t="inlineStr">
        <is>
          <t>BOOK_TRANSFER_SAME_RECEIVER</t>
        </is>
      </c>
      <c r="C5" s="43" t="inlineStr">
        <is>
          <t>MT202</t>
        </is>
      </c>
      <c r="D5" s="43" t="inlineStr">
        <is>
          <t>SAME-BIC</t>
        </is>
      </c>
      <c r="E5" s="42" t="inlineStr">
        <is>
          <t>CITIUS33</t>
        </is>
      </c>
      <c r="F5" s="43" t="inlineStr">
        <is>
          <t>USD</t>
        </is>
      </c>
      <c r="G5" s="42" t="inlineStr">
        <is>
          <t>SSI-DEMO-001</t>
        </is>
      </c>
      <c r="H5" s="46" t="inlineStr">
        <is>
          <t>情境 fixture 目前借記 OWN-EUR-NOSTRO-002（EUR）、貸記 OWN-USD-NOSTRO-001（USD），跨幣別。MT202 的 32A／pacs.009 的 IntrBkSttlmAmt 只能承載單一幣別金額，跨幣別需兩腳結算，無法以單一 MT202 表達。且兩個自有帳戶分屬不同 nostro 家族，與「same receiver」不符；解析出的 SttlmAcct 亦非畫面上任一自有帳戶。</t>
        </is>
      </c>
      <c r="I5" s="49" t="inlineStr">
        <is>
          <t>阻擋 — fixture 缺陷 DEF-002</t>
        </is>
      </c>
      <c r="J5" s="48" t="n"/>
      <c r="K5" s="47" t="n"/>
      <c r="L5" s="47" t="n"/>
      <c r="M5" s="47" t="n"/>
    </row>
    <row r="6" ht="78" customHeight="1" s="36">
      <c r="A6" s="42" t="inlineStr">
        <is>
          <t>UAT2-SC-02</t>
        </is>
      </c>
      <c r="B6" s="42" t="inlineStr">
        <is>
          <t>BOOK_TRANSFER_SAME_RECEIVER</t>
        </is>
      </c>
      <c r="C6" s="43" t="inlineStr">
        <is>
          <t>MT202</t>
        </is>
      </c>
      <c r="D6" s="43" t="inlineStr">
        <is>
          <t>VIA-BIC</t>
        </is>
      </c>
      <c r="E6" s="42" t="inlineStr">
        <is>
          <t>CHASUS33</t>
        </is>
      </c>
      <c r="F6" s="43" t="inlineStr">
        <is>
          <t>USD</t>
        </is>
      </c>
      <c r="G6" s="42" t="inlineStr">
        <is>
          <t>SSI-DEMO-021</t>
        </is>
      </c>
      <c r="H6" s="46" t="inlineStr">
        <is>
          <t>情境 fixture 目前借記 OWN-EUR-NOSTRO-002（EUR）、貸記 OWN-USD-NOSTRO-001（USD），跨幣別。MT202 的 32A／pacs.009 的 IntrBkSttlmAmt 只能承載單一幣別金額，跨幣別需兩腳結算，無法以單一 MT202 表達。且兩個自有帳戶分屬不同 nostro 家族，與「same receiver」不符；解析出的 SttlmAcct 亦非畫面上任一自有帳戶。</t>
        </is>
      </c>
      <c r="I6" s="49" t="inlineStr">
        <is>
          <t>阻擋 — fixture 缺陷 DEF-002</t>
        </is>
      </c>
      <c r="J6" s="48" t="n"/>
      <c r="K6" s="47" t="n"/>
      <c r="L6" s="47" t="n"/>
      <c r="M6" s="47" t="n"/>
    </row>
    <row r="7" ht="78" customHeight="1" s="36">
      <c r="A7" s="42" t="inlineStr">
        <is>
          <t>UAT2-SC-03</t>
        </is>
      </c>
      <c r="B7" s="42" t="inlineStr">
        <is>
          <t>CREDIT_ONE_OF_SEVERAL_AT_57A</t>
        </is>
      </c>
      <c r="C7" s="43" t="inlineStr">
        <is>
          <t>MT202</t>
        </is>
      </c>
      <c r="D7" s="43" t="inlineStr">
        <is>
          <t>SAME-BIC</t>
        </is>
      </c>
      <c r="E7" s="42" t="inlineStr">
        <is>
          <t>CITIUS33</t>
        </is>
      </c>
      <c r="F7" s="43" t="inlineStr">
        <is>
          <t>USD</t>
        </is>
      </c>
      <c r="G7" s="42" t="inlineStr">
        <is>
          <t>SSI-DEMO-001</t>
        </is>
      </c>
      <c r="H7" s="46" t="inlineStr">
        <is>
          <t>須確認 57A 明示輸出（非省略），且所選帳戶等於 chosen SSI 的 route.accountId 所對應之 ACTIVE Nostro（PRIMARY）。注意：本資料集 26 筆的 accountWithBic 與 actualReceiverBic 恆相等，故 MTMX-57A-01 的省略條件恆成立；本情境是唯一能驗證「明示不省略」路徑的案例。</t>
        </is>
      </c>
      <c r="I7" s="45" t="inlineStr">
        <is>
          <t>可執行 — 驗 57A 明示｜FALSE GREEN</t>
        </is>
      </c>
      <c r="J7" s="48" t="n"/>
      <c r="K7" s="47" t="n"/>
      <c r="L7" s="47" t="n"/>
      <c r="M7" s="47" t="n"/>
    </row>
    <row r="8" ht="78" customHeight="1" s="36">
      <c r="A8" s="42" t="inlineStr">
        <is>
          <t>UAT2-SC-04</t>
        </is>
      </c>
      <c r="B8" s="42" t="inlineStr">
        <is>
          <t>CREDIT_ONE_OF_SEVERAL_AT_57A</t>
        </is>
      </c>
      <c r="C8" s="43" t="inlineStr">
        <is>
          <t>MT202</t>
        </is>
      </c>
      <c r="D8" s="43" t="inlineStr">
        <is>
          <t>VIA-BIC</t>
        </is>
      </c>
      <c r="E8" s="42" t="inlineStr">
        <is>
          <t>CHASUS33</t>
        </is>
      </c>
      <c r="F8" s="43" t="inlineStr">
        <is>
          <t>USD</t>
        </is>
      </c>
      <c r="G8" s="42" t="inlineStr">
        <is>
          <t>SSI-DEMO-021</t>
        </is>
      </c>
      <c r="H8" s="46" t="inlineStr">
        <is>
          <t>須確認 57A 明示輸出（非省略），且所選帳戶等於 chosen SSI 的 route.accountId 所對應之 ACTIVE Nostro（PRIMARY）。注意：本資料集 26 筆的 accountWithBic 與 actualReceiverBic 恆相等，故 MTMX-57A-01 的省略條件恆成立；本情境是唯一能驗證「明示不省略」路徑的案例。</t>
        </is>
      </c>
      <c r="I8" s="52" t="inlineStr">
        <is>
          <t>可執行 — 驗 57A 明示｜預期 FAIL：DEF-001</t>
        </is>
      </c>
      <c r="J8" s="48" t="n"/>
      <c r="K8" s="47" t="n"/>
      <c r="L8" s="47" t="n"/>
      <c r="M8" s="47" t="n"/>
    </row>
    <row r="9" ht="78" customHeight="1" s="36">
      <c r="A9" s="42" t="inlineStr">
        <is>
          <t>UAT2-SC-05</t>
        </is>
      </c>
      <c r="B9" s="42" t="inlineStr">
        <is>
          <t>INITIAL_MT200_201_EQUIVALENCE</t>
        </is>
      </c>
      <c r="C9" s="43" t="inlineStr">
        <is>
          <t>MT205</t>
        </is>
      </c>
      <c r="D9" s="43" t="inlineStr">
        <is>
          <t>SAME-BIC</t>
        </is>
      </c>
      <c r="E9" s="42" t="inlineStr">
        <is>
          <t>CITIUS33</t>
        </is>
      </c>
      <c r="F9" s="43" t="inlineStr">
        <is>
          <t>USD</t>
        </is>
      </c>
      <c r="G9" s="42" t="inlineStr">
        <is>
          <t>SSI-DEMO-001</t>
        </is>
      </c>
      <c r="H9" s="42" t="inlineStr">
        <is>
          <t>MT205 的 52a 為 Mandatory，須由前手 Category 2 指示帶入。52a 缺值時應回 MESSAGE_CONTEXT_MISSING，不得誤報 SSI_NOT_FOUND。另須確認畫面不允許編輯銀行身分欄位。</t>
        </is>
      </c>
      <c r="I9" s="45" t="inlineStr">
        <is>
          <t>可執行 — 驗 52a 帶入與唯讀｜FALSE GREEN</t>
        </is>
      </c>
      <c r="J9" s="48" t="n"/>
      <c r="K9" s="47" t="n"/>
      <c r="L9" s="47" t="n"/>
      <c r="M9" s="47" t="n"/>
    </row>
    <row r="10" ht="78" customHeight="1" s="36">
      <c r="A10" s="42" t="inlineStr">
        <is>
          <t>UAT2-SC-06</t>
        </is>
      </c>
      <c r="B10" s="42" t="inlineStr">
        <is>
          <t>INITIAL_MT200_201_EQUIVALENCE</t>
        </is>
      </c>
      <c r="C10" s="43" t="inlineStr">
        <is>
          <t>MT205</t>
        </is>
      </c>
      <c r="D10" s="43" t="inlineStr">
        <is>
          <t>VIA-BIC</t>
        </is>
      </c>
      <c r="E10" s="42" t="inlineStr">
        <is>
          <t>CHASUS33</t>
        </is>
      </c>
      <c r="F10" s="43" t="inlineStr">
        <is>
          <t>USD</t>
        </is>
      </c>
      <c r="G10" s="42" t="inlineStr">
        <is>
          <t>SSI-DEMO-021</t>
        </is>
      </c>
      <c r="H10" s="42" t="inlineStr">
        <is>
          <t>MT205 的 52a 為 Mandatory，須由前手 Category 2 指示帶入。52a 缺值時應回 MESSAGE_CONTEXT_MISSING，不得誤報 SSI_NOT_FOUND。另須確認畫面不允許編輯銀行身分欄位。</t>
        </is>
      </c>
      <c r="I10" s="52" t="inlineStr">
        <is>
          <t>可執行 — 驗 52a 帶入與唯讀｜預期 FAIL：DEF-001</t>
        </is>
      </c>
      <c r="J10" s="48" t="n"/>
      <c r="K10" s="47" t="n"/>
      <c r="L10" s="47" t="n"/>
      <c r="M10" s="47" t="n"/>
    </row>
    <row r="11" ht="78" customHeight="1" s="36">
      <c r="A11" s="42" t="inlineStr">
        <is>
          <t>UAT2-SC-07</t>
        </is>
      </c>
      <c r="B11" s="42" t="inlineStr">
        <is>
          <t>NO_MT200_201_EQUIVALENCE</t>
        </is>
      </c>
      <c r="C11" s="43" t="inlineStr">
        <is>
          <t>MT205COV</t>
        </is>
      </c>
      <c r="D11" s="43" t="inlineStr">
        <is>
          <t>SAME-BIC</t>
        </is>
      </c>
      <c r="E11" s="42" t="inlineStr">
        <is>
          <t>CITIUS33</t>
        </is>
      </c>
      <c r="F11" s="43" t="inlineStr">
        <is>
          <t>USD</t>
        </is>
      </c>
      <c r="G11" s="42" t="inlineStr">
        <is>
          <t>SSI-DEMO-001</t>
        </is>
      </c>
      <c r="H11" s="46" t="inlineStr">
        <is>
          <t>目前受 DG-COV-PROFILE 封鎖，應於 rank 之前回 503 PROFILE_INCOMPLETE，不得進入排序、不得 fallback 至 Core。DG 關閉後才驗本情境的 cover context 保留與 58a 規則不套用。</t>
        </is>
      </c>
      <c r="I11" s="49" t="inlineStr">
        <is>
          <t>阻擋 — DG-COV-PROFILE</t>
        </is>
      </c>
      <c r="J11" s="48" t="n"/>
      <c r="K11" s="47" t="n"/>
      <c r="L11" s="47" t="n"/>
      <c r="M11" s="47" t="n"/>
    </row>
    <row r="12" ht="78" customHeight="1" s="36">
      <c r="A12" s="42" t="inlineStr">
        <is>
          <t>UAT2-SC-08</t>
        </is>
      </c>
      <c r="B12" s="42" t="inlineStr">
        <is>
          <t>NO_MT200_201_EQUIVALENCE</t>
        </is>
      </c>
      <c r="C12" s="43" t="inlineStr">
        <is>
          <t>MT205COV</t>
        </is>
      </c>
      <c r="D12" s="43" t="inlineStr">
        <is>
          <t>VIA-BIC</t>
        </is>
      </c>
      <c r="E12" s="42" t="inlineStr">
        <is>
          <t>CHASUS33</t>
        </is>
      </c>
      <c r="F12" s="43" t="inlineStr">
        <is>
          <t>USD</t>
        </is>
      </c>
      <c r="G12" s="42" t="inlineStr">
        <is>
          <t>SSI-DEMO-021</t>
        </is>
      </c>
      <c r="H12" s="46" t="inlineStr">
        <is>
          <t>目前受 DG-COV-PROFILE 封鎖，應於 rank 之前回 503 PROFILE_INCOMPLETE，不得進入排序、不得 fallback 至 Core。DG 關閉後才驗本情境的 cover context 保留與 58a 規則不套用。</t>
        </is>
      </c>
      <c r="I12" s="49" t="inlineStr">
        <is>
          <t>阻擋 — DG-COV-PROFILE</t>
        </is>
      </c>
      <c r="J12" s="48" t="n"/>
      <c r="K12" s="47" t="n"/>
      <c r="L12" s="47" t="n"/>
      <c r="M12" s="47" t="n"/>
    </row>
    <row r="13">
      <c r="A13" s="38" t="n"/>
      <c r="B13" s="38" t="n"/>
      <c r="C13" s="38" t="n"/>
      <c r="D13" s="38" t="n"/>
      <c r="E13" s="38" t="n"/>
      <c r="F13" s="38" t="n"/>
      <c r="G13" s="38" t="n"/>
      <c r="H13" s="38" t="n"/>
      <c r="I13" s="38" t="n"/>
      <c r="J13" s="38" t="n"/>
      <c r="K13" s="38" t="n"/>
      <c r="L13" s="38" t="n"/>
      <c r="M13" s="38" t="n"/>
    </row>
    <row r="14" ht="15" customHeight="1" s="36">
      <c r="A14" s="54" t="inlineStr">
        <is>
          <t>覆蓋缺口</t>
        </is>
      </c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</row>
    <row r="15" ht="31.5" customHeight="1" s="36">
      <c r="A15" s="58" t="inlineStr">
        <is>
          <t>情境清單中沒有任何 MT202COV 的情境。MT202COV 目前受 DG 封鎖，影響有限，但 DG 關閉後應補一個 cover 情境，否則 MT202COV 將無情境層測試。</t>
        </is>
      </c>
      <c r="B15" s="38" t="n"/>
      <c r="C15" s="38" t="n"/>
      <c r="D15" s="38" t="n"/>
      <c r="E15" s="38" t="n"/>
      <c r="F15" s="38" t="n"/>
      <c r="G15" s="38" t="n"/>
      <c r="H15" s="38" t="n"/>
      <c r="I15" s="38" t="n"/>
      <c r="J15" s="38" t="n"/>
      <c r="K15" s="38" t="n"/>
      <c r="L15" s="38" t="n"/>
      <c r="M15" s="38" t="n"/>
    </row>
    <row r="16" ht="31.5" customHeight="1" s="36">
      <c r="A16" s="59" t="inlineStr">
        <is>
          <t>BOOK_TRANSFER_SAME_RECEIVER 的 fixture 需先修正為同幣別、且兩個自有帳戶隸屬同一收款行，才具可測性；修正前該情境的兩個案例皆不可執行。</t>
        </is>
      </c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</row>
  </sheetData>
  <mergeCells count="2">
    <mergeCell ref="A15:I15"/>
    <mergeCell ref="A16:I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35" min="1" max="1"/>
    <col width="12" customWidth="1" style="35" min="2" max="2"/>
    <col width="7" customWidth="1" style="35" min="3" max="3"/>
    <col width="8" customWidth="1" style="35" min="4" max="4"/>
    <col width="14" customWidth="1" style="35" min="5" max="7"/>
    <col width="15" customWidth="1" style="35" min="8" max="8"/>
    <col width="14" customWidth="1" style="35" min="9" max="9"/>
    <col width="13" customWidth="1" style="35" min="10" max="10"/>
    <col width="29" customWidth="1" style="35" min="11" max="11"/>
    <col width="33" customWidth="1" style="35" min="12" max="12"/>
    <col width="40" customWidth="1" style="35" min="13" max="13"/>
    <col width="28" customWidth="1" style="35" min="14" max="14"/>
    <col width="14" customWidth="1" style="35" min="15" max="15"/>
    <col width="20" customWidth="1" style="35" min="16" max="16"/>
    <col width="13" customWidth="1" style="35" min="17" max="17"/>
    <col width="8" customWidth="1" style="35" min="18" max="19"/>
    <col width="48" customWidth="1" style="35" min="20" max="20"/>
  </cols>
  <sheetData>
    <row r="1" ht="23.1" customHeight="1" s="36">
      <c r="A1" s="37" t="inlineStr">
        <is>
          <t>SSI 候選明細 v2 — 26 筆具 pacs.009.001.08 之 ACTIVE SSI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</row>
    <row r="2" ht="17.15" customHeight="1" s="36">
      <c r="A2" s="39" t="inlineStr">
        <is>
          <t>新增 agent 對照欄。Nostro 依 A4_NOSTRO_JOIN：accountId 精確等於 ACTIVE Nostro.accountReference，再依 servicer／幣別／SETTLEMENT／booking／生效日篩選，取 PRIMARY。</t>
        </is>
      </c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</row>
    <row r="4" ht="33.75" customHeight="1" s="36">
      <c r="A4" s="41" t="inlineStr">
        <is>
          <t>SSI Code</t>
        </is>
      </c>
      <c r="B4" s="41" t="inlineStr">
        <is>
          <t>Counterparty</t>
        </is>
      </c>
      <c r="C4" s="40" t="inlineStr">
        <is>
          <t>幣別</t>
        </is>
      </c>
      <c r="D4" s="41" t="inlineStr">
        <is>
          <t>priority</t>
        </is>
      </c>
      <c r="E4" s="41" t="inlineStr">
        <is>
          <t>routePreference</t>
        </is>
      </c>
      <c r="F4" s="40" t="inlineStr">
        <is>
          <t>排名結果</t>
        </is>
      </c>
      <c r="G4" s="41" t="inlineStr">
        <is>
          <t>accountWithBic</t>
        </is>
      </c>
      <c r="H4" s="41" t="inlineStr">
        <is>
          <t>actualReceiverBic</t>
        </is>
      </c>
      <c r="I4" s="41" t="inlineStr">
        <is>
          <t>beneficiaryBic</t>
        </is>
      </c>
      <c r="J4" s="41" t="inlineStr">
        <is>
          <t>agent 對照</t>
        </is>
      </c>
      <c r="K4" s="41" t="inlineStr">
        <is>
          <t>route.accountId</t>
        </is>
      </c>
      <c r="L4" s="40" t="inlineStr">
        <is>
          <t>對應 Nostro (PRIMARY)</t>
        </is>
      </c>
      <c r="M4" s="41" t="inlineStr">
        <is>
          <t>applicabilityProfileId</t>
        </is>
      </c>
      <c r="N4" s="41" t="inlineStr">
        <is>
          <t>settlementRouteId</t>
        </is>
      </c>
      <c r="O4" s="41" t="inlineStr">
        <is>
          <t>settlementCountry</t>
        </is>
      </c>
      <c r="P4" s="41" t="inlineStr">
        <is>
          <t>settlementMarket</t>
        </is>
      </c>
      <c r="Q4" s="41" t="inlineStr">
        <is>
          <t>clearingSystem</t>
        </is>
      </c>
      <c r="R4" s="41" t="inlineStr">
        <is>
          <t>live 版本</t>
        </is>
      </c>
      <c r="S4" s="41" t="inlineStr">
        <is>
          <t>snap 版本</t>
        </is>
      </c>
      <c r="T4" s="41" t="inlineStr">
        <is>
          <t>ssiName</t>
        </is>
      </c>
    </row>
    <row r="5" ht="37.3" customHeight="1" s="36">
      <c r="A5" s="42" t="inlineStr">
        <is>
          <t>SSI-DEMO-001</t>
        </is>
      </c>
      <c r="B5" s="42" t="inlineStr">
        <is>
          <t>CITIUS33</t>
        </is>
      </c>
      <c r="C5" s="43" t="inlineStr">
        <is>
          <t>USD</t>
        </is>
      </c>
      <c r="D5" s="43" t="n">
        <v>10</v>
      </c>
      <c r="E5" s="42" t="inlineStr">
        <is>
          <t>PRIMARY</t>
        </is>
      </c>
      <c r="F5" s="60" t="inlineStr">
        <is>
          <t>CHOSEN</t>
        </is>
      </c>
      <c r="G5" s="42" t="inlineStr">
        <is>
          <t>CITIUS33</t>
        </is>
      </c>
      <c r="H5" s="42" t="inlineStr">
        <is>
          <t>CITIUS33</t>
        </is>
      </c>
      <c r="I5" s="42" t="inlineStr">
        <is>
          <t>CITIUS33</t>
        </is>
      </c>
      <c r="J5" s="44" t="inlineStr">
        <is>
          <t>SAME-BIC</t>
        </is>
      </c>
      <c r="K5" s="42" t="inlineStr">
        <is>
          <t>DEMO-NOSTRO-001-PRIMARY</t>
        </is>
      </c>
      <c r="L5" s="42" t="inlineStr">
        <is>
          <t>DEMO-NOSTRO-001-PRIMARY-PRIMARY</t>
        </is>
      </c>
      <c r="M5" s="42" t="inlineStr">
        <is>
          <t>APPL-IMPORT_LC_BANK_REIMBURSEMENT-USD</t>
        </is>
      </c>
      <c r="N5" s="42" t="inlineStr">
        <is>
          <t>ROUTE-USD-CITIUS33</t>
        </is>
      </c>
      <c r="O5" s="43" t="inlineStr">
        <is>
          <t>US</t>
        </is>
      </c>
      <c r="P5" s="42" t="inlineStr">
        <is>
          <t>US_DOLLAR</t>
        </is>
      </c>
      <c r="Q5" s="43" t="inlineStr">
        <is>
          <t>FEDWIRE</t>
        </is>
      </c>
      <c r="R5" s="43" t="n">
        <v>44</v>
      </c>
      <c r="S5" s="43" t="n">
        <v>39</v>
      </c>
      <c r="T5" s="42" t="inlineStr">
        <is>
          <t>USD BANK_REIMBURSEMENT for Citibank N.A. via Citibank N.A.</t>
        </is>
      </c>
    </row>
    <row r="6" ht="37.3" customHeight="1" s="36">
      <c r="A6" s="42" t="inlineStr">
        <is>
          <t>SSI-DEMO-002</t>
        </is>
      </c>
      <c r="B6" s="42" t="inlineStr">
        <is>
          <t>CITIUS33</t>
        </is>
      </c>
      <c r="C6" s="43" t="inlineStr">
        <is>
          <t>USD</t>
        </is>
      </c>
      <c r="D6" s="43" t="n">
        <v>20</v>
      </c>
      <c r="E6" s="42" t="inlineStr">
        <is>
          <t>SECONDARY</t>
        </is>
      </c>
      <c r="F6" s="61" t="inlineStr">
        <is>
          <t>alternative</t>
        </is>
      </c>
      <c r="G6" s="42" t="inlineStr">
        <is>
          <t>HSBCHKHH</t>
        </is>
      </c>
      <c r="H6" s="42" t="inlineStr">
        <is>
          <t>HSBCHKHH</t>
        </is>
      </c>
      <c r="I6" s="42" t="inlineStr">
        <is>
          <t>CITIUS33</t>
        </is>
      </c>
      <c r="J6" s="51" t="inlineStr">
        <is>
          <t>VIA-BIC</t>
        </is>
      </c>
      <c r="K6" s="42" t="inlineStr">
        <is>
          <t>DEMO-NOSTRO-001-SECONDARY</t>
        </is>
      </c>
      <c r="L6" s="42" t="inlineStr">
        <is>
          <t>DEMO-NOSTRO-001-SECONDARY-PRIMARY</t>
        </is>
      </c>
      <c r="M6" s="42" t="inlineStr">
        <is>
          <t>APPL-IMPORT_LC_BANK_REIMBURSEMENT-USD</t>
        </is>
      </c>
      <c r="N6" s="42" t="inlineStr">
        <is>
          <t>ROUTE-USD-HSBCHKHH</t>
        </is>
      </c>
      <c r="O6" s="43" t="inlineStr">
        <is>
          <t>HK</t>
        </is>
      </c>
      <c r="P6" s="42" t="inlineStr">
        <is>
          <t>HK_USD</t>
        </is>
      </c>
      <c r="Q6" s="43" t="inlineStr">
        <is>
          <t>USD_CHATS</t>
        </is>
      </c>
      <c r="R6" s="43" t="n">
        <v>39</v>
      </c>
      <c r="S6" s="43" t="n">
        <v>34</v>
      </c>
      <c r="T6" s="42" t="inlineStr">
        <is>
          <t>USD BANK_REIMBURSEMENT for Citibank N.A. via HSBC</t>
        </is>
      </c>
    </row>
    <row r="7" ht="37.3" customHeight="1" s="36">
      <c r="A7" s="42" t="inlineStr">
        <is>
          <t>SSI-DEMO-003</t>
        </is>
      </c>
      <c r="B7" s="42" t="inlineStr">
        <is>
          <t>BARCGB22</t>
        </is>
      </c>
      <c r="C7" s="43" t="inlineStr">
        <is>
          <t>GBP</t>
        </is>
      </c>
      <c r="D7" s="43" t="n">
        <v>10</v>
      </c>
      <c r="E7" s="42" t="inlineStr">
        <is>
          <t>PRIMARY</t>
        </is>
      </c>
      <c r="F7" s="44" t="inlineStr">
        <is>
          <t>TIE（並列第一）</t>
        </is>
      </c>
      <c r="G7" s="42" t="inlineStr">
        <is>
          <t>BARCGB22</t>
        </is>
      </c>
      <c r="H7" s="42" t="inlineStr">
        <is>
          <t>BARCGB22</t>
        </is>
      </c>
      <c r="I7" s="42" t="inlineStr">
        <is>
          <t>BARCGB22</t>
        </is>
      </c>
      <c r="J7" s="44" t="inlineStr">
        <is>
          <t>SAME-BIC</t>
        </is>
      </c>
      <c r="K7" s="42" t="inlineStr">
        <is>
          <t>DEMO-NOSTRO-002-PRIMARY</t>
        </is>
      </c>
      <c r="L7" s="42" t="inlineStr">
        <is>
          <t>DEMO-NOSTRO-002-PRIMARY-PRIMARY</t>
        </is>
      </c>
      <c r="M7" s="42" t="inlineStr">
        <is>
          <t>APPL-EXPORT_LC_PROCEEDS_SETTLEMENT-GBP</t>
        </is>
      </c>
      <c r="N7" s="42" t="inlineStr">
        <is>
          <t>ROUTE-GBP-BARCGB22</t>
        </is>
      </c>
      <c r="O7" s="43" t="inlineStr">
        <is>
          <t>GB</t>
        </is>
      </c>
      <c r="P7" s="42" t="inlineStr">
        <is>
          <t>GB_STERLING</t>
        </is>
      </c>
      <c r="Q7" s="43" t="inlineStr">
        <is>
          <t>CHAPS</t>
        </is>
      </c>
      <c r="R7" s="43" t="n">
        <v>44</v>
      </c>
      <c r="S7" s="43" t="n">
        <v>39</v>
      </c>
      <c r="T7" s="42" t="inlineStr">
        <is>
          <t>GBP PROCEEDS_SETTLEMENT for Barclays via Barclays</t>
        </is>
      </c>
    </row>
    <row r="8" ht="32.8" customHeight="1" s="36">
      <c r="A8" s="42" t="inlineStr">
        <is>
          <t>SSI-DEMO-022</t>
        </is>
      </c>
      <c r="B8" s="42" t="inlineStr">
        <is>
          <t>BARCGB22</t>
        </is>
      </c>
      <c r="C8" s="43" t="inlineStr">
        <is>
          <t>GBP</t>
        </is>
      </c>
      <c r="D8" s="43" t="n">
        <v>10</v>
      </c>
      <c r="E8" s="42" t="inlineStr">
        <is>
          <t>PRIMARY</t>
        </is>
      </c>
      <c r="F8" s="44" t="inlineStr">
        <is>
          <t>TIE（並列第一）</t>
        </is>
      </c>
      <c r="G8" s="42" t="inlineStr">
        <is>
          <t>BARCGB22</t>
        </is>
      </c>
      <c r="H8" s="42" t="inlineStr">
        <is>
          <t>BARCGB22</t>
        </is>
      </c>
      <c r="I8" s="42" t="inlineStr">
        <is>
          <t>BARCGB22</t>
        </is>
      </c>
      <c r="J8" s="44" t="inlineStr">
        <is>
          <t>SAME-BIC</t>
        </is>
      </c>
      <c r="K8" s="42" t="inlineStr">
        <is>
          <t>DEMO-NOSTRO-002-IMPCOLL</t>
        </is>
      </c>
      <c r="L8" s="42" t="inlineStr">
        <is>
          <t>DEMO-NOSTRO-002-IMPCOLL-PRIMARY</t>
        </is>
      </c>
      <c r="M8" s="42" t="inlineStr">
        <is>
          <t>APPL-IMPORT_COLLECTION_PAYMENT-GBP</t>
        </is>
      </c>
      <c r="N8" s="42" t="inlineStr">
        <is>
          <t>ROUTE-GBP-BARCGB22</t>
        </is>
      </c>
      <c r="O8" s="43" t="inlineStr">
        <is>
          <t>GB</t>
        </is>
      </c>
      <c r="P8" s="42" t="inlineStr">
        <is>
          <t>GB_STERLING</t>
        </is>
      </c>
      <c r="Q8" s="43" t="inlineStr">
        <is>
          <t>CHAPS</t>
        </is>
      </c>
      <c r="R8" s="43" t="n">
        <v>39</v>
      </c>
      <c r="S8" s="43" t="n">
        <v>34</v>
      </c>
      <c r="T8" s="42" t="inlineStr">
        <is>
          <t>GBP Import Collection Payment for Barclays</t>
        </is>
      </c>
    </row>
    <row r="9" ht="37.3" customHeight="1" s="36">
      <c r="A9" s="42" t="inlineStr">
        <is>
          <t>SSI-DEMO-004</t>
        </is>
      </c>
      <c r="B9" s="42" t="inlineStr">
        <is>
          <t>BARCGB22</t>
        </is>
      </c>
      <c r="C9" s="43" t="inlineStr">
        <is>
          <t>GBP</t>
        </is>
      </c>
      <c r="D9" s="43" t="n">
        <v>20</v>
      </c>
      <c r="E9" s="42" t="inlineStr">
        <is>
          <t>SECONDARY</t>
        </is>
      </c>
      <c r="F9" s="45" t="inlineStr">
        <is>
          <t>低名次候選</t>
        </is>
      </c>
      <c r="G9" s="42" t="inlineStr">
        <is>
          <t>SCBLGB2L</t>
        </is>
      </c>
      <c r="H9" s="42" t="inlineStr">
        <is>
          <t>SCBLGB2L</t>
        </is>
      </c>
      <c r="I9" s="42" t="inlineStr">
        <is>
          <t>BARCGB22</t>
        </is>
      </c>
      <c r="J9" s="51" t="inlineStr">
        <is>
          <t>VIA-BIC</t>
        </is>
      </c>
      <c r="K9" s="42" t="inlineStr">
        <is>
          <t>DEMO-NOSTRO-002-SECONDARY</t>
        </is>
      </c>
      <c r="L9" s="42" t="inlineStr">
        <is>
          <t>DEMO-NOSTRO-002-SECONDARY-PRIMARY</t>
        </is>
      </c>
      <c r="M9" s="42" t="inlineStr">
        <is>
          <t>APPL-EXPORT_LC_PROCEEDS_SETTLEMENT-GBP</t>
        </is>
      </c>
      <c r="N9" s="42" t="inlineStr">
        <is>
          <t>ROUTE-GBP-SCBLGB2L</t>
        </is>
      </c>
      <c r="O9" s="43" t="inlineStr">
        <is>
          <t>GB</t>
        </is>
      </c>
      <c r="P9" s="42" t="inlineStr">
        <is>
          <t>GB_STERLING</t>
        </is>
      </c>
      <c r="Q9" s="43" t="inlineStr">
        <is>
          <t>CHAPS</t>
        </is>
      </c>
      <c r="R9" s="43" t="n">
        <v>44</v>
      </c>
      <c r="S9" s="43" t="n">
        <v>39</v>
      </c>
      <c r="T9" s="42" t="inlineStr">
        <is>
          <t>GBP PROCEEDS_SETTLEMENT for Barclays via Standard Chartered</t>
        </is>
      </c>
    </row>
    <row r="10" ht="25.35" customHeight="1" s="36">
      <c r="A10" s="42" t="inlineStr">
        <is>
          <t>SSI-DEMO-024</t>
        </is>
      </c>
      <c r="B10" s="42" t="inlineStr">
        <is>
          <t>BARCGB22</t>
        </is>
      </c>
      <c r="C10" s="43" t="inlineStr">
        <is>
          <t>USD</t>
        </is>
      </c>
      <c r="D10" s="43" t="n">
        <v>10</v>
      </c>
      <c r="E10" s="42" t="inlineStr">
        <is>
          <t>PRIMARY</t>
        </is>
      </c>
      <c r="F10" s="60" t="inlineStr">
        <is>
          <t>CHOSEN</t>
        </is>
      </c>
      <c r="G10" s="42" t="inlineStr">
        <is>
          <t>CITIUS33</t>
        </is>
      </c>
      <c r="H10" s="42" t="inlineStr">
        <is>
          <t>CITIUS33</t>
        </is>
      </c>
      <c r="I10" s="42" t="inlineStr">
        <is>
          <t>BARCGB22</t>
        </is>
      </c>
      <c r="J10" s="51" t="inlineStr">
        <is>
          <t>VIA-BIC</t>
        </is>
      </c>
      <c r="K10" s="42" t="inlineStr">
        <is>
          <t>DEMO-NOSTRO-USD-IMPCOLL-BARC</t>
        </is>
      </c>
      <c r="L10" s="42" t="inlineStr">
        <is>
          <t>DEMO-NOSTRO-USD-IMPCOLL-BARC-PRIMARY</t>
        </is>
      </c>
      <c r="M10" s="42" t="inlineStr">
        <is>
          <t>APPL-IMPORT_COLLECTION_PAYMENT-USD</t>
        </is>
      </c>
      <c r="N10" s="42" t="inlineStr">
        <is>
          <t>ROUTE-USD-CITIUS33-BARC</t>
        </is>
      </c>
      <c r="O10" s="43" t="inlineStr">
        <is>
          <t>US</t>
        </is>
      </c>
      <c r="P10" s="42" t="inlineStr">
        <is>
          <t>US_DOLLAR</t>
        </is>
      </c>
      <c r="Q10" s="43" t="inlineStr">
        <is>
          <t>FEDWIRE</t>
        </is>
      </c>
      <c r="R10" s="43" t="n">
        <v>19</v>
      </c>
      <c r="S10" s="43" t="n">
        <v>14</v>
      </c>
      <c r="T10" s="42" t="inlineStr">
        <is>
          <t>USD Import Collection Payment for Barclays via Citi</t>
        </is>
      </c>
    </row>
    <row r="11" ht="25.35" customHeight="1" s="36">
      <c r="A11" s="42" t="inlineStr">
        <is>
          <t>SSI-DEMO-005</t>
        </is>
      </c>
      <c r="B11" s="42" t="inlineStr">
        <is>
          <t>DEUTDEFF</t>
        </is>
      </c>
      <c r="C11" s="43" t="inlineStr">
        <is>
          <t>EUR</t>
        </is>
      </c>
      <c r="D11" s="43" t="n">
        <v>10</v>
      </c>
      <c r="E11" s="42" t="inlineStr">
        <is>
          <t>PRIMARY</t>
        </is>
      </c>
      <c r="F11" s="60" t="inlineStr">
        <is>
          <t>CHOSEN</t>
        </is>
      </c>
      <c r="G11" s="42" t="inlineStr">
        <is>
          <t>DEUTDEFF</t>
        </is>
      </c>
      <c r="H11" s="42" t="inlineStr">
        <is>
          <t>DEUTDEFF</t>
        </is>
      </c>
      <c r="I11" s="42" t="inlineStr">
        <is>
          <t>DEUTDEFF</t>
        </is>
      </c>
      <c r="J11" s="44" t="inlineStr">
        <is>
          <t>SAME-BIC</t>
        </is>
      </c>
      <c r="K11" s="42" t="inlineStr">
        <is>
          <t>DEMO-NOSTRO-003-PRIMARY</t>
        </is>
      </c>
      <c r="L11" s="42" t="inlineStr">
        <is>
          <t>DEMO-NOSTRO-003-PRIMARY-PRIMARY</t>
        </is>
      </c>
      <c r="M11" s="42" t="inlineStr">
        <is>
          <t>APPL-IMPORT_COLLECTION_PAYMENT-EUR</t>
        </is>
      </c>
      <c r="N11" s="42" t="inlineStr">
        <is>
          <t>ROUTE-EUR-DEUTDEFF</t>
        </is>
      </c>
      <c r="O11" s="43" t="inlineStr">
        <is>
          <t>ANY</t>
        </is>
      </c>
      <c r="P11" s="42" t="inlineStr">
        <is>
          <t>EURO_AREA</t>
        </is>
      </c>
      <c r="Q11" s="43" t="inlineStr">
        <is>
          <t>T2</t>
        </is>
      </c>
      <c r="R11" s="43" t="n">
        <v>39</v>
      </c>
      <c r="S11" s="43" t="n">
        <v>34</v>
      </c>
      <c r="T11" s="42" t="inlineStr">
        <is>
          <t>EUR COLLECTION_SETTLEMENT for Deutsche Bank via Deutsche Bank</t>
        </is>
      </c>
    </row>
    <row r="12" ht="25.35" customHeight="1" s="36">
      <c r="A12" s="42" t="inlineStr">
        <is>
          <t>SSI-DEMO-006</t>
        </is>
      </c>
      <c r="B12" s="42" t="inlineStr">
        <is>
          <t>DEUTDEFF</t>
        </is>
      </c>
      <c r="C12" s="43" t="inlineStr">
        <is>
          <t>EUR</t>
        </is>
      </c>
      <c r="D12" s="43" t="n">
        <v>20</v>
      </c>
      <c r="E12" s="42" t="inlineStr">
        <is>
          <t>SECONDARY</t>
        </is>
      </c>
      <c r="F12" s="61" t="inlineStr">
        <is>
          <t>alternative</t>
        </is>
      </c>
      <c r="G12" s="42" t="inlineStr">
        <is>
          <t>HSBCHKHH</t>
        </is>
      </c>
      <c r="H12" s="42" t="inlineStr">
        <is>
          <t>HSBCHKHH</t>
        </is>
      </c>
      <c r="I12" s="42" t="inlineStr">
        <is>
          <t>DEUTDEFF</t>
        </is>
      </c>
      <c r="J12" s="51" t="inlineStr">
        <is>
          <t>VIA-BIC</t>
        </is>
      </c>
      <c r="K12" s="42" t="inlineStr">
        <is>
          <t>DEMO-NOSTRO-003-SECONDARY</t>
        </is>
      </c>
      <c r="L12" s="42" t="inlineStr">
        <is>
          <t>DEMO-NOSTRO-003-SECONDARY-PRIMARY</t>
        </is>
      </c>
      <c r="M12" s="42" t="inlineStr">
        <is>
          <t>APPL-IMPORT_COLLECTION_PAYMENT-EUR</t>
        </is>
      </c>
      <c r="N12" s="42" t="inlineStr">
        <is>
          <t>ROUTE-EUR-HSBCHKHH</t>
        </is>
      </c>
      <c r="O12" s="43" t="inlineStr">
        <is>
          <t>HK</t>
        </is>
      </c>
      <c r="P12" s="42" t="inlineStr">
        <is>
          <t>HK_EUR</t>
        </is>
      </c>
      <c r="Q12" s="43" t="inlineStr">
        <is>
          <t>EUR_CHATS</t>
        </is>
      </c>
      <c r="R12" s="43" t="n">
        <v>39</v>
      </c>
      <c r="S12" s="43" t="n">
        <v>34</v>
      </c>
      <c r="T12" s="42" t="inlineStr">
        <is>
          <t>EUR COLLECTION_SETTLEMENT for Deutsche Bank via HSBC</t>
        </is>
      </c>
    </row>
    <row r="13" ht="25.35" customHeight="1" s="36">
      <c r="A13" s="42" t="inlineStr">
        <is>
          <t>SSI-DEMO-035</t>
        </is>
      </c>
      <c r="B13" s="42" t="inlineStr">
        <is>
          <t>DEUTDEFF</t>
        </is>
      </c>
      <c r="C13" s="43" t="inlineStr">
        <is>
          <t>EUR</t>
        </is>
      </c>
      <c r="D13" s="43" t="n">
        <v>20</v>
      </c>
      <c r="E13" s="42" t="inlineStr">
        <is>
          <t>SECONDARY</t>
        </is>
      </c>
      <c r="F13" s="61" t="inlineStr">
        <is>
          <t>alternative</t>
        </is>
      </c>
      <c r="G13" s="42" t="inlineStr">
        <is>
          <t>DEUTDEFF</t>
        </is>
      </c>
      <c r="H13" s="42" t="inlineStr">
        <is>
          <t>DEUTDEFF</t>
        </is>
      </c>
      <c r="I13" s="42" t="inlineStr">
        <is>
          <t>DEUTDEFF</t>
        </is>
      </c>
      <c r="J13" s="44" t="inlineStr">
        <is>
          <t>SAME-BIC</t>
        </is>
      </c>
      <c r="K13" s="42" t="inlineStr">
        <is>
          <t>DEMO-NOSTRO-EUR-EURO1-DEUT</t>
        </is>
      </c>
      <c r="L13" s="42" t="inlineStr">
        <is>
          <t>DEMO-NOSTRO-EUR-EURO1-DEUT-PRIMARY</t>
        </is>
      </c>
      <c r="M13" s="42" t="inlineStr">
        <is>
          <t>APPL-EUR-HIGH-VALUE</t>
        </is>
      </c>
      <c r="N13" s="42" t="inlineStr">
        <is>
          <t>ROUTE-EUR-DEUTDEFF-EURO1</t>
        </is>
      </c>
      <c r="O13" s="43" t="inlineStr">
        <is>
          <t>ANY</t>
        </is>
      </c>
      <c r="P13" s="42" t="inlineStr">
        <is>
          <t>EURO_AREA</t>
        </is>
      </c>
      <c r="Q13" s="43" t="inlineStr">
        <is>
          <t>EURO1</t>
        </is>
      </c>
      <c r="R13" s="43" t="n">
        <v>14</v>
      </c>
      <c r="S13" s="43" t="n">
        <v>9</v>
      </c>
      <c r="T13" s="42" t="inlineStr">
        <is>
          <t>EUR Deutsche Bank High-value Settlement via EURO1</t>
        </is>
      </c>
    </row>
    <row r="14" ht="37.3" customHeight="1" s="36">
      <c r="A14" s="42" t="inlineStr">
        <is>
          <t>SSI-DEMO-007</t>
        </is>
      </c>
      <c r="B14" s="42" t="inlineStr">
        <is>
          <t>DBSSSGSG</t>
        </is>
      </c>
      <c r="C14" s="43" t="inlineStr">
        <is>
          <t>SGD</t>
        </is>
      </c>
      <c r="D14" s="43" t="n">
        <v>10</v>
      </c>
      <c r="E14" s="42" t="inlineStr">
        <is>
          <t>PRIMARY</t>
        </is>
      </c>
      <c r="F14" s="60" t="inlineStr">
        <is>
          <t>CHOSEN</t>
        </is>
      </c>
      <c r="G14" s="42" t="inlineStr">
        <is>
          <t>DBSSSGSG</t>
        </is>
      </c>
      <c r="H14" s="42" t="inlineStr">
        <is>
          <t>DBSSSGSG</t>
        </is>
      </c>
      <c r="I14" s="42" t="inlineStr">
        <is>
          <t>DBSSSGSG</t>
        </is>
      </c>
      <c r="J14" s="44" t="inlineStr">
        <is>
          <t>SAME-BIC</t>
        </is>
      </c>
      <c r="K14" s="42" t="inlineStr">
        <is>
          <t>DEMO-NOSTRO-004-PRIMARY</t>
        </is>
      </c>
      <c r="L14" s="42" t="inlineStr">
        <is>
          <t>DEMO-NOSTRO-004-PRIMARY-PRIMARY</t>
        </is>
      </c>
      <c r="M14" s="42" t="inlineStr">
        <is>
          <t>APPL-EXPORT_COLLECTION_PROCEEDS_SETTLEMENT-SGD</t>
        </is>
      </c>
      <c r="N14" s="42" t="inlineStr">
        <is>
          <t>ROUTE-SGD-DBSSSGSG</t>
        </is>
      </c>
      <c r="O14" s="43" t="inlineStr">
        <is>
          <t>SG</t>
        </is>
      </c>
      <c r="P14" s="42" t="inlineStr">
        <is>
          <t>SG_DOMESTIC</t>
        </is>
      </c>
      <c r="Q14" s="43" t="inlineStr">
        <is>
          <t>MEPS_PLUS</t>
        </is>
      </c>
      <c r="R14" s="43" t="n">
        <v>44</v>
      </c>
      <c r="S14" s="43" t="n">
        <v>39</v>
      </c>
      <c r="T14" s="42" t="inlineStr">
        <is>
          <t>SGD PROCEEDS_SETTLEMENT for DBS via DBS</t>
        </is>
      </c>
    </row>
    <row r="15" ht="37.3" customHeight="1" s="36">
      <c r="A15" s="42" t="inlineStr">
        <is>
          <t>SSI-DEMO-008</t>
        </is>
      </c>
      <c r="B15" s="42" t="inlineStr">
        <is>
          <t>DBSSSGSG</t>
        </is>
      </c>
      <c r="C15" s="43" t="inlineStr">
        <is>
          <t>SGD</t>
        </is>
      </c>
      <c r="D15" s="43" t="n">
        <v>20</v>
      </c>
      <c r="E15" s="42" t="inlineStr">
        <is>
          <t>SECONDARY</t>
        </is>
      </c>
      <c r="F15" s="61" t="inlineStr">
        <is>
          <t>alternative</t>
        </is>
      </c>
      <c r="G15" s="42" t="inlineStr">
        <is>
          <t>OCBCSGSG</t>
        </is>
      </c>
      <c r="H15" s="42" t="inlineStr">
        <is>
          <t>OCBCSGSG</t>
        </is>
      </c>
      <c r="I15" s="42" t="inlineStr">
        <is>
          <t>DBSSSGSG</t>
        </is>
      </c>
      <c r="J15" s="51" t="inlineStr">
        <is>
          <t>VIA-BIC</t>
        </is>
      </c>
      <c r="K15" s="42" t="inlineStr">
        <is>
          <t>DEMO-NOSTRO-004-SECONDARY</t>
        </is>
      </c>
      <c r="L15" s="42" t="inlineStr">
        <is>
          <t>DEMO-NOSTRO-004-SECONDARY-PRIMARY</t>
        </is>
      </c>
      <c r="M15" s="42" t="inlineStr">
        <is>
          <t>APPL-EXPORT_COLLECTION_PROCEEDS_SETTLEMENT-SGD</t>
        </is>
      </c>
      <c r="N15" s="42" t="inlineStr">
        <is>
          <t>ROUTE-SGD-OCBCSGSG</t>
        </is>
      </c>
      <c r="O15" s="43" t="inlineStr">
        <is>
          <t>SG</t>
        </is>
      </c>
      <c r="P15" s="42" t="inlineStr">
        <is>
          <t>SG_DOMESTIC</t>
        </is>
      </c>
      <c r="Q15" s="43" t="inlineStr">
        <is>
          <t>MEPS_PLUS</t>
        </is>
      </c>
      <c r="R15" s="43" t="n">
        <v>44</v>
      </c>
      <c r="S15" s="43" t="n">
        <v>39</v>
      </c>
      <c r="T15" s="42" t="inlineStr">
        <is>
          <t>SGD PROCEEDS_SETTLEMENT for DBS via OCBC</t>
        </is>
      </c>
    </row>
    <row r="16" ht="25.35" customHeight="1" s="36">
      <c r="A16" s="42" t="inlineStr">
        <is>
          <t>SSI-DEMO-009</t>
        </is>
      </c>
      <c r="B16" s="42" t="inlineStr">
        <is>
          <t>BOTKJPJT</t>
        </is>
      </c>
      <c r="C16" s="43" t="inlineStr">
        <is>
          <t>JPY</t>
        </is>
      </c>
      <c r="D16" s="43" t="n">
        <v>10</v>
      </c>
      <c r="E16" s="42" t="inlineStr">
        <is>
          <t>PRIMARY</t>
        </is>
      </c>
      <c r="F16" s="60" t="inlineStr">
        <is>
          <t>CHOSEN</t>
        </is>
      </c>
      <c r="G16" s="42" t="inlineStr">
        <is>
          <t>BOTKJPJT</t>
        </is>
      </c>
      <c r="H16" s="42" t="inlineStr">
        <is>
          <t>BOTKJPJT</t>
        </is>
      </c>
      <c r="I16" s="42" t="inlineStr">
        <is>
          <t>BOTKJPJT</t>
        </is>
      </c>
      <c r="J16" s="44" t="inlineStr">
        <is>
          <t>SAME-BIC</t>
        </is>
      </c>
      <c r="K16" s="42" t="inlineStr">
        <is>
          <t>DEMO-NOSTRO-005-PRIMARY</t>
        </is>
      </c>
      <c r="L16" s="42" t="inlineStr">
        <is>
          <t>DEMO-NOSTRO-005-PRIMARY-PRIMARY</t>
        </is>
      </c>
      <c r="M16" s="42" t="inlineStr">
        <is>
          <t>APPL-STANDBY_LC_CLAIM_PAYMENT-JPY</t>
        </is>
      </c>
      <c r="N16" s="42" t="inlineStr">
        <is>
          <t>ROUTE-JPY-BOTKJPJT</t>
        </is>
      </c>
      <c r="O16" s="43" t="inlineStr">
        <is>
          <t>JP</t>
        </is>
      </c>
      <c r="P16" s="42" t="inlineStr">
        <is>
          <t>JP_DOMESTIC</t>
        </is>
      </c>
      <c r="Q16" s="43" t="inlineStr">
        <is>
          <t>BOJ_NET</t>
        </is>
      </c>
      <c r="R16" s="43" t="n">
        <v>39</v>
      </c>
      <c r="S16" s="43" t="n">
        <v>34</v>
      </c>
      <c r="T16" s="42" t="inlineStr">
        <is>
          <t>JPY CLAIM_PAYMENT for MUFG via MUFG</t>
        </is>
      </c>
    </row>
    <row r="17" ht="25.35" customHeight="1" s="36">
      <c r="A17" s="42" t="inlineStr">
        <is>
          <t>SSI-DEMO-010</t>
        </is>
      </c>
      <c r="B17" s="42" t="inlineStr">
        <is>
          <t>BOTKJPJT</t>
        </is>
      </c>
      <c r="C17" s="43" t="inlineStr">
        <is>
          <t>JPY</t>
        </is>
      </c>
      <c r="D17" s="43" t="n">
        <v>20</v>
      </c>
      <c r="E17" s="42" t="inlineStr">
        <is>
          <t>SECONDARY</t>
        </is>
      </c>
      <c r="F17" s="61" t="inlineStr">
        <is>
          <t>alternative</t>
        </is>
      </c>
      <c r="G17" s="42" t="inlineStr">
        <is>
          <t>SMBCJPJT</t>
        </is>
      </c>
      <c r="H17" s="42" t="inlineStr">
        <is>
          <t>SMBCJPJT</t>
        </is>
      </c>
      <c r="I17" s="42" t="inlineStr">
        <is>
          <t>BOTKJPJT</t>
        </is>
      </c>
      <c r="J17" s="51" t="inlineStr">
        <is>
          <t>VIA-BIC</t>
        </is>
      </c>
      <c r="K17" s="42" t="inlineStr">
        <is>
          <t>DEMO-NOSTRO-005-SECONDARY</t>
        </is>
      </c>
      <c r="L17" s="42" t="inlineStr">
        <is>
          <t>DEMO-NOSTRO-005-SECONDARY-PRIMARY</t>
        </is>
      </c>
      <c r="M17" s="42" t="inlineStr">
        <is>
          <t>APPL-STANDBY_LC_CLAIM_PAYMENT-JPY</t>
        </is>
      </c>
      <c r="N17" s="42" t="inlineStr">
        <is>
          <t>ROUTE-JPY-SMBCJPJT</t>
        </is>
      </c>
      <c r="O17" s="43" t="inlineStr">
        <is>
          <t>JP</t>
        </is>
      </c>
      <c r="P17" s="42" t="inlineStr">
        <is>
          <t>JP_DOMESTIC</t>
        </is>
      </c>
      <c r="Q17" s="43" t="inlineStr">
        <is>
          <t>BOJ_NET</t>
        </is>
      </c>
      <c r="R17" s="43" t="n">
        <v>39</v>
      </c>
      <c r="S17" s="43" t="n">
        <v>34</v>
      </c>
      <c r="T17" s="42" t="inlineStr">
        <is>
          <t>JPY CLAIM_PAYMENT for MUFG via SMBC</t>
        </is>
      </c>
    </row>
    <row r="18" ht="37.3" customHeight="1" s="36">
      <c r="A18" s="42" t="inlineStr">
        <is>
          <t>SSI-DEMO-011</t>
        </is>
      </c>
      <c r="B18" s="42" t="inlineStr">
        <is>
          <t>HSBCHKHH</t>
        </is>
      </c>
      <c r="C18" s="43" t="inlineStr">
        <is>
          <t>HKD</t>
        </is>
      </c>
      <c r="D18" s="43" t="n">
        <v>10</v>
      </c>
      <c r="E18" s="42" t="inlineStr">
        <is>
          <t>PRIMARY</t>
        </is>
      </c>
      <c r="F18" s="60" t="inlineStr">
        <is>
          <t>CHOSEN</t>
        </is>
      </c>
      <c r="G18" s="42" t="inlineStr">
        <is>
          <t>HSBCHKHH</t>
        </is>
      </c>
      <c r="H18" s="42" t="inlineStr">
        <is>
          <t>HSBCHKHH</t>
        </is>
      </c>
      <c r="I18" s="42" t="inlineStr">
        <is>
          <t>HSBCHKHH</t>
        </is>
      </c>
      <c r="J18" s="44" t="inlineStr">
        <is>
          <t>SAME-BIC</t>
        </is>
      </c>
      <c r="K18" s="42" t="inlineStr">
        <is>
          <t>DEMO-NOSTRO-006-PRIMARY</t>
        </is>
      </c>
      <c r="L18" s="42" t="inlineStr">
        <is>
          <t>DEMO-NOSTRO-006-PRIMARY-PRIMARY</t>
        </is>
      </c>
      <c r="M18" s="42" t="inlineStr">
        <is>
          <t>APPL-DEMAND_GUARANTEE_CLAIM_PAYMENT-HKD</t>
        </is>
      </c>
      <c r="N18" s="42" t="inlineStr">
        <is>
          <t>ROUTE-HKD-HSBCHKHH</t>
        </is>
      </c>
      <c r="O18" s="43" t="inlineStr">
        <is>
          <t>HK</t>
        </is>
      </c>
      <c r="P18" s="42" t="inlineStr">
        <is>
          <t>HK_DOLLAR</t>
        </is>
      </c>
      <c r="Q18" s="43" t="inlineStr">
        <is>
          <t>HKD_CHATS</t>
        </is>
      </c>
      <c r="R18" s="43" t="n">
        <v>39</v>
      </c>
      <c r="S18" s="43" t="n">
        <v>34</v>
      </c>
      <c r="T18" s="42" t="inlineStr">
        <is>
          <t>HKD CLAIM_PAYMENT for HSBC via HSBC</t>
        </is>
      </c>
    </row>
    <row r="19" ht="37.3" customHeight="1" s="36">
      <c r="A19" s="42" t="inlineStr">
        <is>
          <t>SSI-DEMO-012</t>
        </is>
      </c>
      <c r="B19" s="42" t="inlineStr">
        <is>
          <t>HSBCHKHH</t>
        </is>
      </c>
      <c r="C19" s="43" t="inlineStr">
        <is>
          <t>HKD</t>
        </is>
      </c>
      <c r="D19" s="43" t="n">
        <v>20</v>
      </c>
      <c r="E19" s="42" t="inlineStr">
        <is>
          <t>SECONDARY</t>
        </is>
      </c>
      <c r="F19" s="61" t="inlineStr">
        <is>
          <t>alternative</t>
        </is>
      </c>
      <c r="G19" s="42" t="inlineStr">
        <is>
          <t>SCBLHKHH</t>
        </is>
      </c>
      <c r="H19" s="42" t="inlineStr">
        <is>
          <t>SCBLHKHH</t>
        </is>
      </c>
      <c r="I19" s="42" t="inlineStr">
        <is>
          <t>HSBCHKHH</t>
        </is>
      </c>
      <c r="J19" s="51" t="inlineStr">
        <is>
          <t>VIA-BIC</t>
        </is>
      </c>
      <c r="K19" s="42" t="inlineStr">
        <is>
          <t>DEMO-NOSTRO-006-SECONDARY</t>
        </is>
      </c>
      <c r="L19" s="42" t="inlineStr">
        <is>
          <t>DEMO-NOSTRO-006-SECONDARY-PRIMARY</t>
        </is>
      </c>
      <c r="M19" s="42" t="inlineStr">
        <is>
          <t>APPL-DEMAND_GUARANTEE_CLAIM_PAYMENT-HKD</t>
        </is>
      </c>
      <c r="N19" s="42" t="inlineStr">
        <is>
          <t>ROUTE-HKD-SCBLHKHH</t>
        </is>
      </c>
      <c r="O19" s="43" t="inlineStr">
        <is>
          <t>HK</t>
        </is>
      </c>
      <c r="P19" s="42" t="inlineStr">
        <is>
          <t>HK_DOLLAR</t>
        </is>
      </c>
      <c r="Q19" s="43" t="inlineStr">
        <is>
          <t>HKD_CHATS</t>
        </is>
      </c>
      <c r="R19" s="43" t="n">
        <v>39</v>
      </c>
      <c r="S19" s="43" t="n">
        <v>34</v>
      </c>
      <c r="T19" s="42" t="inlineStr">
        <is>
          <t>HKD CLAIM_PAYMENT for HSBC via SCB (HK)</t>
        </is>
      </c>
    </row>
    <row r="20" ht="37.3" customHeight="1" s="36">
      <c r="A20" s="42" t="inlineStr">
        <is>
          <t>SSI-DEMO-013</t>
        </is>
      </c>
      <c r="B20" s="42" t="inlineStr">
        <is>
          <t>BOFAUS3N</t>
        </is>
      </c>
      <c r="C20" s="43" t="inlineStr">
        <is>
          <t>AUD</t>
        </is>
      </c>
      <c r="D20" s="43" t="n">
        <v>10</v>
      </c>
      <c r="E20" s="42" t="inlineStr">
        <is>
          <t>PRIMARY</t>
        </is>
      </c>
      <c r="F20" s="60" t="inlineStr">
        <is>
          <t>CHOSEN</t>
        </is>
      </c>
      <c r="G20" s="42" t="inlineStr">
        <is>
          <t>CTBAAU2S</t>
        </is>
      </c>
      <c r="H20" s="42" t="inlineStr">
        <is>
          <t>CTBAAU2S</t>
        </is>
      </c>
      <c r="I20" s="42" t="inlineStr">
        <is>
          <t>BOFAUS3N</t>
        </is>
      </c>
      <c r="J20" s="51" t="inlineStr">
        <is>
          <t>VIA-BIC</t>
        </is>
      </c>
      <c r="K20" s="42" t="inlineStr">
        <is>
          <t>DEMO-NOSTRO-007-PRIMARY</t>
        </is>
      </c>
      <c r="L20" s="42" t="inlineStr">
        <is>
          <t>DEMO-NOSTRO-007-PRIMARY-PRIMARY</t>
        </is>
      </c>
      <c r="M20" s="42" t="inlineStr">
        <is>
          <t>APPL-LC_REIMBURSEMENT_SETTLEMENT-AUD</t>
        </is>
      </c>
      <c r="N20" s="42" t="inlineStr">
        <is>
          <t>ROUTE-AUD-CTBAAU2S</t>
        </is>
      </c>
      <c r="O20" s="43" t="inlineStr">
        <is>
          <t>AU</t>
        </is>
      </c>
      <c r="P20" s="42" t="inlineStr">
        <is>
          <t>AU_DOMESTIC</t>
        </is>
      </c>
      <c r="Q20" s="43" t="inlineStr">
        <is>
          <t>RITS</t>
        </is>
      </c>
      <c r="R20" s="43" t="n">
        <v>39</v>
      </c>
      <c r="S20" s="43" t="n">
        <v>34</v>
      </c>
      <c r="T20" s="42" t="inlineStr">
        <is>
          <t>AUD BANK_REIMBURSEMENT for BofA via CBA</t>
        </is>
      </c>
    </row>
    <row r="21" ht="37.3" customHeight="1" s="36">
      <c r="A21" s="42" t="inlineStr">
        <is>
          <t>SSI-DEMO-014</t>
        </is>
      </c>
      <c r="B21" s="42" t="inlineStr">
        <is>
          <t>BOFAUS3N</t>
        </is>
      </c>
      <c r="C21" s="43" t="inlineStr">
        <is>
          <t>AUD</t>
        </is>
      </c>
      <c r="D21" s="43" t="n">
        <v>20</v>
      </c>
      <c r="E21" s="42" t="inlineStr">
        <is>
          <t>SECONDARY</t>
        </is>
      </c>
      <c r="F21" s="61" t="inlineStr">
        <is>
          <t>alternative</t>
        </is>
      </c>
      <c r="G21" s="42" t="inlineStr">
        <is>
          <t>ANZBAU3M</t>
        </is>
      </c>
      <c r="H21" s="42" t="inlineStr">
        <is>
          <t>ANZBAU3M</t>
        </is>
      </c>
      <c r="I21" s="42" t="inlineStr">
        <is>
          <t>BOFAUS3N</t>
        </is>
      </c>
      <c r="J21" s="51" t="inlineStr">
        <is>
          <t>VIA-BIC</t>
        </is>
      </c>
      <c r="K21" s="42" t="inlineStr">
        <is>
          <t>DEMO-NOSTRO-007-SECONDARY</t>
        </is>
      </c>
      <c r="L21" s="42" t="inlineStr">
        <is>
          <t>DEMO-NOSTRO-007-SECONDARY-PRIMARY</t>
        </is>
      </c>
      <c r="M21" s="42" t="inlineStr">
        <is>
          <t>APPL-LC_REIMBURSEMENT_SETTLEMENT-AUD</t>
        </is>
      </c>
      <c r="N21" s="42" t="inlineStr">
        <is>
          <t>ROUTE-AUD-ANZBAU3M</t>
        </is>
      </c>
      <c r="O21" s="43" t="inlineStr">
        <is>
          <t>AU</t>
        </is>
      </c>
      <c r="P21" s="42" t="inlineStr">
        <is>
          <t>AU_DOMESTIC</t>
        </is>
      </c>
      <c r="Q21" s="43" t="inlineStr">
        <is>
          <t>RITS</t>
        </is>
      </c>
      <c r="R21" s="43" t="n">
        <v>39</v>
      </c>
      <c r="S21" s="43" t="n">
        <v>34</v>
      </c>
      <c r="T21" s="42" t="inlineStr">
        <is>
          <t>AUD BANK_REIMBURSEMENT for BofA via ANZ</t>
        </is>
      </c>
    </row>
    <row r="22" ht="25.35" customHeight="1" s="36">
      <c r="A22" s="42" t="inlineStr">
        <is>
          <t>SSI-DEMO-015</t>
        </is>
      </c>
      <c r="B22" s="42" t="inlineStr">
        <is>
          <t>CHASUS33</t>
        </is>
      </c>
      <c r="C22" s="43" t="inlineStr">
        <is>
          <t>CAD</t>
        </is>
      </c>
      <c r="D22" s="43" t="n">
        <v>10</v>
      </c>
      <c r="E22" s="42" t="inlineStr">
        <is>
          <t>PRIMARY</t>
        </is>
      </c>
      <c r="F22" s="60" t="inlineStr">
        <is>
          <t>CHOSEN</t>
        </is>
      </c>
      <c r="G22" s="42" t="inlineStr">
        <is>
          <t>ROYCCAT2</t>
        </is>
      </c>
      <c r="H22" s="42" t="inlineStr">
        <is>
          <t>ROYCCAT2</t>
        </is>
      </c>
      <c r="I22" s="42" t="inlineStr">
        <is>
          <t>CHASUS33</t>
        </is>
      </c>
      <c r="J22" s="51" t="inlineStr">
        <is>
          <t>VIA-BIC</t>
        </is>
      </c>
      <c r="K22" s="42" t="inlineStr">
        <is>
          <t>DEMO-NOSTRO-008-PRIMARY</t>
        </is>
      </c>
      <c r="L22" s="42" t="inlineStr">
        <is>
          <t>DEMO-NOSTRO-008-PRIMARY-PRIMARY</t>
        </is>
      </c>
      <c r="M22" s="42" t="inlineStr">
        <is>
          <t>APPL-FX_SETTLEMENT-CAD</t>
        </is>
      </c>
      <c r="N22" s="42" t="inlineStr">
        <is>
          <t>ROUTE-CAD-ROYCCAT2</t>
        </is>
      </c>
      <c r="O22" s="43" t="inlineStr">
        <is>
          <t>CA</t>
        </is>
      </c>
      <c r="P22" s="42" t="inlineStr">
        <is>
          <t>CA_DOMESTIC</t>
        </is>
      </c>
      <c r="Q22" s="43" t="inlineStr">
        <is>
          <t>LYNX</t>
        </is>
      </c>
      <c r="R22" s="43" t="n">
        <v>39</v>
      </c>
      <c r="S22" s="43" t="n">
        <v>34</v>
      </c>
      <c r="T22" s="42" t="inlineStr">
        <is>
          <t>CAD INTERBANK_SETTLEMENT for JPM via RBC</t>
        </is>
      </c>
    </row>
    <row r="23" ht="25.35" customHeight="1" s="36">
      <c r="A23" s="42" t="inlineStr">
        <is>
          <t>SSI-DEMO-016</t>
        </is>
      </c>
      <c r="B23" s="42" t="inlineStr">
        <is>
          <t>CHASUS33</t>
        </is>
      </c>
      <c r="C23" s="43" t="inlineStr">
        <is>
          <t>CAD</t>
        </is>
      </c>
      <c r="D23" s="43" t="n">
        <v>20</v>
      </c>
      <c r="E23" s="42" t="inlineStr">
        <is>
          <t>SECONDARY</t>
        </is>
      </c>
      <c r="F23" s="61" t="inlineStr">
        <is>
          <t>alternative</t>
        </is>
      </c>
      <c r="G23" s="42" t="inlineStr">
        <is>
          <t>BOFMCAM2</t>
        </is>
      </c>
      <c r="H23" s="42" t="inlineStr">
        <is>
          <t>BOFMCAM2</t>
        </is>
      </c>
      <c r="I23" s="42" t="inlineStr">
        <is>
          <t>CHASUS33</t>
        </is>
      </c>
      <c r="J23" s="51" t="inlineStr">
        <is>
          <t>VIA-BIC</t>
        </is>
      </c>
      <c r="K23" s="42" t="inlineStr">
        <is>
          <t>DEMO-NOSTRO-008-SECONDARY</t>
        </is>
      </c>
      <c r="L23" s="42" t="inlineStr">
        <is>
          <t>DEMO-NOSTRO-008-SECONDARY-PRIMARY</t>
        </is>
      </c>
      <c r="M23" s="42" t="inlineStr">
        <is>
          <t>APPL-FX_SETTLEMENT-CAD</t>
        </is>
      </c>
      <c r="N23" s="42" t="inlineStr">
        <is>
          <t>ROUTE-CAD-BOFMCAM2</t>
        </is>
      </c>
      <c r="O23" s="43" t="inlineStr">
        <is>
          <t>CA</t>
        </is>
      </c>
      <c r="P23" s="42" t="inlineStr">
        <is>
          <t>CA_DOMESTIC</t>
        </is>
      </c>
      <c r="Q23" s="43" t="inlineStr">
        <is>
          <t>LYNX</t>
        </is>
      </c>
      <c r="R23" s="43" t="n">
        <v>39</v>
      </c>
      <c r="S23" s="43" t="n">
        <v>34</v>
      </c>
      <c r="T23" s="42" t="inlineStr">
        <is>
          <t>CAD INTERBANK_SETTLEMENT for JPM via BMO</t>
        </is>
      </c>
    </row>
    <row r="24" ht="37.3" customHeight="1" s="36">
      <c r="A24" s="42" t="inlineStr">
        <is>
          <t>SSI-DEMO-021</t>
        </is>
      </c>
      <c r="B24" s="42" t="inlineStr">
        <is>
          <t>CHASUS33</t>
        </is>
      </c>
      <c r="C24" s="43" t="inlineStr">
        <is>
          <t>USD</t>
        </is>
      </c>
      <c r="D24" s="43" t="n">
        <v>10</v>
      </c>
      <c r="E24" s="42" t="inlineStr">
        <is>
          <t>PRIMARY</t>
        </is>
      </c>
      <c r="F24" s="60" t="inlineStr">
        <is>
          <t>CHOSEN</t>
        </is>
      </c>
      <c r="G24" s="42" t="inlineStr">
        <is>
          <t>CITIUS33</t>
        </is>
      </c>
      <c r="H24" s="42" t="inlineStr">
        <is>
          <t>CITIUS33</t>
        </is>
      </c>
      <c r="I24" s="42" t="inlineStr">
        <is>
          <t>CHASUS33</t>
        </is>
      </c>
      <c r="J24" s="51" t="inlineStr">
        <is>
          <t>VIA-BIC</t>
        </is>
      </c>
      <c r="K24" s="42" t="inlineStr">
        <is>
          <t>DEMO-NOSTRO-001-EXPCOLL</t>
        </is>
      </c>
      <c r="L24" s="42" t="inlineStr">
        <is>
          <t>DEMO-NOSTRO-001-EXPCOLL-PRIMARY</t>
        </is>
      </c>
      <c r="M24" s="42" t="inlineStr">
        <is>
          <t>APPL-EXPORT_COLLECTION_PROCEEDS_SETTLEMENT-USD</t>
        </is>
      </c>
      <c r="N24" s="42" t="inlineStr">
        <is>
          <t>ROUTE-USD-CITIUS33</t>
        </is>
      </c>
      <c r="O24" s="43" t="inlineStr">
        <is>
          <t>US</t>
        </is>
      </c>
      <c r="P24" s="42" t="inlineStr">
        <is>
          <t>US_DOLLAR</t>
        </is>
      </c>
      <c r="Q24" s="43" t="inlineStr">
        <is>
          <t>FEDWIRE</t>
        </is>
      </c>
      <c r="R24" s="43" t="n">
        <v>39</v>
      </c>
      <c r="S24" s="43" t="n">
        <v>34</v>
      </c>
      <c r="T24" s="42" t="inlineStr">
        <is>
          <t>USD JPM Standing Settlement Route via Citi</t>
        </is>
      </c>
    </row>
    <row r="25" ht="25.35" customHeight="1" s="36">
      <c r="A25" s="42" t="inlineStr">
        <is>
          <t>SSI-DEMO-017</t>
        </is>
      </c>
      <c r="B25" s="42" t="inlineStr">
        <is>
          <t>SCBLGB2L</t>
        </is>
      </c>
      <c r="C25" s="43" t="inlineStr">
        <is>
          <t>CHF</t>
        </is>
      </c>
      <c r="D25" s="43" t="n">
        <v>10</v>
      </c>
      <c r="E25" s="42" t="inlineStr">
        <is>
          <t>PRIMARY</t>
        </is>
      </c>
      <c r="F25" s="60" t="inlineStr">
        <is>
          <t>CHOSEN</t>
        </is>
      </c>
      <c r="G25" s="42" t="inlineStr">
        <is>
          <t>UBSWCHZH80A</t>
        </is>
      </c>
      <c r="H25" s="42" t="inlineStr">
        <is>
          <t>UBSWCHZH80A</t>
        </is>
      </c>
      <c r="I25" s="42" t="inlineStr">
        <is>
          <t>SCBLGB2L</t>
        </is>
      </c>
      <c r="J25" s="51" t="inlineStr">
        <is>
          <t>VIA-BIC</t>
        </is>
      </c>
      <c r="K25" s="42" t="inlineStr">
        <is>
          <t>DEMO-NOSTRO-009-PRIMARY</t>
        </is>
      </c>
      <c r="L25" s="42" t="inlineStr">
        <is>
          <t>DEMO-NOSTRO-009-PRIMARY-PRIMARY</t>
        </is>
      </c>
      <c r="M25" s="42" t="inlineStr">
        <is>
          <t>APPL-MONEY_MARKET_SETTLEMENT-CHF</t>
        </is>
      </c>
      <c r="N25" s="42" t="inlineStr">
        <is>
          <t>ROUTE-CHF-UBSWCHZH80A</t>
        </is>
      </c>
      <c r="O25" s="43" t="inlineStr">
        <is>
          <t>CH</t>
        </is>
      </c>
      <c r="P25" s="42" t="inlineStr">
        <is>
          <t>CH_DOMESTIC</t>
        </is>
      </c>
      <c r="Q25" s="43" t="inlineStr">
        <is>
          <t>SIC</t>
        </is>
      </c>
      <c r="R25" s="43" t="n">
        <v>39</v>
      </c>
      <c r="S25" s="43" t="n">
        <v>34</v>
      </c>
      <c r="T25" s="42" t="inlineStr">
        <is>
          <t>CHF INTERBANK_SETTLEMENT for SCB via UBS</t>
        </is>
      </c>
    </row>
    <row r="26" ht="25.35" customHeight="1" s="36">
      <c r="A26" s="42" t="inlineStr">
        <is>
          <t>SSI-DEMO-018</t>
        </is>
      </c>
      <c r="B26" s="42" t="inlineStr">
        <is>
          <t>SCBLGB2L</t>
        </is>
      </c>
      <c r="C26" s="43" t="inlineStr">
        <is>
          <t>CHF</t>
        </is>
      </c>
      <c r="D26" s="43" t="n">
        <v>20</v>
      </c>
      <c r="E26" s="42" t="inlineStr">
        <is>
          <t>SECONDARY</t>
        </is>
      </c>
      <c r="F26" s="61" t="inlineStr">
        <is>
          <t>alternative</t>
        </is>
      </c>
      <c r="G26" s="42" t="inlineStr">
        <is>
          <t>CRESCHZZ80A</t>
        </is>
      </c>
      <c r="H26" s="42" t="inlineStr">
        <is>
          <t>CRESCHZZ80A</t>
        </is>
      </c>
      <c r="I26" s="42" t="inlineStr">
        <is>
          <t>SCBLGB2L</t>
        </is>
      </c>
      <c r="J26" s="51" t="inlineStr">
        <is>
          <t>VIA-BIC</t>
        </is>
      </c>
      <c r="K26" s="42" t="inlineStr">
        <is>
          <t>DEMO-NOSTRO-009-SECONDARY</t>
        </is>
      </c>
      <c r="L26" s="42" t="inlineStr">
        <is>
          <t>DEMO-NOSTRO-009-SECONDARY-PRIMARY</t>
        </is>
      </c>
      <c r="M26" s="42" t="inlineStr">
        <is>
          <t>APPL-MONEY_MARKET_SETTLEMENT-CHF</t>
        </is>
      </c>
      <c r="N26" s="42" t="inlineStr">
        <is>
          <t>ROUTE-CHF-CRESCHZZ80A</t>
        </is>
      </c>
      <c r="O26" s="43" t="inlineStr">
        <is>
          <t>CH</t>
        </is>
      </c>
      <c r="P26" s="42" t="inlineStr">
        <is>
          <t>CH_DOMESTIC</t>
        </is>
      </c>
      <c r="Q26" s="43" t="inlineStr">
        <is>
          <t>SIC</t>
        </is>
      </c>
      <c r="R26" s="43" t="n">
        <v>39</v>
      </c>
      <c r="S26" s="43" t="n">
        <v>34</v>
      </c>
      <c r="T26" s="42" t="inlineStr">
        <is>
          <t>CHF INTERBANK_SETTLEMENT for SCB via CS</t>
        </is>
      </c>
    </row>
    <row r="27" ht="25.35" customHeight="1" s="36">
      <c r="A27" s="42" t="inlineStr">
        <is>
          <t>SSI-DEMO-019</t>
        </is>
      </c>
      <c r="B27" s="42" t="inlineStr">
        <is>
          <t>BNPAFRPP</t>
        </is>
      </c>
      <c r="C27" s="43" t="inlineStr">
        <is>
          <t>CNY</t>
        </is>
      </c>
      <c r="D27" s="43" t="n">
        <v>10</v>
      </c>
      <c r="E27" s="42" t="inlineStr">
        <is>
          <t>PRIMARY</t>
        </is>
      </c>
      <c r="F27" s="60" t="inlineStr">
        <is>
          <t>CHOSEN</t>
        </is>
      </c>
      <c r="G27" s="42" t="inlineStr">
        <is>
          <t>BKCHCNBJ</t>
        </is>
      </c>
      <c r="H27" s="42" t="inlineStr">
        <is>
          <t>BKCHCNBJ</t>
        </is>
      </c>
      <c r="I27" s="42" t="inlineStr">
        <is>
          <t>BNPAFRPP</t>
        </is>
      </c>
      <c r="J27" s="51" t="inlineStr">
        <is>
          <t>VIA-BIC</t>
        </is>
      </c>
      <c r="K27" s="42" t="inlineStr">
        <is>
          <t>DEMO-NOSTRO-010-PRIMARY</t>
        </is>
      </c>
      <c r="L27" s="42" t="inlineStr">
        <is>
          <t>DEMO-NOSTRO-010-PRIMARY-PRIMARY</t>
        </is>
      </c>
      <c r="M27" s="42" t="inlineStr">
        <is>
          <t>APPL-CUSTOMER_CREDIT_TRANSFER-CNY</t>
        </is>
      </c>
      <c r="N27" s="42" t="inlineStr">
        <is>
          <t>ROUTE-CNY-BKCHCNBJ</t>
        </is>
      </c>
      <c r="O27" s="43" t="inlineStr">
        <is>
          <t>CN</t>
        </is>
      </c>
      <c r="P27" s="42" t="inlineStr">
        <is>
          <t>ONSHORE_CN</t>
        </is>
      </c>
      <c r="Q27" s="43" t="inlineStr">
        <is>
          <t>CIPS</t>
        </is>
      </c>
      <c r="R27" s="43" t="n">
        <v>44</v>
      </c>
      <c r="S27" s="43" t="n">
        <v>39</v>
      </c>
      <c r="T27" s="42" t="inlineStr">
        <is>
          <t>CNY CUSTOMER_TRANSFER for BNP via Bank of China</t>
        </is>
      </c>
    </row>
    <row r="28" ht="25.35" customHeight="1" s="36">
      <c r="A28" s="42" t="inlineStr">
        <is>
          <t>SSI-DEMO-020</t>
        </is>
      </c>
      <c r="B28" s="42" t="inlineStr">
        <is>
          <t>BNPAFRPP</t>
        </is>
      </c>
      <c r="C28" s="43" t="inlineStr">
        <is>
          <t>CNY</t>
        </is>
      </c>
      <c r="D28" s="43" t="n">
        <v>20</v>
      </c>
      <c r="E28" s="42" t="inlineStr">
        <is>
          <t>SECONDARY</t>
        </is>
      </c>
      <c r="F28" s="61" t="inlineStr">
        <is>
          <t>alternative</t>
        </is>
      </c>
      <c r="G28" s="42" t="inlineStr">
        <is>
          <t>HSBCHKHH</t>
        </is>
      </c>
      <c r="H28" s="42" t="inlineStr">
        <is>
          <t>HSBCHKHH</t>
        </is>
      </c>
      <c r="I28" s="42" t="inlineStr">
        <is>
          <t>BNPAFRPP</t>
        </is>
      </c>
      <c r="J28" s="51" t="inlineStr">
        <is>
          <t>VIA-BIC</t>
        </is>
      </c>
      <c r="K28" s="42" t="inlineStr">
        <is>
          <t>DEMO-NOSTRO-010-SECONDARY</t>
        </is>
      </c>
      <c r="L28" s="42" t="inlineStr">
        <is>
          <t>DEMO-NOSTRO-010-SECONDARY-PRIMARY</t>
        </is>
      </c>
      <c r="M28" s="42" t="inlineStr">
        <is>
          <t>APPL-CUSTOMER_CREDIT_TRANSFER-CNY</t>
        </is>
      </c>
      <c r="N28" s="42" t="inlineStr">
        <is>
          <t>ROUTE-CNY-HSBCHKHH</t>
        </is>
      </c>
      <c r="O28" s="43" t="inlineStr">
        <is>
          <t>HK</t>
        </is>
      </c>
      <c r="P28" s="42" t="inlineStr">
        <is>
          <t>OFFSHORE_RENMINBI_HK</t>
        </is>
      </c>
      <c r="Q28" s="43" t="inlineStr">
        <is>
          <t>RMB_CHATS</t>
        </is>
      </c>
      <c r="R28" s="43" t="n">
        <v>44</v>
      </c>
      <c r="S28" s="43" t="n">
        <v>39</v>
      </c>
      <c r="T28" s="42" t="inlineStr">
        <is>
          <t>CNY CUSTOMER_TRANSFER for BNP via HSBC</t>
        </is>
      </c>
    </row>
    <row r="29" ht="25.35" customHeight="1" s="36">
      <c r="A29" s="42" t="inlineStr">
        <is>
          <t>SSI-DEMO-041</t>
        </is>
      </c>
      <c r="B29" s="42" t="inlineStr">
        <is>
          <t>NSSIUSN1</t>
        </is>
      </c>
      <c r="C29" s="43" t="inlineStr">
        <is>
          <t>USD</t>
        </is>
      </c>
      <c r="D29" s="43" t="n">
        <v>10</v>
      </c>
      <c r="E29" s="42" t="inlineStr">
        <is>
          <t>PRIMARY</t>
        </is>
      </c>
      <c r="F29" s="60" t="inlineStr">
        <is>
          <t>CHOSEN</t>
        </is>
      </c>
      <c r="G29" s="42" t="inlineStr">
        <is>
          <t>CITIUS33</t>
        </is>
      </c>
      <c r="H29" s="42" t="inlineStr">
        <is>
          <t>CITIUS33</t>
        </is>
      </c>
      <c r="I29" s="42" t="inlineStr">
        <is>
          <t>NSSIUSN1</t>
        </is>
      </c>
      <c r="J29" s="51" t="inlineStr">
        <is>
          <t>VIA-BIC</t>
        </is>
      </c>
      <c r="K29" s="42" t="inlineStr">
        <is>
          <t>DEMO-NORTHSTAR-USD-001</t>
        </is>
      </c>
      <c r="L29" s="42" t="inlineStr">
        <is>
          <t>DEMO-NORTHSTAR-USD-001-PRIMARY</t>
        </is>
      </c>
      <c r="M29" s="42" t="inlineStr">
        <is>
          <t>APPL-NORTHSTAR-USD</t>
        </is>
      </c>
      <c r="N29" s="42" t="inlineStr">
        <is>
          <t>ROUTE-USD-CITIUS33-NORTHSTAR</t>
        </is>
      </c>
      <c r="O29" s="43" t="inlineStr">
        <is>
          <t>US</t>
        </is>
      </c>
      <c r="P29" s="42" t="inlineStr">
        <is>
          <t>US_DOLLAR</t>
        </is>
      </c>
      <c r="Q29" s="43" t="inlineStr">
        <is>
          <t>FEDWIRE</t>
        </is>
      </c>
      <c r="R29" s="43" t="n">
        <v>14</v>
      </c>
      <c r="S29" s="43" t="n">
        <v>9</v>
      </c>
      <c r="T29" s="42" t="inlineStr">
        <is>
          <t>Northstar Limited USD Settlement via Citi</t>
        </is>
      </c>
    </row>
    <row r="30" ht="25.35" customHeight="1" s="36">
      <c r="A30" s="42" t="inlineStr">
        <is>
          <t>SSI-DEMO-042</t>
        </is>
      </c>
      <c r="B30" s="42" t="inlineStr">
        <is>
          <t>NSSIUSN1</t>
        </is>
      </c>
      <c r="C30" s="43" t="inlineStr">
        <is>
          <t>GBP</t>
        </is>
      </c>
      <c r="D30" s="43" t="n">
        <v>10</v>
      </c>
      <c r="E30" s="42" t="inlineStr">
        <is>
          <t>PRIMARY</t>
        </is>
      </c>
      <c r="F30" s="60" t="inlineStr">
        <is>
          <t>CHOSEN</t>
        </is>
      </c>
      <c r="G30" s="42" t="inlineStr">
        <is>
          <t>BARCGB22</t>
        </is>
      </c>
      <c r="H30" s="42" t="inlineStr">
        <is>
          <t>BARCGB22</t>
        </is>
      </c>
      <c r="I30" s="42" t="inlineStr">
        <is>
          <t>NSSIUSN1</t>
        </is>
      </c>
      <c r="J30" s="51" t="inlineStr">
        <is>
          <t>VIA-BIC</t>
        </is>
      </c>
      <c r="K30" s="42" t="inlineStr">
        <is>
          <t>DEMO-NORTHSTAR-GBP-001</t>
        </is>
      </c>
      <c r="L30" s="42" t="inlineStr">
        <is>
          <t>DEMO-NORTHSTAR-GBP-001-PRIMARY</t>
        </is>
      </c>
      <c r="M30" s="42" t="inlineStr">
        <is>
          <t>APPL-NORTHSTAR-GBP</t>
        </is>
      </c>
      <c r="N30" s="42" t="inlineStr">
        <is>
          <t>ROUTE-GBP-BARCGB22-NORTHSTAR</t>
        </is>
      </c>
      <c r="O30" s="43" t="inlineStr">
        <is>
          <t>GB</t>
        </is>
      </c>
      <c r="P30" s="42" t="inlineStr">
        <is>
          <t>GB_STERLING</t>
        </is>
      </c>
      <c r="Q30" s="43" t="inlineStr">
        <is>
          <t>CHAPS</t>
        </is>
      </c>
      <c r="R30" s="43" t="n">
        <v>14</v>
      </c>
      <c r="S30" s="43" t="n">
        <v>9</v>
      </c>
      <c r="T30" s="42" t="inlineStr">
        <is>
          <t>Northstar Limited GBP Settlement via Barclays</t>
        </is>
      </c>
    </row>
    <row r="31">
      <c r="A31" s="38" t="n"/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</row>
    <row r="32" ht="17.15" customHeight="1" s="36">
      <c r="A32" s="54" t="inlineStr">
        <is>
          <t>資料事實（實測自 live DB，非文件自述）</t>
        </is>
      </c>
      <c r="B32" s="38" t="n"/>
      <c r="C32" s="38" t="n"/>
      <c r="D32" s="38" t="n"/>
      <c r="E32" s="38" t="n"/>
      <c r="F32" s="38" t="n"/>
      <c r="G32" s="38" t="n"/>
      <c r="H32" s="38" t="n"/>
      <c r="I32" s="38" t="n"/>
      <c r="J32" s="38" t="n"/>
      <c r="K32" s="38" t="n"/>
      <c r="L32" s="38" t="n"/>
      <c r="M32" s="38" t="n"/>
      <c r="N32" s="38" t="n"/>
      <c r="O32" s="38" t="n"/>
      <c r="P32" s="38" t="n"/>
      <c r="Q32" s="38" t="n"/>
      <c r="R32" s="38" t="n"/>
      <c r="S32" s="38" t="n"/>
      <c r="T32" s="38" t="n"/>
    </row>
    <row r="33" ht="42" customHeight="1" s="36">
      <c r="A33" s="59" t="inlineStr">
        <is>
          <t>1. 全部 26 筆的 accountWithBic 與 actualReceiverBic 完全相等，無一例外。因此 MTMX-57A-01 的省略條件在本資料集恆成立，57A 一律省略 —— 它不是鑑別點。唯有 CREDIT_ONE_OF_SEVERAL_AT_57A 情境能驗證明示不省略的路徑。</t>
        </is>
      </c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</row>
    <row r="34" ht="42" customHeight="1" s="36">
      <c r="A34" s="59" t="inlineStr">
        <is>
          <t>2. actualReceiverBic 與 counterpartyBic 不同者共 18 筆（26 筆中）。此欄即 DEF-001 是否現形的決定因素。</t>
        </is>
      </c>
      <c r="B34" s="38" t="n"/>
      <c r="C34" s="38" t="n"/>
      <c r="D34" s="38" t="n"/>
      <c r="E34" s="38" t="n"/>
      <c r="F34" s="38" t="n"/>
      <c r="G34" s="38" t="n"/>
      <c r="H34" s="38" t="n"/>
      <c r="I34" s="38" t="n"/>
      <c r="J34" s="38" t="n"/>
      <c r="K34" s="38" t="n"/>
      <c r="L34" s="38" t="n"/>
      <c r="M34" s="38" t="n"/>
      <c r="N34" s="38" t="n"/>
      <c r="O34" s="38" t="n"/>
      <c r="P34" s="38" t="n"/>
      <c r="Q34" s="38" t="n"/>
      <c r="R34" s="38" t="n"/>
      <c r="S34" s="38" t="n"/>
      <c r="T34" s="38" t="n"/>
    </row>
    <row r="35" ht="42" customHeight="1" s="36">
      <c r="A35" s="59" t="inlineStr">
        <is>
          <t>3. SSI-DEMO-002／006／020 的 accountReference 各對應 4 筆 ACTIVE Nostro（兩個 servicer × PRIMARY/BACKUP），幣別、purpose、生效日完全相同，唯有以 servicer（= 該 SSI 的 accountWithBic）篩選才能唯一決定。若實作只做 accountReference + PRIMARY 會取到錯誤 servicer 的帳戶。</t>
        </is>
      </c>
      <c r="B35" s="38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8" t="n"/>
      <c r="O35" s="38" t="n"/>
      <c r="P35" s="38" t="n"/>
      <c r="Q35" s="38" t="n"/>
      <c r="R35" s="38" t="n"/>
      <c r="S35" s="38" t="n"/>
      <c r="T35" s="38" t="n"/>
    </row>
    <row r="36" ht="42" customHeight="1" s="36">
      <c r="A36" s="59" t="inlineStr">
        <is>
          <t>4. SSI-DEMO-005／035 的 settlementCountry 為萬用值 ANY，是全表唯一使用萬用值者。</t>
        </is>
      </c>
      <c r="B36" s="38" t="n"/>
      <c r="C36" s="38" t="n"/>
      <c r="D36" s="38" t="n"/>
      <c r="E36" s="38" t="n"/>
      <c r="F36" s="38" t="n"/>
      <c r="G36" s="38" t="n"/>
      <c r="H36" s="38" t="n"/>
      <c r="I36" s="38" t="n"/>
      <c r="J36" s="38" t="n"/>
      <c r="K36" s="38" t="n"/>
      <c r="L36" s="38" t="n"/>
      <c r="M36" s="38" t="n"/>
      <c r="N36" s="38" t="n"/>
      <c r="O36" s="38" t="n"/>
      <c r="P36" s="38" t="n"/>
      <c r="Q36" s="38" t="n"/>
      <c r="R36" s="38" t="n"/>
      <c r="S36" s="38" t="n"/>
      <c r="T36" s="38" t="n"/>
    </row>
    <row r="37" ht="42" customHeight="1" s="36">
      <c r="A37" s="59" t="inlineStr">
        <is>
          <t>5. SSI-DEMO-004 的 counterpartyBic 為 BARCGB22 而 accountWithBic 為 SCBLGB2L，是「Barclays 經 Standard Chartered 代理」的合法路由，非資料矛盾。</t>
        </is>
      </c>
      <c r="B37" s="38" t="n"/>
      <c r="C37" s="38" t="n"/>
      <c r="D37" s="38" t="n"/>
      <c r="E37" s="38" t="n"/>
      <c r="F37" s="38" t="n"/>
      <c r="G37" s="38" t="n"/>
      <c r="H37" s="38" t="n"/>
      <c r="I37" s="38" t="n"/>
      <c r="J37" s="38" t="n"/>
      <c r="K37" s="38" t="n"/>
      <c r="L37" s="38" t="n"/>
      <c r="M37" s="38" t="n"/>
      <c r="N37" s="38" t="n"/>
      <c r="O37" s="38" t="n"/>
      <c r="P37" s="38" t="n"/>
      <c r="Q37" s="38" t="n"/>
      <c r="R37" s="38" t="n"/>
      <c r="S37" s="38" t="n"/>
      <c r="T37" s="38" t="n"/>
    </row>
    <row r="38" ht="42" customHeight="1" s="36">
      <c r="A38" s="59" t="inlineStr">
        <is>
          <t>6. applicabilityProfileId 僅供對照，不得由其名稱推論 applicability 是否相符；applicability 以 ssi_applicability 表與 BA 裁決為準。</t>
        </is>
      </c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</row>
  </sheetData>
  <mergeCells count="6">
    <mergeCell ref="A38:L38"/>
    <mergeCell ref="A33:L33"/>
    <mergeCell ref="A37:L37"/>
    <mergeCell ref="A36:L36"/>
    <mergeCell ref="A34:L34"/>
    <mergeCell ref="A35:L3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35" min="1" max="1"/>
    <col width="14" customWidth="1" style="35" min="2" max="2"/>
    <col width="30" customWidth="1" style="35" min="3" max="3"/>
    <col width="10" customWidth="1" style="35" min="4" max="4"/>
    <col width="58" customWidth="1" style="35" min="5" max="5"/>
    <col width="44" customWidth="1" style="35" min="6" max="6"/>
    <col width="22" customWidth="1" style="35" min="7" max="7"/>
    <col width="12" customWidth="1" style="35" min="8" max="8"/>
  </cols>
  <sheetData>
    <row r="1" ht="18.55" customHeight="1" s="36">
      <c r="A1" s="62" t="inlineStr">
        <is>
          <t>已知缺陷、阻斷項與覆核更正</t>
        </is>
      </c>
      <c r="B1" s="38" t="n"/>
      <c r="C1" s="38" t="n"/>
      <c r="D1" s="38" t="n"/>
      <c r="E1" s="38" t="n"/>
      <c r="F1" s="38" t="n"/>
      <c r="G1" s="38" t="n"/>
      <c r="H1" s="38" t="n"/>
    </row>
    <row r="2" ht="17.15" customHeight="1" s="36">
      <c r="A2" s="39" t="inlineStr">
        <is>
          <t>缺陷以原始 DB 查詢為證，未以截圖做字元級比對。</t>
        </is>
      </c>
      <c r="B2" s="38" t="n"/>
      <c r="C2" s="38" t="n"/>
      <c r="D2" s="38" t="n"/>
      <c r="E2" s="38" t="n"/>
      <c r="F2" s="38" t="n"/>
      <c r="G2" s="38" t="n"/>
      <c r="H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</row>
    <row r="4" ht="33.75" customHeight="1" s="36">
      <c r="A4" s="40" t="inlineStr">
        <is>
          <t>編號</t>
        </is>
      </c>
      <c r="B4" s="40" t="inlineStr">
        <is>
          <t>類別</t>
        </is>
      </c>
      <c r="C4" s="40" t="inlineStr">
        <is>
          <t>標題</t>
        </is>
      </c>
      <c r="D4" s="40" t="inlineStr">
        <is>
          <t>嚴重度</t>
        </is>
      </c>
      <c r="E4" s="40" t="inlineStr">
        <is>
          <t>證據</t>
        </is>
      </c>
      <c r="F4" s="40" t="inlineStr">
        <is>
          <t>預期正確行為</t>
        </is>
      </c>
      <c r="G4" s="40" t="inlineStr">
        <is>
          <t>影響案例</t>
        </is>
      </c>
      <c r="H4" s="40" t="inlineStr">
        <is>
          <t>狀態</t>
        </is>
      </c>
    </row>
    <row r="5" ht="75.75" customHeight="1" s="36">
      <c r="A5" s="42" t="inlineStr">
        <is>
          <t>DEF-001</t>
        </is>
      </c>
      <c r="B5" s="46" t="inlineStr">
        <is>
          <t>解析缺陷</t>
        </is>
      </c>
      <c r="C5" s="42" t="inlineStr">
        <is>
          <t>instructedAgent 取用 counterparty BIC 而非 SSI 的 actualReceiverBic</t>
        </is>
      </c>
      <c r="D5" s="63" t="inlineStr">
        <is>
          <t>High</t>
        </is>
      </c>
      <c r="E5" s="42" t="inlineStr">
        <is>
          <t>live DB 中 SSI-DEMO-021 自 v15 至 v39（ACTIVE）每一版的 actualReceiverBic 與 accountWithBic 皆為 CITIUS33、beneficiaryBic 為 CHASUS33；Nostro DEMO-NOSTRO-001-EXPCOLL-PRIMARY 的 accountServicerBic 為 CITIUS33。畫面 roleProvenance 宣稱 instructedAgent 的 sourceField 為 actualReceiverBic，顯示值卻為 CHASUS33 —— 值與其宣告來源不符。</t>
        </is>
      </c>
      <c r="F5" s="42" t="inlineStr">
        <is>
          <t>instructedAgent 應等於 chosen SSI 的 actualReceiverBic；beneficiaryInstitution 取 beneficiaryBic；creditor 由 REQUEST_PASS_THROUGH 帶入。同時 SttlmMtd=INDA 必須與 SttlmAcct 所屬 servicer 一致。</t>
        </is>
      </c>
      <c r="G5" s="42" t="inlineStr">
        <is>
          <t>16 案（8 組 VIA-BIC × MT202／MT205）</t>
        </is>
      </c>
      <c r="H5" s="43" t="inlineStr">
        <is>
          <t>OPEN</t>
        </is>
      </c>
    </row>
    <row r="6" ht="75.75" customHeight="1" s="36">
      <c r="A6" s="42" t="inlineStr">
        <is>
          <t>DEF-002</t>
        </is>
      </c>
      <c r="B6" s="46" t="inlineStr">
        <is>
          <t>情境 fixture</t>
        </is>
      </c>
      <c r="C6" s="42" t="inlineStr">
        <is>
          <t>BOOK_TRANSFER_SAME_RECEIVER 借貸兩腳跨幣別且非同一收款行</t>
        </is>
      </c>
      <c r="D6" s="63" t="inlineStr">
        <is>
          <t>High</t>
        </is>
      </c>
      <c r="E6" s="46" t="inlineStr">
        <is>
          <t>情境 context 借記 OWN-EUR-NOSTRO-002（EUR）、貸記 OWN-USD-NOSTRO-001（USD）；交易幣別 USD。兩帳戶分屬不同 nostro 家族。解析出的 SttlmAcct 為 DEMO-NOSTRO-001-EXPCOLL-PRIMARY，非畫面上任一自有帳戶。</t>
        </is>
      </c>
      <c r="F6" s="42" t="inlineStr">
        <is>
          <t>book transfer 必須同幣別，且兩個自有帳戶須持有於同一收款行。情境的 own debit／own credit 應實際參與解析或明確標示為僅供顯示。</t>
        </is>
      </c>
      <c r="G6" s="42" t="inlineStr">
        <is>
          <t>2 案（情境專項 SC-01／SC-02）</t>
        </is>
      </c>
      <c r="H6" s="43" t="inlineStr">
        <is>
          <t>OPEN</t>
        </is>
      </c>
    </row>
    <row r="7" ht="75.75" customHeight="1" s="36">
      <c r="A7" s="42" t="inlineStr">
        <is>
          <t>Q-001</t>
        </is>
      </c>
      <c r="B7" s="46" t="inlineStr">
        <is>
          <t>待裁定</t>
        </is>
      </c>
      <c r="C7" s="42" t="inlineStr">
        <is>
          <t>BOOK_TRANSFER 情境的 Resolution Domain 與 58a 來源</t>
        </is>
      </c>
      <c r="D7" s="64" t="inlineStr">
        <is>
          <t>Medium</t>
        </is>
      </c>
      <c r="E7" s="46" t="inlineStr">
        <is>
          <t>情境為自有帳戶間移轉，但 Resolution Domain 顯示 COUNTERPARTY_SSI，且 58a 解析為對手行。依 MT2xx Scope，自有帳戶移轉屬 OWN_SSI_NOSTRO 域；MT202 的 58a own-account 例外是填本行自己，非對手行。</t>
        </is>
      </c>
      <c r="F7" s="46" t="inlineStr">
        <is>
          <t>由 BA 裁定：本情境應走哪個 domain，58a 應取本行或對手行。</t>
        </is>
      </c>
      <c r="G7" s="46" t="inlineStr">
        <is>
          <t>同 DEF-002</t>
        </is>
      </c>
      <c r="H7" s="65" t="inlineStr">
        <is>
          <t>待 BA</t>
        </is>
      </c>
    </row>
    <row r="8" ht="75.75" customHeight="1" s="36">
      <c r="A8" s="42" t="inlineStr">
        <is>
          <t>Q-002</t>
        </is>
      </c>
      <c r="B8" s="46" t="inlineStr">
        <is>
          <t>待裁定</t>
        </is>
      </c>
      <c r="C8" s="42" t="inlineStr">
        <is>
          <t>NSSIUSN1 兩組是否納入 UAT 範圍</t>
        </is>
      </c>
      <c r="D8" s="64" t="inlineStr">
        <is>
          <t>Medium</t>
        </is>
      </c>
      <c r="E8" s="42" t="inlineStr">
        <is>
          <t>SSI-DEMO-041／042（sampleSet=DEMO-LIMITED-COVERAGE）為合法且可成功解析的 MT202 路由，但不在受控 UAT 矩陣的 12 組內。</t>
        </is>
      </c>
      <c r="F8" s="46" t="inlineStr">
        <is>
          <t>納入則分母由 48 改為 56；排除則須於受控文件登錄排除理由。</t>
        </is>
      </c>
      <c r="G8" s="42" t="inlineStr">
        <is>
          <t>8 案（第 13／14 列）</t>
        </is>
      </c>
      <c r="H8" s="65" t="inlineStr">
        <is>
          <t>待 BA</t>
        </is>
      </c>
    </row>
    <row r="9" ht="75.75" customHeight="1" s="36">
      <c r="A9" s="42" t="inlineStr">
        <is>
          <t>ENV-001</t>
        </is>
      </c>
      <c r="B9" s="46" t="inlineStr">
        <is>
          <t>環境</t>
        </is>
      </c>
      <c r="C9" s="42" t="inlineStr">
        <is>
          <t>live demo DB 已與受控 snapshot 脫鉤</t>
        </is>
      </c>
      <c r="D9" s="64" t="inlineStr">
        <is>
          <t>Medium</t>
        </is>
      </c>
      <c r="E9" s="42" t="inlineStr">
        <is>
          <t>live：SSI 總列 254；snapshot：228。ACTIVE 42／159 與 14 組分組、1 組平手皆相同，但所有版本號 +5、UUID 全換（例：SSI-DEMO-021 v34→v39）。</t>
        </is>
      </c>
      <c r="F9" s="42" t="inlineStr">
        <is>
          <t>UAT 執行前決定綁定對象。建議綁受控 snapshot 以確保可重現，並於每案記錄畫面回傳的 PREVIEW SNAPSHOT SHA-256 與受控值比對。</t>
        </is>
      </c>
      <c r="G9" s="46" t="inlineStr">
        <is>
          <t>全部 56 案</t>
        </is>
      </c>
      <c r="H9" s="65" t="inlineStr">
        <is>
          <t>待決</t>
        </is>
      </c>
    </row>
    <row r="10" ht="75.75" customHeight="1" s="36">
      <c r="A10" s="42" t="inlineStr">
        <is>
          <t>UI-STALE-01</t>
        </is>
      </c>
      <c r="B10" s="46" t="inlineStr">
        <is>
          <t>既有 BLOCKER</t>
        </is>
      </c>
      <c r="C10" s="46" t="inlineStr">
        <is>
          <t>改動 resolver input 後舊結果未即時失效</t>
        </is>
      </c>
      <c r="D10" s="63" t="inlineStr">
        <is>
          <t>High</t>
        </is>
      </c>
      <c r="E10" s="42" t="inlineStr">
        <is>
          <t>v15 起列為 CONFIRMED BLOCKER。改幣別後右側舊結果須立即清除或標為 stale，不得等按 Preview 才更新；遲到的舊回應不得回填畫面。</t>
        </is>
      </c>
      <c r="F10" s="46" t="inlineStr">
        <is>
          <t>輸入變更當下即失效；新 Preview 以新幣別解析並 fail closed。</t>
        </is>
      </c>
      <c r="G10" s="46" t="inlineStr">
        <is>
          <t>建議於第 1／3 列切換時各驗一次</t>
        </is>
      </c>
      <c r="H10" s="43" t="inlineStr">
        <is>
          <t>OPEN</t>
        </is>
      </c>
    </row>
    <row r="11" ht="75.75" customHeight="1" s="36">
      <c r="A11" s="42" t="inlineStr">
        <is>
          <t>DG-COV-PROFILE</t>
        </is>
      </c>
      <c r="B11" s="42" t="inlineStr">
        <is>
          <t>OPEN BLOCKER</t>
        </is>
      </c>
      <c r="C11" s="42" t="inlineStr">
        <is>
          <t>COV canonical key 在 SSI 主檔與 catalogue 兩端皆無來源</t>
        </is>
      </c>
      <c r="D11" s="63" t="inlineStr">
        <is>
          <t>High</t>
        </is>
      </c>
      <c r="E11" s="42" t="inlineStr">
        <is>
          <t>42 筆 ACTIVE SSI 中 businessService 欄位 0 筆、結構化 COV 標記 0 筆、messageTypes 含 .COV token 0 筆；catalogue MX 僅 3 列且使用 pacs.009.001.12.COV 後綴形式。</t>
        </is>
      </c>
      <c r="F11" s="46" t="inlineStr">
        <is>
          <t>補 SSI 的 businessService 與具名 COV allow-list，並將 catalogue 正規化為 (pacs.009.001.08, businessService)。關閉後須重跑全量 top-rank tie scan。</t>
        </is>
      </c>
      <c r="G11" s="42" t="inlineStr">
        <is>
          <t>28 案（全部 COV）</t>
        </is>
      </c>
      <c r="H11" s="43" t="inlineStr">
        <is>
          <t>OPEN</t>
        </is>
      </c>
    </row>
    <row r="12" ht="75.75" customHeight="1" s="36">
      <c r="A12" s="42" t="inlineStr">
        <is>
          <t>CORR-001</t>
        </is>
      </c>
      <c r="B12" s="46" t="inlineStr">
        <is>
          <t>覆核更正</t>
        </is>
      </c>
      <c r="C12" s="46" t="inlineStr">
        <is>
          <t>撤回「DEF-001 會導致 57A 被錯誤省略」之推論</t>
        </is>
      </c>
      <c r="D12" s="66" t="inlineStr">
        <is>
          <t>—</t>
        </is>
      </c>
      <c r="E12" s="42" t="inlineStr">
        <is>
          <t>MTMX-57A-01 的條件是 accountWithBic 等於 actualReceiverBic。實測 26 筆該等式恆成立，故 57A 在本資料集一律省略，並非 DEF-001 造成。</t>
        </is>
      </c>
      <c r="F12" s="42" t="inlineStr">
        <is>
          <t>DEF-001 的實際傷害改述為：instructedAgent 錯誤將使 MT202 送往錯誤收報行，且與 SttlmMtd=INDA 所宣告的帳戶持有行不一致。</t>
        </is>
      </c>
      <c r="G12" s="42" t="inlineStr">
        <is>
          <t>—</t>
        </is>
      </c>
      <c r="H12" s="65" t="inlineStr">
        <is>
          <t>已更正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35" min="1" max="1"/>
    <col width="28" customWidth="1" style="35" min="2" max="2"/>
    <col width="92" customWidth="1" style="35" min="3" max="3"/>
  </cols>
  <sheetData>
    <row r="1" ht="23.1" customHeight="1" s="36">
      <c r="A1" s="37" t="inlineStr">
        <is>
          <t>UI 輸入指引與判讀規則</t>
        </is>
      </c>
      <c r="B1" s="38" t="n"/>
      <c r="C1" s="38" t="n"/>
    </row>
    <row r="2" ht="15" customHeight="1" s="36">
      <c r="A2" s="39" t="inlineStr">
        <is>
          <t>依畫面欄位順序。黃底為最常造成假陽性之處。</t>
        </is>
      </c>
      <c r="B2" s="38" t="n"/>
      <c r="C2" s="38" t="n"/>
    </row>
    <row r="3">
      <c r="A3" s="38" t="n"/>
      <c r="B3" s="38" t="n"/>
      <c r="C3" s="38" t="n"/>
    </row>
    <row r="4" ht="33.75" customHeight="1" s="36">
      <c r="A4" s="40" t="inlineStr">
        <is>
          <t>畫面欄位</t>
        </is>
      </c>
      <c r="B4" s="40" t="inlineStr">
        <is>
          <t>本清單填法</t>
        </is>
      </c>
      <c r="C4" s="40" t="inlineStr">
        <is>
          <t>說明</t>
        </is>
      </c>
    </row>
    <row r="5" ht="43.5" customHeight="1" s="36">
      <c r="A5" s="46" t="inlineStr">
        <is>
          <t>輸出格式分頁</t>
        </is>
      </c>
      <c r="B5" s="42" t="inlineStr">
        <is>
          <t>MX — pacs.009.001.08</t>
        </is>
      </c>
      <c r="C5" s="42" t="inlineStr">
        <is>
          <t>SSI 只以 MX 執行 Resolution 與 RMA；選 MT 分頁僅回覆適用的 5x Tags，不改變 route、RMA 或 snapshot。</t>
        </is>
      </c>
    </row>
    <row r="6" ht="43.5" customHeight="1" s="36">
      <c r="A6" s="42" t="inlineStr">
        <is>
          <t>Counterparty</t>
        </is>
      </c>
      <c r="B6" s="46" t="inlineStr">
        <is>
          <t>依清單</t>
        </is>
      </c>
      <c r="C6" s="46" t="inlineStr">
        <is>
          <t>解析主鍵。「SSI Record Available」只代表找到 Active SSI，不代表 eligible；eligible 由 API Resolution 判定。</t>
        </is>
      </c>
    </row>
    <row r="7" ht="43.5" customHeight="1" s="36">
      <c r="A7" s="42" t="inlineStr">
        <is>
          <t>Currency</t>
        </is>
      </c>
      <c r="B7" s="46" t="inlineStr">
        <is>
          <t>依清單</t>
        </is>
      </c>
      <c r="C7" s="46" t="inlineStr">
        <is>
          <t>硬過濾。改動後右側舊結果須立即失效（UI-STALE-01）。</t>
        </is>
      </c>
    </row>
    <row r="8" ht="43.5" customHeight="1" s="36">
      <c r="A8" s="42" t="inlineStr">
        <is>
          <t>Booking Branch / Entity</t>
        </is>
      </c>
      <c r="B8" s="42" t="inlineStr">
        <is>
          <t>HK01 · Hong Kong Branch</t>
        </is>
      </c>
      <c r="C8" s="46" t="inlineStr">
        <is>
          <t>全部 42 筆 ACTIVE SSI 的 bookingEntity 均為 HK01；換分行一律解析不到。</t>
        </is>
      </c>
    </row>
    <row r="9" ht="43.5" customHeight="1" s="36">
      <c r="A9" s="67" t="inlineStr">
        <is>
          <t>Settlement Country</t>
        </is>
      </c>
      <c r="B9" s="68" t="inlineStr">
        <is>
          <t>留白</t>
        </is>
      </c>
      <c r="C9" s="46" t="inlineStr">
        <is>
          <t>硬過濾、非排序鍵。填錯會濾掉唯一候選並回 SSI_NOT_FOUND，且訊息不會指出是 override 造成。常見坑：BARCGB22 由 GBP 改 USD 時忘了清掉 GB（SSI-DEMO-024 的 settlementCountry 為 US）。</t>
        </is>
      </c>
    </row>
    <row r="10" ht="43.5" customHeight="1" s="36">
      <c r="A10" s="67" t="inlineStr">
        <is>
          <t>Settlement Market</t>
        </is>
      </c>
      <c r="B10" s="68" t="inlineStr">
        <is>
          <t>留白</t>
        </is>
      </c>
      <c r="C10" s="46" t="inlineStr">
        <is>
          <t>同上；留白時由 eligible route 推導。</t>
        </is>
      </c>
    </row>
    <row r="11" ht="43.5" customHeight="1" s="36">
      <c r="A11" s="67" t="inlineStr">
        <is>
          <t>Clearing System</t>
        </is>
      </c>
      <c r="B11" s="67" t="inlineStr">
        <is>
          <t>Derive from eligible route</t>
        </is>
      </c>
      <c r="C11" s="46" t="inlineStr">
        <is>
          <t>同上。</t>
        </is>
      </c>
    </row>
    <row r="12" ht="43.5" customHeight="1" s="36">
      <c r="A12" s="42" t="inlineStr">
        <is>
          <t>Message Scenario</t>
        </is>
      </c>
      <c r="B12" s="42" t="inlineStr">
        <is>
          <t>base 案例不套用；情境案例依第 2 表</t>
        </is>
      </c>
      <c r="C12" s="46" t="inlineStr">
        <is>
          <t>情境影響欄位呈現與 context，不改變 SSI 選取。同一組 Counterparty／Currency 下，套用任一情境的 chosen SSI 應完全相同 —— 若不同即為缺陷。</t>
        </is>
      </c>
    </row>
    <row r="13" ht="43.5" customHeight="1" s="36">
      <c r="A13" s="42" t="inlineStr">
        <is>
          <t>Value Date / Amount / Reference</t>
        </is>
      </c>
      <c r="B13" s="46" t="inlineStr">
        <is>
          <t>任意</t>
        </is>
      </c>
      <c r="C13" s="46" t="inlineStr">
        <is>
          <t>不參與解析。日期為美式 MM/DD/YYYY，請確認月日未顛倒。Reference 建議帶案例編號以便對帳。</t>
        </is>
      </c>
    </row>
    <row r="14">
      <c r="A14" s="38" t="n"/>
      <c r="B14" s="38" t="n"/>
      <c r="C14" s="38" t="n"/>
    </row>
    <row r="15" ht="15" customHeight="1" s="36">
      <c r="A15" s="54" t="inlineStr">
        <is>
          <t>每案必驗的回應不變式</t>
        </is>
      </c>
      <c r="B15" s="38" t="n"/>
      <c r="C15" s="38" t="n"/>
    </row>
    <row r="16" ht="43.5" customHeight="1" s="36">
      <c r="A16" s="69" t="inlineStr">
        <is>
          <t>A1_RESOLVED（200）</t>
        </is>
      </c>
      <c r="B16" s="59" t="inlineStr">
        <is>
          <t>chosenRoute 非 null 且完整；roleProvenance 非 null 且完整；snapshotHash 與 resolutionToken 存在；每個角色都有 source／sourceField／evidence 版本。</t>
        </is>
      </c>
      <c r="C16" s="38" t="n"/>
    </row>
    <row r="17" ht="43.5" customHeight="1" s="36">
      <c r="A17" s="69" t="inlineStr">
        <is>
          <t>A2_TIE（422）</t>
        </is>
      </c>
      <c r="B17" s="59" t="inlineStr">
        <is>
          <t>fail closed 轉 Repair Queue；payloadGenerated=false；無任何技術性決勝。</t>
        </is>
      </c>
      <c r="C17" s="38" t="n"/>
    </row>
    <row r="18" ht="43.5" customHeight="1" s="36">
      <c r="A18" s="69" t="inlineStr">
        <is>
          <t>A3_AMBIGUOUS_SHAPE（422）</t>
        </is>
      </c>
      <c r="B18" s="59" t="inlineStr">
        <is>
          <t>chosenRoute／canonicalRoute／agent roles／roleProvenance／messageComposerContext 全為 null；candidates 非 null 且無序，每筆帶 tieMember 與 businessRank；不得出現 alternativeRoutes、renderedPayload、recommendedRoute。</t>
        </is>
      </c>
      <c r="C18" s="38" t="n"/>
    </row>
    <row r="19" ht="43.5" customHeight="1" s="36">
      <c r="A19" s="69" t="inlineStr">
        <is>
          <t>A4_NOSTRO_JOIN</t>
        </is>
      </c>
      <c r="B19" s="59" t="inlineStr">
        <is>
          <t>accountId 必須精確等於 ACTIVE Nostro 的 accountReference，再以 servicer／幣別／SETTLEMENT／booking／生效日篩選；禁止以 Nostro.id、maskedAccountRef 或前綴／模糊比對。</t>
        </is>
      </c>
      <c r="C19" s="38" t="n"/>
    </row>
    <row r="20" ht="43.5" customHeight="1" s="36">
      <c r="A20" s="54" t="inlineStr">
        <is>
          <t>角色來源一致性</t>
        </is>
      </c>
      <c r="B20" s="58" t="inlineStr">
        <is>
          <t>每個角色的值必須等於其 roleProvenance 宣告的 sourceField 在 chosen SSI 上的實際值。這是 DEF-001 的直接檢查點。</t>
        </is>
      </c>
      <c r="C20" s="38" t="n"/>
    </row>
    <row r="21" ht="43.5" customHeight="1" s="36">
      <c r="A21" s="54" t="inlineStr">
        <is>
          <t>跨筆混用檢查</t>
        </is>
      </c>
      <c r="B21" s="59" t="inlineStr">
        <is>
          <t>chosen 的帳號與 agent 必須來自同一筆 SSI，不得跨 SSI 拼湊。</t>
        </is>
      </c>
      <c r="C21" s="38" t="n"/>
    </row>
    <row r="22" ht="43.5" customHeight="1" s="36">
      <c r="A22" s="54" t="inlineStr">
        <is>
          <t>結算方式一致性</t>
        </is>
      </c>
      <c r="B22" s="59" t="inlineStr">
        <is>
          <t>SttlmMtd=INDA 時，SttlmAcct 所屬 Nostro 的 accountServicerBic 必須等於 instructedAgent。</t>
        </is>
      </c>
      <c r="C22" s="38" t="n"/>
    </row>
  </sheetData>
  <mergeCells count="7">
    <mergeCell ref="B21:C21"/>
    <mergeCell ref="B16:C16"/>
    <mergeCell ref="B19:C19"/>
    <mergeCell ref="B20:C20"/>
    <mergeCell ref="B22:C22"/>
    <mergeCell ref="B17:C17"/>
    <mergeCell ref="B18:C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35" min="1" max="1"/>
    <col width="120" customWidth="1" style="35" min="2" max="2"/>
  </cols>
  <sheetData>
    <row r="1" ht="18.55" customHeight="1" s="36">
      <c r="A1" s="62" t="inlineStr">
        <is>
          <t>證據來源、範圍界定與版本差異</t>
        </is>
      </c>
      <c r="B1" s="38" t="n"/>
    </row>
    <row r="2" ht="17.15" customHeight="1" s="36">
      <c r="A2" s="39" t="inlineStr">
        <is>
          <t>所有數字均由 live DB 與受控 snapshot 實測導出，未採信文件自述，亦未以截圖做字元級比對。</t>
        </is>
      </c>
      <c r="B2" s="38" t="n"/>
    </row>
    <row r="3">
      <c r="A3" s="38" t="n"/>
      <c r="B3" s="38" t="n"/>
    </row>
    <row r="4" ht="33.75" customHeight="1" s="36">
      <c r="A4" s="40" t="inlineStr">
        <is>
          <t>項目</t>
        </is>
      </c>
      <c r="B4" s="40" t="inlineStr">
        <is>
          <t>內容</t>
        </is>
      </c>
    </row>
    <row r="5" ht="25.5" customHeight="1" s="36">
      <c r="A5" s="70" t="inlineStr">
        <is>
          <t>受控 snapshot</t>
        </is>
      </c>
      <c r="B5" s="42" t="inlineStr">
        <is>
          <t>qa/mt2-final/fixtures/baselines/ssi-demo.consistent-snapshot.sqlite</t>
        </is>
      </c>
    </row>
    <row r="6" ht="25.5" customHeight="1" s="36">
      <c r="A6" s="71" t="inlineStr">
        <is>
          <t>snapshot SHA-256</t>
        </is>
      </c>
      <c r="B6" s="42" t="inlineStr">
        <is>
          <t>7492CC264BCDBC7EE43DC7028CDCDC12385898BFD4BDCCA02798D2B5A3AB4EF3</t>
        </is>
      </c>
    </row>
    <row r="7" ht="25.5" customHeight="1" s="36">
      <c r="A7" s="71" t="inlineStr">
        <is>
          <t>live demo DB</t>
        </is>
      </c>
      <c r="B7" s="42" t="inlineStr">
        <is>
          <t>data/ssi-demo.sqlite（WAL 模式，比對時已含 -wal 與 -shm）</t>
        </is>
      </c>
    </row>
    <row r="8" ht="48" customHeight="1" s="36">
      <c r="A8" s="70" t="inlineStr">
        <is>
          <t>列數差異</t>
        </is>
      </c>
      <c r="B8" s="42" t="inlineStr">
        <is>
          <t>live 254 列 vs snapshot 228 列。ACTIVE SSI 42、ACTIVE Nostro 159 兩邊相同；.08 分組 14 組相同；平手組 1 組相同。差異僅在版本號（一致 +5）與 UUID。</t>
        </is>
      </c>
    </row>
    <row r="9" ht="25.5" customHeight="1" s="36">
      <c r="A9" s="70" t="inlineStr">
        <is>
          <t>具 pacs.009.001.08 之 ACTIVE SSI</t>
        </is>
      </c>
      <c r="B9" s="42" t="inlineStr">
        <is>
          <t>26 筆，本清單全部涵蓋</t>
        </is>
      </c>
    </row>
    <row r="10" ht="48" customHeight="1" s="36">
      <c r="A10" s="70" t="inlineStr">
        <is>
          <t>不具 .08 之 ACTIVE SSI</t>
        </is>
      </c>
      <c r="B10" s="42" t="inlineStr">
        <is>
          <t>16 筆，MT2xx 不可見：SSI-DEMO-025~034（10 筆，僅 .12；counterpartyBic=ANY）、SSI-DEMO-036~040（5 筆，僅 pacs.008，屬 MT103 域）、SSI-DEMO-023（1 筆，僅 pacs.009.001.12）</t>
        </is>
      </c>
    </row>
    <row r="11" ht="48" customHeight="1" s="36">
      <c r="A11" s="71" t="inlineStr">
        <is>
          <t>agent 對照分佈</t>
        </is>
      </c>
      <c r="B11" s="42" t="inlineStr">
        <is>
          <t>actualReceiverBic ≠ counterpartyBic 共 18 筆（26 筆中）。14 組 chosen route 中：SAME-BIC 5 組、VIA-BIC 8 組、TIE 1 組。</t>
        </is>
      </c>
    </row>
    <row r="12" ht="48" customHeight="1" s="36">
      <c r="A12" s="71" t="inlineStr">
        <is>
          <t>Nostro 參照完整性</t>
        </is>
      </c>
      <c r="B12" s="42" t="inlineStr">
        <is>
          <t>42/42 以 accountId = accountReference 精確命中，orphan = 0。以 maskedAccountRef 比對會有 38 筆落空、以 Nostro.id 比對 42 筆全落空 —— 兩者皆為錯誤 join 方式。</t>
        </is>
      </c>
    </row>
    <row r="13" ht="25.5" customHeight="1" s="36">
      <c r="A13" s="70" t="inlineStr">
        <is>
          <t>範圍：涵蓋</t>
        </is>
      </c>
      <c r="B13" s="42" t="inlineStr">
        <is>
          <t>MT202、MT205、MT202COV、MT205COV 四種來源電文，全部正規化至 pacs.009.001.08。本清單即為該 .08 宇宙的完整集合。</t>
        </is>
      </c>
    </row>
    <row r="14" ht="48" customHeight="1" s="36">
      <c r="A14" s="70" t="inlineStr">
        <is>
          <t>範圍：不涵蓋</t>
        </is>
      </c>
      <c r="B14" s="42" t="inlineStr">
        <is>
          <t>MT200／MT201／MT203／MT204／MT210。依 MT2xx Scope：MT200 轉 OWN_SSI_NOSTRO、MT204 轉 FI_DIRECT_DEBIT、MT210 轉 NOTIFICATION、MT201／MT203 為 MESSAGE_TYPE_NOT_SUPPORTED，均不查 Counterparty SSI。</t>
        </is>
      </c>
    </row>
    <row r="15" ht="48" customHeight="1" s="36">
      <c r="A15" s="71" t="inlineStr">
        <is>
          <t>v1 → v2 變更</t>
        </is>
      </c>
      <c r="B15" s="46" t="inlineStr">
        <is>
          <t>新增 agent 對照欄與 FALSE GREEN 判讀；新增情境專項測試表；新增已知缺陷與阻斷表（DEF-001／DEF-002／Q-001／Q-002／ENV-001／CORR-001）；版本改為 live 與 snapshot 並列；新增執行欄位（實際結果／Pass-Fail／執行人／執行日期）與自動彙總。</t>
        </is>
      </c>
    </row>
    <row r="16" ht="48" customHeight="1" s="36">
      <c r="A16" s="70" t="inlineStr">
        <is>
          <t>覆核更正（CORR-001）</t>
        </is>
      </c>
      <c r="B16" s="46" t="inlineStr">
        <is>
          <t>前一版口頭意見曾推論 DEF-001 會導致 57A 被錯誤省略，該推論已撤回。實測 26 筆的 accountWithBic 與 actualReceiverBic 恆相等，MTMX-57A-01 的省略條件本就恆成立，與 DEF-001 無關。</t>
        </is>
      </c>
    </row>
    <row r="17" ht="25.5" customHeight="1" s="36">
      <c r="A17" s="70" t="inlineStr">
        <is>
          <t>對應受控文件</t>
        </is>
      </c>
      <c r="B17" s="42" t="inlineStr">
        <is>
          <t>MT2XX_支援標準SSI_SR2026_MRG與ISO20022對應覆核版_v15.1_DRAFT_R5.xlsx（DRAFT — NOT APPROVED）；受控基線仍為 v15。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2026-09-11T09:03:54Z</dcterms:created>
  <dcterms:modified xmlns:dcterms="http://purl.org/dc/terms/" xmlns:xsi="http://www.w3.org/2001/XMLSchema-instance" xsi:type="dcterms:W3CDTF">2026-09-11T09:04:36Z</dcterms:modified>
  <cp:revision>0</cp:revision>
</cp:coreProperties>
</file>