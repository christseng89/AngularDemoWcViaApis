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UAT 執行清單" sheetId="1" state="visible" r:id="rId3"/>
    <sheet name="SSI 候選明細" sheetId="2" state="visible" r:id="rId4"/>
    <sheet name="輸入指引" sheetId="3" state="visible" r:id="rId5"/>
    <sheet name="情境對照" sheetId="4" state="visible" r:id="rId6"/>
    <sheet name="證據與範圍" sheetId="5" state="visible" r:id="rId7"/>
    <sheet name="UI Fail-Closed" sheetId="6" state="visible" r:id="rId8"/>
    <sheet name="Scenario Behavior" sheetId="7" state="visible" r:id="rId9"/>
    <sheet name="v15.2 新增案例" sheetId="8" state="visible" r:id="rId10"/>
    <sheet name="未決項清單" sheetId="9" state="visible" r:id="rId11"/>
    <sheet name="變更說明 R2" sheetId="10" state="visible" r:id="rId12"/>
  </sheets>
  <definedNames>
    <definedName function="false" hidden="true" localSheetId="6" name="_xlnm._FilterDatabase" vbProcedure="false">'Scenario Behavior'!$A$1:$E$8</definedName>
    <definedName function="false" hidden="true" localSheetId="0" name="_xlnm._FilterDatabase" vbProcedure="false">'UAT 執行清單'!$A$4:$AD$52</definedName>
    <definedName function="false" hidden="true" localSheetId="5" name="_xlnm._FilterDatabase" vbProcedure="false">'UI Fail-Closed'!$A$1:$F$5</definedName>
    <definedName function="false" hidden="true" localSheetId="7" name="_xlnm._FilterDatabase" vbProcedure="false">'v15.2 新增案例'!$A$4:$AF$24</definedName>
    <definedName function="false" hidden="true" localSheetId="8" name="_xlnm._FilterDatabase" vbProcedure="false">未決項清單!$A$4:$F$10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<sst xmlns="http://schemas.openxmlformats.org/spreadsheetml/2006/main" count="2102" uniqueCount="789">
  <si>
    <r>
      <rPr>
        <b val="true"/>
        <sz val="11"/>
        <color rgb="FF1F3864"/>
        <rFont val="Times New Roman"/>
        <family val="0"/>
        <charset val="1"/>
      </rPr>
      <t xml:space="preserve">MT2xx SSI Resolution — UAT </t>
    </r>
    <r>
      <rPr>
        <b val="true"/>
        <sz val="11"/>
        <color rgb="FF1F3864"/>
        <rFont val="Noto Sans CJK SC"/>
        <family val="2"/>
      </rPr>
      <t xml:space="preserve">執行清單 </t>
    </r>
    <r>
      <rPr>
        <b val="true"/>
        <sz val="11"/>
        <color rgb="FF1F3864"/>
        <rFont val="Times New Roman"/>
        <family val="0"/>
        <charset val="1"/>
      </rPr>
      <t xml:space="preserve">v15.2_DRAFT_R2</t>
    </r>
    <r>
      <rPr>
        <b val="true"/>
        <sz val="11"/>
        <color rgb="FF1F3864"/>
        <rFont val="Noto Sans CJK SC"/>
        <family val="2"/>
      </rPr>
      <t xml:space="preserve">（候選版 </t>
    </r>
    <r>
      <rPr>
        <b val="true"/>
        <sz val="11"/>
        <color rgb="FF1F3864"/>
        <rFont val="Times New Roman"/>
        <family val="0"/>
        <charset val="1"/>
      </rPr>
      <t xml:space="preserve">· NOT APPROVED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</si>
  <si>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i val="true"/>
        <sz val="11"/>
        <color rgb="FF595959"/>
        <rFont val="Noto Sans CJK SC"/>
        <family val="2"/>
      </rPr>
      <t xml:space="preserve">基底：</t>
    </r>
    <r>
      <rPr>
        <i val="true"/>
        <sz val="11"/>
        <color rgb="FF595959"/>
        <rFont val="Times New Roman"/>
        <family val="2"/>
        <charset val="1"/>
      </rPr>
      <t xml:space="preserve">v15.1 </t>
    </r>
    <r>
      <rPr>
        <i val="true"/>
        <sz val="11"/>
        <color rgb="FF595959"/>
        <rFont val="Noto Sans CJK SC"/>
        <family val="2"/>
      </rPr>
      <t xml:space="preserve">官方清單（</t>
    </r>
    <r>
      <rPr>
        <i val="true"/>
        <sz val="11"/>
        <color rgb="FF595959"/>
        <rFont val="Times New Roman"/>
        <family val="2"/>
        <charset val="1"/>
      </rPr>
      <t xml:space="preserve">SHA-256 AB21F5BC…14B06</t>
    </r>
    <r>
      <rPr>
        <i val="true"/>
        <sz val="11"/>
        <color rgb="FF595959"/>
        <rFont val="Noto Sans CJK SC"/>
        <family val="2"/>
      </rPr>
      <t xml:space="preserve">，</t>
    </r>
    <r>
      <rPr>
        <i val="true"/>
        <sz val="11"/>
        <color rgb="FF595959"/>
        <rFont val="Times New Roman"/>
        <family val="2"/>
        <charset val="1"/>
      </rPr>
      <t xml:space="preserve">29813 bytes</t>
    </r>
    <r>
      <rPr>
        <i val="true"/>
        <sz val="11"/>
        <color rgb="FF595959"/>
        <rFont val="Noto Sans CJK SC"/>
        <family val="2"/>
      </rPr>
      <t xml:space="preserve">），</t>
    </r>
    <r>
      <rPr>
        <i val="true"/>
        <sz val="11"/>
        <color rgb="FF595959"/>
        <rFont val="Times New Roman"/>
        <family val="2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2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逐格未動。</t>
    </r>
    <r>
      <rPr>
        <i val="true"/>
        <sz val="11"/>
        <color rgb="FF595959"/>
        <rFont val="Times New Roman"/>
        <family val="2"/>
        <charset val="1"/>
      </rPr>
      <t xml:space="preserve">snapshot</t>
    </r>
    <r>
      <rPr>
        <i val="true"/>
        <sz val="11"/>
        <color rgb="FF595959"/>
        <rFont val="Noto Sans CJK SC"/>
        <family val="2"/>
      </rPr>
      <t xml:space="preserve">：</t>
    </r>
    <r>
      <rPr>
        <i val="true"/>
        <sz val="11"/>
        <color rgb="FF595959"/>
        <rFont val="Times New Roman"/>
        <family val="2"/>
        <charset val="1"/>
      </rPr>
      <t xml:space="preserve">ssi-demo.v15.1-post-migration.sqlite</t>
    </r>
    <r>
      <rPr>
        <i val="true"/>
        <sz val="11"/>
        <color rgb="FF595959"/>
        <rFont val="Noto Sans CJK SC"/>
        <family val="2"/>
      </rPr>
      <t xml:space="preserve">（</t>
    </r>
    <r>
      <rPr>
        <i val="true"/>
        <sz val="11"/>
        <color rgb="FF595959"/>
        <rFont val="Times New Roman"/>
        <family val="2"/>
        <charset val="1"/>
      </rPr>
      <t xml:space="preserve">52A58C19…CEEF6</t>
    </r>
    <r>
      <rPr>
        <i val="true"/>
        <sz val="11"/>
        <color rgb="FF595959"/>
        <rFont val="Noto Sans CJK SC"/>
        <family val="2"/>
      </rPr>
      <t xml:space="preserve">）。</t>
    </r>
    <r>
      <rPr>
        <i val="true"/>
        <sz val="11"/>
        <color rgb="FF595959"/>
        <rFont val="Times New Roman"/>
        <family val="2"/>
        <charset val="1"/>
      </rPr>
      <t xml:space="preserve">v15.2 </t>
    </r>
    <r>
      <rPr>
        <i val="true"/>
        <sz val="11"/>
        <color rgb="FF595959"/>
        <rFont val="Noto Sans CJK SC"/>
        <family val="2"/>
      </rPr>
      <t xml:space="preserve">新增案例另表，</t>
    </r>
    <r>
      <rPr>
        <i val="true"/>
        <sz val="11"/>
        <color rgb="FF595959"/>
        <rFont val="Times New Roman"/>
        <family val="2"/>
        <charset val="1"/>
      </rPr>
      <t xml:space="preserve">BA </t>
    </r>
    <r>
      <rPr>
        <i val="true"/>
        <sz val="11"/>
        <color rgb="FF595959"/>
        <rFont val="Noto Sans CJK SC"/>
        <family val="2"/>
      </rPr>
      <t xml:space="preserve">核准前不計入本表分母。前版 </t>
    </r>
    <r>
      <rPr>
        <i val="true"/>
        <sz val="11"/>
        <color rgb="FF595959"/>
        <rFont val="Times New Roman"/>
        <family val="2"/>
        <charset val="1"/>
      </rPr>
      <t xml:space="preserve">v15.2_DRAFT</t>
    </r>
    <r>
      <rPr>
        <i val="true"/>
        <sz val="11"/>
        <color rgb="FF595959"/>
        <rFont val="Noto Sans CJK SC"/>
        <family val="2"/>
      </rPr>
      <t xml:space="preserve">（</t>
    </r>
    <r>
      <rPr>
        <i val="true"/>
        <sz val="11"/>
        <color rgb="FF595959"/>
        <rFont val="Times New Roman"/>
        <family val="2"/>
        <charset val="1"/>
      </rPr>
      <t xml:space="preserve">C286F71E…28679</t>
    </r>
    <r>
      <rPr>
        <i val="true"/>
        <sz val="11"/>
        <color rgb="FF595959"/>
        <rFont val="Noto Sans CJK SC"/>
        <family val="2"/>
      </rPr>
      <t xml:space="preserve">）保持不變。</t>
    </r>
  </si>
  <si>
    <t xml:space="preserve">案例編號</t>
  </si>
  <si>
    <t xml:space="preserve">矩陣列</t>
  </si>
  <si>
    <t xml:space="preserve">可執行性</t>
  </si>
  <si>
    <t xml:space="preserve">Counterparty</t>
  </si>
  <si>
    <t xml:space="preserve">對手行名稱</t>
  </si>
  <si>
    <t xml:space="preserve">Currency</t>
  </si>
  <si>
    <t xml:space="preserve">Booking</t>
  </si>
  <si>
    <t xml:space="preserve">Message</t>
  </si>
  <si>
    <t xml:space="preserve">ISO 20022 Target</t>
  </si>
  <si>
    <t xml:space="preserve">businessService</t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</si>
  <si>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HTTP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</si>
  <si>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code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</si>
  <si>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chosen SSI</t>
    </r>
  </si>
  <si>
    <t xml:space="preserve">候選數</t>
  </si>
  <si>
    <r>
      <rPr>
        <b val="true"/>
        <sz val="11"/>
        <color rgb="FFFFFFFF"/>
        <rFont val="Times New Roman"/>
        <family val="1"/>
        <charset val="1"/>
      </rPr>
      <t xml:space="preserve">Settlement Country </t>
    </r>
    <r>
      <rPr>
        <b val="true"/>
        <sz val="11"/>
        <color rgb="FFFFFFFF"/>
        <rFont val="Noto Sans CJK SC"/>
        <family val="2"/>
      </rPr>
      <t xml:space="preserve">建議</t>
    </r>
  </si>
  <si>
    <t xml:space="preserve">備註</t>
  </si>
  <si>
    <t xml:space="preserve">Resolver Baseline Profile</t>
  </si>
  <si>
    <t xml:space="preserve">Counterparty Bank Service ID</t>
  </si>
  <si>
    <t xml:space="preserve">Actual HTTP</t>
  </si>
  <si>
    <t xml:space="preserve">Actual code</t>
  </si>
  <si>
    <t xml:space="preserve">Actual chosen SSI / version</t>
  </si>
  <si>
    <t xml:space="preserve">Actual candidates</t>
  </si>
  <si>
    <t xml:space="preserve">Snapshot Hash</t>
  </si>
  <si>
    <t xml:space="preserve">Resolution Token</t>
  </si>
  <si>
    <t xml:space="preserve">Correlation / Request ID</t>
  </si>
  <si>
    <t xml:space="preserve">Tester</t>
  </si>
  <si>
    <t xml:space="preserve">Execution Date</t>
  </si>
  <si>
    <t xml:space="preserve">PASS / FAIL</t>
  </si>
  <si>
    <t xml:space="preserve">Evidence Path</t>
  </si>
  <si>
    <t xml:space="preserve">Screenshot / Defect ID</t>
  </si>
  <si>
    <t xml:space="preserve">UAT-V151-001</t>
  </si>
  <si>
    <t xml:space="preserve">EXECUTABLE NOW</t>
  </si>
  <si>
    <t xml:space="preserve">CITIUS33</t>
  </si>
  <si>
    <t xml:space="preserve">Citibank N.A.</t>
  </si>
  <si>
    <t xml:space="preserve">USD</t>
  </si>
  <si>
    <t xml:space="preserve">HK01</t>
  </si>
  <si>
    <t xml:space="preserve">MT202</t>
  </si>
  <si>
    <t xml:space="preserve">pacs.009.001.08</t>
  </si>
  <si>
    <t xml:space="preserve">swift.cbprplus.04</t>
  </si>
  <si>
    <t xml:space="preserve">SSI_RESOLVED</t>
  </si>
  <si>
    <t xml:space="preserve">SSI-DEMO-001</t>
  </si>
  <si>
    <r>
      <rPr>
        <sz val="11"/>
        <rFont val="Noto Sans CJK SC"/>
        <family val="2"/>
      </rPr>
      <t xml:space="preserve">留白（由 </t>
    </r>
    <r>
      <rPr>
        <sz val="11"/>
        <rFont val="Times New Roman"/>
        <family val="1"/>
        <charset val="1"/>
      </rPr>
      <t xml:space="preserve">eligible route </t>
    </r>
    <r>
      <rPr>
        <sz val="11"/>
        <rFont val="Noto Sans CJK SC"/>
        <family val="2"/>
      </rPr>
      <t xml:space="preserve">推導）</t>
    </r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</si>
  <si>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SSI-DEMO-001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</si>
  <si>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RESOLVER_BASELINE_MT202</t>
  </si>
  <si>
    <t xml:space="preserve">BANK-SVC-CITIUS33</t>
  </si>
  <si>
    <t xml:space="preserve">UAT-V151-002</t>
  </si>
  <si>
    <t xml:space="preserve">MT205</t>
  </si>
  <si>
    <t xml:space="preserve">RESOLVER_BASELINE_MT205</t>
  </si>
  <si>
    <t xml:space="preserve">UAT-V151-003</t>
  </si>
  <si>
    <t xml:space="preserve">MT202COV</t>
  </si>
  <si>
    <t xml:space="preserve">swift.cbprplus.cov.04</t>
  </si>
  <si>
    <t xml:space="preserve">RESOLVER_BASELINE_MT202COV</t>
  </si>
  <si>
    <t xml:space="preserve">UAT-V151-004</t>
  </si>
  <si>
    <t xml:space="preserve">MT205COV</t>
  </si>
  <si>
    <t xml:space="preserve">RESOLVER_BASELINE_MT205COV</t>
  </si>
  <si>
    <t xml:space="preserve">UAT-V151-005</t>
  </si>
  <si>
    <t xml:space="preserve">BARCGB22</t>
  </si>
  <si>
    <t xml:space="preserve">Barclays Bank PLC</t>
  </si>
  <si>
    <t xml:space="preserve">GBP</t>
  </si>
  <si>
    <t xml:space="preserve">SSI_AMBIGUOUS</t>
  </si>
  <si>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fail closed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</si>
  <si>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受控 </t>
    </r>
    <r>
      <rPr>
        <sz val="11"/>
        <rFont val="Times New Roman"/>
        <family val="1"/>
        <charset val="1"/>
      </rPr>
      <t xml:space="preserve">top-rank tie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SSI-DEMO-003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022 </t>
    </r>
    <r>
      <rPr>
        <sz val="11"/>
        <rFont val="Noto Sans CJK SC"/>
        <family val="2"/>
      </rPr>
      <t xml:space="preserve">同為 </t>
    </r>
    <r>
      <rPr>
        <sz val="11"/>
        <rFont val="Times New Roman"/>
        <family val="1"/>
        <charset val="1"/>
      </rPr>
      <t xml:space="preserve">priority 10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PRIMARY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NAMED_COUNTERPARTY</t>
    </r>
    <r>
      <rPr>
        <sz val="11"/>
        <rFont val="Noto Sans CJK SC"/>
        <family val="2"/>
      </rPr>
      <t xml:space="preserve">。必須 </t>
    </r>
    <r>
      <rPr>
        <sz val="11"/>
        <rFont val="Times New Roman"/>
        <family val="1"/>
        <charset val="1"/>
      </rPr>
      <t xml:space="preserve">fail closed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agent roles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messageComposerContext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candidates </t>
    </r>
    <r>
      <rPr>
        <sz val="11"/>
        <rFont val="Noto Sans CJK SC"/>
        <family val="2"/>
      </rPr>
      <t xml:space="preserve">無序，</t>
    </r>
    <r>
      <rPr>
        <sz val="11"/>
        <rFont val="Times New Roman"/>
        <family val="1"/>
        <charset val="1"/>
      </rPr>
      <t xml:space="preserve">payloadGenerated=false</t>
    </r>
    <r>
      <rPr>
        <sz val="11"/>
        <rFont val="Noto Sans CJK SC"/>
        <family val="2"/>
      </rPr>
      <t xml:space="preserve">。</t>
    </r>
  </si>
  <si>
    <t xml:space="preserve">BANK-SVC-BARCGB22</t>
  </si>
  <si>
    <t xml:space="preserve">UAT-V151-006</t>
  </si>
  <si>
    <t xml:space="preserve">UAT-V151-007</t>
  </si>
  <si>
    <t xml:space="preserve">UAT-V151-008</t>
  </si>
  <si>
    <t xml:space="preserve">UAT-V151-009</t>
  </si>
  <si>
    <t xml:space="preserve">SSI-DEMO-024</t>
  </si>
  <si>
    <r>
      <rPr>
        <sz val="11"/>
        <rFont val="Noto Sans CJK SC"/>
        <family val="2"/>
      </rPr>
      <t xml:space="preserve">唯一候選；須驗 </t>
    </r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snapshotHash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resolutionToken </t>
    </r>
    <r>
      <rPr>
        <sz val="11"/>
        <rFont val="Noto Sans CJK SC"/>
        <family val="2"/>
      </rPr>
      <t xml:space="preserve">與幣別一致。</t>
    </r>
  </si>
  <si>
    <t xml:space="preserve">UAT-V151-010</t>
  </si>
  <si>
    <t xml:space="preserve">UAT-V151-011</t>
  </si>
  <si>
    <t xml:space="preserve">UAT-V151-012</t>
  </si>
  <si>
    <t xml:space="preserve">UAT-V151-013</t>
  </si>
  <si>
    <t xml:space="preserve">DEUTDEFF</t>
  </si>
  <si>
    <t xml:space="preserve">Deutsche Bank AG</t>
  </si>
  <si>
    <t xml:space="preserve">EUR</t>
  </si>
  <si>
    <t xml:space="preserve">SSI-DEMO-005</t>
  </si>
  <si>
    <r>
      <rPr>
        <sz val="11"/>
        <rFont val="Times New Roman"/>
        <family val="1"/>
        <charset val="1"/>
      </rPr>
      <t xml:space="preserve">3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SSI-DEMO-005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</si>
  <si>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BANK-SVC-DEUTDEFF</t>
  </si>
  <si>
    <t xml:space="preserve">UAT-V151-014</t>
  </si>
  <si>
    <t xml:space="preserve">UAT-V151-015</t>
  </si>
  <si>
    <t xml:space="preserve">UAT-V151-016</t>
  </si>
  <si>
    <t xml:space="preserve">UAT-V151-017</t>
  </si>
  <si>
    <t xml:space="preserve">DBSSSGSG</t>
  </si>
  <si>
    <t xml:space="preserve">DBS Bank Ltd.</t>
  </si>
  <si>
    <t xml:space="preserve">SGD</t>
  </si>
  <si>
    <t xml:space="preserve">SSI-DEMO-007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</si>
  <si>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SSI-DEMO-007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</si>
  <si>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BANK-SVC-DBSSSGSG</t>
  </si>
  <si>
    <t xml:space="preserve">UAT-V151-018</t>
  </si>
  <si>
    <t xml:space="preserve">UAT-V151-019</t>
  </si>
  <si>
    <t xml:space="preserve">UAT-V151-020</t>
  </si>
  <si>
    <t xml:space="preserve">UAT-V151-021</t>
  </si>
  <si>
    <t xml:space="preserve">BOTKJPJT</t>
  </si>
  <si>
    <t xml:space="preserve">MUFG Bank, Ltd.</t>
  </si>
  <si>
    <t xml:space="preserve">JPY</t>
  </si>
  <si>
    <t xml:space="preserve">SSI-DEMO-009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</si>
  <si>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SSI-DEMO-009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</si>
  <si>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BANK-SVC-BOTKJPJT</t>
  </si>
  <si>
    <t xml:space="preserve">UAT-V151-022</t>
  </si>
  <si>
    <t xml:space="preserve">UAT-V151-023</t>
  </si>
  <si>
    <t xml:space="preserve">UAT-V151-024</t>
  </si>
  <si>
    <t xml:space="preserve">UAT-V151-025</t>
  </si>
  <si>
    <t xml:space="preserve">HSBCHKHH</t>
  </si>
  <si>
    <t xml:space="preserve">HSBC</t>
  </si>
  <si>
    <t xml:space="preserve">HKD</t>
  </si>
  <si>
    <t xml:space="preserve">SSI-DEMO-011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</si>
  <si>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SSI-DEMO-011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</si>
  <si>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BANK-SVC-HSBCHKHH</t>
  </si>
  <si>
    <t xml:space="preserve">UAT-V151-026</t>
  </si>
  <si>
    <t xml:space="preserve">UAT-V151-027</t>
  </si>
  <si>
    <t xml:space="preserve">UAT-V151-028</t>
  </si>
  <si>
    <t xml:space="preserve">UAT-V151-029</t>
  </si>
  <si>
    <t xml:space="preserve">BOFAUS3N</t>
  </si>
  <si>
    <t xml:space="preserve">Bank of America, N.A.</t>
  </si>
  <si>
    <t xml:space="preserve">AUD</t>
  </si>
  <si>
    <t xml:space="preserve">SSI-DEMO-013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</si>
  <si>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SSI-DEMO-013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</si>
  <si>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BANK-SVC-BOFAUS3N</t>
  </si>
  <si>
    <t xml:space="preserve">UAT-V151-030</t>
  </si>
  <si>
    <t xml:space="preserve">UAT-V151-031</t>
  </si>
  <si>
    <t xml:space="preserve">UAT-V151-032</t>
  </si>
  <si>
    <t xml:space="preserve">UAT-V151-033</t>
  </si>
  <si>
    <t xml:space="preserve">CHASUS33</t>
  </si>
  <si>
    <t xml:space="preserve">JPMorgan Chase Bank, N.A.</t>
  </si>
  <si>
    <t xml:space="preserve">CAD</t>
  </si>
  <si>
    <t xml:space="preserve">SSI-DEMO-015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</si>
  <si>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SSI-DEMO-015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</si>
  <si>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BANK-SVC-CHASUS33</t>
  </si>
  <si>
    <t xml:space="preserve">UAT-V151-034</t>
  </si>
  <si>
    <t xml:space="preserve">UAT-V151-035</t>
  </si>
  <si>
    <t xml:space="preserve">UAT-V151-036</t>
  </si>
  <si>
    <t xml:space="preserve">UAT-V151-037</t>
  </si>
  <si>
    <t xml:space="preserve">SSI-DEMO-021</t>
  </si>
  <si>
    <t xml:space="preserve">UAT-V151-038</t>
  </si>
  <si>
    <t xml:space="preserve">UAT-V151-039</t>
  </si>
  <si>
    <t xml:space="preserve">UAT-V151-040</t>
  </si>
  <si>
    <t xml:space="preserve">UAT-V151-041</t>
  </si>
  <si>
    <t xml:space="preserve">SCBLGB2L</t>
  </si>
  <si>
    <t xml:space="preserve">Standard Chartered Bank</t>
  </si>
  <si>
    <t xml:space="preserve">CHF</t>
  </si>
  <si>
    <t xml:space="preserve">SSI-DEMO-017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</si>
  <si>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SSI-DEMO-017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</si>
  <si>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BANK-SVC-SCBLGB2L</t>
  </si>
  <si>
    <t xml:space="preserve">UAT-V151-042</t>
  </si>
  <si>
    <t xml:space="preserve">UAT-V151-043</t>
  </si>
  <si>
    <t xml:space="preserve">UAT-V151-044</t>
  </si>
  <si>
    <t xml:space="preserve">UAT-V151-045</t>
  </si>
  <si>
    <t xml:space="preserve">BNPAFRPP</t>
  </si>
  <si>
    <t xml:space="preserve">BNP Paribas</t>
  </si>
  <si>
    <t xml:space="preserve">CNY</t>
  </si>
  <si>
    <t xml:space="preserve">SSI-DEMO-019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</si>
  <si>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SSI-DEMO-019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</si>
  <si>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BANK-SVC-BNPAFRPP</t>
  </si>
  <si>
    <t xml:space="preserve">UAT-V151-046</t>
  </si>
  <si>
    <t xml:space="preserve">UAT-V151-047</t>
  </si>
  <si>
    <t xml:space="preserve">UAT-V151-048</t>
  </si>
  <si>
    <t xml:space="preserve">彙總（依受控矩陣產生；非公式，任何閱讀器皆可見）</t>
  </si>
  <si>
    <t xml:space="preserve">案例總數</t>
  </si>
  <si>
    <t xml:space="preserve">NOT_EXECUTABLE</t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</si>
  <si>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200 SSI_RESOLVED</t>
    </r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</si>
  <si>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422 SSI_AMBIGUOUS</t>
    </r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</si>
  <si>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503 PROFILE_INCOMPLETE</t>
    </r>
    <r>
      <rPr>
        <sz val="11"/>
        <rFont val="Noto Sans CJK SC"/>
        <family val="2"/>
      </rPr>
      <t xml:space="preserve">（矩陣內）</t>
    </r>
  </si>
  <si>
    <r>
      <rPr>
        <sz val="11"/>
        <rFont val="Times New Roman"/>
        <family val="0"/>
        <charset val="1"/>
      </rPr>
      <t xml:space="preserve">NOT_EXECUTABLE </t>
    </r>
    <r>
      <rPr>
        <sz val="11"/>
        <rFont val="Noto Sans CJK SC"/>
        <family val="2"/>
      </rPr>
      <t xml:space="preserve">比率</t>
    </r>
  </si>
  <si>
    <r>
      <rPr>
        <i val="true"/>
        <sz val="11"/>
        <color rgb="FF595959"/>
        <rFont val="Noto Sans CJK SC"/>
        <family val="2"/>
      </rPr>
      <t xml:space="preserve">矩陣外負向控制：</t>
    </r>
    <r>
      <rPr>
        <i val="true"/>
        <sz val="11"/>
        <color rgb="FF595959"/>
        <rFont val="Times New Roman"/>
        <family val="2"/>
        <charset val="1"/>
      </rPr>
      <t xml:space="preserve">NSSIUSN1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USD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MT202COV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2"/>
        <charset val="1"/>
      </rPr>
      <t xml:space="preserve">MT205COV </t>
    </r>
    <r>
      <rPr>
        <i val="true"/>
        <sz val="11"/>
        <color rgb="FF595959"/>
        <rFont val="Noto Sans CJK SC"/>
        <family val="2"/>
      </rPr>
      <t xml:space="preserve">必須在 </t>
    </r>
    <r>
      <rPr>
        <i val="true"/>
        <sz val="11"/>
        <color rgb="FF595959"/>
        <rFont val="Times New Roman"/>
        <family val="2"/>
        <charset val="1"/>
      </rPr>
      <t xml:space="preserve">rank </t>
    </r>
    <r>
      <rPr>
        <i val="true"/>
        <sz val="11"/>
        <color rgb="FF595959"/>
        <rFont val="Noto Sans CJK SC"/>
        <family val="2"/>
      </rPr>
      <t xml:space="preserve">前回 </t>
    </r>
    <r>
      <rPr>
        <i val="true"/>
        <sz val="11"/>
        <color rgb="FF595959"/>
        <rFont val="Times New Roman"/>
        <family val="2"/>
        <charset val="1"/>
      </rPr>
      <t xml:space="preserve">HTTP 503 PROFILE_INCOMPLETE</t>
    </r>
    <r>
      <rPr>
        <i val="true"/>
        <sz val="11"/>
        <color rgb="FF595959"/>
        <rFont val="Noto Sans CJK SC"/>
        <family val="2"/>
      </rPr>
      <t xml:space="preserve">，</t>
    </r>
    <r>
      <rPr>
        <i val="true"/>
        <sz val="11"/>
        <color rgb="FF595959"/>
        <rFont val="Times New Roman"/>
        <family val="2"/>
        <charset val="1"/>
      </rPr>
      <t xml:space="preserve">payloadGenerated=false</t>
    </r>
    <r>
      <rPr>
        <i val="true"/>
        <sz val="11"/>
        <color rgb="FF595959"/>
        <rFont val="Noto Sans CJK SC"/>
        <family val="2"/>
      </rPr>
      <t xml:space="preserve">，且不得 </t>
    </r>
    <r>
      <rPr>
        <i val="true"/>
        <sz val="11"/>
        <color rgb="FF595959"/>
        <rFont val="Times New Roman"/>
        <family val="2"/>
        <charset val="1"/>
      </rPr>
      <t xml:space="preserve">fallback </t>
    </r>
    <r>
      <rPr>
        <i val="true"/>
        <sz val="11"/>
        <color rgb="FF595959"/>
        <rFont val="Noto Sans CJK SC"/>
        <family val="2"/>
      </rPr>
      <t xml:space="preserve">至 </t>
    </r>
    <r>
      <rPr>
        <i val="true"/>
        <sz val="11"/>
        <color rgb="FF595959"/>
        <rFont val="Times New Roman"/>
        <family val="2"/>
        <charset val="1"/>
      </rPr>
      <t xml:space="preserve">Core</t>
    </r>
    <r>
      <rPr>
        <i val="true"/>
        <sz val="11"/>
        <color rgb="FF595959"/>
        <rFont val="Noto Sans CJK SC"/>
        <family val="2"/>
      </rPr>
      <t xml:space="preserve">。此控制不計入 </t>
    </r>
    <r>
      <rPr>
        <i val="true"/>
        <sz val="11"/>
        <color rgb="FF595959"/>
        <rFont val="Times New Roman"/>
        <family val="2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案功能矩陣。</t>
    </r>
  </si>
  <si>
    <r>
      <rPr>
        <b val="true"/>
        <sz val="11"/>
        <color rgb="FF1F3864"/>
        <rFont val="Times New Roman"/>
        <family val="1"/>
        <charset val="1"/>
      </rPr>
      <t xml:space="preserve">SSI </t>
    </r>
    <r>
      <rPr>
        <b val="true"/>
        <sz val="11"/>
        <color rgb="FF1F3864"/>
        <rFont val="Noto Sans CJK SC"/>
        <family val="2"/>
      </rPr>
      <t xml:space="preserve">候選明細 — </t>
    </r>
    <r>
      <rPr>
        <b val="true"/>
        <sz val="11"/>
        <color rgb="FF1F3864"/>
        <rFont val="Times New Roman"/>
        <family val="1"/>
        <charset val="1"/>
      </rPr>
      <t xml:space="preserve">26 </t>
    </r>
    <r>
      <rPr>
        <b val="true"/>
        <sz val="11"/>
        <color rgb="FF1F3864"/>
        <rFont val="Noto Sans CJK SC"/>
        <family val="2"/>
      </rPr>
      <t xml:space="preserve">筆具 </t>
    </r>
    <r>
      <rPr>
        <b val="true"/>
        <sz val="11"/>
        <color rgb="FF1F3864"/>
        <rFont val="Times New Roman"/>
        <family val="1"/>
        <charset val="1"/>
      </rPr>
      <t xml:space="preserve">pacs.009.001.08 </t>
    </r>
    <r>
      <rPr>
        <b val="true"/>
        <sz val="11"/>
        <color rgb="FF1F3864"/>
        <rFont val="Noto Sans CJK SC"/>
        <family val="2"/>
      </rPr>
      <t xml:space="preserve">之 </t>
    </r>
    <r>
      <rPr>
        <b val="true"/>
        <sz val="11"/>
        <color rgb="FF1F3864"/>
        <rFont val="Times New Roman"/>
        <family val="1"/>
        <charset val="1"/>
      </rPr>
      <t xml:space="preserve">ACTIVE SSI</t>
    </r>
  </si>
  <si>
    <r>
      <rPr>
        <i val="true"/>
        <sz val="11"/>
        <color rgb="FF595959"/>
        <rFont val="Noto Sans CJK SC"/>
        <family val="2"/>
      </rPr>
      <t xml:space="preserve">欄位逐字取自受控 </t>
    </r>
    <r>
      <rPr>
        <i val="true"/>
        <sz val="11"/>
        <color rgb="FF595959"/>
        <rFont val="Times New Roman"/>
        <family val="1"/>
        <charset val="1"/>
      </rPr>
      <t xml:space="preserve">snapshot</t>
    </r>
    <r>
      <rPr>
        <i val="true"/>
        <sz val="11"/>
        <color rgb="FF595959"/>
        <rFont val="Noto Sans CJK SC"/>
        <family val="2"/>
      </rPr>
      <t xml:space="preserve">。</t>
    </r>
    <r>
      <rPr>
        <i val="true"/>
        <sz val="11"/>
        <color rgb="FF595959"/>
        <rFont val="Times New Roman"/>
        <family val="1"/>
        <charset val="1"/>
      </rPr>
      <t xml:space="preserve">Nostro </t>
    </r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1"/>
        <charset val="1"/>
      </rPr>
      <t xml:space="preserve">A4_NOSTRO_JOIN</t>
    </r>
    <r>
      <rPr>
        <i val="true"/>
        <sz val="11"/>
        <color rgb="FF595959"/>
        <rFont val="Noto Sans CJK SC"/>
        <family val="2"/>
      </rPr>
      <t xml:space="preserve">：</t>
    </r>
    <r>
      <rPr>
        <i val="true"/>
        <sz val="11"/>
        <color rgb="FF595959"/>
        <rFont val="Times New Roman"/>
        <family val="1"/>
        <charset val="1"/>
      </rPr>
      <t xml:space="preserve">SSI.route.accountId </t>
    </r>
    <r>
      <rPr>
        <i val="true"/>
        <sz val="11"/>
        <color rgb="FF595959"/>
        <rFont val="Noto Sans CJK SC"/>
        <family val="2"/>
      </rPr>
      <t xml:space="preserve">精確等於 </t>
    </r>
    <r>
      <rPr>
        <i val="true"/>
        <sz val="11"/>
        <color rgb="FF595959"/>
        <rFont val="Times New Roman"/>
        <family val="1"/>
        <charset val="1"/>
      </rPr>
      <t xml:space="preserve">ACTIVE Nostro.accountReference</t>
    </r>
    <r>
      <rPr>
        <i val="true"/>
        <sz val="11"/>
        <color rgb="FF595959"/>
        <rFont val="Noto Sans CJK SC"/>
        <family val="2"/>
      </rPr>
      <t xml:space="preserve">，再依 </t>
    </r>
    <r>
      <rPr>
        <i val="true"/>
        <sz val="11"/>
        <color rgb="FF595959"/>
        <rFont val="Times New Roman"/>
        <family val="1"/>
        <charset val="1"/>
      </rPr>
      <t xml:space="preserve">servicer</t>
    </r>
    <r>
      <rPr>
        <i val="true"/>
        <sz val="11"/>
        <color rgb="FF595959"/>
        <rFont val="Noto Sans CJK SC"/>
        <family val="2"/>
      </rPr>
      <t xml:space="preserve">／幣別／</t>
    </r>
    <r>
      <rPr>
        <i val="true"/>
        <sz val="11"/>
        <color rgb="FF595959"/>
        <rFont val="Times New Roman"/>
        <family val="1"/>
        <charset val="1"/>
      </rPr>
      <t xml:space="preserve">SETTLEMENT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1"/>
        <charset val="1"/>
      </rPr>
      <t xml:space="preserve">booking</t>
    </r>
    <r>
      <rPr>
        <i val="true"/>
        <sz val="11"/>
        <color rgb="FF595959"/>
        <rFont val="Noto Sans CJK SC"/>
        <family val="2"/>
      </rPr>
      <t xml:space="preserve">／生效日篩選，最後取 </t>
    </r>
    <r>
      <rPr>
        <i val="true"/>
        <sz val="11"/>
        <color rgb="FF595959"/>
        <rFont val="Times New Roman"/>
        <family val="1"/>
        <charset val="1"/>
      </rPr>
      <t xml:space="preserve">PRIMARY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</si>
  <si>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SSI Code</t>
  </si>
  <si>
    <t xml:space="preserve">SSI id (UUID)</t>
  </si>
  <si>
    <t xml:space="preserve">版本</t>
  </si>
  <si>
    <t xml:space="preserve">priority</t>
  </si>
  <si>
    <t xml:space="preserve">routePreference</t>
  </si>
  <si>
    <t xml:space="preserve">排名結果</t>
  </si>
  <si>
    <t xml:space="preserve">applicabilityProfileId</t>
  </si>
  <si>
    <t xml:space="preserve">settlementRouteId</t>
  </si>
  <si>
    <t xml:space="preserve">settlementCountry</t>
  </si>
  <si>
    <t xml:space="preserve">settlementMarket</t>
  </si>
  <si>
    <t xml:space="preserve">clearingSystem</t>
  </si>
  <si>
    <t xml:space="preserve">route.accountId</t>
  </si>
  <si>
    <r>
      <rPr>
        <b val="true"/>
        <sz val="11"/>
        <color rgb="FFFFFFFF"/>
        <rFont val="Noto Sans CJK SC"/>
        <family val="2"/>
      </rPr>
      <t xml:space="preserve">對應 </t>
    </r>
    <r>
      <rPr>
        <b val="true"/>
        <sz val="11"/>
        <color rgb="FFFFFFFF"/>
        <rFont val="Times New Roman"/>
        <family val="1"/>
        <charset val="1"/>
      </rPr>
      <t xml:space="preserve">Nostro (masked)</t>
    </r>
  </si>
  <si>
    <t xml:space="preserve">Nostro servicer</t>
  </si>
  <si>
    <t xml:space="preserve">accountWithBic</t>
  </si>
  <si>
    <t xml:space="preserve">actualReceiverBic</t>
  </si>
  <si>
    <t xml:space="preserve">beneficiaryBic</t>
  </si>
  <si>
    <t xml:space="preserve">ssiTags</t>
  </si>
  <si>
    <t xml:space="preserve">sampleSet</t>
  </si>
  <si>
    <t xml:space="preserve">ssiName</t>
  </si>
  <si>
    <t xml:space="preserve">sourceMessageTypes</t>
  </si>
  <si>
    <t xml:space="preserve">a1e1ac1a-a16f-414c-ac70-85731ed84d3f</t>
  </si>
  <si>
    <t xml:space="preserve">PRIMARY</t>
  </si>
  <si>
    <t xml:space="preserve">CHOSEN</t>
  </si>
  <si>
    <t xml:space="preserve">APPL-IMPORT_LC_BANK_REIMBURSEMENT-USD</t>
  </si>
  <si>
    <t xml:space="preserve">ROUTE-USD-CITIUS33</t>
  </si>
  <si>
    <t xml:space="preserve">US</t>
  </si>
  <si>
    <t xml:space="preserve">US_DOLLAR</t>
  </si>
  <si>
    <t xml:space="preserve">FEDWIRE</t>
  </si>
  <si>
    <t xml:space="preserve">DEMO-NOSTRO-001-PRIMARY</t>
  </si>
  <si>
    <t xml:space="preserve">DEMO-NOSTRO-001-PRIMARY-PRIMARY</t>
  </si>
  <si>
    <t xml:space="preserve">53A,54A,56A,57A,58A</t>
  </si>
  <si>
    <t xml:space="preserve">DEMO-PURPOSE-BUILT</t>
  </si>
  <si>
    <t xml:space="preserve">USD BANK_REIMBURSEMENT for Citibank N.A. via Citibank N.A.</t>
  </si>
  <si>
    <t xml:space="preserve">swift.cbprplus.04,swift.cbprplus.cov.04</t>
  </si>
  <si>
    <t xml:space="preserve">MT202,MT205,MT202COV,MT205COV</t>
  </si>
  <si>
    <t xml:space="preserve">SSI-DEMO-002</t>
  </si>
  <si>
    <t xml:space="preserve">e029ad81-7715-4c2a-9452-75876508cacb</t>
  </si>
  <si>
    <t xml:space="preserve">SECONDARY</t>
  </si>
  <si>
    <t xml:space="preserve">alternative</t>
  </si>
  <si>
    <t xml:space="preserve">ROUTE-USD-HSBCHKHH</t>
  </si>
  <si>
    <t xml:space="preserve">HK</t>
  </si>
  <si>
    <t xml:space="preserve">HK_USD</t>
  </si>
  <si>
    <t xml:space="preserve">USD_CHATS</t>
  </si>
  <si>
    <t xml:space="preserve">DEMO-NOSTRO-001-SECONDARY</t>
  </si>
  <si>
    <t xml:space="preserve">DEMO-NOSTRO-001-SECONDARY-PRIMARY</t>
  </si>
  <si>
    <t xml:space="preserve">USD BANK_REIMBURSEMENT for Citibank N.A. via HSBC</t>
  </si>
  <si>
    <t xml:space="preserve">SSI-DEMO-003</t>
  </si>
  <si>
    <t xml:space="preserve">351807b1-c715-4f53-8fbd-058cc9a14eab</t>
  </si>
  <si>
    <r>
      <rPr>
        <sz val="11"/>
        <rFont val="Times New Roman"/>
        <family val="1"/>
        <charset val="1"/>
      </rPr>
      <t xml:space="preserve">TIE</t>
    </r>
    <r>
      <rPr>
        <sz val="11"/>
        <rFont val="Noto Sans CJK SC"/>
        <family val="2"/>
      </rPr>
      <t xml:space="preserve">（並列第一）</t>
    </r>
  </si>
  <si>
    <t xml:space="preserve">APPL-EXPORT_LC_PROCEEDS_SETTLEMENT-GBP</t>
  </si>
  <si>
    <t xml:space="preserve">ROUTE-GBP-BARCGB22</t>
  </si>
  <si>
    <t xml:space="preserve">GB</t>
  </si>
  <si>
    <t xml:space="preserve">GB_STERLING</t>
  </si>
  <si>
    <t xml:space="preserve">CHAPS</t>
  </si>
  <si>
    <t xml:space="preserve">DEMO-NOSTRO-002-PRIMARY</t>
  </si>
  <si>
    <t xml:space="preserve">DEMO-NOSTRO-002-PRIMARY-PRIMARY</t>
  </si>
  <si>
    <t xml:space="preserve">GBP PROCEEDS_SETTLEMENT for Barclays via Barclays</t>
  </si>
  <si>
    <t xml:space="preserve">SSI-DEMO-022</t>
  </si>
  <si>
    <t xml:space="preserve">1a386704-017a-4439-bb65-29fc3fd6e8dc</t>
  </si>
  <si>
    <t xml:space="preserve">APPL-IMPORT_COLLECTION_PAYMENT-GBP</t>
  </si>
  <si>
    <t xml:space="preserve">DEMO-NOSTRO-002-IMPCOLL</t>
  </si>
  <si>
    <t xml:space="preserve">DEMO-NOSTRO-002-IMPCOLL-PRIMARY</t>
  </si>
  <si>
    <t xml:space="preserve">CdtrAgt,IntrmyAgt1</t>
  </si>
  <si>
    <t xml:space="preserve">GBP Import Collection Payment for Barclays</t>
  </si>
  <si>
    <t xml:space="preserve">SSI-DEMO-004</t>
  </si>
  <si>
    <t xml:space="preserve">9532ba2c-717f-42b6-8437-5ff7e270fccb</t>
  </si>
  <si>
    <t xml:space="preserve">低名次候選</t>
  </si>
  <si>
    <t xml:space="preserve">ROUTE-GBP-SCBLGB2L</t>
  </si>
  <si>
    <t xml:space="preserve">DEMO-NOSTRO-002-SECONDARY</t>
  </si>
  <si>
    <t xml:space="preserve">DEMO-NOSTRO-002-SECONDARY-PRIMARY</t>
  </si>
  <si>
    <t xml:space="preserve">GBP PROCEEDS_SETTLEMENT for Barclays via Standard Chartered</t>
  </si>
  <si>
    <t xml:space="preserve">54c26b29-e351-4391-aa38-8614aab63c4f</t>
  </si>
  <si>
    <t xml:space="preserve">APPL-IMPORT_COLLECTION_PAYMENT-USD</t>
  </si>
  <si>
    <t xml:space="preserve">ROUTE-USD-CITIUS33-BARC</t>
  </si>
  <si>
    <t xml:space="preserve">DEMO-NOSTRO-USD-IMPCOLL-BARC</t>
  </si>
  <si>
    <t xml:space="preserve">DEMO-NOSTRO-USD-IMPCOLL-BARC-PRIMARY</t>
  </si>
  <si>
    <r>
      <rPr>
        <sz val="11"/>
        <rFont val="Times New Roman"/>
        <family val="1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Times New Roman"/>
        <family val="1"/>
        <charset val="1"/>
      </rPr>
      <t xml:space="preserve">)</t>
    </r>
  </si>
  <si>
    <t xml:space="preserve">USD Import Collection Payment for Barclays via Citi</t>
  </si>
  <si>
    <t xml:space="preserve">c12bd429-cf8c-4b57-9575-299bbe58d680</t>
  </si>
  <si>
    <t xml:space="preserve">APPL-IMPORT_COLLECTION_PAYMENT-EUR</t>
  </si>
  <si>
    <t xml:space="preserve">ROUTE-EUR-DEUTDEFF</t>
  </si>
  <si>
    <t xml:space="preserve">ANY</t>
  </si>
  <si>
    <t xml:space="preserve">EURO_AREA</t>
  </si>
  <si>
    <t xml:space="preserve">T2</t>
  </si>
  <si>
    <t xml:space="preserve">DEMO-NOSTRO-003-PRIMARY</t>
  </si>
  <si>
    <t xml:space="preserve">DEMO-NOSTRO-003-PRIMARY-PRIMARY</t>
  </si>
  <si>
    <t xml:space="preserve">EUR COLLECTION_SETTLEMENT for Deutsche Bank via Deutsche Bank</t>
  </si>
  <si>
    <t xml:space="preserve">SSI-DEMO-006</t>
  </si>
  <si>
    <t xml:space="preserve">cd50ca60-1ec8-4a16-b61c-b03abf6a9c58</t>
  </si>
  <si>
    <t xml:space="preserve">ROUTE-EUR-HSBCHKHH</t>
  </si>
  <si>
    <t xml:space="preserve">HK_EUR</t>
  </si>
  <si>
    <t xml:space="preserve">EUR_CHATS</t>
  </si>
  <si>
    <t xml:space="preserve">DEMO-NOSTRO-003-SECONDARY</t>
  </si>
  <si>
    <t xml:space="preserve">DEMO-NOSTRO-003-SECONDARY-PRIMARY</t>
  </si>
  <si>
    <t xml:space="preserve">EUR COLLECTION_SETTLEMENT for Deutsche Bank via HSBC</t>
  </si>
  <si>
    <t xml:space="preserve">SSI-DEMO-035</t>
  </si>
  <si>
    <t xml:space="preserve">45ea4c86-67d4-40b7-935d-904a6e3ffd12</t>
  </si>
  <si>
    <t xml:space="preserve">APPL-EUR-HIGH-VALUE</t>
  </si>
  <si>
    <t xml:space="preserve">ROUTE-EUR-DEUTDEFF-EURO1</t>
  </si>
  <si>
    <t xml:space="preserve">EURO1</t>
  </si>
  <si>
    <t xml:space="preserve">DEMO-NOSTRO-EUR-EURO1-DEUT</t>
  </si>
  <si>
    <t xml:space="preserve">DEMO-NOSTRO-EUR-EURO1-DEUT-PRIMARY</t>
  </si>
  <si>
    <t xml:space="preserve">EUR Deutsche Bank High-value Settlement via EURO1</t>
  </si>
  <si>
    <t xml:space="preserve">f4bae14b-a208-45ae-990a-df840fb9af9f</t>
  </si>
  <si>
    <t xml:space="preserve">APPL-EXPORT_COLLECTION_PROCEEDS_SETTLEMENT-SGD</t>
  </si>
  <si>
    <t xml:space="preserve">ROUTE-SGD-DBSSSGSG</t>
  </si>
  <si>
    <t xml:space="preserve">SG</t>
  </si>
  <si>
    <t xml:space="preserve">SG_DOMESTIC</t>
  </si>
  <si>
    <t xml:space="preserve">MEPS_PLUS</t>
  </si>
  <si>
    <t xml:space="preserve">DEMO-NOSTRO-004-PRIMARY</t>
  </si>
  <si>
    <t xml:space="preserve">DEMO-NOSTRO-004-PRIMARY-PRIMARY</t>
  </si>
  <si>
    <t xml:space="preserve">SGD PROCEEDS_SETTLEMENT for DBS via DBS</t>
  </si>
  <si>
    <t xml:space="preserve">SSI-DEMO-008</t>
  </si>
  <si>
    <t xml:space="preserve">cc4f488c-99e1-40ad-a59d-a7d73f643de4</t>
  </si>
  <si>
    <t xml:space="preserve">ROUTE-SGD-OCBCSGSG</t>
  </si>
  <si>
    <t xml:space="preserve">DEMO-NOSTRO-004-SECONDARY</t>
  </si>
  <si>
    <t xml:space="preserve">DEMO-NOSTRO-004-SECONDARY-PRIMARY</t>
  </si>
  <si>
    <t xml:space="preserve">OCBCSGSG</t>
  </si>
  <si>
    <t xml:space="preserve">SGD PROCEEDS_SETTLEMENT for DBS via OCBC</t>
  </si>
  <si>
    <t xml:space="preserve">ca4a553d-77f0-4f30-b2a7-c83c4d81f52b</t>
  </si>
  <si>
    <t xml:space="preserve">APPL-STANDBY_LC_CLAIM_PAYMENT-JPY</t>
  </si>
  <si>
    <t xml:space="preserve">ROUTE-JPY-BOTKJPJT</t>
  </si>
  <si>
    <t xml:space="preserve">JP</t>
  </si>
  <si>
    <t xml:space="preserve">JP_DOMESTIC</t>
  </si>
  <si>
    <t xml:space="preserve">BOJ_NET</t>
  </si>
  <si>
    <t xml:space="preserve">DEMO-NOSTRO-005-PRIMARY</t>
  </si>
  <si>
    <t xml:space="preserve">DEMO-NOSTRO-005-PRIMARY-PRIMARY</t>
  </si>
  <si>
    <t xml:space="preserve">56A,57A,58A</t>
  </si>
  <si>
    <t xml:space="preserve">JPY CLAIM_PAYMENT for MUFG via MUFG</t>
  </si>
  <si>
    <t xml:space="preserve">SSI-DEMO-010</t>
  </si>
  <si>
    <t xml:space="preserve">ca1d12d4-1208-40d5-a8fe-bcd040bda6e3</t>
  </si>
  <si>
    <t xml:space="preserve">ROUTE-JPY-SMBCJPJT</t>
  </si>
  <si>
    <t xml:space="preserve">DEMO-NOSTRO-005-SECONDARY</t>
  </si>
  <si>
    <t xml:space="preserve">DEMO-NOSTRO-005-SECONDARY-PRIMARY</t>
  </si>
  <si>
    <t xml:space="preserve">SMBCJPJT</t>
  </si>
  <si>
    <t xml:space="preserve">JPY CLAIM_PAYMENT for MUFG via SMBC</t>
  </si>
  <si>
    <t xml:space="preserve">d60d207b-29b2-4352-8314-89378edcf139</t>
  </si>
  <si>
    <t xml:space="preserve">APPL-DEMAND_GUARANTEE_CLAIM_PAYMENT-HKD</t>
  </si>
  <si>
    <t xml:space="preserve">ROUTE-HKD-HSBCHKHH</t>
  </si>
  <si>
    <t xml:space="preserve">HK_DOLLAR</t>
  </si>
  <si>
    <t xml:space="preserve">HKD_CHATS</t>
  </si>
  <si>
    <t xml:space="preserve">DEMO-NOSTRO-006-PRIMARY</t>
  </si>
  <si>
    <t xml:space="preserve">DEMO-NOSTRO-006-PRIMARY-PRIMARY</t>
  </si>
  <si>
    <t xml:space="preserve">HKD CLAIM_PAYMENT for HSBC via HSBC</t>
  </si>
  <si>
    <t xml:space="preserve">SSI-DEMO-012</t>
  </si>
  <si>
    <t xml:space="preserve">12fed8b5-20a9-4fa0-b684-cfc08bd307fe</t>
  </si>
  <si>
    <t xml:space="preserve">ROUTE-HKD-SCBLHKHH</t>
  </si>
  <si>
    <t xml:space="preserve">DEMO-NOSTRO-006-SECONDARY</t>
  </si>
  <si>
    <t xml:space="preserve">DEMO-NOSTRO-006-SECONDARY-PRIMARY</t>
  </si>
  <si>
    <t xml:space="preserve">SCBLHKHH</t>
  </si>
  <si>
    <t xml:space="preserve">HKD CLAIM_PAYMENT for HSBC via SCB (HK)</t>
  </si>
  <si>
    <t xml:space="preserve">42aae02a-0597-4982-b4c0-4b27bb44a549</t>
  </si>
  <si>
    <t xml:space="preserve">APPL-LC_REIMBURSEMENT_SETTLEMENT-AUD</t>
  </si>
  <si>
    <t xml:space="preserve">ROUTE-AUD-CTBAAU2S</t>
  </si>
  <si>
    <t xml:space="preserve">AU</t>
  </si>
  <si>
    <t xml:space="preserve">AU_DOMESTIC</t>
  </si>
  <si>
    <t xml:space="preserve">RITS</t>
  </si>
  <si>
    <t xml:space="preserve">DEMO-NOSTRO-007-PRIMARY</t>
  </si>
  <si>
    <t xml:space="preserve">DEMO-NOSTRO-007-PRIMARY-PRIMARY</t>
  </si>
  <si>
    <t xml:space="preserve">CTBAAU2S</t>
  </si>
  <si>
    <t xml:space="preserve">AUD BANK_REIMBURSEMENT for BofA via CBA</t>
  </si>
  <si>
    <t xml:space="preserve">SSI-DEMO-014</t>
  </si>
  <si>
    <t xml:space="preserve">50d51f4c-9905-46f2-ac93-e0e1a4330019</t>
  </si>
  <si>
    <t xml:space="preserve">ROUTE-AUD-ANZBAU3M</t>
  </si>
  <si>
    <t xml:space="preserve">DEMO-NOSTRO-007-SECONDARY</t>
  </si>
  <si>
    <t xml:space="preserve">DEMO-NOSTRO-007-SECONDARY-PRIMARY</t>
  </si>
  <si>
    <t xml:space="preserve">ANZBAU3M</t>
  </si>
  <si>
    <t xml:space="preserve">AUD BANK_REIMBURSEMENT for BofA via ANZ</t>
  </si>
  <si>
    <t xml:space="preserve">eb1a6c37-f327-4038-8241-8aac9f5d20b9</t>
  </si>
  <si>
    <t xml:space="preserve">APPL-FX_SETTLEMENT-CAD</t>
  </si>
  <si>
    <t xml:space="preserve">ROUTE-CAD-ROYCCAT2</t>
  </si>
  <si>
    <t xml:space="preserve">CA</t>
  </si>
  <si>
    <t xml:space="preserve">CA_DOMESTIC</t>
  </si>
  <si>
    <t xml:space="preserve">LYNX</t>
  </si>
  <si>
    <t xml:space="preserve">DEMO-NOSTRO-008-PRIMARY</t>
  </si>
  <si>
    <t xml:space="preserve">DEMO-NOSTRO-008-PRIMARY-PRIMARY</t>
  </si>
  <si>
    <t xml:space="preserve">ROYCCAT2</t>
  </si>
  <si>
    <t xml:space="preserve">53A,56A,57A,58A</t>
  </si>
  <si>
    <t xml:space="preserve">CAD INTERBANK_SETTLEMENT for JPM via RBC</t>
  </si>
  <si>
    <t xml:space="preserve">SSI-DEMO-016</t>
  </si>
  <si>
    <t xml:space="preserve">ed799438-a80b-4787-85e5-443a0ca5c5bb</t>
  </si>
  <si>
    <t xml:space="preserve">ROUTE-CAD-BOFMCAM2</t>
  </si>
  <si>
    <t xml:space="preserve">DEMO-NOSTRO-008-SECONDARY</t>
  </si>
  <si>
    <t xml:space="preserve">DEMO-NOSTRO-008-SECONDARY-PRIMARY</t>
  </si>
  <si>
    <t xml:space="preserve">BOFMCAM2</t>
  </si>
  <si>
    <t xml:space="preserve">CAD INTERBANK_SETTLEMENT for JPM via BMO</t>
  </si>
  <si>
    <t xml:space="preserve">b96e8d9a-327b-4fb0-9777-a9ad9d86ac43</t>
  </si>
  <si>
    <t xml:space="preserve">APPL-EXPORT_COLLECTION_PROCEEDS_SETTLEMENT-USD</t>
  </si>
  <si>
    <t xml:space="preserve">DEMO-NOSTRO-001-EXPCOLL</t>
  </si>
  <si>
    <t xml:space="preserve">DEMO-NOSTRO-001-EXPCOLL-PRIMARY</t>
  </si>
  <si>
    <t xml:space="preserve">USD JPM Standing Settlement Route via Citi</t>
  </si>
  <si>
    <t xml:space="preserve">946b7448-f719-4bd4-8d83-f66c597e1f6d</t>
  </si>
  <si>
    <t xml:space="preserve">APPL-MONEY_MARKET_SETTLEMENT-CHF</t>
  </si>
  <si>
    <t xml:space="preserve">ROUTE-CHF-UBSWCHZH80A</t>
  </si>
  <si>
    <t xml:space="preserve">CH</t>
  </si>
  <si>
    <t xml:space="preserve">CH_DOMESTIC</t>
  </si>
  <si>
    <t xml:space="preserve">SIC</t>
  </si>
  <si>
    <t xml:space="preserve">DEMO-NOSTRO-009-PRIMARY</t>
  </si>
  <si>
    <t xml:space="preserve">DEMO-NOSTRO-009-PRIMARY-PRIMARY</t>
  </si>
  <si>
    <t xml:space="preserve">UBSWCHZH80A</t>
  </si>
  <si>
    <t xml:space="preserve">CHF INTERBANK_SETTLEMENT for SCB via UBS</t>
  </si>
  <si>
    <t xml:space="preserve">SSI-DEMO-018</t>
  </si>
  <si>
    <t xml:space="preserve">1bb2ba6f-b11d-4ed8-8213-482dbfa6afd4</t>
  </si>
  <si>
    <t xml:space="preserve">ROUTE-CHF-CRESCHZZ80A</t>
  </si>
  <si>
    <t xml:space="preserve">DEMO-NOSTRO-009-SECONDARY</t>
  </si>
  <si>
    <t xml:space="preserve">DEMO-NOSTRO-009-SECONDARY-PRIMARY</t>
  </si>
  <si>
    <t xml:space="preserve">CRESCHZZ80A</t>
  </si>
  <si>
    <t xml:space="preserve">CHF INTERBANK_SETTLEMENT for SCB via CS</t>
  </si>
  <si>
    <t xml:space="preserve">2927617a-e7e4-479e-9bc4-27a6705383ee</t>
  </si>
  <si>
    <t xml:space="preserve">APPL-CUSTOMER_CREDIT_TRANSFER-CNY</t>
  </si>
  <si>
    <t xml:space="preserve">ROUTE-CNY-BKCHCNBJ</t>
  </si>
  <si>
    <t xml:space="preserve">CN</t>
  </si>
  <si>
    <t xml:space="preserve">ONSHORE_CN</t>
  </si>
  <si>
    <t xml:space="preserve">CIPS</t>
  </si>
  <si>
    <t xml:space="preserve">DEMO-NOSTRO-010-PRIMARY</t>
  </si>
  <si>
    <t xml:space="preserve">DEMO-NOSTRO-010-PRIMARY-PRIMARY</t>
  </si>
  <si>
    <t xml:space="preserve">BKCHCNBJ</t>
  </si>
  <si>
    <t xml:space="preserve">53A,54A,56A,57A,58A,CdtrAgt,IntrmyAgt1</t>
  </si>
  <si>
    <t xml:space="preserve">CNY CUSTOMER_TRANSFER for BNP via Bank of China</t>
  </si>
  <si>
    <t xml:space="preserve">SSI-DEMO-020</t>
  </si>
  <si>
    <t xml:space="preserve">38df686a-9022-4ad6-8ac7-22435411d983</t>
  </si>
  <si>
    <t xml:space="preserve">ROUTE-CNY-HSBCHKHH</t>
  </si>
  <si>
    <t xml:space="preserve">OFFSHORE_RENMINBI_HK</t>
  </si>
  <si>
    <t xml:space="preserve">RMB_CHATS</t>
  </si>
  <si>
    <t xml:space="preserve">DEMO-NOSTRO-010-SECONDARY</t>
  </si>
  <si>
    <t xml:space="preserve">DEMO-NOSTRO-010-SECONDARY-PRIMARY</t>
  </si>
  <si>
    <t xml:space="preserve">CNY CUSTOMER_TRANSFER for BNP via HSBC</t>
  </si>
  <si>
    <t xml:space="preserve">SSI-DEMO-041</t>
  </si>
  <si>
    <t xml:space="preserve">22a11830-f848-4281-805f-8e693c98b364</t>
  </si>
  <si>
    <t xml:space="preserve">NSSIUSN1</t>
  </si>
  <si>
    <t xml:space="preserve">NEGATIVE CONTROL — NOT COV ALLOW-LISTED</t>
  </si>
  <si>
    <t xml:space="preserve">APPL-NORTHSTAR-USD</t>
  </si>
  <si>
    <t xml:space="preserve">ROUTE-USD-CITIUS33-NORTHSTAR</t>
  </si>
  <si>
    <t xml:space="preserve">DEMO-NORTHSTAR-USD-001</t>
  </si>
  <si>
    <t xml:space="preserve">DEMO-NORTHSTAR-USD-001-PRIMARY</t>
  </si>
  <si>
    <t xml:space="preserve">DEMO-LIMITED-COVERAGE</t>
  </si>
  <si>
    <t xml:space="preserve">Northstar Limited USD Settlement via Citi</t>
  </si>
  <si>
    <t xml:space="preserve">MT202,MT205</t>
  </si>
  <si>
    <t xml:space="preserve">SSI-DEMO-042</t>
  </si>
  <si>
    <t xml:space="preserve">50531295-c91a-4eb5-9c21-69d2dab38b7c</t>
  </si>
  <si>
    <t xml:space="preserve">APPL-NORTHSTAR-GBP</t>
  </si>
  <si>
    <t xml:space="preserve">ROUTE-GBP-BARCGB22-NORTHSTAR</t>
  </si>
  <si>
    <t xml:space="preserve">DEMO-NORTHSTAR-GBP-001</t>
  </si>
  <si>
    <t xml:space="preserve">DEMO-NORTHSTAR-GBP-001-PRIMARY</t>
  </si>
  <si>
    <t xml:space="preserve">Northstar Limited GBP Settlement via Barclays</t>
  </si>
  <si>
    <t xml:space="preserve">資料註記</t>
  </si>
  <si>
    <r>
      <rPr>
        <sz val="11"/>
        <rFont val="Times New Roman"/>
        <family val="1"/>
        <charset val="1"/>
      </rPr>
      <t xml:space="preserve">1. SSI-DEMO-002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006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020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accountReference </t>
    </r>
    <r>
      <rPr>
        <sz val="11"/>
        <rFont val="Noto Sans CJK SC"/>
        <family val="2"/>
      </rPr>
      <t xml:space="preserve">各對應 </t>
    </r>
    <r>
      <rPr>
        <sz val="11"/>
        <rFont val="Times New Roman"/>
        <family val="1"/>
        <charset val="1"/>
      </rPr>
      <t xml:space="preserve">4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ACTIVE Nostro</t>
    </r>
    <r>
      <rPr>
        <sz val="11"/>
        <rFont val="Noto Sans CJK SC"/>
        <family val="2"/>
      </rPr>
      <t xml:space="preserve">（兩個 </t>
    </r>
    <r>
      <rPr>
        <sz val="11"/>
        <rFont val="Times New Roman"/>
        <family val="1"/>
        <charset val="1"/>
      </rPr>
      <t xml:space="preserve">servicer × PRIMARY/BACKUP</t>
    </r>
    <r>
      <rPr>
        <sz val="11"/>
        <rFont val="Noto Sans CJK SC"/>
        <family val="2"/>
      </rPr>
      <t xml:space="preserve">），幣別、</t>
    </r>
    <r>
      <rPr>
        <sz val="11"/>
        <rFont val="Times New Roman"/>
        <family val="1"/>
        <charset val="1"/>
      </rPr>
      <t xml:space="preserve">purpose</t>
    </r>
    <r>
      <rPr>
        <sz val="11"/>
        <rFont val="Noto Sans CJK SC"/>
        <family val="2"/>
      </rPr>
      <t xml:space="preserve">、生效日完全相同。唯有以 </t>
    </r>
    <r>
      <rPr>
        <sz val="11"/>
        <rFont val="Times New Roman"/>
        <family val="1"/>
        <charset val="1"/>
      </rPr>
      <t xml:space="preserve">servicer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= </t>
    </r>
    <r>
      <rPr>
        <sz val="11"/>
        <rFont val="Noto Sans CJK SC"/>
        <family val="2"/>
      </rPr>
      <t xml:space="preserve">該 </t>
    </r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accountWithBic</t>
    </r>
    <r>
      <rPr>
        <sz val="11"/>
        <rFont val="Noto Sans CJK SC"/>
        <family val="2"/>
      </rPr>
      <t xml:space="preserve">）篩選才能唯一決定。若實作只做 </t>
    </r>
    <r>
      <rPr>
        <sz val="11"/>
        <rFont val="Times New Roman"/>
        <family val="1"/>
        <charset val="1"/>
      </rPr>
      <t xml:space="preserve">accountReference + PRIMARY</t>
    </r>
    <r>
      <rPr>
        <sz val="11"/>
        <rFont val="Noto Sans CJK SC"/>
        <family val="2"/>
      </rPr>
      <t xml:space="preserve">，會取到錯誤 </t>
    </r>
    <r>
      <rPr>
        <sz val="11"/>
        <rFont val="Times New Roman"/>
        <family val="1"/>
        <charset val="1"/>
      </rPr>
      <t xml:space="preserve">servicer </t>
    </r>
    <r>
      <rPr>
        <sz val="11"/>
        <rFont val="Noto Sans CJK SC"/>
        <family val="2"/>
      </rPr>
      <t xml:space="preserve">的帳戶。</t>
    </r>
  </si>
  <si>
    <r>
      <rPr>
        <sz val="11"/>
        <rFont val="Times New Roman"/>
        <family val="1"/>
        <charset val="1"/>
      </rPr>
      <t xml:space="preserve">2. SSI-DEMO-005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035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settlementCountry </t>
    </r>
    <r>
      <rPr>
        <sz val="11"/>
        <rFont val="Noto Sans CJK SC"/>
        <family val="2"/>
      </rPr>
      <t xml:space="preserve">為萬用值 </t>
    </r>
    <r>
      <rPr>
        <sz val="11"/>
        <rFont val="Times New Roman"/>
        <family val="1"/>
        <charset val="1"/>
      </rPr>
      <t xml:space="preserve">ANY</t>
    </r>
    <r>
      <rPr>
        <sz val="11"/>
        <rFont val="Noto Sans CJK SC"/>
        <family val="2"/>
      </rPr>
      <t xml:space="preserve">，是全表唯一使用萬用值者；可用於驗證硬過濾對 </t>
    </r>
    <r>
      <rPr>
        <sz val="11"/>
        <rFont val="Times New Roman"/>
        <family val="1"/>
        <charset val="1"/>
      </rPr>
      <t xml:space="preserve">ANY </t>
    </r>
    <r>
      <rPr>
        <sz val="11"/>
        <rFont val="Noto Sans CJK SC"/>
        <family val="2"/>
      </rPr>
      <t xml:space="preserve">的處理。</t>
    </r>
  </si>
  <si>
    <r>
      <rPr>
        <sz val="11"/>
        <rFont val="Times New Roman"/>
        <family val="1"/>
        <charset val="1"/>
      </rPr>
      <t xml:space="preserve">3. SSI-DEMO-019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020 </t>
    </r>
    <r>
      <rPr>
        <sz val="11"/>
        <rFont val="Noto Sans CJK SC"/>
        <family val="2"/>
      </rPr>
      <t xml:space="preserve">是唯一候選分屬不同結算國者（</t>
    </r>
    <r>
      <rPr>
        <sz val="11"/>
        <rFont val="Times New Roman"/>
        <family val="1"/>
        <charset val="1"/>
      </rPr>
      <t xml:space="preserve">CN onshore CIPS vs HK offshore RMB CHATS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</si>
  <si>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1"/>
        <charset val="1"/>
      </rPr>
      <t xml:space="preserve">4. SSI-DEMO-004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counterpartyBic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BARCGB22 </t>
    </r>
    <r>
      <rPr>
        <sz val="11"/>
        <rFont val="Noto Sans CJK SC"/>
        <family val="2"/>
      </rPr>
      <t xml:space="preserve">但 </t>
    </r>
    <r>
      <rPr>
        <sz val="11"/>
        <rFont val="Times New Roman"/>
        <family val="1"/>
        <charset val="1"/>
      </rPr>
      <t xml:space="preserve">bic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accountWithBic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SCBLGB2L —— </t>
    </r>
    <r>
      <rPr>
        <sz val="11"/>
        <rFont val="Noto Sans CJK SC"/>
        <family val="2"/>
      </rPr>
      <t xml:space="preserve">這是「</t>
    </r>
    <r>
      <rPr>
        <sz val="11"/>
        <rFont val="Times New Roman"/>
        <family val="1"/>
        <charset val="1"/>
      </rPr>
      <t xml:space="preserve">Barclays </t>
    </r>
    <r>
      <rPr>
        <sz val="11"/>
        <rFont val="Noto Sans CJK SC"/>
        <family val="2"/>
      </rPr>
      <t xml:space="preserve">經 </t>
    </r>
    <r>
      <rPr>
        <sz val="11"/>
        <rFont val="Times New Roman"/>
        <family val="1"/>
        <charset val="1"/>
      </rPr>
      <t xml:space="preserve">Standard Chartered </t>
    </r>
    <r>
      <rPr>
        <sz val="11"/>
        <rFont val="Noto Sans CJK SC"/>
        <family val="2"/>
      </rPr>
      <t xml:space="preserve">代理」的合法路由，非資料矛盾。</t>
    </r>
  </si>
  <si>
    <r>
      <rPr>
        <sz val="11"/>
        <rFont val="Times New Roman"/>
        <family val="1"/>
        <charset val="1"/>
      </rPr>
      <t xml:space="preserve">5. ssiTags </t>
    </r>
    <r>
      <rPr>
        <sz val="11"/>
        <rFont val="Noto Sans CJK SC"/>
        <family val="2"/>
      </rPr>
      <t xml:space="preserve">標示「</t>
    </r>
    <r>
      <rPr>
        <sz val="11"/>
        <rFont val="Times New Roman"/>
        <family val="1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Times New Roman"/>
        <family val="1"/>
        <charset val="1"/>
      </rPr>
      <t xml:space="preserve">)</t>
    </r>
    <r>
      <rPr>
        <sz val="11"/>
        <rFont val="Noto Sans CJK SC"/>
        <family val="2"/>
      </rPr>
      <t xml:space="preserve">」者，該欄於原始資料為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。依 </t>
    </r>
    <r>
      <rPr>
        <sz val="11"/>
        <rFont val="Times New Roman"/>
        <family val="1"/>
        <charset val="1"/>
      </rPr>
      <t xml:space="preserve">EC-RANK-01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ssiTags </t>
    </r>
    <r>
      <rPr>
        <sz val="11"/>
        <rFont val="Noto Sans CJK SC"/>
        <family val="2"/>
      </rPr>
      <t xml:space="preserve">不得作為排序或決勝鍵。</t>
    </r>
  </si>
  <si>
    <r>
      <rPr>
        <b val="true"/>
        <sz val="11"/>
        <color rgb="FF1F3864"/>
        <rFont val="Times New Roman"/>
        <family val="1"/>
        <charset val="1"/>
      </rPr>
      <t xml:space="preserve">UI </t>
    </r>
    <r>
      <rPr>
        <b val="true"/>
        <sz val="11"/>
        <color rgb="FF1F3864"/>
        <rFont val="Noto Sans CJK SC"/>
        <family val="2"/>
      </rPr>
      <t xml:space="preserve">輸入指引與常見誤判</t>
    </r>
  </si>
  <si>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1"/>
        <charset val="1"/>
      </rPr>
      <t xml:space="preserve">Resolution </t>
    </r>
    <r>
      <rPr>
        <i val="true"/>
        <sz val="11"/>
        <color rgb="FF595959"/>
        <rFont val="Noto Sans CJK SC"/>
        <family val="2"/>
      </rPr>
      <t xml:space="preserve">畫面欄位順序整理。黃底欄位是最常造成假陽性的地方。</t>
    </r>
  </si>
  <si>
    <t xml:space="preserve">畫面欄位</t>
  </si>
  <si>
    <t xml:space="preserve">本清單的填法</t>
  </si>
  <si>
    <t xml:space="preserve">說明</t>
  </si>
  <si>
    <t xml:space="preserve">輸出格式分頁</t>
  </si>
  <si>
    <r>
      <rPr>
        <sz val="11"/>
        <rFont val="Noto Sans CJK SC"/>
        <family val="2"/>
      </rPr>
      <t xml:space="preserve">依案例：</t>
    </r>
    <r>
      <rPr>
        <sz val="11"/>
        <rFont val="Times New Roman"/>
        <family val="1"/>
        <charset val="1"/>
      </rPr>
      <t xml:space="preserve">MT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1"/>
        <charset val="1"/>
      </rPr>
      <t xml:space="preserve">MX</t>
    </r>
    <r>
      <rPr>
        <sz val="11"/>
        <rFont val="Noto Sans CJK SC"/>
        <family val="2"/>
      </rPr>
      <t xml:space="preserve">；切換格式不得重新解析或改變 </t>
    </r>
    <r>
      <rPr>
        <sz val="11"/>
        <rFont val="Times New Roman"/>
        <family val="1"/>
        <charset val="1"/>
      </rPr>
      <t xml:space="preserve">confirmed snapshot</t>
    </r>
  </si>
  <si>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只以 </t>
    </r>
    <r>
      <rPr>
        <sz val="11"/>
        <rFont val="Times New Roman"/>
        <family val="1"/>
        <charset val="1"/>
      </rPr>
      <t xml:space="preserve">MX </t>
    </r>
    <r>
      <rPr>
        <sz val="11"/>
        <rFont val="Noto Sans CJK SC"/>
        <family val="2"/>
      </rPr>
      <t xml:space="preserve">執行 </t>
    </r>
    <r>
      <rPr>
        <sz val="11"/>
        <rFont val="Times New Roman"/>
        <family val="1"/>
        <charset val="1"/>
      </rPr>
      <t xml:space="preserve">Resolution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RMA</t>
    </r>
    <r>
      <rPr>
        <sz val="11"/>
        <rFont val="Noto Sans CJK SC"/>
        <family val="2"/>
      </rPr>
      <t xml:space="preserve">；選 </t>
    </r>
    <r>
      <rPr>
        <sz val="11"/>
        <rFont val="Times New Roman"/>
        <family val="1"/>
        <charset val="1"/>
      </rPr>
      <t xml:space="preserve">MT </t>
    </r>
    <r>
      <rPr>
        <sz val="11"/>
        <rFont val="Noto Sans CJK SC"/>
        <family val="2"/>
      </rPr>
      <t xml:space="preserve">分頁只是回覆適用的 </t>
    </r>
    <r>
      <rPr>
        <sz val="11"/>
        <rFont val="Times New Roman"/>
        <family val="1"/>
        <charset val="1"/>
      </rPr>
      <t xml:space="preserve">5x Tags</t>
    </r>
    <r>
      <rPr>
        <sz val="11"/>
        <rFont val="Noto Sans CJK SC"/>
        <family val="2"/>
      </rPr>
      <t xml:space="preserve">，不改變 </t>
    </r>
    <r>
      <rPr>
        <sz val="11"/>
        <rFont val="Times New Roman"/>
        <family val="1"/>
        <charset val="1"/>
      </rPr>
      <t xml:space="preserve">route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RMA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1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</si>
  <si>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t xml:space="preserve">依清單</t>
  </si>
  <si>
    <r>
      <rPr>
        <sz val="11"/>
        <rFont val="Noto Sans CJK SC"/>
        <family val="2"/>
      </rPr>
      <t xml:space="preserve">解析主鍵。畫面出現「</t>
    </r>
    <r>
      <rPr>
        <sz val="11"/>
        <rFont val="Times New Roman"/>
        <family val="1"/>
        <charset val="1"/>
      </rPr>
      <t xml:space="preserve">SSI Record Available</t>
    </r>
    <r>
      <rPr>
        <sz val="11"/>
        <rFont val="Noto Sans CJK SC"/>
        <family val="2"/>
      </rPr>
      <t xml:space="preserve">」只代表找到 </t>
    </r>
    <r>
      <rPr>
        <sz val="11"/>
        <rFont val="Times New Roman"/>
        <family val="1"/>
        <charset val="1"/>
      </rPr>
      <t xml:space="preserve">Active SSI</t>
    </r>
    <r>
      <rPr>
        <sz val="11"/>
        <rFont val="Noto Sans CJK SC"/>
        <family val="2"/>
      </rPr>
      <t xml:space="preserve">，不代表 </t>
    </r>
    <r>
      <rPr>
        <sz val="11"/>
        <rFont val="Times New Roman"/>
        <family val="1"/>
        <charset val="1"/>
      </rPr>
      <t xml:space="preserve">eligible —— eligible </t>
    </r>
    <r>
      <rPr>
        <sz val="11"/>
        <rFont val="Noto Sans CJK SC"/>
        <family val="2"/>
      </rPr>
      <t xml:space="preserve">仍由 </t>
    </r>
    <r>
      <rPr>
        <sz val="11"/>
        <rFont val="Times New Roman"/>
        <family val="1"/>
        <charset val="1"/>
      </rPr>
      <t xml:space="preserve">API Resolution </t>
    </r>
    <r>
      <rPr>
        <sz val="11"/>
        <rFont val="Noto Sans CJK SC"/>
        <family val="2"/>
      </rPr>
      <t xml:space="preserve">判定。</t>
    </r>
  </si>
  <si>
    <r>
      <rPr>
        <sz val="11"/>
        <rFont val="Noto Sans CJK SC"/>
        <family val="2"/>
      </rPr>
      <t xml:space="preserve">硬過濾。任一 </t>
    </r>
    <r>
      <rPr>
        <sz val="11"/>
        <rFont val="Times New Roman"/>
        <family val="1"/>
        <charset val="1"/>
      </rPr>
      <t xml:space="preserve">resolver input </t>
    </r>
    <r>
      <rPr>
        <sz val="11"/>
        <rFont val="Noto Sans CJK SC"/>
        <family val="2"/>
      </rPr>
      <t xml:space="preserve">變動後，舊結果須立即失效；重新 </t>
    </r>
    <r>
      <rPr>
        <sz val="11"/>
        <rFont val="Times New Roman"/>
        <family val="1"/>
        <charset val="1"/>
      </rPr>
      <t xml:space="preserve">Preview </t>
    </r>
    <r>
      <rPr>
        <sz val="11"/>
        <rFont val="Noto Sans CJK SC"/>
        <family val="2"/>
      </rPr>
      <t xml:space="preserve">後 </t>
    </r>
    <r>
      <rPr>
        <sz val="11"/>
        <rFont val="Times New Roman"/>
        <family val="1"/>
        <charset val="1"/>
      </rPr>
      <t xml:space="preserve">currency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nostro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必須整批一致。</t>
    </r>
  </si>
  <si>
    <t xml:space="preserve">Booking Branch / Entity</t>
  </si>
  <si>
    <t xml:space="preserve">HK01 · Hong Kong Branch</t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</si>
  <si>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1"/>
        <charset val="1"/>
      </rPr>
      <t xml:space="preserve">42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ACTIVE SSI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bookingEntity </t>
    </r>
    <r>
      <rPr>
        <sz val="11"/>
        <rFont val="Noto Sans CJK SC"/>
        <family val="2"/>
      </rPr>
      <t xml:space="preserve">均為 </t>
    </r>
    <r>
      <rPr>
        <sz val="11"/>
        <rFont val="Times New Roman"/>
        <family val="1"/>
        <charset val="1"/>
      </rPr>
      <t xml:space="preserve">HK01</t>
    </r>
    <r>
      <rPr>
        <sz val="11"/>
        <rFont val="Noto Sans CJK SC"/>
        <family val="2"/>
      </rPr>
      <t xml:space="preserve">；換成其他分行一律解析不到。</t>
    </r>
  </si>
  <si>
    <t xml:space="preserve">Settlement Country</t>
  </si>
  <si>
    <t xml:space="preserve">留白</t>
  </si>
  <si>
    <r>
      <rPr>
        <sz val="11"/>
        <rFont val="Noto Sans CJK SC"/>
        <family val="2"/>
      </rPr>
      <t xml:space="preserve">硬過濾、非排序鍵。填錯會把唯一候選濾掉，回傳 </t>
    </r>
    <r>
      <rPr>
        <sz val="11"/>
        <rFont val="Times New Roman"/>
        <family val="1"/>
        <charset val="1"/>
      </rPr>
      <t xml:space="preserve">SSI_NOT_FOUND</t>
    </r>
    <r>
      <rPr>
        <sz val="11"/>
        <rFont val="Noto Sans CJK SC"/>
        <family val="2"/>
      </rPr>
      <t xml:space="preserve">，且錯誤訊息不會指出是 </t>
    </r>
    <r>
      <rPr>
        <sz val="11"/>
        <rFont val="Times New Roman"/>
        <family val="1"/>
        <charset val="1"/>
      </rPr>
      <t xml:space="preserve">override </t>
    </r>
    <r>
      <rPr>
        <sz val="11"/>
        <rFont val="Noto Sans CJK SC"/>
        <family val="2"/>
      </rPr>
      <t xml:space="preserve">造成的。最常見的坑：把 </t>
    </r>
    <r>
      <rPr>
        <sz val="11"/>
        <rFont val="Times New Roman"/>
        <family val="1"/>
        <charset val="1"/>
      </rPr>
      <t xml:space="preserve">BARCGB22 </t>
    </r>
    <r>
      <rPr>
        <sz val="11"/>
        <rFont val="Noto Sans CJK SC"/>
        <family val="2"/>
      </rPr>
      <t xml:space="preserve">由 </t>
    </r>
    <r>
      <rPr>
        <sz val="11"/>
        <rFont val="Times New Roman"/>
        <family val="1"/>
        <charset val="1"/>
      </rPr>
      <t xml:space="preserve">GBP </t>
    </r>
    <r>
      <rPr>
        <sz val="11"/>
        <rFont val="Noto Sans CJK SC"/>
        <family val="2"/>
      </rPr>
      <t xml:space="preserve">改 </t>
    </r>
    <r>
      <rPr>
        <sz val="11"/>
        <rFont val="Times New Roman"/>
        <family val="1"/>
        <charset val="1"/>
      </rPr>
      <t xml:space="preserve">USD </t>
    </r>
    <r>
      <rPr>
        <sz val="11"/>
        <rFont val="Noto Sans CJK SC"/>
        <family val="2"/>
      </rPr>
      <t xml:space="preserve">時忘了清掉 </t>
    </r>
    <r>
      <rPr>
        <sz val="11"/>
        <rFont val="Times New Roman"/>
        <family val="1"/>
        <charset val="1"/>
      </rPr>
      <t xml:space="preserve">GB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SSI-DEMO-024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settlementCountry </t>
    </r>
    <r>
      <rPr>
        <sz val="11"/>
        <rFont val="Noto Sans CJK SC"/>
        <family val="2"/>
      </rPr>
      <t xml:space="preserve">是 </t>
    </r>
    <r>
      <rPr>
        <sz val="11"/>
        <rFont val="Times New Roman"/>
        <family val="1"/>
        <charset val="1"/>
      </rPr>
      <t xml:space="preserve">US</t>
    </r>
    <r>
      <rPr>
        <sz val="11"/>
        <rFont val="Noto Sans CJK SC"/>
        <family val="2"/>
      </rPr>
      <t xml:space="preserve">）。</t>
    </r>
  </si>
  <si>
    <t xml:space="preserve">Settlement Market</t>
  </si>
  <si>
    <r>
      <rPr>
        <sz val="11"/>
        <rFont val="Noto Sans CJK SC"/>
        <family val="2"/>
      </rPr>
      <t xml:space="preserve">同上。留白時由 </t>
    </r>
    <r>
      <rPr>
        <sz val="11"/>
        <rFont val="Times New Roman"/>
        <family val="1"/>
        <charset val="1"/>
      </rPr>
      <t xml:space="preserve">eligible route </t>
    </r>
    <r>
      <rPr>
        <sz val="11"/>
        <rFont val="Noto Sans CJK SC"/>
        <family val="2"/>
      </rPr>
      <t xml:space="preserve">推導。</t>
    </r>
  </si>
  <si>
    <t xml:space="preserve">Clearing System</t>
  </si>
  <si>
    <t xml:space="preserve">Derive from eligible route</t>
  </si>
  <si>
    <t xml:space="preserve">同上。</t>
  </si>
  <si>
    <t xml:space="preserve">Value Date</t>
  </si>
  <si>
    <t xml:space="preserve">任意營業日</t>
  </si>
  <si>
    <r>
      <rPr>
        <sz val="11"/>
        <rFont val="Noto Sans CJK SC"/>
        <family val="2"/>
      </rPr>
      <t xml:space="preserve">交易資料，不參與解析。畫面為美式 </t>
    </r>
    <r>
      <rPr>
        <sz val="11"/>
        <rFont val="Times New Roman"/>
        <family val="1"/>
        <charset val="1"/>
      </rPr>
      <t xml:space="preserve">MM/DD/YYYY</t>
    </r>
    <r>
      <rPr>
        <sz val="11"/>
        <rFont val="Noto Sans CJK SC"/>
        <family val="2"/>
      </rPr>
      <t xml:space="preserve">，填寫時請確認月日未顛倒。</t>
    </r>
  </si>
  <si>
    <t xml:space="preserve">Amount</t>
  </si>
  <si>
    <t xml:space="preserve">任意</t>
  </si>
  <si>
    <t xml:space="preserve">交易資料，不參與解析。</t>
  </si>
  <si>
    <t xml:space="preserve">Transaction Reference</t>
  </si>
  <si>
    <t xml:space="preserve">任意唯一值</t>
  </si>
  <si>
    <r>
      <rPr>
        <sz val="11"/>
        <rFont val="Noto Sans CJK SC"/>
        <family val="2"/>
      </rPr>
      <t xml:space="preserve">交易資料，不參與解析。建議帶案例編號以便對帳，例如 </t>
    </r>
    <r>
      <rPr>
        <sz val="11"/>
        <rFont val="Times New Roman"/>
        <family val="1"/>
        <charset val="1"/>
      </rPr>
      <t xml:space="preserve">UAT-MT2-001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</si>
  <si>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每案必驗的回應不變式（</t>
    </r>
    <r>
      <rPr>
        <b val="true"/>
        <sz val="11"/>
        <rFont val="Times New Roman"/>
        <family val="1"/>
        <charset val="1"/>
      </rPr>
      <t xml:space="preserve">A1–A4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</si>
  <si>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1"/>
        <charset val="1"/>
      </rPr>
      <t xml:space="preserve">A1_RESOLVED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200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</si>
  <si>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chosenRoute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且完整；</t>
    </r>
    <r>
      <rPr>
        <sz val="11"/>
        <rFont val="Times New Roman"/>
        <family val="1"/>
        <charset val="1"/>
      </rPr>
      <t xml:space="preserve">roleProvenance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且完整；</t>
    </r>
    <r>
      <rPr>
        <sz val="11"/>
        <rFont val="Times New Roman"/>
        <family val="1"/>
        <charset val="1"/>
      </rPr>
      <t xml:space="preserve">snapshotHash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resolutionToken </t>
    </r>
    <r>
      <rPr>
        <sz val="11"/>
        <rFont val="Noto Sans CJK SC"/>
        <family val="2"/>
      </rPr>
      <t xml:space="preserve">存在；每個角色都有 </t>
    </r>
    <r>
      <rPr>
        <sz val="11"/>
        <rFont val="Times New Roman"/>
        <family val="1"/>
        <charset val="1"/>
      </rPr>
      <t xml:space="preserve">source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sourceField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evidence </t>
    </r>
    <r>
      <rPr>
        <sz val="11"/>
        <rFont val="Noto Sans CJK SC"/>
        <family val="2"/>
      </rPr>
      <t xml:space="preserve">版本。</t>
    </r>
  </si>
  <si>
    <r>
      <rPr>
        <b val="true"/>
        <sz val="11"/>
        <rFont val="Times New Roman"/>
        <family val="1"/>
        <charset val="1"/>
      </rPr>
      <t xml:space="preserve">A2_TIE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422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</si>
  <si>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fail closed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Repair Queue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payloadGenerated=false</t>
    </r>
    <r>
      <rPr>
        <sz val="11"/>
        <rFont val="Noto Sans CJK SC"/>
        <family val="2"/>
      </rPr>
      <t xml:space="preserve">；無任何技術性決勝。</t>
    </r>
  </si>
  <si>
    <r>
      <rPr>
        <b val="true"/>
        <sz val="11"/>
        <rFont val="Times New Roman"/>
        <family val="1"/>
        <charset val="1"/>
      </rPr>
      <t xml:space="preserve">A3_AMBIGUOUS_SHAPE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422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</si>
  <si>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canonicalRoute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agent roles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messageComposerContext </t>
    </r>
    <r>
      <rPr>
        <sz val="11"/>
        <rFont val="Noto Sans CJK SC"/>
        <family val="2"/>
      </rPr>
      <t xml:space="preserve">全部為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candidates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且無序，每筆帶 </t>
    </r>
    <r>
      <rPr>
        <sz val="11"/>
        <rFont val="Times New Roman"/>
        <family val="1"/>
        <charset val="1"/>
      </rPr>
      <t xml:space="preserve">tieMember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businessRank</t>
    </r>
    <r>
      <rPr>
        <sz val="11"/>
        <rFont val="Noto Sans CJK SC"/>
        <family val="2"/>
      </rPr>
      <t xml:space="preserve">；不得出現 </t>
    </r>
    <r>
      <rPr>
        <sz val="11"/>
        <rFont val="Times New Roman"/>
        <family val="1"/>
        <charset val="1"/>
      </rPr>
      <t xml:space="preserve">alternativeRoutes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renderedPayload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recommendedRoute</t>
    </r>
    <r>
      <rPr>
        <sz val="11"/>
        <rFont val="Noto Sans CJK SC"/>
        <family val="2"/>
      </rPr>
      <t xml:space="preserve">。</t>
    </r>
  </si>
  <si>
    <t xml:space="preserve">A4_NOSTRO_JOIN</t>
  </si>
  <si>
    <r>
      <rPr>
        <sz val="11"/>
        <rFont val="Times New Roman"/>
        <family val="1"/>
        <charset val="1"/>
      </rPr>
      <t xml:space="preserve">accountId </t>
    </r>
    <r>
      <rPr>
        <sz val="11"/>
        <rFont val="Noto Sans CJK SC"/>
        <family val="2"/>
      </rPr>
      <t xml:space="preserve">必須精確等於 </t>
    </r>
    <r>
      <rPr>
        <sz val="11"/>
        <rFont val="Times New Roman"/>
        <family val="1"/>
        <charset val="1"/>
      </rPr>
      <t xml:space="preserve">ACTIVE Nostro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accountReference</t>
    </r>
    <r>
      <rPr>
        <sz val="11"/>
        <rFont val="Noto Sans CJK SC"/>
        <family val="2"/>
      </rPr>
      <t xml:space="preserve">；禁止以 </t>
    </r>
    <r>
      <rPr>
        <sz val="11"/>
        <rFont val="Times New Roman"/>
        <family val="1"/>
        <charset val="1"/>
      </rPr>
      <t xml:space="preserve">Nostro.id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maskedAccountRef </t>
    </r>
    <r>
      <rPr>
        <sz val="11"/>
        <rFont val="Noto Sans CJK SC"/>
        <family val="2"/>
      </rPr>
      <t xml:space="preserve">或前綴／模糊比對。</t>
    </r>
  </si>
  <si>
    <t xml:space="preserve">跨筆混用檢查</t>
  </si>
  <si>
    <r>
      <rPr>
        <sz val="11"/>
        <rFont val="Times New Roman"/>
        <family val="1"/>
        <charset val="1"/>
      </rPr>
      <t xml:space="preserve">chosen </t>
    </r>
    <r>
      <rPr>
        <sz val="11"/>
        <rFont val="Noto Sans CJK SC"/>
        <family val="2"/>
      </rPr>
      <t xml:space="preserve">的帳號與 </t>
    </r>
    <r>
      <rPr>
        <sz val="11"/>
        <rFont val="Times New Roman"/>
        <family val="1"/>
        <charset val="1"/>
      </rPr>
      <t xml:space="preserve">agent </t>
    </r>
    <r>
      <rPr>
        <sz val="11"/>
        <rFont val="Noto Sans CJK SC"/>
        <family val="2"/>
      </rPr>
      <t xml:space="preserve">必須來自同一筆 </t>
    </r>
    <r>
      <rPr>
        <sz val="11"/>
        <rFont val="Times New Roman"/>
        <family val="1"/>
        <charset val="1"/>
      </rPr>
      <t xml:space="preserve">SSI</t>
    </r>
    <r>
      <rPr>
        <sz val="11"/>
        <rFont val="Noto Sans CJK SC"/>
        <family val="2"/>
      </rPr>
      <t xml:space="preserve">。曾出現「帳號取自 </t>
    </r>
    <r>
      <rPr>
        <sz val="11"/>
        <rFont val="Times New Roman"/>
        <family val="1"/>
        <charset val="1"/>
      </rPr>
      <t xml:space="preserve">022(GBP) </t>
    </r>
    <r>
      <rPr>
        <sz val="11"/>
        <rFont val="Noto Sans CJK SC"/>
        <family val="2"/>
      </rPr>
      <t xml:space="preserve">但 </t>
    </r>
    <r>
      <rPr>
        <sz val="11"/>
        <rFont val="Times New Roman"/>
        <family val="1"/>
        <charset val="1"/>
      </rPr>
      <t xml:space="preserve">agent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1"/>
        <charset val="1"/>
      </rPr>
      <t xml:space="preserve">024(USD/CITIUS33)</t>
    </r>
    <r>
      <rPr>
        <sz val="11"/>
        <rFont val="Noto Sans CJK SC"/>
        <family val="2"/>
      </rPr>
      <t xml:space="preserve">」的硬錯，務必回歸驗證。</t>
    </r>
  </si>
  <si>
    <r>
      <rPr>
        <b val="true"/>
        <sz val="11"/>
        <color rgb="FF1F3864"/>
        <rFont val="Times New Roman"/>
        <family val="1"/>
        <charset val="1"/>
      </rPr>
      <t xml:space="preserve">Message Scenarios</t>
    </r>
    <r>
      <rPr>
        <b val="true"/>
        <sz val="11"/>
        <color rgb="FF1F3864"/>
        <rFont val="Noto Sans CJK SC"/>
        <family val="2"/>
      </rPr>
      <t xml:space="preserve">（畫面「雙擊情境以套用參數」）</t>
    </r>
  </si>
  <si>
    <r>
      <rPr>
        <i val="true"/>
        <sz val="11"/>
        <color rgb="FF595959"/>
        <rFont val="Noto Sans CJK SC"/>
        <family val="2"/>
      </rPr>
      <t xml:space="preserve">【</t>
    </r>
    <r>
      <rPr>
        <i val="true"/>
        <sz val="11"/>
        <color rgb="FF595959"/>
        <rFont val="Times New Roman"/>
        <family val="0"/>
        <charset val="1"/>
      </rPr>
      <t xml:space="preserve">R2 </t>
    </r>
    <r>
      <rPr>
        <i val="true"/>
        <sz val="11"/>
        <color rgb="FF595959"/>
        <rFont val="Noto Sans CJK SC"/>
        <family val="2"/>
      </rPr>
      <t xml:space="preserve">更正】情境可改變 </t>
    </r>
    <r>
      <rPr>
        <i val="true"/>
        <sz val="11"/>
        <color rgb="FF595959"/>
        <rFont val="Times New Roman"/>
        <family val="0"/>
        <charset val="1"/>
      </rPr>
      <t xml:space="preserve">Resolution Domain</t>
    </r>
    <r>
      <rPr>
        <i val="true"/>
        <sz val="11"/>
        <color rgb="FF595959"/>
        <rFont val="Noto Sans CJK SC"/>
        <family val="2"/>
      </rPr>
      <t xml:space="preserve">，原句「情境不改變 </t>
    </r>
    <r>
      <rPr>
        <i val="true"/>
        <sz val="11"/>
        <color rgb="FF595959"/>
        <rFont val="Times New Roman"/>
        <family val="0"/>
        <charset val="1"/>
      </rPr>
      <t xml:space="preserve">SSI </t>
    </r>
    <r>
      <rPr>
        <i val="true"/>
        <sz val="11"/>
        <color rgb="FF595959"/>
        <rFont val="Noto Sans CJK SC"/>
        <family val="2"/>
      </rPr>
      <t xml:space="preserve">選取結果」已撤回。但 </t>
    </r>
    <r>
      <rPr>
        <i val="true"/>
        <sz val="11"/>
        <color rgb="FF595959"/>
        <rFont val="Times New Roman"/>
        <family val="0"/>
        <charset val="1"/>
      </rPr>
      <t xml:space="preserve">57A </t>
    </r>
    <r>
      <rPr>
        <i val="true"/>
        <sz val="11"/>
        <color rgb="FF595959"/>
        <rFont val="Noto Sans CJK SC"/>
        <family val="2"/>
      </rPr>
      <t xml:space="preserve">省略規則並未作廢 —— 依 </t>
    </r>
    <r>
      <rPr>
        <i val="true"/>
        <sz val="11"/>
        <color rgb="FF595959"/>
        <rFont val="Times New Roman"/>
        <family val="0"/>
        <charset val="1"/>
      </rPr>
      <t xml:space="preserve">MRG us2m_20260717.pdf p.52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0"/>
        <charset val="1"/>
      </rPr>
      <t xml:space="preserve">p.54</t>
    </r>
    <r>
      <rPr>
        <i val="true"/>
        <sz val="11"/>
        <color rgb="FF595959"/>
        <rFont val="Noto Sans CJK SC"/>
        <family val="2"/>
      </rPr>
      <t xml:space="preserve">，</t>
    </r>
    <r>
      <rPr>
        <i val="true"/>
        <sz val="11"/>
        <color rgb="FF595959"/>
        <rFont val="Times New Roman"/>
        <family val="0"/>
        <charset val="1"/>
      </rPr>
      <t xml:space="preserve">book transfer </t>
    </r>
    <r>
      <rPr>
        <i val="true"/>
        <sz val="11"/>
        <color rgb="FF595959"/>
        <rFont val="Noto Sans CJK SC"/>
        <family val="2"/>
      </rPr>
      <t xml:space="preserve">的 </t>
    </r>
    <r>
      <rPr>
        <i val="true"/>
        <sz val="11"/>
        <color rgb="FF595959"/>
        <rFont val="Times New Roman"/>
        <family val="0"/>
        <charset val="1"/>
      </rPr>
      <t xml:space="preserve">57a </t>
    </r>
    <r>
      <rPr>
        <i val="true"/>
        <sz val="11"/>
        <color rgb="FF595959"/>
        <rFont val="Noto Sans CJK SC"/>
        <family val="2"/>
      </rPr>
      <t xml:space="preserve">省略是明文要求。</t>
    </r>
  </si>
  <si>
    <t xml:space="preserve">情境說明</t>
  </si>
  <si>
    <t xml:space="preserve">ISO 20022</t>
  </si>
  <si>
    <t xml:space="preserve">TARGET SCENARIO</t>
  </si>
  <si>
    <r>
      <rPr>
        <b val="true"/>
        <sz val="11"/>
        <color rgb="FFFFFFFF"/>
        <rFont val="Times New Roman"/>
        <family val="1"/>
        <charset val="1"/>
      </rPr>
      <t xml:space="preserve">UAT </t>
    </r>
    <r>
      <rPr>
        <b val="true"/>
        <sz val="11"/>
        <color rgb="FFFFFFFF"/>
        <rFont val="Noto Sans CJK SC"/>
        <family val="2"/>
      </rPr>
      <t xml:space="preserve">重點</t>
    </r>
  </si>
  <si>
    <r>
      <rPr>
        <sz val="11"/>
        <rFont val="Times New Roman"/>
        <family val="1"/>
        <charset val="1"/>
      </rPr>
      <t xml:space="preserve">Book transfer — same receiver</t>
    </r>
    <r>
      <rPr>
        <sz val="11"/>
        <rFont val="Noto Sans CJK SC"/>
        <family val="2"/>
      </rPr>
      <t xml:space="preserve">（兩個自有帳戶均由 </t>
    </r>
    <r>
      <rPr>
        <sz val="11"/>
        <rFont val="Times New Roman"/>
        <family val="1"/>
        <charset val="1"/>
      </rPr>
      <t xml:space="preserve">Receiver </t>
    </r>
    <r>
      <rPr>
        <sz val="11"/>
        <rFont val="Noto Sans CJK SC"/>
        <family val="2"/>
      </rPr>
      <t xml:space="preserve">服務）</t>
    </r>
  </si>
  <si>
    <t xml:space="preserve">BOOK_TRANSFER_SAME_RECEIVER</t>
  </si>
  <si>
    <r>
      <rPr>
        <sz val="11"/>
        <rFont val="Noto Sans CJK SC"/>
        <family val="2"/>
      </rPr>
      <t xml:space="preserve">【</t>
    </r>
    <r>
      <rPr>
        <sz val="11"/>
        <rFont val="Times New Roman"/>
        <family val="1"/>
        <charset val="1"/>
      </rPr>
      <t xml:space="preserve">R2</t>
    </r>
    <r>
      <rPr>
        <sz val="11"/>
        <rFont val="Noto Sans CJK SC"/>
        <family val="2"/>
      </rPr>
      <t xml:space="preserve">】</t>
    </r>
    <r>
      <rPr>
        <sz val="11"/>
        <rFont val="Times New Roman"/>
        <family val="1"/>
        <charset val="1"/>
      </rPr>
      <t xml:space="preserve">Resolution Domain = 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Counterparty SSI = SKIPPED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own-account agent roles </t>
    </r>
    <r>
      <rPr>
        <sz val="11"/>
        <rFont val="Noto Sans CJK SC"/>
        <family val="2"/>
      </rPr>
      <t xml:space="preserve">仍存在（來源 </t>
    </r>
    <r>
      <rPr>
        <sz val="11"/>
        <rFont val="Times New Roman"/>
        <family val="1"/>
        <charset val="1"/>
      </rPr>
      <t xml:space="preserve">OWN_ENTITY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OWN_SSI_NOSTRO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Receiver Bank Service</t>
    </r>
    <r>
      <rPr>
        <sz val="11"/>
        <rFont val="Noto Sans CJK SC"/>
        <family val="2"/>
      </rPr>
      <t xml:space="preserve">），僅不得來自 </t>
    </r>
    <r>
      <rPr>
        <sz val="11"/>
        <rFont val="Times New Roman"/>
        <family val="1"/>
        <charset val="1"/>
      </rPr>
      <t xml:space="preserve">Counterparty SSI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57a </t>
    </r>
    <r>
      <rPr>
        <sz val="11"/>
        <rFont val="Noto Sans CJK SC"/>
        <family val="2"/>
      </rPr>
      <t xml:space="preserve">必須省略（</t>
    </r>
    <r>
      <rPr>
        <sz val="11"/>
        <rFont val="Times New Roman"/>
        <family val="1"/>
        <charset val="1"/>
      </rPr>
      <t xml:space="preserve">MRG p.52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When field 57a is not present, it means that the Receiver is also the account with institution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1"/>
        <charset val="1"/>
      </rPr>
      <t xml:space="preserve">58A </t>
    </r>
    <r>
      <rPr>
        <sz val="11"/>
        <rFont val="Noto Sans CJK SC"/>
        <family val="2"/>
      </rPr>
      <t xml:space="preserve">必須 </t>
    </r>
    <r>
      <rPr>
        <sz val="11"/>
        <rFont val="Times New Roman"/>
        <family val="1"/>
        <charset val="1"/>
      </rPr>
      <t xml:space="preserve">option A</t>
    </r>
    <r>
      <rPr>
        <sz val="11"/>
        <rFont val="Noto Sans CJK SC"/>
        <family val="2"/>
      </rPr>
      <t xml:space="preserve">，載被貸記帳號 </t>
    </r>
    <r>
      <rPr>
        <sz val="11"/>
        <rFont val="Times New Roman"/>
        <family val="1"/>
        <charset val="1"/>
      </rPr>
      <t xml:space="preserve">+ Sender </t>
    </r>
    <r>
      <rPr>
        <sz val="11"/>
        <rFont val="Noto Sans CJK SC"/>
        <family val="2"/>
      </rPr>
      <t xml:space="preserve">自己的 </t>
    </r>
    <r>
      <rPr>
        <sz val="11"/>
        <rFont val="Times New Roman"/>
        <family val="1"/>
        <charset val="1"/>
      </rPr>
      <t xml:space="preserve">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MRG p.54</t>
    </r>
    <r>
      <rPr>
        <sz val="11"/>
        <rFont val="Noto Sans CJK SC"/>
        <family val="2"/>
      </rPr>
      <t xml:space="preserve">）。詳見 </t>
    </r>
    <r>
      <rPr>
        <sz val="11"/>
        <rFont val="Times New Roman"/>
        <family val="1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1"/>
        <charset val="1"/>
      </rPr>
      <t xml:space="preserve">05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</si>
  <si>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Credit one of several accounts at 57A</t>
    </r>
    <r>
      <rPr>
        <sz val="11"/>
        <rFont val="Noto Sans CJK SC"/>
        <family val="2"/>
      </rPr>
      <t xml:space="preserve">（明示指定自有貸記帳戶與 </t>
    </r>
    <r>
      <rPr>
        <sz val="11"/>
        <rFont val="Times New Roman"/>
        <family val="1"/>
        <charset val="1"/>
      </rPr>
      <t xml:space="preserve">Account With Institution</t>
    </r>
    <r>
      <rPr>
        <sz val="11"/>
        <rFont val="Noto Sans CJK SC"/>
        <family val="2"/>
      </rPr>
      <t xml:space="preserve">）</t>
    </r>
  </si>
  <si>
    <t xml:space="preserve">CREDIT_ONE_OF_SEVERAL_AT_57A</t>
  </si>
  <si>
    <r>
      <rPr>
        <sz val="11"/>
        <rFont val="Noto Sans CJK SC"/>
        <family val="2"/>
      </rPr>
      <t xml:space="preserve">【</t>
    </r>
    <r>
      <rPr>
        <sz val="11"/>
        <rFont val="Times New Roman"/>
        <family val="1"/>
        <charset val="1"/>
      </rPr>
      <t xml:space="preserve">R2</t>
    </r>
    <r>
      <rPr>
        <sz val="11"/>
        <rFont val="Noto Sans CJK SC"/>
        <family val="2"/>
      </rPr>
      <t xml:space="preserve">】</t>
    </r>
    <r>
      <rPr>
        <sz val="11"/>
        <rFont val="Times New Roman"/>
        <family val="1"/>
        <charset val="1"/>
      </rPr>
      <t xml:space="preserve">MRG p.54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credit one of several accounts owned by the Sender **at an institution specified in field 57a**</t>
    </r>
    <r>
      <rPr>
        <sz val="11"/>
        <rFont val="Noto Sans CJK SC"/>
        <family val="2"/>
      </rPr>
      <t xml:space="preserve">。故本情境 </t>
    </r>
    <r>
      <rPr>
        <sz val="11"/>
        <rFont val="Times New Roman"/>
        <family val="1"/>
        <charset val="1"/>
      </rPr>
      <t xml:space="preserve">57a </t>
    </r>
    <r>
      <rPr>
        <sz val="11"/>
        <rFont val="Noto Sans CJK SC"/>
        <family val="2"/>
      </rPr>
      <t xml:space="preserve">必須出現（載該機構），</t>
    </r>
    <r>
      <rPr>
        <sz val="11"/>
        <rFont val="Times New Roman"/>
        <family val="1"/>
        <charset val="1"/>
      </rPr>
      <t xml:space="preserve">58A </t>
    </r>
    <r>
      <rPr>
        <sz val="11"/>
        <rFont val="Noto Sans CJK SC"/>
        <family val="2"/>
      </rPr>
      <t xml:space="preserve">同樣為 </t>
    </r>
    <r>
      <rPr>
        <sz val="11"/>
        <rFont val="Times New Roman"/>
        <family val="1"/>
        <charset val="1"/>
      </rPr>
      <t xml:space="preserve">option A + </t>
    </r>
    <r>
      <rPr>
        <sz val="11"/>
        <rFont val="Noto Sans CJK SC"/>
        <family val="2"/>
      </rPr>
      <t xml:space="preserve">被貸記帳號 </t>
    </r>
    <r>
      <rPr>
        <sz val="11"/>
        <rFont val="Times New Roman"/>
        <family val="1"/>
        <charset val="1"/>
      </rPr>
      <t xml:space="preserve">+ Sender BIC</t>
    </r>
    <r>
      <rPr>
        <sz val="11"/>
        <rFont val="Noto Sans CJK SC"/>
        <family val="2"/>
      </rPr>
      <t xml:space="preserve">。現行 </t>
    </r>
    <r>
      <rPr>
        <sz val="11"/>
        <rFont val="Times New Roman"/>
        <family val="1"/>
        <charset val="1"/>
      </rPr>
      <t xml:space="preserve">26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fixture </t>
    </r>
    <r>
      <rPr>
        <sz val="11"/>
        <rFont val="Noto Sans CJK SC"/>
        <family val="2"/>
      </rPr>
      <t xml:space="preserve">無 </t>
    </r>
    <r>
      <rPr>
        <sz val="11"/>
        <rFont val="Times New Roman"/>
        <family val="1"/>
        <charset val="1"/>
      </rPr>
      <t xml:space="preserve">Receiver ≠ Account With </t>
    </r>
    <r>
      <rPr>
        <sz val="11"/>
        <rFont val="Noto Sans CJK SC"/>
        <family val="2"/>
      </rPr>
      <t xml:space="preserve">組合，無法執行 —— 見未決項 </t>
    </r>
    <r>
      <rPr>
        <sz val="11"/>
        <rFont val="Times New Roman"/>
        <family val="1"/>
        <charset val="1"/>
      </rPr>
      <t xml:space="preserve">OPEN-006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</si>
  <si>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Initial MT200 / MT201 equivalence</t>
    </r>
    <r>
      <rPr>
        <sz val="11"/>
        <rFont val="Noto Sans CJK SC"/>
        <family val="2"/>
      </rPr>
      <t xml:space="preserve">（沿用前手 </t>
    </r>
    <r>
      <rPr>
        <sz val="11"/>
        <rFont val="Times New Roman"/>
        <family val="1"/>
        <charset val="1"/>
      </rPr>
      <t xml:space="preserve">MT200/201 context</t>
    </r>
    <r>
      <rPr>
        <sz val="11"/>
        <rFont val="Noto Sans CJK SC"/>
        <family val="2"/>
      </rPr>
      <t xml:space="preserve">，不允許編輯銀行身分）</t>
    </r>
  </si>
  <si>
    <t xml:space="preserve">INITIAL_MT200_201_EQUIVALENCE</t>
  </si>
  <si>
    <r>
      <rPr>
        <sz val="11"/>
        <rFont val="Times New Roman"/>
        <family val="1"/>
        <charset val="1"/>
      </rPr>
      <t xml:space="preserve">MT205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52a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Mandatory</t>
    </r>
    <r>
      <rPr>
        <sz val="11"/>
        <rFont val="Noto Sans CJK SC"/>
        <family val="2"/>
      </rPr>
      <t xml:space="preserve">，須由前手 </t>
    </r>
    <r>
      <rPr>
        <sz val="11"/>
        <rFont val="Times New Roman"/>
        <family val="1"/>
        <charset val="1"/>
      </rPr>
      <t xml:space="preserve">Category 2 </t>
    </r>
    <r>
      <rPr>
        <sz val="11"/>
        <rFont val="Noto Sans CJK SC"/>
        <family val="2"/>
      </rPr>
      <t xml:space="preserve">指示帶入；缺值應回 </t>
    </r>
    <r>
      <rPr>
        <sz val="11"/>
        <rFont val="Times New Roman"/>
        <family val="1"/>
        <charset val="1"/>
      </rPr>
      <t xml:space="preserve">MESSAGE_CONTEXT_MISSING</t>
    </r>
    <r>
      <rPr>
        <sz val="11"/>
        <rFont val="Noto Sans CJK SC"/>
        <family val="2"/>
      </rPr>
      <t xml:space="preserve">，不得誤報 </t>
    </r>
    <r>
      <rPr>
        <sz val="11"/>
        <rFont val="Times New Roman"/>
        <family val="1"/>
        <charset val="1"/>
      </rPr>
      <t xml:space="preserve">SSI_NOT_FOUND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</si>
  <si>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MT205 COV — no MT200 / MT201 equivalence</t>
    </r>
    <r>
      <rPr>
        <sz val="11"/>
        <rFont val="Noto Sans CJK SC"/>
        <family val="2"/>
      </rPr>
      <t xml:space="preserve">（保留前手 </t>
    </r>
    <r>
      <rPr>
        <sz val="11"/>
        <rFont val="Times New Roman"/>
        <family val="1"/>
        <charset val="1"/>
      </rPr>
      <t xml:space="preserve">cover context</t>
    </r>
    <r>
      <rPr>
        <sz val="11"/>
        <rFont val="Noto Sans CJK SC"/>
        <family val="2"/>
      </rPr>
      <t xml:space="preserve">；不套用 </t>
    </r>
    <r>
      <rPr>
        <sz val="11"/>
        <rFont val="Times New Roman"/>
        <family val="1"/>
        <charset val="1"/>
      </rPr>
      <t xml:space="preserve">MT-only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58a </t>
    </r>
    <r>
      <rPr>
        <sz val="11"/>
        <rFont val="Noto Sans CJK SC"/>
        <family val="2"/>
      </rPr>
      <t xml:space="preserve">等於 </t>
    </r>
    <r>
      <rPr>
        <sz val="11"/>
        <rFont val="Times New Roman"/>
        <family val="1"/>
        <charset val="1"/>
      </rPr>
      <t xml:space="preserve">52a </t>
    </r>
    <r>
      <rPr>
        <sz val="11"/>
        <rFont val="Noto Sans CJK SC"/>
        <family val="2"/>
      </rPr>
      <t xml:space="preserve">規則）</t>
    </r>
  </si>
  <si>
    <t xml:space="preserve">NO_MT200_201_EQUIVALENCE</t>
  </si>
  <si>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 </t>
    </r>
    <r>
      <rPr>
        <sz val="11"/>
        <rFont val="Times New Roman"/>
        <family val="1"/>
        <charset val="1"/>
      </rPr>
      <t xml:space="preserve">approved allow-list </t>
    </r>
    <r>
      <rPr>
        <sz val="11"/>
        <rFont val="Noto Sans CJK SC"/>
        <family val="2"/>
      </rPr>
      <t xml:space="preserve">已可執行：</t>
    </r>
    <r>
      <rPr>
        <sz val="11"/>
        <rFont val="Times New Roman"/>
        <family val="1"/>
        <charset val="1"/>
      </rPr>
      <t xml:space="preserve">11 </t>
    </r>
    <r>
      <rPr>
        <sz val="11"/>
        <rFont val="Noto Sans CJK SC"/>
        <family val="2"/>
      </rPr>
      <t xml:space="preserve">組 </t>
    </r>
    <r>
      <rPr>
        <sz val="11"/>
        <rFont val="Times New Roman"/>
        <family val="1"/>
        <charset val="1"/>
      </rPr>
      <t xml:space="preserve">RESOLVED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BARCGB22/GBP </t>
    </r>
    <r>
      <rPr>
        <sz val="11"/>
        <rFont val="Noto Sans CJK SC"/>
        <family val="2"/>
      </rPr>
      <t xml:space="preserve">回 </t>
    </r>
    <r>
      <rPr>
        <sz val="11"/>
        <rFont val="Times New Roman"/>
        <family val="1"/>
        <charset val="1"/>
      </rPr>
      <t xml:space="preserve">SSI_AMBIGUOUS</t>
    </r>
    <r>
      <rPr>
        <sz val="11"/>
        <rFont val="Noto Sans CJK SC"/>
        <family val="2"/>
      </rPr>
      <t xml:space="preserve">。僅未列入 </t>
    </r>
    <r>
      <rPr>
        <sz val="11"/>
        <rFont val="Times New Roman"/>
        <family val="1"/>
        <charset val="1"/>
      </rPr>
      <t xml:space="preserve">allow-list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Northstar </t>
    </r>
    <r>
      <rPr>
        <sz val="11"/>
        <rFont val="Noto Sans CJK SC"/>
        <family val="2"/>
      </rPr>
      <t xml:space="preserve">負向控制回 </t>
    </r>
    <r>
      <rPr>
        <sz val="11"/>
        <rFont val="Times New Roman"/>
        <family val="1"/>
        <charset val="1"/>
      </rPr>
      <t xml:space="preserve">503 PROFILE_INCOMPLETE</t>
    </r>
    <r>
      <rPr>
        <sz val="11"/>
        <rFont val="Noto Sans CJK SC"/>
        <family val="2"/>
      </rPr>
      <t xml:space="preserve">。</t>
    </r>
  </si>
  <si>
    <t xml:space="preserve">證據來源、範圍界定與待確認事項</t>
  </si>
  <si>
    <r>
      <rPr>
        <i val="true"/>
        <sz val="11"/>
        <color rgb="FF595959"/>
        <rFont val="Noto Sans CJK SC"/>
        <family val="2"/>
      </rPr>
      <t xml:space="preserve">本清單所有數字均由受控 </t>
    </r>
    <r>
      <rPr>
        <i val="true"/>
        <sz val="11"/>
        <color rgb="FF595959"/>
        <rFont val="Times New Roman"/>
        <family val="1"/>
        <charset val="1"/>
      </rPr>
      <t xml:space="preserve">snapshot </t>
    </r>
    <r>
      <rPr>
        <i val="true"/>
        <sz val="11"/>
        <color rgb="FF595959"/>
        <rFont val="Noto Sans CJK SC"/>
        <family val="2"/>
      </rPr>
      <t xml:space="preserve">實測導出，未採信任何文件自述。</t>
    </r>
  </si>
  <si>
    <t xml:space="preserve">項目</t>
  </si>
  <si>
    <t xml:space="preserve">內容</t>
  </si>
  <si>
    <r>
      <rPr>
        <b val="true"/>
        <sz val="11"/>
        <rFont val="Noto Sans CJK SC"/>
        <family val="2"/>
      </rPr>
      <t xml:space="preserve">受控 </t>
    </r>
    <r>
      <rPr>
        <b val="true"/>
        <sz val="11"/>
        <rFont val="Times New Roman"/>
        <family val="1"/>
        <charset val="1"/>
      </rPr>
      <t xml:space="preserve">snapshot</t>
    </r>
  </si>
  <si>
    <t xml:space="preserve">qa/mt2-final/fixtures/baselines/ssi-demo.v15.1-post-migration.sqlite</t>
  </si>
  <si>
    <t xml:space="preserve">snapshot SHA-256</t>
  </si>
  <si>
    <t xml:space="preserve">52A58C19901F1FBD6A3EE964968A14164EDA89DF22B284282C88D05C3D5CEEF6</t>
  </si>
  <si>
    <t xml:space="preserve">snapshot bytes</t>
  </si>
  <si>
    <t xml:space="preserve">ACTIVE SSI / ACTIVE Nostro</t>
  </si>
  <si>
    <t xml:space="preserve">42 / 159</t>
  </si>
  <si>
    <r>
      <rPr>
        <b val="true"/>
        <sz val="11"/>
        <rFont val="Noto Sans CJK SC"/>
        <family val="2"/>
      </rPr>
      <t xml:space="preserve">具 </t>
    </r>
    <r>
      <rPr>
        <b val="true"/>
        <sz val="11"/>
        <rFont val="Times New Roman"/>
        <family val="1"/>
        <charset val="1"/>
      </rPr>
      <t xml:space="preserve">pacs.009.001.08 </t>
    </r>
    <r>
      <rPr>
        <b val="true"/>
        <sz val="11"/>
        <rFont val="Noto Sans CJK SC"/>
        <family val="2"/>
      </rPr>
      <t xml:space="preserve">之 </t>
    </r>
    <r>
      <rPr>
        <b val="true"/>
        <sz val="11"/>
        <rFont val="Times New Roman"/>
        <family val="1"/>
        <charset val="1"/>
      </rPr>
      <t xml:space="preserve">ACTIVE SSI</t>
    </r>
  </si>
  <si>
    <r>
      <rPr>
        <sz val="11"/>
        <rFont val="Times New Roman"/>
        <family val="1"/>
        <charset val="1"/>
      </rPr>
      <t xml:space="preserve">26 </t>
    </r>
    <r>
      <rPr>
        <sz val="11"/>
        <rFont val="Noto Sans CJK SC"/>
        <family val="2"/>
      </rPr>
      <t xml:space="preserve">筆（本清單全部涵蓋）</t>
    </r>
  </si>
  <si>
    <r>
      <rPr>
        <b val="true"/>
        <sz val="11"/>
        <rFont val="Noto Sans CJK SC"/>
        <family val="2"/>
      </rPr>
      <t xml:space="preserve">不具 </t>
    </r>
    <r>
      <rPr>
        <b val="true"/>
        <sz val="11"/>
        <rFont val="Times New Roman"/>
        <family val="1"/>
        <charset val="1"/>
      </rPr>
      <t xml:space="preserve">.08 </t>
    </r>
    <r>
      <rPr>
        <b val="true"/>
        <sz val="11"/>
        <rFont val="Noto Sans CJK SC"/>
        <family val="2"/>
      </rPr>
      <t xml:space="preserve">之 </t>
    </r>
    <r>
      <rPr>
        <b val="true"/>
        <sz val="11"/>
        <rFont val="Times New Roman"/>
        <family val="1"/>
        <charset val="1"/>
      </rPr>
      <t xml:space="preserve">ACTIVE SSI</t>
    </r>
  </si>
  <si>
    <r>
      <rPr>
        <sz val="11"/>
        <rFont val="Times New Roman"/>
        <family val="1"/>
        <charset val="1"/>
      </rPr>
      <t xml:space="preserve">16 </t>
    </r>
    <r>
      <rPr>
        <sz val="11"/>
        <rFont val="Noto Sans CJK SC"/>
        <family val="2"/>
      </rPr>
      <t xml:space="preserve">筆，</t>
    </r>
    <r>
      <rPr>
        <sz val="11"/>
        <rFont val="Times New Roman"/>
        <family val="1"/>
        <charset val="1"/>
      </rPr>
      <t xml:space="preserve">MT2xx </t>
    </r>
    <r>
      <rPr>
        <sz val="11"/>
        <rFont val="Noto Sans CJK SC"/>
        <family val="2"/>
      </rPr>
      <t xml:space="preserve">不可見：</t>
    </r>
    <r>
      <rPr>
        <sz val="11"/>
        <rFont val="Times New Roman"/>
        <family val="1"/>
        <charset val="1"/>
      </rPr>
      <t xml:space="preserve">SSI-DEMO-025~034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10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.12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counterpartyBic=ANY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1"/>
        <charset val="1"/>
      </rPr>
      <t xml:space="preserve">SSI-DEMO-036~040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5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pacs.008</t>
    </r>
    <r>
      <rPr>
        <sz val="11"/>
        <rFont val="Noto Sans CJK SC"/>
        <family val="2"/>
      </rPr>
      <t xml:space="preserve">，屬 </t>
    </r>
    <r>
      <rPr>
        <sz val="11"/>
        <rFont val="Times New Roman"/>
        <family val="1"/>
        <charset val="1"/>
      </rPr>
      <t xml:space="preserve">MT103 </t>
    </r>
    <r>
      <rPr>
        <sz val="11"/>
        <rFont val="Noto Sans CJK SC"/>
        <family val="2"/>
      </rPr>
      <t xml:space="preserve">域）、</t>
    </r>
    <r>
      <rPr>
        <sz val="11"/>
        <rFont val="Times New Roman"/>
        <family val="1"/>
        <charset val="1"/>
      </rPr>
      <t xml:space="preserve">SSI-DEMO-023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1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pacs.009.001.12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</si>
  <si>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1"/>
        <charset val="1"/>
      </rPr>
      <t xml:space="preserve">Nostro </t>
    </r>
    <r>
      <rPr>
        <b val="true"/>
        <sz val="11"/>
        <rFont val="Noto Sans CJK SC"/>
        <family val="2"/>
      </rPr>
      <t xml:space="preserve">參照完整性</t>
    </r>
  </si>
  <si>
    <r>
      <rPr>
        <sz val="11"/>
        <rFont val="Times New Roman"/>
        <family val="1"/>
        <charset val="1"/>
      </rPr>
      <t xml:space="preserve">42/42 </t>
    </r>
    <r>
      <rPr>
        <sz val="11"/>
        <rFont val="Noto Sans CJK SC"/>
        <family val="2"/>
      </rPr>
      <t xml:space="preserve">以 </t>
    </r>
    <r>
      <rPr>
        <sz val="11"/>
        <rFont val="Times New Roman"/>
        <family val="1"/>
        <charset val="1"/>
      </rPr>
      <t xml:space="preserve">accountId = accountReference </t>
    </r>
    <r>
      <rPr>
        <sz val="11"/>
        <rFont val="Noto Sans CJK SC"/>
        <family val="2"/>
      </rPr>
      <t xml:space="preserve">精確命中，</t>
    </r>
    <r>
      <rPr>
        <sz val="11"/>
        <rFont val="Times New Roman"/>
        <family val="1"/>
        <charset val="1"/>
      </rPr>
      <t xml:space="preserve">orphan = 0</t>
    </r>
    <r>
      <rPr>
        <sz val="11"/>
        <rFont val="Noto Sans CJK SC"/>
        <family val="2"/>
      </rPr>
      <t xml:space="preserve">。以 </t>
    </r>
    <r>
      <rPr>
        <sz val="11"/>
        <rFont val="Times New Roman"/>
        <family val="1"/>
        <charset val="1"/>
      </rPr>
      <t xml:space="preserve">maskedAccountRef </t>
    </r>
    <r>
      <rPr>
        <sz val="11"/>
        <rFont val="Noto Sans CJK SC"/>
        <family val="2"/>
      </rPr>
      <t xml:space="preserve">比對會有 </t>
    </r>
    <r>
      <rPr>
        <sz val="11"/>
        <rFont val="Times New Roman"/>
        <family val="1"/>
        <charset val="1"/>
      </rPr>
      <t xml:space="preserve">38 </t>
    </r>
    <r>
      <rPr>
        <sz val="11"/>
        <rFont val="Noto Sans CJK SC"/>
        <family val="2"/>
      </rPr>
      <t xml:space="preserve">筆落空、以 </t>
    </r>
    <r>
      <rPr>
        <sz val="11"/>
        <rFont val="Times New Roman"/>
        <family val="1"/>
        <charset val="1"/>
      </rPr>
      <t xml:space="preserve">Nostro.id </t>
    </r>
    <r>
      <rPr>
        <sz val="11"/>
        <rFont val="Noto Sans CJK SC"/>
        <family val="2"/>
      </rPr>
      <t xml:space="preserve">比對 </t>
    </r>
    <r>
      <rPr>
        <sz val="11"/>
        <rFont val="Times New Roman"/>
        <family val="1"/>
        <charset val="1"/>
      </rPr>
      <t xml:space="preserve">42 </t>
    </r>
    <r>
      <rPr>
        <sz val="11"/>
        <rFont val="Noto Sans CJK SC"/>
        <family val="2"/>
      </rPr>
      <t xml:space="preserve">筆全落空 —— 兩者皆為錯誤 </t>
    </r>
    <r>
      <rPr>
        <sz val="11"/>
        <rFont val="Times New Roman"/>
        <family val="1"/>
        <charset val="1"/>
      </rPr>
      <t xml:space="preserve">join </t>
    </r>
    <r>
      <rPr>
        <sz val="11"/>
        <rFont val="Noto Sans CJK SC"/>
        <family val="2"/>
      </rPr>
      <t xml:space="preserve">方式。</t>
    </r>
  </si>
  <si>
    <t xml:space="preserve">平手掃描</t>
  </si>
  <si>
    <r>
      <rPr>
        <sz val="11"/>
        <rFont val="Times New Roman"/>
        <family val="1"/>
        <charset val="1"/>
      </rPr>
      <t xml:space="preserve">post-migration </t>
    </r>
    <r>
      <rPr>
        <sz val="11"/>
        <rFont val="Noto Sans CJK SC"/>
        <family val="2"/>
      </rPr>
      <t xml:space="preserve">全量 </t>
    </r>
    <r>
      <rPr>
        <sz val="11"/>
        <rFont val="Times New Roman"/>
        <family val="1"/>
        <charset val="1"/>
      </rPr>
      <t xml:space="preserve">scan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組中僅 </t>
    </r>
    <r>
      <rPr>
        <sz val="11"/>
        <rFont val="Times New Roman"/>
        <family val="1"/>
        <charset val="1"/>
      </rPr>
      <t xml:space="preserve">BARCGB22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GBP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HK01 top-rank tie</t>
    </r>
    <r>
      <rPr>
        <sz val="11"/>
        <rFont val="Noto Sans CJK SC"/>
        <family val="2"/>
      </rPr>
      <t xml:space="preserve">；四種 </t>
    </r>
    <r>
      <rPr>
        <sz val="11"/>
        <rFont val="Times New Roman"/>
        <family val="1"/>
        <charset val="1"/>
      </rPr>
      <t xml:space="preserve">MT2xx </t>
    </r>
    <r>
      <rPr>
        <sz val="11"/>
        <rFont val="Noto Sans CJK SC"/>
        <family val="2"/>
      </rPr>
      <t xml:space="preserve">電文均預期 </t>
    </r>
    <r>
      <rPr>
        <sz val="11"/>
        <rFont val="Times New Roman"/>
        <family val="1"/>
        <charset val="1"/>
      </rPr>
      <t xml:space="preserve">422</t>
    </r>
    <r>
      <rPr>
        <sz val="11"/>
        <rFont val="Noto Sans CJK SC"/>
        <family val="2"/>
      </rPr>
      <t xml:space="preserve">。</t>
    </r>
  </si>
  <si>
    <t xml:space="preserve">範圍：涵蓋</t>
  </si>
  <si>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組、</t>
    </r>
    <r>
      <rPr>
        <sz val="11"/>
        <rFont val="Times New Roman"/>
        <family val="1"/>
        <charset val="1"/>
      </rPr>
      <t xml:space="preserve">MT202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MT202COV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MT205COV</t>
    </r>
    <r>
      <rPr>
        <sz val="11"/>
        <rFont val="Noto Sans CJK SC"/>
        <family val="2"/>
      </rPr>
      <t xml:space="preserve">，共 </t>
    </r>
    <r>
      <rPr>
        <sz val="11"/>
        <rFont val="Times New Roman"/>
        <family val="1"/>
        <charset val="1"/>
      </rPr>
      <t xml:space="preserve">48 </t>
    </r>
    <r>
      <rPr>
        <sz val="11"/>
        <rFont val="Noto Sans CJK SC"/>
        <family val="2"/>
      </rPr>
      <t xml:space="preserve">案；全部使用 </t>
    </r>
    <r>
      <rPr>
        <sz val="11"/>
        <rFont val="Times New Roman"/>
        <family val="1"/>
        <charset val="1"/>
      </rPr>
      <t xml:space="preserve">pacs.009.001.08 canonical tuple</t>
    </r>
    <r>
      <rPr>
        <sz val="11"/>
        <rFont val="Noto Sans CJK SC"/>
        <family val="2"/>
      </rPr>
      <t xml:space="preserve">。</t>
    </r>
  </si>
  <si>
    <t xml:space="preserve">範圍：不涵蓋</t>
  </si>
  <si>
    <r>
      <rPr>
        <sz val="11"/>
        <rFont val="Times New Roman"/>
        <family val="1"/>
        <charset val="1"/>
      </rPr>
      <t xml:space="preserve">MT200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MT204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MT210 —— </t>
    </r>
    <r>
      <rPr>
        <sz val="11"/>
        <rFont val="Noto Sans CJK SC"/>
        <family val="2"/>
      </rPr>
      <t xml:space="preserve">依 </t>
    </r>
    <r>
      <rPr>
        <sz val="11"/>
        <rFont val="Times New Roman"/>
        <family val="1"/>
        <charset val="1"/>
      </rPr>
      <t xml:space="preserve">MT2xx Scope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MT200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OWN_SSI_NOSTRO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MT204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FI_DIRECT_DEBIT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MT210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NOTIFICATION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MT203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MESSAGE_TYPE_NOT_SUPPORTED</t>
    </r>
    <r>
      <rPr>
        <sz val="11"/>
        <rFont val="Noto Sans CJK SC"/>
        <family val="2"/>
      </rPr>
      <t xml:space="preserve">。均不查 </t>
    </r>
    <r>
      <rPr>
        <sz val="11"/>
        <rFont val="Times New Roman"/>
        <family val="1"/>
        <charset val="1"/>
      </rPr>
      <t xml:space="preserve">Counterparty SSI</t>
    </r>
    <r>
      <rPr>
        <sz val="11"/>
        <rFont val="Noto Sans CJK SC"/>
        <family val="2"/>
      </rPr>
      <t xml:space="preserve">。</t>
    </r>
  </si>
  <si>
    <t xml:space="preserve">v15.1 migration</t>
  </si>
  <si>
    <r>
      <rPr>
        <sz val="11"/>
        <rFont val="Times New Roman"/>
        <family val="1"/>
        <charset val="1"/>
      </rPr>
      <t xml:space="preserve">24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具 </t>
    </r>
    <r>
      <rPr>
        <sz val="11"/>
        <rFont val="Times New Roman"/>
        <family val="1"/>
        <charset val="1"/>
      </rPr>
      <t xml:space="preserve">explicit COV allow-list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Core/COV </t>
    </r>
    <r>
      <rPr>
        <sz val="11"/>
        <rFont val="Noto Sans CJK SC"/>
        <family val="2"/>
      </rPr>
      <t xml:space="preserve">以 </t>
    </r>
    <r>
      <rPr>
        <sz val="11"/>
        <rFont val="Times New Roman"/>
        <family val="1"/>
        <charset val="1"/>
      </rPr>
      <t xml:space="preserve">businessService </t>
    </r>
    <r>
      <rPr>
        <sz val="11"/>
        <rFont val="Noto Sans CJK SC"/>
        <family val="2"/>
      </rPr>
      <t xml:space="preserve">分流，禁止 </t>
    </r>
    <r>
      <rPr>
        <sz val="11"/>
        <rFont val="Times New Roman"/>
        <family val="1"/>
        <charset val="1"/>
      </rPr>
      <t xml:space="preserve">synthetic .COV messageDefinitionId</t>
    </r>
    <r>
      <rPr>
        <sz val="11"/>
        <rFont val="Noto Sans CJK SC"/>
        <family val="2"/>
      </rPr>
      <t xml:space="preserve">。</t>
    </r>
  </si>
  <si>
    <t xml:space="preserve">現行驗收帳本</t>
  </si>
  <si>
    <r>
      <rPr>
        <sz val="11"/>
        <rFont val="Times New Roman"/>
        <family val="1"/>
        <charset val="1"/>
      </rPr>
      <t xml:space="preserve">48 = 44 SSI_RESOLVED + 4 SSI_AMBIGUOUS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NOT_EXECUTABLE=0</t>
    </r>
    <r>
      <rPr>
        <sz val="11"/>
        <rFont val="Noto Sans CJK SC"/>
        <family val="2"/>
      </rPr>
      <t xml:space="preserve">；另有 </t>
    </r>
    <r>
      <rPr>
        <sz val="11"/>
        <rFont val="Times New Roman"/>
        <family val="1"/>
        <charset val="1"/>
      </rPr>
      <t xml:space="preserve">1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Northstar COV 503 </t>
    </r>
    <r>
      <rPr>
        <sz val="11"/>
        <rFont val="Noto Sans CJK SC"/>
        <family val="2"/>
      </rPr>
      <t xml:space="preserve">負向控制。</t>
    </r>
  </si>
  <si>
    <t xml:space="preserve">最新自動執行證據</t>
  </si>
  <si>
    <r>
      <rPr>
        <sz val="11"/>
        <rFont val="Times New Roman"/>
        <family val="1"/>
        <charset val="1"/>
      </rPr>
      <t xml:space="preserve">qa/reports/MT2XX_v15.1_post_migration_tie_scan_20260911.json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SHA-256 CBA6D5D0704CC37788251D8DDCA0D987C6F8404AD19B32FC7C51BDAA67AAB2CB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passed=48/48</t>
    </r>
    <r>
      <rPr>
        <sz val="11"/>
        <rFont val="Noto Sans CJK SC"/>
        <family val="2"/>
      </rPr>
      <t xml:space="preserve">。</t>
    </r>
  </si>
  <si>
    <t xml:space="preserve">BA review gate</t>
  </si>
  <si>
    <r>
      <rPr>
        <sz val="11"/>
        <rFont val="Noto Sans CJK SC"/>
        <family val="2"/>
      </rPr>
      <t xml:space="preserve">候選版須經獨立 </t>
    </r>
    <r>
      <rPr>
        <sz val="11"/>
        <rFont val="Times New Roman"/>
        <family val="1"/>
        <charset val="1"/>
      </rPr>
      <t xml:space="preserve">BA </t>
    </r>
    <r>
      <rPr>
        <sz val="11"/>
        <rFont val="Noto Sans CJK SC"/>
        <family val="2"/>
      </rPr>
      <t xml:space="preserve">覆核接受後才可置入 </t>
    </r>
    <r>
      <rPr>
        <sz val="11"/>
        <rFont val="Times New Roman"/>
        <family val="1"/>
        <charset val="1"/>
      </rPr>
      <t xml:space="preserve">qa/uat</t>
    </r>
    <r>
      <rPr>
        <sz val="11"/>
        <rFont val="Noto Sans CJK SC"/>
        <family val="2"/>
      </rPr>
      <t xml:space="preserve">；不得以自動執行成功取代業務驗收。</t>
    </r>
  </si>
  <si>
    <r>
      <rPr>
        <sz val="11"/>
        <color theme="1"/>
        <rFont val="Noto Sans CJK SC"/>
        <family val="2"/>
      </rPr>
      <t xml:space="preserve">受控 </t>
    </r>
    <r>
      <rPr>
        <sz val="11"/>
        <color theme="1"/>
        <rFont val="Times New Roman"/>
        <family val="2"/>
        <charset val="1"/>
      </rPr>
      <t xml:space="preserve">v15.1 baseline</t>
    </r>
  </si>
  <si>
    <r>
      <rPr>
        <sz val="11"/>
        <color theme="1"/>
        <rFont val="Times New Roman"/>
        <family val="2"/>
        <charset val="1"/>
      </rPr>
      <t xml:space="preserve">qa/tdd/MT2XX_</t>
    </r>
    <r>
      <rPr>
        <sz val="11"/>
        <color theme="1"/>
        <rFont val="Noto Sans CJK SC"/>
        <family val="2"/>
      </rPr>
      <t xml:space="preserve">支援標準</t>
    </r>
    <r>
      <rPr>
        <sz val="11"/>
        <color theme="1"/>
        <rFont val="Times New Roman"/>
        <family val="2"/>
        <charset val="1"/>
      </rPr>
      <t xml:space="preserve">SSI_SR2026_MRG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Times New Roman"/>
        <family val="2"/>
        <charset val="1"/>
      </rPr>
      <t xml:space="preserve">ISO20022</t>
    </r>
    <r>
      <rPr>
        <sz val="11"/>
        <color theme="1"/>
        <rFont val="Noto Sans CJK SC"/>
        <family val="2"/>
      </rPr>
      <t xml:space="preserve">對應覆核版</t>
    </r>
    <r>
      <rPr>
        <sz val="11"/>
        <color theme="1"/>
        <rFont val="Times New Roman"/>
        <family val="2"/>
        <charset val="1"/>
      </rPr>
      <t xml:space="preserve">_v15.1.xlsx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SHA-256 0493C1D44D55A48B369AF6C6198BEE6943C1E17FC3A76AC93DE22C1D2A69A3D5</t>
    </r>
    <r>
      <rPr>
        <sz val="11"/>
        <color theme="1"/>
        <rFont val="Noto Sans CJK SC"/>
        <family val="2"/>
      </rPr>
      <t xml:space="preserve">。</t>
    </r>
  </si>
  <si>
    <t xml:space="preserve">COV allow-list</t>
  </si>
  <si>
    <r>
      <rPr>
        <sz val="11"/>
        <color theme="1"/>
        <rFont val="Times New Roman"/>
        <family val="2"/>
        <charset val="1"/>
      </rPr>
      <t xml:space="preserve">parameters/cov-profile-allow-list.v15.1.json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SHA-256 9B7F689627C7C790BFA94ADABACCE7FE18C43125FC93991B74958EDF92314482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</si>
  <si>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v15.2_DRAFT_R2 </t>
    </r>
    <r>
      <rPr>
        <b val="true"/>
        <sz val="11"/>
        <rFont val="Noto Sans CJK SC"/>
        <family val="2"/>
      </rPr>
      <t xml:space="preserve">狀態</t>
    </r>
  </si>
  <si>
    <r>
      <rPr>
        <sz val="11"/>
        <rFont val="Times New Roman"/>
        <family val="0"/>
        <charset val="1"/>
      </rPr>
      <t xml:space="preserve">DRAFT — NOT APPROVED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v15.1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v15.2_DRAFT </t>
    </r>
    <r>
      <rPr>
        <sz val="11"/>
        <rFont val="Noto Sans CJK SC"/>
        <family val="2"/>
      </rPr>
      <t xml:space="preserve">皆保持不變；本檔為第二次候選版，經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覆核接受後方可置入 </t>
    </r>
    <r>
      <rPr>
        <sz val="11"/>
        <rFont val="Times New Roman"/>
        <family val="0"/>
        <charset val="1"/>
      </rPr>
      <t xml:space="preserve">qa/uat</t>
    </r>
    <r>
      <rPr>
        <sz val="11"/>
        <rFont val="Noto Sans CJK SC"/>
        <family val="2"/>
      </rPr>
      <t xml:space="preserve">。</t>
    </r>
  </si>
  <si>
    <t xml:space="preserve">v15.1 base SHA-256</t>
  </si>
  <si>
    <t xml:space="preserve">AB21F5BC02D6BFBEC5683E1D8423950AC49EC0811542BB430DB5F0CB70A14B06</t>
  </si>
  <si>
    <t xml:space="preserve">v15.1 base bytes</t>
  </si>
  <si>
    <t xml:space="preserve">29813</t>
  </si>
  <si>
    <r>
      <rPr>
        <b val="true"/>
        <sz val="11"/>
        <rFont val="Times New Roman"/>
        <family val="0"/>
        <charset val="1"/>
      </rPr>
      <t xml:space="preserve">v15.2_DRAFT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0"/>
        <charset val="1"/>
      </rPr>
      <t xml:space="preserve">R1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Times New Roman"/>
        <family val="0"/>
        <charset val="1"/>
      </rPr>
      <t xml:space="preserve">SHA-256</t>
    </r>
  </si>
  <si>
    <t xml:space="preserve">C286F71E29D8831A63B4FE9E0E6DB9E1E888C8ECA406B564B5AD4BB8E3128679</t>
  </si>
  <si>
    <r>
      <rPr>
        <b val="true"/>
        <sz val="11"/>
        <rFont val="Times New Roman"/>
        <family val="0"/>
        <charset val="1"/>
      </rPr>
      <t xml:space="preserve">MRG </t>
    </r>
    <r>
      <rPr>
        <b val="true"/>
        <sz val="11"/>
        <rFont val="Noto Sans CJK SC"/>
        <family val="2"/>
      </rPr>
      <t xml:space="preserve">依據</t>
    </r>
  </si>
  <si>
    <r>
      <rPr>
        <sz val="11"/>
        <rFont val="Times New Roman"/>
        <family val="0"/>
        <charset val="1"/>
      </rPr>
      <t xml:space="preserve">SWIFT/us2m_20260717.pdf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SHA-256 64483D7F…8323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p.52 MT202 57a Usage Rules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p.54 MT202 58a Usage Rules</t>
    </r>
    <r>
      <rPr>
        <sz val="11"/>
        <rFont val="Noto Sans CJK SC"/>
        <family val="2"/>
      </rPr>
      <t xml:space="preserve">。擷取引擎 </t>
    </r>
    <r>
      <rPr>
        <sz val="11"/>
        <rFont val="Times New Roman"/>
        <family val="0"/>
        <charset val="1"/>
      </rPr>
      <t xml:space="preserve">pdftotext</t>
    </r>
    <r>
      <rPr>
        <sz val="11"/>
        <rFont val="Noto Sans CJK SC"/>
        <family val="2"/>
      </rPr>
      <t xml:space="preserve">（基準），</t>
    </r>
    <r>
      <rPr>
        <sz val="11"/>
        <rFont val="Times New Roman"/>
        <family val="0"/>
        <charset val="1"/>
      </rPr>
      <t xml:space="preserve">pdfplumber </t>
    </r>
    <r>
      <rPr>
        <sz val="11"/>
        <rFont val="Noto Sans CJK SC"/>
        <family val="2"/>
      </rPr>
      <t xml:space="preserve">僅供交叉查核。</t>
    </r>
  </si>
  <si>
    <r>
      <rPr>
        <b val="true"/>
        <sz val="11"/>
        <rFont val="Times New Roman"/>
        <family val="0"/>
        <charset val="1"/>
      </rPr>
      <t xml:space="preserve">R2 </t>
    </r>
    <r>
      <rPr>
        <b val="true"/>
        <sz val="11"/>
        <rFont val="Noto Sans CJK SC"/>
        <family val="2"/>
      </rPr>
      <t xml:space="preserve">新增範圍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</si>
  <si>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GEN-202-01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02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OMIT-57A-01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，共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案，列於「</t>
    </r>
    <r>
      <rPr>
        <sz val="11"/>
        <rFont val="Times New Roman"/>
        <family val="0"/>
        <charset val="1"/>
      </rPr>
      <t xml:space="preserve">v15.2 </t>
    </r>
    <r>
      <rPr>
        <sz val="11"/>
        <rFont val="Noto Sans CJK SC"/>
        <family val="2"/>
      </rPr>
      <t xml:space="preserve">新增案例」表，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核准前不計入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案分母。</t>
    </r>
  </si>
  <si>
    <r>
      <rPr>
        <b val="true"/>
        <sz val="11"/>
        <rFont val="Times New Roman"/>
        <family val="0"/>
        <charset val="1"/>
      </rPr>
      <t xml:space="preserve">48/48 </t>
    </r>
    <r>
      <rPr>
        <b val="true"/>
        <sz val="11"/>
        <rFont val="Noto Sans CJK SC"/>
        <family val="2"/>
      </rPr>
      <t xml:space="preserve">報告適用範圍</t>
    </r>
  </si>
  <si>
    <r>
      <rPr>
        <sz val="11"/>
        <rFont val="Noto Sans CJK SC"/>
        <family val="2"/>
      </rPr>
      <t xml:space="preserve">產生於 </t>
    </r>
    <r>
      <rPr>
        <sz val="11"/>
        <rFont val="Times New Roman"/>
        <family val="0"/>
        <charset val="1"/>
      </rPr>
      <t xml:space="preserve">BOOK_TRANSFER blocker </t>
    </r>
    <r>
      <rPr>
        <sz val="11"/>
        <rFont val="Noto Sans CJK SC"/>
        <family val="2"/>
      </rPr>
      <t xml:space="preserve">確認之前；其 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僅檢查 </t>
    </r>
    <r>
      <rPr>
        <sz val="11"/>
        <rFont val="Times New Roman"/>
        <family val="0"/>
        <charset val="1"/>
      </rPr>
      <t xml:space="preserve">HTTP</t>
    </r>
    <r>
      <rPr>
        <sz val="11"/>
        <rFont val="Noto Sans CJK SC"/>
        <family val="2"/>
      </rPr>
      <t xml:space="preserve">、結果碼、幣別、</t>
    </r>
    <r>
      <rPr>
        <sz val="11"/>
        <rFont val="Times New Roman"/>
        <family val="0"/>
        <charset val="1"/>
      </rPr>
      <t xml:space="preserve">AMBIGUOUS fail-closed shape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COV fallback</t>
    </r>
    <r>
      <rPr>
        <sz val="11"/>
        <rFont val="Noto Sans CJK SC"/>
        <family val="2"/>
      </rPr>
      <t xml:space="preserve">，未逐案比對 </t>
    </r>
    <r>
      <rPr>
        <sz val="11"/>
        <rFont val="Times New Roman"/>
        <family val="0"/>
        <charset val="1"/>
      </rPr>
      <t xml:space="preserve">agent </t>
    </r>
    <r>
      <rPr>
        <sz val="11"/>
        <rFont val="Noto Sans CJK SC"/>
        <family val="2"/>
      </rPr>
      <t xml:space="preserve">值或 </t>
    </r>
    <r>
      <rPr>
        <sz val="11"/>
        <rFont val="Times New Roman"/>
        <family val="0"/>
        <charset val="1"/>
      </rPr>
      <t xml:space="preserve">provenance</t>
    </r>
    <r>
      <rPr>
        <sz val="11"/>
        <rFont val="Noto Sans CJK SC"/>
        <family val="2"/>
      </rPr>
      <t xml:space="preserve">。不得再引為整體 </t>
    </r>
    <r>
      <rPr>
        <sz val="11"/>
        <rFont val="Times New Roman"/>
        <family val="0"/>
        <charset val="1"/>
      </rPr>
      <t xml:space="preserve">Release Gate Pass</t>
    </r>
    <r>
      <rPr>
        <sz val="11"/>
        <rFont val="Noto Sans CJK SC"/>
        <family val="2"/>
      </rPr>
      <t xml:space="preserve">。</t>
    </r>
  </si>
  <si>
    <t xml:space="preserve">已知覆蓋缺口</t>
  </si>
  <si>
    <r>
      <rPr>
        <sz val="11"/>
        <rFont val="Times New Roman"/>
        <family val="0"/>
        <charset val="1"/>
      </rPr>
      <t xml:space="preserve">12 </t>
    </r>
    <r>
      <rPr>
        <sz val="11"/>
        <rFont val="Noto Sans CJK SC"/>
        <family val="2"/>
      </rPr>
      <t xml:space="preserve">組中 </t>
    </r>
    <r>
      <rPr>
        <sz val="11"/>
        <rFont val="Times New Roman"/>
        <family val="0"/>
        <charset val="1"/>
      </rPr>
      <t xml:space="preserve">6 </t>
    </r>
    <r>
      <rPr>
        <sz val="11"/>
        <rFont val="Noto Sans CJK SC"/>
        <family val="2"/>
      </rPr>
      <t xml:space="preserve">組為 </t>
    </r>
    <r>
      <rPr>
        <sz val="11"/>
        <rFont val="Times New Roman"/>
        <family val="0"/>
        <charset val="1"/>
      </rPr>
      <t xml:space="preserve">actualReceiverBic ≠ counterpartyBic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BARCGB22/USD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BNPAFRPP/CNY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BOFAUS3N/AUD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CHASUS33/CAD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CHASUS33/USD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SCBLGB2L/CHF</t>
    </r>
    <r>
      <rPr>
        <sz val="11"/>
        <rFont val="Noto Sans CJK SC"/>
        <family val="2"/>
      </rPr>
      <t xml:space="preserve">）。</t>
    </r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僅在此 </t>
    </r>
    <r>
      <rPr>
        <sz val="11"/>
        <rFont val="Times New Roman"/>
        <family val="0"/>
        <charset val="1"/>
      </rPr>
      <t xml:space="preserve">6 </t>
    </r>
    <r>
      <rPr>
        <sz val="11"/>
        <rFont val="Noto Sans CJK SC"/>
        <family val="2"/>
      </rPr>
      <t xml:space="preserve">組現形，現行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案未對其設斷言。</t>
    </r>
  </si>
  <si>
    <t xml:space="preserve">作廢檔案</t>
  </si>
  <si>
    <r>
      <rPr>
        <sz val="11"/>
        <rFont val="Times New Roman"/>
        <family val="0"/>
        <charset val="1"/>
      </rPr>
      <t xml:space="preserve">MT2xx_SSI_Resolution_UAT</t>
    </r>
    <r>
      <rPr>
        <sz val="11"/>
        <rFont val="Noto Sans CJK SC"/>
        <family val="2"/>
      </rPr>
      <t xml:space="preserve">執行清單</t>
    </r>
    <r>
      <rPr>
        <sz val="11"/>
        <rFont val="Times New Roman"/>
        <family val="0"/>
        <charset val="1"/>
      </rPr>
      <t xml:space="preserve">_v1_1.xlsx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6AF578B6…E95D</t>
    </r>
    <r>
      <rPr>
        <sz val="11"/>
        <rFont val="Noto Sans CJK SC"/>
        <family val="2"/>
      </rPr>
      <t xml:space="preserve">）已更名 </t>
    </r>
    <r>
      <rPr>
        <sz val="11"/>
        <rFont val="Times New Roman"/>
        <family val="0"/>
        <charset val="1"/>
      </rPr>
      <t xml:space="preserve">_OBSOLETE_DO_NOT_USE</t>
    </r>
    <r>
      <rPr>
        <sz val="11"/>
        <rFont val="Noto Sans CJK SC"/>
        <family val="2"/>
      </rPr>
      <t xml:space="preserve">：舊 </t>
    </r>
    <r>
      <rPr>
        <sz val="11"/>
        <rFont val="Times New Roman"/>
        <family val="0"/>
        <charset val="1"/>
      </rPr>
      <t xml:space="preserve">snapshot 7492…4EF3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56 </t>
    </r>
    <r>
      <rPr>
        <sz val="11"/>
        <rFont val="Noto Sans CJK SC"/>
        <family val="2"/>
      </rPr>
      <t xml:space="preserve">案／</t>
    </r>
    <r>
      <rPr>
        <sz val="11"/>
        <rFont val="Times New Roman"/>
        <family val="0"/>
        <charset val="1"/>
      </rPr>
      <t xml:space="preserve">COV 503 </t>
    </r>
    <r>
      <rPr>
        <sz val="11"/>
        <rFont val="Noto Sans CJK SC"/>
        <family val="2"/>
      </rPr>
      <t xml:space="preserve">舊矩陣。</t>
    </r>
  </si>
  <si>
    <t xml:space="preserve">字型與快取取捨</t>
  </si>
  <si>
    <r>
      <rPr>
        <sz val="11"/>
        <rFont val="Times New Roman"/>
        <family val="0"/>
        <charset val="1"/>
      </rPr>
      <t xml:space="preserve">Times New Roman </t>
    </r>
    <r>
      <rPr>
        <sz val="11"/>
        <rFont val="Noto Sans CJK SC"/>
        <family val="2"/>
      </rPr>
      <t xml:space="preserve">無中文字符，重算引擎會替含中文儲存格改用具中文字符之字體名。本檔以 </t>
    </r>
    <r>
      <rPr>
        <sz val="11"/>
        <rFont val="Times New Roman"/>
        <family val="0"/>
        <charset val="1"/>
      </rPr>
      <t xml:space="preserve">cached values </t>
    </r>
    <r>
      <rPr>
        <sz val="11"/>
        <rFont val="Noto Sans CJK SC"/>
        <family val="2"/>
      </rPr>
      <t xml:space="preserve">齊全為優先：字型於重算前套用、重算為最後步驟，交付前已讀回驗證全部公式均有快取值。拉丁字母與數字維持 </t>
    </r>
    <r>
      <rPr>
        <sz val="11"/>
        <rFont val="Times New Roman"/>
        <family val="0"/>
        <charset val="1"/>
      </rPr>
      <t xml:space="preserve">Times New Roman 11</t>
    </r>
    <r>
      <rPr>
        <sz val="11"/>
        <rFont val="Noto Sans CJK SC"/>
        <family val="2"/>
      </rPr>
      <t xml:space="preserve">。</t>
    </r>
  </si>
  <si>
    <t xml:space="preserve">未決項驅動規則</t>
  </si>
  <si>
    <r>
      <rPr>
        <sz val="11"/>
        <rFont val="Noto Sans CJK SC"/>
        <family val="2"/>
      </rPr>
      <t xml:space="preserve">全檔 </t>
    </r>
    <r>
      <rPr>
        <sz val="11"/>
        <rFont val="Times New Roman"/>
        <family val="0"/>
        <charset val="1"/>
      </rPr>
      <t xml:space="preserve">BLOCKED </t>
    </r>
    <r>
      <rPr>
        <sz val="11"/>
        <rFont val="Noto Sans CJK SC"/>
        <family val="2"/>
      </rPr>
      <t xml:space="preserve">狀態由「未決項清單」單一驅動。未決項未關閉前，引用列不得填具體預期值、不得執行、不得計入分母。</t>
    </r>
  </si>
  <si>
    <t xml:space="preserve">Case ID</t>
  </si>
  <si>
    <t xml:space="preserve">Precondition</t>
  </si>
  <si>
    <t xml:space="preserve">Action</t>
  </si>
  <si>
    <t xml:space="preserve">Expected Result</t>
  </si>
  <si>
    <t xml:space="preserve">Business Risk</t>
  </si>
  <si>
    <t xml:space="preserve">Execution Record</t>
  </si>
  <si>
    <t xml:space="preserve">UI-STALE-01</t>
  </si>
  <si>
    <r>
      <rPr>
        <sz val="11"/>
        <color theme="1"/>
        <rFont val="Times New Roman"/>
        <family val="2"/>
        <charset val="1"/>
      </rPr>
      <t xml:space="preserve">BARCGB22 / USD </t>
    </r>
    <r>
      <rPr>
        <sz val="11"/>
        <color theme="1"/>
        <rFont val="Noto Sans CJK SC"/>
        <family val="2"/>
      </rPr>
      <t xml:space="preserve">已 </t>
    </r>
    <r>
      <rPr>
        <sz val="11"/>
        <color theme="1"/>
        <rFont val="Times New Roman"/>
        <family val="2"/>
        <charset val="1"/>
      </rPr>
      <t xml:space="preserve">SSI_RESOLVED</t>
    </r>
  </si>
  <si>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Times New Roman"/>
        <family val="2"/>
        <charset val="1"/>
      </rPr>
      <t xml:space="preserve">Currency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Times New Roman"/>
        <family val="2"/>
        <charset val="1"/>
      </rPr>
      <t xml:space="preserve">SGD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Times New Roman"/>
        <family val="2"/>
        <charset val="1"/>
      </rPr>
      <t xml:space="preserve">No SSI Record</t>
    </r>
    <r>
      <rPr>
        <sz val="11"/>
        <color theme="1"/>
        <rFont val="Noto Sans CJK SC"/>
        <family val="2"/>
      </rPr>
      <t xml:space="preserve">），不按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</si>
  <si>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Noto Sans CJK SC"/>
        <family val="2"/>
      </rPr>
      <t xml:space="preserve">舊結果立即清空或明確標 </t>
    </r>
    <r>
      <rPr>
        <sz val="11"/>
        <color theme="1"/>
        <rFont val="Times New Roman"/>
        <family val="2"/>
        <charset val="1"/>
      </rPr>
      <t xml:space="preserve">stale</t>
    </r>
    <r>
      <rPr>
        <sz val="11"/>
        <color theme="1"/>
        <rFont val="Noto Sans CJK SC"/>
        <family val="2"/>
      </rPr>
      <t xml:space="preserve">；不得顯示 </t>
    </r>
    <r>
      <rPr>
        <sz val="11"/>
        <color theme="1"/>
        <rFont val="Times New Roman"/>
        <family val="2"/>
        <charset val="1"/>
      </rPr>
      <t xml:space="preserve">RESOLVED</t>
    </r>
    <r>
      <rPr>
        <sz val="11"/>
        <color theme="1"/>
        <rFont val="Noto Sans CJK SC"/>
        <family val="2"/>
      </rPr>
      <t xml:space="preserve">、舊 </t>
    </r>
    <r>
      <rPr>
        <sz val="11"/>
        <color theme="1"/>
        <rFont val="Times New Roman"/>
        <family val="2"/>
        <charset val="1"/>
      </rPr>
      <t xml:space="preserve">agent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Times New Roman"/>
        <family val="2"/>
        <charset val="1"/>
      </rPr>
      <t xml:space="preserve">nostro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Times New Roman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</si>
  <si>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避免使用者把 </t>
    </r>
    <r>
      <rPr>
        <sz val="11"/>
        <color theme="1"/>
        <rFont val="Times New Roman"/>
        <family val="2"/>
        <charset val="1"/>
      </rPr>
      <t xml:space="preserve">USD </t>
    </r>
    <r>
      <rPr>
        <sz val="11"/>
        <color theme="1"/>
        <rFont val="Noto Sans CJK SC"/>
        <family val="2"/>
      </rPr>
      <t xml:space="preserve">路由誤當 </t>
    </r>
    <r>
      <rPr>
        <sz val="11"/>
        <color theme="1"/>
        <rFont val="Times New Roman"/>
        <family val="2"/>
        <charset val="1"/>
      </rPr>
      <t xml:space="preserve">SGD </t>
    </r>
    <r>
      <rPr>
        <sz val="11"/>
        <color theme="1"/>
        <rFont val="Noto Sans CJK SC"/>
        <family val="2"/>
      </rPr>
      <t xml:space="preserve">路由</t>
    </r>
  </si>
  <si>
    <t xml:space="preserve">UI-RACE-01</t>
  </si>
  <si>
    <r>
      <rPr>
        <sz val="11"/>
        <color theme="1"/>
        <rFont val="Noto Sans CJK SC"/>
        <family val="2"/>
      </rPr>
      <t xml:space="preserve">先送 </t>
    </r>
    <r>
      <rPr>
        <sz val="11"/>
        <color theme="1"/>
        <rFont val="Times New Roman"/>
        <family val="2"/>
        <charset val="1"/>
      </rPr>
      <t xml:space="preserve">USD Preview</t>
    </r>
    <r>
      <rPr>
        <sz val="11"/>
        <color theme="1"/>
        <rFont val="Noto Sans CJK SC"/>
        <family val="2"/>
      </rPr>
      <t xml:space="preserve">，立即切 </t>
    </r>
    <r>
      <rPr>
        <sz val="11"/>
        <color theme="1"/>
        <rFont val="Times New Roman"/>
        <family val="2"/>
        <charset val="1"/>
      </rPr>
      <t xml:space="preserve">GBP </t>
    </r>
    <r>
      <rPr>
        <sz val="11"/>
        <color theme="1"/>
        <rFont val="Noto Sans CJK SC"/>
        <family val="2"/>
      </rPr>
      <t xml:space="preserve">再送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</si>
  <si>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Noto Sans CJK SC"/>
        <family val="2"/>
      </rPr>
      <t xml:space="preserve">以瀏覽器 </t>
    </r>
    <r>
      <rPr>
        <sz val="11"/>
        <color theme="1"/>
        <rFont val="Times New Roman"/>
        <family val="2"/>
        <charset val="1"/>
      </rPr>
      <t xml:space="preserve">route interception </t>
    </r>
    <r>
      <rPr>
        <sz val="11"/>
        <color theme="1"/>
        <rFont val="Noto Sans CJK SC"/>
        <family val="2"/>
      </rPr>
      <t xml:space="preserve">固定延遲 </t>
    </r>
    <r>
      <rPr>
        <sz val="11"/>
        <color theme="1"/>
        <rFont val="Times New Roman"/>
        <family val="2"/>
        <charset val="1"/>
      </rPr>
      <t xml:space="preserve">USD response 1500 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GBP response </t>
    </r>
    <r>
      <rPr>
        <sz val="11"/>
        <color theme="1"/>
        <rFont val="Noto Sans CJK SC"/>
        <family val="2"/>
      </rPr>
      <t xml:space="preserve">先返回</t>
    </r>
  </si>
  <si>
    <r>
      <rPr>
        <sz val="11"/>
        <color theme="1"/>
        <rFont val="Noto Sans CJK SC"/>
        <family val="2"/>
      </rPr>
      <t xml:space="preserve">畫面只接受最新 </t>
    </r>
    <r>
      <rPr>
        <sz val="11"/>
        <color theme="1"/>
        <rFont val="Times New Roman"/>
        <family val="2"/>
        <charset val="1"/>
      </rPr>
      <t xml:space="preserve">GBP request identity</t>
    </r>
    <r>
      <rPr>
        <sz val="11"/>
        <color theme="1"/>
        <rFont val="Noto Sans CJK SC"/>
        <family val="2"/>
      </rPr>
      <t xml:space="preserve">；遲到 </t>
    </r>
    <r>
      <rPr>
        <sz val="11"/>
        <color theme="1"/>
        <rFont val="Times New Roman"/>
        <family val="2"/>
        <charset val="1"/>
      </rPr>
      <t xml:space="preserve">USD response </t>
    </r>
    <r>
      <rPr>
        <sz val="11"/>
        <color theme="1"/>
        <rFont val="Noto Sans CJK SC"/>
        <family val="2"/>
      </rPr>
      <t xml:space="preserve">不得回填。</t>
    </r>
  </si>
  <si>
    <t xml:space="preserve">避免非同步競態造成跨幣別路由混用</t>
  </si>
  <si>
    <t xml:space="preserve">UI-BANK-SVC-01</t>
  </si>
  <si>
    <r>
      <rPr>
        <sz val="11"/>
        <color theme="1"/>
        <rFont val="Noto Sans CJK SC"/>
        <family val="2"/>
      </rPr>
      <t xml:space="preserve">未選 </t>
    </r>
    <r>
      <rPr>
        <sz val="11"/>
        <color theme="1"/>
        <rFont val="Times New Roman"/>
        <family val="2"/>
        <charset val="1"/>
      </rPr>
      <t xml:space="preserve">Counterparty Bank Service</t>
    </r>
  </si>
  <si>
    <r>
      <rPr>
        <sz val="11"/>
        <color theme="1"/>
        <rFont val="Noto Sans CJK SC"/>
        <family val="2"/>
      </rPr>
      <t xml:space="preserve">以空 </t>
    </r>
    <r>
      <rPr>
        <sz val="11"/>
        <color theme="1"/>
        <rFont val="Times New Roman"/>
        <family val="2"/>
        <charset val="1"/>
      </rPr>
      <t xml:space="preserve">bankServiceId </t>
    </r>
    <r>
      <rPr>
        <sz val="11"/>
        <color theme="1"/>
        <rFont val="Noto Sans CJK SC"/>
        <family val="2"/>
      </rPr>
      <t xml:space="preserve">送出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</si>
  <si>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Times New Roman"/>
        <family val="2"/>
        <charset val="1"/>
      </rPr>
      <t xml:space="preserve">fail closed</t>
    </r>
    <r>
      <rPr>
        <sz val="11"/>
        <color theme="1"/>
        <rFont val="Noto Sans CJK SC"/>
        <family val="2"/>
      </rPr>
      <t xml:space="preserve">；不得以 </t>
    </r>
    <r>
      <rPr>
        <sz val="11"/>
        <color theme="1"/>
        <rFont val="Times New Roman"/>
        <family val="2"/>
        <charset val="1"/>
      </rPr>
      <t xml:space="preserve">raw BIC fallback</t>
    </r>
    <r>
      <rPr>
        <sz val="11"/>
        <color theme="1"/>
        <rFont val="Noto Sans CJK SC"/>
        <family val="2"/>
      </rPr>
      <t xml:space="preserve">，須顯示可行動的欄位錯誤。</t>
    </r>
  </si>
  <si>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Times New Roman"/>
        <family val="2"/>
        <charset val="1"/>
      </rPr>
      <t xml:space="preserve">bankServiceId → BIC </t>
    </r>
    <r>
      <rPr>
        <sz val="11"/>
        <color theme="1"/>
        <rFont val="Noto Sans CJK SC"/>
        <family val="2"/>
      </rPr>
      <t xml:space="preserve">的唯一受控解析鏈</t>
    </r>
  </si>
  <si>
    <t xml:space="preserve">UI-BANK-SVC-02</t>
  </si>
  <si>
    <r>
      <rPr>
        <sz val="11"/>
        <color theme="1"/>
        <rFont val="Noto Sans CJK SC"/>
        <family val="2"/>
      </rPr>
      <t xml:space="preserve">輸入不存在的 </t>
    </r>
    <r>
      <rPr>
        <sz val="11"/>
        <color theme="1"/>
        <rFont val="Times New Roman"/>
        <family val="2"/>
        <charset val="1"/>
      </rPr>
      <t xml:space="preserve">Bank Service ID</t>
    </r>
  </si>
  <si>
    <r>
      <rPr>
        <sz val="11"/>
        <color theme="1"/>
        <rFont val="Noto Sans CJK SC"/>
        <family val="2"/>
      </rPr>
      <t xml:space="preserve">送出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</si>
  <si>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Times New Roman"/>
        <family val="2"/>
        <charset val="1"/>
      </rPr>
      <t xml:space="preserve">HTTP 422 OPTION_CONSTRAINT_VIOLATION</t>
    </r>
    <r>
      <rPr>
        <sz val="11"/>
        <color theme="1"/>
        <rFont val="Noto Sans CJK SC"/>
        <family val="2"/>
      </rPr>
      <t xml:space="preserve">；不得產生 </t>
    </r>
    <r>
      <rPr>
        <sz val="11"/>
        <color theme="1"/>
        <rFont val="Times New Roman"/>
        <family val="2"/>
        <charset val="1"/>
      </rPr>
      <t xml:space="preserve">payload</t>
    </r>
    <r>
      <rPr>
        <sz val="11"/>
        <color theme="1"/>
        <rFont val="Noto Sans CJK SC"/>
        <family val="2"/>
      </rPr>
      <t xml:space="preserve">，亦不得接受 </t>
    </r>
    <r>
      <rPr>
        <sz val="11"/>
        <color theme="1"/>
        <rFont val="Times New Roman"/>
        <family val="2"/>
        <charset val="1"/>
      </rPr>
      <t xml:space="preserve">raw BIC fallback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</si>
  <si>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防止未登錄銀行身分繞過 </t>
    </r>
    <r>
      <rPr>
        <sz val="11"/>
        <color theme="1"/>
        <rFont val="Times New Roman"/>
        <family val="2"/>
        <charset val="1"/>
      </rPr>
      <t xml:space="preserve">Bank Service</t>
    </r>
  </si>
  <si>
    <t xml:space="preserve">Target Scenario</t>
  </si>
  <si>
    <t xml:space="preserve">Expected Behavior</t>
  </si>
  <si>
    <t xml:space="preserve">Separate From 48-Case Resolver Matrix</t>
  </si>
  <si>
    <t xml:space="preserve">SCN-202-01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</si>
  <si>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Times New Roman"/>
        <family val="2"/>
        <charset val="1"/>
      </rPr>
      <t xml:space="preserve">R2 </t>
    </r>
    <r>
      <rPr>
        <sz val="11"/>
        <color theme="1"/>
        <rFont val="Noto Sans CJK SC"/>
        <family val="2"/>
      </rPr>
      <t xml:space="preserve">更正】</t>
    </r>
    <r>
      <rPr>
        <sz val="11"/>
        <color theme="1"/>
        <rFont val="Times New Roman"/>
        <family val="2"/>
        <charset val="1"/>
      </rPr>
      <t xml:space="preserve">Resolution Domain=OWN_SSI_NOSTRO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counterpartySsiResolution=SKIPPED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chosenRoute=null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candidates=[]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roleProvenance </t>
    </r>
    <r>
      <rPr>
        <sz val="11"/>
        <color theme="1"/>
        <rFont val="Noto Sans CJK SC"/>
        <family val="2"/>
      </rPr>
      <t xml:space="preserve">全數為 </t>
    </r>
    <r>
      <rPr>
        <sz val="11"/>
        <color theme="1"/>
        <rFont val="Times New Roman"/>
        <family val="2"/>
        <charset val="1"/>
      </rPr>
      <t xml:space="preserve">own-account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Receiver Bank Service </t>
    </r>
    <r>
      <rPr>
        <sz val="11"/>
        <color theme="1"/>
        <rFont val="Noto Sans CJK SC"/>
        <family val="2"/>
      </rPr>
      <t xml:space="preserve">來源。</t>
    </r>
    <r>
      <rPr>
        <sz val="11"/>
        <color theme="1"/>
        <rFont val="Times New Roman"/>
        <family val="2"/>
        <charset val="1"/>
      </rPr>
      <t xml:space="preserve">own-account agent roles </t>
    </r>
    <r>
      <rPr>
        <sz val="11"/>
        <color theme="1"/>
        <rFont val="Noto Sans CJK SC"/>
        <family val="2"/>
      </rPr>
      <t xml:space="preserve">存在，</t>
    </r>
    <r>
      <rPr>
        <sz val="11"/>
        <color theme="1"/>
        <rFont val="Times New Roman"/>
        <family val="2"/>
        <charset val="1"/>
      </rPr>
      <t xml:space="preserve">57A </t>
    </r>
    <r>
      <rPr>
        <sz val="11"/>
        <color theme="1"/>
        <rFont val="Noto Sans CJK SC"/>
        <family val="2"/>
      </rPr>
      <t xml:space="preserve">省略規則有效（</t>
    </r>
    <r>
      <rPr>
        <sz val="11"/>
        <color theme="1"/>
        <rFont val="Times New Roman"/>
        <family val="2"/>
        <charset val="1"/>
      </rPr>
      <t xml:space="preserve">MRG p.52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p.54</t>
    </r>
    <r>
      <rPr>
        <sz val="11"/>
        <color theme="1"/>
        <rFont val="Noto Sans CJK SC"/>
        <family val="2"/>
      </rPr>
      <t xml:space="preserve">）。細部斷言見 </t>
    </r>
    <r>
      <rPr>
        <sz val="11"/>
        <color theme="1"/>
        <rFont val="Times New Roman"/>
        <family val="2"/>
        <charset val="1"/>
      </rPr>
      <t xml:space="preserve">BOOK-01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Times New Roman"/>
        <family val="2"/>
        <charset val="1"/>
      </rPr>
      <t xml:space="preserve">05</t>
    </r>
    <r>
      <rPr>
        <sz val="11"/>
        <color theme="1"/>
        <rFont val="Noto Sans CJK SC"/>
        <family val="2"/>
      </rPr>
      <t xml:space="preserve">。</t>
    </r>
  </si>
  <si>
    <t xml:space="preserve">YES</t>
  </si>
  <si>
    <t xml:space="preserve">SCN-202-02</t>
  </si>
  <si>
    <r>
      <rPr>
        <sz val="11"/>
        <color theme="1"/>
        <rFont val="Noto Sans CJK SC"/>
        <family val="2"/>
      </rPr>
      <t xml:space="preserve">驗證明示帳戶、</t>
    </r>
    <r>
      <rPr>
        <sz val="11"/>
        <color theme="1"/>
        <rFont val="Times New Roman"/>
        <family val="2"/>
        <charset val="1"/>
      </rPr>
      <t xml:space="preserve">57a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Times New Roman"/>
        <family val="2"/>
        <charset val="1"/>
      </rPr>
      <t xml:space="preserve">chosen SSI accountId </t>
    </r>
    <r>
      <rPr>
        <sz val="11"/>
        <color theme="1"/>
        <rFont val="Noto Sans CJK SC"/>
        <family val="2"/>
      </rPr>
      <t xml:space="preserve">一致。</t>
    </r>
  </si>
  <si>
    <t xml:space="preserve">SCN-205-01</t>
  </si>
  <si>
    <r>
      <rPr>
        <sz val="11"/>
        <color theme="1"/>
        <rFont val="Noto Sans CJK SC"/>
        <family val="2"/>
      </rPr>
      <t xml:space="preserve">驗證前手 </t>
    </r>
    <r>
      <rPr>
        <sz val="11"/>
        <color theme="1"/>
        <rFont val="Times New Roman"/>
        <family val="2"/>
        <charset val="1"/>
      </rPr>
      <t xml:space="preserve">context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Times New Roman"/>
        <family val="2"/>
        <charset val="1"/>
      </rPr>
      <t xml:space="preserve">mandatory 52a</t>
    </r>
    <r>
      <rPr>
        <sz val="11"/>
        <color theme="1"/>
        <rFont val="Noto Sans CJK SC"/>
        <family val="2"/>
      </rPr>
      <t xml:space="preserve">；缺值回 </t>
    </r>
    <r>
      <rPr>
        <sz val="11"/>
        <color theme="1"/>
        <rFont val="Times New Roman"/>
        <family val="2"/>
        <charset val="1"/>
      </rPr>
      <t xml:space="preserve">MESSAGE_CONTEXT_MISSING</t>
    </r>
    <r>
      <rPr>
        <sz val="11"/>
        <color theme="1"/>
        <rFont val="Noto Sans CJK SC"/>
        <family val="2"/>
      </rPr>
      <t xml:space="preserve">。</t>
    </r>
  </si>
  <si>
    <t xml:space="preserve">SCN-205COV-01</t>
  </si>
  <si>
    <r>
      <rPr>
        <sz val="11"/>
        <color theme="1"/>
        <rFont val="Noto Sans CJK SC"/>
        <family val="2"/>
      </rPr>
      <t xml:space="preserve">驗證 </t>
    </r>
    <r>
      <rPr>
        <sz val="11"/>
        <color theme="1"/>
        <rFont val="Times New Roman"/>
        <family val="2"/>
        <charset val="1"/>
      </rPr>
      <t xml:space="preserve">cover context </t>
    </r>
    <r>
      <rPr>
        <sz val="11"/>
        <color theme="1"/>
        <rFont val="Noto Sans CJK SC"/>
        <family val="2"/>
      </rPr>
      <t xml:space="preserve">傳遞且不套用 </t>
    </r>
    <r>
      <rPr>
        <sz val="11"/>
        <color theme="1"/>
        <rFont val="Times New Roman"/>
        <family val="2"/>
        <charset val="1"/>
      </rPr>
      <t xml:space="preserve">MT205-only </t>
    </r>
    <r>
      <rPr>
        <sz val="11"/>
        <color theme="1"/>
        <rFont val="Noto Sans CJK SC"/>
        <family val="2"/>
      </rPr>
      <t xml:space="preserve">規則。</t>
    </r>
  </si>
  <si>
    <t xml:space="preserve">SCN-202COV-GAP</t>
  </si>
  <si>
    <t xml:space="preserve">NO_REGISTERED_UI_SCENARIO</t>
  </si>
  <si>
    <r>
      <rPr>
        <sz val="11"/>
        <color theme="1"/>
        <rFont val="Noto Sans CJK SC"/>
        <family val="2"/>
      </rPr>
      <t xml:space="preserve">登錄為情境覆蓋缺口；只執行 </t>
    </r>
    <r>
      <rPr>
        <sz val="11"/>
        <color theme="1"/>
        <rFont val="Times New Roman"/>
        <family val="2"/>
        <charset val="1"/>
      </rPr>
      <t xml:space="preserve">resolver baseline</t>
    </r>
    <r>
      <rPr>
        <sz val="11"/>
        <color theme="1"/>
        <rFont val="Noto Sans CJK SC"/>
        <family val="2"/>
      </rPr>
      <t xml:space="preserve">，不宣稱 </t>
    </r>
    <r>
      <rPr>
        <sz val="11"/>
        <color theme="1"/>
        <rFont val="Times New Roman"/>
        <family val="2"/>
        <charset val="1"/>
      </rPr>
      <t xml:space="preserve">scenario coverage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</si>
  <si>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Times New Roman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案主矩陣的 </t>
    </r>
    <r>
      <rPr>
        <sz val="11"/>
        <color theme="1"/>
        <rFont val="Times New Roman"/>
        <family val="2"/>
        <charset val="1"/>
      </rPr>
      <t xml:space="preserve">Resolver Baseline Profile </t>
    </r>
    <r>
      <rPr>
        <sz val="11"/>
        <color theme="1"/>
        <rFont val="Noto Sans CJK SC"/>
        <family val="2"/>
      </rPr>
      <t xml:space="preserve">不是可選 </t>
    </r>
    <r>
      <rPr>
        <sz val="11"/>
        <color theme="1"/>
        <rFont val="Times New Roman"/>
        <family val="2"/>
        <charset val="1"/>
      </rPr>
      <t xml:space="preserve">UI scenario</t>
    </r>
    <r>
      <rPr>
        <sz val="11"/>
        <color theme="1"/>
        <rFont val="Noto Sans CJK SC"/>
        <family val="2"/>
      </rPr>
      <t xml:space="preserve">；不需套用情境。以上 </t>
    </r>
    <r>
      <rPr>
        <sz val="11"/>
        <color theme="1"/>
        <rFont val="Times New Roman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案另計，不灌入 </t>
    </r>
    <r>
      <rPr>
        <sz val="11"/>
        <color theme="1"/>
        <rFont val="Times New Roman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案分母。</t>
    </r>
  </si>
  <si>
    <r>
      <rPr>
        <b val="true"/>
        <sz val="15"/>
        <color rgb="FF1F3864"/>
        <rFont val="Times New Roman"/>
        <family val="0"/>
        <charset val="1"/>
      </rPr>
      <t xml:space="preserve">v15.2_DRAFT_R2 </t>
    </r>
    <r>
      <rPr>
        <b val="true"/>
        <sz val="15"/>
        <color rgb="FF1F3864"/>
        <rFont val="Noto Sans CJK SC"/>
        <family val="2"/>
      </rPr>
      <t xml:space="preserve">新增案例 — </t>
    </r>
    <r>
      <rPr>
        <b val="true"/>
        <sz val="15"/>
        <color rgb="FF1F3864"/>
        <rFont val="Times New Roman"/>
        <family val="0"/>
        <charset val="1"/>
      </rPr>
      <t xml:space="preserve">20 </t>
    </r>
    <r>
      <rPr>
        <b val="true"/>
        <sz val="15"/>
        <color rgb="FF1F3864"/>
        <rFont val="Noto Sans CJK SC"/>
        <family val="2"/>
      </rPr>
      <t xml:space="preserve">案，</t>
    </r>
    <r>
      <rPr>
        <b val="true"/>
        <sz val="15"/>
        <color rgb="FF1F3864"/>
        <rFont val="Times New Roman"/>
        <family val="0"/>
        <charset val="1"/>
      </rPr>
      <t xml:space="preserve">BA </t>
    </r>
    <r>
      <rPr>
        <b val="true"/>
        <sz val="15"/>
        <color rgb="FF1F3864"/>
        <rFont val="Noto Sans CJK SC"/>
        <family val="2"/>
      </rPr>
      <t xml:space="preserve">核准前全部 </t>
    </r>
    <r>
      <rPr>
        <b val="true"/>
        <sz val="15"/>
        <color rgb="FF1F3864"/>
        <rFont val="Times New Roman"/>
        <family val="0"/>
        <charset val="1"/>
      </rPr>
      <t xml:space="preserve">BLOCKED</t>
    </r>
    <r>
      <rPr>
        <b val="true"/>
        <sz val="15"/>
        <color rgb="FF1F3864"/>
        <rFont val="Noto Sans CJK SC"/>
        <family val="2"/>
      </rPr>
      <t xml:space="preserve">、不計入 </t>
    </r>
    <r>
      <rPr>
        <b val="true"/>
        <sz val="15"/>
        <color rgb="FF1F3864"/>
        <rFont val="Times New Roman"/>
        <family val="0"/>
        <charset val="1"/>
      </rPr>
      <t xml:space="preserve">48 </t>
    </r>
    <r>
      <rPr>
        <b val="true"/>
        <sz val="15"/>
        <color rgb="FF1F3864"/>
        <rFont val="Noto Sans CJK SC"/>
        <family val="2"/>
      </rPr>
      <t xml:space="preserve">案分母</t>
    </r>
  </si>
  <si>
    <r>
      <rPr>
        <i val="true"/>
        <sz val="11"/>
        <color rgb="FF595959"/>
        <rFont val="Times New Roman"/>
        <family val="0"/>
        <charset val="1"/>
      </rPr>
      <t xml:space="preserve">BOOK-01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05 </t>
    </r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0"/>
        <charset val="1"/>
      </rPr>
      <t xml:space="preserve">BA </t>
    </r>
    <r>
      <rPr>
        <i val="true"/>
        <sz val="11"/>
        <color rgb="FF595959"/>
        <rFont val="Noto Sans CJK SC"/>
        <family val="2"/>
      </rPr>
      <t xml:space="preserve">裁定之案例切分，並附 </t>
    </r>
    <r>
      <rPr>
        <i val="true"/>
        <sz val="11"/>
        <color rgb="FF595959"/>
        <rFont val="Times New Roman"/>
        <family val="0"/>
        <charset val="1"/>
      </rPr>
      <t xml:space="preserve">MRG us2m_20260717.pdf </t>
    </r>
    <r>
      <rPr>
        <i val="true"/>
        <sz val="11"/>
        <color rgb="FF595959"/>
        <rFont val="Noto Sans CJK SC"/>
        <family val="2"/>
      </rPr>
      <t xml:space="preserve">頁碼錨點。正向 </t>
    </r>
    <r>
      <rPr>
        <i val="true"/>
        <sz val="11"/>
        <color rgb="FF595959"/>
        <rFont val="Times New Roman"/>
        <family val="0"/>
        <charset val="1"/>
      </rPr>
      <t xml:space="preserve">API shape </t>
    </r>
    <r>
      <rPr>
        <i val="true"/>
        <sz val="11"/>
        <color rgb="FF595959"/>
        <rFont val="Noto Sans CJK SC"/>
        <family val="2"/>
      </rPr>
      <t xml:space="preserve">為 </t>
    </r>
    <r>
      <rPr>
        <i val="true"/>
        <sz val="11"/>
        <color rgb="FF595959"/>
        <rFont val="Times New Roman"/>
        <family val="0"/>
        <charset val="1"/>
      </rPr>
      <t xml:space="preserve">BA </t>
    </r>
    <r>
      <rPr>
        <i val="true"/>
        <sz val="11"/>
        <color rgb="FF595959"/>
        <rFont val="Noto Sans CJK SC"/>
        <family val="2"/>
      </rPr>
      <t xml:space="preserve">已裁定值。</t>
    </r>
  </si>
  <si>
    <t xml:space="preserve">類別</t>
  </si>
  <si>
    <t xml:space="preserve">狀態</t>
  </si>
  <si>
    <t xml:space="preserve">未決項</t>
  </si>
  <si>
    <t xml:space="preserve">情境／前置條件</t>
  </si>
  <si>
    <t xml:space="preserve">幣別</t>
  </si>
  <si>
    <t xml:space="preserve">chosen SSI</t>
  </si>
  <si>
    <t xml:space="preserve">SSI version</t>
  </si>
  <si>
    <r>
      <rPr>
        <b val="true"/>
        <sz val="11"/>
        <color rgb="FFFFFFFF"/>
        <rFont val="Times New Roman"/>
        <family val="0"/>
        <charset val="1"/>
      </rPr>
      <t xml:space="preserve">agent </t>
    </r>
    <r>
      <rPr>
        <b val="true"/>
        <sz val="11"/>
        <color rgb="FFFFFFFF"/>
        <rFont val="Noto Sans CJK SC"/>
        <family val="2"/>
      </rPr>
      <t xml:space="preserve">對照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</si>
  <si>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resolutionDomain</t>
    </r>
  </si>
  <si>
    <t xml:space="preserve">counterpartySsiResolution</t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</si>
  <si>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HTTP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</si>
  <si>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code</t>
    </r>
  </si>
  <si>
    <t xml:space="preserve">chosenRoute</t>
  </si>
  <si>
    <t xml:space="preserve">candidates</t>
  </si>
  <si>
    <t xml:space="preserve">斷言內容</t>
  </si>
  <si>
    <r>
      <rPr>
        <b val="true"/>
        <sz val="11"/>
        <color rgb="FFFFFFFF"/>
        <rFont val="Times New Roman"/>
        <family val="0"/>
        <charset val="1"/>
      </rPr>
      <t xml:space="preserve">MRG </t>
    </r>
    <r>
      <rPr>
        <b val="true"/>
        <sz val="11"/>
        <color rgb="FFFFFFFF"/>
        <rFont val="Noto Sans CJK SC"/>
        <family val="2"/>
      </rPr>
      <t xml:space="preserve">錨點</t>
    </r>
  </si>
  <si>
    <t xml:space="preserve">業務風險</t>
  </si>
  <si>
    <t xml:space="preserve">BOOK-01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</si>
  <si>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正向</t>
    </r>
  </si>
  <si>
    <r>
      <rPr>
        <sz val="11"/>
        <rFont val="Times New Roman"/>
        <family val="0"/>
        <charset val="1"/>
      </rPr>
      <t xml:space="preserve">BLOCKED — </t>
    </r>
    <r>
      <rPr>
        <sz val="11"/>
        <rFont val="Noto Sans CJK SC"/>
        <family val="2"/>
      </rPr>
      <t xml:space="preserve">待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</t>
    </r>
  </si>
  <si>
    <t xml:space="preserve">—</t>
  </si>
  <si>
    <r>
      <rPr>
        <sz val="11"/>
        <rFont val="Noto Sans CJK SC"/>
        <family val="2"/>
      </rPr>
      <t xml:space="preserve">同行 </t>
    </r>
    <r>
      <rPr>
        <sz val="11"/>
        <rFont val="Times New Roman"/>
        <family val="0"/>
        <charset val="1"/>
      </rPr>
      <t xml:space="preserve">book transfer</t>
    </r>
    <r>
      <rPr>
        <sz val="11"/>
        <rFont val="Noto Sans CJK SC"/>
        <family val="2"/>
      </rPr>
      <t xml:space="preserve">：兩個自有帳戶均由同一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服務，同幣別</t>
    </r>
  </si>
  <si>
    <t xml:space="preserve">（無對手行）</t>
  </si>
  <si>
    <r>
      <rPr>
        <sz val="11"/>
        <rFont val="Noto Sans CJK SC"/>
        <family val="2"/>
      </rPr>
      <t xml:space="preserve">—（不查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）</t>
    </r>
  </si>
  <si>
    <t xml:space="preserve">N/A</t>
  </si>
  <si>
    <t xml:space="preserve">OWN_SSI_NOSTRO</t>
  </si>
  <si>
    <t xml:space="preserve">SKIPPED</t>
  </si>
  <si>
    <t xml:space="preserve">RESOLVED</t>
  </si>
  <si>
    <t xml:space="preserve">null</t>
  </si>
  <si>
    <t xml:space="preserve">[]</t>
  </si>
  <si>
    <r>
      <rPr>
        <sz val="11"/>
        <rFont val="Noto Sans CJK SC"/>
        <family val="2"/>
      </rPr>
      <t xml:space="preserve">集中驗證五項：</t>
    </r>
    <r>
      <rPr>
        <sz val="11"/>
        <rFont val="Times New Roman"/>
        <family val="0"/>
        <charset val="1"/>
      </rPr>
      <t xml:space="preserve">(1) resolutionDomain=OWN_SSI_NOSTRO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(2) counterpartySsiResolution=SKIPPED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chosenRoute=null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candidates=[]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(3) 57A </t>
    </r>
    <r>
      <rPr>
        <sz val="11"/>
        <rFont val="Noto Sans CJK SC"/>
        <family val="2"/>
      </rPr>
      <t xml:space="preserve">省略且標 </t>
    </r>
    <r>
      <rPr>
        <sz val="11"/>
        <rFont val="Times New Roman"/>
        <family val="0"/>
        <charset val="1"/>
      </rPr>
      <t xml:space="preserve">OMITTED_BY_RULE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不出現即代表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同為 </t>
    </r>
    <r>
      <rPr>
        <sz val="11"/>
        <rFont val="Times New Roman"/>
        <family val="0"/>
        <charset val="1"/>
      </rPr>
      <t xml:space="preserve">account with institution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(4) 58A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0"/>
        <charset val="1"/>
      </rPr>
      <t xml:space="preserve">option A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Party Identifier </t>
    </r>
    <r>
      <rPr>
        <sz val="11"/>
        <rFont val="Noto Sans CJK SC"/>
        <family val="2"/>
      </rPr>
      <t xml:space="preserve">載被貸記帳號、</t>
    </r>
    <r>
      <rPr>
        <sz val="11"/>
        <rFont val="Times New Roman"/>
        <family val="0"/>
        <charset val="1"/>
      </rPr>
      <t xml:space="preserve">Identifier Code </t>
    </r>
    <r>
      <rPr>
        <sz val="11"/>
        <rFont val="Noto Sans CJK SC"/>
        <family val="2"/>
      </rPr>
      <t xml:space="preserve">載 </t>
    </r>
    <r>
      <rPr>
        <sz val="11"/>
        <rFont val="Times New Roman"/>
        <family val="0"/>
        <charset val="1"/>
      </rPr>
      <t xml:space="preserve">Sender </t>
    </r>
    <r>
      <rPr>
        <sz val="11"/>
        <rFont val="Noto Sans CJK SC"/>
        <family val="2"/>
      </rPr>
      <t xml:space="preserve">自己的 </t>
    </r>
    <r>
      <rPr>
        <sz val="11"/>
        <rFont val="Times New Roman"/>
        <family val="0"/>
        <charset val="1"/>
      </rPr>
      <t xml:space="preserve">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MRG p.54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option A must be used to specify the account to be credited and the name of the Sender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(5) roleProvenance </t>
    </r>
    <r>
      <rPr>
        <sz val="11"/>
        <rFont val="Noto Sans CJK SC"/>
        <family val="2"/>
      </rPr>
      <t xml:space="preserve">每一欄之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皆為 </t>
    </r>
    <r>
      <rPr>
        <sz val="11"/>
        <rFont val="Times New Roman"/>
        <family val="0"/>
        <charset val="1"/>
      </rPr>
      <t xml:space="preserve">own-account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Receiver Bank Service</t>
    </r>
    <r>
      <rPr>
        <sz val="11"/>
        <rFont val="Noto Sans CJK SC"/>
        <family val="2"/>
      </rPr>
      <t xml:space="preserve">，無任何 </t>
    </r>
    <r>
      <rPr>
        <sz val="11"/>
        <rFont val="Times New Roman"/>
        <family val="0"/>
        <charset val="1"/>
      </rPr>
      <t xml:space="preserve">COUNTERPARTY_SSI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</si>
  <si>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p.52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57a Usage Rules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p.54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58a Usage Rules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</si>
  <si>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若填對手行或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未省略，等於把自有帳戶移轉當成對外付款。</t>
    </r>
  </si>
  <si>
    <t xml:space="preserve">BOOK-02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</si>
  <si>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跨幣別</t>
    </r>
  </si>
  <si>
    <r>
      <rPr>
        <sz val="11"/>
        <rFont val="Noto Sans CJK SC"/>
        <family val="2"/>
      </rPr>
      <t xml:space="preserve">借記與貸記自有帳戶幣別不同（例：借 </t>
    </r>
    <r>
      <rPr>
        <sz val="11"/>
        <rFont val="Times New Roman"/>
        <family val="0"/>
        <charset val="1"/>
      </rPr>
      <t xml:space="preserve">EUR</t>
    </r>
    <r>
      <rPr>
        <sz val="11"/>
        <rFont val="Noto Sans CJK SC"/>
        <family val="2"/>
      </rPr>
      <t xml:space="preserve">、貸 </t>
    </r>
    <r>
      <rPr>
        <sz val="11"/>
        <rFont val="Times New Roman"/>
        <family val="0"/>
        <charset val="1"/>
      </rPr>
      <t xml:space="preserve">USD</t>
    </r>
    <r>
      <rPr>
        <sz val="11"/>
        <rFont val="Noto Sans CJK SC"/>
        <family val="2"/>
      </rPr>
      <t xml:space="preserve">）</t>
    </r>
  </si>
  <si>
    <t xml:space="preserve">跨幣別</t>
  </si>
  <si>
    <t xml:space="preserve">OWN_ACCOUNT_CURRENCY_MISMATCH</t>
  </si>
  <si>
    <r>
      <rPr>
        <sz val="11"/>
        <rFont val="Noto Sans CJK SC"/>
        <family val="2"/>
      </rPr>
      <t xml:space="preserve">須 </t>
    </r>
    <r>
      <rPr>
        <sz val="11"/>
        <rFont val="Times New Roman"/>
        <family val="0"/>
        <charset val="1"/>
      </rPr>
      <t xml:space="preserve">fail closed</t>
    </r>
    <r>
      <rPr>
        <sz val="11"/>
        <rFont val="Noto Sans CJK SC"/>
        <family val="2"/>
      </rPr>
      <t xml:space="preserve">：不得產生 </t>
    </r>
    <r>
      <rPr>
        <sz val="11"/>
        <rFont val="Times New Roman"/>
        <family val="0"/>
        <charset val="1"/>
      </rPr>
      <t xml:space="preserve">payload</t>
    </r>
    <r>
      <rPr>
        <sz val="11"/>
        <rFont val="Noto Sans CJK SC"/>
        <family val="2"/>
      </rPr>
      <t xml:space="preserve">、不得回退為單幣別解析、不得誤報 </t>
    </r>
    <r>
      <rPr>
        <sz val="11"/>
        <rFont val="Times New Roman"/>
        <family val="0"/>
        <charset val="1"/>
      </rPr>
      <t xml:space="preserve">SSI_NOT_FOUND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0"/>
        <charset val="1"/>
      </rPr>
      <t xml:space="preserve">PROFILE_INCOMPLETE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32A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pacs.009 IntrBkSttlmAmt </t>
    </r>
    <r>
      <rPr>
        <sz val="11"/>
        <rFont val="Noto Sans CJK SC"/>
        <family val="2"/>
      </rPr>
      <t xml:space="preserve">僅能承載單一幣別金額，跨幣別需兩腳結算，無法以單一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表達。</t>
    </r>
  </si>
  <si>
    <r>
      <rPr>
        <sz val="11"/>
        <rFont val="Times New Roman"/>
        <family val="0"/>
        <charset val="1"/>
      </rPr>
      <t xml:space="preserve">p.54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58a Usage Rules</t>
    </r>
    <r>
      <rPr>
        <sz val="11"/>
        <rFont val="Noto Sans CJK SC"/>
        <family val="2"/>
      </rPr>
      <t xml:space="preserve">：同一 </t>
    </r>
    <r>
      <rPr>
        <sz val="11"/>
        <rFont val="Times New Roman"/>
        <family val="0"/>
        <charset val="1"/>
      </rPr>
      <t xml:space="preserve">Sender </t>
    </r>
    <r>
      <rPr>
        <sz val="11"/>
        <rFont val="Noto Sans CJK SC"/>
        <family val="2"/>
      </rPr>
      <t xml:space="preserve">帳戶間移轉）</t>
    </r>
  </si>
  <si>
    <r>
      <rPr>
        <sz val="11"/>
        <rFont val="Noto Sans CJK SC"/>
        <family val="2"/>
      </rPr>
      <t xml:space="preserve">跨幣別誤放行會產生無法結算的電文，且隱含未定價的 </t>
    </r>
    <r>
      <rPr>
        <sz val="11"/>
        <rFont val="Times New Roman"/>
        <family val="0"/>
        <charset val="1"/>
      </rPr>
      <t xml:space="preserve">FX </t>
    </r>
    <r>
      <rPr>
        <sz val="11"/>
        <rFont val="Noto Sans CJK SC"/>
        <family val="2"/>
      </rPr>
      <t xml:space="preserve">部位。</t>
    </r>
  </si>
  <si>
    <t xml:space="preserve">BOOK-03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</si>
  <si>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不同 </t>
    </r>
    <r>
      <rPr>
        <sz val="11"/>
        <rFont val="Times New Roman"/>
        <family val="0"/>
        <charset val="1"/>
      </rPr>
      <t xml:space="preserve">servicer</t>
    </r>
  </si>
  <si>
    <r>
      <rPr>
        <sz val="11"/>
        <rFont val="Noto Sans CJK SC"/>
        <family val="2"/>
      </rPr>
      <t xml:space="preserve">兩個自有帳戶分屬不同 </t>
    </r>
    <r>
      <rPr>
        <sz val="11"/>
        <rFont val="Times New Roman"/>
        <family val="0"/>
        <charset val="1"/>
      </rPr>
      <t xml:space="preserve">servicer</t>
    </r>
    <r>
      <rPr>
        <sz val="11"/>
        <rFont val="Noto Sans CJK SC"/>
        <family val="2"/>
      </rPr>
      <t xml:space="preserve">（非同一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服務）</t>
    </r>
  </si>
  <si>
    <t xml:space="preserve">同幣別</t>
  </si>
  <si>
    <t xml:space="preserve">OWN_ACCOUNT_RECEIVER_MISMATCH</t>
  </si>
  <si>
    <r>
      <rPr>
        <sz val="11"/>
        <rFont val="Times New Roman"/>
        <family val="0"/>
        <charset val="1"/>
      </rPr>
      <t xml:space="preserve">MRG p.54 </t>
    </r>
    <r>
      <rPr>
        <sz val="11"/>
        <rFont val="Noto Sans CJK SC"/>
        <family val="2"/>
      </rPr>
      <t xml:space="preserve">明定 </t>
    </r>
    <r>
      <rPr>
        <sz val="11"/>
        <rFont val="Times New Roman"/>
        <family val="0"/>
        <charset val="1"/>
      </rPr>
      <t xml:space="preserve">book transfer </t>
    </r>
    <r>
      <rPr>
        <sz val="11"/>
        <rFont val="Noto Sans CJK SC"/>
        <family val="2"/>
      </rPr>
      <t xml:space="preserve">之前提為「</t>
    </r>
    <r>
      <rPr>
        <sz val="11"/>
        <rFont val="Times New Roman"/>
        <family val="0"/>
        <charset val="1"/>
      </rPr>
      <t xml:space="preserve">two accounts owned by the Sender and serviced by the Receiver</t>
    </r>
    <r>
      <rPr>
        <sz val="11"/>
        <rFont val="Noto Sans CJK SC"/>
        <family val="2"/>
      </rPr>
      <t xml:space="preserve">」。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不同即不符前提，須 </t>
    </r>
    <r>
      <rPr>
        <sz val="11"/>
        <rFont val="Times New Roman"/>
        <family val="0"/>
        <charset val="1"/>
      </rPr>
      <t xml:space="preserve">fail closed</t>
    </r>
    <r>
      <rPr>
        <sz val="11"/>
        <rFont val="Noto Sans CJK SC"/>
        <family val="2"/>
      </rPr>
      <t xml:space="preserve">；不得改以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補救、不得自動轉為 </t>
    </r>
    <r>
      <rPr>
        <sz val="11"/>
        <rFont val="Times New Roman"/>
        <family val="0"/>
        <charset val="1"/>
      </rPr>
      <t xml:space="preserve">MT200 </t>
    </r>
    <r>
      <rPr>
        <sz val="11"/>
        <rFont val="Noto Sans CJK SC"/>
        <family val="2"/>
      </rPr>
      <t xml:space="preserve">流程。</t>
    </r>
  </si>
  <si>
    <r>
      <rPr>
        <sz val="11"/>
        <rFont val="Times New Roman"/>
        <family val="0"/>
        <charset val="1"/>
      </rPr>
      <t xml:space="preserve">p.54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serviced by the Receiver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</si>
  <si>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不同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仍放行，會產出一筆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無法執行的 </t>
    </r>
    <r>
      <rPr>
        <sz val="11"/>
        <rFont val="Times New Roman"/>
        <family val="0"/>
        <charset val="1"/>
      </rPr>
      <t xml:space="preserve">book transfer</t>
    </r>
    <r>
      <rPr>
        <sz val="11"/>
        <rFont val="Noto Sans CJK SC"/>
        <family val="2"/>
      </rPr>
      <t xml:space="preserve">。</t>
    </r>
  </si>
  <si>
    <t xml:space="preserve">BOOK-04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</si>
  <si>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</t>
    </r>
    <r>
      <rPr>
        <sz val="11"/>
        <rFont val="Times New Roman"/>
        <family val="0"/>
        <charset val="1"/>
      </rPr>
      <t xml:space="preserve">Counterparty </t>
    </r>
    <r>
      <rPr>
        <sz val="11"/>
        <rFont val="Noto Sans CJK SC"/>
        <family val="2"/>
      </rPr>
      <t xml:space="preserve">洩漏</t>
    </r>
  </si>
  <si>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BOOK-01 </t>
    </r>
    <r>
      <rPr>
        <sz val="11"/>
        <rFont val="Noto Sans CJK SC"/>
        <family val="2"/>
      </rPr>
      <t xml:space="preserve">相同輸入；檢視原始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與後端查詢軌跡</t>
    </r>
  </si>
  <si>
    <t xml:space="preserve">不得出現</t>
  </si>
  <si>
    <r>
      <rPr>
        <sz val="11"/>
        <rFont val="Noto Sans CJK SC"/>
        <family val="2"/>
      </rPr>
      <t xml:space="preserve">不得查詢或洩漏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：回應中不得出現 </t>
    </r>
    <r>
      <rPr>
        <sz val="11"/>
        <rFont val="Times New Roman"/>
        <family val="0"/>
        <charset val="1"/>
      </rPr>
      <t xml:space="preserve">SSI-DEMO-021 </t>
    </r>
    <r>
      <rPr>
        <sz val="11"/>
        <rFont val="Noto Sans CJK SC"/>
        <family val="2"/>
      </rPr>
      <t xml:space="preserve">或任何 </t>
    </r>
    <r>
      <rPr>
        <sz val="11"/>
        <rFont val="Times New Roman"/>
        <family val="0"/>
        <charset val="1"/>
      </rPr>
      <t xml:space="preserve">counterparty ssiCode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ssiId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version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不得出現 </t>
    </r>
    <r>
      <rPr>
        <sz val="11"/>
        <rFont val="Times New Roman"/>
        <family val="0"/>
        <charset val="1"/>
      </rPr>
      <t xml:space="preserve">source=COUNTERPARTY_SSI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candidates </t>
    </r>
    <r>
      <rPr>
        <sz val="11"/>
        <rFont val="Noto Sans CJK SC"/>
        <family val="2"/>
      </rPr>
      <t xml:space="preserve">必須為空陣列而非省略欄位；並確認後端未對 </t>
    </r>
    <r>
      <rPr>
        <sz val="11"/>
        <rFont val="Times New Roman"/>
        <family val="0"/>
        <charset val="1"/>
      </rPr>
      <t xml:space="preserve">Counterparty SSI </t>
    </r>
    <r>
      <rPr>
        <sz val="11"/>
        <rFont val="Noto Sans CJK SC"/>
        <family val="2"/>
      </rPr>
      <t xml:space="preserve">發出查詢（以 </t>
    </r>
    <r>
      <rPr>
        <sz val="11"/>
        <rFont val="Times New Roman"/>
        <family val="0"/>
        <charset val="1"/>
      </rPr>
      <t xml:space="preserve">correlation id </t>
    </r>
    <r>
      <rPr>
        <sz val="11"/>
        <rFont val="Noto Sans CJK SC"/>
        <family val="2"/>
      </rPr>
      <t xml:space="preserve">追軌跡）。</t>
    </r>
  </si>
  <si>
    <r>
      <rPr>
        <sz val="11"/>
        <rFont val="Times New Roman"/>
        <family val="0"/>
        <charset val="1"/>
      </rPr>
      <t xml:space="preserve">p.54</t>
    </r>
    <r>
      <rPr>
        <sz val="11"/>
        <rFont val="Noto Sans CJK SC"/>
        <family val="2"/>
      </rPr>
      <t xml:space="preserve">（帳戶與名稱均為 </t>
    </r>
    <r>
      <rPr>
        <sz val="11"/>
        <rFont val="Times New Roman"/>
        <family val="0"/>
        <charset val="1"/>
      </rPr>
      <t xml:space="preserve">Sender </t>
    </r>
    <r>
      <rPr>
        <sz val="11"/>
        <rFont val="Noto Sans CJK SC"/>
        <family val="2"/>
      </rPr>
      <t xml:space="preserve">自身）</t>
    </r>
  </si>
  <si>
    <r>
      <rPr>
        <sz val="11"/>
        <rFont val="Times New Roman"/>
        <family val="0"/>
        <charset val="1"/>
      </rPr>
      <t xml:space="preserve">SKIPPED </t>
    </r>
    <r>
      <rPr>
        <sz val="11"/>
        <rFont val="Noto Sans CJK SC"/>
        <family val="2"/>
      </rPr>
      <t xml:space="preserve">若只是「不顯示」而仍查詢，等於對手行資料在自有帳戶情境下被不當存取。</t>
    </r>
  </si>
  <si>
    <t xml:space="preserve">BOOK-05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</si>
  <si>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</t>
    </r>
    <r>
      <rPr>
        <sz val="11"/>
        <rFont val="Times New Roman"/>
        <family val="0"/>
        <charset val="1"/>
      </rPr>
      <t xml:space="preserve">stale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race</t>
    </r>
  </si>
  <si>
    <r>
      <rPr>
        <sz val="11"/>
        <rFont val="Times New Roman"/>
        <family val="0"/>
        <charset val="1"/>
      </rPr>
      <t xml:space="preserve">BOOK-01 </t>
    </r>
    <r>
      <rPr>
        <sz val="11"/>
        <rFont val="Noto Sans CJK SC"/>
        <family val="2"/>
      </rPr>
      <t xml:space="preserve">成功後，變更自有帳戶或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；另以 </t>
    </r>
    <r>
      <rPr>
        <sz val="11"/>
        <rFont val="Times New Roman"/>
        <family val="0"/>
        <charset val="1"/>
      </rPr>
      <t xml:space="preserve">1500 ms </t>
    </r>
    <r>
      <rPr>
        <sz val="11"/>
        <rFont val="Noto Sans CJK SC"/>
        <family val="2"/>
      </rPr>
      <t xml:space="preserve">延遲重現遲到回應</t>
    </r>
  </si>
  <si>
    <r>
      <rPr>
        <sz val="11"/>
        <rFont val="Noto Sans CJK SC"/>
        <family val="2"/>
      </rPr>
      <t xml:space="preserve">變更帳戶或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的當下，舊結果須立即清空或明確標記 </t>
    </r>
    <r>
      <rPr>
        <sz val="11"/>
        <rFont val="Times New Roman"/>
        <family val="0"/>
        <charset val="1"/>
      </rPr>
      <t xml:space="preserve">stale —— </t>
    </r>
    <r>
      <rPr>
        <sz val="11"/>
        <rFont val="Noto Sans CJK SC"/>
        <family val="2"/>
      </rPr>
      <t xml:space="preserve">不得等待下一次 </t>
    </r>
    <r>
      <rPr>
        <sz val="11"/>
        <rFont val="Times New Roman"/>
        <family val="0"/>
        <charset val="1"/>
      </rPr>
      <t xml:space="preserve">Preview</t>
    </r>
    <r>
      <rPr>
        <sz val="11"/>
        <rFont val="Noto Sans CJK SC"/>
        <family val="2"/>
      </rPr>
      <t xml:space="preserve">；且遲到之舊 </t>
    </r>
    <r>
      <rPr>
        <sz val="11"/>
        <rFont val="Times New Roman"/>
        <family val="0"/>
        <charset val="1"/>
      </rPr>
      <t xml:space="preserve">request </t>
    </r>
    <r>
      <rPr>
        <sz val="11"/>
        <rFont val="Noto Sans CJK SC"/>
        <family val="2"/>
      </rPr>
      <t xml:space="preserve">回應不得回填畫面（僅接受最新 </t>
    </r>
    <r>
      <rPr>
        <sz val="11"/>
        <rFont val="Times New Roman"/>
        <family val="0"/>
        <charset val="1"/>
      </rPr>
      <t xml:space="preserve">request identity</t>
    </r>
    <r>
      <rPr>
        <sz val="11"/>
        <rFont val="Noto Sans CJK SC"/>
        <family val="2"/>
      </rPr>
      <t xml:space="preserve">）。與 </t>
    </r>
    <r>
      <rPr>
        <sz val="11"/>
        <rFont val="Times New Roman"/>
        <family val="0"/>
        <charset val="1"/>
      </rPr>
      <t xml:space="preserve">UI-STALE-01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UI-RACE-01 </t>
    </r>
    <r>
      <rPr>
        <sz val="11"/>
        <rFont val="Noto Sans CJK SC"/>
        <family val="2"/>
      </rPr>
      <t xml:space="preserve">同一族，但作用於 </t>
    </r>
    <r>
      <rPr>
        <sz val="11"/>
        <rFont val="Times New Roman"/>
        <family val="0"/>
        <charset val="1"/>
      </rPr>
      <t xml:space="preserve">OWN_SSI_NOSTRO </t>
    </r>
    <r>
      <rPr>
        <sz val="11"/>
        <rFont val="Noto Sans CJK SC"/>
        <family val="2"/>
      </rPr>
      <t xml:space="preserve">域。</t>
    </r>
  </si>
  <si>
    <r>
      <rPr>
        <sz val="11"/>
        <rFont val="Noto Sans CJK SC"/>
        <family val="2"/>
      </rPr>
      <t xml:space="preserve">—（</t>
    </r>
    <r>
      <rPr>
        <sz val="11"/>
        <rFont val="Times New Roman"/>
        <family val="0"/>
        <charset val="1"/>
      </rPr>
      <t xml:space="preserve">UI </t>
    </r>
    <r>
      <rPr>
        <sz val="11"/>
        <rFont val="Noto Sans CJK SC"/>
        <family val="2"/>
      </rPr>
      <t xml:space="preserve">契約，非 </t>
    </r>
    <r>
      <rPr>
        <sz val="11"/>
        <rFont val="Times New Roman"/>
        <family val="0"/>
        <charset val="1"/>
      </rPr>
      <t xml:space="preserve">MRG</t>
    </r>
    <r>
      <rPr>
        <sz val="11"/>
        <rFont val="Noto Sans CJK SC"/>
        <family val="2"/>
      </rPr>
      <t xml:space="preserve">）</t>
    </r>
  </si>
  <si>
    <t xml:space="preserve">自有帳戶情境殘留舊結果，會使使用者以錯誤帳戶送出移轉。</t>
  </si>
  <si>
    <t xml:space="preserve">GEN-202-01</t>
  </si>
  <si>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對照（</t>
    </r>
    <r>
      <rPr>
        <sz val="11"/>
        <rFont val="Times New Roman"/>
        <family val="0"/>
        <charset val="1"/>
      </rPr>
      <t xml:space="preserve">SAME-BIC </t>
    </r>
    <r>
      <rPr>
        <sz val="11"/>
        <rFont val="Noto Sans CJK SC"/>
        <family val="2"/>
      </rPr>
      <t xml:space="preserve">控制組）</t>
    </r>
  </si>
  <si>
    <t xml:space="preserve">OPEN-002</t>
  </si>
  <si>
    <r>
      <rPr>
        <sz val="11"/>
        <rFont val="Noto Sans CJK SC"/>
        <family val="2"/>
      </rPr>
      <t xml:space="preserve">不套用任何 </t>
    </r>
    <r>
      <rPr>
        <sz val="11"/>
        <rFont val="Times New Roman"/>
        <family val="0"/>
        <charset val="1"/>
      </rPr>
      <t xml:space="preserve">UI scenario</t>
    </r>
  </si>
  <si>
    <t xml:space="preserve">SAME</t>
  </si>
  <si>
    <t xml:space="preserve">COUNTERPARTY_SSI</t>
  </si>
  <si>
    <r>
      <rPr>
        <sz val="11"/>
        <rFont val="Times New Roman"/>
        <family val="0"/>
        <charset val="1"/>
      </rPr>
      <t xml:space="preserve">non-null</t>
    </r>
    <r>
      <rPr>
        <sz val="11"/>
        <rFont val="Noto Sans CJK SC"/>
        <family val="2"/>
      </rPr>
      <t xml:space="preserve">（完整）</t>
    </r>
  </si>
  <si>
    <t xml:space="preserve">（依候選數）</t>
  </si>
  <si>
    <r>
      <rPr>
        <sz val="11"/>
        <rFont val="Noto Sans CJK SC"/>
        <family val="2"/>
      </rPr>
      <t xml:space="preserve">不套情境時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須正常走 </t>
    </r>
    <r>
      <rPr>
        <sz val="11"/>
        <rFont val="Times New Roman"/>
        <family val="0"/>
        <charset val="1"/>
      </rPr>
      <t xml:space="preserve">COUNTERPARTY_SSI </t>
    </r>
    <r>
      <rPr>
        <sz val="11"/>
        <rFont val="Noto Sans CJK SC"/>
        <family val="2"/>
      </rPr>
      <t xml:space="preserve">並解析 </t>
    </r>
    <r>
      <rPr>
        <sz val="11"/>
        <rFont val="Times New Roman"/>
        <family val="0"/>
        <charset val="1"/>
      </rPr>
      <t xml:space="preserve">SSI-DEMO-001 v44</t>
    </r>
    <r>
      <rPr>
        <sz val="11"/>
        <rFont val="Noto Sans CJK SC"/>
        <family val="2"/>
      </rPr>
      <t xml:space="preserve">。本案為 </t>
    </r>
    <r>
      <rPr>
        <sz val="11"/>
        <rFont val="Times New Roman"/>
        <family val="0"/>
        <charset val="1"/>
      </rPr>
      <t xml:space="preserve">BOOK </t>
    </r>
    <r>
      <rPr>
        <sz val="11"/>
        <rFont val="Noto Sans CJK SC"/>
        <family val="2"/>
      </rPr>
      <t xml:space="preserve">情境之對照組：證明 </t>
    </r>
    <r>
      <rPr>
        <sz val="11"/>
        <rFont val="Times New Roman"/>
        <family val="0"/>
        <charset val="1"/>
      </rPr>
      <t xml:space="preserve">domain </t>
    </r>
    <r>
      <rPr>
        <sz val="11"/>
        <rFont val="Noto Sans CJK SC"/>
        <family val="2"/>
      </rPr>
      <t xml:space="preserve">切換源自情境本身而非電文型別。 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source=actualReceiverBic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source=beneficiaryBic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chosen SSI version=44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SttlmAcct=DEMO-NOSTRO-001-PRIMARY-PRIMARY </t>
    </r>
    <r>
      <rPr>
        <sz val="11"/>
        <rFont val="Noto Sans CJK SC"/>
        <family val="2"/>
      </rPr>
      <t xml:space="preserve">且其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 52A58C19…CEEF6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</si>
  <si>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缺對照組時無法分辨 </t>
    </r>
    <r>
      <rPr>
        <sz val="11"/>
        <rFont val="Times New Roman"/>
        <family val="0"/>
        <charset val="1"/>
      </rPr>
      <t xml:space="preserve">domain </t>
    </r>
    <r>
      <rPr>
        <sz val="11"/>
        <rFont val="Noto Sans CJK SC"/>
        <family val="2"/>
      </rPr>
      <t xml:space="preserve">錯誤來自情境或電文；缺錨點則缺陷單易被以情境不適格退票。</t>
    </r>
  </si>
  <si>
    <t xml:space="preserve">GEN-202-02</t>
  </si>
  <si>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對照（</t>
    </r>
    <r>
      <rPr>
        <sz val="11"/>
        <rFont val="Times New Roman"/>
        <family val="0"/>
        <charset val="1"/>
      </rPr>
      <t xml:space="preserve">VIA-BIC </t>
    </r>
    <r>
      <rPr>
        <sz val="11"/>
        <rFont val="Noto Sans CJK SC"/>
        <family val="2"/>
      </rPr>
      <t xml:space="preserve">證據錨點）</t>
    </r>
  </si>
  <si>
    <t xml:space="preserve">VIA</t>
  </si>
  <si>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之正式證據錨點。原證據取自 </t>
    </r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情境，依裁決該情境本不解析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，故不適格；本案以 </t>
    </r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重新取原始 </t>
    </r>
    <r>
      <rPr>
        <sz val="11"/>
        <rFont val="Times New Roman"/>
        <family val="0"/>
        <charset val="1"/>
      </rPr>
      <t xml:space="preserve">JSON</t>
    </r>
    <r>
      <rPr>
        <sz val="11"/>
        <rFont val="Noto Sans CJK SC"/>
        <family val="2"/>
      </rPr>
      <t xml:space="preserve">。 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source=actualReceiverBic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58A=CHASUS33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source=beneficiaryBic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SttlmAcct=DEMO-NOSTRO-001-EXPCOLL-PRIMARY </t>
    </r>
    <r>
      <rPr>
        <sz val="11"/>
        <rFont val="Noto Sans CJK SC"/>
        <family val="2"/>
      </rPr>
      <t xml:space="preserve">且其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 52A58C19…CEEF6</t>
    </r>
    <r>
      <rPr>
        <sz val="11"/>
        <rFont val="Noto Sans CJK SC"/>
        <family val="2"/>
      </rPr>
      <t xml:space="preserve">。</t>
    </r>
  </si>
  <si>
    <t xml:space="preserve">OMIT-57A-01</t>
  </si>
  <si>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省略（受益機構 ≠ 帳戶行）</t>
    </r>
  </si>
  <si>
    <r>
      <rPr>
        <sz val="11"/>
        <rFont val="Noto Sans CJK SC"/>
        <family val="2"/>
      </rPr>
      <t xml:space="preserve">不套用情境；檢視 </t>
    </r>
    <r>
      <rPr>
        <sz val="11"/>
        <rFont val="Times New Roman"/>
        <family val="0"/>
        <charset val="1"/>
      </rPr>
      <t xml:space="preserve">MT </t>
    </r>
    <r>
      <rPr>
        <sz val="11"/>
        <rFont val="Noto Sans CJK SC"/>
        <family val="2"/>
      </rPr>
      <t xml:space="preserve">分頁 </t>
    </r>
    <r>
      <rPr>
        <sz val="11"/>
        <rFont val="Times New Roman"/>
        <family val="0"/>
        <charset val="1"/>
      </rPr>
      <t xml:space="preserve">5x Tags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MX CdtrAgt</t>
    </r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</si>
  <si>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CITIUS33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When field 57a is not present, it means that the Receiver is also the account with institution</t>
    </r>
    <r>
      <rPr>
        <sz val="11"/>
        <rFont val="Noto Sans CJK SC"/>
        <family val="2"/>
      </rPr>
      <t xml:space="preserve">」及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載受益機構 </t>
    </r>
    <r>
      <rPr>
        <sz val="11"/>
        <rFont val="Times New Roman"/>
        <family val="0"/>
        <charset val="1"/>
      </rPr>
      <t xml:space="preserve">BARCGB22</t>
    </r>
    <r>
      <rPr>
        <sz val="11"/>
        <rFont val="Noto Sans CJK SC"/>
        <family val="2"/>
      </rPr>
      <t xml:space="preserve">。本案驗的是「正確省略」，不是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內容。受益機構（</t>
    </r>
    <r>
      <rPr>
        <sz val="11"/>
        <rFont val="Times New Roman"/>
        <family val="0"/>
        <charset val="1"/>
      </rPr>
      <t xml:space="preserve">BARCGB22</t>
    </r>
    <r>
      <rPr>
        <sz val="11"/>
        <rFont val="Noto Sans CJK SC"/>
        <family val="2"/>
      </rPr>
      <t xml:space="preserve">）與帳戶行（</t>
    </r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）不同，不得因此誤判為需輸出 </t>
    </r>
    <r>
      <rPr>
        <sz val="11"/>
        <rFont val="Times New Roman"/>
        <family val="0"/>
        <charset val="1"/>
      </rPr>
      <t xml:space="preserve">57A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CdtrAgt=CITIUS33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</si>
  <si>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p.52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57a Usage Rules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</si>
  <si>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若誤輸出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或把 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內容放進 </t>
    </r>
    <r>
      <rPr>
        <sz val="11"/>
        <rFont val="Times New Roman"/>
        <family val="0"/>
        <charset val="1"/>
      </rPr>
      <t xml:space="preserve">57A</t>
    </r>
    <r>
      <rPr>
        <sz val="11"/>
        <rFont val="Noto Sans CJK SC"/>
        <family val="2"/>
      </rPr>
      <t xml:space="preserve">，電文會指向錯誤的帳戶行。</t>
    </r>
  </si>
  <si>
    <t xml:space="preserve">OMIT-57A-02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</si>
  <si>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BKCHCNBJ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When field 57a is not present, it means that the Receiver is also the account with institution</t>
    </r>
    <r>
      <rPr>
        <sz val="11"/>
        <rFont val="Noto Sans CJK SC"/>
        <family val="2"/>
      </rPr>
      <t xml:space="preserve">」及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載受益機構 </t>
    </r>
    <r>
      <rPr>
        <sz val="11"/>
        <rFont val="Times New Roman"/>
        <family val="0"/>
        <charset val="1"/>
      </rPr>
      <t xml:space="preserve">BNPAFRPP</t>
    </r>
    <r>
      <rPr>
        <sz val="11"/>
        <rFont val="Noto Sans CJK SC"/>
        <family val="2"/>
      </rPr>
      <t xml:space="preserve">。本案驗的是「正確省略」，不是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內容。受益機構（</t>
    </r>
    <r>
      <rPr>
        <sz val="11"/>
        <rFont val="Times New Roman"/>
        <family val="0"/>
        <charset val="1"/>
      </rPr>
      <t xml:space="preserve">BNPAFRPP</t>
    </r>
    <r>
      <rPr>
        <sz val="11"/>
        <rFont val="Noto Sans CJK SC"/>
        <family val="2"/>
      </rPr>
      <t xml:space="preserve">）與帳戶行（</t>
    </r>
    <r>
      <rPr>
        <sz val="11"/>
        <rFont val="Times New Roman"/>
        <family val="0"/>
        <charset val="1"/>
      </rPr>
      <t xml:space="preserve">BKCHCNBJ</t>
    </r>
    <r>
      <rPr>
        <sz val="11"/>
        <rFont val="Noto Sans CJK SC"/>
        <family val="2"/>
      </rPr>
      <t xml:space="preserve">）不同，不得因此誤判為需輸出 </t>
    </r>
    <r>
      <rPr>
        <sz val="11"/>
        <rFont val="Times New Roman"/>
        <family val="0"/>
        <charset val="1"/>
      </rPr>
      <t xml:space="preserve">57A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CdtrAgt=BKCHCNBJ</t>
    </r>
    <r>
      <rPr>
        <sz val="11"/>
        <rFont val="Noto Sans CJK SC"/>
        <family val="2"/>
      </rPr>
      <t xml:space="preserve">。</t>
    </r>
  </si>
  <si>
    <t xml:space="preserve">OMIT-57A-03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</si>
  <si>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CTBAAU2S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When field 57a is not present, it means that the Receiver is also the account with institution</t>
    </r>
    <r>
      <rPr>
        <sz val="11"/>
        <rFont val="Noto Sans CJK SC"/>
        <family val="2"/>
      </rPr>
      <t xml:space="preserve">」及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載受益機構 </t>
    </r>
    <r>
      <rPr>
        <sz val="11"/>
        <rFont val="Times New Roman"/>
        <family val="0"/>
        <charset val="1"/>
      </rPr>
      <t xml:space="preserve">BOFAUS3N</t>
    </r>
    <r>
      <rPr>
        <sz val="11"/>
        <rFont val="Noto Sans CJK SC"/>
        <family val="2"/>
      </rPr>
      <t xml:space="preserve">。本案驗的是「正確省略」，不是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內容。受益機構（</t>
    </r>
    <r>
      <rPr>
        <sz val="11"/>
        <rFont val="Times New Roman"/>
        <family val="0"/>
        <charset val="1"/>
      </rPr>
      <t xml:space="preserve">BOFAUS3N</t>
    </r>
    <r>
      <rPr>
        <sz val="11"/>
        <rFont val="Noto Sans CJK SC"/>
        <family val="2"/>
      </rPr>
      <t xml:space="preserve">）與帳戶行（</t>
    </r>
    <r>
      <rPr>
        <sz val="11"/>
        <rFont val="Times New Roman"/>
        <family val="0"/>
        <charset val="1"/>
      </rPr>
      <t xml:space="preserve">CTBAAU2S</t>
    </r>
    <r>
      <rPr>
        <sz val="11"/>
        <rFont val="Noto Sans CJK SC"/>
        <family val="2"/>
      </rPr>
      <t xml:space="preserve">）不同，不得因此誤判為需輸出 </t>
    </r>
    <r>
      <rPr>
        <sz val="11"/>
        <rFont val="Times New Roman"/>
        <family val="0"/>
        <charset val="1"/>
      </rPr>
      <t xml:space="preserve">57A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CdtrAgt=CTBAAU2S</t>
    </r>
    <r>
      <rPr>
        <sz val="11"/>
        <rFont val="Noto Sans CJK SC"/>
        <family val="2"/>
      </rPr>
      <t xml:space="preserve">。</t>
    </r>
  </si>
  <si>
    <t xml:space="preserve">OMIT-57A-04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</si>
  <si>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ROYCCAT2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When field 57a is not present, it means that the Receiver is also the account with institution</t>
    </r>
    <r>
      <rPr>
        <sz val="11"/>
        <rFont val="Noto Sans CJK SC"/>
        <family val="2"/>
      </rPr>
      <t xml:space="preserve">」及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載受益機構 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。本案驗的是「正確省略」，不是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內容。受益機構（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）與帳戶行（</t>
    </r>
    <r>
      <rPr>
        <sz val="11"/>
        <rFont val="Times New Roman"/>
        <family val="0"/>
        <charset val="1"/>
      </rPr>
      <t xml:space="preserve">ROYCCAT2</t>
    </r>
    <r>
      <rPr>
        <sz val="11"/>
        <rFont val="Noto Sans CJK SC"/>
        <family val="2"/>
      </rPr>
      <t xml:space="preserve">）不同，不得因此誤判為需輸出 </t>
    </r>
    <r>
      <rPr>
        <sz val="11"/>
        <rFont val="Times New Roman"/>
        <family val="0"/>
        <charset val="1"/>
      </rPr>
      <t xml:space="preserve">57A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CdtrAgt=ROYCCAT2</t>
    </r>
    <r>
      <rPr>
        <sz val="11"/>
        <rFont val="Noto Sans CJK SC"/>
        <family val="2"/>
      </rPr>
      <t xml:space="preserve">。</t>
    </r>
  </si>
  <si>
    <t xml:space="preserve">OMIT-57A-05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</si>
  <si>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CITIUS33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When field 57a is not present, it means that the Receiver is also the account with institution</t>
    </r>
    <r>
      <rPr>
        <sz val="11"/>
        <rFont val="Noto Sans CJK SC"/>
        <family val="2"/>
      </rPr>
      <t xml:space="preserve">」及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載受益機構 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。本案驗的是「正確省略」，不是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內容。受益機構（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）與帳戶行（</t>
    </r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）不同，不得因此誤判為需輸出 </t>
    </r>
    <r>
      <rPr>
        <sz val="11"/>
        <rFont val="Times New Roman"/>
        <family val="0"/>
        <charset val="1"/>
      </rPr>
      <t xml:space="preserve">57A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CdtrAgt=CITIUS33</t>
    </r>
    <r>
      <rPr>
        <sz val="11"/>
        <rFont val="Noto Sans CJK SC"/>
        <family val="2"/>
      </rPr>
      <t xml:space="preserve">。</t>
    </r>
  </si>
  <si>
    <t xml:space="preserve">OMIT-57A-06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</si>
  <si>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UBSWCHZH80A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When field 57a is not present, it means that the Receiver is also the account with institution</t>
    </r>
    <r>
      <rPr>
        <sz val="11"/>
        <rFont val="Noto Sans CJK SC"/>
        <family val="2"/>
      </rPr>
      <t xml:space="preserve">」及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載受益機構 </t>
    </r>
    <r>
      <rPr>
        <sz val="11"/>
        <rFont val="Times New Roman"/>
        <family val="0"/>
        <charset val="1"/>
      </rPr>
      <t xml:space="preserve">SCBLGB2L</t>
    </r>
    <r>
      <rPr>
        <sz val="11"/>
        <rFont val="Noto Sans CJK SC"/>
        <family val="2"/>
      </rPr>
      <t xml:space="preserve">。本案驗的是「正確省略」，不是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內容。受益機構（</t>
    </r>
    <r>
      <rPr>
        <sz val="11"/>
        <rFont val="Times New Roman"/>
        <family val="0"/>
        <charset val="1"/>
      </rPr>
      <t xml:space="preserve">SCBLGB2L</t>
    </r>
    <r>
      <rPr>
        <sz val="11"/>
        <rFont val="Noto Sans CJK SC"/>
        <family val="2"/>
      </rPr>
      <t xml:space="preserve">）與帳戶行（</t>
    </r>
    <r>
      <rPr>
        <sz val="11"/>
        <rFont val="Times New Roman"/>
        <family val="0"/>
        <charset val="1"/>
      </rPr>
      <t xml:space="preserve">UBSWCHZH80A</t>
    </r>
    <r>
      <rPr>
        <sz val="11"/>
        <rFont val="Noto Sans CJK SC"/>
        <family val="2"/>
      </rPr>
      <t xml:space="preserve">）不同，不得因此誤判為需輸出 </t>
    </r>
    <r>
      <rPr>
        <sz val="11"/>
        <rFont val="Times New Roman"/>
        <family val="0"/>
        <charset val="1"/>
      </rPr>
      <t xml:space="preserve">57A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CdtrAgt=UBSWCHZH80A</t>
    </r>
    <r>
      <rPr>
        <sz val="11"/>
        <rFont val="Noto Sans CJK SC"/>
        <family val="2"/>
      </rPr>
      <t xml:space="preserve">。</t>
    </r>
  </si>
  <si>
    <t xml:space="preserve">PROV-00</t>
  </si>
  <si>
    <r>
      <rPr>
        <sz val="11"/>
        <rFont val="Times New Roman"/>
        <family val="0"/>
        <charset val="1"/>
      </rPr>
      <t xml:space="preserve">agent provenance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SAME-BIC </t>
    </r>
    <r>
      <rPr>
        <sz val="11"/>
        <rFont val="Noto Sans CJK SC"/>
        <family val="2"/>
      </rPr>
      <t xml:space="preserve">控制組）</t>
    </r>
  </si>
  <si>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OPEN-003</t>
    </r>
  </si>
  <si>
    <r>
      <rPr>
        <sz val="11"/>
        <rFont val="Noto Sans CJK SC"/>
        <family val="2"/>
      </rPr>
      <t xml:space="preserve">不套用情境；讀原始 </t>
    </r>
    <r>
      <rPr>
        <sz val="11"/>
        <rFont val="Times New Roman"/>
        <family val="0"/>
        <charset val="1"/>
      </rPr>
      <t xml:space="preserve">JSON</t>
    </r>
    <r>
      <rPr>
        <sz val="11"/>
        <rFont val="Noto Sans CJK SC"/>
        <family val="2"/>
      </rPr>
      <t xml:space="preserve">，不以截圖比對</t>
    </r>
  </si>
  <si>
    <r>
      <rPr>
        <sz val="11"/>
        <rFont val="Noto Sans CJK SC"/>
        <family val="2"/>
      </rPr>
      <t xml:space="preserve">控制組：本組 </t>
    </r>
    <r>
      <rPr>
        <sz val="11"/>
        <rFont val="Times New Roman"/>
        <family val="0"/>
        <charset val="1"/>
      </rPr>
      <t xml:space="preserve">actualReceiverBic </t>
    </r>
    <r>
      <rPr>
        <sz val="11"/>
        <rFont val="Noto Sans CJK SC"/>
        <family val="2"/>
      </rPr>
      <t xml:space="preserve">等於 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即使存在亦不現形。預期 </t>
    </r>
    <r>
      <rPr>
        <sz val="11"/>
        <rFont val="Times New Roman"/>
        <family val="0"/>
        <charset val="1"/>
      </rPr>
      <t xml:space="preserve">PASS</t>
    </r>
    <r>
      <rPr>
        <sz val="11"/>
        <rFont val="Noto Sans CJK SC"/>
        <family val="2"/>
      </rPr>
      <t xml:space="preserve">，但其通過不得計入 </t>
    </r>
    <r>
      <rPr>
        <sz val="11"/>
        <rFont val="Times New Roman"/>
        <family val="0"/>
        <charset val="1"/>
      </rPr>
      <t xml:space="preserve">provenance </t>
    </r>
    <r>
      <rPr>
        <sz val="11"/>
        <rFont val="Noto Sans CJK SC"/>
        <family val="2"/>
      </rPr>
      <t xml:space="preserve">有效覆蓋。仍須斷言 </t>
    </r>
    <r>
      <rPr>
        <sz val="11"/>
        <rFont val="Times New Roman"/>
        <family val="0"/>
        <charset val="1"/>
      </rPr>
      <t xml:space="preserve">creditorAgent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Cdtr/58A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SSI version=44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Nostro servicer=CITIUS33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currency=USD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snapshotHash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</si>
  <si>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僅測此類案例，會在缺陷仍存在時得到 </t>
    </r>
    <r>
      <rPr>
        <sz val="11"/>
        <rFont val="Times New Roman"/>
        <family val="0"/>
        <charset val="1"/>
      </rPr>
      <t xml:space="preserve">100% </t>
    </r>
    <r>
      <rPr>
        <sz val="11"/>
        <rFont val="Noto Sans CJK SC"/>
        <family val="2"/>
      </rPr>
      <t xml:space="preserve">通過。</t>
    </r>
  </si>
  <si>
    <t xml:space="preserve">PROV-01</t>
  </si>
  <si>
    <r>
      <rPr>
        <sz val="11"/>
        <rFont val="Times New Roman"/>
        <family val="0"/>
        <charset val="1"/>
      </rPr>
      <t xml:space="preserve">agent provenance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VIA-BIC </t>
    </r>
    <r>
      <rPr>
        <sz val="11"/>
        <rFont val="Noto Sans CJK SC"/>
        <family val="2"/>
      </rPr>
      <t xml:space="preserve">曝險組）</t>
    </r>
  </si>
  <si>
    <r>
      <rPr>
        <sz val="11"/>
        <rFont val="Noto Sans CJK SC"/>
        <family val="2"/>
      </rPr>
      <t xml:space="preserve">逐欄斷言，每個角色的值必須等於其 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宣告之 </t>
    </r>
    <r>
      <rPr>
        <sz val="11"/>
        <rFont val="Times New Roman"/>
        <family val="0"/>
        <charset val="1"/>
      </rPr>
      <t xml:space="preserve">sourceField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chosen SSI </t>
    </r>
    <r>
      <rPr>
        <sz val="11"/>
        <rFont val="Noto Sans CJK SC"/>
        <family val="2"/>
      </rPr>
      <t xml:space="preserve">上的實際值：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BARCGB22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58A=BARCGB22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beneficiaryBic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chosen SSI version=19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SttlmAcct=DEMO-NOSTRO-USD-IMPCOLL-BARC-PRIMARY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snapshotHash=52A58C19…CEEF6</t>
    </r>
    <r>
      <rPr>
        <sz val="11"/>
        <rFont val="Noto Sans CJK SC"/>
        <family val="2"/>
      </rPr>
      <t xml:space="preserve">。並確認 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</si>
  <si>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取錯會使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送往錯誤收報行，且與 </t>
    </r>
    <r>
      <rPr>
        <sz val="11"/>
        <rFont val="Times New Roman"/>
        <family val="0"/>
        <charset val="1"/>
      </rPr>
      <t xml:space="preserve">INDA </t>
    </r>
    <r>
      <rPr>
        <sz val="11"/>
        <rFont val="Noto Sans CJK SC"/>
        <family val="2"/>
      </rPr>
      <t xml:space="preserve">宣告之帳戶持有行不一致。</t>
    </r>
  </si>
  <si>
    <t xml:space="preserve">PROV-02</t>
  </si>
  <si>
    <r>
      <rPr>
        <sz val="11"/>
        <rFont val="Noto Sans CJK SC"/>
        <family val="2"/>
      </rPr>
      <t xml:space="preserve">逐欄斷言，每個角色的值必須等於其 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宣告之 </t>
    </r>
    <r>
      <rPr>
        <sz val="11"/>
        <rFont val="Times New Roman"/>
        <family val="0"/>
        <charset val="1"/>
      </rPr>
      <t xml:space="preserve">sourceField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chosen SSI </t>
    </r>
    <r>
      <rPr>
        <sz val="11"/>
        <rFont val="Noto Sans CJK SC"/>
        <family val="2"/>
      </rPr>
      <t xml:space="preserve">上的實際值：</t>
    </r>
    <r>
      <rPr>
        <sz val="11"/>
        <rFont val="Times New Roman"/>
        <family val="0"/>
        <charset val="1"/>
      </rPr>
      <t xml:space="preserve">instructedAgent=BKCHCNBJ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BNPAFRPP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58A=BNPAFRPP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beneficiaryBic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chosen SSI version=44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SttlmAcct=DEMO-NOSTRO-010-PRIMARY-PRIMARY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accountServicerBic=BKCHCNBJ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currency=CNY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snapshotHash=52A58C19…CEEF6</t>
    </r>
    <r>
      <rPr>
        <sz val="11"/>
        <rFont val="Noto Sans CJK SC"/>
        <family val="2"/>
      </rPr>
      <t xml:space="preserve">。並確認 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</si>
  <si>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PROV-03</t>
  </si>
  <si>
    <r>
      <rPr>
        <sz val="11"/>
        <rFont val="Noto Sans CJK SC"/>
        <family val="2"/>
      </rPr>
      <t xml:space="preserve">逐欄斷言，每個角色的值必須等於其 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宣告之 </t>
    </r>
    <r>
      <rPr>
        <sz val="11"/>
        <rFont val="Times New Roman"/>
        <family val="0"/>
        <charset val="1"/>
      </rPr>
      <t xml:space="preserve">sourceField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chosen SSI </t>
    </r>
    <r>
      <rPr>
        <sz val="11"/>
        <rFont val="Noto Sans CJK SC"/>
        <family val="2"/>
      </rPr>
      <t xml:space="preserve">上的實際值：</t>
    </r>
    <r>
      <rPr>
        <sz val="11"/>
        <rFont val="Times New Roman"/>
        <family val="0"/>
        <charset val="1"/>
      </rPr>
      <t xml:space="preserve">instructedAgent=CTBAAU2S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BOFAUS3N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58A=BOFAUS3N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beneficiaryBic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SttlmAcct=DEMO-NOSTRO-007-PRIMARY-PRIMARY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accountServicerBic=CTBAAU2S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currency=AUD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snapshotHash=52A58C19…CEEF6</t>
    </r>
    <r>
      <rPr>
        <sz val="11"/>
        <rFont val="Noto Sans CJK SC"/>
        <family val="2"/>
      </rPr>
      <t xml:space="preserve">。並確認 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</si>
  <si>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PROV-04</t>
  </si>
  <si>
    <r>
      <rPr>
        <sz val="11"/>
        <rFont val="Noto Sans CJK SC"/>
        <family val="2"/>
      </rPr>
      <t xml:space="preserve">逐欄斷言，每個角色的值必須等於其 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宣告之 </t>
    </r>
    <r>
      <rPr>
        <sz val="11"/>
        <rFont val="Times New Roman"/>
        <family val="0"/>
        <charset val="1"/>
      </rPr>
      <t xml:space="preserve">sourceField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chosen SSI </t>
    </r>
    <r>
      <rPr>
        <sz val="11"/>
        <rFont val="Noto Sans CJK SC"/>
        <family val="2"/>
      </rPr>
      <t xml:space="preserve">上的實際值：</t>
    </r>
    <r>
      <rPr>
        <sz val="11"/>
        <rFont val="Times New Roman"/>
        <family val="0"/>
        <charset val="1"/>
      </rPr>
      <t xml:space="preserve">instructedAgent=ROYCCAT2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58A=CHASUS33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beneficiaryBic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SttlmAcct=DEMO-NOSTRO-008-PRIMARY-PRIMARY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accountServicerBic=ROYCCAT2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currency=CAD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snapshotHash=52A58C19…CEEF6</t>
    </r>
    <r>
      <rPr>
        <sz val="11"/>
        <rFont val="Noto Sans CJK SC"/>
        <family val="2"/>
      </rPr>
      <t xml:space="preserve">。並確認 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</si>
  <si>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PROV-05</t>
  </si>
  <si>
    <r>
      <rPr>
        <sz val="11"/>
        <rFont val="Noto Sans CJK SC"/>
        <family val="2"/>
      </rPr>
      <t xml:space="preserve">逐欄斷言，每個角色的值必須等於其 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宣告之 </t>
    </r>
    <r>
      <rPr>
        <sz val="11"/>
        <rFont val="Times New Roman"/>
        <family val="0"/>
        <charset val="1"/>
      </rPr>
      <t xml:space="preserve">sourceField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chosen SSI </t>
    </r>
    <r>
      <rPr>
        <sz val="11"/>
        <rFont val="Noto Sans CJK SC"/>
        <family val="2"/>
      </rPr>
      <t xml:space="preserve">上的實際值：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58A=CHASUS33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beneficiaryBic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SttlmAcct=DEMO-NOSTRO-001-EXPCOLL-PRIMARY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snapshotHash=52A58C19…CEEF6</t>
    </r>
    <r>
      <rPr>
        <sz val="11"/>
        <rFont val="Noto Sans CJK SC"/>
        <family val="2"/>
      </rPr>
      <t xml:space="preserve">。並確認 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</si>
  <si>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PROV-06</t>
  </si>
  <si>
    <r>
      <rPr>
        <sz val="11"/>
        <rFont val="Noto Sans CJK SC"/>
        <family val="2"/>
      </rPr>
      <t xml:space="preserve">逐欄斷言，每個角色的值必須等於其 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宣告之 </t>
    </r>
    <r>
      <rPr>
        <sz val="11"/>
        <rFont val="Times New Roman"/>
        <family val="0"/>
        <charset val="1"/>
      </rPr>
      <t xml:space="preserve">sourceField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chosen SSI </t>
    </r>
    <r>
      <rPr>
        <sz val="11"/>
        <rFont val="Noto Sans CJK SC"/>
        <family val="2"/>
      </rPr>
      <t xml:space="preserve">上的實際值：</t>
    </r>
    <r>
      <rPr>
        <sz val="11"/>
        <rFont val="Times New Roman"/>
        <family val="0"/>
        <charset val="1"/>
      </rPr>
      <t xml:space="preserve">instructedAgent=UBSWCHZH80A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SCBLGB2L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58A=SCBLGB2L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beneficiaryBic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SttlmAcct=DEMO-NOSTRO-009-PRIMARY-PRIMARY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accountServicerBic=UBSWCHZH80A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currency=CHF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snapshotHash=52A58C19…CEEF6</t>
    </r>
    <r>
      <rPr>
        <sz val="11"/>
        <rFont val="Noto Sans CJK SC"/>
        <family val="2"/>
      </rPr>
      <t xml:space="preserve">。並確認 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</si>
  <si>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彙總（自動計算）</t>
  </si>
  <si>
    <t xml:space="preserve">新增案例總數</t>
  </si>
  <si>
    <r>
      <rPr>
        <sz val="11"/>
        <rFont val="Times New Roman"/>
        <family val="0"/>
        <charset val="1"/>
      </rPr>
      <t xml:space="preserve">BOOK </t>
    </r>
    <r>
      <rPr>
        <sz val="11"/>
        <rFont val="Noto Sans CJK SC"/>
        <family val="2"/>
      </rPr>
      <t xml:space="preserve">系列</t>
    </r>
  </si>
  <si>
    <r>
      <rPr>
        <sz val="11"/>
        <rFont val="Times New Roman"/>
        <family val="0"/>
        <charset val="1"/>
      </rPr>
      <t xml:space="preserve">generic </t>
    </r>
    <r>
      <rPr>
        <sz val="11"/>
        <rFont val="Noto Sans CJK SC"/>
        <family val="2"/>
      </rPr>
      <t xml:space="preserve">對照</t>
    </r>
  </si>
  <si>
    <r>
      <rPr>
        <sz val="11"/>
        <rFont val="Times New Roman"/>
        <family val="0"/>
        <charset val="1"/>
      </rPr>
      <t xml:space="preserve">OMIT-57A </t>
    </r>
    <r>
      <rPr>
        <sz val="11"/>
        <rFont val="Noto Sans CJK SC"/>
        <family val="2"/>
      </rPr>
      <t xml:space="preserve">系列</t>
    </r>
  </si>
  <si>
    <r>
      <rPr>
        <sz val="11"/>
        <rFont val="Times New Roman"/>
        <family val="0"/>
        <charset val="1"/>
      </rPr>
      <t xml:space="preserve">provenance </t>
    </r>
    <r>
      <rPr>
        <sz val="11"/>
        <rFont val="Noto Sans CJK SC"/>
        <family val="2"/>
      </rPr>
      <t xml:space="preserve">系列</t>
    </r>
  </si>
  <si>
    <r>
      <rPr>
        <sz val="11"/>
        <rFont val="Times New Roman"/>
        <family val="0"/>
        <charset val="1"/>
      </rPr>
      <t xml:space="preserve">BLOCKED </t>
    </r>
    <r>
      <rPr>
        <sz val="11"/>
        <rFont val="Noto Sans CJK SC"/>
        <family val="2"/>
      </rPr>
      <t xml:space="preserve">案數</t>
    </r>
  </si>
  <si>
    <r>
      <rPr>
        <sz val="11"/>
        <rFont val="Noto Sans CJK SC"/>
        <family val="2"/>
      </rPr>
      <t xml:space="preserve">計入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案分母之案數</t>
    </r>
  </si>
  <si>
    <r>
      <rPr>
        <sz val="11"/>
        <rFont val="Noto Sans CJK SC"/>
        <family val="2"/>
      </rPr>
      <t xml:space="preserve">實際 </t>
    </r>
    <r>
      <rPr>
        <sz val="11"/>
        <rFont val="Times New Roman"/>
        <family val="0"/>
        <charset val="1"/>
      </rPr>
      <t xml:space="preserve">PASS</t>
    </r>
    <r>
      <rPr>
        <sz val="11"/>
        <rFont val="Noto Sans CJK SC"/>
        <family val="2"/>
      </rPr>
      <t xml:space="preserve">（填表後自動）</t>
    </r>
  </si>
  <si>
    <r>
      <rPr>
        <sz val="11"/>
        <rFont val="Noto Sans CJK SC"/>
        <family val="2"/>
      </rPr>
      <t xml:space="preserve">實際 </t>
    </r>
    <r>
      <rPr>
        <sz val="11"/>
        <rFont val="Times New Roman"/>
        <family val="0"/>
        <charset val="1"/>
      </rPr>
      <t xml:space="preserve">FAIL</t>
    </r>
    <r>
      <rPr>
        <sz val="11"/>
        <rFont val="Noto Sans CJK SC"/>
        <family val="2"/>
      </rPr>
      <t xml:space="preserve">（填表後自動）</t>
    </r>
  </si>
  <si>
    <r>
      <rPr>
        <b val="true"/>
        <sz val="15"/>
        <color rgb="FF1F3864"/>
        <rFont val="Noto Sans CJK SC"/>
        <family val="2"/>
      </rPr>
      <t xml:space="preserve">未決項清單 — </t>
    </r>
    <r>
      <rPr>
        <b val="true"/>
        <sz val="15"/>
        <color rgb="FF1F3864"/>
        <rFont val="Times New Roman"/>
        <family val="0"/>
        <charset val="1"/>
      </rPr>
      <t xml:space="preserve">BLOCKED </t>
    </r>
    <r>
      <rPr>
        <b val="true"/>
        <sz val="15"/>
        <color rgb="FF1F3864"/>
        <rFont val="Noto Sans CJK SC"/>
        <family val="2"/>
      </rPr>
      <t xml:space="preserve">狀態的單一事實來源</t>
    </r>
  </si>
  <si>
    <t xml:space="preserve">任何未決項未關閉前，引用它的列不得填具體預期值、不得執行、不得計入分母。缺陷表與主表不得各自為政。</t>
  </si>
  <si>
    <t xml:space="preserve">標題</t>
  </si>
  <si>
    <t xml:space="preserve">裁決者</t>
  </si>
  <si>
    <t xml:space="preserve">內容／裁決結果</t>
  </si>
  <si>
    <t xml:space="preserve">受影響列</t>
  </si>
  <si>
    <t xml:space="preserve">OPEN-001</t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</si>
  <si>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 </t>
    </r>
    <r>
      <rPr>
        <sz val="11"/>
        <rFont val="Noto Sans CJK SC"/>
        <family val="2"/>
      </rPr>
      <t xml:space="preserve">定義與 </t>
    </r>
    <r>
      <rPr>
        <sz val="11"/>
        <rFont val="Times New Roman"/>
        <family val="0"/>
        <charset val="1"/>
      </rPr>
      <t xml:space="preserve">API shape</t>
    </r>
  </si>
  <si>
    <t xml:space="preserve">CLOSED</t>
  </si>
  <si>
    <t xml:space="preserve">BA</t>
  </si>
  <si>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已裁定案例切分（</t>
    </r>
    <r>
      <rPr>
        <sz val="11"/>
        <rFont val="Times New Roman"/>
        <family val="0"/>
        <charset val="1"/>
      </rPr>
      <t xml:space="preserve">BOOK-01 </t>
    </r>
    <r>
      <rPr>
        <sz val="11"/>
        <rFont val="Noto Sans CJK SC"/>
        <family val="2"/>
      </rPr>
      <t xml:space="preserve">正向／</t>
    </r>
    <r>
      <rPr>
        <sz val="11"/>
        <rFont val="Times New Roman"/>
        <family val="0"/>
        <charset val="1"/>
      </rPr>
      <t xml:space="preserve">02 </t>
    </r>
    <r>
      <rPr>
        <sz val="11"/>
        <rFont val="Noto Sans CJK SC"/>
        <family val="2"/>
      </rPr>
      <t xml:space="preserve">跨幣別／</t>
    </r>
    <r>
      <rPr>
        <sz val="11"/>
        <rFont val="Times New Roman"/>
        <family val="0"/>
        <charset val="1"/>
      </rPr>
      <t xml:space="preserve">03 </t>
    </r>
    <r>
      <rPr>
        <sz val="11"/>
        <rFont val="Noto Sans CJK SC"/>
        <family val="2"/>
      </rPr>
      <t xml:space="preserve">不同 </t>
    </r>
    <r>
      <rPr>
        <sz val="11"/>
        <rFont val="Times New Roman"/>
        <family val="0"/>
        <charset val="1"/>
      </rPr>
      <t xml:space="preserve">servicer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04 Counterparty </t>
    </r>
    <r>
      <rPr>
        <sz val="11"/>
        <rFont val="Noto Sans CJK SC"/>
        <family val="2"/>
      </rPr>
      <t xml:space="preserve">洩漏／</t>
    </r>
    <r>
      <rPr>
        <sz val="11"/>
        <rFont val="Times New Roman"/>
        <family val="0"/>
        <charset val="1"/>
      </rPr>
      <t xml:space="preserve">05 stale-race</t>
    </r>
    <r>
      <rPr>
        <sz val="11"/>
        <rFont val="Noto Sans CJK SC"/>
        <family val="2"/>
      </rPr>
      <t xml:space="preserve">）及正向 </t>
    </r>
    <r>
      <rPr>
        <sz val="11"/>
        <rFont val="Times New Roman"/>
        <family val="0"/>
        <charset val="1"/>
      </rPr>
      <t xml:space="preserve">API shape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HTTP 200 / RESOLVED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resolutionDomain=OWN_SSI_NOSTRO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counterpartySsiResolution=SKIPPED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chosenRoute=null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candidates=[]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0"/>
        <charset val="1"/>
      </rPr>
      <t xml:space="preserve">own-account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Receiver Bank Service </t>
    </r>
    <r>
      <rPr>
        <sz val="11"/>
        <rFont val="Noto Sans CJK SC"/>
        <family val="2"/>
      </rPr>
      <t xml:space="preserve">來源。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</si>
  <si>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</si>
  <si>
    <t xml:space="preserve">OPEN-005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</si>
  <si>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跨幣別</t>
    </r>
  </si>
  <si>
    <r>
      <rPr>
        <sz val="11"/>
        <rFont val="Noto Sans CJK SC"/>
        <family val="2"/>
      </rPr>
      <t xml:space="preserve">已轉為正式負向案例 </t>
    </r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，預期 </t>
    </r>
    <r>
      <rPr>
        <sz val="11"/>
        <rFont val="Times New Roman"/>
        <family val="0"/>
        <charset val="1"/>
      </rPr>
      <t xml:space="preserve">HTTP 422 OWN_ACCOUNT_CURRENCY_MISMATCH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</si>
  <si>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新增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案之核准</t>
    </r>
  </si>
  <si>
    <t xml:space="preserve">OPEN</t>
  </si>
  <si>
    <r>
      <rPr>
        <sz val="11"/>
        <rFont val="Noto Sans CJK SC"/>
        <family val="2"/>
      </rPr>
      <t xml:space="preserve">預期值已由 </t>
    </r>
    <r>
      <rPr>
        <sz val="11"/>
        <rFont val="Times New Roman"/>
        <family val="0"/>
        <charset val="1"/>
      </rPr>
      <t xml:space="preserve">post-migration snapshot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52A58C…CEEF6</t>
    </r>
    <r>
      <rPr>
        <sz val="11"/>
        <rFont val="Noto Sans CJK SC"/>
        <family val="2"/>
      </rPr>
      <t xml:space="preserve">）與 </t>
    </r>
    <r>
      <rPr>
        <sz val="11"/>
        <rFont val="Times New Roman"/>
        <family val="0"/>
        <charset val="1"/>
      </rPr>
      <t xml:space="preserve">MRG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64483D7F…8323</t>
    </r>
    <r>
      <rPr>
        <sz val="11"/>
        <rFont val="Noto Sans CJK SC"/>
        <family val="2"/>
      </rPr>
      <t xml:space="preserve">）導出，可直接覆核。尚缺：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核准與否；核准後是否併入正式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案分母或另立子分母。</t>
    </r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</si>
  <si>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</t>
    </r>
  </si>
  <si>
    <t xml:space="preserve">OPEN-003</t>
  </si>
  <si>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最終處置</t>
    </r>
  </si>
  <si>
    <r>
      <rPr>
        <sz val="11"/>
        <rFont val="Times New Roman"/>
        <family val="0"/>
        <charset val="1"/>
      </rPr>
      <t xml:space="preserve">QA</t>
    </r>
    <r>
      <rPr>
        <sz val="11"/>
        <rFont val="Noto Sans CJK SC"/>
        <family val="2"/>
      </rPr>
      <t xml:space="preserve">／工程</t>
    </r>
  </si>
  <si>
    <r>
      <rPr>
        <sz val="11"/>
        <rFont val="Noto Sans CJK SC"/>
        <family val="2"/>
      </rPr>
      <t xml:space="preserve">已確認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 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僅檢查 </t>
    </r>
    <r>
      <rPr>
        <sz val="11"/>
        <rFont val="Times New Roman"/>
        <family val="0"/>
        <charset val="1"/>
      </rPr>
      <t xml:space="preserve">HTTP</t>
    </r>
    <r>
      <rPr>
        <sz val="11"/>
        <rFont val="Noto Sans CJK SC"/>
        <family val="2"/>
      </rPr>
      <t xml:space="preserve">、結果碼、幣別、</t>
    </r>
    <r>
      <rPr>
        <sz val="11"/>
        <rFont val="Times New Roman"/>
        <family val="0"/>
        <charset val="1"/>
      </rPr>
      <t xml:space="preserve">AMBIGUOUS fail-closed shape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COV fallback</t>
    </r>
    <r>
      <rPr>
        <sz val="11"/>
        <rFont val="Noto Sans CJK SC"/>
        <family val="2"/>
      </rPr>
      <t xml:space="preserve">，未逐案比對 </t>
    </r>
    <r>
      <rPr>
        <sz val="11"/>
        <rFont val="Times New Roman"/>
        <family val="0"/>
        <charset val="1"/>
      </rPr>
      <t xml:space="preserve">agent </t>
    </r>
    <r>
      <rPr>
        <sz val="11"/>
        <rFont val="Noto Sans CJK SC"/>
        <family val="2"/>
      </rPr>
      <t xml:space="preserve">值或 </t>
    </r>
    <r>
      <rPr>
        <sz val="11"/>
        <rFont val="Times New Roman"/>
        <family val="0"/>
        <charset val="1"/>
      </rPr>
      <t xml:space="preserve">provenance</t>
    </r>
    <r>
      <rPr>
        <sz val="11"/>
        <rFont val="Noto Sans CJK SC"/>
        <family val="2"/>
      </rPr>
      <t xml:space="preserve">，故 </t>
    </r>
    <r>
      <rPr>
        <sz val="11"/>
        <rFont val="Times New Roman"/>
        <family val="0"/>
        <charset val="1"/>
      </rPr>
      <t xml:space="preserve">48/48 PASS </t>
    </r>
    <r>
      <rPr>
        <sz val="11"/>
        <rFont val="Noto Sans CJK SC"/>
        <family val="2"/>
      </rPr>
      <t xml:space="preserve">未涵蓋此面向。須以 </t>
    </r>
    <r>
      <rPr>
        <sz val="11"/>
        <rFont val="Times New Roman"/>
        <family val="0"/>
        <charset val="1"/>
      </rPr>
      <t xml:space="preserve">GEN-202-02 </t>
    </r>
    <r>
      <rPr>
        <sz val="11"/>
        <rFont val="Noto Sans CJK SC"/>
        <family val="2"/>
      </rPr>
      <t xml:space="preserve">取原始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定案，並登錄修正 </t>
    </r>
    <r>
      <rPr>
        <sz val="11"/>
        <rFont val="Times New Roman"/>
        <family val="0"/>
        <charset val="1"/>
      </rPr>
      <t xml:space="preserve">commit </t>
    </r>
    <r>
      <rPr>
        <sz val="11"/>
        <rFont val="Noto Sans CJK SC"/>
        <family val="2"/>
      </rPr>
      <t xml:space="preserve">或維持 </t>
    </r>
    <r>
      <rPr>
        <sz val="11"/>
        <rFont val="Times New Roman"/>
        <family val="0"/>
        <charset val="1"/>
      </rPr>
      <t xml:space="preserve">OPEN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</si>
  <si>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GEN-202-02</t>
    </r>
  </si>
  <si>
    <t xml:space="preserve">OPEN-004</t>
  </si>
  <si>
    <r>
      <rPr>
        <sz val="11"/>
        <rFont val="Times New Roman"/>
        <family val="0"/>
        <charset val="1"/>
      </rPr>
      <t xml:space="preserve">48/48 </t>
    </r>
    <r>
      <rPr>
        <sz val="11"/>
        <rFont val="Noto Sans CJK SC"/>
        <family val="2"/>
      </rPr>
      <t xml:space="preserve">報告引用範圍</t>
    </r>
  </si>
  <si>
    <r>
      <rPr>
        <sz val="11"/>
        <rFont val="Times New Roman"/>
        <family val="0"/>
        <charset val="1"/>
      </rPr>
      <t xml:space="preserve">BA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QA</t>
    </r>
  </si>
  <si>
    <r>
      <rPr>
        <sz val="11"/>
        <rFont val="Noto Sans CJK SC"/>
        <family val="2"/>
      </rPr>
      <t xml:space="preserve">該報告產生於 </t>
    </r>
    <r>
      <rPr>
        <sz val="11"/>
        <rFont val="Times New Roman"/>
        <family val="0"/>
        <charset val="1"/>
      </rPr>
      <t xml:space="preserve">BOOK_TRANSFER blocker </t>
    </r>
    <r>
      <rPr>
        <sz val="11"/>
        <rFont val="Noto Sans CJK SC"/>
        <family val="2"/>
      </rPr>
      <t xml:space="preserve">確認之前，須明文限縮適用範圍並決定是否重跑。另：其 </t>
    </r>
    <r>
      <rPr>
        <sz val="11"/>
        <rFont val="Times New Roman"/>
        <family val="0"/>
        <charset val="1"/>
      </rPr>
      <t xml:space="preserve">Evidence Register </t>
    </r>
    <r>
      <rPr>
        <sz val="11"/>
        <rFont val="Noto Sans CJK SC"/>
        <family val="2"/>
      </rPr>
      <t xml:space="preserve">缺一列 </t>
    </r>
    <r>
      <rPr>
        <sz val="11"/>
        <rFont val="Times New Roman"/>
        <family val="0"/>
        <charset val="1"/>
      </rPr>
      <t xml:space="preserve">snapshot SHA-256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52A58C…CEEF6</t>
    </r>
    <r>
      <rPr>
        <sz val="11"/>
        <rFont val="Noto Sans CJK SC"/>
        <family val="2"/>
      </rPr>
      <t xml:space="preserve">），應補登。</t>
    </r>
  </si>
  <si>
    <r>
      <rPr>
        <sz val="11"/>
        <rFont val="Noto Sans CJK SC"/>
        <family val="2"/>
      </rPr>
      <t xml:space="preserve">證據與範圍；最終報告 </t>
    </r>
    <r>
      <rPr>
        <sz val="11"/>
        <rFont val="Times New Roman"/>
        <family val="0"/>
        <charset val="1"/>
      </rPr>
      <t xml:space="preserve">Evidence Register</t>
    </r>
  </si>
  <si>
    <t xml:space="preserve">OPEN-006</t>
  </si>
  <si>
    <r>
      <rPr>
        <sz val="11"/>
        <rFont val="Noto Sans CJK SC"/>
        <family val="2"/>
      </rPr>
      <t xml:space="preserve">明示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fixture</t>
    </r>
  </si>
  <si>
    <r>
      <rPr>
        <sz val="11"/>
        <rFont val="Times New Roman"/>
        <family val="0"/>
        <charset val="1"/>
      </rPr>
      <t xml:space="preserve">MRG p.54 </t>
    </r>
    <r>
      <rPr>
        <sz val="11"/>
        <rFont val="Noto Sans CJK SC"/>
        <family val="2"/>
      </rPr>
      <t xml:space="preserve">明定明示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的正規情境為 </t>
    </r>
    <r>
      <rPr>
        <sz val="11"/>
        <rFont val="Times New Roman"/>
        <family val="0"/>
        <charset val="1"/>
      </rPr>
      <t xml:space="preserve">CREDIT_ONE_OF_SEVERAL_AT_57A</t>
    </r>
    <r>
      <rPr>
        <sz val="11"/>
        <rFont val="Noto Sans CJK SC"/>
        <family val="2"/>
      </rPr>
      <t xml:space="preserve">：「</t>
    </r>
    <r>
      <rPr>
        <sz val="11"/>
        <rFont val="Times New Roman"/>
        <family val="0"/>
        <charset val="1"/>
      </rPr>
      <t xml:space="preserve">credit one of several accounts owned by the Sender at an institution specified in field 57a</t>
    </r>
    <r>
      <rPr>
        <sz val="11"/>
        <rFont val="Noto Sans CJK SC"/>
        <family val="2"/>
      </rPr>
      <t xml:space="preserve">」。現行 </t>
    </r>
    <r>
      <rPr>
        <sz val="11"/>
        <rFont val="Times New Roman"/>
        <family val="0"/>
        <charset val="1"/>
      </rPr>
      <t xml:space="preserve">26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0"/>
        <charset val="1"/>
      </rPr>
      <t xml:space="preserve">ACTIVE SSI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accountWithBic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actualReceiverBic </t>
    </r>
    <r>
      <rPr>
        <sz val="11"/>
        <rFont val="Noto Sans CJK SC"/>
        <family val="2"/>
      </rPr>
      <t xml:space="preserve">恆相等，無 </t>
    </r>
    <r>
      <rPr>
        <sz val="11"/>
        <rFont val="Times New Roman"/>
        <family val="0"/>
        <charset val="1"/>
      </rPr>
      <t xml:space="preserve">Receiver ≠ Account With </t>
    </r>
    <r>
      <rPr>
        <sz val="11"/>
        <rFont val="Noto Sans CJK SC"/>
        <family val="2"/>
      </rPr>
      <t xml:space="preserve">組合，無法支撐該情境。須另建 </t>
    </r>
    <r>
      <rPr>
        <sz val="11"/>
        <rFont val="Times New Roman"/>
        <family val="0"/>
        <charset val="1"/>
      </rPr>
      <t xml:space="preserve">fixture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Sender </t>
    </r>
    <r>
      <rPr>
        <sz val="11"/>
        <rFont val="Noto Sans CJK SC"/>
        <family val="2"/>
      </rPr>
      <t xml:space="preserve">於某非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機構持有多個帳戶。（更正：</t>
    </r>
    <r>
      <rPr>
        <sz val="11"/>
        <rFont val="Times New Roman"/>
        <family val="0"/>
        <charset val="1"/>
      </rPr>
      <t xml:space="preserve">R1 </t>
    </r>
    <r>
      <rPr>
        <sz val="11"/>
        <rFont val="Noto Sans CJK SC"/>
        <family val="2"/>
      </rPr>
      <t xml:space="preserve">曾將此描述為 </t>
    </r>
    <r>
      <rPr>
        <sz val="11"/>
        <rFont val="Times New Roman"/>
        <family val="0"/>
        <charset val="1"/>
      </rPr>
      <t xml:space="preserve">57A-01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 </t>
    </r>
    <r>
      <rPr>
        <sz val="11"/>
        <rFont val="Noto Sans CJK SC"/>
        <family val="2"/>
      </rPr>
      <t xml:space="preserve">可測，實為誤判。）</t>
    </r>
  </si>
  <si>
    <r>
      <rPr>
        <sz val="11"/>
        <rFont val="Noto Sans CJK SC"/>
        <family val="2"/>
      </rPr>
      <t xml:space="preserve">情境對照 </t>
    </r>
    <r>
      <rPr>
        <sz val="11"/>
        <rFont val="Times New Roman"/>
        <family val="0"/>
        <charset val="1"/>
      </rPr>
      <t xml:space="preserve">CREDIT_ONE_OF_SEVERAL </t>
    </r>
    <r>
      <rPr>
        <sz val="11"/>
        <rFont val="Noto Sans CJK SC"/>
        <family val="2"/>
      </rPr>
      <t xml:space="preserve">列</t>
    </r>
  </si>
  <si>
    <r>
      <rPr>
        <b val="true"/>
        <sz val="15"/>
        <color rgb="FF1F3864"/>
        <rFont val="Times New Roman"/>
        <family val="0"/>
        <charset val="1"/>
      </rPr>
      <t xml:space="preserve">v15.2_DRAFT → v15.2_DRAFT_R2 </t>
    </r>
    <r>
      <rPr>
        <b val="true"/>
        <sz val="15"/>
        <color rgb="FF1F3864"/>
        <rFont val="Noto Sans CJK SC"/>
        <family val="2"/>
      </rPr>
      <t xml:space="preserve">變更說明</t>
    </r>
  </si>
  <si>
    <r>
      <rPr>
        <i val="true"/>
        <sz val="11"/>
        <color rgb="FF595959"/>
        <rFont val="Times New Roman"/>
        <family val="0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0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逐格未動。以下為全部差異，含對 </t>
    </r>
    <r>
      <rPr>
        <i val="true"/>
        <sz val="11"/>
        <color rgb="FF595959"/>
        <rFont val="Times New Roman"/>
        <family val="0"/>
        <charset val="1"/>
      </rPr>
      <t xml:space="preserve">R1 </t>
    </r>
    <r>
      <rPr>
        <i val="true"/>
        <sz val="11"/>
        <color rgb="FF595959"/>
        <rFont val="Noto Sans CJK SC"/>
        <family val="2"/>
      </rPr>
      <t xml:space="preserve">錯誤的更正。</t>
    </r>
  </si>
  <si>
    <t xml:space="preserve">#</t>
  </si>
  <si>
    <t xml:space="preserve">工作表</t>
  </si>
  <si>
    <t xml:space="preserve">變更</t>
  </si>
  <si>
    <r>
      <rPr>
        <b val="true"/>
        <sz val="11"/>
        <color rgb="FFFFFFFF"/>
        <rFont val="Times New Roman"/>
        <family val="0"/>
        <charset val="1"/>
      </rPr>
      <t xml:space="preserve">R1 </t>
    </r>
    <r>
      <rPr>
        <b val="true"/>
        <sz val="11"/>
        <color rgb="FFFFFFFF"/>
        <rFont val="Noto Sans CJK SC"/>
        <family val="2"/>
      </rPr>
      <t xml:space="preserve">內容</t>
    </r>
  </si>
  <si>
    <r>
      <rPr>
        <b val="true"/>
        <sz val="11"/>
        <color rgb="FFFFFFFF"/>
        <rFont val="Times New Roman"/>
        <family val="0"/>
        <charset val="1"/>
      </rPr>
      <t xml:space="preserve">R2 </t>
    </r>
    <r>
      <rPr>
        <b val="true"/>
        <sz val="11"/>
        <color rgb="FFFFFFFF"/>
        <rFont val="Noto Sans CJK SC"/>
        <family val="2"/>
      </rPr>
      <t xml:space="preserve">修訂</t>
    </r>
  </si>
  <si>
    <t xml:space="preserve">依據</t>
  </si>
  <si>
    <r>
      <rPr>
        <sz val="11"/>
        <rFont val="Times New Roman"/>
        <family val="0"/>
        <charset val="1"/>
      </rPr>
      <t xml:space="preserve">v15.2 </t>
    </r>
    <r>
      <rPr>
        <sz val="11"/>
        <rFont val="Noto Sans CJK SC"/>
        <family val="2"/>
      </rPr>
      <t xml:space="preserve">新增案例</t>
    </r>
  </si>
  <si>
    <r>
      <rPr>
        <sz val="11"/>
        <rFont val="Noto Sans CJK SC"/>
        <family val="2"/>
      </rPr>
      <t xml:space="preserve">標為 </t>
    </r>
    <r>
      <rPr>
        <sz val="11"/>
        <rFont val="Times New Roman"/>
        <family val="0"/>
        <charset val="1"/>
      </rPr>
      <t xml:space="preserve">UNDEFINED</t>
    </r>
    <r>
      <rPr>
        <sz val="11"/>
        <rFont val="Noto Sans CJK SC"/>
        <family val="2"/>
      </rPr>
      <t xml:space="preserve">，五格預期值全空</t>
    </r>
  </si>
  <si>
    <r>
      <rPr>
        <sz val="11"/>
        <rFont val="Noto Sans CJK SC"/>
        <family val="2"/>
      </rPr>
      <t xml:space="preserve">依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裁定之案例切分填入完整預期值：</t>
    </r>
    <r>
      <rPr>
        <sz val="11"/>
        <rFont val="Times New Roman"/>
        <family val="0"/>
        <charset val="1"/>
      </rPr>
      <t xml:space="preserve">01 </t>
    </r>
    <r>
      <rPr>
        <sz val="11"/>
        <rFont val="Noto Sans CJK SC"/>
        <family val="2"/>
      </rPr>
      <t xml:space="preserve">正向／</t>
    </r>
    <r>
      <rPr>
        <sz val="11"/>
        <rFont val="Times New Roman"/>
        <family val="0"/>
        <charset val="1"/>
      </rPr>
      <t xml:space="preserve">02 </t>
    </r>
    <r>
      <rPr>
        <sz val="11"/>
        <rFont val="Noto Sans CJK SC"/>
        <family val="2"/>
      </rPr>
      <t xml:space="preserve">跨幣別 </t>
    </r>
    <r>
      <rPr>
        <sz val="11"/>
        <rFont val="Times New Roman"/>
        <family val="0"/>
        <charset val="1"/>
      </rPr>
      <t xml:space="preserve">422 OWN_ACCOUNT_CURRENCY_MISMATCH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03 </t>
    </r>
    <r>
      <rPr>
        <sz val="11"/>
        <rFont val="Noto Sans CJK SC"/>
        <family val="2"/>
      </rPr>
      <t xml:space="preserve">不同 </t>
    </r>
    <r>
      <rPr>
        <sz val="11"/>
        <rFont val="Times New Roman"/>
        <family val="0"/>
        <charset val="1"/>
      </rPr>
      <t xml:space="preserve">servicer 422 OWN_ACCOUNT_RECEIVER_MISMATCH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04 Counterparty </t>
    </r>
    <r>
      <rPr>
        <sz val="11"/>
        <rFont val="Noto Sans CJK SC"/>
        <family val="2"/>
      </rPr>
      <t xml:space="preserve">洩漏／</t>
    </r>
    <r>
      <rPr>
        <sz val="11"/>
        <rFont val="Times New Roman"/>
        <family val="0"/>
        <charset val="1"/>
      </rPr>
      <t xml:space="preserve">05 stale-race</t>
    </r>
  </si>
  <si>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裁決；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p.54</t>
    </r>
  </si>
  <si>
    <r>
      <rPr>
        <sz val="11"/>
        <rFont val="Noto Sans CJK SC"/>
        <family val="2"/>
      </rPr>
      <t xml:space="preserve">正向 </t>
    </r>
    <r>
      <rPr>
        <sz val="11"/>
        <rFont val="Times New Roman"/>
        <family val="0"/>
        <charset val="1"/>
      </rPr>
      <t xml:space="preserve">API shape</t>
    </r>
  </si>
  <si>
    <t xml:space="preserve">留白待定義</t>
  </si>
  <si>
    <r>
      <rPr>
        <sz val="11"/>
        <rFont val="Times New Roman"/>
        <family val="0"/>
        <charset val="1"/>
      </rPr>
      <t xml:space="preserve">HTTP 200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RESOLVED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resolutionDomain=OWN_SSI_NOSTRO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counterpartySsiResolution=SKIPPED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chosenRoute=null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candidates=[]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0"/>
        <charset val="1"/>
      </rPr>
      <t xml:space="preserve">own-account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Receiver Bank Service</t>
    </r>
  </si>
  <si>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裁決</t>
    </r>
  </si>
  <si>
    <r>
      <rPr>
        <sz val="11"/>
        <rFont val="Times New Roman"/>
        <family val="0"/>
        <charset val="1"/>
      </rPr>
      <t xml:space="preserve">57A-01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</si>
  <si>
    <r>
      <rPr>
        <sz val="11"/>
        <rFont val="Noto Sans CJK SC"/>
        <family val="2"/>
      </rPr>
      <t xml:space="preserve">案名 </t>
    </r>
    <r>
      <rPr>
        <sz val="11"/>
        <rFont val="Times New Roman"/>
        <family val="0"/>
        <charset val="1"/>
      </rPr>
      <t xml:space="preserve">Receiver ≠ Account With</t>
    </r>
    <r>
      <rPr>
        <sz val="11"/>
        <rFont val="Noto Sans CJK SC"/>
        <family val="2"/>
      </rPr>
      <t xml:space="preserve">，要求檢查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</t>
    </r>
  </si>
  <si>
    <r>
      <rPr>
        <sz val="11"/>
        <rFont val="Noto Sans CJK SC"/>
        <family val="2"/>
      </rPr>
      <t xml:space="preserve">更名 </t>
    </r>
    <r>
      <rPr>
        <sz val="11"/>
        <rFont val="Times New Roman"/>
        <family val="0"/>
        <charset val="1"/>
      </rPr>
      <t xml:space="preserve">OMIT-57A-01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，斷言反轉為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載受益機構</t>
    </r>
  </si>
  <si>
    <r>
      <rPr>
        <sz val="11"/>
        <rFont val="Noto Sans CJK SC"/>
        <family val="2"/>
      </rPr>
      <t xml:space="preserve">硬錯。六筆 </t>
    </r>
    <r>
      <rPr>
        <sz val="11"/>
        <rFont val="Times New Roman"/>
        <family val="0"/>
        <charset val="1"/>
      </rPr>
      <t xml:space="preserve">fixture </t>
    </r>
    <r>
      <rPr>
        <sz val="11"/>
        <rFont val="Noto Sans CJK SC"/>
        <family val="2"/>
      </rPr>
      <t xml:space="preserve">皆 </t>
    </r>
    <r>
      <rPr>
        <sz val="11"/>
        <rFont val="Times New Roman"/>
        <family val="0"/>
        <charset val="1"/>
      </rPr>
      <t xml:space="preserve">accountWithBic = actualReceiverBic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應省略。</t>
    </r>
    <r>
      <rPr>
        <sz val="11"/>
        <rFont val="Times New Roman"/>
        <family val="0"/>
        <charset val="1"/>
      </rPr>
      <t xml:space="preserve">R1 </t>
    </r>
    <r>
      <rPr>
        <sz val="11"/>
        <rFont val="Noto Sans CJK SC"/>
        <family val="2"/>
      </rPr>
      <t xml:space="preserve">的註記已載明此事實卻仍要求檢查內容，案名、斷言、註記三者互相矛盾</t>
    </r>
  </si>
  <si>
    <r>
      <rPr>
        <sz val="11"/>
        <rFont val="Noto Sans CJK SC"/>
        <family val="2"/>
      </rPr>
      <t xml:space="preserve">情境對照／</t>
    </r>
    <r>
      <rPr>
        <sz val="11"/>
        <rFont val="Times New Roman"/>
        <family val="0"/>
        <charset val="1"/>
      </rPr>
      <t xml:space="preserve">Scenario Behavior</t>
    </r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</si>
  <si>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敘述</t>
    </r>
  </si>
  <si>
    <r>
      <rPr>
        <sz val="11"/>
        <rFont val="Noto Sans CJK SC"/>
        <family val="2"/>
      </rPr>
      <t xml:space="preserve">稱 </t>
    </r>
    <r>
      <rPr>
        <sz val="11"/>
        <rFont val="Times New Roman"/>
        <family val="0"/>
        <charset val="1"/>
      </rPr>
      <t xml:space="preserve">own-account agent roles </t>
    </r>
    <r>
      <rPr>
        <sz val="11"/>
        <rFont val="Noto Sans CJK SC"/>
        <family val="2"/>
      </rPr>
      <t xml:space="preserve">不存在、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省略規則作廢</t>
    </r>
  </si>
  <si>
    <r>
      <rPr>
        <sz val="11"/>
        <rFont val="Noto Sans CJK SC"/>
        <family val="2"/>
      </rPr>
      <t xml:space="preserve">更正為：</t>
    </r>
    <r>
      <rPr>
        <sz val="11"/>
        <rFont val="Times New Roman"/>
        <family val="0"/>
        <charset val="1"/>
      </rPr>
      <t xml:space="preserve">own-account agent roles </t>
    </r>
    <r>
      <rPr>
        <sz val="11"/>
        <rFont val="Noto Sans CJK SC"/>
        <family val="2"/>
      </rPr>
      <t xml:space="preserve">存在（</t>
    </r>
    <r>
      <rPr>
        <sz val="11"/>
        <rFont val="Times New Roman"/>
        <family val="0"/>
        <charset val="1"/>
      </rPr>
      <t xml:space="preserve">OWN_ENTITY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OWN_SSI_NOSTRO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Receiver Bank Service</t>
    </r>
    <r>
      <rPr>
        <sz val="11"/>
        <rFont val="Noto Sans CJK SC"/>
        <family val="2"/>
      </rPr>
      <t xml:space="preserve">），僅不得來自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省略規則有效</t>
    </r>
  </si>
  <si>
    <r>
      <rPr>
        <sz val="11"/>
        <rFont val="Times New Roman"/>
        <family val="0"/>
        <charset val="1"/>
      </rPr>
      <t xml:space="preserve">R1 </t>
    </r>
    <r>
      <rPr>
        <sz val="11"/>
        <rFont val="Noto Sans CJK SC"/>
        <family val="2"/>
      </rPr>
      <t xml:space="preserve">過度修正。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p.54 </t>
    </r>
    <r>
      <rPr>
        <sz val="11"/>
        <rFont val="Noto Sans CJK SC"/>
        <family val="2"/>
      </rPr>
      <t xml:space="preserve">明文要求 </t>
    </r>
    <r>
      <rPr>
        <sz val="11"/>
        <rFont val="Times New Roman"/>
        <family val="0"/>
        <charset val="1"/>
      </rPr>
      <t xml:space="preserve">book transfer </t>
    </r>
    <r>
      <rPr>
        <sz val="11"/>
        <rFont val="Noto Sans CJK SC"/>
        <family val="2"/>
      </rPr>
      <t xml:space="preserve">省略 </t>
    </r>
    <r>
      <rPr>
        <sz val="11"/>
        <rFont val="Times New Roman"/>
        <family val="0"/>
        <charset val="1"/>
      </rPr>
      <t xml:space="preserve">57a</t>
    </r>
  </si>
  <si>
    <t xml:space="preserve">未決項清單</t>
  </si>
  <si>
    <r>
      <rPr>
        <sz val="11"/>
        <rFont val="Times New Roman"/>
        <family val="0"/>
        <charset val="1"/>
      </rPr>
      <t xml:space="preserve">OPEN-001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005</t>
    </r>
  </si>
  <si>
    <r>
      <rPr>
        <sz val="11"/>
        <rFont val="Times New Roman"/>
        <family val="0"/>
        <charset val="1"/>
      </rPr>
      <t xml:space="preserve">CLOSED</t>
    </r>
    <r>
      <rPr>
        <sz val="11"/>
        <rFont val="Noto Sans CJK SC"/>
        <family val="2"/>
      </rPr>
      <t xml:space="preserve">，並記錄裁決內容</t>
    </r>
  </si>
  <si>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已完成裁定</t>
    </r>
  </si>
  <si>
    <r>
      <rPr>
        <sz val="11"/>
        <rFont val="Noto Sans CJK SC"/>
        <family val="2"/>
      </rPr>
      <t xml:space="preserve">稱需另建 </t>
    </r>
    <r>
      <rPr>
        <sz val="11"/>
        <rFont val="Times New Roman"/>
        <family val="0"/>
        <charset val="1"/>
      </rPr>
      <t xml:space="preserve">Receiver ≠ Account With fixture</t>
    </r>
  </si>
  <si>
    <r>
      <rPr>
        <sz val="11"/>
        <rFont val="Noto Sans CJK SC"/>
        <family val="2"/>
      </rPr>
      <t xml:space="preserve">更正為：明示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的正規情境是 </t>
    </r>
    <r>
      <rPr>
        <sz val="11"/>
        <rFont val="Times New Roman"/>
        <family val="0"/>
        <charset val="1"/>
      </rPr>
      <t xml:space="preserve">CREDIT_ONE_OF_SEVERAL_AT_57A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fixture </t>
    </r>
    <r>
      <rPr>
        <sz val="11"/>
        <rFont val="Noto Sans CJK SC"/>
        <family val="2"/>
      </rPr>
      <t xml:space="preserve">規格為「</t>
    </r>
    <r>
      <rPr>
        <sz val="11"/>
        <rFont val="Times New Roman"/>
        <family val="0"/>
        <charset val="1"/>
      </rPr>
      <t xml:space="preserve">Sender </t>
    </r>
    <r>
      <rPr>
        <sz val="11"/>
        <rFont val="Noto Sans CJK SC"/>
        <family val="2"/>
      </rPr>
      <t xml:space="preserve">於某非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機構持有多個帳戶」</t>
    </r>
  </si>
  <si>
    <r>
      <rPr>
        <sz val="11"/>
        <rFont val="Times New Roman"/>
        <family val="0"/>
        <charset val="1"/>
      </rPr>
      <t xml:space="preserve">MRG p.54 </t>
    </r>
    <r>
      <rPr>
        <sz val="11"/>
        <rFont val="Noto Sans CJK SC"/>
        <family val="2"/>
      </rPr>
      <t xml:space="preserve">原文</t>
    </r>
  </si>
  <si>
    <r>
      <rPr>
        <sz val="11"/>
        <rFont val="Times New Roman"/>
        <family val="0"/>
        <charset val="1"/>
      </rPr>
      <t xml:space="preserve">GEN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PROV </t>
    </r>
    <r>
      <rPr>
        <sz val="11"/>
        <rFont val="Noto Sans CJK SC"/>
        <family val="2"/>
      </rPr>
      <t xml:space="preserve">斷言</t>
    </r>
  </si>
  <si>
    <r>
      <rPr>
        <sz val="11"/>
        <rFont val="Noto Sans CJK SC"/>
        <family val="2"/>
      </rPr>
      <t xml:space="preserve">僅 </t>
    </r>
    <r>
      <rPr>
        <sz val="11"/>
        <rFont val="Times New Roman"/>
        <family val="0"/>
        <charset val="1"/>
      </rPr>
      <t xml:space="preserve">instructedAgent</t>
    </r>
  </si>
  <si>
    <r>
      <rPr>
        <sz val="11"/>
        <rFont val="Noto Sans CJK SC"/>
        <family val="2"/>
      </rPr>
      <t xml:space="preserve">補 </t>
    </r>
    <r>
      <rPr>
        <sz val="11"/>
        <rFont val="Times New Roman"/>
        <family val="0"/>
        <charset val="1"/>
      </rPr>
      <t xml:space="preserve">creditorAgent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SSI version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Nostro accountServicerBic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currency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snapshot provenance </t>
    </r>
    <r>
      <rPr>
        <sz val="11"/>
        <rFont val="Noto Sans CJK SC"/>
        <family val="2"/>
      </rPr>
      <t xml:space="preserve">六項</t>
    </r>
  </si>
  <si>
    <t xml:space="preserve">BA review</t>
  </si>
  <si>
    <t xml:space="preserve">證據欄位</t>
  </si>
  <si>
    <r>
      <rPr>
        <sz val="11"/>
        <rFont val="Noto Sans CJK SC"/>
        <family val="2"/>
      </rPr>
      <t xml:space="preserve">僅 </t>
    </r>
    <r>
      <rPr>
        <sz val="11"/>
        <rFont val="Times New Roman"/>
        <family val="0"/>
        <charset val="1"/>
      </rPr>
      <t xml:space="preserve">4 </t>
    </r>
    <r>
      <rPr>
        <sz val="11"/>
        <rFont val="Noto Sans CJK SC"/>
        <family val="2"/>
      </rPr>
      <t xml:space="preserve">欄</t>
    </r>
  </si>
  <si>
    <r>
      <rPr>
        <sz val="11"/>
        <rFont val="Noto Sans CJK SC"/>
        <family val="2"/>
      </rPr>
      <t xml:space="preserve">補齊 </t>
    </r>
    <r>
      <rPr>
        <sz val="11"/>
        <rFont val="Times New Roman"/>
        <family val="0"/>
        <charset val="1"/>
      </rPr>
      <t xml:space="preserve">12 </t>
    </r>
    <r>
      <rPr>
        <sz val="11"/>
        <rFont val="Noto Sans CJK SC"/>
        <family val="2"/>
      </rPr>
      <t xml:space="preserve">欄，比照主表：</t>
    </r>
    <r>
      <rPr>
        <sz val="11"/>
        <rFont val="Times New Roman"/>
        <family val="0"/>
        <charset val="1"/>
      </rPr>
      <t xml:space="preserve">Actual HTTP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code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chosen SSI+version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candidates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Snapshot Hash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Resolution Token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Correlation 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Tester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Execution Date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PASS/FAIL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Evidence Path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Screenshot/Defect ID</t>
    </r>
  </si>
  <si>
    <t xml:space="preserve">三張新表</t>
  </si>
  <si>
    <r>
      <rPr>
        <sz val="11"/>
        <rFont val="Times New Roman"/>
        <family val="0"/>
        <charset val="1"/>
      </rPr>
      <t xml:space="preserve">AutoFilter</t>
    </r>
    <r>
      <rPr>
        <sz val="11"/>
        <rFont val="Noto Sans CJK SC"/>
        <family val="2"/>
      </rPr>
      <t xml:space="preserve">／資料驗證</t>
    </r>
  </si>
  <si>
    <t xml:space="preserve">無</t>
  </si>
  <si>
    <r>
      <rPr>
        <sz val="11"/>
        <rFont val="Noto Sans CJK SC"/>
        <family val="2"/>
      </rPr>
      <t xml:space="preserve">新增案例與未決項表加 </t>
    </r>
    <r>
      <rPr>
        <sz val="11"/>
        <rFont val="Times New Roman"/>
        <family val="0"/>
        <charset val="1"/>
      </rPr>
      <t xml:space="preserve">AutoFilter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PASS/FAIL </t>
    </r>
    <r>
      <rPr>
        <sz val="11"/>
        <rFont val="Noto Sans CJK SC"/>
        <family val="2"/>
      </rPr>
      <t xml:space="preserve">與狀態欄加下拉清單</t>
    </r>
  </si>
  <si>
    <t xml:space="preserve">全檔</t>
  </si>
  <si>
    <r>
      <rPr>
        <sz val="11"/>
        <rFont val="Noto Sans CJK SC"/>
        <family val="2"/>
      </rPr>
      <t xml:space="preserve">公式 </t>
    </r>
    <r>
      <rPr>
        <sz val="11"/>
        <rFont val="Times New Roman"/>
        <family val="0"/>
        <charset val="1"/>
      </rPr>
      <t xml:space="preserve">cached values</t>
    </r>
  </si>
  <si>
    <r>
      <rPr>
        <sz val="11"/>
        <rFont val="Times New Roman"/>
        <family val="0"/>
        <charset val="1"/>
      </rPr>
      <t xml:space="preserve">5 </t>
    </r>
    <r>
      <rPr>
        <sz val="11"/>
        <rFont val="Noto Sans CJK SC"/>
        <family val="2"/>
      </rPr>
      <t xml:space="preserve">個公式快取值全空</t>
    </r>
  </si>
  <si>
    <t xml:space="preserve">流程改為字型先套、重算最後做，交付前讀回驗證全部公式均有快取值</t>
  </si>
  <si>
    <r>
      <rPr>
        <sz val="11"/>
        <rFont val="Times New Roman"/>
        <family val="0"/>
        <charset val="1"/>
      </rPr>
      <t xml:space="preserve">R1 </t>
    </r>
    <r>
      <rPr>
        <sz val="11"/>
        <rFont val="Noto Sans CJK SC"/>
        <family val="2"/>
      </rPr>
      <t xml:space="preserve">流程錯誤：先 </t>
    </r>
    <r>
      <rPr>
        <sz val="11"/>
        <rFont val="Times New Roman"/>
        <family val="0"/>
        <charset val="1"/>
      </rPr>
      <t xml:space="preserve">recalc </t>
    </r>
    <r>
      <rPr>
        <sz val="11"/>
        <rFont val="Noto Sans CJK SC"/>
        <family val="2"/>
      </rPr>
      <t xml:space="preserve">再以 </t>
    </r>
    <r>
      <rPr>
        <sz val="11"/>
        <rFont val="Times New Roman"/>
        <family val="0"/>
        <charset val="1"/>
      </rPr>
      <t xml:space="preserve">openpyxl </t>
    </r>
    <r>
      <rPr>
        <sz val="11"/>
        <rFont val="Noto Sans CJK SC"/>
        <family val="2"/>
      </rPr>
      <t xml:space="preserve">套字型，把快取洗掉</t>
    </r>
  </si>
  <si>
    <t xml:space="preserve">證據與範圍</t>
  </si>
  <si>
    <r>
      <rPr>
        <sz val="11"/>
        <rFont val="Noto Sans CJK SC"/>
        <family val="2"/>
      </rPr>
      <t xml:space="preserve">追加 </t>
    </r>
    <r>
      <rPr>
        <sz val="11"/>
        <rFont val="Times New Roman"/>
        <family val="0"/>
        <charset val="1"/>
      </rPr>
      <t xml:space="preserve">11 </t>
    </r>
    <r>
      <rPr>
        <sz val="11"/>
        <rFont val="Noto Sans CJK SC"/>
        <family val="2"/>
      </rPr>
      <t xml:space="preserve">列</t>
    </r>
  </si>
  <si>
    <r>
      <rPr>
        <sz val="11"/>
        <rFont val="Times New Roman"/>
        <family val="0"/>
        <charset val="1"/>
      </rPr>
      <t xml:space="preserve">R2 </t>
    </r>
    <r>
      <rPr>
        <sz val="11"/>
        <rFont val="Noto Sans CJK SC"/>
        <family val="2"/>
      </rPr>
      <t xml:space="preserve">狀態、</t>
    </r>
    <r>
      <rPr>
        <sz val="11"/>
        <rFont val="Times New Roman"/>
        <family val="0"/>
        <charset val="1"/>
      </rPr>
      <t xml:space="preserve">v15.1 base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R1 hash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MRG </t>
    </r>
    <r>
      <rPr>
        <sz val="11"/>
        <rFont val="Noto Sans CJK SC"/>
        <family val="2"/>
      </rPr>
      <t xml:space="preserve">依據與頁碼、新增範圍、</t>
    </r>
    <r>
      <rPr>
        <sz val="11"/>
        <rFont val="Times New Roman"/>
        <family val="0"/>
        <charset val="1"/>
      </rPr>
      <t xml:space="preserve">48/48 </t>
    </r>
    <r>
      <rPr>
        <sz val="11"/>
        <rFont val="Noto Sans CJK SC"/>
        <family val="2"/>
      </rPr>
      <t xml:space="preserve">適用範圍、覆蓋缺口、作廢檔案、字型與快取取捨、未決項驅動規則</t>
    </r>
  </si>
  <si>
    <t xml:space="preserve">證據鏈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</si>
</sst>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Times New Roman"/>
      <family val="0"/>
      <charset val="1"/>
    </font>
    <font>
      <b val="true"/>
      <sz val="11"/>
      <color rgb="FF1F3864"/>
      <name val="Noto Sans CJK SC"/>
      <family val="2"/>
    </font>
    <font>
      <sz val="11"/>
      <color theme="1"/>
      <name val="Times New Roman"/>
      <family val="2"/>
      <charset val="1"/>
    </font>
    <font>
      <i val="true"/>
      <sz val="11"/>
      <color rgb="FF595959"/>
      <name val="Noto Sans CJK SC"/>
      <family val="2"/>
    </font>
    <font>
      <i val="true"/>
      <sz val="11"/>
      <color rgb="FF595959"/>
      <name val="Times New Roman"/>
      <family val="2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Times New Roman"/>
      <family val="1"/>
      <charset val="1"/>
    </font>
    <font>
      <sz val="11"/>
      <name val="Times New Roman"/>
      <family val="1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sz val="11"/>
      <name val="Times New Roman"/>
      <family val="2"/>
      <charset val="1"/>
    </font>
    <font>
      <sz val="11"/>
      <color theme="1"/>
      <name val="Times New Roman"/>
      <family val="1"/>
      <charset val="1"/>
    </font>
    <font>
      <b val="true"/>
      <sz val="11"/>
      <color rgb="FF1F3864"/>
      <name val="Times New Roman"/>
      <family val="1"/>
      <charset val="1"/>
    </font>
    <font>
      <i val="true"/>
      <sz val="11"/>
      <color rgb="FF595959"/>
      <name val="Times New Roman"/>
      <family val="1"/>
      <charset val="1"/>
    </font>
    <font>
      <b val="true"/>
      <sz val="11"/>
      <name val="Times New Roman"/>
      <family val="1"/>
      <charset val="1"/>
    </font>
    <font>
      <i val="true"/>
      <sz val="11"/>
      <color rgb="FF595959"/>
      <name val="Times New Roman"/>
      <family val="0"/>
      <charset val="1"/>
    </font>
    <font>
      <sz val="11"/>
      <color theme="1"/>
      <name val="Noto Sans CJK SC"/>
      <family val="2"/>
    </font>
    <font>
      <b val="true"/>
      <sz val="15"/>
      <color rgb="FF1F3864"/>
      <name val="Times New Roman"/>
      <family val="0"/>
      <charset val="1"/>
    </font>
    <font>
      <b val="true"/>
      <sz val="15"/>
      <color rgb="FF1F3864"/>
      <name val="Noto Sans CJK SC"/>
      <family val="2"/>
    </font>
    <font>
      <b val="true"/>
      <sz val="11"/>
      <color rgb="FFFFFFFF"/>
      <name val="Times New Roman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CE4EC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C6E0B4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EDEDED"/>
      <rgbColor rgb="FFFCE4E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E5" activeCellId="0" sqref="E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8"/>
    <col collapsed="false" customWidth="true" hidden="false" outlineLevel="0" max="16" min="16" style="0" width="46"/>
    <col collapsed="false" customWidth="true" hidden="false" outlineLevel="0" max="30" min="17" style="0" width="23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7.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4.2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</row>
    <row r="5" customFormat="false" ht="48.5" hidden="false" customHeight="false" outlineLevel="0" collapsed="false">
      <c r="A5" s="6" t="s">
        <v>32</v>
      </c>
      <c r="B5" s="7" t="n">
        <v>1</v>
      </c>
      <c r="C5" s="8" t="s">
        <v>33</v>
      </c>
      <c r="D5" s="6" t="s">
        <v>34</v>
      </c>
      <c r="E5" s="6" t="s">
        <v>35</v>
      </c>
      <c r="F5" s="7" t="s">
        <v>36</v>
      </c>
      <c r="G5" s="7" t="s">
        <v>37</v>
      </c>
      <c r="H5" s="6" t="s">
        <v>38</v>
      </c>
      <c r="I5" s="6" t="s">
        <v>39</v>
      </c>
      <c r="J5" s="6" t="s">
        <v>40</v>
      </c>
      <c r="K5" s="7" t="n">
        <v>200</v>
      </c>
      <c r="L5" s="6" t="s">
        <v>41</v>
      </c>
      <c r="M5" s="6" t="s">
        <v>42</v>
      </c>
      <c r="N5" s="7" t="n">
        <v>2</v>
      </c>
      <c r="O5" s="9" t="s">
        <v>43</v>
      </c>
      <c r="P5" s="6" t="s">
        <v>44</v>
      </c>
      <c r="Q5" s="2" t="s">
        <v>45</v>
      </c>
      <c r="R5" s="2" t="s">
        <v>46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customFormat="false" ht="48.5" hidden="false" customHeight="false" outlineLevel="0" collapsed="false">
      <c r="A6" s="6" t="s">
        <v>47</v>
      </c>
      <c r="B6" s="7" t="n">
        <v>1</v>
      </c>
      <c r="C6" s="8" t="s">
        <v>33</v>
      </c>
      <c r="D6" s="6" t="s">
        <v>34</v>
      </c>
      <c r="E6" s="6" t="s">
        <v>35</v>
      </c>
      <c r="F6" s="7" t="s">
        <v>36</v>
      </c>
      <c r="G6" s="7" t="s">
        <v>37</v>
      </c>
      <c r="H6" s="6" t="s">
        <v>48</v>
      </c>
      <c r="I6" s="6" t="s">
        <v>39</v>
      </c>
      <c r="J6" s="6" t="s">
        <v>40</v>
      </c>
      <c r="K6" s="7" t="n">
        <v>200</v>
      </c>
      <c r="L6" s="6" t="s">
        <v>41</v>
      </c>
      <c r="M6" s="6" t="s">
        <v>42</v>
      </c>
      <c r="N6" s="7" t="n">
        <v>2</v>
      </c>
      <c r="O6" s="9" t="s">
        <v>43</v>
      </c>
      <c r="P6" s="6" t="s">
        <v>44</v>
      </c>
      <c r="Q6" s="2" t="s">
        <v>49</v>
      </c>
      <c r="R6" s="2" t="s">
        <v>46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customFormat="false" ht="48.5" hidden="false" customHeight="false" outlineLevel="0" collapsed="false">
      <c r="A7" s="6" t="s">
        <v>50</v>
      </c>
      <c r="B7" s="7" t="n">
        <v>1</v>
      </c>
      <c r="C7" s="8" t="s">
        <v>33</v>
      </c>
      <c r="D7" s="6" t="s">
        <v>34</v>
      </c>
      <c r="E7" s="6" t="s">
        <v>35</v>
      </c>
      <c r="F7" s="7" t="s">
        <v>36</v>
      </c>
      <c r="G7" s="7" t="s">
        <v>37</v>
      </c>
      <c r="H7" s="6" t="s">
        <v>51</v>
      </c>
      <c r="I7" s="6" t="s">
        <v>39</v>
      </c>
      <c r="J7" s="6" t="s">
        <v>52</v>
      </c>
      <c r="K7" s="7" t="n">
        <v>200</v>
      </c>
      <c r="L7" s="6" t="s">
        <v>41</v>
      </c>
      <c r="M7" s="6" t="s">
        <v>42</v>
      </c>
      <c r="N7" s="7" t="n">
        <v>2</v>
      </c>
      <c r="O7" s="9" t="s">
        <v>43</v>
      </c>
      <c r="P7" s="6" t="s">
        <v>44</v>
      </c>
      <c r="Q7" s="2" t="s">
        <v>53</v>
      </c>
      <c r="R7" s="2" t="s">
        <v>46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customFormat="false" ht="48.5" hidden="false" customHeight="false" outlineLevel="0" collapsed="false">
      <c r="A8" s="6" t="s">
        <v>54</v>
      </c>
      <c r="B8" s="7" t="n">
        <v>1</v>
      </c>
      <c r="C8" s="8" t="s">
        <v>33</v>
      </c>
      <c r="D8" s="6" t="s">
        <v>34</v>
      </c>
      <c r="E8" s="6" t="s">
        <v>35</v>
      </c>
      <c r="F8" s="7" t="s">
        <v>36</v>
      </c>
      <c r="G8" s="7" t="s">
        <v>37</v>
      </c>
      <c r="H8" s="6" t="s">
        <v>55</v>
      </c>
      <c r="I8" s="6" t="s">
        <v>39</v>
      </c>
      <c r="J8" s="6" t="s">
        <v>52</v>
      </c>
      <c r="K8" s="7" t="n">
        <v>200</v>
      </c>
      <c r="L8" s="6" t="s">
        <v>41</v>
      </c>
      <c r="M8" s="6" t="s">
        <v>42</v>
      </c>
      <c r="N8" s="7" t="n">
        <v>2</v>
      </c>
      <c r="O8" s="9" t="s">
        <v>43</v>
      </c>
      <c r="P8" s="6" t="s">
        <v>44</v>
      </c>
      <c r="Q8" s="2" t="s">
        <v>56</v>
      </c>
      <c r="R8" s="2" t="s">
        <v>46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customFormat="false" ht="91.75" hidden="false" customHeight="false" outlineLevel="0" collapsed="false">
      <c r="A9" s="6" t="s">
        <v>57</v>
      </c>
      <c r="B9" s="7" t="n">
        <v>2</v>
      </c>
      <c r="C9" s="8" t="s">
        <v>33</v>
      </c>
      <c r="D9" s="6" t="s">
        <v>58</v>
      </c>
      <c r="E9" s="6" t="s">
        <v>59</v>
      </c>
      <c r="F9" s="7" t="s">
        <v>60</v>
      </c>
      <c r="G9" s="7" t="s">
        <v>37</v>
      </c>
      <c r="H9" s="6" t="s">
        <v>38</v>
      </c>
      <c r="I9" s="6" t="s">
        <v>39</v>
      </c>
      <c r="J9" s="6" t="s">
        <v>40</v>
      </c>
      <c r="K9" s="7" t="n">
        <v>422</v>
      </c>
      <c r="L9" s="6" t="s">
        <v>61</v>
      </c>
      <c r="M9" s="6" t="s">
        <v>62</v>
      </c>
      <c r="N9" s="7" t="n">
        <v>3</v>
      </c>
      <c r="O9" s="9" t="s">
        <v>43</v>
      </c>
      <c r="P9" s="9" t="s">
        <v>63</v>
      </c>
      <c r="Q9" s="2" t="s">
        <v>45</v>
      </c>
      <c r="R9" s="2" t="s">
        <v>64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customFormat="false" ht="91.75" hidden="false" customHeight="false" outlineLevel="0" collapsed="false">
      <c r="A10" s="6" t="s">
        <v>65</v>
      </c>
      <c r="B10" s="7" t="n">
        <v>2</v>
      </c>
      <c r="C10" s="8" t="s">
        <v>33</v>
      </c>
      <c r="D10" s="6" t="s">
        <v>58</v>
      </c>
      <c r="E10" s="6" t="s">
        <v>59</v>
      </c>
      <c r="F10" s="7" t="s">
        <v>60</v>
      </c>
      <c r="G10" s="7" t="s">
        <v>37</v>
      </c>
      <c r="H10" s="6" t="s">
        <v>48</v>
      </c>
      <c r="I10" s="6" t="s">
        <v>39</v>
      </c>
      <c r="J10" s="6" t="s">
        <v>40</v>
      </c>
      <c r="K10" s="7" t="n">
        <v>422</v>
      </c>
      <c r="L10" s="6" t="s">
        <v>61</v>
      </c>
      <c r="M10" s="6" t="s">
        <v>62</v>
      </c>
      <c r="N10" s="7" t="n">
        <v>3</v>
      </c>
      <c r="O10" s="9" t="s">
        <v>43</v>
      </c>
      <c r="P10" s="9" t="s">
        <v>63</v>
      </c>
      <c r="Q10" s="2" t="s">
        <v>49</v>
      </c>
      <c r="R10" s="2" t="s">
        <v>64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customFormat="false" ht="91.75" hidden="false" customHeight="false" outlineLevel="0" collapsed="false">
      <c r="A11" s="6" t="s">
        <v>66</v>
      </c>
      <c r="B11" s="7" t="n">
        <v>2</v>
      </c>
      <c r="C11" s="8" t="s">
        <v>33</v>
      </c>
      <c r="D11" s="6" t="s">
        <v>58</v>
      </c>
      <c r="E11" s="6" t="s">
        <v>59</v>
      </c>
      <c r="F11" s="7" t="s">
        <v>60</v>
      </c>
      <c r="G11" s="7" t="s">
        <v>37</v>
      </c>
      <c r="H11" s="6" t="s">
        <v>51</v>
      </c>
      <c r="I11" s="6" t="s">
        <v>39</v>
      </c>
      <c r="J11" s="6" t="s">
        <v>52</v>
      </c>
      <c r="K11" s="7" t="n">
        <v>422</v>
      </c>
      <c r="L11" s="6" t="s">
        <v>61</v>
      </c>
      <c r="M11" s="6" t="s">
        <v>62</v>
      </c>
      <c r="N11" s="7" t="n">
        <v>3</v>
      </c>
      <c r="O11" s="9" t="s">
        <v>43</v>
      </c>
      <c r="P11" s="9" t="s">
        <v>63</v>
      </c>
      <c r="Q11" s="2" t="s">
        <v>53</v>
      </c>
      <c r="R11" s="2" t="s">
        <v>64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customFormat="false" ht="91.75" hidden="false" customHeight="false" outlineLevel="0" collapsed="false">
      <c r="A12" s="6" t="s">
        <v>67</v>
      </c>
      <c r="B12" s="7" t="n">
        <v>2</v>
      </c>
      <c r="C12" s="8" t="s">
        <v>33</v>
      </c>
      <c r="D12" s="6" t="s">
        <v>58</v>
      </c>
      <c r="E12" s="6" t="s">
        <v>59</v>
      </c>
      <c r="F12" s="7" t="s">
        <v>60</v>
      </c>
      <c r="G12" s="7" t="s">
        <v>37</v>
      </c>
      <c r="H12" s="6" t="s">
        <v>55</v>
      </c>
      <c r="I12" s="6" t="s">
        <v>39</v>
      </c>
      <c r="J12" s="6" t="s">
        <v>52</v>
      </c>
      <c r="K12" s="7" t="n">
        <v>422</v>
      </c>
      <c r="L12" s="6" t="s">
        <v>61</v>
      </c>
      <c r="M12" s="6" t="s">
        <v>62</v>
      </c>
      <c r="N12" s="7" t="n">
        <v>3</v>
      </c>
      <c r="O12" s="9" t="s">
        <v>43</v>
      </c>
      <c r="P12" s="9" t="s">
        <v>63</v>
      </c>
      <c r="Q12" s="2" t="s">
        <v>56</v>
      </c>
      <c r="R12" s="2" t="s">
        <v>64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customFormat="false" ht="48.5" hidden="false" customHeight="false" outlineLevel="0" collapsed="false">
      <c r="A13" s="6" t="s">
        <v>68</v>
      </c>
      <c r="B13" s="7" t="n">
        <v>3</v>
      </c>
      <c r="C13" s="8" t="s">
        <v>33</v>
      </c>
      <c r="D13" s="6" t="s">
        <v>58</v>
      </c>
      <c r="E13" s="6" t="s">
        <v>59</v>
      </c>
      <c r="F13" s="7" t="s">
        <v>36</v>
      </c>
      <c r="G13" s="7" t="s">
        <v>37</v>
      </c>
      <c r="H13" s="6" t="s">
        <v>38</v>
      </c>
      <c r="I13" s="6" t="s">
        <v>39</v>
      </c>
      <c r="J13" s="6" t="s">
        <v>40</v>
      </c>
      <c r="K13" s="7" t="n">
        <v>200</v>
      </c>
      <c r="L13" s="6" t="s">
        <v>41</v>
      </c>
      <c r="M13" s="6" t="s">
        <v>69</v>
      </c>
      <c r="N13" s="7" t="n">
        <v>1</v>
      </c>
      <c r="O13" s="9" t="s">
        <v>43</v>
      </c>
      <c r="P13" s="9" t="s">
        <v>70</v>
      </c>
      <c r="Q13" s="2" t="s">
        <v>45</v>
      </c>
      <c r="R13" s="2" t="s">
        <v>64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customFormat="false" ht="48.5" hidden="false" customHeight="false" outlineLevel="0" collapsed="false">
      <c r="A14" s="6" t="s">
        <v>71</v>
      </c>
      <c r="B14" s="7" t="n">
        <v>3</v>
      </c>
      <c r="C14" s="8" t="s">
        <v>33</v>
      </c>
      <c r="D14" s="6" t="s">
        <v>58</v>
      </c>
      <c r="E14" s="6" t="s">
        <v>59</v>
      </c>
      <c r="F14" s="7" t="s">
        <v>36</v>
      </c>
      <c r="G14" s="7" t="s">
        <v>37</v>
      </c>
      <c r="H14" s="6" t="s">
        <v>48</v>
      </c>
      <c r="I14" s="6" t="s">
        <v>39</v>
      </c>
      <c r="J14" s="6" t="s">
        <v>40</v>
      </c>
      <c r="K14" s="7" t="n">
        <v>200</v>
      </c>
      <c r="L14" s="6" t="s">
        <v>41</v>
      </c>
      <c r="M14" s="6" t="s">
        <v>69</v>
      </c>
      <c r="N14" s="7" t="n">
        <v>1</v>
      </c>
      <c r="O14" s="9" t="s">
        <v>43</v>
      </c>
      <c r="P14" s="9" t="s">
        <v>70</v>
      </c>
      <c r="Q14" s="2" t="s">
        <v>49</v>
      </c>
      <c r="R14" s="2" t="s">
        <v>64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customFormat="false" ht="48.5" hidden="false" customHeight="false" outlineLevel="0" collapsed="false">
      <c r="A15" s="6" t="s">
        <v>72</v>
      </c>
      <c r="B15" s="7" t="n">
        <v>3</v>
      </c>
      <c r="C15" s="8" t="s">
        <v>33</v>
      </c>
      <c r="D15" s="6" t="s">
        <v>58</v>
      </c>
      <c r="E15" s="6" t="s">
        <v>59</v>
      </c>
      <c r="F15" s="7" t="s">
        <v>36</v>
      </c>
      <c r="G15" s="7" t="s">
        <v>37</v>
      </c>
      <c r="H15" s="6" t="s">
        <v>51</v>
      </c>
      <c r="I15" s="6" t="s">
        <v>39</v>
      </c>
      <c r="J15" s="6" t="s">
        <v>52</v>
      </c>
      <c r="K15" s="7" t="n">
        <v>200</v>
      </c>
      <c r="L15" s="6" t="s">
        <v>41</v>
      </c>
      <c r="M15" s="6" t="s">
        <v>69</v>
      </c>
      <c r="N15" s="7" t="n">
        <v>1</v>
      </c>
      <c r="O15" s="9" t="s">
        <v>43</v>
      </c>
      <c r="P15" s="9" t="s">
        <v>70</v>
      </c>
      <c r="Q15" s="2" t="s">
        <v>53</v>
      </c>
      <c r="R15" s="2" t="s">
        <v>64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customFormat="false" ht="48.5" hidden="false" customHeight="false" outlineLevel="0" collapsed="false">
      <c r="A16" s="6" t="s">
        <v>73</v>
      </c>
      <c r="B16" s="7" t="n">
        <v>3</v>
      </c>
      <c r="C16" s="8" t="s">
        <v>33</v>
      </c>
      <c r="D16" s="6" t="s">
        <v>58</v>
      </c>
      <c r="E16" s="6" t="s">
        <v>59</v>
      </c>
      <c r="F16" s="7" t="s">
        <v>36</v>
      </c>
      <c r="G16" s="7" t="s">
        <v>37</v>
      </c>
      <c r="H16" s="6" t="s">
        <v>55</v>
      </c>
      <c r="I16" s="6" t="s">
        <v>39</v>
      </c>
      <c r="J16" s="6" t="s">
        <v>52</v>
      </c>
      <c r="K16" s="7" t="n">
        <v>200</v>
      </c>
      <c r="L16" s="6" t="s">
        <v>41</v>
      </c>
      <c r="M16" s="6" t="s">
        <v>69</v>
      </c>
      <c r="N16" s="7" t="n">
        <v>1</v>
      </c>
      <c r="O16" s="9" t="s">
        <v>43</v>
      </c>
      <c r="P16" s="9" t="s">
        <v>70</v>
      </c>
      <c r="Q16" s="2" t="s">
        <v>56</v>
      </c>
      <c r="R16" s="2" t="s">
        <v>64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customFormat="false" ht="48.5" hidden="false" customHeight="false" outlineLevel="0" collapsed="false">
      <c r="A17" s="6" t="s">
        <v>74</v>
      </c>
      <c r="B17" s="7" t="n">
        <v>4</v>
      </c>
      <c r="C17" s="8" t="s">
        <v>33</v>
      </c>
      <c r="D17" s="6" t="s">
        <v>75</v>
      </c>
      <c r="E17" s="6" t="s">
        <v>76</v>
      </c>
      <c r="F17" s="7" t="s">
        <v>77</v>
      </c>
      <c r="G17" s="7" t="s">
        <v>37</v>
      </c>
      <c r="H17" s="6" t="s">
        <v>38</v>
      </c>
      <c r="I17" s="6" t="s">
        <v>39</v>
      </c>
      <c r="J17" s="6" t="s">
        <v>40</v>
      </c>
      <c r="K17" s="7" t="n">
        <v>200</v>
      </c>
      <c r="L17" s="6" t="s">
        <v>41</v>
      </c>
      <c r="M17" s="6" t="s">
        <v>78</v>
      </c>
      <c r="N17" s="7" t="n">
        <v>3</v>
      </c>
      <c r="O17" s="9" t="s">
        <v>43</v>
      </c>
      <c r="P17" s="6" t="s">
        <v>79</v>
      </c>
      <c r="Q17" s="2" t="s">
        <v>45</v>
      </c>
      <c r="R17" s="2" t="s">
        <v>80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customFormat="false" ht="48.5" hidden="false" customHeight="false" outlineLevel="0" collapsed="false">
      <c r="A18" s="6" t="s">
        <v>81</v>
      </c>
      <c r="B18" s="7" t="n">
        <v>4</v>
      </c>
      <c r="C18" s="8" t="s">
        <v>33</v>
      </c>
      <c r="D18" s="6" t="s">
        <v>75</v>
      </c>
      <c r="E18" s="6" t="s">
        <v>76</v>
      </c>
      <c r="F18" s="7" t="s">
        <v>77</v>
      </c>
      <c r="G18" s="7" t="s">
        <v>37</v>
      </c>
      <c r="H18" s="6" t="s">
        <v>48</v>
      </c>
      <c r="I18" s="6" t="s">
        <v>39</v>
      </c>
      <c r="J18" s="6" t="s">
        <v>40</v>
      </c>
      <c r="K18" s="7" t="n">
        <v>200</v>
      </c>
      <c r="L18" s="6" t="s">
        <v>41</v>
      </c>
      <c r="M18" s="6" t="s">
        <v>78</v>
      </c>
      <c r="N18" s="7" t="n">
        <v>3</v>
      </c>
      <c r="O18" s="9" t="s">
        <v>43</v>
      </c>
      <c r="P18" s="6" t="s">
        <v>79</v>
      </c>
      <c r="Q18" s="2" t="s">
        <v>49</v>
      </c>
      <c r="R18" s="2" t="s">
        <v>80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customFormat="false" ht="48.5" hidden="false" customHeight="false" outlineLevel="0" collapsed="false">
      <c r="A19" s="6" t="s">
        <v>82</v>
      </c>
      <c r="B19" s="7" t="n">
        <v>4</v>
      </c>
      <c r="C19" s="8" t="s">
        <v>33</v>
      </c>
      <c r="D19" s="6" t="s">
        <v>75</v>
      </c>
      <c r="E19" s="6" t="s">
        <v>76</v>
      </c>
      <c r="F19" s="7" t="s">
        <v>77</v>
      </c>
      <c r="G19" s="7" t="s">
        <v>37</v>
      </c>
      <c r="H19" s="6" t="s">
        <v>51</v>
      </c>
      <c r="I19" s="6" t="s">
        <v>39</v>
      </c>
      <c r="J19" s="6" t="s">
        <v>52</v>
      </c>
      <c r="K19" s="7" t="n">
        <v>200</v>
      </c>
      <c r="L19" s="6" t="s">
        <v>41</v>
      </c>
      <c r="M19" s="6" t="s">
        <v>78</v>
      </c>
      <c r="N19" s="7" t="n">
        <v>3</v>
      </c>
      <c r="O19" s="9" t="s">
        <v>43</v>
      </c>
      <c r="P19" s="6" t="s">
        <v>79</v>
      </c>
      <c r="Q19" s="2" t="s">
        <v>53</v>
      </c>
      <c r="R19" s="2" t="s">
        <v>80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customFormat="false" ht="48.5" hidden="false" customHeight="false" outlineLevel="0" collapsed="false">
      <c r="A20" s="6" t="s">
        <v>83</v>
      </c>
      <c r="B20" s="7" t="n">
        <v>4</v>
      </c>
      <c r="C20" s="8" t="s">
        <v>33</v>
      </c>
      <c r="D20" s="6" t="s">
        <v>75</v>
      </c>
      <c r="E20" s="6" t="s">
        <v>76</v>
      </c>
      <c r="F20" s="7" t="s">
        <v>77</v>
      </c>
      <c r="G20" s="7" t="s">
        <v>37</v>
      </c>
      <c r="H20" s="6" t="s">
        <v>55</v>
      </c>
      <c r="I20" s="6" t="s">
        <v>39</v>
      </c>
      <c r="J20" s="6" t="s">
        <v>52</v>
      </c>
      <c r="K20" s="7" t="n">
        <v>200</v>
      </c>
      <c r="L20" s="6" t="s">
        <v>41</v>
      </c>
      <c r="M20" s="6" t="s">
        <v>78</v>
      </c>
      <c r="N20" s="7" t="n">
        <v>3</v>
      </c>
      <c r="O20" s="9" t="s">
        <v>43</v>
      </c>
      <c r="P20" s="6" t="s">
        <v>79</v>
      </c>
      <c r="Q20" s="2" t="s">
        <v>56</v>
      </c>
      <c r="R20" s="2" t="s">
        <v>80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customFormat="false" ht="48.5" hidden="false" customHeight="false" outlineLevel="0" collapsed="false">
      <c r="A21" s="6" t="s">
        <v>84</v>
      </c>
      <c r="B21" s="7" t="n">
        <v>5</v>
      </c>
      <c r="C21" s="8" t="s">
        <v>33</v>
      </c>
      <c r="D21" s="6" t="s">
        <v>85</v>
      </c>
      <c r="E21" s="6" t="s">
        <v>86</v>
      </c>
      <c r="F21" s="7" t="s">
        <v>87</v>
      </c>
      <c r="G21" s="7" t="s">
        <v>37</v>
      </c>
      <c r="H21" s="6" t="s">
        <v>38</v>
      </c>
      <c r="I21" s="6" t="s">
        <v>39</v>
      </c>
      <c r="J21" s="6" t="s">
        <v>40</v>
      </c>
      <c r="K21" s="7" t="n">
        <v>200</v>
      </c>
      <c r="L21" s="6" t="s">
        <v>41</v>
      </c>
      <c r="M21" s="6" t="s">
        <v>88</v>
      </c>
      <c r="N21" s="7" t="n">
        <v>2</v>
      </c>
      <c r="O21" s="9" t="s">
        <v>43</v>
      </c>
      <c r="P21" s="6" t="s">
        <v>89</v>
      </c>
      <c r="Q21" s="2" t="s">
        <v>45</v>
      </c>
      <c r="R21" s="2" t="s">
        <v>90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customFormat="false" ht="48.5" hidden="false" customHeight="false" outlineLevel="0" collapsed="false">
      <c r="A22" s="6" t="s">
        <v>91</v>
      </c>
      <c r="B22" s="7" t="n">
        <v>5</v>
      </c>
      <c r="C22" s="8" t="s">
        <v>33</v>
      </c>
      <c r="D22" s="6" t="s">
        <v>85</v>
      </c>
      <c r="E22" s="6" t="s">
        <v>86</v>
      </c>
      <c r="F22" s="7" t="s">
        <v>87</v>
      </c>
      <c r="G22" s="7" t="s">
        <v>37</v>
      </c>
      <c r="H22" s="6" t="s">
        <v>48</v>
      </c>
      <c r="I22" s="6" t="s">
        <v>39</v>
      </c>
      <c r="J22" s="6" t="s">
        <v>40</v>
      </c>
      <c r="K22" s="7" t="n">
        <v>200</v>
      </c>
      <c r="L22" s="6" t="s">
        <v>41</v>
      </c>
      <c r="M22" s="6" t="s">
        <v>88</v>
      </c>
      <c r="N22" s="7" t="n">
        <v>2</v>
      </c>
      <c r="O22" s="9" t="s">
        <v>43</v>
      </c>
      <c r="P22" s="6" t="s">
        <v>89</v>
      </c>
      <c r="Q22" s="2" t="s">
        <v>49</v>
      </c>
      <c r="R22" s="2" t="s">
        <v>90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customFormat="false" ht="48.5" hidden="false" customHeight="false" outlineLevel="0" collapsed="false">
      <c r="A23" s="6" t="s">
        <v>92</v>
      </c>
      <c r="B23" s="7" t="n">
        <v>5</v>
      </c>
      <c r="C23" s="8" t="s">
        <v>33</v>
      </c>
      <c r="D23" s="6" t="s">
        <v>85</v>
      </c>
      <c r="E23" s="6" t="s">
        <v>86</v>
      </c>
      <c r="F23" s="7" t="s">
        <v>87</v>
      </c>
      <c r="G23" s="7" t="s">
        <v>37</v>
      </c>
      <c r="H23" s="6" t="s">
        <v>51</v>
      </c>
      <c r="I23" s="6" t="s">
        <v>39</v>
      </c>
      <c r="J23" s="6" t="s">
        <v>52</v>
      </c>
      <c r="K23" s="7" t="n">
        <v>200</v>
      </c>
      <c r="L23" s="6" t="s">
        <v>41</v>
      </c>
      <c r="M23" s="6" t="s">
        <v>88</v>
      </c>
      <c r="N23" s="7" t="n">
        <v>2</v>
      </c>
      <c r="O23" s="9" t="s">
        <v>43</v>
      </c>
      <c r="P23" s="6" t="s">
        <v>89</v>
      </c>
      <c r="Q23" s="2" t="s">
        <v>53</v>
      </c>
      <c r="R23" s="2" t="s">
        <v>90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customFormat="false" ht="48.5" hidden="false" customHeight="false" outlineLevel="0" collapsed="false">
      <c r="A24" s="6" t="s">
        <v>93</v>
      </c>
      <c r="B24" s="7" t="n">
        <v>5</v>
      </c>
      <c r="C24" s="8" t="s">
        <v>33</v>
      </c>
      <c r="D24" s="6" t="s">
        <v>85</v>
      </c>
      <c r="E24" s="6" t="s">
        <v>86</v>
      </c>
      <c r="F24" s="7" t="s">
        <v>87</v>
      </c>
      <c r="G24" s="7" t="s">
        <v>37</v>
      </c>
      <c r="H24" s="6" t="s">
        <v>55</v>
      </c>
      <c r="I24" s="6" t="s">
        <v>39</v>
      </c>
      <c r="J24" s="6" t="s">
        <v>52</v>
      </c>
      <c r="K24" s="7" t="n">
        <v>200</v>
      </c>
      <c r="L24" s="6" t="s">
        <v>41</v>
      </c>
      <c r="M24" s="6" t="s">
        <v>88</v>
      </c>
      <c r="N24" s="7" t="n">
        <v>2</v>
      </c>
      <c r="O24" s="9" t="s">
        <v>43</v>
      </c>
      <c r="P24" s="6" t="s">
        <v>89</v>
      </c>
      <c r="Q24" s="2" t="s">
        <v>56</v>
      </c>
      <c r="R24" s="2" t="s">
        <v>90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customFormat="false" ht="48.5" hidden="false" customHeight="false" outlineLevel="0" collapsed="false">
      <c r="A25" s="6" t="s">
        <v>94</v>
      </c>
      <c r="B25" s="7" t="n">
        <v>6</v>
      </c>
      <c r="C25" s="8" t="s">
        <v>33</v>
      </c>
      <c r="D25" s="6" t="s">
        <v>95</v>
      </c>
      <c r="E25" s="6" t="s">
        <v>96</v>
      </c>
      <c r="F25" s="7" t="s">
        <v>97</v>
      </c>
      <c r="G25" s="7" t="s">
        <v>37</v>
      </c>
      <c r="H25" s="6" t="s">
        <v>38</v>
      </c>
      <c r="I25" s="6" t="s">
        <v>39</v>
      </c>
      <c r="J25" s="6" t="s">
        <v>40</v>
      </c>
      <c r="K25" s="7" t="n">
        <v>200</v>
      </c>
      <c r="L25" s="6" t="s">
        <v>41</v>
      </c>
      <c r="M25" s="6" t="s">
        <v>98</v>
      </c>
      <c r="N25" s="7" t="n">
        <v>2</v>
      </c>
      <c r="O25" s="9" t="s">
        <v>43</v>
      </c>
      <c r="P25" s="6" t="s">
        <v>99</v>
      </c>
      <c r="Q25" s="2" t="s">
        <v>45</v>
      </c>
      <c r="R25" s="2" t="s">
        <v>100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customFormat="false" ht="48.5" hidden="false" customHeight="false" outlineLevel="0" collapsed="false">
      <c r="A26" s="6" t="s">
        <v>101</v>
      </c>
      <c r="B26" s="7" t="n">
        <v>6</v>
      </c>
      <c r="C26" s="8" t="s">
        <v>33</v>
      </c>
      <c r="D26" s="6" t="s">
        <v>95</v>
      </c>
      <c r="E26" s="6" t="s">
        <v>96</v>
      </c>
      <c r="F26" s="7" t="s">
        <v>97</v>
      </c>
      <c r="G26" s="7" t="s">
        <v>37</v>
      </c>
      <c r="H26" s="6" t="s">
        <v>48</v>
      </c>
      <c r="I26" s="6" t="s">
        <v>39</v>
      </c>
      <c r="J26" s="6" t="s">
        <v>40</v>
      </c>
      <c r="K26" s="7" t="n">
        <v>200</v>
      </c>
      <c r="L26" s="6" t="s">
        <v>41</v>
      </c>
      <c r="M26" s="6" t="s">
        <v>98</v>
      </c>
      <c r="N26" s="7" t="n">
        <v>2</v>
      </c>
      <c r="O26" s="9" t="s">
        <v>43</v>
      </c>
      <c r="P26" s="6" t="s">
        <v>99</v>
      </c>
      <c r="Q26" s="2" t="s">
        <v>49</v>
      </c>
      <c r="R26" s="2" t="s">
        <v>100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customFormat="false" ht="48.5" hidden="false" customHeight="false" outlineLevel="0" collapsed="false">
      <c r="A27" s="6" t="s">
        <v>102</v>
      </c>
      <c r="B27" s="7" t="n">
        <v>6</v>
      </c>
      <c r="C27" s="8" t="s">
        <v>33</v>
      </c>
      <c r="D27" s="6" t="s">
        <v>95</v>
      </c>
      <c r="E27" s="6" t="s">
        <v>96</v>
      </c>
      <c r="F27" s="7" t="s">
        <v>97</v>
      </c>
      <c r="G27" s="7" t="s">
        <v>37</v>
      </c>
      <c r="H27" s="6" t="s">
        <v>51</v>
      </c>
      <c r="I27" s="6" t="s">
        <v>39</v>
      </c>
      <c r="J27" s="6" t="s">
        <v>52</v>
      </c>
      <c r="K27" s="7" t="n">
        <v>200</v>
      </c>
      <c r="L27" s="6" t="s">
        <v>41</v>
      </c>
      <c r="M27" s="6" t="s">
        <v>98</v>
      </c>
      <c r="N27" s="7" t="n">
        <v>2</v>
      </c>
      <c r="O27" s="9" t="s">
        <v>43</v>
      </c>
      <c r="P27" s="6" t="s">
        <v>99</v>
      </c>
      <c r="Q27" s="2" t="s">
        <v>53</v>
      </c>
      <c r="R27" s="2" t="s">
        <v>100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customFormat="false" ht="48.5" hidden="false" customHeight="false" outlineLevel="0" collapsed="false">
      <c r="A28" s="6" t="s">
        <v>103</v>
      </c>
      <c r="B28" s="7" t="n">
        <v>6</v>
      </c>
      <c r="C28" s="8" t="s">
        <v>33</v>
      </c>
      <c r="D28" s="6" t="s">
        <v>95</v>
      </c>
      <c r="E28" s="6" t="s">
        <v>96</v>
      </c>
      <c r="F28" s="7" t="s">
        <v>97</v>
      </c>
      <c r="G28" s="7" t="s">
        <v>37</v>
      </c>
      <c r="H28" s="6" t="s">
        <v>55</v>
      </c>
      <c r="I28" s="6" t="s">
        <v>39</v>
      </c>
      <c r="J28" s="6" t="s">
        <v>52</v>
      </c>
      <c r="K28" s="7" t="n">
        <v>200</v>
      </c>
      <c r="L28" s="6" t="s">
        <v>41</v>
      </c>
      <c r="M28" s="6" t="s">
        <v>98</v>
      </c>
      <c r="N28" s="7" t="n">
        <v>2</v>
      </c>
      <c r="O28" s="9" t="s">
        <v>43</v>
      </c>
      <c r="P28" s="6" t="s">
        <v>99</v>
      </c>
      <c r="Q28" s="2" t="s">
        <v>56</v>
      </c>
      <c r="R28" s="2" t="s">
        <v>100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customFormat="false" ht="48.5" hidden="false" customHeight="false" outlineLevel="0" collapsed="false">
      <c r="A29" s="6" t="s">
        <v>104</v>
      </c>
      <c r="B29" s="7" t="n">
        <v>7</v>
      </c>
      <c r="C29" s="8" t="s">
        <v>33</v>
      </c>
      <c r="D29" s="6" t="s">
        <v>105</v>
      </c>
      <c r="E29" s="6" t="s">
        <v>106</v>
      </c>
      <c r="F29" s="7" t="s">
        <v>107</v>
      </c>
      <c r="G29" s="7" t="s">
        <v>37</v>
      </c>
      <c r="H29" s="6" t="s">
        <v>38</v>
      </c>
      <c r="I29" s="6" t="s">
        <v>39</v>
      </c>
      <c r="J29" s="6" t="s">
        <v>40</v>
      </c>
      <c r="K29" s="7" t="n">
        <v>200</v>
      </c>
      <c r="L29" s="6" t="s">
        <v>41</v>
      </c>
      <c r="M29" s="6" t="s">
        <v>108</v>
      </c>
      <c r="N29" s="7" t="n">
        <v>2</v>
      </c>
      <c r="O29" s="9" t="s">
        <v>43</v>
      </c>
      <c r="P29" s="6" t="s">
        <v>109</v>
      </c>
      <c r="Q29" s="2" t="s">
        <v>45</v>
      </c>
      <c r="R29" s="2" t="s">
        <v>110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customFormat="false" ht="48.5" hidden="false" customHeight="false" outlineLevel="0" collapsed="false">
      <c r="A30" s="6" t="s">
        <v>111</v>
      </c>
      <c r="B30" s="7" t="n">
        <v>7</v>
      </c>
      <c r="C30" s="8" t="s">
        <v>33</v>
      </c>
      <c r="D30" s="6" t="s">
        <v>105</v>
      </c>
      <c r="E30" s="6" t="s">
        <v>106</v>
      </c>
      <c r="F30" s="7" t="s">
        <v>107</v>
      </c>
      <c r="G30" s="7" t="s">
        <v>37</v>
      </c>
      <c r="H30" s="6" t="s">
        <v>48</v>
      </c>
      <c r="I30" s="6" t="s">
        <v>39</v>
      </c>
      <c r="J30" s="6" t="s">
        <v>40</v>
      </c>
      <c r="K30" s="7" t="n">
        <v>200</v>
      </c>
      <c r="L30" s="6" t="s">
        <v>41</v>
      </c>
      <c r="M30" s="6" t="s">
        <v>108</v>
      </c>
      <c r="N30" s="7" t="n">
        <v>2</v>
      </c>
      <c r="O30" s="9" t="s">
        <v>43</v>
      </c>
      <c r="P30" s="6" t="s">
        <v>109</v>
      </c>
      <c r="Q30" s="2" t="s">
        <v>49</v>
      </c>
      <c r="R30" s="2" t="s">
        <v>110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customFormat="false" ht="48.5" hidden="false" customHeight="false" outlineLevel="0" collapsed="false">
      <c r="A31" s="6" t="s">
        <v>112</v>
      </c>
      <c r="B31" s="7" t="n">
        <v>7</v>
      </c>
      <c r="C31" s="8" t="s">
        <v>33</v>
      </c>
      <c r="D31" s="6" t="s">
        <v>105</v>
      </c>
      <c r="E31" s="6" t="s">
        <v>106</v>
      </c>
      <c r="F31" s="7" t="s">
        <v>107</v>
      </c>
      <c r="G31" s="7" t="s">
        <v>37</v>
      </c>
      <c r="H31" s="6" t="s">
        <v>51</v>
      </c>
      <c r="I31" s="6" t="s">
        <v>39</v>
      </c>
      <c r="J31" s="6" t="s">
        <v>52</v>
      </c>
      <c r="K31" s="7" t="n">
        <v>200</v>
      </c>
      <c r="L31" s="6" t="s">
        <v>41</v>
      </c>
      <c r="M31" s="6" t="s">
        <v>108</v>
      </c>
      <c r="N31" s="7" t="n">
        <v>2</v>
      </c>
      <c r="O31" s="9" t="s">
        <v>43</v>
      </c>
      <c r="P31" s="6" t="s">
        <v>109</v>
      </c>
      <c r="Q31" s="2" t="s">
        <v>53</v>
      </c>
      <c r="R31" s="2" t="s">
        <v>110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customFormat="false" ht="48.5" hidden="false" customHeight="false" outlineLevel="0" collapsed="false">
      <c r="A32" s="6" t="s">
        <v>113</v>
      </c>
      <c r="B32" s="7" t="n">
        <v>7</v>
      </c>
      <c r="C32" s="8" t="s">
        <v>33</v>
      </c>
      <c r="D32" s="6" t="s">
        <v>105</v>
      </c>
      <c r="E32" s="6" t="s">
        <v>106</v>
      </c>
      <c r="F32" s="7" t="s">
        <v>107</v>
      </c>
      <c r="G32" s="7" t="s">
        <v>37</v>
      </c>
      <c r="H32" s="6" t="s">
        <v>55</v>
      </c>
      <c r="I32" s="6" t="s">
        <v>39</v>
      </c>
      <c r="J32" s="6" t="s">
        <v>52</v>
      </c>
      <c r="K32" s="7" t="n">
        <v>200</v>
      </c>
      <c r="L32" s="6" t="s">
        <v>41</v>
      </c>
      <c r="M32" s="6" t="s">
        <v>108</v>
      </c>
      <c r="N32" s="7" t="n">
        <v>2</v>
      </c>
      <c r="O32" s="9" t="s">
        <v>43</v>
      </c>
      <c r="P32" s="6" t="s">
        <v>109</v>
      </c>
      <c r="Q32" s="2" t="s">
        <v>56</v>
      </c>
      <c r="R32" s="2" t="s">
        <v>110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customFormat="false" ht="48.5" hidden="false" customHeight="false" outlineLevel="0" collapsed="false">
      <c r="A33" s="6" t="s">
        <v>114</v>
      </c>
      <c r="B33" s="7" t="n">
        <v>8</v>
      </c>
      <c r="C33" s="8" t="s">
        <v>33</v>
      </c>
      <c r="D33" s="6" t="s">
        <v>115</v>
      </c>
      <c r="E33" s="6" t="s">
        <v>116</v>
      </c>
      <c r="F33" s="7" t="s">
        <v>117</v>
      </c>
      <c r="G33" s="7" t="s">
        <v>37</v>
      </c>
      <c r="H33" s="6" t="s">
        <v>38</v>
      </c>
      <c r="I33" s="6" t="s">
        <v>39</v>
      </c>
      <c r="J33" s="6" t="s">
        <v>40</v>
      </c>
      <c r="K33" s="7" t="n">
        <v>200</v>
      </c>
      <c r="L33" s="6" t="s">
        <v>41</v>
      </c>
      <c r="M33" s="6" t="s">
        <v>118</v>
      </c>
      <c r="N33" s="7" t="n">
        <v>2</v>
      </c>
      <c r="O33" s="9" t="s">
        <v>43</v>
      </c>
      <c r="P33" s="6" t="s">
        <v>119</v>
      </c>
      <c r="Q33" s="2" t="s">
        <v>45</v>
      </c>
      <c r="R33" s="2" t="s">
        <v>120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customFormat="false" ht="48.5" hidden="false" customHeight="false" outlineLevel="0" collapsed="false">
      <c r="A34" s="6" t="s">
        <v>121</v>
      </c>
      <c r="B34" s="7" t="n">
        <v>8</v>
      </c>
      <c r="C34" s="8" t="s">
        <v>33</v>
      </c>
      <c r="D34" s="6" t="s">
        <v>115</v>
      </c>
      <c r="E34" s="6" t="s">
        <v>116</v>
      </c>
      <c r="F34" s="7" t="s">
        <v>117</v>
      </c>
      <c r="G34" s="7" t="s">
        <v>37</v>
      </c>
      <c r="H34" s="6" t="s">
        <v>48</v>
      </c>
      <c r="I34" s="6" t="s">
        <v>39</v>
      </c>
      <c r="J34" s="6" t="s">
        <v>40</v>
      </c>
      <c r="K34" s="7" t="n">
        <v>200</v>
      </c>
      <c r="L34" s="6" t="s">
        <v>41</v>
      </c>
      <c r="M34" s="6" t="s">
        <v>118</v>
      </c>
      <c r="N34" s="7" t="n">
        <v>2</v>
      </c>
      <c r="O34" s="9" t="s">
        <v>43</v>
      </c>
      <c r="P34" s="6" t="s">
        <v>119</v>
      </c>
      <c r="Q34" s="2" t="s">
        <v>49</v>
      </c>
      <c r="R34" s="2" t="s">
        <v>120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customFormat="false" ht="48.5" hidden="false" customHeight="false" outlineLevel="0" collapsed="false">
      <c r="A35" s="6" t="s">
        <v>122</v>
      </c>
      <c r="B35" s="7" t="n">
        <v>8</v>
      </c>
      <c r="C35" s="8" t="s">
        <v>33</v>
      </c>
      <c r="D35" s="6" t="s">
        <v>115</v>
      </c>
      <c r="E35" s="6" t="s">
        <v>116</v>
      </c>
      <c r="F35" s="7" t="s">
        <v>117</v>
      </c>
      <c r="G35" s="7" t="s">
        <v>37</v>
      </c>
      <c r="H35" s="6" t="s">
        <v>51</v>
      </c>
      <c r="I35" s="6" t="s">
        <v>39</v>
      </c>
      <c r="J35" s="6" t="s">
        <v>52</v>
      </c>
      <c r="K35" s="7" t="n">
        <v>200</v>
      </c>
      <c r="L35" s="6" t="s">
        <v>41</v>
      </c>
      <c r="M35" s="6" t="s">
        <v>118</v>
      </c>
      <c r="N35" s="7" t="n">
        <v>2</v>
      </c>
      <c r="O35" s="9" t="s">
        <v>43</v>
      </c>
      <c r="P35" s="6" t="s">
        <v>119</v>
      </c>
      <c r="Q35" s="2" t="s">
        <v>53</v>
      </c>
      <c r="R35" s="2" t="s">
        <v>120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customFormat="false" ht="48.5" hidden="false" customHeight="false" outlineLevel="0" collapsed="false">
      <c r="A36" s="6" t="s">
        <v>123</v>
      </c>
      <c r="B36" s="7" t="n">
        <v>8</v>
      </c>
      <c r="C36" s="8" t="s">
        <v>33</v>
      </c>
      <c r="D36" s="6" t="s">
        <v>115</v>
      </c>
      <c r="E36" s="6" t="s">
        <v>116</v>
      </c>
      <c r="F36" s="7" t="s">
        <v>117</v>
      </c>
      <c r="G36" s="7" t="s">
        <v>37</v>
      </c>
      <c r="H36" s="6" t="s">
        <v>55</v>
      </c>
      <c r="I36" s="6" t="s">
        <v>39</v>
      </c>
      <c r="J36" s="6" t="s">
        <v>52</v>
      </c>
      <c r="K36" s="7" t="n">
        <v>200</v>
      </c>
      <c r="L36" s="6" t="s">
        <v>41</v>
      </c>
      <c r="M36" s="6" t="s">
        <v>118</v>
      </c>
      <c r="N36" s="7" t="n">
        <v>2</v>
      </c>
      <c r="O36" s="9" t="s">
        <v>43</v>
      </c>
      <c r="P36" s="6" t="s">
        <v>119</v>
      </c>
      <c r="Q36" s="2" t="s">
        <v>56</v>
      </c>
      <c r="R36" s="2" t="s">
        <v>120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customFormat="false" ht="48.5" hidden="false" customHeight="false" outlineLevel="0" collapsed="false">
      <c r="A37" s="6" t="s">
        <v>124</v>
      </c>
      <c r="B37" s="7" t="n">
        <v>9</v>
      </c>
      <c r="C37" s="8" t="s">
        <v>33</v>
      </c>
      <c r="D37" s="6" t="s">
        <v>125</v>
      </c>
      <c r="E37" s="6" t="s">
        <v>126</v>
      </c>
      <c r="F37" s="7" t="s">
        <v>127</v>
      </c>
      <c r="G37" s="7" t="s">
        <v>37</v>
      </c>
      <c r="H37" s="6" t="s">
        <v>38</v>
      </c>
      <c r="I37" s="6" t="s">
        <v>39</v>
      </c>
      <c r="J37" s="6" t="s">
        <v>40</v>
      </c>
      <c r="K37" s="7" t="n">
        <v>200</v>
      </c>
      <c r="L37" s="6" t="s">
        <v>41</v>
      </c>
      <c r="M37" s="6" t="s">
        <v>128</v>
      </c>
      <c r="N37" s="7" t="n">
        <v>2</v>
      </c>
      <c r="O37" s="9" t="s">
        <v>43</v>
      </c>
      <c r="P37" s="6" t="s">
        <v>129</v>
      </c>
      <c r="Q37" s="2" t="s">
        <v>45</v>
      </c>
      <c r="R37" s="2" t="s">
        <v>130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customFormat="false" ht="48.5" hidden="false" customHeight="false" outlineLevel="0" collapsed="false">
      <c r="A38" s="6" t="s">
        <v>131</v>
      </c>
      <c r="B38" s="7" t="n">
        <v>9</v>
      </c>
      <c r="C38" s="8" t="s">
        <v>33</v>
      </c>
      <c r="D38" s="6" t="s">
        <v>125</v>
      </c>
      <c r="E38" s="6" t="s">
        <v>126</v>
      </c>
      <c r="F38" s="7" t="s">
        <v>127</v>
      </c>
      <c r="G38" s="7" t="s">
        <v>37</v>
      </c>
      <c r="H38" s="6" t="s">
        <v>48</v>
      </c>
      <c r="I38" s="6" t="s">
        <v>39</v>
      </c>
      <c r="J38" s="6" t="s">
        <v>40</v>
      </c>
      <c r="K38" s="7" t="n">
        <v>200</v>
      </c>
      <c r="L38" s="6" t="s">
        <v>41</v>
      </c>
      <c r="M38" s="6" t="s">
        <v>128</v>
      </c>
      <c r="N38" s="7" t="n">
        <v>2</v>
      </c>
      <c r="O38" s="9" t="s">
        <v>43</v>
      </c>
      <c r="P38" s="6" t="s">
        <v>129</v>
      </c>
      <c r="Q38" s="2" t="s">
        <v>49</v>
      </c>
      <c r="R38" s="2" t="s">
        <v>130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customFormat="false" ht="48.5" hidden="false" customHeight="false" outlineLevel="0" collapsed="false">
      <c r="A39" s="6" t="s">
        <v>132</v>
      </c>
      <c r="B39" s="7" t="n">
        <v>9</v>
      </c>
      <c r="C39" s="8" t="s">
        <v>33</v>
      </c>
      <c r="D39" s="6" t="s">
        <v>125</v>
      </c>
      <c r="E39" s="6" t="s">
        <v>126</v>
      </c>
      <c r="F39" s="7" t="s">
        <v>127</v>
      </c>
      <c r="G39" s="7" t="s">
        <v>37</v>
      </c>
      <c r="H39" s="6" t="s">
        <v>51</v>
      </c>
      <c r="I39" s="6" t="s">
        <v>39</v>
      </c>
      <c r="J39" s="6" t="s">
        <v>52</v>
      </c>
      <c r="K39" s="7" t="n">
        <v>200</v>
      </c>
      <c r="L39" s="6" t="s">
        <v>41</v>
      </c>
      <c r="M39" s="6" t="s">
        <v>128</v>
      </c>
      <c r="N39" s="7" t="n">
        <v>2</v>
      </c>
      <c r="O39" s="9" t="s">
        <v>43</v>
      </c>
      <c r="P39" s="6" t="s">
        <v>129</v>
      </c>
      <c r="Q39" s="2" t="s">
        <v>53</v>
      </c>
      <c r="R39" s="2" t="s">
        <v>130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customFormat="false" ht="48.5" hidden="false" customHeight="false" outlineLevel="0" collapsed="false">
      <c r="A40" s="6" t="s">
        <v>133</v>
      </c>
      <c r="B40" s="7" t="n">
        <v>9</v>
      </c>
      <c r="C40" s="8" t="s">
        <v>33</v>
      </c>
      <c r="D40" s="6" t="s">
        <v>125</v>
      </c>
      <c r="E40" s="6" t="s">
        <v>126</v>
      </c>
      <c r="F40" s="7" t="s">
        <v>127</v>
      </c>
      <c r="G40" s="7" t="s">
        <v>37</v>
      </c>
      <c r="H40" s="6" t="s">
        <v>55</v>
      </c>
      <c r="I40" s="6" t="s">
        <v>39</v>
      </c>
      <c r="J40" s="6" t="s">
        <v>52</v>
      </c>
      <c r="K40" s="7" t="n">
        <v>200</v>
      </c>
      <c r="L40" s="6" t="s">
        <v>41</v>
      </c>
      <c r="M40" s="6" t="s">
        <v>128</v>
      </c>
      <c r="N40" s="7" t="n">
        <v>2</v>
      </c>
      <c r="O40" s="9" t="s">
        <v>43</v>
      </c>
      <c r="P40" s="6" t="s">
        <v>129</v>
      </c>
      <c r="Q40" s="2" t="s">
        <v>56</v>
      </c>
      <c r="R40" s="2" t="s">
        <v>130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customFormat="false" ht="48.5" hidden="false" customHeight="false" outlineLevel="0" collapsed="false">
      <c r="A41" s="6" t="s">
        <v>134</v>
      </c>
      <c r="B41" s="7" t="n">
        <v>10</v>
      </c>
      <c r="C41" s="8" t="s">
        <v>33</v>
      </c>
      <c r="D41" s="6" t="s">
        <v>125</v>
      </c>
      <c r="E41" s="6" t="s">
        <v>126</v>
      </c>
      <c r="F41" s="7" t="s">
        <v>36</v>
      </c>
      <c r="G41" s="7" t="s">
        <v>37</v>
      </c>
      <c r="H41" s="6" t="s">
        <v>38</v>
      </c>
      <c r="I41" s="6" t="s">
        <v>39</v>
      </c>
      <c r="J41" s="6" t="s">
        <v>40</v>
      </c>
      <c r="K41" s="7" t="n">
        <v>200</v>
      </c>
      <c r="L41" s="6" t="s">
        <v>41</v>
      </c>
      <c r="M41" s="6" t="s">
        <v>135</v>
      </c>
      <c r="N41" s="7" t="n">
        <v>1</v>
      </c>
      <c r="O41" s="9" t="s">
        <v>43</v>
      </c>
      <c r="P41" s="9" t="s">
        <v>70</v>
      </c>
      <c r="Q41" s="2" t="s">
        <v>45</v>
      </c>
      <c r="R41" s="2" t="s">
        <v>130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customFormat="false" ht="48.5" hidden="false" customHeight="false" outlineLevel="0" collapsed="false">
      <c r="A42" s="6" t="s">
        <v>136</v>
      </c>
      <c r="B42" s="7" t="n">
        <v>10</v>
      </c>
      <c r="C42" s="8" t="s">
        <v>33</v>
      </c>
      <c r="D42" s="6" t="s">
        <v>125</v>
      </c>
      <c r="E42" s="6" t="s">
        <v>126</v>
      </c>
      <c r="F42" s="7" t="s">
        <v>36</v>
      </c>
      <c r="G42" s="7" t="s">
        <v>37</v>
      </c>
      <c r="H42" s="6" t="s">
        <v>48</v>
      </c>
      <c r="I42" s="6" t="s">
        <v>39</v>
      </c>
      <c r="J42" s="6" t="s">
        <v>40</v>
      </c>
      <c r="K42" s="7" t="n">
        <v>200</v>
      </c>
      <c r="L42" s="6" t="s">
        <v>41</v>
      </c>
      <c r="M42" s="6" t="s">
        <v>135</v>
      </c>
      <c r="N42" s="7" t="n">
        <v>1</v>
      </c>
      <c r="O42" s="9" t="s">
        <v>43</v>
      </c>
      <c r="P42" s="9" t="s">
        <v>70</v>
      </c>
      <c r="Q42" s="2" t="s">
        <v>49</v>
      </c>
      <c r="R42" s="2" t="s">
        <v>130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customFormat="false" ht="48.5" hidden="false" customHeight="false" outlineLevel="0" collapsed="false">
      <c r="A43" s="6" t="s">
        <v>137</v>
      </c>
      <c r="B43" s="7" t="n">
        <v>10</v>
      </c>
      <c r="C43" s="8" t="s">
        <v>33</v>
      </c>
      <c r="D43" s="6" t="s">
        <v>125</v>
      </c>
      <c r="E43" s="6" t="s">
        <v>126</v>
      </c>
      <c r="F43" s="7" t="s">
        <v>36</v>
      </c>
      <c r="G43" s="7" t="s">
        <v>37</v>
      </c>
      <c r="H43" s="6" t="s">
        <v>51</v>
      </c>
      <c r="I43" s="6" t="s">
        <v>39</v>
      </c>
      <c r="J43" s="6" t="s">
        <v>52</v>
      </c>
      <c r="K43" s="7" t="n">
        <v>200</v>
      </c>
      <c r="L43" s="6" t="s">
        <v>41</v>
      </c>
      <c r="M43" s="6" t="s">
        <v>135</v>
      </c>
      <c r="N43" s="7" t="n">
        <v>1</v>
      </c>
      <c r="O43" s="9" t="s">
        <v>43</v>
      </c>
      <c r="P43" s="9" t="s">
        <v>70</v>
      </c>
      <c r="Q43" s="2" t="s">
        <v>53</v>
      </c>
      <c r="R43" s="2" t="s">
        <v>130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customFormat="false" ht="48.5" hidden="false" customHeight="false" outlineLevel="0" collapsed="false">
      <c r="A44" s="6" t="s">
        <v>138</v>
      </c>
      <c r="B44" s="7" t="n">
        <v>10</v>
      </c>
      <c r="C44" s="8" t="s">
        <v>33</v>
      </c>
      <c r="D44" s="6" t="s">
        <v>125</v>
      </c>
      <c r="E44" s="6" t="s">
        <v>126</v>
      </c>
      <c r="F44" s="7" t="s">
        <v>36</v>
      </c>
      <c r="G44" s="7" t="s">
        <v>37</v>
      </c>
      <c r="H44" s="6" t="s">
        <v>55</v>
      </c>
      <c r="I44" s="6" t="s">
        <v>39</v>
      </c>
      <c r="J44" s="6" t="s">
        <v>52</v>
      </c>
      <c r="K44" s="7" t="n">
        <v>200</v>
      </c>
      <c r="L44" s="6" t="s">
        <v>41</v>
      </c>
      <c r="M44" s="6" t="s">
        <v>135</v>
      </c>
      <c r="N44" s="7" t="n">
        <v>1</v>
      </c>
      <c r="O44" s="9" t="s">
        <v>43</v>
      </c>
      <c r="P44" s="9" t="s">
        <v>70</v>
      </c>
      <c r="Q44" s="2" t="s">
        <v>56</v>
      </c>
      <c r="R44" s="2" t="s">
        <v>130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customFormat="false" ht="48.5" hidden="false" customHeight="false" outlineLevel="0" collapsed="false">
      <c r="A45" s="6" t="s">
        <v>139</v>
      </c>
      <c r="B45" s="7" t="n">
        <v>11</v>
      </c>
      <c r="C45" s="8" t="s">
        <v>33</v>
      </c>
      <c r="D45" s="6" t="s">
        <v>140</v>
      </c>
      <c r="E45" s="6" t="s">
        <v>141</v>
      </c>
      <c r="F45" s="7" t="s">
        <v>142</v>
      </c>
      <c r="G45" s="7" t="s">
        <v>37</v>
      </c>
      <c r="H45" s="6" t="s">
        <v>38</v>
      </c>
      <c r="I45" s="6" t="s">
        <v>39</v>
      </c>
      <c r="J45" s="6" t="s">
        <v>40</v>
      </c>
      <c r="K45" s="7" t="n">
        <v>200</v>
      </c>
      <c r="L45" s="6" t="s">
        <v>41</v>
      </c>
      <c r="M45" s="6" t="s">
        <v>143</v>
      </c>
      <c r="N45" s="7" t="n">
        <v>2</v>
      </c>
      <c r="O45" s="9" t="s">
        <v>43</v>
      </c>
      <c r="P45" s="6" t="s">
        <v>144</v>
      </c>
      <c r="Q45" s="2" t="s">
        <v>45</v>
      </c>
      <c r="R45" s="2" t="s">
        <v>145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customFormat="false" ht="48.5" hidden="false" customHeight="false" outlineLevel="0" collapsed="false">
      <c r="A46" s="6" t="s">
        <v>146</v>
      </c>
      <c r="B46" s="7" t="n">
        <v>11</v>
      </c>
      <c r="C46" s="8" t="s">
        <v>33</v>
      </c>
      <c r="D46" s="6" t="s">
        <v>140</v>
      </c>
      <c r="E46" s="6" t="s">
        <v>141</v>
      </c>
      <c r="F46" s="7" t="s">
        <v>142</v>
      </c>
      <c r="G46" s="7" t="s">
        <v>37</v>
      </c>
      <c r="H46" s="6" t="s">
        <v>48</v>
      </c>
      <c r="I46" s="6" t="s">
        <v>39</v>
      </c>
      <c r="J46" s="6" t="s">
        <v>40</v>
      </c>
      <c r="K46" s="7" t="n">
        <v>200</v>
      </c>
      <c r="L46" s="6" t="s">
        <v>41</v>
      </c>
      <c r="M46" s="6" t="s">
        <v>143</v>
      </c>
      <c r="N46" s="7" t="n">
        <v>2</v>
      </c>
      <c r="O46" s="9" t="s">
        <v>43</v>
      </c>
      <c r="P46" s="6" t="s">
        <v>144</v>
      </c>
      <c r="Q46" s="2" t="s">
        <v>49</v>
      </c>
      <c r="R46" s="2" t="s">
        <v>145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customFormat="false" ht="48.5" hidden="false" customHeight="false" outlineLevel="0" collapsed="false">
      <c r="A47" s="6" t="s">
        <v>147</v>
      </c>
      <c r="B47" s="7" t="n">
        <v>11</v>
      </c>
      <c r="C47" s="8" t="s">
        <v>33</v>
      </c>
      <c r="D47" s="6" t="s">
        <v>140</v>
      </c>
      <c r="E47" s="6" t="s">
        <v>141</v>
      </c>
      <c r="F47" s="7" t="s">
        <v>142</v>
      </c>
      <c r="G47" s="7" t="s">
        <v>37</v>
      </c>
      <c r="H47" s="6" t="s">
        <v>51</v>
      </c>
      <c r="I47" s="6" t="s">
        <v>39</v>
      </c>
      <c r="J47" s="6" t="s">
        <v>52</v>
      </c>
      <c r="K47" s="7" t="n">
        <v>200</v>
      </c>
      <c r="L47" s="6" t="s">
        <v>41</v>
      </c>
      <c r="M47" s="6" t="s">
        <v>143</v>
      </c>
      <c r="N47" s="7" t="n">
        <v>2</v>
      </c>
      <c r="O47" s="9" t="s">
        <v>43</v>
      </c>
      <c r="P47" s="6" t="s">
        <v>144</v>
      </c>
      <c r="Q47" s="2" t="s">
        <v>53</v>
      </c>
      <c r="R47" s="2" t="s">
        <v>145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customFormat="false" ht="48.5" hidden="false" customHeight="false" outlineLevel="0" collapsed="false">
      <c r="A48" s="6" t="s">
        <v>148</v>
      </c>
      <c r="B48" s="7" t="n">
        <v>11</v>
      </c>
      <c r="C48" s="8" t="s">
        <v>33</v>
      </c>
      <c r="D48" s="6" t="s">
        <v>140</v>
      </c>
      <c r="E48" s="6" t="s">
        <v>141</v>
      </c>
      <c r="F48" s="7" t="s">
        <v>142</v>
      </c>
      <c r="G48" s="7" t="s">
        <v>37</v>
      </c>
      <c r="H48" s="6" t="s">
        <v>55</v>
      </c>
      <c r="I48" s="6" t="s">
        <v>39</v>
      </c>
      <c r="J48" s="6" t="s">
        <v>52</v>
      </c>
      <c r="K48" s="7" t="n">
        <v>200</v>
      </c>
      <c r="L48" s="6" t="s">
        <v>41</v>
      </c>
      <c r="M48" s="6" t="s">
        <v>143</v>
      </c>
      <c r="N48" s="7" t="n">
        <v>2</v>
      </c>
      <c r="O48" s="9" t="s">
        <v>43</v>
      </c>
      <c r="P48" s="6" t="s">
        <v>144</v>
      </c>
      <c r="Q48" s="2" t="s">
        <v>56</v>
      </c>
      <c r="R48" s="2" t="s">
        <v>145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customFormat="false" ht="48.5" hidden="false" customHeight="false" outlineLevel="0" collapsed="false">
      <c r="A49" s="6" t="s">
        <v>149</v>
      </c>
      <c r="B49" s="7" t="n">
        <v>12</v>
      </c>
      <c r="C49" s="8" t="s">
        <v>33</v>
      </c>
      <c r="D49" s="6" t="s">
        <v>150</v>
      </c>
      <c r="E49" s="6" t="s">
        <v>151</v>
      </c>
      <c r="F49" s="7" t="s">
        <v>152</v>
      </c>
      <c r="G49" s="7" t="s">
        <v>37</v>
      </c>
      <c r="H49" s="6" t="s">
        <v>38</v>
      </c>
      <c r="I49" s="6" t="s">
        <v>39</v>
      </c>
      <c r="J49" s="6" t="s">
        <v>40</v>
      </c>
      <c r="K49" s="7" t="n">
        <v>200</v>
      </c>
      <c r="L49" s="6" t="s">
        <v>41</v>
      </c>
      <c r="M49" s="6" t="s">
        <v>153</v>
      </c>
      <c r="N49" s="7" t="n">
        <v>2</v>
      </c>
      <c r="O49" s="9" t="s">
        <v>43</v>
      </c>
      <c r="P49" s="6" t="s">
        <v>154</v>
      </c>
      <c r="Q49" s="2" t="s">
        <v>45</v>
      </c>
      <c r="R49" s="2" t="s">
        <v>155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customFormat="false" ht="48.5" hidden="false" customHeight="false" outlineLevel="0" collapsed="false">
      <c r="A50" s="6" t="s">
        <v>156</v>
      </c>
      <c r="B50" s="7" t="n">
        <v>12</v>
      </c>
      <c r="C50" s="8" t="s">
        <v>33</v>
      </c>
      <c r="D50" s="6" t="s">
        <v>150</v>
      </c>
      <c r="E50" s="6" t="s">
        <v>151</v>
      </c>
      <c r="F50" s="7" t="s">
        <v>152</v>
      </c>
      <c r="G50" s="7" t="s">
        <v>37</v>
      </c>
      <c r="H50" s="6" t="s">
        <v>48</v>
      </c>
      <c r="I50" s="6" t="s">
        <v>39</v>
      </c>
      <c r="J50" s="6" t="s">
        <v>40</v>
      </c>
      <c r="K50" s="7" t="n">
        <v>200</v>
      </c>
      <c r="L50" s="6" t="s">
        <v>41</v>
      </c>
      <c r="M50" s="6" t="s">
        <v>153</v>
      </c>
      <c r="N50" s="7" t="n">
        <v>2</v>
      </c>
      <c r="O50" s="9" t="s">
        <v>43</v>
      </c>
      <c r="P50" s="6" t="s">
        <v>154</v>
      </c>
      <c r="Q50" s="2" t="s">
        <v>49</v>
      </c>
      <c r="R50" s="2" t="s">
        <v>155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customFormat="false" ht="48.5" hidden="false" customHeight="false" outlineLevel="0" collapsed="false">
      <c r="A51" s="6" t="s">
        <v>157</v>
      </c>
      <c r="B51" s="7" t="n">
        <v>12</v>
      </c>
      <c r="C51" s="8" t="s">
        <v>33</v>
      </c>
      <c r="D51" s="6" t="s">
        <v>150</v>
      </c>
      <c r="E51" s="6" t="s">
        <v>151</v>
      </c>
      <c r="F51" s="7" t="s">
        <v>152</v>
      </c>
      <c r="G51" s="7" t="s">
        <v>37</v>
      </c>
      <c r="H51" s="6" t="s">
        <v>51</v>
      </c>
      <c r="I51" s="6" t="s">
        <v>39</v>
      </c>
      <c r="J51" s="6" t="s">
        <v>52</v>
      </c>
      <c r="K51" s="7" t="n">
        <v>200</v>
      </c>
      <c r="L51" s="6" t="s">
        <v>41</v>
      </c>
      <c r="M51" s="6" t="s">
        <v>153</v>
      </c>
      <c r="N51" s="7" t="n">
        <v>2</v>
      </c>
      <c r="O51" s="9" t="s">
        <v>43</v>
      </c>
      <c r="P51" s="6" t="s">
        <v>154</v>
      </c>
      <c r="Q51" s="2" t="s">
        <v>53</v>
      </c>
      <c r="R51" s="2" t="s">
        <v>155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customFormat="false" ht="48.5" hidden="false" customHeight="false" outlineLevel="0" collapsed="false">
      <c r="A52" s="6" t="s">
        <v>158</v>
      </c>
      <c r="B52" s="7" t="n">
        <v>12</v>
      </c>
      <c r="C52" s="8" t="s">
        <v>33</v>
      </c>
      <c r="D52" s="6" t="s">
        <v>150</v>
      </c>
      <c r="E52" s="6" t="s">
        <v>151</v>
      </c>
      <c r="F52" s="7" t="s">
        <v>152</v>
      </c>
      <c r="G52" s="7" t="s">
        <v>37</v>
      </c>
      <c r="H52" s="6" t="s">
        <v>55</v>
      </c>
      <c r="I52" s="6" t="s">
        <v>39</v>
      </c>
      <c r="J52" s="6" t="s">
        <v>52</v>
      </c>
      <c r="K52" s="7" t="n">
        <v>200</v>
      </c>
      <c r="L52" s="6" t="s">
        <v>41</v>
      </c>
      <c r="M52" s="6" t="s">
        <v>153</v>
      </c>
      <c r="N52" s="7" t="n">
        <v>2</v>
      </c>
      <c r="O52" s="9" t="s">
        <v>43</v>
      </c>
      <c r="P52" s="6" t="s">
        <v>154</v>
      </c>
      <c r="Q52" s="2" t="s">
        <v>56</v>
      </c>
      <c r="R52" s="2" t="s">
        <v>155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customFormat="false" ht="52.5" hidden="false" customHeight="true" outlineLevel="0" collapsed="false">
      <c r="A53" s="6"/>
      <c r="B53" s="7"/>
      <c r="C53" s="10"/>
      <c r="D53" s="6"/>
      <c r="E53" s="6"/>
      <c r="F53" s="7"/>
      <c r="G53" s="7"/>
      <c r="H53" s="6"/>
      <c r="I53" s="6"/>
      <c r="J53" s="6"/>
      <c r="K53" s="7"/>
      <c r="L53" s="6"/>
      <c r="M53" s="6"/>
      <c r="N53" s="7"/>
      <c r="O53" s="6"/>
      <c r="P53" s="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customFormat="false" ht="52.5" hidden="false" customHeight="true" outlineLevel="0" collapsed="false">
      <c r="A54" s="6"/>
      <c r="B54" s="7"/>
      <c r="C54" s="10"/>
      <c r="D54" s="6"/>
      <c r="E54" s="6"/>
      <c r="F54" s="7"/>
      <c r="G54" s="7"/>
      <c r="H54" s="6"/>
      <c r="I54" s="6"/>
      <c r="J54" s="6"/>
      <c r="K54" s="7"/>
      <c r="L54" s="6"/>
      <c r="M54" s="6"/>
      <c r="N54" s="7"/>
      <c r="O54" s="6"/>
      <c r="P54" s="6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customFormat="false" ht="52.5" hidden="false" customHeight="true" outlineLevel="0" collapsed="false">
      <c r="A55" s="6"/>
      <c r="B55" s="7"/>
      <c r="C55" s="10"/>
      <c r="D55" s="6"/>
      <c r="E55" s="6"/>
      <c r="F55" s="7"/>
      <c r="G55" s="7"/>
      <c r="H55" s="6"/>
      <c r="I55" s="6"/>
      <c r="J55" s="6"/>
      <c r="K55" s="7"/>
      <c r="L55" s="6"/>
      <c r="M55" s="6"/>
      <c r="N55" s="7"/>
      <c r="O55" s="6"/>
      <c r="P55" s="6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customFormat="false" ht="52.5" hidden="false" customHeight="true" outlineLevel="0" collapsed="false">
      <c r="A56" s="6"/>
      <c r="B56" s="7"/>
      <c r="C56" s="10"/>
      <c r="D56" s="6"/>
      <c r="E56" s="6"/>
      <c r="F56" s="7"/>
      <c r="G56" s="7"/>
      <c r="H56" s="6"/>
      <c r="I56" s="6"/>
      <c r="J56" s="6"/>
      <c r="K56" s="7"/>
      <c r="L56" s="6"/>
      <c r="M56" s="6"/>
      <c r="N56" s="7"/>
      <c r="O56" s="6"/>
      <c r="P56" s="6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customFormat="false" ht="52.5" hidden="false" customHeight="true" outlineLevel="0" collapsed="false">
      <c r="A57" s="6"/>
      <c r="B57" s="7"/>
      <c r="C57" s="10"/>
      <c r="D57" s="6"/>
      <c r="E57" s="6"/>
      <c r="F57" s="7"/>
      <c r="G57" s="7"/>
      <c r="H57" s="6"/>
      <c r="I57" s="6"/>
      <c r="J57" s="6"/>
      <c r="K57" s="7"/>
      <c r="L57" s="6"/>
      <c r="M57" s="6"/>
      <c r="N57" s="7"/>
      <c r="O57" s="6"/>
      <c r="P57" s="6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customFormat="false" ht="66" hidden="false" customHeight="true" outlineLevel="0" collapsed="false">
      <c r="A58" s="6"/>
      <c r="B58" s="11"/>
      <c r="C58" s="10"/>
      <c r="D58" s="6"/>
      <c r="E58" s="6"/>
      <c r="F58" s="7"/>
      <c r="G58" s="7"/>
      <c r="H58" s="6"/>
      <c r="I58" s="6"/>
      <c r="J58" s="6"/>
      <c r="K58" s="7"/>
      <c r="L58" s="6"/>
      <c r="M58" s="6"/>
      <c r="N58" s="7"/>
      <c r="O58" s="6"/>
      <c r="P58" s="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customFormat="false" ht="66" hidden="false" customHeight="true" outlineLevel="0" collapsed="false">
      <c r="A59" s="6"/>
      <c r="B59" s="11"/>
      <c r="C59" s="10"/>
      <c r="D59" s="6"/>
      <c r="E59" s="6"/>
      <c r="F59" s="7"/>
      <c r="G59" s="7"/>
      <c r="H59" s="6"/>
      <c r="I59" s="6"/>
      <c r="J59" s="6"/>
      <c r="K59" s="7"/>
      <c r="L59" s="6"/>
      <c r="M59" s="6"/>
      <c r="N59" s="7"/>
      <c r="O59" s="6"/>
      <c r="P59" s="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customFormat="false" ht="52.5" hidden="false" customHeight="true" outlineLevel="0" collapsed="false">
      <c r="A60" s="6"/>
      <c r="B60" s="7"/>
      <c r="C60" s="10"/>
      <c r="D60" s="6"/>
      <c r="E60" s="6"/>
      <c r="F60" s="7"/>
      <c r="G60" s="7"/>
      <c r="H60" s="6"/>
      <c r="I60" s="6"/>
      <c r="J60" s="6"/>
      <c r="K60" s="7"/>
      <c r="L60" s="6"/>
      <c r="M60" s="6"/>
      <c r="N60" s="7"/>
      <c r="O60" s="6"/>
      <c r="P60" s="6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customFormat="false" ht="14.2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customFormat="false" ht="14.25" hidden="false" customHeight="false" outlineLevel="0" collapsed="false">
      <c r="A62" s="12" t="s">
        <v>159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customFormat="false" ht="14.25" hidden="false" customHeight="false" outlineLevel="0" collapsed="false">
      <c r="A63" s="13" t="s">
        <v>160</v>
      </c>
      <c r="B63" s="14" t="n">
        <v>48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customFormat="false" ht="14.25" hidden="false" customHeight="false" outlineLevel="0" collapsed="false">
      <c r="A64" s="15" t="s">
        <v>33</v>
      </c>
      <c r="B64" s="14" t="n">
        <v>48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customFormat="false" ht="14.25" hidden="false" customHeight="false" outlineLevel="0" collapsed="false">
      <c r="A65" s="15" t="s">
        <v>161</v>
      </c>
      <c r="B65" s="14" t="n"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customFormat="false" ht="17.15" hidden="false" customHeight="false" outlineLevel="0" collapsed="false">
      <c r="A66" s="13" t="s">
        <v>162</v>
      </c>
      <c r="B66" s="14" t="n">
        <v>44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customFormat="false" ht="17.15" hidden="false" customHeight="false" outlineLevel="0" collapsed="false">
      <c r="A67" s="13" t="s">
        <v>163</v>
      </c>
      <c r="B67" s="14" t="n">
        <v>4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customFormat="false" ht="17.15" hidden="false" customHeight="false" outlineLevel="0" collapsed="false">
      <c r="A68" s="13" t="s">
        <v>164</v>
      </c>
      <c r="B68" s="14" t="n"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customFormat="false" ht="17.15" hidden="false" customHeight="false" outlineLevel="0" collapsed="false">
      <c r="A69" s="15" t="s">
        <v>165</v>
      </c>
      <c r="B69" s="16" t="n"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customFormat="false" ht="14.2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customFormat="false" ht="17.15" hidden="false" customHeight="false" outlineLevel="0" collapsed="false">
      <c r="A71" s="3" t="s">
        <v>166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</sheetData>
  <autoFilter ref="A4:AD52">
    <sortState ref="A5:AD52">
      <sortCondition ref="A5:A52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28.00390625" defaultRowHeight="13.5" zeroHeight="false" outlineLevelRow="0" outlineLevelCol="0"/>
  <cols>
    <col collapsed="false" customWidth="true" hidden="false" outlineLevel="0" max="1" min="1" style="17" width="14"/>
    <col collapsed="false" customWidth="true" hidden="false" outlineLevel="0" max="2" min="2" style="17" width="38"/>
    <col collapsed="false" customWidth="true" hidden="false" outlineLevel="0" max="3" min="3" style="17" width="6"/>
    <col collapsed="false" customWidth="true" hidden="false" outlineLevel="0" max="4" min="4" style="17" width="12"/>
    <col collapsed="false" customWidth="true" hidden="false" outlineLevel="0" max="5" min="5" style="17" width="9"/>
    <col collapsed="false" customWidth="true" hidden="false" outlineLevel="0" max="7" min="6" style="17" width="8"/>
    <col collapsed="false" customWidth="true" hidden="false" outlineLevel="0" max="9" min="8" style="17" width="14"/>
    <col collapsed="false" customWidth="true" hidden="false" outlineLevel="0" max="10" min="10" style="17" width="40"/>
    <col collapsed="false" customWidth="false" hidden="false" outlineLevel="0" max="11" min="11" style="17" width="28"/>
    <col collapsed="false" customWidth="true" hidden="false" outlineLevel="0" max="12" min="12" style="17" width="15"/>
    <col collapsed="false" customWidth="true" hidden="false" outlineLevel="0" max="13" min="13" style="17" width="21"/>
    <col collapsed="false" customWidth="true" hidden="false" outlineLevel="0" max="14" min="14" style="17" width="13"/>
    <col collapsed="false" customWidth="true" hidden="false" outlineLevel="0" max="15" min="15" style="17" width="30"/>
    <col collapsed="false" customWidth="true" hidden="false" outlineLevel="0" max="16" min="16" style="17" width="34"/>
    <col collapsed="false" customWidth="true" hidden="false" outlineLevel="0" max="18" min="17" style="17" width="14"/>
    <col collapsed="false" customWidth="true" hidden="false" outlineLevel="0" max="19" min="19" style="17" width="16"/>
    <col collapsed="false" customWidth="true" hidden="false" outlineLevel="0" max="20" min="20" style="17" width="14"/>
    <col collapsed="false" customWidth="true" hidden="false" outlineLevel="0" max="21" min="21" style="17" width="32"/>
    <col collapsed="false" customWidth="true" hidden="false" outlineLevel="0" max="22" min="22" style="17" width="22"/>
    <col collapsed="false" customWidth="true" hidden="false" outlineLevel="0" max="23" min="23" style="17" width="52"/>
    <col collapsed="false" customWidth="false" hidden="false" outlineLevel="0" max="16384" min="24" style="17" width="28"/>
  </cols>
  <sheetData>
    <row r="1" customFormat="false" ht="17.15" hidden="false" customHeight="false" outlineLevel="0" collapsed="false">
      <c r="A1" s="18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7.15" hidden="false" customHeight="false" outlineLevel="0" collapsed="false">
      <c r="A2" s="3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3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27" hidden="false" customHeight="true" outlineLevel="0" collapsed="false">
      <c r="A4" s="5" t="s">
        <v>169</v>
      </c>
      <c r="B4" s="5" t="s">
        <v>170</v>
      </c>
      <c r="C4" s="4" t="s">
        <v>171</v>
      </c>
      <c r="D4" s="5" t="s">
        <v>5</v>
      </c>
      <c r="E4" s="5" t="s">
        <v>7</v>
      </c>
      <c r="F4" s="5" t="s">
        <v>8</v>
      </c>
      <c r="G4" s="5" t="s">
        <v>172</v>
      </c>
      <c r="H4" s="5" t="s">
        <v>173</v>
      </c>
      <c r="I4" s="4" t="s">
        <v>174</v>
      </c>
      <c r="J4" s="5" t="s">
        <v>175</v>
      </c>
      <c r="K4" s="5" t="s">
        <v>176</v>
      </c>
      <c r="L4" s="5" t="s">
        <v>177</v>
      </c>
      <c r="M4" s="5" t="s">
        <v>178</v>
      </c>
      <c r="N4" s="5" t="s">
        <v>179</v>
      </c>
      <c r="O4" s="5" t="s">
        <v>180</v>
      </c>
      <c r="P4" s="4" t="s">
        <v>181</v>
      </c>
      <c r="Q4" s="5" t="s">
        <v>182</v>
      </c>
      <c r="R4" s="5" t="s">
        <v>183</v>
      </c>
      <c r="S4" s="5" t="s">
        <v>184</v>
      </c>
      <c r="T4" s="5" t="s">
        <v>185</v>
      </c>
      <c r="U4" s="5" t="s">
        <v>186</v>
      </c>
      <c r="V4" s="5" t="s">
        <v>187</v>
      </c>
      <c r="W4" s="5" t="s">
        <v>188</v>
      </c>
      <c r="X4" s="2" t="s">
        <v>11</v>
      </c>
      <c r="Y4" s="2" t="s">
        <v>189</v>
      </c>
    </row>
    <row r="5" customFormat="false" ht="41.25" hidden="false" customHeight="true" outlineLevel="0" collapsed="false">
      <c r="A5" s="6" t="s">
        <v>42</v>
      </c>
      <c r="B5" s="6" t="s">
        <v>190</v>
      </c>
      <c r="C5" s="7" t="n">
        <v>44</v>
      </c>
      <c r="D5" s="6" t="s">
        <v>34</v>
      </c>
      <c r="E5" s="7" t="s">
        <v>36</v>
      </c>
      <c r="F5" s="7" t="s">
        <v>37</v>
      </c>
      <c r="G5" s="7" t="n">
        <v>10</v>
      </c>
      <c r="H5" s="6" t="s">
        <v>191</v>
      </c>
      <c r="I5" s="8" t="s">
        <v>192</v>
      </c>
      <c r="J5" s="6" t="s">
        <v>193</v>
      </c>
      <c r="K5" s="6" t="s">
        <v>194</v>
      </c>
      <c r="L5" s="7" t="s">
        <v>195</v>
      </c>
      <c r="M5" s="6" t="s">
        <v>196</v>
      </c>
      <c r="N5" s="7" t="s">
        <v>197</v>
      </c>
      <c r="O5" s="6" t="s">
        <v>198</v>
      </c>
      <c r="P5" s="6" t="s">
        <v>199</v>
      </c>
      <c r="Q5" s="6" t="s">
        <v>34</v>
      </c>
      <c r="R5" s="6" t="s">
        <v>34</v>
      </c>
      <c r="S5" s="6" t="s">
        <v>34</v>
      </c>
      <c r="T5" s="6" t="s">
        <v>34</v>
      </c>
      <c r="U5" s="6" t="s">
        <v>200</v>
      </c>
      <c r="V5" s="6" t="s">
        <v>201</v>
      </c>
      <c r="W5" s="6" t="s">
        <v>202</v>
      </c>
      <c r="X5" s="2" t="s">
        <v>203</v>
      </c>
      <c r="Y5" s="2" t="s">
        <v>204</v>
      </c>
    </row>
    <row r="6" customFormat="false" ht="41.25" hidden="false" customHeight="true" outlineLevel="0" collapsed="false">
      <c r="A6" s="6" t="s">
        <v>205</v>
      </c>
      <c r="B6" s="6" t="s">
        <v>206</v>
      </c>
      <c r="C6" s="7" t="n">
        <v>39</v>
      </c>
      <c r="D6" s="6" t="s">
        <v>34</v>
      </c>
      <c r="E6" s="7" t="s">
        <v>36</v>
      </c>
      <c r="F6" s="7" t="s">
        <v>37</v>
      </c>
      <c r="G6" s="7" t="n">
        <v>20</v>
      </c>
      <c r="H6" s="6" t="s">
        <v>207</v>
      </c>
      <c r="I6" s="19" t="s">
        <v>208</v>
      </c>
      <c r="J6" s="6" t="s">
        <v>193</v>
      </c>
      <c r="K6" s="6" t="s">
        <v>209</v>
      </c>
      <c r="L6" s="7" t="s">
        <v>210</v>
      </c>
      <c r="M6" s="6" t="s">
        <v>211</v>
      </c>
      <c r="N6" s="7" t="s">
        <v>212</v>
      </c>
      <c r="O6" s="6" t="s">
        <v>213</v>
      </c>
      <c r="P6" s="6" t="s">
        <v>214</v>
      </c>
      <c r="Q6" s="6" t="s">
        <v>105</v>
      </c>
      <c r="R6" s="6" t="s">
        <v>105</v>
      </c>
      <c r="S6" s="6" t="s">
        <v>105</v>
      </c>
      <c r="T6" s="6" t="s">
        <v>34</v>
      </c>
      <c r="U6" s="6" t="s">
        <v>200</v>
      </c>
      <c r="V6" s="6" t="s">
        <v>201</v>
      </c>
      <c r="W6" s="6" t="s">
        <v>215</v>
      </c>
      <c r="X6" s="2" t="s">
        <v>203</v>
      </c>
      <c r="Y6" s="2" t="s">
        <v>204</v>
      </c>
    </row>
    <row r="7" customFormat="false" ht="41.25" hidden="false" customHeight="true" outlineLevel="0" collapsed="false">
      <c r="A7" s="6" t="s">
        <v>216</v>
      </c>
      <c r="B7" s="6" t="s">
        <v>217</v>
      </c>
      <c r="C7" s="7" t="n">
        <v>44</v>
      </c>
      <c r="D7" s="6" t="s">
        <v>58</v>
      </c>
      <c r="E7" s="7" t="s">
        <v>60</v>
      </c>
      <c r="F7" s="7" t="s">
        <v>37</v>
      </c>
      <c r="G7" s="7" t="n">
        <v>10</v>
      </c>
      <c r="H7" s="6" t="s">
        <v>191</v>
      </c>
      <c r="I7" s="20" t="s">
        <v>218</v>
      </c>
      <c r="J7" s="6" t="s">
        <v>219</v>
      </c>
      <c r="K7" s="6" t="s">
        <v>220</v>
      </c>
      <c r="L7" s="7" t="s">
        <v>221</v>
      </c>
      <c r="M7" s="6" t="s">
        <v>222</v>
      </c>
      <c r="N7" s="7" t="s">
        <v>223</v>
      </c>
      <c r="O7" s="6" t="s">
        <v>224</v>
      </c>
      <c r="P7" s="6" t="s">
        <v>225</v>
      </c>
      <c r="Q7" s="6" t="s">
        <v>58</v>
      </c>
      <c r="R7" s="6" t="s">
        <v>58</v>
      </c>
      <c r="S7" s="6" t="s">
        <v>58</v>
      </c>
      <c r="T7" s="6" t="s">
        <v>58</v>
      </c>
      <c r="U7" s="6" t="s">
        <v>200</v>
      </c>
      <c r="V7" s="6" t="s">
        <v>201</v>
      </c>
      <c r="W7" s="6" t="s">
        <v>226</v>
      </c>
      <c r="X7" s="2" t="s">
        <v>203</v>
      </c>
      <c r="Y7" s="2" t="s">
        <v>204</v>
      </c>
    </row>
    <row r="8" customFormat="false" ht="27" hidden="false" customHeight="true" outlineLevel="0" collapsed="false">
      <c r="A8" s="6" t="s">
        <v>227</v>
      </c>
      <c r="B8" s="6" t="s">
        <v>228</v>
      </c>
      <c r="C8" s="7" t="n">
        <v>39</v>
      </c>
      <c r="D8" s="6" t="s">
        <v>58</v>
      </c>
      <c r="E8" s="7" t="s">
        <v>60</v>
      </c>
      <c r="F8" s="7" t="s">
        <v>37</v>
      </c>
      <c r="G8" s="7" t="n">
        <v>10</v>
      </c>
      <c r="H8" s="6" t="s">
        <v>191</v>
      </c>
      <c r="I8" s="20" t="s">
        <v>218</v>
      </c>
      <c r="J8" s="6" t="s">
        <v>229</v>
      </c>
      <c r="K8" s="6" t="s">
        <v>220</v>
      </c>
      <c r="L8" s="7" t="s">
        <v>221</v>
      </c>
      <c r="M8" s="6" t="s">
        <v>222</v>
      </c>
      <c r="N8" s="7" t="s">
        <v>223</v>
      </c>
      <c r="O8" s="6" t="s">
        <v>230</v>
      </c>
      <c r="P8" s="6" t="s">
        <v>231</v>
      </c>
      <c r="Q8" s="6" t="s">
        <v>58</v>
      </c>
      <c r="R8" s="6" t="s">
        <v>58</v>
      </c>
      <c r="S8" s="6" t="s">
        <v>58</v>
      </c>
      <c r="T8" s="6" t="s">
        <v>58</v>
      </c>
      <c r="U8" s="6" t="s">
        <v>232</v>
      </c>
      <c r="V8" s="6" t="s">
        <v>201</v>
      </c>
      <c r="W8" s="6" t="s">
        <v>233</v>
      </c>
      <c r="X8" s="2" t="s">
        <v>203</v>
      </c>
      <c r="Y8" s="2" t="s">
        <v>204</v>
      </c>
    </row>
    <row r="9" customFormat="false" ht="41.25" hidden="false" customHeight="true" outlineLevel="0" collapsed="false">
      <c r="A9" s="6" t="s">
        <v>234</v>
      </c>
      <c r="B9" s="6" t="s">
        <v>235</v>
      </c>
      <c r="C9" s="7" t="n">
        <v>44</v>
      </c>
      <c r="D9" s="6" t="s">
        <v>58</v>
      </c>
      <c r="E9" s="7" t="s">
        <v>60</v>
      </c>
      <c r="F9" s="7" t="s">
        <v>37</v>
      </c>
      <c r="G9" s="7" t="n">
        <v>20</v>
      </c>
      <c r="H9" s="6" t="s">
        <v>207</v>
      </c>
      <c r="I9" s="21" t="s">
        <v>236</v>
      </c>
      <c r="J9" s="6" t="s">
        <v>219</v>
      </c>
      <c r="K9" s="6" t="s">
        <v>237</v>
      </c>
      <c r="L9" s="7" t="s">
        <v>221</v>
      </c>
      <c r="M9" s="6" t="s">
        <v>222</v>
      </c>
      <c r="N9" s="7" t="s">
        <v>223</v>
      </c>
      <c r="O9" s="6" t="s">
        <v>238</v>
      </c>
      <c r="P9" s="6" t="s">
        <v>239</v>
      </c>
      <c r="Q9" s="6" t="s">
        <v>140</v>
      </c>
      <c r="R9" s="6" t="s">
        <v>140</v>
      </c>
      <c r="S9" s="6" t="s">
        <v>140</v>
      </c>
      <c r="T9" s="6" t="s">
        <v>58</v>
      </c>
      <c r="U9" s="6" t="s">
        <v>200</v>
      </c>
      <c r="V9" s="6" t="s">
        <v>201</v>
      </c>
      <c r="W9" s="6" t="s">
        <v>240</v>
      </c>
      <c r="X9" s="2" t="s">
        <v>203</v>
      </c>
      <c r="Y9" s="2" t="s">
        <v>204</v>
      </c>
    </row>
    <row r="10" customFormat="false" ht="27" hidden="false" customHeight="true" outlineLevel="0" collapsed="false">
      <c r="A10" s="6" t="s">
        <v>69</v>
      </c>
      <c r="B10" s="6" t="s">
        <v>241</v>
      </c>
      <c r="C10" s="7" t="n">
        <v>19</v>
      </c>
      <c r="D10" s="6" t="s">
        <v>58</v>
      </c>
      <c r="E10" s="7" t="s">
        <v>36</v>
      </c>
      <c r="F10" s="7" t="s">
        <v>37</v>
      </c>
      <c r="G10" s="7" t="n">
        <v>10</v>
      </c>
      <c r="H10" s="6" t="s">
        <v>191</v>
      </c>
      <c r="I10" s="8" t="s">
        <v>192</v>
      </c>
      <c r="J10" s="6" t="s">
        <v>242</v>
      </c>
      <c r="K10" s="6" t="s">
        <v>243</v>
      </c>
      <c r="L10" s="7" t="s">
        <v>195</v>
      </c>
      <c r="M10" s="6" t="s">
        <v>196</v>
      </c>
      <c r="N10" s="7" t="s">
        <v>197</v>
      </c>
      <c r="O10" s="6" t="s">
        <v>244</v>
      </c>
      <c r="P10" s="6" t="s">
        <v>245</v>
      </c>
      <c r="Q10" s="6" t="s">
        <v>34</v>
      </c>
      <c r="R10" s="6" t="s">
        <v>34</v>
      </c>
      <c r="S10" s="6" t="s">
        <v>34</v>
      </c>
      <c r="T10" s="6" t="s">
        <v>58</v>
      </c>
      <c r="U10" s="6" t="s">
        <v>246</v>
      </c>
      <c r="V10" s="6" t="s">
        <v>201</v>
      </c>
      <c r="W10" s="6" t="s">
        <v>247</v>
      </c>
      <c r="X10" s="2" t="s">
        <v>203</v>
      </c>
      <c r="Y10" s="2" t="s">
        <v>204</v>
      </c>
    </row>
    <row r="11" customFormat="false" ht="27" hidden="false" customHeight="true" outlineLevel="0" collapsed="false">
      <c r="A11" s="6" t="s">
        <v>78</v>
      </c>
      <c r="B11" s="6" t="s">
        <v>248</v>
      </c>
      <c r="C11" s="7" t="n">
        <v>39</v>
      </c>
      <c r="D11" s="6" t="s">
        <v>75</v>
      </c>
      <c r="E11" s="7" t="s">
        <v>77</v>
      </c>
      <c r="F11" s="7" t="s">
        <v>37</v>
      </c>
      <c r="G11" s="7" t="n">
        <v>10</v>
      </c>
      <c r="H11" s="6" t="s">
        <v>191</v>
      </c>
      <c r="I11" s="8" t="s">
        <v>192</v>
      </c>
      <c r="J11" s="6" t="s">
        <v>249</v>
      </c>
      <c r="K11" s="6" t="s">
        <v>250</v>
      </c>
      <c r="L11" s="7" t="s">
        <v>251</v>
      </c>
      <c r="M11" s="6" t="s">
        <v>252</v>
      </c>
      <c r="N11" s="7" t="s">
        <v>253</v>
      </c>
      <c r="O11" s="6" t="s">
        <v>254</v>
      </c>
      <c r="P11" s="6" t="s">
        <v>255</v>
      </c>
      <c r="Q11" s="6" t="s">
        <v>75</v>
      </c>
      <c r="R11" s="6" t="s">
        <v>75</v>
      </c>
      <c r="S11" s="6" t="s">
        <v>75</v>
      </c>
      <c r="T11" s="6" t="s">
        <v>75</v>
      </c>
      <c r="U11" s="6" t="s">
        <v>200</v>
      </c>
      <c r="V11" s="6" t="s">
        <v>201</v>
      </c>
      <c r="W11" s="6" t="s">
        <v>256</v>
      </c>
      <c r="X11" s="2" t="s">
        <v>203</v>
      </c>
      <c r="Y11" s="2" t="s">
        <v>204</v>
      </c>
    </row>
    <row r="12" customFormat="false" ht="27" hidden="false" customHeight="true" outlineLevel="0" collapsed="false">
      <c r="A12" s="6" t="s">
        <v>257</v>
      </c>
      <c r="B12" s="6" t="s">
        <v>258</v>
      </c>
      <c r="C12" s="7" t="n">
        <v>39</v>
      </c>
      <c r="D12" s="6" t="s">
        <v>75</v>
      </c>
      <c r="E12" s="7" t="s">
        <v>77</v>
      </c>
      <c r="F12" s="7" t="s">
        <v>37</v>
      </c>
      <c r="G12" s="7" t="n">
        <v>20</v>
      </c>
      <c r="H12" s="6" t="s">
        <v>207</v>
      </c>
      <c r="I12" s="19" t="s">
        <v>208</v>
      </c>
      <c r="J12" s="6" t="s">
        <v>249</v>
      </c>
      <c r="K12" s="6" t="s">
        <v>259</v>
      </c>
      <c r="L12" s="7" t="s">
        <v>210</v>
      </c>
      <c r="M12" s="6" t="s">
        <v>260</v>
      </c>
      <c r="N12" s="7" t="s">
        <v>261</v>
      </c>
      <c r="O12" s="6" t="s">
        <v>262</v>
      </c>
      <c r="P12" s="6" t="s">
        <v>263</v>
      </c>
      <c r="Q12" s="6" t="s">
        <v>105</v>
      </c>
      <c r="R12" s="6" t="s">
        <v>105</v>
      </c>
      <c r="S12" s="6" t="s">
        <v>105</v>
      </c>
      <c r="T12" s="6" t="s">
        <v>75</v>
      </c>
      <c r="U12" s="6" t="s">
        <v>200</v>
      </c>
      <c r="V12" s="6" t="s">
        <v>201</v>
      </c>
      <c r="W12" s="6" t="s">
        <v>264</v>
      </c>
      <c r="X12" s="2" t="s">
        <v>203</v>
      </c>
      <c r="Y12" s="2" t="s">
        <v>204</v>
      </c>
    </row>
    <row r="13" customFormat="false" ht="27" hidden="false" customHeight="true" outlineLevel="0" collapsed="false">
      <c r="A13" s="6" t="s">
        <v>265</v>
      </c>
      <c r="B13" s="6" t="s">
        <v>266</v>
      </c>
      <c r="C13" s="7" t="n">
        <v>14</v>
      </c>
      <c r="D13" s="6" t="s">
        <v>75</v>
      </c>
      <c r="E13" s="7" t="s">
        <v>77</v>
      </c>
      <c r="F13" s="7" t="s">
        <v>37</v>
      </c>
      <c r="G13" s="7" t="n">
        <v>20</v>
      </c>
      <c r="H13" s="6" t="s">
        <v>207</v>
      </c>
      <c r="I13" s="19" t="s">
        <v>208</v>
      </c>
      <c r="J13" s="6" t="s">
        <v>267</v>
      </c>
      <c r="K13" s="6" t="s">
        <v>268</v>
      </c>
      <c r="L13" s="7" t="s">
        <v>251</v>
      </c>
      <c r="M13" s="6" t="s">
        <v>252</v>
      </c>
      <c r="N13" s="7" t="s">
        <v>269</v>
      </c>
      <c r="O13" s="6" t="s">
        <v>270</v>
      </c>
      <c r="P13" s="6" t="s">
        <v>271</v>
      </c>
      <c r="Q13" s="6" t="s">
        <v>75</v>
      </c>
      <c r="R13" s="6" t="s">
        <v>75</v>
      </c>
      <c r="S13" s="6" t="s">
        <v>75</v>
      </c>
      <c r="T13" s="6" t="s">
        <v>75</v>
      </c>
      <c r="U13" s="6" t="s">
        <v>246</v>
      </c>
      <c r="V13" s="6" t="s">
        <v>201</v>
      </c>
      <c r="W13" s="6" t="s">
        <v>272</v>
      </c>
      <c r="X13" s="2" t="s">
        <v>203</v>
      </c>
      <c r="Y13" s="2" t="s">
        <v>204</v>
      </c>
    </row>
    <row r="14" customFormat="false" ht="41.25" hidden="false" customHeight="true" outlineLevel="0" collapsed="false">
      <c r="A14" s="6" t="s">
        <v>88</v>
      </c>
      <c r="B14" s="6" t="s">
        <v>273</v>
      </c>
      <c r="C14" s="7" t="n">
        <v>44</v>
      </c>
      <c r="D14" s="6" t="s">
        <v>85</v>
      </c>
      <c r="E14" s="7" t="s">
        <v>87</v>
      </c>
      <c r="F14" s="7" t="s">
        <v>37</v>
      </c>
      <c r="G14" s="7" t="n">
        <v>10</v>
      </c>
      <c r="H14" s="6" t="s">
        <v>191</v>
      </c>
      <c r="I14" s="8" t="s">
        <v>192</v>
      </c>
      <c r="J14" s="6" t="s">
        <v>274</v>
      </c>
      <c r="K14" s="6" t="s">
        <v>275</v>
      </c>
      <c r="L14" s="7" t="s">
        <v>276</v>
      </c>
      <c r="M14" s="6" t="s">
        <v>277</v>
      </c>
      <c r="N14" s="7" t="s">
        <v>278</v>
      </c>
      <c r="O14" s="6" t="s">
        <v>279</v>
      </c>
      <c r="P14" s="6" t="s">
        <v>280</v>
      </c>
      <c r="Q14" s="6" t="s">
        <v>85</v>
      </c>
      <c r="R14" s="6" t="s">
        <v>85</v>
      </c>
      <c r="S14" s="6" t="s">
        <v>85</v>
      </c>
      <c r="T14" s="6" t="s">
        <v>85</v>
      </c>
      <c r="U14" s="6" t="s">
        <v>200</v>
      </c>
      <c r="V14" s="6" t="s">
        <v>201</v>
      </c>
      <c r="W14" s="6" t="s">
        <v>281</v>
      </c>
      <c r="X14" s="2" t="s">
        <v>203</v>
      </c>
      <c r="Y14" s="2" t="s">
        <v>204</v>
      </c>
    </row>
    <row r="15" customFormat="false" ht="41.25" hidden="false" customHeight="true" outlineLevel="0" collapsed="false">
      <c r="A15" s="6" t="s">
        <v>282</v>
      </c>
      <c r="B15" s="6" t="s">
        <v>283</v>
      </c>
      <c r="C15" s="7" t="n">
        <v>44</v>
      </c>
      <c r="D15" s="6" t="s">
        <v>85</v>
      </c>
      <c r="E15" s="7" t="s">
        <v>87</v>
      </c>
      <c r="F15" s="7" t="s">
        <v>37</v>
      </c>
      <c r="G15" s="7" t="n">
        <v>20</v>
      </c>
      <c r="H15" s="6" t="s">
        <v>207</v>
      </c>
      <c r="I15" s="19" t="s">
        <v>208</v>
      </c>
      <c r="J15" s="6" t="s">
        <v>274</v>
      </c>
      <c r="K15" s="6" t="s">
        <v>284</v>
      </c>
      <c r="L15" s="7" t="s">
        <v>276</v>
      </c>
      <c r="M15" s="6" t="s">
        <v>277</v>
      </c>
      <c r="N15" s="7" t="s">
        <v>278</v>
      </c>
      <c r="O15" s="6" t="s">
        <v>285</v>
      </c>
      <c r="P15" s="6" t="s">
        <v>286</v>
      </c>
      <c r="Q15" s="6" t="s">
        <v>287</v>
      </c>
      <c r="R15" s="6" t="s">
        <v>287</v>
      </c>
      <c r="S15" s="6" t="s">
        <v>287</v>
      </c>
      <c r="T15" s="6" t="s">
        <v>85</v>
      </c>
      <c r="U15" s="6" t="s">
        <v>200</v>
      </c>
      <c r="V15" s="6" t="s">
        <v>201</v>
      </c>
      <c r="W15" s="6" t="s">
        <v>288</v>
      </c>
      <c r="X15" s="2" t="s">
        <v>203</v>
      </c>
      <c r="Y15" s="2" t="s">
        <v>204</v>
      </c>
    </row>
    <row r="16" customFormat="false" ht="27" hidden="false" customHeight="true" outlineLevel="0" collapsed="false">
      <c r="A16" s="6" t="s">
        <v>98</v>
      </c>
      <c r="B16" s="6" t="s">
        <v>289</v>
      </c>
      <c r="C16" s="7" t="n">
        <v>39</v>
      </c>
      <c r="D16" s="6" t="s">
        <v>95</v>
      </c>
      <c r="E16" s="7" t="s">
        <v>97</v>
      </c>
      <c r="F16" s="7" t="s">
        <v>37</v>
      </c>
      <c r="G16" s="7" t="n">
        <v>10</v>
      </c>
      <c r="H16" s="6" t="s">
        <v>191</v>
      </c>
      <c r="I16" s="8" t="s">
        <v>192</v>
      </c>
      <c r="J16" s="6" t="s">
        <v>290</v>
      </c>
      <c r="K16" s="6" t="s">
        <v>291</v>
      </c>
      <c r="L16" s="7" t="s">
        <v>292</v>
      </c>
      <c r="M16" s="6" t="s">
        <v>293</v>
      </c>
      <c r="N16" s="7" t="s">
        <v>294</v>
      </c>
      <c r="O16" s="6" t="s">
        <v>295</v>
      </c>
      <c r="P16" s="6" t="s">
        <v>296</v>
      </c>
      <c r="Q16" s="6" t="s">
        <v>95</v>
      </c>
      <c r="R16" s="6" t="s">
        <v>95</v>
      </c>
      <c r="S16" s="6" t="s">
        <v>95</v>
      </c>
      <c r="T16" s="6" t="s">
        <v>95</v>
      </c>
      <c r="U16" s="6" t="s">
        <v>297</v>
      </c>
      <c r="V16" s="6" t="s">
        <v>201</v>
      </c>
      <c r="W16" s="6" t="s">
        <v>298</v>
      </c>
      <c r="X16" s="2" t="s">
        <v>203</v>
      </c>
      <c r="Y16" s="2" t="s">
        <v>204</v>
      </c>
    </row>
    <row r="17" customFormat="false" ht="27" hidden="false" customHeight="true" outlineLevel="0" collapsed="false">
      <c r="A17" s="6" t="s">
        <v>299</v>
      </c>
      <c r="B17" s="6" t="s">
        <v>300</v>
      </c>
      <c r="C17" s="7" t="n">
        <v>39</v>
      </c>
      <c r="D17" s="6" t="s">
        <v>95</v>
      </c>
      <c r="E17" s="7" t="s">
        <v>97</v>
      </c>
      <c r="F17" s="7" t="s">
        <v>37</v>
      </c>
      <c r="G17" s="7" t="n">
        <v>20</v>
      </c>
      <c r="H17" s="6" t="s">
        <v>207</v>
      </c>
      <c r="I17" s="19" t="s">
        <v>208</v>
      </c>
      <c r="J17" s="6" t="s">
        <v>290</v>
      </c>
      <c r="K17" s="6" t="s">
        <v>301</v>
      </c>
      <c r="L17" s="7" t="s">
        <v>292</v>
      </c>
      <c r="M17" s="6" t="s">
        <v>293</v>
      </c>
      <c r="N17" s="7" t="s">
        <v>294</v>
      </c>
      <c r="O17" s="6" t="s">
        <v>302</v>
      </c>
      <c r="P17" s="6" t="s">
        <v>303</v>
      </c>
      <c r="Q17" s="6" t="s">
        <v>304</v>
      </c>
      <c r="R17" s="6" t="s">
        <v>304</v>
      </c>
      <c r="S17" s="6" t="s">
        <v>304</v>
      </c>
      <c r="T17" s="6" t="s">
        <v>95</v>
      </c>
      <c r="U17" s="6" t="s">
        <v>297</v>
      </c>
      <c r="V17" s="6" t="s">
        <v>201</v>
      </c>
      <c r="W17" s="6" t="s">
        <v>305</v>
      </c>
      <c r="X17" s="2" t="s">
        <v>203</v>
      </c>
      <c r="Y17" s="2" t="s">
        <v>204</v>
      </c>
    </row>
    <row r="18" customFormat="false" ht="41.25" hidden="false" customHeight="true" outlineLevel="0" collapsed="false">
      <c r="A18" s="6" t="s">
        <v>108</v>
      </c>
      <c r="B18" s="6" t="s">
        <v>306</v>
      </c>
      <c r="C18" s="7" t="n">
        <v>39</v>
      </c>
      <c r="D18" s="6" t="s">
        <v>105</v>
      </c>
      <c r="E18" s="7" t="s">
        <v>107</v>
      </c>
      <c r="F18" s="7" t="s">
        <v>37</v>
      </c>
      <c r="G18" s="7" t="n">
        <v>10</v>
      </c>
      <c r="H18" s="6" t="s">
        <v>191</v>
      </c>
      <c r="I18" s="8" t="s">
        <v>192</v>
      </c>
      <c r="J18" s="6" t="s">
        <v>307</v>
      </c>
      <c r="K18" s="6" t="s">
        <v>308</v>
      </c>
      <c r="L18" s="7" t="s">
        <v>210</v>
      </c>
      <c r="M18" s="6" t="s">
        <v>309</v>
      </c>
      <c r="N18" s="7" t="s">
        <v>310</v>
      </c>
      <c r="O18" s="6" t="s">
        <v>311</v>
      </c>
      <c r="P18" s="6" t="s">
        <v>312</v>
      </c>
      <c r="Q18" s="6" t="s">
        <v>105</v>
      </c>
      <c r="R18" s="6" t="s">
        <v>105</v>
      </c>
      <c r="S18" s="6" t="s">
        <v>105</v>
      </c>
      <c r="T18" s="6" t="s">
        <v>105</v>
      </c>
      <c r="U18" s="6" t="s">
        <v>297</v>
      </c>
      <c r="V18" s="6" t="s">
        <v>201</v>
      </c>
      <c r="W18" s="6" t="s">
        <v>313</v>
      </c>
      <c r="X18" s="2" t="s">
        <v>203</v>
      </c>
      <c r="Y18" s="2" t="s">
        <v>204</v>
      </c>
    </row>
    <row r="19" customFormat="false" ht="41.25" hidden="false" customHeight="true" outlineLevel="0" collapsed="false">
      <c r="A19" s="6" t="s">
        <v>314</v>
      </c>
      <c r="B19" s="6" t="s">
        <v>315</v>
      </c>
      <c r="C19" s="7" t="n">
        <v>39</v>
      </c>
      <c r="D19" s="6" t="s">
        <v>105</v>
      </c>
      <c r="E19" s="7" t="s">
        <v>107</v>
      </c>
      <c r="F19" s="7" t="s">
        <v>37</v>
      </c>
      <c r="G19" s="7" t="n">
        <v>20</v>
      </c>
      <c r="H19" s="6" t="s">
        <v>207</v>
      </c>
      <c r="I19" s="19" t="s">
        <v>208</v>
      </c>
      <c r="J19" s="6" t="s">
        <v>307</v>
      </c>
      <c r="K19" s="6" t="s">
        <v>316</v>
      </c>
      <c r="L19" s="7" t="s">
        <v>210</v>
      </c>
      <c r="M19" s="6" t="s">
        <v>309</v>
      </c>
      <c r="N19" s="7" t="s">
        <v>310</v>
      </c>
      <c r="O19" s="6" t="s">
        <v>317</v>
      </c>
      <c r="P19" s="6" t="s">
        <v>318</v>
      </c>
      <c r="Q19" s="6" t="s">
        <v>319</v>
      </c>
      <c r="R19" s="6" t="s">
        <v>319</v>
      </c>
      <c r="S19" s="6" t="s">
        <v>319</v>
      </c>
      <c r="T19" s="6" t="s">
        <v>105</v>
      </c>
      <c r="U19" s="6" t="s">
        <v>297</v>
      </c>
      <c r="V19" s="6" t="s">
        <v>201</v>
      </c>
      <c r="W19" s="6" t="s">
        <v>320</v>
      </c>
      <c r="X19" s="2" t="s">
        <v>203</v>
      </c>
      <c r="Y19" s="2" t="s">
        <v>204</v>
      </c>
    </row>
    <row r="20" customFormat="false" ht="41.25" hidden="false" customHeight="true" outlineLevel="0" collapsed="false">
      <c r="A20" s="6" t="s">
        <v>118</v>
      </c>
      <c r="B20" s="6" t="s">
        <v>321</v>
      </c>
      <c r="C20" s="7" t="n">
        <v>39</v>
      </c>
      <c r="D20" s="6" t="s">
        <v>115</v>
      </c>
      <c r="E20" s="7" t="s">
        <v>117</v>
      </c>
      <c r="F20" s="7" t="s">
        <v>37</v>
      </c>
      <c r="G20" s="7" t="n">
        <v>10</v>
      </c>
      <c r="H20" s="6" t="s">
        <v>191</v>
      </c>
      <c r="I20" s="8" t="s">
        <v>192</v>
      </c>
      <c r="J20" s="6" t="s">
        <v>322</v>
      </c>
      <c r="K20" s="6" t="s">
        <v>323</v>
      </c>
      <c r="L20" s="7" t="s">
        <v>324</v>
      </c>
      <c r="M20" s="6" t="s">
        <v>325</v>
      </c>
      <c r="N20" s="7" t="s">
        <v>326</v>
      </c>
      <c r="O20" s="6" t="s">
        <v>327</v>
      </c>
      <c r="P20" s="6" t="s">
        <v>328</v>
      </c>
      <c r="Q20" s="6" t="s">
        <v>329</v>
      </c>
      <c r="R20" s="6" t="s">
        <v>329</v>
      </c>
      <c r="S20" s="6" t="s">
        <v>329</v>
      </c>
      <c r="T20" s="6" t="s">
        <v>115</v>
      </c>
      <c r="U20" s="6" t="s">
        <v>200</v>
      </c>
      <c r="V20" s="6" t="s">
        <v>201</v>
      </c>
      <c r="W20" s="6" t="s">
        <v>330</v>
      </c>
      <c r="X20" s="2" t="s">
        <v>203</v>
      </c>
      <c r="Y20" s="2" t="s">
        <v>204</v>
      </c>
    </row>
    <row r="21" customFormat="false" ht="41.25" hidden="false" customHeight="true" outlineLevel="0" collapsed="false">
      <c r="A21" s="6" t="s">
        <v>331</v>
      </c>
      <c r="B21" s="6" t="s">
        <v>332</v>
      </c>
      <c r="C21" s="7" t="n">
        <v>39</v>
      </c>
      <c r="D21" s="6" t="s">
        <v>115</v>
      </c>
      <c r="E21" s="7" t="s">
        <v>117</v>
      </c>
      <c r="F21" s="7" t="s">
        <v>37</v>
      </c>
      <c r="G21" s="7" t="n">
        <v>20</v>
      </c>
      <c r="H21" s="6" t="s">
        <v>207</v>
      </c>
      <c r="I21" s="19" t="s">
        <v>208</v>
      </c>
      <c r="J21" s="6" t="s">
        <v>322</v>
      </c>
      <c r="K21" s="6" t="s">
        <v>333</v>
      </c>
      <c r="L21" s="7" t="s">
        <v>324</v>
      </c>
      <c r="M21" s="6" t="s">
        <v>325</v>
      </c>
      <c r="N21" s="7" t="s">
        <v>326</v>
      </c>
      <c r="O21" s="6" t="s">
        <v>334</v>
      </c>
      <c r="P21" s="6" t="s">
        <v>335</v>
      </c>
      <c r="Q21" s="6" t="s">
        <v>336</v>
      </c>
      <c r="R21" s="6" t="s">
        <v>336</v>
      </c>
      <c r="S21" s="6" t="s">
        <v>336</v>
      </c>
      <c r="T21" s="6" t="s">
        <v>115</v>
      </c>
      <c r="U21" s="6" t="s">
        <v>200</v>
      </c>
      <c r="V21" s="6" t="s">
        <v>201</v>
      </c>
      <c r="W21" s="6" t="s">
        <v>337</v>
      </c>
      <c r="X21" s="2" t="s">
        <v>203</v>
      </c>
      <c r="Y21" s="2" t="s">
        <v>204</v>
      </c>
    </row>
    <row r="22" customFormat="false" ht="27" hidden="false" customHeight="true" outlineLevel="0" collapsed="false">
      <c r="A22" s="6" t="s">
        <v>128</v>
      </c>
      <c r="B22" s="6" t="s">
        <v>338</v>
      </c>
      <c r="C22" s="7" t="n">
        <v>39</v>
      </c>
      <c r="D22" s="6" t="s">
        <v>125</v>
      </c>
      <c r="E22" s="7" t="s">
        <v>127</v>
      </c>
      <c r="F22" s="7" t="s">
        <v>37</v>
      </c>
      <c r="G22" s="7" t="n">
        <v>10</v>
      </c>
      <c r="H22" s="6" t="s">
        <v>191</v>
      </c>
      <c r="I22" s="8" t="s">
        <v>192</v>
      </c>
      <c r="J22" s="6" t="s">
        <v>339</v>
      </c>
      <c r="K22" s="6" t="s">
        <v>340</v>
      </c>
      <c r="L22" s="7" t="s">
        <v>341</v>
      </c>
      <c r="M22" s="6" t="s">
        <v>342</v>
      </c>
      <c r="N22" s="7" t="s">
        <v>343</v>
      </c>
      <c r="O22" s="6" t="s">
        <v>344</v>
      </c>
      <c r="P22" s="6" t="s">
        <v>345</v>
      </c>
      <c r="Q22" s="6" t="s">
        <v>346</v>
      </c>
      <c r="R22" s="6" t="s">
        <v>346</v>
      </c>
      <c r="S22" s="6" t="s">
        <v>346</v>
      </c>
      <c r="T22" s="6" t="s">
        <v>125</v>
      </c>
      <c r="U22" s="6" t="s">
        <v>347</v>
      </c>
      <c r="V22" s="6" t="s">
        <v>201</v>
      </c>
      <c r="W22" s="6" t="s">
        <v>348</v>
      </c>
      <c r="X22" s="2" t="s">
        <v>203</v>
      </c>
      <c r="Y22" s="2" t="s">
        <v>204</v>
      </c>
    </row>
    <row r="23" customFormat="false" ht="27" hidden="false" customHeight="true" outlineLevel="0" collapsed="false">
      <c r="A23" s="6" t="s">
        <v>349</v>
      </c>
      <c r="B23" s="6" t="s">
        <v>350</v>
      </c>
      <c r="C23" s="7" t="n">
        <v>39</v>
      </c>
      <c r="D23" s="6" t="s">
        <v>125</v>
      </c>
      <c r="E23" s="7" t="s">
        <v>127</v>
      </c>
      <c r="F23" s="7" t="s">
        <v>37</v>
      </c>
      <c r="G23" s="7" t="n">
        <v>20</v>
      </c>
      <c r="H23" s="6" t="s">
        <v>207</v>
      </c>
      <c r="I23" s="19" t="s">
        <v>208</v>
      </c>
      <c r="J23" s="6" t="s">
        <v>339</v>
      </c>
      <c r="K23" s="6" t="s">
        <v>351</v>
      </c>
      <c r="L23" s="7" t="s">
        <v>341</v>
      </c>
      <c r="M23" s="6" t="s">
        <v>342</v>
      </c>
      <c r="N23" s="7" t="s">
        <v>343</v>
      </c>
      <c r="O23" s="6" t="s">
        <v>352</v>
      </c>
      <c r="P23" s="6" t="s">
        <v>353</v>
      </c>
      <c r="Q23" s="6" t="s">
        <v>354</v>
      </c>
      <c r="R23" s="6" t="s">
        <v>354</v>
      </c>
      <c r="S23" s="6" t="s">
        <v>354</v>
      </c>
      <c r="T23" s="6" t="s">
        <v>125</v>
      </c>
      <c r="U23" s="6" t="s">
        <v>347</v>
      </c>
      <c r="V23" s="6" t="s">
        <v>201</v>
      </c>
      <c r="W23" s="6" t="s">
        <v>355</v>
      </c>
      <c r="X23" s="2" t="s">
        <v>203</v>
      </c>
      <c r="Y23" s="2" t="s">
        <v>204</v>
      </c>
    </row>
    <row r="24" customFormat="false" ht="41.25" hidden="false" customHeight="true" outlineLevel="0" collapsed="false">
      <c r="A24" s="6" t="s">
        <v>135</v>
      </c>
      <c r="B24" s="6" t="s">
        <v>356</v>
      </c>
      <c r="C24" s="7" t="n">
        <v>39</v>
      </c>
      <c r="D24" s="6" t="s">
        <v>125</v>
      </c>
      <c r="E24" s="7" t="s">
        <v>36</v>
      </c>
      <c r="F24" s="7" t="s">
        <v>37</v>
      </c>
      <c r="G24" s="7" t="n">
        <v>10</v>
      </c>
      <c r="H24" s="6" t="s">
        <v>191</v>
      </c>
      <c r="I24" s="8" t="s">
        <v>192</v>
      </c>
      <c r="J24" s="6" t="s">
        <v>357</v>
      </c>
      <c r="K24" s="6" t="s">
        <v>194</v>
      </c>
      <c r="L24" s="7" t="s">
        <v>195</v>
      </c>
      <c r="M24" s="6" t="s">
        <v>196</v>
      </c>
      <c r="N24" s="7" t="s">
        <v>197</v>
      </c>
      <c r="O24" s="6" t="s">
        <v>358</v>
      </c>
      <c r="P24" s="6" t="s">
        <v>359</v>
      </c>
      <c r="Q24" s="6" t="s">
        <v>34</v>
      </c>
      <c r="R24" s="6" t="s">
        <v>34</v>
      </c>
      <c r="S24" s="6" t="s">
        <v>34</v>
      </c>
      <c r="T24" s="6" t="s">
        <v>125</v>
      </c>
      <c r="U24" s="6" t="s">
        <v>232</v>
      </c>
      <c r="V24" s="6" t="s">
        <v>201</v>
      </c>
      <c r="W24" s="6" t="s">
        <v>360</v>
      </c>
      <c r="X24" s="2" t="s">
        <v>203</v>
      </c>
      <c r="Y24" s="2" t="s">
        <v>204</v>
      </c>
    </row>
    <row r="25" customFormat="false" ht="27" hidden="false" customHeight="true" outlineLevel="0" collapsed="false">
      <c r="A25" s="6" t="s">
        <v>143</v>
      </c>
      <c r="B25" s="6" t="s">
        <v>361</v>
      </c>
      <c r="C25" s="7" t="n">
        <v>39</v>
      </c>
      <c r="D25" s="6" t="s">
        <v>140</v>
      </c>
      <c r="E25" s="7" t="s">
        <v>142</v>
      </c>
      <c r="F25" s="7" t="s">
        <v>37</v>
      </c>
      <c r="G25" s="7" t="n">
        <v>10</v>
      </c>
      <c r="H25" s="6" t="s">
        <v>191</v>
      </c>
      <c r="I25" s="8" t="s">
        <v>192</v>
      </c>
      <c r="J25" s="6" t="s">
        <v>362</v>
      </c>
      <c r="K25" s="6" t="s">
        <v>363</v>
      </c>
      <c r="L25" s="7" t="s">
        <v>364</v>
      </c>
      <c r="M25" s="6" t="s">
        <v>365</v>
      </c>
      <c r="N25" s="7" t="s">
        <v>366</v>
      </c>
      <c r="O25" s="6" t="s">
        <v>367</v>
      </c>
      <c r="P25" s="6" t="s">
        <v>368</v>
      </c>
      <c r="Q25" s="6" t="s">
        <v>369</v>
      </c>
      <c r="R25" s="6" t="s">
        <v>369</v>
      </c>
      <c r="S25" s="6" t="s">
        <v>369</v>
      </c>
      <c r="T25" s="6" t="s">
        <v>140</v>
      </c>
      <c r="U25" s="6" t="s">
        <v>347</v>
      </c>
      <c r="V25" s="6" t="s">
        <v>201</v>
      </c>
      <c r="W25" s="6" t="s">
        <v>370</v>
      </c>
      <c r="X25" s="2" t="s">
        <v>203</v>
      </c>
      <c r="Y25" s="2" t="s">
        <v>204</v>
      </c>
    </row>
    <row r="26" customFormat="false" ht="27" hidden="false" customHeight="true" outlineLevel="0" collapsed="false">
      <c r="A26" s="6" t="s">
        <v>371</v>
      </c>
      <c r="B26" s="6" t="s">
        <v>372</v>
      </c>
      <c r="C26" s="7" t="n">
        <v>39</v>
      </c>
      <c r="D26" s="6" t="s">
        <v>140</v>
      </c>
      <c r="E26" s="7" t="s">
        <v>142</v>
      </c>
      <c r="F26" s="7" t="s">
        <v>37</v>
      </c>
      <c r="G26" s="7" t="n">
        <v>20</v>
      </c>
      <c r="H26" s="6" t="s">
        <v>207</v>
      </c>
      <c r="I26" s="19" t="s">
        <v>208</v>
      </c>
      <c r="J26" s="6" t="s">
        <v>362</v>
      </c>
      <c r="K26" s="6" t="s">
        <v>373</v>
      </c>
      <c r="L26" s="7" t="s">
        <v>364</v>
      </c>
      <c r="M26" s="6" t="s">
        <v>365</v>
      </c>
      <c r="N26" s="7" t="s">
        <v>366</v>
      </c>
      <c r="O26" s="6" t="s">
        <v>374</v>
      </c>
      <c r="P26" s="6" t="s">
        <v>375</v>
      </c>
      <c r="Q26" s="6" t="s">
        <v>376</v>
      </c>
      <c r="R26" s="6" t="s">
        <v>376</v>
      </c>
      <c r="S26" s="6" t="s">
        <v>376</v>
      </c>
      <c r="T26" s="6" t="s">
        <v>140</v>
      </c>
      <c r="U26" s="6" t="s">
        <v>347</v>
      </c>
      <c r="V26" s="6" t="s">
        <v>201</v>
      </c>
      <c r="W26" s="6" t="s">
        <v>377</v>
      </c>
      <c r="X26" s="2" t="s">
        <v>203</v>
      </c>
      <c r="Y26" s="2" t="s">
        <v>204</v>
      </c>
    </row>
    <row r="27" customFormat="false" ht="27" hidden="false" customHeight="true" outlineLevel="0" collapsed="false">
      <c r="A27" s="6" t="s">
        <v>153</v>
      </c>
      <c r="B27" s="6" t="s">
        <v>378</v>
      </c>
      <c r="C27" s="7" t="n">
        <v>44</v>
      </c>
      <c r="D27" s="6" t="s">
        <v>150</v>
      </c>
      <c r="E27" s="7" t="s">
        <v>152</v>
      </c>
      <c r="F27" s="7" t="s">
        <v>37</v>
      </c>
      <c r="G27" s="7" t="n">
        <v>10</v>
      </c>
      <c r="H27" s="6" t="s">
        <v>191</v>
      </c>
      <c r="I27" s="8" t="s">
        <v>192</v>
      </c>
      <c r="J27" s="6" t="s">
        <v>379</v>
      </c>
      <c r="K27" s="6" t="s">
        <v>380</v>
      </c>
      <c r="L27" s="7" t="s">
        <v>381</v>
      </c>
      <c r="M27" s="6" t="s">
        <v>382</v>
      </c>
      <c r="N27" s="7" t="s">
        <v>383</v>
      </c>
      <c r="O27" s="6" t="s">
        <v>384</v>
      </c>
      <c r="P27" s="6" t="s">
        <v>385</v>
      </c>
      <c r="Q27" s="6" t="s">
        <v>386</v>
      </c>
      <c r="R27" s="6" t="s">
        <v>386</v>
      </c>
      <c r="S27" s="6" t="s">
        <v>386</v>
      </c>
      <c r="T27" s="6" t="s">
        <v>150</v>
      </c>
      <c r="U27" s="6" t="s">
        <v>387</v>
      </c>
      <c r="V27" s="6" t="s">
        <v>201</v>
      </c>
      <c r="W27" s="6" t="s">
        <v>388</v>
      </c>
      <c r="X27" s="2" t="s">
        <v>203</v>
      </c>
      <c r="Y27" s="2" t="s">
        <v>204</v>
      </c>
    </row>
    <row r="28" customFormat="false" ht="27" hidden="false" customHeight="true" outlineLevel="0" collapsed="false">
      <c r="A28" s="6" t="s">
        <v>389</v>
      </c>
      <c r="B28" s="6" t="s">
        <v>390</v>
      </c>
      <c r="C28" s="7" t="n">
        <v>44</v>
      </c>
      <c r="D28" s="6" t="s">
        <v>150</v>
      </c>
      <c r="E28" s="7" t="s">
        <v>152</v>
      </c>
      <c r="F28" s="7" t="s">
        <v>37</v>
      </c>
      <c r="G28" s="7" t="n">
        <v>20</v>
      </c>
      <c r="H28" s="6" t="s">
        <v>207</v>
      </c>
      <c r="I28" s="19" t="s">
        <v>208</v>
      </c>
      <c r="J28" s="6" t="s">
        <v>379</v>
      </c>
      <c r="K28" s="6" t="s">
        <v>391</v>
      </c>
      <c r="L28" s="7" t="s">
        <v>210</v>
      </c>
      <c r="M28" s="6" t="s">
        <v>392</v>
      </c>
      <c r="N28" s="7" t="s">
        <v>393</v>
      </c>
      <c r="O28" s="6" t="s">
        <v>394</v>
      </c>
      <c r="P28" s="6" t="s">
        <v>395</v>
      </c>
      <c r="Q28" s="6" t="s">
        <v>105</v>
      </c>
      <c r="R28" s="6" t="s">
        <v>105</v>
      </c>
      <c r="S28" s="6" t="s">
        <v>105</v>
      </c>
      <c r="T28" s="6" t="s">
        <v>150</v>
      </c>
      <c r="U28" s="6" t="s">
        <v>387</v>
      </c>
      <c r="V28" s="6" t="s">
        <v>201</v>
      </c>
      <c r="W28" s="6" t="s">
        <v>396</v>
      </c>
      <c r="X28" s="2" t="s">
        <v>203</v>
      </c>
      <c r="Y28" s="2" t="s">
        <v>204</v>
      </c>
    </row>
    <row r="29" customFormat="false" ht="27" hidden="false" customHeight="true" outlineLevel="0" collapsed="false">
      <c r="A29" s="6" t="s">
        <v>397</v>
      </c>
      <c r="B29" s="6" t="s">
        <v>398</v>
      </c>
      <c r="C29" s="7" t="n">
        <v>14</v>
      </c>
      <c r="D29" s="6" t="s">
        <v>399</v>
      </c>
      <c r="E29" s="7" t="s">
        <v>36</v>
      </c>
      <c r="F29" s="7" t="s">
        <v>37</v>
      </c>
      <c r="G29" s="7" t="n">
        <v>10</v>
      </c>
      <c r="H29" s="6" t="s">
        <v>191</v>
      </c>
      <c r="I29" s="8" t="s">
        <v>400</v>
      </c>
      <c r="J29" s="6" t="s">
        <v>401</v>
      </c>
      <c r="K29" s="6" t="s">
        <v>402</v>
      </c>
      <c r="L29" s="7" t="s">
        <v>195</v>
      </c>
      <c r="M29" s="6" t="s">
        <v>196</v>
      </c>
      <c r="N29" s="7" t="s">
        <v>197</v>
      </c>
      <c r="O29" s="6" t="s">
        <v>403</v>
      </c>
      <c r="P29" s="6" t="s">
        <v>404</v>
      </c>
      <c r="Q29" s="6" t="s">
        <v>34</v>
      </c>
      <c r="R29" s="6" t="s">
        <v>34</v>
      </c>
      <c r="S29" s="6" t="s">
        <v>34</v>
      </c>
      <c r="T29" s="6" t="s">
        <v>399</v>
      </c>
      <c r="U29" s="6" t="s">
        <v>246</v>
      </c>
      <c r="V29" s="6" t="s">
        <v>405</v>
      </c>
      <c r="W29" s="6" t="s">
        <v>406</v>
      </c>
      <c r="X29" s="2" t="s">
        <v>40</v>
      </c>
      <c r="Y29" s="2" t="s">
        <v>407</v>
      </c>
    </row>
    <row r="30" customFormat="false" ht="27" hidden="false" customHeight="true" outlineLevel="0" collapsed="false">
      <c r="A30" s="6" t="s">
        <v>408</v>
      </c>
      <c r="B30" s="6" t="s">
        <v>409</v>
      </c>
      <c r="C30" s="7" t="n">
        <v>14</v>
      </c>
      <c r="D30" s="6" t="s">
        <v>399</v>
      </c>
      <c r="E30" s="7" t="s">
        <v>60</v>
      </c>
      <c r="F30" s="7" t="s">
        <v>37</v>
      </c>
      <c r="G30" s="7" t="n">
        <v>10</v>
      </c>
      <c r="H30" s="6" t="s">
        <v>191</v>
      </c>
      <c r="I30" s="8" t="s">
        <v>400</v>
      </c>
      <c r="J30" s="6" t="s">
        <v>410</v>
      </c>
      <c r="K30" s="6" t="s">
        <v>411</v>
      </c>
      <c r="L30" s="7" t="s">
        <v>221</v>
      </c>
      <c r="M30" s="6" t="s">
        <v>222</v>
      </c>
      <c r="N30" s="7" t="s">
        <v>223</v>
      </c>
      <c r="O30" s="6" t="s">
        <v>412</v>
      </c>
      <c r="P30" s="6" t="s">
        <v>413</v>
      </c>
      <c r="Q30" s="6" t="s">
        <v>58</v>
      </c>
      <c r="R30" s="6" t="s">
        <v>58</v>
      </c>
      <c r="S30" s="6" t="s">
        <v>58</v>
      </c>
      <c r="T30" s="6" t="s">
        <v>399</v>
      </c>
      <c r="U30" s="6" t="s">
        <v>246</v>
      </c>
      <c r="V30" s="6" t="s">
        <v>405</v>
      </c>
      <c r="W30" s="6" t="s">
        <v>414</v>
      </c>
      <c r="X30" s="2" t="s">
        <v>40</v>
      </c>
      <c r="Y30" s="2" t="s">
        <v>407</v>
      </c>
    </row>
    <row r="31" customFormat="false" ht="13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3.5" hidden="false" customHeight="false" outlineLevel="0" collapsed="false">
      <c r="A32" s="12" t="s">
        <v>415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32.8" hidden="false" customHeight="true" outlineLevel="0" collapsed="false">
      <c r="A33" s="22" t="s">
        <v>416</v>
      </c>
      <c r="B33" s="22"/>
      <c r="C33" s="22"/>
      <c r="D33" s="22"/>
      <c r="E33" s="22"/>
      <c r="F33" s="22"/>
      <c r="G33" s="22"/>
      <c r="H33" s="22"/>
      <c r="I33" s="22"/>
      <c r="J33" s="2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7.15" hidden="false" customHeight="true" outlineLevel="0" collapsed="false">
      <c r="A34" s="22" t="s">
        <v>417</v>
      </c>
      <c r="B34" s="22"/>
      <c r="C34" s="22"/>
      <c r="D34" s="22"/>
      <c r="E34" s="22"/>
      <c r="F34" s="22"/>
      <c r="G34" s="22"/>
      <c r="H34" s="22"/>
      <c r="I34" s="22"/>
      <c r="J34" s="2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7.15" hidden="false" customHeight="true" outlineLevel="0" collapsed="false">
      <c r="A35" s="22" t="s">
        <v>418</v>
      </c>
      <c r="B35" s="22"/>
      <c r="C35" s="22"/>
      <c r="D35" s="22"/>
      <c r="E35" s="22"/>
      <c r="F35" s="22"/>
      <c r="G35" s="22"/>
      <c r="H35" s="22"/>
      <c r="I35" s="22"/>
      <c r="J35" s="2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7.15" hidden="false" customHeight="true" outlineLevel="0" collapsed="false">
      <c r="A36" s="22" t="s">
        <v>419</v>
      </c>
      <c r="B36" s="22"/>
      <c r="C36" s="22"/>
      <c r="D36" s="22"/>
      <c r="E36" s="22"/>
      <c r="F36" s="22"/>
      <c r="G36" s="22"/>
      <c r="H36" s="22"/>
      <c r="I36" s="22"/>
      <c r="J36" s="2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7.15" hidden="false" customHeight="true" outlineLevel="0" collapsed="false">
      <c r="A37" s="22" t="s">
        <v>420</v>
      </c>
      <c r="B37" s="22"/>
      <c r="C37" s="22"/>
      <c r="D37" s="22"/>
      <c r="E37" s="22"/>
      <c r="F37" s="22"/>
      <c r="G37" s="22"/>
      <c r="H37" s="22"/>
      <c r="I37" s="22"/>
      <c r="J37" s="2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</sheetData>
  <mergeCells count="5">
    <mergeCell ref="A33:J33"/>
    <mergeCell ref="A34:J34"/>
    <mergeCell ref="A35:J35"/>
    <mergeCell ref="A36:J36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22"/>
    <col collapsed="false" customWidth="true" hidden="false" outlineLevel="0" max="2" min="2" style="17" width="30"/>
    <col collapsed="false" customWidth="true" hidden="false" outlineLevel="0" max="3" min="3" style="17" width="86"/>
    <col collapsed="false" customWidth="false" hidden="false" outlineLevel="0" max="16384" min="4" style="17" width="8.67"/>
  </cols>
  <sheetData>
    <row r="1" customFormat="false" ht="17.15" hidden="false" customHeight="false" outlineLevel="0" collapsed="false">
      <c r="A1" s="18" t="s">
        <v>421</v>
      </c>
      <c r="B1" s="2"/>
      <c r="C1" s="2"/>
    </row>
    <row r="2" customFormat="false" ht="17.15" hidden="false" customHeight="false" outlineLevel="0" collapsed="false">
      <c r="A2" s="3" t="s">
        <v>422</v>
      </c>
      <c r="B2" s="2"/>
      <c r="C2" s="2"/>
    </row>
    <row r="3" customFormat="false" ht="13.5" hidden="false" customHeight="false" outlineLevel="0" collapsed="false">
      <c r="A3" s="2"/>
      <c r="B3" s="2"/>
      <c r="C3" s="2"/>
    </row>
    <row r="4" customFormat="false" ht="17.15" hidden="false" customHeight="false" outlineLevel="0" collapsed="false">
      <c r="A4" s="4" t="s">
        <v>423</v>
      </c>
      <c r="B4" s="4" t="s">
        <v>424</v>
      </c>
      <c r="C4" s="4" t="s">
        <v>425</v>
      </c>
    </row>
    <row r="5" customFormat="false" ht="27" hidden="false" customHeight="true" outlineLevel="0" collapsed="false">
      <c r="A5" s="9" t="s">
        <v>426</v>
      </c>
      <c r="B5" s="9" t="s">
        <v>427</v>
      </c>
      <c r="C5" s="6" t="s">
        <v>428</v>
      </c>
    </row>
    <row r="6" customFormat="false" ht="27" hidden="false" customHeight="true" outlineLevel="0" collapsed="false">
      <c r="A6" s="6" t="s">
        <v>5</v>
      </c>
      <c r="B6" s="9" t="s">
        <v>429</v>
      </c>
      <c r="C6" s="9" t="s">
        <v>430</v>
      </c>
    </row>
    <row r="7" customFormat="false" ht="27" hidden="false" customHeight="true" outlineLevel="0" collapsed="false">
      <c r="A7" s="6" t="s">
        <v>7</v>
      </c>
      <c r="B7" s="9" t="s">
        <v>429</v>
      </c>
      <c r="C7" s="9" t="s">
        <v>431</v>
      </c>
    </row>
    <row r="8" customFormat="false" ht="17.15" hidden="false" customHeight="false" outlineLevel="0" collapsed="false">
      <c r="A8" s="6" t="s">
        <v>432</v>
      </c>
      <c r="B8" s="6" t="s">
        <v>433</v>
      </c>
      <c r="C8" s="9" t="s">
        <v>434</v>
      </c>
    </row>
    <row r="9" customFormat="false" ht="41.25" hidden="false" customHeight="true" outlineLevel="0" collapsed="false">
      <c r="A9" s="23" t="s">
        <v>435</v>
      </c>
      <c r="B9" s="24" t="s">
        <v>436</v>
      </c>
      <c r="C9" s="9" t="s">
        <v>437</v>
      </c>
    </row>
    <row r="10" customFormat="false" ht="17.15" hidden="false" customHeight="false" outlineLevel="0" collapsed="false">
      <c r="A10" s="23" t="s">
        <v>438</v>
      </c>
      <c r="B10" s="24" t="s">
        <v>436</v>
      </c>
      <c r="C10" s="9" t="s">
        <v>439</v>
      </c>
    </row>
    <row r="11" customFormat="false" ht="17.15" hidden="false" customHeight="false" outlineLevel="0" collapsed="false">
      <c r="A11" s="23" t="s">
        <v>440</v>
      </c>
      <c r="B11" s="23" t="s">
        <v>441</v>
      </c>
      <c r="C11" s="9" t="s">
        <v>442</v>
      </c>
    </row>
    <row r="12" customFormat="false" ht="17.15" hidden="false" customHeight="false" outlineLevel="0" collapsed="false">
      <c r="A12" s="6" t="s">
        <v>443</v>
      </c>
      <c r="B12" s="9" t="s">
        <v>444</v>
      </c>
      <c r="C12" s="9" t="s">
        <v>445</v>
      </c>
    </row>
    <row r="13" customFormat="false" ht="17.15" hidden="false" customHeight="false" outlineLevel="0" collapsed="false">
      <c r="A13" s="6" t="s">
        <v>446</v>
      </c>
      <c r="B13" s="9" t="s">
        <v>447</v>
      </c>
      <c r="C13" s="9" t="s">
        <v>448</v>
      </c>
    </row>
    <row r="14" customFormat="false" ht="17.15" hidden="false" customHeight="false" outlineLevel="0" collapsed="false">
      <c r="A14" s="6" t="s">
        <v>449</v>
      </c>
      <c r="B14" s="9" t="s">
        <v>450</v>
      </c>
      <c r="C14" s="9" t="s">
        <v>451</v>
      </c>
    </row>
    <row r="15" customFormat="false" ht="13.5" hidden="false" customHeight="false" outlineLevel="0" collapsed="false">
      <c r="A15" s="2"/>
      <c r="B15" s="2"/>
      <c r="C15" s="2"/>
    </row>
    <row r="16" customFormat="false" ht="17.15" hidden="false" customHeight="false" outlineLevel="0" collapsed="false">
      <c r="A16" s="12" t="s">
        <v>452</v>
      </c>
      <c r="B16" s="2"/>
      <c r="C16" s="2"/>
    </row>
    <row r="17" customFormat="false" ht="32.8" hidden="false" customHeight="true" outlineLevel="0" collapsed="false">
      <c r="A17" s="25" t="s">
        <v>453</v>
      </c>
      <c r="B17" s="22" t="s">
        <v>454</v>
      </c>
      <c r="C17" s="22"/>
    </row>
    <row r="18" customFormat="false" ht="17.15" hidden="false" customHeight="true" outlineLevel="0" collapsed="false">
      <c r="A18" s="25" t="s">
        <v>455</v>
      </c>
      <c r="B18" s="22" t="s">
        <v>456</v>
      </c>
      <c r="C18" s="22"/>
    </row>
    <row r="19" customFormat="false" ht="32.8" hidden="false" customHeight="true" outlineLevel="0" collapsed="false">
      <c r="A19" s="25" t="s">
        <v>457</v>
      </c>
      <c r="B19" s="22" t="s">
        <v>458</v>
      </c>
      <c r="C19" s="22"/>
    </row>
    <row r="20" customFormat="false" ht="17.15" hidden="false" customHeight="true" outlineLevel="0" collapsed="false">
      <c r="A20" s="25" t="s">
        <v>459</v>
      </c>
      <c r="B20" s="22" t="s">
        <v>460</v>
      </c>
      <c r="C20" s="22"/>
    </row>
    <row r="21" customFormat="false" ht="32.8" hidden="false" customHeight="true" outlineLevel="0" collapsed="false">
      <c r="A21" s="12" t="s">
        <v>461</v>
      </c>
      <c r="B21" s="22" t="s">
        <v>462</v>
      </c>
      <c r="C21" s="22"/>
    </row>
  </sheetData>
  <mergeCells count="5"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5" activeCellId="0" sqref="B5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12"/>
    <col collapsed="false" customWidth="true" hidden="false" outlineLevel="0" max="2" min="2" style="17" width="34"/>
    <col collapsed="false" customWidth="true" hidden="false" outlineLevel="0" max="3" min="3" style="17" width="18"/>
    <col collapsed="false" customWidth="true" hidden="false" outlineLevel="0" max="4" min="4" style="17" width="20"/>
    <col collapsed="false" customWidth="true" hidden="false" outlineLevel="0" max="5" min="5" style="17" width="34"/>
    <col collapsed="false" customWidth="true" hidden="false" outlineLevel="0" max="6" min="6" style="17" width="64"/>
    <col collapsed="false" customWidth="false" hidden="false" outlineLevel="0" max="16384" min="7" style="17" width="8.67"/>
  </cols>
  <sheetData>
    <row r="1" customFormat="false" ht="17.15" hidden="false" customHeight="false" outlineLevel="0" collapsed="false">
      <c r="A1" s="18" t="s">
        <v>463</v>
      </c>
      <c r="B1" s="2"/>
      <c r="C1" s="2"/>
      <c r="D1" s="2"/>
      <c r="E1" s="2"/>
      <c r="F1" s="2"/>
    </row>
    <row r="2" customFormat="false" ht="17.15" hidden="false" customHeight="false" outlineLevel="0" collapsed="false">
      <c r="A2" s="3" t="s">
        <v>464</v>
      </c>
      <c r="B2" s="2"/>
      <c r="C2" s="2"/>
      <c r="D2" s="2"/>
      <c r="E2" s="2"/>
      <c r="F2" s="2"/>
    </row>
    <row r="3" customFormat="false" ht="13.5" hidden="false" customHeight="false" outlineLevel="0" collapsed="false">
      <c r="A3" s="2"/>
      <c r="B3" s="2"/>
      <c r="C3" s="2"/>
      <c r="D3" s="2"/>
      <c r="E3" s="2"/>
      <c r="F3" s="2"/>
    </row>
    <row r="4" customFormat="false" ht="30" hidden="false" customHeight="true" outlineLevel="0" collapsed="false">
      <c r="A4" s="5" t="s">
        <v>9</v>
      </c>
      <c r="B4" s="4" t="s">
        <v>465</v>
      </c>
      <c r="C4" s="5" t="s">
        <v>466</v>
      </c>
      <c r="D4" s="5" t="s">
        <v>11</v>
      </c>
      <c r="E4" s="5" t="s">
        <v>467</v>
      </c>
      <c r="F4" s="5" t="s">
        <v>468</v>
      </c>
    </row>
    <row r="5" customFormat="false" ht="41.25" hidden="false" customHeight="true" outlineLevel="0" collapsed="false">
      <c r="A5" s="6" t="s">
        <v>38</v>
      </c>
      <c r="B5" s="6" t="s">
        <v>469</v>
      </c>
      <c r="C5" s="6" t="s">
        <v>39</v>
      </c>
      <c r="D5" s="6" t="s">
        <v>40</v>
      </c>
      <c r="E5" s="6" t="s">
        <v>470</v>
      </c>
      <c r="F5" s="26" t="s">
        <v>471</v>
      </c>
    </row>
    <row r="6" customFormat="false" ht="57.75" hidden="false" customHeight="true" outlineLevel="0" collapsed="false">
      <c r="A6" s="6" t="s">
        <v>38</v>
      </c>
      <c r="B6" s="6" t="s">
        <v>472</v>
      </c>
      <c r="C6" s="6" t="s">
        <v>39</v>
      </c>
      <c r="D6" s="6" t="s">
        <v>40</v>
      </c>
      <c r="E6" s="6" t="s">
        <v>473</v>
      </c>
      <c r="F6" s="27" t="s">
        <v>474</v>
      </c>
    </row>
    <row r="7" customFormat="false" ht="57.75" hidden="false" customHeight="true" outlineLevel="0" collapsed="false">
      <c r="A7" s="6" t="s">
        <v>48</v>
      </c>
      <c r="B7" s="6" t="s">
        <v>475</v>
      </c>
      <c r="C7" s="6" t="s">
        <v>39</v>
      </c>
      <c r="D7" s="6" t="s">
        <v>40</v>
      </c>
      <c r="E7" s="6" t="s">
        <v>476</v>
      </c>
      <c r="F7" s="6" t="s">
        <v>477</v>
      </c>
    </row>
    <row r="8" customFormat="false" ht="57.75" hidden="false" customHeight="true" outlineLevel="0" collapsed="false">
      <c r="A8" s="6" t="s">
        <v>55</v>
      </c>
      <c r="B8" s="6" t="s">
        <v>478</v>
      </c>
      <c r="C8" s="6" t="s">
        <v>39</v>
      </c>
      <c r="D8" s="6" t="s">
        <v>52</v>
      </c>
      <c r="E8" s="6" t="s">
        <v>479</v>
      </c>
      <c r="F8" s="6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8" activeCellId="0" sqref="B8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30"/>
    <col collapsed="false" customWidth="true" hidden="false" outlineLevel="0" max="2" min="2" style="17" width="118"/>
    <col collapsed="false" customWidth="false" hidden="false" outlineLevel="0" max="16384" min="3" style="17" width="8.67"/>
  </cols>
  <sheetData>
    <row r="1" customFormat="false" ht="13.5" hidden="false" customHeight="false" outlineLevel="0" collapsed="false">
      <c r="A1" s="28" t="s">
        <v>481</v>
      </c>
      <c r="B1" s="2"/>
    </row>
    <row r="2" customFormat="false" ht="17.15" hidden="false" customHeight="false" outlineLevel="0" collapsed="false">
      <c r="A2" s="3" t="s">
        <v>482</v>
      </c>
      <c r="B2" s="2"/>
    </row>
    <row r="3" customFormat="false" ht="13.5" hidden="false" customHeight="false" outlineLevel="0" collapsed="false">
      <c r="A3" s="2"/>
      <c r="B3" s="2"/>
    </row>
    <row r="4" customFormat="false" ht="30" hidden="false" customHeight="true" outlineLevel="0" collapsed="false">
      <c r="A4" s="4" t="s">
        <v>483</v>
      </c>
      <c r="B4" s="4" t="s">
        <v>484</v>
      </c>
    </row>
    <row r="5" customFormat="false" ht="25.5" hidden="false" customHeight="true" outlineLevel="0" collapsed="false">
      <c r="A5" s="29" t="s">
        <v>485</v>
      </c>
      <c r="B5" s="6" t="s">
        <v>486</v>
      </c>
    </row>
    <row r="6" customFormat="false" ht="25.5" hidden="false" customHeight="true" outlineLevel="0" collapsed="false">
      <c r="A6" s="30" t="s">
        <v>487</v>
      </c>
      <c r="B6" s="6" t="s">
        <v>488</v>
      </c>
    </row>
    <row r="7" customFormat="false" ht="25.5" hidden="false" customHeight="true" outlineLevel="0" collapsed="false">
      <c r="A7" s="30" t="s">
        <v>489</v>
      </c>
      <c r="B7" s="6" t="n">
        <v>10350592</v>
      </c>
    </row>
    <row r="8" customFormat="false" ht="25.5" hidden="false" customHeight="true" outlineLevel="0" collapsed="false">
      <c r="A8" s="30" t="s">
        <v>490</v>
      </c>
      <c r="B8" s="6" t="s">
        <v>491</v>
      </c>
    </row>
    <row r="9" customFormat="false" ht="25.5" hidden="false" customHeight="true" outlineLevel="0" collapsed="false">
      <c r="A9" s="29" t="s">
        <v>492</v>
      </c>
      <c r="B9" s="6" t="s">
        <v>493</v>
      </c>
    </row>
    <row r="10" customFormat="false" ht="45.75" hidden="false" customHeight="true" outlineLevel="0" collapsed="false">
      <c r="A10" s="29" t="s">
        <v>494</v>
      </c>
      <c r="B10" s="6" t="s">
        <v>495</v>
      </c>
    </row>
    <row r="11" customFormat="false" ht="27" hidden="false" customHeight="true" outlineLevel="0" collapsed="false">
      <c r="A11" s="30" t="s">
        <v>496</v>
      </c>
      <c r="B11" s="6" t="s">
        <v>497</v>
      </c>
    </row>
    <row r="12" customFormat="false" ht="45.75" hidden="false" customHeight="true" outlineLevel="0" collapsed="false">
      <c r="A12" s="29" t="s">
        <v>498</v>
      </c>
      <c r="B12" s="6" t="s">
        <v>499</v>
      </c>
    </row>
    <row r="13" customFormat="false" ht="25.5" hidden="false" customHeight="true" outlineLevel="0" collapsed="false">
      <c r="A13" s="29" t="s">
        <v>500</v>
      </c>
      <c r="B13" s="6" t="s">
        <v>501</v>
      </c>
    </row>
    <row r="14" customFormat="false" ht="45.75" hidden="false" customHeight="true" outlineLevel="0" collapsed="false">
      <c r="A14" s="29" t="s">
        <v>502</v>
      </c>
      <c r="B14" s="6" t="s">
        <v>503</v>
      </c>
    </row>
    <row r="15" customFormat="false" ht="45.75" hidden="false" customHeight="true" outlineLevel="0" collapsed="false">
      <c r="A15" s="30" t="s">
        <v>504</v>
      </c>
      <c r="B15" s="6" t="s">
        <v>505</v>
      </c>
    </row>
    <row r="16" customFormat="false" ht="45.75" hidden="false" customHeight="true" outlineLevel="0" collapsed="false">
      <c r="A16" s="29" t="s">
        <v>506</v>
      </c>
      <c r="B16" s="6" t="s">
        <v>507</v>
      </c>
    </row>
    <row r="17" customFormat="false" ht="45.75" hidden="false" customHeight="true" outlineLevel="0" collapsed="false">
      <c r="A17" s="29" t="s">
        <v>508</v>
      </c>
      <c r="B17" s="6" t="s">
        <v>509</v>
      </c>
    </row>
    <row r="18" customFormat="false" ht="45.75" hidden="false" customHeight="true" outlineLevel="0" collapsed="false">
      <c r="A18" s="30" t="s">
        <v>510</v>
      </c>
      <c r="B18" s="9" t="s">
        <v>511</v>
      </c>
    </row>
    <row r="19" customFormat="false" ht="17.15" hidden="false" customHeight="false" outlineLevel="0" collapsed="false">
      <c r="A19" s="31" t="s">
        <v>512</v>
      </c>
      <c r="B19" s="2" t="s">
        <v>513</v>
      </c>
    </row>
    <row r="20" customFormat="false" ht="17.15" hidden="false" customHeight="false" outlineLevel="0" collapsed="false">
      <c r="A20" s="2" t="s">
        <v>514</v>
      </c>
      <c r="B20" s="2" t="s">
        <v>515</v>
      </c>
    </row>
    <row r="21" customFormat="false" ht="25.5" hidden="false" customHeight="true" outlineLevel="0" collapsed="false">
      <c r="A21" s="32" t="s">
        <v>516</v>
      </c>
      <c r="B21" s="33" t="s">
        <v>517</v>
      </c>
    </row>
    <row r="22" customFormat="false" ht="25.5" hidden="false" customHeight="true" outlineLevel="0" collapsed="false">
      <c r="A22" s="32" t="s">
        <v>518</v>
      </c>
      <c r="B22" s="33" t="s">
        <v>519</v>
      </c>
    </row>
    <row r="23" customFormat="false" ht="25.5" hidden="false" customHeight="true" outlineLevel="0" collapsed="false">
      <c r="A23" s="32" t="s">
        <v>520</v>
      </c>
      <c r="B23" s="33" t="s">
        <v>521</v>
      </c>
    </row>
    <row r="24" customFormat="false" ht="25.5" hidden="false" customHeight="true" outlineLevel="0" collapsed="false">
      <c r="A24" s="32" t="s">
        <v>522</v>
      </c>
      <c r="B24" s="33" t="s">
        <v>523</v>
      </c>
    </row>
    <row r="25" customFormat="false" ht="51.75" hidden="false" customHeight="true" outlineLevel="0" collapsed="false">
      <c r="A25" s="32" t="s">
        <v>524</v>
      </c>
      <c r="B25" s="33" t="s">
        <v>525</v>
      </c>
    </row>
    <row r="26" customFormat="false" ht="25.5" hidden="false" customHeight="true" outlineLevel="0" collapsed="false">
      <c r="A26" s="32" t="s">
        <v>526</v>
      </c>
      <c r="B26" s="33" t="s">
        <v>527</v>
      </c>
    </row>
    <row r="27" customFormat="false" ht="51.75" hidden="false" customHeight="true" outlineLevel="0" collapsed="false">
      <c r="A27" s="32" t="s">
        <v>528</v>
      </c>
      <c r="B27" s="9" t="s">
        <v>529</v>
      </c>
    </row>
    <row r="28" customFormat="false" ht="51.75" hidden="false" customHeight="true" outlineLevel="0" collapsed="false">
      <c r="A28" s="29" t="s">
        <v>530</v>
      </c>
      <c r="B28" s="33" t="s">
        <v>531</v>
      </c>
    </row>
    <row r="29" customFormat="false" ht="51.75" hidden="false" customHeight="true" outlineLevel="0" collapsed="false">
      <c r="A29" s="29" t="s">
        <v>532</v>
      </c>
      <c r="B29" s="33" t="s">
        <v>533</v>
      </c>
    </row>
    <row r="30" customFormat="false" ht="51.75" hidden="false" customHeight="true" outlineLevel="0" collapsed="false">
      <c r="A30" s="29" t="s">
        <v>534</v>
      </c>
      <c r="B30" s="33" t="s">
        <v>535</v>
      </c>
    </row>
    <row r="31" customFormat="false" ht="25.5" hidden="false" customHeight="true" outlineLevel="0" collapsed="false">
      <c r="A31" s="29" t="s">
        <v>536</v>
      </c>
      <c r="B31" s="9" t="s"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56"/>
    <col collapsed="false" customWidth="true" hidden="false" outlineLevel="0" max="5" min="5" style="0" width="38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34" t="s">
        <v>538</v>
      </c>
      <c r="B1" s="34" t="s">
        <v>539</v>
      </c>
      <c r="C1" s="34" t="s">
        <v>540</v>
      </c>
      <c r="D1" s="34" t="s">
        <v>541</v>
      </c>
      <c r="E1" s="34" t="s">
        <v>542</v>
      </c>
      <c r="F1" s="34" t="s">
        <v>543</v>
      </c>
    </row>
    <row r="2" customFormat="false" ht="32.8" hidden="false" customHeight="false" outlineLevel="0" collapsed="false">
      <c r="A2" s="35" t="s">
        <v>544</v>
      </c>
      <c r="B2" s="35" t="s">
        <v>545</v>
      </c>
      <c r="C2" s="36" t="s">
        <v>546</v>
      </c>
      <c r="D2" s="36" t="s">
        <v>547</v>
      </c>
      <c r="E2" s="36" t="s">
        <v>548</v>
      </c>
      <c r="F2" s="35"/>
    </row>
    <row r="3" customFormat="false" ht="32.8" hidden="false" customHeight="false" outlineLevel="0" collapsed="false">
      <c r="A3" s="35" t="s">
        <v>549</v>
      </c>
      <c r="B3" s="36" t="s">
        <v>550</v>
      </c>
      <c r="C3" s="36" t="s">
        <v>551</v>
      </c>
      <c r="D3" s="36" t="s">
        <v>552</v>
      </c>
      <c r="E3" s="36" t="s">
        <v>553</v>
      </c>
      <c r="F3" s="35"/>
    </row>
    <row r="4" customFormat="false" ht="32.8" hidden="false" customHeight="false" outlineLevel="0" collapsed="false">
      <c r="A4" s="35" t="s">
        <v>554</v>
      </c>
      <c r="B4" s="36" t="s">
        <v>555</v>
      </c>
      <c r="C4" s="36" t="s">
        <v>556</v>
      </c>
      <c r="D4" s="35" t="s">
        <v>557</v>
      </c>
      <c r="E4" s="36" t="s">
        <v>558</v>
      </c>
      <c r="F4" s="35"/>
    </row>
    <row r="5" customFormat="false" ht="32.8" hidden="false" customHeight="false" outlineLevel="0" collapsed="false">
      <c r="A5" s="35" t="s">
        <v>559</v>
      </c>
      <c r="B5" s="36" t="s">
        <v>560</v>
      </c>
      <c r="C5" s="36" t="s">
        <v>561</v>
      </c>
      <c r="D5" s="35" t="s">
        <v>562</v>
      </c>
      <c r="E5" s="36" t="s">
        <v>563</v>
      </c>
      <c r="F5" s="35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68"/>
    <col collapsed="false" customWidth="true" hidden="false" outlineLevel="0" max="5" min="5" style="0" width="24"/>
  </cols>
  <sheetData>
    <row r="1" customFormat="false" ht="25.35" hidden="false" customHeight="false" outlineLevel="0" collapsed="false">
      <c r="A1" s="34" t="s">
        <v>538</v>
      </c>
      <c r="B1" s="34" t="s">
        <v>9</v>
      </c>
      <c r="C1" s="34" t="s">
        <v>564</v>
      </c>
      <c r="D1" s="34" t="s">
        <v>565</v>
      </c>
      <c r="E1" s="34" t="s">
        <v>566</v>
      </c>
    </row>
    <row r="2" customFormat="false" ht="79.85" hidden="false" customHeight="false" outlineLevel="0" collapsed="false">
      <c r="A2" s="35" t="s">
        <v>567</v>
      </c>
      <c r="B2" s="35" t="s">
        <v>38</v>
      </c>
      <c r="C2" s="35" t="s">
        <v>470</v>
      </c>
      <c r="D2" s="37" t="s">
        <v>568</v>
      </c>
      <c r="E2" s="35" t="s">
        <v>569</v>
      </c>
    </row>
    <row r="3" customFormat="false" ht="17.15" hidden="false" customHeight="false" outlineLevel="0" collapsed="false">
      <c r="A3" s="35" t="s">
        <v>570</v>
      </c>
      <c r="B3" s="35" t="s">
        <v>38</v>
      </c>
      <c r="C3" s="35" t="s">
        <v>473</v>
      </c>
      <c r="D3" s="36" t="s">
        <v>571</v>
      </c>
      <c r="E3" s="35" t="s">
        <v>569</v>
      </c>
    </row>
    <row r="4" customFormat="false" ht="32.8" hidden="false" customHeight="false" outlineLevel="0" collapsed="false">
      <c r="A4" s="35" t="s">
        <v>572</v>
      </c>
      <c r="B4" s="35" t="s">
        <v>48</v>
      </c>
      <c r="C4" s="35" t="s">
        <v>476</v>
      </c>
      <c r="D4" s="36" t="s">
        <v>573</v>
      </c>
      <c r="E4" s="35" t="s">
        <v>569</v>
      </c>
    </row>
    <row r="5" customFormat="false" ht="17.15" hidden="false" customHeight="false" outlineLevel="0" collapsed="false">
      <c r="A5" s="35" t="s">
        <v>574</v>
      </c>
      <c r="B5" s="35" t="s">
        <v>55</v>
      </c>
      <c r="C5" s="35" t="s">
        <v>479</v>
      </c>
      <c r="D5" s="36" t="s">
        <v>575</v>
      </c>
      <c r="E5" s="35" t="s">
        <v>569</v>
      </c>
    </row>
    <row r="6" customFormat="false" ht="17.15" hidden="false" customHeight="false" outlineLevel="0" collapsed="false">
      <c r="A6" s="35" t="s">
        <v>576</v>
      </c>
      <c r="B6" s="35" t="s">
        <v>51</v>
      </c>
      <c r="C6" s="35" t="s">
        <v>577</v>
      </c>
      <c r="D6" s="36" t="s">
        <v>578</v>
      </c>
      <c r="E6" s="35" t="s">
        <v>569</v>
      </c>
    </row>
    <row r="7" customFormat="false" ht="15" hidden="false" customHeight="false" outlineLevel="0" collapsed="false">
      <c r="A7" s="35"/>
      <c r="B7" s="35"/>
      <c r="C7" s="35"/>
      <c r="D7" s="35"/>
      <c r="E7" s="35"/>
    </row>
    <row r="8" customFormat="false" ht="135.05" hidden="false" customHeight="false" outlineLevel="0" collapsed="false">
      <c r="A8" s="36" t="s">
        <v>425</v>
      </c>
      <c r="B8" s="35" t="s">
        <v>579</v>
      </c>
      <c r="C8" s="35"/>
      <c r="D8" s="35"/>
      <c r="E8" s="35"/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13"/>
    <col collapsed="false" customWidth="true" hidden="false" outlineLevel="0" max="11" min="10" style="0" width="9"/>
    <col collapsed="false" customWidth="true" hidden="false" outlineLevel="0" max="12" min="12" style="0" width="20"/>
    <col collapsed="false" customWidth="true" hidden="false" outlineLevel="0" max="13" min="13" style="0" width="17"/>
    <col collapsed="false" customWidth="true" hidden="false" outlineLevel="0" max="14" min="14" style="0" width="8"/>
    <col collapsed="false" customWidth="true" hidden="false" outlineLevel="0" max="15" min="15" style="0" width="26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72"/>
    <col collapsed="false" customWidth="true" hidden="false" outlineLevel="0" max="19" min="19" style="0" width="20"/>
    <col collapsed="false" customWidth="true" hidden="false" outlineLevel="0" max="20" min="20" style="0" width="38"/>
    <col collapsed="false" customWidth="true" hidden="false" outlineLevel="0" max="21" min="21" style="0" width="9"/>
    <col collapsed="false" customWidth="true" hidden="false" outlineLevel="0" max="22" min="22" style="0" width="14"/>
    <col collapsed="false" customWidth="true" hidden="false" outlineLevel="0" max="23" min="23" style="0" width="16"/>
    <col collapsed="false" customWidth="true" hidden="false" outlineLevel="0" max="24" min="24" style="0" width="14"/>
    <col collapsed="false" customWidth="true" hidden="false" outlineLevel="0" max="27" min="25" style="0" width="16"/>
    <col collapsed="false" customWidth="true" hidden="false" outlineLevel="0" max="28" min="28" style="0" width="9"/>
    <col collapsed="false" customWidth="true" hidden="false" outlineLevel="0" max="29" min="29" style="0" width="11"/>
    <col collapsed="false" customWidth="true" hidden="false" outlineLevel="0" max="30" min="30" style="0" width="10"/>
    <col collapsed="false" customWidth="true" hidden="false" outlineLevel="0" max="31" min="31" style="0" width="20"/>
    <col collapsed="false" customWidth="true" hidden="false" outlineLevel="0" max="32" min="32" style="0" width="14"/>
  </cols>
  <sheetData>
    <row r="1" customFormat="false" ht="23.1" hidden="false" customHeight="false" outlineLevel="0" collapsed="false">
      <c r="A1" s="38" t="s">
        <v>580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7.15" hidden="false" customHeight="false" outlineLevel="0" collapsed="false">
      <c r="A2" s="39" t="s">
        <v>581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customFormat="false" ht="33.75" hidden="false" customHeight="true" outlineLevel="0" collapsed="false">
      <c r="A4" s="4" t="s">
        <v>2</v>
      </c>
      <c r="B4" s="4" t="s">
        <v>582</v>
      </c>
      <c r="C4" s="4" t="s">
        <v>583</v>
      </c>
      <c r="D4" s="4" t="s">
        <v>584</v>
      </c>
      <c r="E4" s="40" t="s">
        <v>9</v>
      </c>
      <c r="F4" s="4" t="s">
        <v>585</v>
      </c>
      <c r="G4" s="40" t="s">
        <v>5</v>
      </c>
      <c r="H4" s="4" t="s">
        <v>586</v>
      </c>
      <c r="I4" s="40" t="s">
        <v>587</v>
      </c>
      <c r="J4" s="40" t="s">
        <v>588</v>
      </c>
      <c r="K4" s="40" t="s">
        <v>589</v>
      </c>
      <c r="L4" s="4" t="s">
        <v>590</v>
      </c>
      <c r="M4" s="40" t="s">
        <v>591</v>
      </c>
      <c r="N4" s="4" t="s">
        <v>592</v>
      </c>
      <c r="O4" s="4" t="s">
        <v>593</v>
      </c>
      <c r="P4" s="40" t="s">
        <v>594</v>
      </c>
      <c r="Q4" s="40" t="s">
        <v>595</v>
      </c>
      <c r="R4" s="4" t="s">
        <v>596</v>
      </c>
      <c r="S4" s="40" t="s">
        <v>597</v>
      </c>
      <c r="T4" s="4" t="s">
        <v>598</v>
      </c>
      <c r="U4" s="40" t="s">
        <v>20</v>
      </c>
      <c r="V4" s="40" t="s">
        <v>21</v>
      </c>
      <c r="W4" s="40" t="s">
        <v>22</v>
      </c>
      <c r="X4" s="40" t="s">
        <v>23</v>
      </c>
      <c r="Y4" s="40" t="s">
        <v>24</v>
      </c>
      <c r="Z4" s="40" t="s">
        <v>25</v>
      </c>
      <c r="AA4" s="40" t="s">
        <v>26</v>
      </c>
      <c r="AB4" s="40" t="s">
        <v>27</v>
      </c>
      <c r="AC4" s="40" t="s">
        <v>28</v>
      </c>
      <c r="AD4" s="40" t="s">
        <v>29</v>
      </c>
      <c r="AE4" s="40" t="s">
        <v>30</v>
      </c>
      <c r="AF4" s="40" t="s">
        <v>31</v>
      </c>
    </row>
    <row r="5" customFormat="false" ht="96" hidden="false" customHeight="true" outlineLevel="0" collapsed="false">
      <c r="A5" s="33" t="s">
        <v>599</v>
      </c>
      <c r="B5" s="33" t="s">
        <v>600</v>
      </c>
      <c r="C5" s="41" t="s">
        <v>601</v>
      </c>
      <c r="D5" s="42" t="s">
        <v>602</v>
      </c>
      <c r="E5" s="33" t="s">
        <v>38</v>
      </c>
      <c r="F5" s="9" t="s">
        <v>603</v>
      </c>
      <c r="G5" s="9" t="s">
        <v>604</v>
      </c>
      <c r="H5" s="42" t="s">
        <v>602</v>
      </c>
      <c r="I5" s="9" t="s">
        <v>605</v>
      </c>
      <c r="J5" s="42" t="s">
        <v>602</v>
      </c>
      <c r="K5" s="43" t="s">
        <v>606</v>
      </c>
      <c r="L5" s="44" t="s">
        <v>607</v>
      </c>
      <c r="M5" s="42" t="s">
        <v>608</v>
      </c>
      <c r="N5" s="42" t="n">
        <v>200</v>
      </c>
      <c r="O5" s="33" t="s">
        <v>609</v>
      </c>
      <c r="P5" s="42" t="s">
        <v>610</v>
      </c>
      <c r="Q5" s="42" t="s">
        <v>611</v>
      </c>
      <c r="R5" s="9" t="s">
        <v>612</v>
      </c>
      <c r="S5" s="33" t="s">
        <v>613</v>
      </c>
      <c r="T5" s="33" t="s">
        <v>614</v>
      </c>
      <c r="U5" s="45"/>
      <c r="V5" s="46"/>
      <c r="W5" s="46"/>
      <c r="X5" s="46"/>
      <c r="Y5" s="46"/>
      <c r="Z5" s="46"/>
      <c r="AA5" s="46"/>
      <c r="AB5" s="45"/>
      <c r="AC5" s="45"/>
      <c r="AD5" s="45"/>
      <c r="AE5" s="46"/>
      <c r="AF5" s="46"/>
    </row>
    <row r="6" customFormat="false" ht="96" hidden="false" customHeight="true" outlineLevel="0" collapsed="false">
      <c r="A6" s="33" t="s">
        <v>615</v>
      </c>
      <c r="B6" s="33" t="s">
        <v>616</v>
      </c>
      <c r="C6" s="41" t="s">
        <v>601</v>
      </c>
      <c r="D6" s="42" t="s">
        <v>602</v>
      </c>
      <c r="E6" s="33" t="s">
        <v>38</v>
      </c>
      <c r="F6" s="9" t="s">
        <v>617</v>
      </c>
      <c r="G6" s="9" t="s">
        <v>604</v>
      </c>
      <c r="H6" s="47" t="s">
        <v>618</v>
      </c>
      <c r="I6" s="33" t="s">
        <v>602</v>
      </c>
      <c r="J6" s="42" t="s">
        <v>602</v>
      </c>
      <c r="K6" s="43" t="s">
        <v>606</v>
      </c>
      <c r="L6" s="44" t="s">
        <v>607</v>
      </c>
      <c r="M6" s="42" t="s">
        <v>608</v>
      </c>
      <c r="N6" s="47" t="n">
        <v>422</v>
      </c>
      <c r="O6" s="33" t="s">
        <v>619</v>
      </c>
      <c r="P6" s="42" t="s">
        <v>610</v>
      </c>
      <c r="Q6" s="42" t="s">
        <v>611</v>
      </c>
      <c r="R6" s="9" t="s">
        <v>620</v>
      </c>
      <c r="S6" s="33" t="s">
        <v>621</v>
      </c>
      <c r="T6" s="9" t="s">
        <v>622</v>
      </c>
      <c r="U6" s="45"/>
      <c r="V6" s="46"/>
      <c r="W6" s="46"/>
      <c r="X6" s="46"/>
      <c r="Y6" s="46"/>
      <c r="Z6" s="46"/>
      <c r="AA6" s="46"/>
      <c r="AB6" s="45"/>
      <c r="AC6" s="45"/>
      <c r="AD6" s="45"/>
      <c r="AE6" s="46"/>
      <c r="AF6" s="46"/>
    </row>
    <row r="7" customFormat="false" ht="96" hidden="false" customHeight="true" outlineLevel="0" collapsed="false">
      <c r="A7" s="33" t="s">
        <v>623</v>
      </c>
      <c r="B7" s="33" t="s">
        <v>624</v>
      </c>
      <c r="C7" s="41" t="s">
        <v>601</v>
      </c>
      <c r="D7" s="42" t="s">
        <v>602</v>
      </c>
      <c r="E7" s="33" t="s">
        <v>38</v>
      </c>
      <c r="F7" s="9" t="s">
        <v>625</v>
      </c>
      <c r="G7" s="9" t="s">
        <v>604</v>
      </c>
      <c r="H7" s="47" t="s">
        <v>626</v>
      </c>
      <c r="I7" s="33" t="s">
        <v>602</v>
      </c>
      <c r="J7" s="42" t="s">
        <v>602</v>
      </c>
      <c r="K7" s="43" t="s">
        <v>606</v>
      </c>
      <c r="L7" s="44" t="s">
        <v>607</v>
      </c>
      <c r="M7" s="42" t="s">
        <v>608</v>
      </c>
      <c r="N7" s="47" t="n">
        <v>422</v>
      </c>
      <c r="O7" s="33" t="s">
        <v>627</v>
      </c>
      <c r="P7" s="42" t="s">
        <v>610</v>
      </c>
      <c r="Q7" s="42" t="s">
        <v>611</v>
      </c>
      <c r="R7" s="33" t="s">
        <v>628</v>
      </c>
      <c r="S7" s="33" t="s">
        <v>629</v>
      </c>
      <c r="T7" s="9" t="s">
        <v>630</v>
      </c>
      <c r="U7" s="45"/>
      <c r="V7" s="46"/>
      <c r="W7" s="46"/>
      <c r="X7" s="46"/>
      <c r="Y7" s="46"/>
      <c r="Z7" s="46"/>
      <c r="AA7" s="46"/>
      <c r="AB7" s="45"/>
      <c r="AC7" s="45"/>
      <c r="AD7" s="45"/>
      <c r="AE7" s="46"/>
      <c r="AF7" s="46"/>
    </row>
    <row r="8" customFormat="false" ht="96" hidden="false" customHeight="true" outlineLevel="0" collapsed="false">
      <c r="A8" s="33" t="s">
        <v>631</v>
      </c>
      <c r="B8" s="33" t="s">
        <v>632</v>
      </c>
      <c r="C8" s="41" t="s">
        <v>601</v>
      </c>
      <c r="D8" s="42" t="s">
        <v>602</v>
      </c>
      <c r="E8" s="33" t="s">
        <v>38</v>
      </c>
      <c r="F8" s="9" t="s">
        <v>633</v>
      </c>
      <c r="G8" s="9" t="s">
        <v>604</v>
      </c>
      <c r="H8" s="42" t="s">
        <v>36</v>
      </c>
      <c r="I8" s="9" t="s">
        <v>634</v>
      </c>
      <c r="J8" s="42" t="s">
        <v>602</v>
      </c>
      <c r="K8" s="43" t="s">
        <v>606</v>
      </c>
      <c r="L8" s="44" t="s">
        <v>607</v>
      </c>
      <c r="M8" s="42" t="s">
        <v>608</v>
      </c>
      <c r="N8" s="47" t="n">
        <v>200</v>
      </c>
      <c r="O8" s="33" t="s">
        <v>609</v>
      </c>
      <c r="P8" s="42" t="s">
        <v>610</v>
      </c>
      <c r="Q8" s="42" t="s">
        <v>611</v>
      </c>
      <c r="R8" s="9" t="s">
        <v>635</v>
      </c>
      <c r="S8" s="33" t="s">
        <v>636</v>
      </c>
      <c r="T8" s="33" t="s">
        <v>637</v>
      </c>
      <c r="U8" s="45"/>
      <c r="V8" s="46"/>
      <c r="W8" s="46"/>
      <c r="X8" s="46"/>
      <c r="Y8" s="46"/>
      <c r="Z8" s="46"/>
      <c r="AA8" s="46"/>
      <c r="AB8" s="45"/>
      <c r="AC8" s="45"/>
      <c r="AD8" s="45"/>
      <c r="AE8" s="46"/>
      <c r="AF8" s="46"/>
    </row>
    <row r="9" customFormat="false" ht="96" hidden="false" customHeight="true" outlineLevel="0" collapsed="false">
      <c r="A9" s="33" t="s">
        <v>638</v>
      </c>
      <c r="B9" s="33" t="s">
        <v>639</v>
      </c>
      <c r="C9" s="41" t="s">
        <v>601</v>
      </c>
      <c r="D9" s="42" t="s">
        <v>602</v>
      </c>
      <c r="E9" s="33" t="s">
        <v>38</v>
      </c>
      <c r="F9" s="33" t="s">
        <v>640</v>
      </c>
      <c r="G9" s="9" t="s">
        <v>604</v>
      </c>
      <c r="H9" s="42" t="s">
        <v>36</v>
      </c>
      <c r="I9" s="33" t="s">
        <v>602</v>
      </c>
      <c r="J9" s="42" t="s">
        <v>602</v>
      </c>
      <c r="K9" s="43" t="s">
        <v>606</v>
      </c>
      <c r="L9" s="44" t="s">
        <v>607</v>
      </c>
      <c r="M9" s="42" t="s">
        <v>608</v>
      </c>
      <c r="N9" s="42" t="s">
        <v>602</v>
      </c>
      <c r="O9" s="33" t="s">
        <v>602</v>
      </c>
      <c r="P9" s="42" t="s">
        <v>610</v>
      </c>
      <c r="Q9" s="42" t="s">
        <v>611</v>
      </c>
      <c r="R9" s="9" t="s">
        <v>641</v>
      </c>
      <c r="S9" s="9" t="s">
        <v>642</v>
      </c>
      <c r="T9" s="9" t="s">
        <v>643</v>
      </c>
      <c r="U9" s="45"/>
      <c r="V9" s="46"/>
      <c r="W9" s="46"/>
      <c r="X9" s="46"/>
      <c r="Y9" s="46"/>
      <c r="Z9" s="46"/>
      <c r="AA9" s="46"/>
      <c r="AB9" s="45"/>
      <c r="AC9" s="45"/>
      <c r="AD9" s="45"/>
      <c r="AE9" s="46"/>
      <c r="AF9" s="46"/>
    </row>
    <row r="10" customFormat="false" ht="96" hidden="false" customHeight="true" outlineLevel="0" collapsed="false">
      <c r="A10" s="33" t="s">
        <v>644</v>
      </c>
      <c r="B10" s="33" t="s">
        <v>645</v>
      </c>
      <c r="C10" s="41" t="s">
        <v>601</v>
      </c>
      <c r="D10" s="42" t="s">
        <v>646</v>
      </c>
      <c r="E10" s="33" t="s">
        <v>38</v>
      </c>
      <c r="F10" s="9" t="s">
        <v>647</v>
      </c>
      <c r="G10" s="33" t="s">
        <v>34</v>
      </c>
      <c r="H10" s="42" t="s">
        <v>36</v>
      </c>
      <c r="I10" s="33" t="s">
        <v>42</v>
      </c>
      <c r="J10" s="47" t="n">
        <v>44</v>
      </c>
      <c r="K10" s="48" t="s">
        <v>648</v>
      </c>
      <c r="L10" s="46" t="s">
        <v>649</v>
      </c>
      <c r="M10" s="42" t="s">
        <v>609</v>
      </c>
      <c r="N10" s="47" t="n">
        <v>200</v>
      </c>
      <c r="O10" s="33" t="s">
        <v>41</v>
      </c>
      <c r="P10" s="42" t="s">
        <v>650</v>
      </c>
      <c r="Q10" s="47" t="s">
        <v>651</v>
      </c>
      <c r="R10" s="9" t="s">
        <v>652</v>
      </c>
      <c r="S10" s="33" t="s">
        <v>602</v>
      </c>
      <c r="T10" s="9" t="s">
        <v>653</v>
      </c>
      <c r="U10" s="45"/>
      <c r="V10" s="46"/>
      <c r="W10" s="46"/>
      <c r="X10" s="46"/>
      <c r="Y10" s="46"/>
      <c r="Z10" s="46"/>
      <c r="AA10" s="46"/>
      <c r="AB10" s="45"/>
      <c r="AC10" s="45"/>
      <c r="AD10" s="45"/>
      <c r="AE10" s="46"/>
      <c r="AF10" s="46"/>
    </row>
    <row r="11" customFormat="false" ht="96" hidden="false" customHeight="true" outlineLevel="0" collapsed="false">
      <c r="A11" s="33" t="s">
        <v>654</v>
      </c>
      <c r="B11" s="33" t="s">
        <v>655</v>
      </c>
      <c r="C11" s="41" t="s">
        <v>601</v>
      </c>
      <c r="D11" s="42" t="s">
        <v>646</v>
      </c>
      <c r="E11" s="33" t="s">
        <v>38</v>
      </c>
      <c r="F11" s="9" t="s">
        <v>647</v>
      </c>
      <c r="G11" s="33" t="s">
        <v>125</v>
      </c>
      <c r="H11" s="42" t="s">
        <v>36</v>
      </c>
      <c r="I11" s="33" t="s">
        <v>135</v>
      </c>
      <c r="J11" s="47" t="n">
        <v>39</v>
      </c>
      <c r="K11" s="49" t="s">
        <v>656</v>
      </c>
      <c r="L11" s="46" t="s">
        <v>649</v>
      </c>
      <c r="M11" s="42" t="s">
        <v>609</v>
      </c>
      <c r="N11" s="47" t="n">
        <v>200</v>
      </c>
      <c r="O11" s="33" t="s">
        <v>41</v>
      </c>
      <c r="P11" s="42" t="s">
        <v>650</v>
      </c>
      <c r="Q11" s="47" t="s">
        <v>651</v>
      </c>
      <c r="R11" s="33" t="s">
        <v>657</v>
      </c>
      <c r="S11" s="33" t="s">
        <v>602</v>
      </c>
      <c r="T11" s="9" t="s">
        <v>653</v>
      </c>
      <c r="U11" s="45"/>
      <c r="V11" s="46"/>
      <c r="W11" s="46"/>
      <c r="X11" s="46"/>
      <c r="Y11" s="46"/>
      <c r="Z11" s="46"/>
      <c r="AA11" s="46"/>
      <c r="AB11" s="45"/>
      <c r="AC11" s="45"/>
      <c r="AD11" s="45"/>
      <c r="AE11" s="46"/>
      <c r="AF11" s="46"/>
    </row>
    <row r="12" customFormat="false" ht="96" hidden="false" customHeight="true" outlineLevel="0" collapsed="false">
      <c r="A12" s="33" t="s">
        <v>658</v>
      </c>
      <c r="B12" s="33" t="s">
        <v>659</v>
      </c>
      <c r="C12" s="41" t="s">
        <v>601</v>
      </c>
      <c r="D12" s="42" t="s">
        <v>646</v>
      </c>
      <c r="E12" s="33" t="s">
        <v>38</v>
      </c>
      <c r="F12" s="9" t="s">
        <v>660</v>
      </c>
      <c r="G12" s="33" t="s">
        <v>58</v>
      </c>
      <c r="H12" s="42" t="s">
        <v>36</v>
      </c>
      <c r="I12" s="33" t="s">
        <v>69</v>
      </c>
      <c r="J12" s="47" t="n">
        <v>19</v>
      </c>
      <c r="K12" s="49" t="s">
        <v>656</v>
      </c>
      <c r="L12" s="46" t="s">
        <v>649</v>
      </c>
      <c r="M12" s="42" t="s">
        <v>609</v>
      </c>
      <c r="N12" s="47" t="n">
        <v>200</v>
      </c>
      <c r="O12" s="33" t="s">
        <v>41</v>
      </c>
      <c r="P12" s="42" t="s">
        <v>650</v>
      </c>
      <c r="Q12" s="47" t="s">
        <v>651</v>
      </c>
      <c r="R12" s="9" t="s">
        <v>661</v>
      </c>
      <c r="S12" s="33" t="s">
        <v>662</v>
      </c>
      <c r="T12" s="9" t="s">
        <v>663</v>
      </c>
      <c r="U12" s="45"/>
      <c r="V12" s="46"/>
      <c r="W12" s="46"/>
      <c r="X12" s="46"/>
      <c r="Y12" s="46"/>
      <c r="Z12" s="46"/>
      <c r="AA12" s="46"/>
      <c r="AB12" s="45"/>
      <c r="AC12" s="45"/>
      <c r="AD12" s="45"/>
      <c r="AE12" s="46"/>
      <c r="AF12" s="46"/>
    </row>
    <row r="13" customFormat="false" ht="96" hidden="false" customHeight="true" outlineLevel="0" collapsed="false">
      <c r="A13" s="33" t="s">
        <v>664</v>
      </c>
      <c r="B13" s="33" t="s">
        <v>659</v>
      </c>
      <c r="C13" s="41" t="s">
        <v>601</v>
      </c>
      <c r="D13" s="42" t="s">
        <v>646</v>
      </c>
      <c r="E13" s="33" t="s">
        <v>38</v>
      </c>
      <c r="F13" s="9" t="s">
        <v>660</v>
      </c>
      <c r="G13" s="33" t="s">
        <v>150</v>
      </c>
      <c r="H13" s="42" t="s">
        <v>152</v>
      </c>
      <c r="I13" s="33" t="s">
        <v>153</v>
      </c>
      <c r="J13" s="47" t="n">
        <v>44</v>
      </c>
      <c r="K13" s="49" t="s">
        <v>656</v>
      </c>
      <c r="L13" s="46" t="s">
        <v>649</v>
      </c>
      <c r="M13" s="42" t="s">
        <v>609</v>
      </c>
      <c r="N13" s="47" t="n">
        <v>200</v>
      </c>
      <c r="O13" s="33" t="s">
        <v>41</v>
      </c>
      <c r="P13" s="42" t="s">
        <v>650</v>
      </c>
      <c r="Q13" s="47" t="s">
        <v>651</v>
      </c>
      <c r="R13" s="9" t="s">
        <v>665</v>
      </c>
      <c r="S13" s="33" t="s">
        <v>662</v>
      </c>
      <c r="T13" s="9" t="s">
        <v>663</v>
      </c>
      <c r="U13" s="45"/>
      <c r="V13" s="46"/>
      <c r="W13" s="46"/>
      <c r="X13" s="46"/>
      <c r="Y13" s="46"/>
      <c r="Z13" s="46"/>
      <c r="AA13" s="46"/>
      <c r="AB13" s="45"/>
      <c r="AC13" s="45"/>
      <c r="AD13" s="45"/>
      <c r="AE13" s="46"/>
      <c r="AF13" s="46"/>
    </row>
    <row r="14" customFormat="false" ht="96" hidden="false" customHeight="true" outlineLevel="0" collapsed="false">
      <c r="A14" s="33" t="s">
        <v>666</v>
      </c>
      <c r="B14" s="33" t="s">
        <v>659</v>
      </c>
      <c r="C14" s="41" t="s">
        <v>601</v>
      </c>
      <c r="D14" s="42" t="s">
        <v>646</v>
      </c>
      <c r="E14" s="33" t="s">
        <v>38</v>
      </c>
      <c r="F14" s="9" t="s">
        <v>660</v>
      </c>
      <c r="G14" s="33" t="s">
        <v>115</v>
      </c>
      <c r="H14" s="42" t="s">
        <v>117</v>
      </c>
      <c r="I14" s="33" t="s">
        <v>118</v>
      </c>
      <c r="J14" s="47" t="n">
        <v>39</v>
      </c>
      <c r="K14" s="49" t="s">
        <v>656</v>
      </c>
      <c r="L14" s="46" t="s">
        <v>649</v>
      </c>
      <c r="M14" s="42" t="s">
        <v>609</v>
      </c>
      <c r="N14" s="47" t="n">
        <v>200</v>
      </c>
      <c r="O14" s="33" t="s">
        <v>41</v>
      </c>
      <c r="P14" s="42" t="s">
        <v>650</v>
      </c>
      <c r="Q14" s="47" t="s">
        <v>651</v>
      </c>
      <c r="R14" s="9" t="s">
        <v>667</v>
      </c>
      <c r="S14" s="33" t="s">
        <v>662</v>
      </c>
      <c r="T14" s="9" t="s">
        <v>663</v>
      </c>
      <c r="U14" s="45"/>
      <c r="V14" s="46"/>
      <c r="W14" s="46"/>
      <c r="X14" s="46"/>
      <c r="Y14" s="46"/>
      <c r="Z14" s="46"/>
      <c r="AA14" s="46"/>
      <c r="AB14" s="45"/>
      <c r="AC14" s="45"/>
      <c r="AD14" s="45"/>
      <c r="AE14" s="46"/>
      <c r="AF14" s="46"/>
    </row>
    <row r="15" customFormat="false" ht="96" hidden="false" customHeight="true" outlineLevel="0" collapsed="false">
      <c r="A15" s="33" t="s">
        <v>668</v>
      </c>
      <c r="B15" s="33" t="s">
        <v>659</v>
      </c>
      <c r="C15" s="41" t="s">
        <v>601</v>
      </c>
      <c r="D15" s="42" t="s">
        <v>646</v>
      </c>
      <c r="E15" s="33" t="s">
        <v>38</v>
      </c>
      <c r="F15" s="9" t="s">
        <v>660</v>
      </c>
      <c r="G15" s="33" t="s">
        <v>125</v>
      </c>
      <c r="H15" s="42" t="s">
        <v>127</v>
      </c>
      <c r="I15" s="33" t="s">
        <v>128</v>
      </c>
      <c r="J15" s="47" t="n">
        <v>39</v>
      </c>
      <c r="K15" s="49" t="s">
        <v>656</v>
      </c>
      <c r="L15" s="46" t="s">
        <v>649</v>
      </c>
      <c r="M15" s="42" t="s">
        <v>609</v>
      </c>
      <c r="N15" s="47" t="n">
        <v>200</v>
      </c>
      <c r="O15" s="33" t="s">
        <v>41</v>
      </c>
      <c r="P15" s="42" t="s">
        <v>650</v>
      </c>
      <c r="Q15" s="47" t="s">
        <v>651</v>
      </c>
      <c r="R15" s="9" t="s">
        <v>669</v>
      </c>
      <c r="S15" s="33" t="s">
        <v>662</v>
      </c>
      <c r="T15" s="9" t="s">
        <v>663</v>
      </c>
      <c r="U15" s="45"/>
      <c r="V15" s="46"/>
      <c r="W15" s="46"/>
      <c r="X15" s="46"/>
      <c r="Y15" s="46"/>
      <c r="Z15" s="46"/>
      <c r="AA15" s="46"/>
      <c r="AB15" s="45"/>
      <c r="AC15" s="45"/>
      <c r="AD15" s="45"/>
      <c r="AE15" s="46"/>
      <c r="AF15" s="46"/>
    </row>
    <row r="16" customFormat="false" ht="96" hidden="false" customHeight="true" outlineLevel="0" collapsed="false">
      <c r="A16" s="33" t="s">
        <v>670</v>
      </c>
      <c r="B16" s="33" t="s">
        <v>659</v>
      </c>
      <c r="C16" s="41" t="s">
        <v>601</v>
      </c>
      <c r="D16" s="42" t="s">
        <v>646</v>
      </c>
      <c r="E16" s="33" t="s">
        <v>38</v>
      </c>
      <c r="F16" s="9" t="s">
        <v>660</v>
      </c>
      <c r="G16" s="33" t="s">
        <v>125</v>
      </c>
      <c r="H16" s="42" t="s">
        <v>36</v>
      </c>
      <c r="I16" s="33" t="s">
        <v>135</v>
      </c>
      <c r="J16" s="47" t="n">
        <v>39</v>
      </c>
      <c r="K16" s="49" t="s">
        <v>656</v>
      </c>
      <c r="L16" s="46" t="s">
        <v>649</v>
      </c>
      <c r="M16" s="42" t="s">
        <v>609</v>
      </c>
      <c r="N16" s="47" t="n">
        <v>200</v>
      </c>
      <c r="O16" s="33" t="s">
        <v>41</v>
      </c>
      <c r="P16" s="42" t="s">
        <v>650</v>
      </c>
      <c r="Q16" s="47" t="s">
        <v>651</v>
      </c>
      <c r="R16" s="9" t="s">
        <v>671</v>
      </c>
      <c r="S16" s="33" t="s">
        <v>662</v>
      </c>
      <c r="T16" s="9" t="s">
        <v>663</v>
      </c>
      <c r="U16" s="45"/>
      <c r="V16" s="46"/>
      <c r="W16" s="46"/>
      <c r="X16" s="46"/>
      <c r="Y16" s="46"/>
      <c r="Z16" s="46"/>
      <c r="AA16" s="46"/>
      <c r="AB16" s="45"/>
      <c r="AC16" s="45"/>
      <c r="AD16" s="45"/>
      <c r="AE16" s="46"/>
      <c r="AF16" s="46"/>
    </row>
    <row r="17" customFormat="false" ht="96" hidden="false" customHeight="true" outlineLevel="0" collapsed="false">
      <c r="A17" s="33" t="s">
        <v>672</v>
      </c>
      <c r="B17" s="33" t="s">
        <v>659</v>
      </c>
      <c r="C17" s="41" t="s">
        <v>601</v>
      </c>
      <c r="D17" s="42" t="s">
        <v>646</v>
      </c>
      <c r="E17" s="33" t="s">
        <v>38</v>
      </c>
      <c r="F17" s="9" t="s">
        <v>660</v>
      </c>
      <c r="G17" s="33" t="s">
        <v>140</v>
      </c>
      <c r="H17" s="42" t="s">
        <v>142</v>
      </c>
      <c r="I17" s="33" t="s">
        <v>143</v>
      </c>
      <c r="J17" s="47" t="n">
        <v>39</v>
      </c>
      <c r="K17" s="49" t="s">
        <v>656</v>
      </c>
      <c r="L17" s="46" t="s">
        <v>649</v>
      </c>
      <c r="M17" s="42" t="s">
        <v>609</v>
      </c>
      <c r="N17" s="47" t="n">
        <v>200</v>
      </c>
      <c r="O17" s="33" t="s">
        <v>41</v>
      </c>
      <c r="P17" s="42" t="s">
        <v>650</v>
      </c>
      <c r="Q17" s="47" t="s">
        <v>651</v>
      </c>
      <c r="R17" s="9" t="s">
        <v>673</v>
      </c>
      <c r="S17" s="33" t="s">
        <v>662</v>
      </c>
      <c r="T17" s="9" t="s">
        <v>663</v>
      </c>
      <c r="U17" s="45"/>
      <c r="V17" s="46"/>
      <c r="W17" s="46"/>
      <c r="X17" s="46"/>
      <c r="Y17" s="46"/>
      <c r="Z17" s="46"/>
      <c r="AA17" s="46"/>
      <c r="AB17" s="45"/>
      <c r="AC17" s="45"/>
      <c r="AD17" s="45"/>
      <c r="AE17" s="46"/>
      <c r="AF17" s="46"/>
    </row>
    <row r="18" customFormat="false" ht="96" hidden="false" customHeight="true" outlineLevel="0" collapsed="false">
      <c r="A18" s="33" t="s">
        <v>674</v>
      </c>
      <c r="B18" s="33" t="s">
        <v>675</v>
      </c>
      <c r="C18" s="41" t="s">
        <v>601</v>
      </c>
      <c r="D18" s="42" t="s">
        <v>676</v>
      </c>
      <c r="E18" s="33" t="s">
        <v>38</v>
      </c>
      <c r="F18" s="9" t="s">
        <v>677</v>
      </c>
      <c r="G18" s="33" t="s">
        <v>34</v>
      </c>
      <c r="H18" s="42" t="s">
        <v>36</v>
      </c>
      <c r="I18" s="33" t="s">
        <v>42</v>
      </c>
      <c r="J18" s="47" t="n">
        <v>44</v>
      </c>
      <c r="K18" s="48" t="s">
        <v>648</v>
      </c>
      <c r="L18" s="46" t="s">
        <v>649</v>
      </c>
      <c r="M18" s="42" t="s">
        <v>609</v>
      </c>
      <c r="N18" s="47" t="n">
        <v>200</v>
      </c>
      <c r="O18" s="33" t="s">
        <v>41</v>
      </c>
      <c r="P18" s="42" t="s">
        <v>650</v>
      </c>
      <c r="Q18" s="47" t="s">
        <v>651</v>
      </c>
      <c r="R18" s="9" t="s">
        <v>678</v>
      </c>
      <c r="S18" s="33" t="s">
        <v>602</v>
      </c>
      <c r="T18" s="9" t="s">
        <v>679</v>
      </c>
      <c r="U18" s="45"/>
      <c r="V18" s="46"/>
      <c r="W18" s="46"/>
      <c r="X18" s="46"/>
      <c r="Y18" s="46"/>
      <c r="Z18" s="46"/>
      <c r="AA18" s="46"/>
      <c r="AB18" s="45"/>
      <c r="AC18" s="45"/>
      <c r="AD18" s="45"/>
      <c r="AE18" s="46"/>
      <c r="AF18" s="46"/>
    </row>
    <row r="19" customFormat="false" ht="96" hidden="false" customHeight="true" outlineLevel="0" collapsed="false">
      <c r="A19" s="33" t="s">
        <v>680</v>
      </c>
      <c r="B19" s="33" t="s">
        <v>681</v>
      </c>
      <c r="C19" s="41" t="s">
        <v>601</v>
      </c>
      <c r="D19" s="42" t="s">
        <v>676</v>
      </c>
      <c r="E19" s="33" t="s">
        <v>38</v>
      </c>
      <c r="F19" s="9" t="s">
        <v>677</v>
      </c>
      <c r="G19" s="33" t="s">
        <v>58</v>
      </c>
      <c r="H19" s="42" t="s">
        <v>36</v>
      </c>
      <c r="I19" s="33" t="s">
        <v>69</v>
      </c>
      <c r="J19" s="47" t="n">
        <v>19</v>
      </c>
      <c r="K19" s="49" t="s">
        <v>656</v>
      </c>
      <c r="L19" s="46" t="s">
        <v>649</v>
      </c>
      <c r="M19" s="42" t="s">
        <v>609</v>
      </c>
      <c r="N19" s="47" t="n">
        <v>200</v>
      </c>
      <c r="O19" s="33" t="s">
        <v>41</v>
      </c>
      <c r="P19" s="42" t="s">
        <v>650</v>
      </c>
      <c r="Q19" s="47" t="s">
        <v>651</v>
      </c>
      <c r="R19" s="9" t="s">
        <v>682</v>
      </c>
      <c r="S19" s="33" t="s">
        <v>602</v>
      </c>
      <c r="T19" s="33" t="s">
        <v>683</v>
      </c>
      <c r="U19" s="45"/>
      <c r="V19" s="46"/>
      <c r="W19" s="46"/>
      <c r="X19" s="46"/>
      <c r="Y19" s="46"/>
      <c r="Z19" s="46"/>
      <c r="AA19" s="46"/>
      <c r="AB19" s="45"/>
      <c r="AC19" s="45"/>
      <c r="AD19" s="45"/>
      <c r="AE19" s="46"/>
      <c r="AF19" s="46"/>
    </row>
    <row r="20" customFormat="false" ht="96" hidden="false" customHeight="true" outlineLevel="0" collapsed="false">
      <c r="A20" s="33" t="s">
        <v>684</v>
      </c>
      <c r="B20" s="33" t="s">
        <v>681</v>
      </c>
      <c r="C20" s="41" t="s">
        <v>601</v>
      </c>
      <c r="D20" s="42" t="s">
        <v>676</v>
      </c>
      <c r="E20" s="33" t="s">
        <v>38</v>
      </c>
      <c r="F20" s="9" t="s">
        <v>677</v>
      </c>
      <c r="G20" s="33" t="s">
        <v>150</v>
      </c>
      <c r="H20" s="42" t="s">
        <v>152</v>
      </c>
      <c r="I20" s="33" t="s">
        <v>153</v>
      </c>
      <c r="J20" s="47" t="n">
        <v>44</v>
      </c>
      <c r="K20" s="49" t="s">
        <v>656</v>
      </c>
      <c r="L20" s="46" t="s">
        <v>649</v>
      </c>
      <c r="M20" s="42" t="s">
        <v>609</v>
      </c>
      <c r="N20" s="47" t="n">
        <v>200</v>
      </c>
      <c r="O20" s="33" t="s">
        <v>41</v>
      </c>
      <c r="P20" s="42" t="s">
        <v>650</v>
      </c>
      <c r="Q20" s="47" t="s">
        <v>651</v>
      </c>
      <c r="R20" s="9" t="s">
        <v>685</v>
      </c>
      <c r="S20" s="33" t="s">
        <v>602</v>
      </c>
      <c r="T20" s="33" t="s">
        <v>683</v>
      </c>
      <c r="U20" s="45"/>
      <c r="V20" s="46"/>
      <c r="W20" s="46"/>
      <c r="X20" s="46"/>
      <c r="Y20" s="46"/>
      <c r="Z20" s="46"/>
      <c r="AA20" s="46"/>
      <c r="AB20" s="45"/>
      <c r="AC20" s="45"/>
      <c r="AD20" s="45"/>
      <c r="AE20" s="46"/>
      <c r="AF20" s="46"/>
    </row>
    <row r="21" customFormat="false" ht="96" hidden="false" customHeight="true" outlineLevel="0" collapsed="false">
      <c r="A21" s="33" t="s">
        <v>686</v>
      </c>
      <c r="B21" s="33" t="s">
        <v>681</v>
      </c>
      <c r="C21" s="41" t="s">
        <v>601</v>
      </c>
      <c r="D21" s="42" t="s">
        <v>676</v>
      </c>
      <c r="E21" s="33" t="s">
        <v>38</v>
      </c>
      <c r="F21" s="9" t="s">
        <v>677</v>
      </c>
      <c r="G21" s="33" t="s">
        <v>115</v>
      </c>
      <c r="H21" s="42" t="s">
        <v>117</v>
      </c>
      <c r="I21" s="33" t="s">
        <v>118</v>
      </c>
      <c r="J21" s="47" t="n">
        <v>39</v>
      </c>
      <c r="K21" s="49" t="s">
        <v>656</v>
      </c>
      <c r="L21" s="46" t="s">
        <v>649</v>
      </c>
      <c r="M21" s="42" t="s">
        <v>609</v>
      </c>
      <c r="N21" s="47" t="n">
        <v>200</v>
      </c>
      <c r="O21" s="33" t="s">
        <v>41</v>
      </c>
      <c r="P21" s="42" t="s">
        <v>650</v>
      </c>
      <c r="Q21" s="47" t="s">
        <v>651</v>
      </c>
      <c r="R21" s="9" t="s">
        <v>687</v>
      </c>
      <c r="S21" s="33" t="s">
        <v>602</v>
      </c>
      <c r="T21" s="33" t="s">
        <v>683</v>
      </c>
      <c r="U21" s="45"/>
      <c r="V21" s="46"/>
      <c r="W21" s="46"/>
      <c r="X21" s="46"/>
      <c r="Y21" s="46"/>
      <c r="Z21" s="46"/>
      <c r="AA21" s="46"/>
      <c r="AB21" s="45"/>
      <c r="AC21" s="45"/>
      <c r="AD21" s="45"/>
      <c r="AE21" s="46"/>
      <c r="AF21" s="46"/>
    </row>
    <row r="22" customFormat="false" ht="96" hidden="false" customHeight="true" outlineLevel="0" collapsed="false">
      <c r="A22" s="33" t="s">
        <v>688</v>
      </c>
      <c r="B22" s="33" t="s">
        <v>681</v>
      </c>
      <c r="C22" s="41" t="s">
        <v>601</v>
      </c>
      <c r="D22" s="42" t="s">
        <v>676</v>
      </c>
      <c r="E22" s="33" t="s">
        <v>38</v>
      </c>
      <c r="F22" s="9" t="s">
        <v>677</v>
      </c>
      <c r="G22" s="33" t="s">
        <v>125</v>
      </c>
      <c r="H22" s="42" t="s">
        <v>127</v>
      </c>
      <c r="I22" s="33" t="s">
        <v>128</v>
      </c>
      <c r="J22" s="47" t="n">
        <v>39</v>
      </c>
      <c r="K22" s="49" t="s">
        <v>656</v>
      </c>
      <c r="L22" s="46" t="s">
        <v>649</v>
      </c>
      <c r="M22" s="42" t="s">
        <v>609</v>
      </c>
      <c r="N22" s="47" t="n">
        <v>200</v>
      </c>
      <c r="O22" s="33" t="s">
        <v>41</v>
      </c>
      <c r="P22" s="42" t="s">
        <v>650</v>
      </c>
      <c r="Q22" s="47" t="s">
        <v>651</v>
      </c>
      <c r="R22" s="9" t="s">
        <v>689</v>
      </c>
      <c r="S22" s="33" t="s">
        <v>602</v>
      </c>
      <c r="T22" s="33" t="s">
        <v>683</v>
      </c>
      <c r="U22" s="45"/>
      <c r="V22" s="46"/>
      <c r="W22" s="46"/>
      <c r="X22" s="46"/>
      <c r="Y22" s="46"/>
      <c r="Z22" s="46"/>
      <c r="AA22" s="46"/>
      <c r="AB22" s="45"/>
      <c r="AC22" s="45"/>
      <c r="AD22" s="45"/>
      <c r="AE22" s="46"/>
      <c r="AF22" s="46"/>
    </row>
    <row r="23" customFormat="false" ht="96" hidden="false" customHeight="true" outlineLevel="0" collapsed="false">
      <c r="A23" s="33" t="s">
        <v>690</v>
      </c>
      <c r="B23" s="33" t="s">
        <v>681</v>
      </c>
      <c r="C23" s="41" t="s">
        <v>601</v>
      </c>
      <c r="D23" s="42" t="s">
        <v>676</v>
      </c>
      <c r="E23" s="33" t="s">
        <v>38</v>
      </c>
      <c r="F23" s="9" t="s">
        <v>677</v>
      </c>
      <c r="G23" s="33" t="s">
        <v>125</v>
      </c>
      <c r="H23" s="42" t="s">
        <v>36</v>
      </c>
      <c r="I23" s="33" t="s">
        <v>135</v>
      </c>
      <c r="J23" s="47" t="n">
        <v>39</v>
      </c>
      <c r="K23" s="49" t="s">
        <v>656</v>
      </c>
      <c r="L23" s="46" t="s">
        <v>649</v>
      </c>
      <c r="M23" s="42" t="s">
        <v>609</v>
      </c>
      <c r="N23" s="47" t="n">
        <v>200</v>
      </c>
      <c r="O23" s="33" t="s">
        <v>41</v>
      </c>
      <c r="P23" s="42" t="s">
        <v>650</v>
      </c>
      <c r="Q23" s="47" t="s">
        <v>651</v>
      </c>
      <c r="R23" s="9" t="s">
        <v>691</v>
      </c>
      <c r="S23" s="33" t="s">
        <v>602</v>
      </c>
      <c r="T23" s="33" t="s">
        <v>683</v>
      </c>
      <c r="U23" s="45"/>
      <c r="V23" s="46"/>
      <c r="W23" s="46"/>
      <c r="X23" s="46"/>
      <c r="Y23" s="46"/>
      <c r="Z23" s="46"/>
      <c r="AA23" s="46"/>
      <c r="AB23" s="45"/>
      <c r="AC23" s="45"/>
      <c r="AD23" s="45"/>
      <c r="AE23" s="46"/>
      <c r="AF23" s="46"/>
    </row>
    <row r="24" customFormat="false" ht="96" hidden="false" customHeight="true" outlineLevel="0" collapsed="false">
      <c r="A24" s="33" t="s">
        <v>692</v>
      </c>
      <c r="B24" s="33" t="s">
        <v>681</v>
      </c>
      <c r="C24" s="41" t="s">
        <v>601</v>
      </c>
      <c r="D24" s="42" t="s">
        <v>676</v>
      </c>
      <c r="E24" s="33" t="s">
        <v>38</v>
      </c>
      <c r="F24" s="9" t="s">
        <v>677</v>
      </c>
      <c r="G24" s="33" t="s">
        <v>140</v>
      </c>
      <c r="H24" s="42" t="s">
        <v>142</v>
      </c>
      <c r="I24" s="33" t="s">
        <v>143</v>
      </c>
      <c r="J24" s="47" t="n">
        <v>39</v>
      </c>
      <c r="K24" s="49" t="s">
        <v>656</v>
      </c>
      <c r="L24" s="46" t="s">
        <v>649</v>
      </c>
      <c r="M24" s="42" t="s">
        <v>609</v>
      </c>
      <c r="N24" s="47" t="n">
        <v>200</v>
      </c>
      <c r="O24" s="33" t="s">
        <v>41</v>
      </c>
      <c r="P24" s="42" t="s">
        <v>650</v>
      </c>
      <c r="Q24" s="47" t="s">
        <v>651</v>
      </c>
      <c r="R24" s="9" t="s">
        <v>693</v>
      </c>
      <c r="S24" s="33" t="s">
        <v>602</v>
      </c>
      <c r="T24" s="33" t="s">
        <v>683</v>
      </c>
      <c r="U24" s="45"/>
      <c r="V24" s="46"/>
      <c r="W24" s="46"/>
      <c r="X24" s="46"/>
      <c r="Y24" s="46"/>
      <c r="Z24" s="46"/>
      <c r="AA24" s="46"/>
      <c r="AB24" s="45"/>
      <c r="AC24" s="45"/>
      <c r="AD24" s="45"/>
      <c r="AE24" s="46"/>
      <c r="AF24" s="46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customFormat="false" ht="15" hidden="false" customHeight="false" outlineLevel="0" collapsed="false">
      <c r="A26" s="12" t="s">
        <v>694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customFormat="false" ht="15" hidden="false" customHeight="false" outlineLevel="0" collapsed="false">
      <c r="A27" s="13" t="s">
        <v>695</v>
      </c>
      <c r="B27" s="50" t="n">
        <f aca="false">COUNTA($A$5:$A24)</f>
        <v>20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customFormat="false" ht="17.15" hidden="false" customHeight="false" outlineLevel="0" collapsed="false">
      <c r="A28" s="15" t="s">
        <v>696</v>
      </c>
      <c r="B28" s="50" t="n">
        <f aca="false">COUNTIF($A$5:$A24,"BOOK-*")</f>
        <v>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customFormat="false" ht="17.15" hidden="false" customHeight="false" outlineLevel="0" collapsed="false">
      <c r="A29" s="15" t="s">
        <v>697</v>
      </c>
      <c r="B29" s="50" t="n">
        <f aca="false">COUNTIF($A$5:$A24,"GEN-*")</f>
        <v>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customFormat="false" ht="17.15" hidden="false" customHeight="false" outlineLevel="0" collapsed="false">
      <c r="A30" s="15" t="s">
        <v>698</v>
      </c>
      <c r="B30" s="50" t="n">
        <f aca="false">COUNTIF($A$5:$A24,"OMIT-57A-*")</f>
        <v>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customFormat="false" ht="17.15" hidden="false" customHeight="false" outlineLevel="0" collapsed="false">
      <c r="A31" s="15" t="s">
        <v>699</v>
      </c>
      <c r="B31" s="50" t="n">
        <f aca="false">COUNTIF($A$5:$A24,"PROV-*")</f>
        <v>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customFormat="false" ht="17.15" hidden="false" customHeight="false" outlineLevel="0" collapsed="false">
      <c r="A32" s="15" t="s">
        <v>700</v>
      </c>
      <c r="B32" s="50" t="n">
        <f aca="false">COUNTIF($C$5:$C24,"BLOCKED*")</f>
        <v>20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customFormat="false" ht="17.15" hidden="false" customHeight="false" outlineLevel="0" collapsed="false">
      <c r="A33" s="13" t="s">
        <v>701</v>
      </c>
      <c r="B33" s="50" t="n">
        <f aca="false">0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customFormat="false" ht="17.15" hidden="false" customHeight="false" outlineLevel="0" collapsed="false">
      <c r="A34" s="13" t="s">
        <v>702</v>
      </c>
      <c r="B34" s="50" t="n">
        <f aca="false">COUNTIF($AD$5:$AD24,"PASS")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customFormat="false" ht="17.15" hidden="false" customHeight="false" outlineLevel="0" collapsed="false">
      <c r="A35" s="13" t="s">
        <v>703</v>
      </c>
      <c r="B35" s="50" t="n">
        <f aca="false">COUNTIF($AD$5:$AD24,"FAIL")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</sheetData>
  <autoFilter ref="A4:AF24"/>
  <dataValidations count="2">
    <dataValidation allowBlank="true" errorStyle="stop" operator="between" showDropDown="false" showErrorMessage="false" showInputMessage="false" sqref="AD5:AD24" type="list">
      <formula1>"PASS,FAIL,BLOCKED,N/A"</formula1>
      <formula2>0</formula2>
    </dataValidation>
    <dataValidation allowBlank="true" errorStyle="stop" operator="between" showDropDown="false" showErrorMessage="false" showInputMessage="false" sqref="C5:C24" type="list">
      <formula1>"BLOCKED — 待 BA 核准,APPROVED — 可執行,CLOSED"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66"/>
    <col collapsed="false" customWidth="true" hidden="false" outlineLevel="0" max="6" min="6" style="0" width="30"/>
  </cols>
  <sheetData>
    <row r="1" customFormat="false" ht="23.1" hidden="false" customHeight="false" outlineLevel="0" collapsed="false">
      <c r="A1" s="51" t="s">
        <v>704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705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3.75" hidden="false" customHeight="true" outlineLevel="0" collapsed="false">
      <c r="A4" s="4" t="s">
        <v>584</v>
      </c>
      <c r="B4" s="4" t="s">
        <v>706</v>
      </c>
      <c r="C4" s="4" t="s">
        <v>583</v>
      </c>
      <c r="D4" s="4" t="s">
        <v>707</v>
      </c>
      <c r="E4" s="4" t="s">
        <v>708</v>
      </c>
      <c r="F4" s="4" t="s">
        <v>709</v>
      </c>
    </row>
    <row r="5" customFormat="false" ht="84" hidden="false" customHeight="true" outlineLevel="0" collapsed="false">
      <c r="A5" s="33" t="s">
        <v>710</v>
      </c>
      <c r="B5" s="33" t="s">
        <v>711</v>
      </c>
      <c r="C5" s="48" t="s">
        <v>712</v>
      </c>
      <c r="D5" s="42" t="s">
        <v>713</v>
      </c>
      <c r="E5" s="33" t="s">
        <v>714</v>
      </c>
      <c r="F5" s="33" t="s">
        <v>715</v>
      </c>
    </row>
    <row r="6" customFormat="false" ht="84" hidden="false" customHeight="true" outlineLevel="0" collapsed="false">
      <c r="A6" s="33" t="s">
        <v>716</v>
      </c>
      <c r="B6" s="33" t="s">
        <v>717</v>
      </c>
      <c r="C6" s="48" t="s">
        <v>712</v>
      </c>
      <c r="D6" s="42" t="s">
        <v>713</v>
      </c>
      <c r="E6" s="9" t="s">
        <v>718</v>
      </c>
      <c r="F6" s="33" t="s">
        <v>615</v>
      </c>
    </row>
    <row r="7" customFormat="false" ht="84" hidden="false" customHeight="true" outlineLevel="0" collapsed="false">
      <c r="A7" s="33" t="s">
        <v>646</v>
      </c>
      <c r="B7" s="9" t="s">
        <v>719</v>
      </c>
      <c r="C7" s="49" t="s">
        <v>720</v>
      </c>
      <c r="D7" s="42" t="s">
        <v>713</v>
      </c>
      <c r="E7" s="9" t="s">
        <v>721</v>
      </c>
      <c r="F7" s="9" t="s">
        <v>722</v>
      </c>
    </row>
    <row r="8" customFormat="false" ht="84" hidden="false" customHeight="true" outlineLevel="0" collapsed="false">
      <c r="A8" s="33" t="s">
        <v>723</v>
      </c>
      <c r="B8" s="33" t="s">
        <v>724</v>
      </c>
      <c r="C8" s="49" t="s">
        <v>720</v>
      </c>
      <c r="D8" s="42" t="s">
        <v>725</v>
      </c>
      <c r="E8" s="9" t="s">
        <v>726</v>
      </c>
      <c r="F8" s="33" t="s">
        <v>727</v>
      </c>
    </row>
    <row r="9" customFormat="false" ht="84" hidden="false" customHeight="true" outlineLevel="0" collapsed="false">
      <c r="A9" s="33" t="s">
        <v>728</v>
      </c>
      <c r="B9" s="33" t="s">
        <v>729</v>
      </c>
      <c r="C9" s="49" t="s">
        <v>720</v>
      </c>
      <c r="D9" s="42" t="s">
        <v>730</v>
      </c>
      <c r="E9" s="9" t="s">
        <v>731</v>
      </c>
      <c r="F9" s="9" t="s">
        <v>732</v>
      </c>
    </row>
    <row r="10" customFormat="false" ht="84" hidden="false" customHeight="true" outlineLevel="0" collapsed="false">
      <c r="A10" s="33" t="s">
        <v>733</v>
      </c>
      <c r="B10" s="9" t="s">
        <v>734</v>
      </c>
      <c r="C10" s="49" t="s">
        <v>720</v>
      </c>
      <c r="D10" s="42" t="s">
        <v>730</v>
      </c>
      <c r="E10" s="33" t="s">
        <v>735</v>
      </c>
      <c r="F10" s="9" t="s">
        <v>736</v>
      </c>
    </row>
  </sheetData>
  <autoFilter ref="A4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58"/>
    <col collapsed="false" customWidth="true" hidden="false" outlineLevel="0" max="6" min="6" style="0" width="40"/>
  </cols>
  <sheetData>
    <row r="1" customFormat="false" ht="23.1" hidden="false" customHeight="false" outlineLevel="0" collapsed="false">
      <c r="A1" s="38" t="s">
        <v>737</v>
      </c>
      <c r="B1" s="2"/>
      <c r="C1" s="2"/>
      <c r="D1" s="2"/>
      <c r="E1" s="2"/>
      <c r="F1" s="2"/>
    </row>
    <row r="2" customFormat="false" ht="17.15" hidden="false" customHeight="false" outlineLevel="0" collapsed="false">
      <c r="A2" s="39" t="s">
        <v>738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3.75" hidden="false" customHeight="true" outlineLevel="0" collapsed="false">
      <c r="A4" s="40" t="s">
        <v>739</v>
      </c>
      <c r="B4" s="4" t="s">
        <v>740</v>
      </c>
      <c r="C4" s="4" t="s">
        <v>741</v>
      </c>
      <c r="D4" s="40" t="s">
        <v>742</v>
      </c>
      <c r="E4" s="40" t="s">
        <v>743</v>
      </c>
      <c r="F4" s="4" t="s">
        <v>744</v>
      </c>
    </row>
    <row r="5" customFormat="false" ht="63.75" hidden="false" customHeight="true" outlineLevel="0" collapsed="false">
      <c r="A5" s="47" t="n">
        <v>1</v>
      </c>
      <c r="B5" s="33" t="s">
        <v>745</v>
      </c>
      <c r="C5" s="33" t="s">
        <v>715</v>
      </c>
      <c r="D5" s="9" t="s">
        <v>746</v>
      </c>
      <c r="E5" s="9" t="s">
        <v>747</v>
      </c>
      <c r="F5" s="33" t="s">
        <v>748</v>
      </c>
    </row>
    <row r="6" customFormat="false" ht="63.75" hidden="false" customHeight="true" outlineLevel="0" collapsed="false">
      <c r="A6" s="47" t="n">
        <v>2</v>
      </c>
      <c r="B6" s="33" t="s">
        <v>745</v>
      </c>
      <c r="C6" s="9" t="s">
        <v>749</v>
      </c>
      <c r="D6" s="9" t="s">
        <v>750</v>
      </c>
      <c r="E6" s="33" t="s">
        <v>751</v>
      </c>
      <c r="F6" s="33" t="s">
        <v>752</v>
      </c>
    </row>
    <row r="7" customFormat="false" ht="63.75" hidden="false" customHeight="true" outlineLevel="0" collapsed="false">
      <c r="A7" s="47" t="n">
        <v>3</v>
      </c>
      <c r="B7" s="33" t="s">
        <v>745</v>
      </c>
      <c r="C7" s="33" t="s">
        <v>753</v>
      </c>
      <c r="D7" s="9" t="s">
        <v>754</v>
      </c>
      <c r="E7" s="9" t="s">
        <v>755</v>
      </c>
      <c r="F7" s="9" t="s">
        <v>756</v>
      </c>
    </row>
    <row r="8" customFormat="false" ht="63.75" hidden="false" customHeight="true" outlineLevel="0" collapsed="false">
      <c r="A8" s="47" t="n">
        <v>4</v>
      </c>
      <c r="B8" s="9" t="s">
        <v>757</v>
      </c>
      <c r="C8" s="33" t="s">
        <v>758</v>
      </c>
      <c r="D8" s="9" t="s">
        <v>759</v>
      </c>
      <c r="E8" s="9" t="s">
        <v>760</v>
      </c>
      <c r="F8" s="33" t="s">
        <v>761</v>
      </c>
    </row>
    <row r="9" customFormat="false" ht="63.75" hidden="false" customHeight="true" outlineLevel="0" collapsed="false">
      <c r="A9" s="47" t="n">
        <v>5</v>
      </c>
      <c r="B9" s="9" t="s">
        <v>762</v>
      </c>
      <c r="C9" s="33" t="s">
        <v>763</v>
      </c>
      <c r="D9" s="33" t="s">
        <v>720</v>
      </c>
      <c r="E9" s="33" t="s">
        <v>764</v>
      </c>
      <c r="F9" s="33" t="s">
        <v>765</v>
      </c>
    </row>
    <row r="10" customFormat="false" ht="63.75" hidden="false" customHeight="true" outlineLevel="0" collapsed="false">
      <c r="A10" s="47" t="n">
        <v>6</v>
      </c>
      <c r="B10" s="9" t="s">
        <v>762</v>
      </c>
      <c r="C10" s="33" t="s">
        <v>733</v>
      </c>
      <c r="D10" s="9" t="s">
        <v>766</v>
      </c>
      <c r="E10" s="9" t="s">
        <v>767</v>
      </c>
      <c r="F10" s="33" t="s">
        <v>768</v>
      </c>
    </row>
    <row r="11" customFormat="false" ht="63.75" hidden="false" customHeight="true" outlineLevel="0" collapsed="false">
      <c r="A11" s="47" t="n">
        <v>7</v>
      </c>
      <c r="B11" s="33" t="s">
        <v>745</v>
      </c>
      <c r="C11" s="33" t="s">
        <v>769</v>
      </c>
      <c r="D11" s="9" t="s">
        <v>770</v>
      </c>
      <c r="E11" s="9" t="s">
        <v>771</v>
      </c>
      <c r="F11" s="33" t="s">
        <v>772</v>
      </c>
    </row>
    <row r="12" customFormat="false" ht="63.75" hidden="false" customHeight="true" outlineLevel="0" collapsed="false">
      <c r="A12" s="47" t="n">
        <v>8</v>
      </c>
      <c r="B12" s="33" t="s">
        <v>745</v>
      </c>
      <c r="C12" s="9" t="s">
        <v>773</v>
      </c>
      <c r="D12" s="9" t="s">
        <v>774</v>
      </c>
      <c r="E12" s="9" t="s">
        <v>775</v>
      </c>
      <c r="F12" s="33" t="s">
        <v>772</v>
      </c>
    </row>
    <row r="13" customFormat="false" ht="63.75" hidden="false" customHeight="true" outlineLevel="0" collapsed="false">
      <c r="A13" s="47" t="n">
        <v>9</v>
      </c>
      <c r="B13" s="9" t="s">
        <v>776</v>
      </c>
      <c r="C13" s="33" t="s">
        <v>777</v>
      </c>
      <c r="D13" s="9" t="s">
        <v>778</v>
      </c>
      <c r="E13" s="9" t="s">
        <v>779</v>
      </c>
      <c r="F13" s="33" t="s">
        <v>772</v>
      </c>
    </row>
    <row r="14" customFormat="false" ht="63.75" hidden="false" customHeight="true" outlineLevel="0" collapsed="false">
      <c r="A14" s="47" t="n">
        <v>10</v>
      </c>
      <c r="B14" s="9" t="s">
        <v>780</v>
      </c>
      <c r="C14" s="9" t="s">
        <v>781</v>
      </c>
      <c r="D14" s="33" t="s">
        <v>782</v>
      </c>
      <c r="E14" s="9" t="s">
        <v>783</v>
      </c>
      <c r="F14" s="33" t="s">
        <v>784</v>
      </c>
    </row>
    <row r="15" customFormat="false" ht="63.75" hidden="false" customHeight="true" outlineLevel="0" collapsed="false">
      <c r="A15" s="47" t="n">
        <v>11</v>
      </c>
      <c r="B15" s="9" t="s">
        <v>785</v>
      </c>
      <c r="C15" s="9" t="s">
        <v>786</v>
      </c>
      <c r="D15" s="33" t="s">
        <v>602</v>
      </c>
      <c r="E15" s="33" t="s">
        <v>787</v>
      </c>
      <c r="F15" s="9" t="s">
        <v>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2026-09-11T06:02:34Z</dcterms:created>
  <dc:creator>openpyxl</dc:creator>
  <dc:description/>
  <dc:language>en-US</dc:language>
  <cp:lastModifiedBy>Chris Tseng</cp:lastModifiedBy>
  <dcterms:modified xsi:type="dcterms:W3CDTF">2026-09-11T10:12:37Z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