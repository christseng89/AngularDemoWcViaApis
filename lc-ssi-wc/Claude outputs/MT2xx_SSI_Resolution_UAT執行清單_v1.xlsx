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執行清單" sheetId="1" state="visible" r:id="rId3"/>
    <sheet name="SSI 候選明細" sheetId="2" state="visible" r:id="rId4"/>
    <sheet name="輸入指引" sheetId="3" state="visible" r:id="rId5"/>
    <sheet name="情境對照" sheetId="4" state="visible" r:id="rId6"/>
    <sheet name="證據與範圍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<sst xmlns="http://schemas.openxmlformats.org/spreadsheetml/2006/main" count="1442" uniqueCount="487">
  <si>
    <r>
      <rPr>
        <b val="true"/>
        <sz val="14"/>
        <color rgb="FF1F3864"/>
        <rFont val="Arial"/>
        <family val="0"/>
        <charset val="1"/>
      </rPr>
      <t xml:space="preserve">MT2xx SSI Resolution — UAT </t>
    </r>
    <r>
      <rPr>
        <b val="true"/>
        <sz val="14"/>
        <color rgb="FF1F3864"/>
        <rFont val="Noto Sans CJK SC"/>
        <family val="2"/>
      </rPr>
      <t xml:space="preserve">執行清單</t>
    </r>
  </si>
  <si>
    <r>
      <rPr>
        <i val="true"/>
        <sz val="9"/>
        <color rgb="FF595959"/>
        <rFont val="Noto Sans CJK SC"/>
        <family val="2"/>
      </rPr>
      <t xml:space="preserve">資料來源：受控 </t>
    </r>
    <r>
      <rPr>
        <i val="true"/>
        <sz val="9"/>
        <color rgb="FF595959"/>
        <rFont val="Arial"/>
        <family val="0"/>
        <charset val="1"/>
      </rPr>
      <t xml:space="preserve">WAL-aware snapshot ssi-demo.consistent-snapshot.sqlite</t>
    </r>
    <r>
      <rPr>
        <i val="true"/>
        <sz val="9"/>
        <color rgb="FF595959"/>
        <rFont val="Noto Sans CJK SC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SHA-256 7492CC26…4EF3</t>
    </r>
    <r>
      <rPr>
        <i val="true"/>
        <sz val="9"/>
        <color rgb="FF595959"/>
        <rFont val="Noto Sans CJK SC"/>
        <family val="2"/>
      </rPr>
      <t xml:space="preserve">）｜</t>
    </r>
    <r>
      <rPr>
        <i val="true"/>
        <sz val="9"/>
        <color rgb="FF595959"/>
        <rFont val="Arial"/>
        <family val="0"/>
        <charset val="1"/>
      </rPr>
      <t xml:space="preserve">42 ACTIVE SSI </t>
    </r>
    <r>
      <rPr>
        <i val="true"/>
        <sz val="9"/>
        <color rgb="FF595959"/>
        <rFont val="Noto Sans CJK SC"/>
        <family val="2"/>
      </rPr>
      <t xml:space="preserve">中 </t>
    </r>
    <r>
      <rPr>
        <i val="true"/>
        <sz val="9"/>
        <color rgb="FF595959"/>
        <rFont val="Arial"/>
        <family val="0"/>
        <charset val="1"/>
      </rPr>
      <t xml:space="preserve">26 </t>
    </r>
    <r>
      <rPr>
        <i val="true"/>
        <sz val="9"/>
        <color rgb="FF595959"/>
        <rFont val="Noto Sans CJK SC"/>
        <family val="2"/>
      </rPr>
      <t xml:space="preserve">筆具 </t>
    </r>
    <r>
      <rPr>
        <i val="true"/>
        <sz val="9"/>
        <color rgb="FF595959"/>
        <rFont val="Arial"/>
        <family val="0"/>
        <charset val="1"/>
      </rPr>
      <t xml:space="preserve">pacs.009.001.08</t>
    </r>
    <r>
      <rPr>
        <i val="true"/>
        <sz val="9"/>
        <color rgb="FF595959"/>
        <rFont val="Noto Sans CJK SC"/>
        <family val="2"/>
      </rPr>
      <t xml:space="preserve">｜</t>
    </r>
    <r>
      <rPr>
        <i val="true"/>
        <sz val="9"/>
        <color rgb="FF595959"/>
        <rFont val="Arial"/>
        <family val="0"/>
        <charset val="1"/>
      </rPr>
      <t xml:space="preserve">14 </t>
    </r>
    <r>
      <rPr>
        <i val="true"/>
        <sz val="9"/>
        <color rgb="FF595959"/>
        <rFont val="Noto Sans CJK SC"/>
        <family val="2"/>
      </rPr>
      <t xml:space="preserve">組 </t>
    </r>
    <r>
      <rPr>
        <i val="true"/>
        <sz val="9"/>
        <color rgb="FF595959"/>
        <rFont val="Arial"/>
        <family val="0"/>
        <charset val="1"/>
      </rPr>
      <t xml:space="preserve">× 4 </t>
    </r>
    <r>
      <rPr>
        <i val="true"/>
        <sz val="9"/>
        <color rgb="FF595959"/>
        <rFont val="Noto Sans CJK SC"/>
        <family val="2"/>
      </rPr>
      <t xml:space="preserve">電文 </t>
    </r>
    <r>
      <rPr>
        <i val="true"/>
        <sz val="9"/>
        <color rgb="FF595959"/>
        <rFont val="Arial"/>
        <family val="0"/>
        <charset val="1"/>
      </rPr>
      <t xml:space="preserve">= 56 </t>
    </r>
    <r>
      <rPr>
        <i val="true"/>
        <sz val="9"/>
        <color rgb="FF595959"/>
        <rFont val="Noto Sans CJK SC"/>
        <family val="2"/>
      </rPr>
      <t xml:space="preserve">案</t>
    </r>
  </si>
  <si>
    <t xml:space="preserve">案例編號</t>
  </si>
  <si>
    <t xml:space="preserve">矩陣列</t>
  </si>
  <si>
    <t xml:space="preserve">可執行性</t>
  </si>
  <si>
    <t xml:space="preserve">Counterparty</t>
  </si>
  <si>
    <t xml:space="preserve">對手行名稱</t>
  </si>
  <si>
    <t xml:space="preserve">Currency</t>
  </si>
  <si>
    <t xml:space="preserve">Booking</t>
  </si>
  <si>
    <t xml:space="preserve">Message</t>
  </si>
  <si>
    <t xml:space="preserve">ISO 20022 Target</t>
  </si>
  <si>
    <t xml:space="preserve">businessService</t>
  </si>
  <si>
    <r>
      <rPr>
        <b val="true"/>
        <sz val="10"/>
        <color rgb="FFFFFFFF"/>
        <rFont val="Noto Sans CJK SC"/>
        <family val="2"/>
      </rPr>
      <t xml:space="preserve">預期 </t>
    </r>
    <r>
      <rPr>
        <b val="true"/>
        <sz val="10"/>
        <color rgb="FFFFFFFF"/>
        <rFont val="Arial"/>
        <family val="0"/>
        <charset val="1"/>
      </rPr>
      <t xml:space="preserve">HTTP</t>
    </r>
  </si>
  <si>
    <r>
      <rPr>
        <b val="true"/>
        <sz val="10"/>
        <color rgb="FFFFFFFF"/>
        <rFont val="Noto Sans CJK SC"/>
        <family val="2"/>
      </rPr>
      <t xml:space="preserve">預期 </t>
    </r>
    <r>
      <rPr>
        <b val="true"/>
        <sz val="10"/>
        <color rgb="FFFFFFFF"/>
        <rFont val="Arial"/>
        <family val="0"/>
        <charset val="1"/>
      </rPr>
      <t xml:space="preserve">code</t>
    </r>
  </si>
  <si>
    <r>
      <rPr>
        <b val="true"/>
        <sz val="10"/>
        <color rgb="FFFFFFFF"/>
        <rFont val="Noto Sans CJK SC"/>
        <family val="2"/>
      </rPr>
      <t xml:space="preserve">預期 </t>
    </r>
    <r>
      <rPr>
        <b val="true"/>
        <sz val="10"/>
        <color rgb="FFFFFFFF"/>
        <rFont val="Arial"/>
        <family val="0"/>
        <charset val="1"/>
      </rPr>
      <t xml:space="preserve">chosen SSI</t>
    </r>
  </si>
  <si>
    <t xml:space="preserve">候選數</t>
  </si>
  <si>
    <r>
      <rPr>
        <b val="true"/>
        <sz val="10"/>
        <color rgb="FFFFFFFF"/>
        <rFont val="Arial"/>
        <family val="0"/>
        <charset val="1"/>
      </rPr>
      <t xml:space="preserve">Settlement Country </t>
    </r>
    <r>
      <rPr>
        <b val="true"/>
        <sz val="10"/>
        <color rgb="FFFFFFFF"/>
        <rFont val="Noto Sans CJK SC"/>
        <family val="2"/>
      </rPr>
      <t xml:space="preserve">建議</t>
    </r>
  </si>
  <si>
    <t xml:space="preserve">備註</t>
  </si>
  <si>
    <t xml:space="preserve">UAT-MT2-001</t>
  </si>
  <si>
    <t xml:space="preserve">EXECUTABLE NOW</t>
  </si>
  <si>
    <t xml:space="preserve">CITIUS33</t>
  </si>
  <si>
    <t xml:space="preserve">Citibank N.A.</t>
  </si>
  <si>
    <t xml:space="preserve">USD</t>
  </si>
  <si>
    <t xml:space="preserve">HK01</t>
  </si>
  <si>
    <t xml:space="preserve">MT202</t>
  </si>
  <si>
    <t xml:space="preserve">pacs.009.001.08</t>
  </si>
  <si>
    <t xml:space="preserve">swift.cbprplus.04</t>
  </si>
  <si>
    <t xml:space="preserve">SSI_RESOLVED</t>
  </si>
  <si>
    <t xml:space="preserve">SSI-DEMO-001</t>
  </si>
  <si>
    <t xml:space="preserve">留白（建議）</t>
  </si>
  <si>
    <r>
      <rPr>
        <sz val="10"/>
        <rFont val="Noto Sans CJK SC"/>
        <family val="2"/>
      </rPr>
      <t xml:space="preserve">多候選，由 </t>
    </r>
    <r>
      <rPr>
        <sz val="10"/>
        <rFont val="Arial"/>
        <family val="0"/>
        <charset val="1"/>
      </rPr>
      <t xml:space="preserve">priority 10 </t>
    </r>
    <r>
      <rPr>
        <sz val="10"/>
        <rFont val="Noto Sans CJK SC"/>
        <family val="2"/>
      </rPr>
      <t xml:space="preserve">勝出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；須驗 </t>
    </r>
    <r>
      <rPr>
        <sz val="10"/>
        <rFont val="Arial"/>
        <family val="0"/>
        <charset val="1"/>
      </rPr>
      <t xml:space="preserve">alternatives </t>
    </r>
    <r>
      <rPr>
        <sz val="10"/>
        <rFont val="Noto Sans CJK SC"/>
        <family val="2"/>
      </rPr>
      <t xml:space="preserve">完整列出且不得改寫 </t>
    </r>
    <r>
      <rPr>
        <sz val="10"/>
        <rFont val="Arial"/>
        <family val="0"/>
        <charset val="1"/>
      </rPr>
      <t xml:space="preserve">chosen</t>
    </r>
    <r>
      <rPr>
        <sz val="10"/>
        <rFont val="Noto Sans CJK SC"/>
        <family val="2"/>
      </rPr>
      <t xml:space="preserve">。</t>
    </r>
  </si>
  <si>
    <t xml:space="preserve">UAT-MT2-002</t>
  </si>
  <si>
    <t xml:space="preserve">MT205</t>
  </si>
  <si>
    <t xml:space="preserve">UAT-MT2-003</t>
  </si>
  <si>
    <r>
      <rPr>
        <sz val="10"/>
        <rFont val="Arial"/>
        <family val="0"/>
        <charset val="1"/>
      </rPr>
      <t xml:space="preserve">NOT_EXECUTABLE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DG </t>
    </r>
    <r>
      <rPr>
        <sz val="10"/>
        <rFont val="Noto Sans CJK SC"/>
        <family val="2"/>
      </rPr>
      <t xml:space="preserve">擋）</t>
    </r>
  </si>
  <si>
    <t xml:space="preserve">MT202COV</t>
  </si>
  <si>
    <t xml:space="preserve">swift.cbprplus.cov.04</t>
  </si>
  <si>
    <t xml:space="preserve">PROFILE_INCOMPLETE</t>
  </si>
  <si>
    <r>
      <rPr>
        <sz val="9"/>
        <rFont val="Consolas"/>
        <family val="0"/>
        <charset val="1"/>
      </rPr>
      <t xml:space="preserve">null</t>
    </r>
    <r>
      <rPr>
        <sz val="9"/>
        <rFont val="Noto Sans CJK SC"/>
        <family val="2"/>
      </rPr>
      <t xml:space="preserve">（</t>
    </r>
    <r>
      <rPr>
        <sz val="9"/>
        <rFont val="Consolas"/>
        <family val="0"/>
        <charset val="1"/>
      </rPr>
      <t xml:space="preserve">rank </t>
    </r>
    <r>
      <rPr>
        <sz val="9"/>
        <rFont val="Noto Sans CJK SC"/>
        <family val="2"/>
      </rPr>
      <t xml:space="preserve">之前即擋下）</t>
    </r>
  </si>
  <si>
    <r>
      <rPr>
        <sz val="10"/>
        <rFont val="Arial"/>
        <family val="0"/>
        <charset val="1"/>
      </rPr>
      <t xml:space="preserve">COV </t>
    </r>
    <r>
      <rPr>
        <sz val="10"/>
        <rFont val="Noto Sans CJK SC"/>
        <family val="2"/>
      </rPr>
      <t xml:space="preserve">需 </t>
    </r>
    <r>
      <rPr>
        <sz val="10"/>
        <rFont val="Arial"/>
        <family val="0"/>
        <charset val="1"/>
      </rPr>
      <t xml:space="preserve">businessService + </t>
    </r>
    <r>
      <rPr>
        <sz val="10"/>
        <rFont val="Noto Sans CJK SC"/>
        <family val="2"/>
      </rPr>
      <t xml:space="preserve">具名 </t>
    </r>
    <r>
      <rPr>
        <sz val="10"/>
        <rFont val="Arial"/>
        <family val="0"/>
        <charset val="1"/>
      </rPr>
      <t xml:space="preserve">COV allow-list + </t>
    </r>
    <r>
      <rPr>
        <sz val="10"/>
        <rFont val="Noto Sans CJK SC"/>
        <family val="2"/>
      </rPr>
      <t xml:space="preserve">正規化 </t>
    </r>
    <r>
      <rPr>
        <sz val="10"/>
        <rFont val="Arial"/>
        <family val="0"/>
        <charset val="1"/>
      </rPr>
      <t xml:space="preserve">(.08,businessService) catalogue tuple</t>
    </r>
    <r>
      <rPr>
        <sz val="10"/>
        <rFont val="Noto Sans CJK SC"/>
        <family val="2"/>
      </rPr>
      <t xml:space="preserve">；現行 </t>
    </r>
    <r>
      <rPr>
        <sz val="10"/>
        <rFont val="Arial"/>
        <family val="0"/>
        <charset val="1"/>
      </rPr>
      <t xml:space="preserve">ACTIVE SSI </t>
    </r>
    <r>
      <rPr>
        <sz val="10"/>
        <rFont val="Noto Sans CJK SC"/>
        <family val="2"/>
      </rPr>
      <t xml:space="preserve">三者皆為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，故必在 </t>
    </r>
    <r>
      <rPr>
        <sz val="10"/>
        <rFont val="Arial"/>
        <family val="0"/>
        <charset val="1"/>
      </rPr>
      <t xml:space="preserve">rank </t>
    </r>
    <r>
      <rPr>
        <sz val="10"/>
        <rFont val="Noto Sans CJK SC"/>
        <family val="2"/>
      </rPr>
      <t xml:space="preserve">之前 </t>
    </r>
    <r>
      <rPr>
        <sz val="10"/>
        <rFont val="Arial"/>
        <family val="0"/>
        <charset val="1"/>
      </rPr>
      <t xml:space="preserve">fail</t>
    </r>
    <r>
      <rPr>
        <sz val="10"/>
        <rFont val="Noto Sans CJK SC"/>
        <family val="2"/>
      </rPr>
      <t xml:space="preserve">。不得 </t>
    </r>
    <r>
      <rPr>
        <sz val="10"/>
        <rFont val="Arial"/>
        <family val="0"/>
        <charset val="1"/>
      </rPr>
      <t xml:space="preserve">fallback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Core</t>
    </r>
    <r>
      <rPr>
        <sz val="10"/>
        <rFont val="Noto Sans CJK SC"/>
        <family val="2"/>
      </rPr>
      <t xml:space="preserve">。</t>
    </r>
  </si>
  <si>
    <t xml:space="preserve">UAT-MT2-004</t>
  </si>
  <si>
    <t xml:space="preserve">MT205COV</t>
  </si>
  <si>
    <t xml:space="preserve">UAT-MT2-005</t>
  </si>
  <si>
    <t xml:space="preserve">BARCGB22</t>
  </si>
  <si>
    <t xml:space="preserve">Barclays Bank PLC</t>
  </si>
  <si>
    <t xml:space="preserve">GBP</t>
  </si>
  <si>
    <t xml:space="preserve">SSI_AMBIGUOUS</t>
  </si>
  <si>
    <r>
      <rPr>
        <sz val="9"/>
        <rFont val="Consolas"/>
        <family val="0"/>
        <charset val="1"/>
      </rPr>
      <t xml:space="preserve">null</t>
    </r>
    <r>
      <rPr>
        <sz val="9"/>
        <rFont val="Noto Sans CJK SC"/>
        <family val="2"/>
      </rPr>
      <t xml:space="preserve">（</t>
    </r>
    <r>
      <rPr>
        <sz val="9"/>
        <rFont val="Consolas"/>
        <family val="0"/>
        <charset val="1"/>
      </rPr>
      <t xml:space="preserve">fail closed</t>
    </r>
    <r>
      <rPr>
        <sz val="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</si>
  <si>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受控唯一平手案例：</t>
    </r>
    <r>
      <rPr>
        <sz val="10"/>
        <rFont val="Arial"/>
        <family val="0"/>
        <charset val="1"/>
      </rPr>
      <t xml:space="preserve">003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022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priority(10)→routePreference(PRIMARY)→specificity </t>
    </r>
    <r>
      <rPr>
        <sz val="10"/>
        <rFont val="Noto Sans CJK SC"/>
        <family val="2"/>
      </rPr>
      <t xml:space="preserve">全等。</t>
    </r>
    <r>
      <rPr>
        <sz val="10"/>
        <rFont val="Arial"/>
        <family val="0"/>
        <charset val="1"/>
      </rPr>
      <t xml:space="preserve">chosenRoute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roleProvenance </t>
    </r>
    <r>
      <rPr>
        <sz val="10"/>
        <rFont val="Noto Sans CJK SC"/>
        <family val="2"/>
      </rPr>
      <t xml:space="preserve">必須為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candidates </t>
    </r>
    <r>
      <rPr>
        <sz val="10"/>
        <rFont val="Noto Sans CJK SC"/>
        <family val="2"/>
      </rPr>
      <t xml:space="preserve">為無序三筆，</t>
    </r>
    <r>
      <rPr>
        <sz val="10"/>
        <rFont val="Arial"/>
        <family val="0"/>
        <charset val="1"/>
      </rPr>
      <t xml:space="preserve">payloadGenerated=false</t>
    </r>
    <r>
      <rPr>
        <sz val="10"/>
        <rFont val="Noto Sans CJK SC"/>
        <family val="2"/>
      </rPr>
      <t xml:space="preserve">。禁以 </t>
    </r>
    <r>
      <rPr>
        <sz val="10"/>
        <rFont val="Arial"/>
        <family val="0"/>
        <charset val="1"/>
      </rPr>
      <t xml:space="preserve">ssiTags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version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rowid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UUID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ssiCode </t>
    </r>
    <r>
      <rPr>
        <sz val="10"/>
        <rFont val="Noto Sans CJK SC"/>
        <family val="2"/>
      </rPr>
      <t xml:space="preserve">決勝。</t>
    </r>
  </si>
  <si>
    <t xml:space="preserve">UAT-MT2-006</t>
  </si>
  <si>
    <t xml:space="preserve">UAT-MT2-007</t>
  </si>
  <si>
    <t xml:space="preserve">UAT-MT2-008</t>
  </si>
  <si>
    <t xml:space="preserve">UAT-MT2-009</t>
  </si>
  <si>
    <t xml:space="preserve">SSI-DEMO-024</t>
  </si>
  <si>
    <t xml:space="preserve">唯一候選，直接解析。</t>
  </si>
  <si>
    <t xml:space="preserve">UAT-MT2-010</t>
  </si>
  <si>
    <t xml:space="preserve">UAT-MT2-011</t>
  </si>
  <si>
    <t xml:space="preserve">UAT-MT2-012</t>
  </si>
  <si>
    <t xml:space="preserve">UAT-MT2-013</t>
  </si>
  <si>
    <t xml:space="preserve">DEUTDEFF</t>
  </si>
  <si>
    <t xml:space="preserve">Deutsche Bank AG</t>
  </si>
  <si>
    <t xml:space="preserve">EUR</t>
  </si>
  <si>
    <t xml:space="preserve">SSI-DEMO-005</t>
  </si>
  <si>
    <t xml:space="preserve">UAT-MT2-014</t>
  </si>
  <si>
    <t xml:space="preserve">UAT-MT2-015</t>
  </si>
  <si>
    <t xml:space="preserve">UAT-MT2-016</t>
  </si>
  <si>
    <t xml:space="preserve">UAT-MT2-017</t>
  </si>
  <si>
    <t xml:space="preserve">DBSSSGSG</t>
  </si>
  <si>
    <t xml:space="preserve">DBS Bank Ltd.</t>
  </si>
  <si>
    <t xml:space="preserve">SGD</t>
  </si>
  <si>
    <t xml:space="preserve">SSI-DEMO-007</t>
  </si>
  <si>
    <t xml:space="preserve">UAT-MT2-018</t>
  </si>
  <si>
    <t xml:space="preserve">UAT-MT2-019</t>
  </si>
  <si>
    <t xml:space="preserve">UAT-MT2-020</t>
  </si>
  <si>
    <t xml:space="preserve">UAT-MT2-021</t>
  </si>
  <si>
    <t xml:space="preserve">BOTKJPJT</t>
  </si>
  <si>
    <t xml:space="preserve">MUFG Bank, Ltd.</t>
  </si>
  <si>
    <t xml:space="preserve">JPY</t>
  </si>
  <si>
    <t xml:space="preserve">SSI-DEMO-009</t>
  </si>
  <si>
    <t xml:space="preserve">UAT-MT2-022</t>
  </si>
  <si>
    <t xml:space="preserve">UAT-MT2-023</t>
  </si>
  <si>
    <t xml:space="preserve">UAT-MT2-024</t>
  </si>
  <si>
    <t xml:space="preserve">UAT-MT2-025</t>
  </si>
  <si>
    <t xml:space="preserve">HSBCHKHH</t>
  </si>
  <si>
    <t xml:space="preserve">HSBC</t>
  </si>
  <si>
    <t xml:space="preserve">HKD</t>
  </si>
  <si>
    <t xml:space="preserve">SSI-DEMO-011</t>
  </si>
  <si>
    <t xml:space="preserve">UAT-MT2-026</t>
  </si>
  <si>
    <t xml:space="preserve">UAT-MT2-027</t>
  </si>
  <si>
    <t xml:space="preserve">UAT-MT2-028</t>
  </si>
  <si>
    <t xml:space="preserve">UAT-MT2-029</t>
  </si>
  <si>
    <t xml:space="preserve">BOFAUS3N</t>
  </si>
  <si>
    <t xml:space="preserve">Bank of America, N.A.</t>
  </si>
  <si>
    <t xml:space="preserve">AUD</t>
  </si>
  <si>
    <t xml:space="preserve">SSI-DEMO-013</t>
  </si>
  <si>
    <t xml:space="preserve">UAT-MT2-030</t>
  </si>
  <si>
    <t xml:space="preserve">UAT-MT2-031</t>
  </si>
  <si>
    <t xml:space="preserve">UAT-MT2-032</t>
  </si>
  <si>
    <t xml:space="preserve">UAT-MT2-033</t>
  </si>
  <si>
    <t xml:space="preserve">CHASUS33</t>
  </si>
  <si>
    <t xml:space="preserve">JPMorgan Chase Bank, N.A.</t>
  </si>
  <si>
    <t xml:space="preserve">CAD</t>
  </si>
  <si>
    <t xml:space="preserve">SSI-DEMO-015</t>
  </si>
  <si>
    <t xml:space="preserve">UAT-MT2-034</t>
  </si>
  <si>
    <t xml:space="preserve">UAT-MT2-035</t>
  </si>
  <si>
    <t xml:space="preserve">UAT-MT2-036</t>
  </si>
  <si>
    <t xml:space="preserve">UAT-MT2-037</t>
  </si>
  <si>
    <t xml:space="preserve">SSI-DEMO-021</t>
  </si>
  <si>
    <t xml:space="preserve">UAT-MT2-038</t>
  </si>
  <si>
    <t xml:space="preserve">UAT-MT2-039</t>
  </si>
  <si>
    <t xml:space="preserve">UAT-MT2-040</t>
  </si>
  <si>
    <t xml:space="preserve">UAT-MT2-041</t>
  </si>
  <si>
    <t xml:space="preserve">SCBLGB2L</t>
  </si>
  <si>
    <t xml:space="preserve">Standard Chartered Bank</t>
  </si>
  <si>
    <t xml:space="preserve">CHF</t>
  </si>
  <si>
    <t xml:space="preserve">SSI-DEMO-017</t>
  </si>
  <si>
    <t xml:space="preserve">UAT-MT2-042</t>
  </si>
  <si>
    <t xml:space="preserve">UAT-MT2-043</t>
  </si>
  <si>
    <t xml:space="preserve">UAT-MT2-044</t>
  </si>
  <si>
    <t xml:space="preserve">UAT-MT2-045</t>
  </si>
  <si>
    <t xml:space="preserve">BNPAFRPP</t>
  </si>
  <si>
    <t xml:space="preserve">BNP Paribas</t>
  </si>
  <si>
    <t xml:space="preserve">CNY</t>
  </si>
  <si>
    <t xml:space="preserve">SSI-DEMO-019</t>
  </si>
  <si>
    <t xml:space="preserve">UAT-MT2-046</t>
  </si>
  <si>
    <t xml:space="preserve">UAT-MT2-047</t>
  </si>
  <si>
    <t xml:space="preserve">UAT-MT2-048</t>
  </si>
  <si>
    <t xml:space="preserve">UAT-MT2-049</t>
  </si>
  <si>
    <t xml:space="preserve">NSSIUSN1</t>
  </si>
  <si>
    <t xml:space="preserve">Northstar Limited</t>
  </si>
  <si>
    <t xml:space="preserve">SSI-DEMO-041</t>
  </si>
  <si>
    <r>
      <rPr>
        <sz val="10"/>
        <rFont val="Noto Sans CJK SC"/>
        <family val="2"/>
      </rPr>
      <t xml:space="preserve">【範圍待確認】不在矩陣 — 待 </t>
    </r>
    <r>
      <rPr>
        <sz val="10"/>
        <rFont val="Arial"/>
        <family val="0"/>
        <charset val="1"/>
      </rPr>
      <t xml:space="preserve">BA </t>
    </r>
    <r>
      <rPr>
        <sz val="10"/>
        <rFont val="Noto Sans CJK SC"/>
        <family val="2"/>
      </rPr>
      <t xml:space="preserve">確認。唯一候選，直接解析。</t>
    </r>
  </si>
  <si>
    <t xml:space="preserve">UAT-MT2-050</t>
  </si>
  <si>
    <t xml:space="preserve">UAT-MT2-051</t>
  </si>
  <si>
    <r>
      <rPr>
        <sz val="10"/>
        <rFont val="Noto Sans CJK SC"/>
        <family val="2"/>
      </rPr>
      <t xml:space="preserve">【範圍待確認】不在矩陣 — 待 </t>
    </r>
    <r>
      <rPr>
        <sz val="10"/>
        <rFont val="Arial"/>
        <family val="0"/>
        <charset val="1"/>
      </rPr>
      <t xml:space="preserve">BA </t>
    </r>
    <r>
      <rPr>
        <sz val="10"/>
        <rFont val="Noto Sans CJK SC"/>
        <family val="2"/>
      </rPr>
      <t xml:space="preserve">確認。</t>
    </r>
    <r>
      <rPr>
        <sz val="10"/>
        <rFont val="Arial"/>
        <family val="0"/>
        <charset val="1"/>
      </rPr>
      <t xml:space="preserve">COV </t>
    </r>
    <r>
      <rPr>
        <sz val="10"/>
        <rFont val="Noto Sans CJK SC"/>
        <family val="2"/>
      </rPr>
      <t xml:space="preserve">需 </t>
    </r>
    <r>
      <rPr>
        <sz val="10"/>
        <rFont val="Arial"/>
        <family val="0"/>
        <charset val="1"/>
      </rPr>
      <t xml:space="preserve">businessService + </t>
    </r>
    <r>
      <rPr>
        <sz val="10"/>
        <rFont val="Noto Sans CJK SC"/>
        <family val="2"/>
      </rPr>
      <t xml:space="preserve">具名 </t>
    </r>
    <r>
      <rPr>
        <sz val="10"/>
        <rFont val="Arial"/>
        <family val="0"/>
        <charset val="1"/>
      </rPr>
      <t xml:space="preserve">COV allow-list + </t>
    </r>
    <r>
      <rPr>
        <sz val="10"/>
        <rFont val="Noto Sans CJK SC"/>
        <family val="2"/>
      </rPr>
      <t xml:space="preserve">正規化 </t>
    </r>
    <r>
      <rPr>
        <sz val="10"/>
        <rFont val="Arial"/>
        <family val="0"/>
        <charset val="1"/>
      </rPr>
      <t xml:space="preserve">(.08,businessService) catalogue tuple</t>
    </r>
    <r>
      <rPr>
        <sz val="10"/>
        <rFont val="Noto Sans CJK SC"/>
        <family val="2"/>
      </rPr>
      <t xml:space="preserve">；現行 </t>
    </r>
    <r>
      <rPr>
        <sz val="10"/>
        <rFont val="Arial"/>
        <family val="0"/>
        <charset val="1"/>
      </rPr>
      <t xml:space="preserve">ACTIVE SSI </t>
    </r>
    <r>
      <rPr>
        <sz val="10"/>
        <rFont val="Noto Sans CJK SC"/>
        <family val="2"/>
      </rPr>
      <t xml:space="preserve">三者皆為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，故必在 </t>
    </r>
    <r>
      <rPr>
        <sz val="10"/>
        <rFont val="Arial"/>
        <family val="0"/>
        <charset val="1"/>
      </rPr>
      <t xml:space="preserve">rank </t>
    </r>
    <r>
      <rPr>
        <sz val="10"/>
        <rFont val="Noto Sans CJK SC"/>
        <family val="2"/>
      </rPr>
      <t xml:space="preserve">之前 </t>
    </r>
    <r>
      <rPr>
        <sz val="10"/>
        <rFont val="Arial"/>
        <family val="0"/>
        <charset val="1"/>
      </rPr>
      <t xml:space="preserve">fail</t>
    </r>
    <r>
      <rPr>
        <sz val="10"/>
        <rFont val="Noto Sans CJK SC"/>
        <family val="2"/>
      </rPr>
      <t xml:space="preserve">。不得 </t>
    </r>
    <r>
      <rPr>
        <sz val="10"/>
        <rFont val="Arial"/>
        <family val="0"/>
        <charset val="1"/>
      </rPr>
      <t xml:space="preserve">fallback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Core</t>
    </r>
    <r>
      <rPr>
        <sz val="10"/>
        <rFont val="Noto Sans CJK SC"/>
        <family val="2"/>
      </rPr>
      <t xml:space="preserve">。</t>
    </r>
  </si>
  <si>
    <t xml:space="preserve">UAT-MT2-052</t>
  </si>
  <si>
    <t xml:space="preserve">UAT-MT2-053</t>
  </si>
  <si>
    <t xml:space="preserve">SSI-DEMO-042</t>
  </si>
  <si>
    <t xml:space="preserve">UAT-MT2-054</t>
  </si>
  <si>
    <t xml:space="preserve">UAT-MT2-055</t>
  </si>
  <si>
    <t xml:space="preserve">UAT-MT2-056</t>
  </si>
  <si>
    <t xml:space="preserve">彙總（自動計算）</t>
  </si>
  <si>
    <t xml:space="preserve">案例總數</t>
  </si>
  <si>
    <r>
      <rPr>
        <sz val="10"/>
        <rFont val="Arial"/>
        <family val="0"/>
        <charset val="1"/>
      </rPr>
      <t xml:space="preserve">NOT_EXECUTABLE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COV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</si>
  <si>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預期 </t>
    </r>
    <r>
      <rPr>
        <sz val="10"/>
        <rFont val="Arial"/>
        <family val="0"/>
        <charset val="1"/>
      </rPr>
      <t xml:space="preserve">200 SSI_RESOLVED</t>
    </r>
  </si>
  <si>
    <r>
      <rPr>
        <sz val="10"/>
        <rFont val="Noto Sans CJK SC"/>
        <family val="2"/>
      </rPr>
      <t xml:space="preserve">預期 </t>
    </r>
    <r>
      <rPr>
        <sz val="10"/>
        <rFont val="Arial"/>
        <family val="0"/>
        <charset val="1"/>
      </rPr>
      <t xml:space="preserve">422 SSI_AMBIGUOUS</t>
    </r>
  </si>
  <si>
    <r>
      <rPr>
        <sz val="10"/>
        <rFont val="Noto Sans CJK SC"/>
        <family val="2"/>
      </rPr>
      <t xml:space="preserve">預期 </t>
    </r>
    <r>
      <rPr>
        <sz val="10"/>
        <rFont val="Arial"/>
        <family val="0"/>
        <charset val="1"/>
      </rPr>
      <t xml:space="preserve">503 PROFILE_INCOMPLETE</t>
    </r>
  </si>
  <si>
    <r>
      <rPr>
        <sz val="10"/>
        <rFont val="Arial"/>
        <family val="0"/>
        <charset val="1"/>
      </rPr>
      <t xml:space="preserve">COV </t>
    </r>
    <r>
      <rPr>
        <sz val="10"/>
        <rFont val="Noto Sans CJK SC"/>
        <family val="2"/>
      </rPr>
      <t xml:space="preserve">封鎖比率</t>
    </r>
  </si>
  <si>
    <r>
      <rPr>
        <i val="true"/>
        <sz val="9"/>
        <color rgb="FF595959"/>
        <rFont val="Noto Sans CJK SC"/>
        <family val="2"/>
      </rPr>
      <t xml:space="preserve">註：本彙總含 </t>
    </r>
    <r>
      <rPr>
        <i val="true"/>
        <sz val="9"/>
        <color rgb="FF595959"/>
        <rFont val="Arial"/>
        <family val="0"/>
        <charset val="1"/>
      </rPr>
      <t xml:space="preserve">UAT </t>
    </r>
    <r>
      <rPr>
        <i val="true"/>
        <sz val="9"/>
        <color rgb="FF595959"/>
        <rFont val="Noto Sans CJK SC"/>
        <family val="2"/>
      </rPr>
      <t xml:space="preserve">矩陣外的第 </t>
    </r>
    <r>
      <rPr>
        <i val="true"/>
        <sz val="9"/>
        <color rgb="FF595959"/>
        <rFont val="Arial"/>
        <family val="0"/>
        <charset val="1"/>
      </rPr>
      <t xml:space="preserve">13</t>
    </r>
    <r>
      <rPr>
        <i val="true"/>
        <sz val="9"/>
        <color rgb="FF595959"/>
        <rFont val="Noto Sans CJK SC"/>
        <family val="2"/>
      </rPr>
      <t xml:space="preserve">／</t>
    </r>
    <r>
      <rPr>
        <i val="true"/>
        <sz val="9"/>
        <color rgb="FF595959"/>
        <rFont val="Arial"/>
        <family val="0"/>
        <charset val="1"/>
      </rPr>
      <t xml:space="preserve">14 </t>
    </r>
    <r>
      <rPr>
        <i val="true"/>
        <sz val="9"/>
        <color rgb="FF595959"/>
        <rFont val="Noto Sans CJK SC"/>
        <family val="2"/>
      </rPr>
      <t xml:space="preserve">列（</t>
    </r>
    <r>
      <rPr>
        <i val="true"/>
        <sz val="9"/>
        <color rgb="FF595959"/>
        <rFont val="Arial"/>
        <family val="0"/>
        <charset val="1"/>
      </rPr>
      <t xml:space="preserve">NSSIUSN1</t>
    </r>
    <r>
      <rPr>
        <i val="true"/>
        <sz val="9"/>
        <color rgb="FF595959"/>
        <rFont val="Noto Sans CJK SC"/>
        <family val="2"/>
      </rPr>
      <t xml:space="preserve">）。若 </t>
    </r>
    <r>
      <rPr>
        <i val="true"/>
        <sz val="9"/>
        <color rgb="FF595959"/>
        <rFont val="Arial"/>
        <family val="0"/>
        <charset val="1"/>
      </rPr>
      <t xml:space="preserve">BA </t>
    </r>
    <r>
      <rPr>
        <i val="true"/>
        <sz val="9"/>
        <color rgb="FF595959"/>
        <rFont val="Noto Sans CJK SC"/>
        <family val="2"/>
      </rPr>
      <t xml:space="preserve">裁定排除，案例總數為 </t>
    </r>
    <r>
      <rPr>
        <i val="true"/>
        <sz val="9"/>
        <color rgb="FF595959"/>
        <rFont val="Arial"/>
        <family val="0"/>
        <charset val="1"/>
      </rPr>
      <t xml:space="preserve">48</t>
    </r>
    <r>
      <rPr>
        <i val="true"/>
        <sz val="9"/>
        <color rgb="FF595959"/>
        <rFont val="Noto Sans CJK SC"/>
        <family val="2"/>
      </rPr>
      <t xml:space="preserve">，其中 </t>
    </r>
    <r>
      <rPr>
        <i val="true"/>
        <sz val="9"/>
        <color rgb="FF595959"/>
        <rFont val="Arial"/>
        <family val="0"/>
        <charset val="1"/>
      </rPr>
      <t xml:space="preserve">EXECUTABLE NOW 24</t>
    </r>
    <r>
      <rPr>
        <i val="true"/>
        <sz val="9"/>
        <color rgb="FF595959"/>
        <rFont val="Noto Sans CJK SC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COV </t>
    </r>
    <r>
      <rPr>
        <i val="true"/>
        <sz val="9"/>
        <color rgb="FF595959"/>
        <rFont val="Noto Sans CJK SC"/>
        <family val="2"/>
      </rPr>
      <t xml:space="preserve">封鎖 </t>
    </r>
    <r>
      <rPr>
        <i val="true"/>
        <sz val="9"/>
        <color rgb="FF595959"/>
        <rFont val="Arial"/>
        <family val="0"/>
        <charset val="1"/>
      </rPr>
      <t xml:space="preserve">24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</si>
  <si>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b val="true"/>
        <sz val="14"/>
        <color rgb="FF1F3864"/>
        <rFont val="Arial"/>
        <family val="0"/>
        <charset val="1"/>
      </rPr>
      <t xml:space="preserve">SSI </t>
    </r>
    <r>
      <rPr>
        <b val="true"/>
        <sz val="14"/>
        <color rgb="FF1F3864"/>
        <rFont val="Noto Sans CJK SC"/>
        <family val="2"/>
      </rPr>
      <t xml:space="preserve">候選明細 — </t>
    </r>
    <r>
      <rPr>
        <b val="true"/>
        <sz val="14"/>
        <color rgb="FF1F3864"/>
        <rFont val="Arial"/>
        <family val="0"/>
        <charset val="1"/>
      </rPr>
      <t xml:space="preserve">26 </t>
    </r>
    <r>
      <rPr>
        <b val="true"/>
        <sz val="14"/>
        <color rgb="FF1F3864"/>
        <rFont val="Noto Sans CJK SC"/>
        <family val="2"/>
      </rPr>
      <t xml:space="preserve">筆具 </t>
    </r>
    <r>
      <rPr>
        <b val="true"/>
        <sz val="14"/>
        <color rgb="FF1F3864"/>
        <rFont val="Arial"/>
        <family val="0"/>
        <charset val="1"/>
      </rPr>
      <t xml:space="preserve">pacs.009.001.08 </t>
    </r>
    <r>
      <rPr>
        <b val="true"/>
        <sz val="14"/>
        <color rgb="FF1F3864"/>
        <rFont val="Noto Sans CJK SC"/>
        <family val="2"/>
      </rPr>
      <t xml:space="preserve">之 </t>
    </r>
    <r>
      <rPr>
        <b val="true"/>
        <sz val="14"/>
        <color rgb="FF1F3864"/>
        <rFont val="Arial"/>
        <family val="0"/>
        <charset val="1"/>
      </rPr>
      <t xml:space="preserve">ACTIVE SSI</t>
    </r>
  </si>
  <si>
    <r>
      <rPr>
        <i val="true"/>
        <sz val="9"/>
        <color rgb="FF595959"/>
        <rFont val="Noto Sans CJK SC"/>
        <family val="2"/>
      </rPr>
      <t xml:space="preserve">欄位逐字取自受控 </t>
    </r>
    <r>
      <rPr>
        <i val="true"/>
        <sz val="9"/>
        <color rgb="FF595959"/>
        <rFont val="Arial"/>
        <family val="0"/>
        <charset val="1"/>
      </rPr>
      <t xml:space="preserve">snapshot</t>
    </r>
    <r>
      <rPr>
        <i val="true"/>
        <sz val="9"/>
        <color rgb="FF595959"/>
        <rFont val="Noto Sans CJK SC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Nostro </t>
    </r>
    <r>
      <rPr>
        <i val="true"/>
        <sz val="9"/>
        <color rgb="FF595959"/>
        <rFont val="Noto Sans CJK SC"/>
        <family val="2"/>
      </rPr>
      <t xml:space="preserve">依 </t>
    </r>
    <r>
      <rPr>
        <i val="true"/>
        <sz val="9"/>
        <color rgb="FF595959"/>
        <rFont val="Arial"/>
        <family val="0"/>
        <charset val="1"/>
      </rPr>
      <t xml:space="preserve">A4_NOSTRO_JOIN</t>
    </r>
    <r>
      <rPr>
        <i val="true"/>
        <sz val="9"/>
        <color rgb="FF595959"/>
        <rFont val="Noto Sans CJK SC"/>
        <family val="2"/>
      </rPr>
      <t xml:space="preserve">：</t>
    </r>
    <r>
      <rPr>
        <i val="true"/>
        <sz val="9"/>
        <color rgb="FF595959"/>
        <rFont val="Arial"/>
        <family val="0"/>
        <charset val="1"/>
      </rPr>
      <t xml:space="preserve">SSI.route.accountId </t>
    </r>
    <r>
      <rPr>
        <i val="true"/>
        <sz val="9"/>
        <color rgb="FF595959"/>
        <rFont val="Noto Sans CJK SC"/>
        <family val="2"/>
      </rPr>
      <t xml:space="preserve">精確等於 </t>
    </r>
    <r>
      <rPr>
        <i val="true"/>
        <sz val="9"/>
        <color rgb="FF595959"/>
        <rFont val="Arial"/>
        <family val="0"/>
        <charset val="1"/>
      </rPr>
      <t xml:space="preserve">ACTIVE Nostro.accountReference</t>
    </r>
    <r>
      <rPr>
        <i val="true"/>
        <sz val="9"/>
        <color rgb="FF595959"/>
        <rFont val="Noto Sans CJK SC"/>
        <family val="2"/>
      </rPr>
      <t xml:space="preserve">，再依 </t>
    </r>
    <r>
      <rPr>
        <i val="true"/>
        <sz val="9"/>
        <color rgb="FF595959"/>
        <rFont val="Arial"/>
        <family val="0"/>
        <charset val="1"/>
      </rPr>
      <t xml:space="preserve">servicer</t>
    </r>
    <r>
      <rPr>
        <i val="true"/>
        <sz val="9"/>
        <color rgb="FF595959"/>
        <rFont val="Noto Sans CJK SC"/>
        <family val="2"/>
      </rPr>
      <t xml:space="preserve">／幣別／</t>
    </r>
    <r>
      <rPr>
        <i val="true"/>
        <sz val="9"/>
        <color rgb="FF595959"/>
        <rFont val="Arial"/>
        <family val="0"/>
        <charset val="1"/>
      </rPr>
      <t xml:space="preserve">SETTLEMENT</t>
    </r>
    <r>
      <rPr>
        <i val="true"/>
        <sz val="9"/>
        <color rgb="FF595959"/>
        <rFont val="Noto Sans CJK SC"/>
        <family val="2"/>
      </rPr>
      <t xml:space="preserve">／</t>
    </r>
    <r>
      <rPr>
        <i val="true"/>
        <sz val="9"/>
        <color rgb="FF595959"/>
        <rFont val="Arial"/>
        <family val="0"/>
        <charset val="1"/>
      </rPr>
      <t xml:space="preserve">booking</t>
    </r>
    <r>
      <rPr>
        <i val="true"/>
        <sz val="9"/>
        <color rgb="FF595959"/>
        <rFont val="Noto Sans CJK SC"/>
        <family val="2"/>
      </rPr>
      <t xml:space="preserve">／生效日篩選，最後取 </t>
    </r>
    <r>
      <rPr>
        <i val="true"/>
        <sz val="9"/>
        <color rgb="FF595959"/>
        <rFont val="Arial"/>
        <family val="0"/>
        <charset val="1"/>
      </rPr>
      <t xml:space="preserve">PRIMARY</t>
    </r>
    <r>
      <rPr>
        <i val="true"/>
        <sz val="9"/>
        <color rgb="FF595959"/>
        <rFont val="Noto Sans CJK SC"/>
        <family val="2"/>
      </rPr>
      <t xml:space="preserve">。</t>
    </r>
  </si>
  <si>
    <t xml:space="preserve">SSI Code</t>
  </si>
  <si>
    <t xml:space="preserve">SSI id (UUID)</t>
  </si>
  <si>
    <t xml:space="preserve">版本</t>
  </si>
  <si>
    <t xml:space="preserve">priority</t>
  </si>
  <si>
    <t xml:space="preserve">routePreference</t>
  </si>
  <si>
    <t xml:space="preserve">排名結果</t>
  </si>
  <si>
    <t xml:space="preserve">applicabilityProfileId</t>
  </si>
  <si>
    <t xml:space="preserve">settlementRouteId</t>
  </si>
  <si>
    <t xml:space="preserve">settlementCountry</t>
  </si>
  <si>
    <t xml:space="preserve">settlementMarket</t>
  </si>
  <si>
    <t xml:space="preserve">clearingSystem</t>
  </si>
  <si>
    <t xml:space="preserve">route.accountId</t>
  </si>
  <si>
    <r>
      <rPr>
        <b val="true"/>
        <sz val="10"/>
        <color rgb="FFFFFFFF"/>
        <rFont val="Noto Sans CJK SC"/>
        <family val="2"/>
      </rPr>
      <t xml:space="preserve">對應 </t>
    </r>
    <r>
      <rPr>
        <b val="true"/>
        <sz val="10"/>
        <color rgb="FFFFFFFF"/>
        <rFont val="Arial"/>
        <family val="0"/>
        <charset val="1"/>
      </rPr>
      <t xml:space="preserve">Nostro (masked)</t>
    </r>
  </si>
  <si>
    <t xml:space="preserve">Nostro servicer</t>
  </si>
  <si>
    <t xml:space="preserve">accountWithBic</t>
  </si>
  <si>
    <t xml:space="preserve">actualReceiverBic</t>
  </si>
  <si>
    <t xml:space="preserve">beneficiaryBic</t>
  </si>
  <si>
    <t xml:space="preserve">ssiTags</t>
  </si>
  <si>
    <t xml:space="preserve">sampleSet</t>
  </si>
  <si>
    <t xml:space="preserve">ssiName</t>
  </si>
  <si>
    <t xml:space="preserve">fde8f25c-9fa9-44c1-988f-fac07e05fe3b</t>
  </si>
  <si>
    <t xml:space="preserve">PRIMARY</t>
  </si>
  <si>
    <t xml:space="preserve">CHOSEN</t>
  </si>
  <si>
    <t xml:space="preserve">APPL-IMPORT_LC_BANK_REIMBURSEMENT-USD</t>
  </si>
  <si>
    <t xml:space="preserve">ROUTE-USD-CITIUS33</t>
  </si>
  <si>
    <t xml:space="preserve">US</t>
  </si>
  <si>
    <t xml:space="preserve">US_DOLLAR</t>
  </si>
  <si>
    <t xml:space="preserve">FEDWIRE</t>
  </si>
  <si>
    <t xml:space="preserve">DEMO-NOSTRO-001-PRIMARY</t>
  </si>
  <si>
    <t xml:space="preserve">DEMO-NOSTRO-001-PRIMARY-PRIMARY</t>
  </si>
  <si>
    <t xml:space="preserve">53A,54A,56A,57A,58A</t>
  </si>
  <si>
    <t xml:space="preserve">DEMO-PURPOSE-BUILT</t>
  </si>
  <si>
    <t xml:space="preserve">USD BANK_REIMBURSEMENT for Citibank N.A. via Citibank N.A.</t>
  </si>
  <si>
    <t xml:space="preserve">SSI-DEMO-002</t>
  </si>
  <si>
    <t xml:space="preserve">ba4cffbe-4f32-40e8-90ef-5dc3bf8a256b</t>
  </si>
  <si>
    <t xml:space="preserve">SECONDARY</t>
  </si>
  <si>
    <t xml:space="preserve">alternative</t>
  </si>
  <si>
    <t xml:space="preserve">ROUTE-USD-HSBCHKHH</t>
  </si>
  <si>
    <t xml:space="preserve">HK</t>
  </si>
  <si>
    <t xml:space="preserve">HK_USD</t>
  </si>
  <si>
    <t xml:space="preserve">USD_CHATS</t>
  </si>
  <si>
    <t xml:space="preserve">DEMO-NOSTRO-001-SECONDARY</t>
  </si>
  <si>
    <t xml:space="preserve">DEMO-NOSTRO-001-SECONDARY-PRIMARY</t>
  </si>
  <si>
    <t xml:space="preserve">USD BANK_REIMBURSEMENT for Citibank N.A. via HSBC</t>
  </si>
  <si>
    <t xml:space="preserve">SSI-DEMO-003</t>
  </si>
  <si>
    <t xml:space="preserve">f32bb8de-7d95-46e8-af66-052cf1f43acc</t>
  </si>
  <si>
    <r>
      <rPr>
        <sz val="10"/>
        <rFont val="Arial"/>
        <family val="0"/>
        <charset val="1"/>
      </rPr>
      <t xml:space="preserve">TIE</t>
    </r>
    <r>
      <rPr>
        <sz val="10"/>
        <rFont val="Noto Sans CJK SC"/>
        <family val="2"/>
      </rPr>
      <t xml:space="preserve">（並列第一）</t>
    </r>
  </si>
  <si>
    <t xml:space="preserve">APPL-EXPORT_LC_PROCEEDS_SETTLEMENT-GBP</t>
  </si>
  <si>
    <t xml:space="preserve">ROUTE-GBP-BARCGB22</t>
  </si>
  <si>
    <t xml:space="preserve">GB</t>
  </si>
  <si>
    <t xml:space="preserve">GB_STERLING</t>
  </si>
  <si>
    <t xml:space="preserve">CHAPS</t>
  </si>
  <si>
    <t xml:space="preserve">DEMO-NOSTRO-002-PRIMARY</t>
  </si>
  <si>
    <t xml:space="preserve">DEMO-NOSTRO-002-PRIMARY-PRIMARY</t>
  </si>
  <si>
    <t xml:space="preserve">GBP PROCEEDS_SETTLEMENT for Barclays via Barclays</t>
  </si>
  <si>
    <t xml:space="preserve">SSI-DEMO-022</t>
  </si>
  <si>
    <t xml:space="preserve">bb707bd5-3fb5-4174-9fc9-e13a051776ca</t>
  </si>
  <si>
    <t xml:space="preserve">APPL-IMPORT_COLLECTION_PAYMENT-GBP</t>
  </si>
  <si>
    <t xml:space="preserve">DEMO-NOSTRO-002-IMPCOLL</t>
  </si>
  <si>
    <t xml:space="preserve">DEMO-NOSTRO-002-IMPCOLL-PRIMARY</t>
  </si>
  <si>
    <t xml:space="preserve">CdtrAgt,IntrmyAgt1</t>
  </si>
  <si>
    <t xml:space="preserve">GBP Import Collection Payment for Barclays</t>
  </si>
  <si>
    <t xml:space="preserve">SSI-DEMO-004</t>
  </si>
  <si>
    <t xml:space="preserve">af397e3d-d530-4368-9a9b-79d124338857</t>
  </si>
  <si>
    <t xml:space="preserve">低名次候選</t>
  </si>
  <si>
    <t xml:space="preserve">ROUTE-GBP-SCBLGB2L</t>
  </si>
  <si>
    <t xml:space="preserve">DEMO-NOSTRO-002-SECONDARY</t>
  </si>
  <si>
    <t xml:space="preserve">DEMO-NOSTRO-002-SECONDARY-PRIMARY</t>
  </si>
  <si>
    <t xml:space="preserve">GBP PROCEEDS_SETTLEMENT for Barclays via Standard Chartered</t>
  </si>
  <si>
    <t xml:space="preserve">fcc370f0-2661-466d-b411-cd56a9b0def0</t>
  </si>
  <si>
    <t xml:space="preserve">APPL-IMPORT_COLLECTION_PAYMENT-USD</t>
  </si>
  <si>
    <t xml:space="preserve">ROUTE-USD-CITIUS33-BARC</t>
  </si>
  <si>
    <t xml:space="preserve">DEMO-NOSTRO-USD-IMPCOLL-BARC</t>
  </si>
  <si>
    <t xml:space="preserve">DEMO-NOSTRO-USD-IMPCOLL-BARC-PRIMARY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</si>
  <si>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)</t>
    </r>
  </si>
  <si>
    <t xml:space="preserve">USD Import Collection Payment for Barclays via Citi</t>
  </si>
  <si>
    <t xml:space="preserve">030eb92d-b74f-436b-bdcd-45d6a74a33a8</t>
  </si>
  <si>
    <t xml:space="preserve">APPL-IMPORT_COLLECTION_PAYMENT-EUR</t>
  </si>
  <si>
    <t xml:space="preserve">ROUTE-EUR-DEUTDEFF</t>
  </si>
  <si>
    <t xml:space="preserve">ANY</t>
  </si>
  <si>
    <t xml:space="preserve">EURO_AREA</t>
  </si>
  <si>
    <t xml:space="preserve">T2</t>
  </si>
  <si>
    <t xml:space="preserve">DEMO-NOSTRO-003-PRIMARY</t>
  </si>
  <si>
    <t xml:space="preserve">DEMO-NOSTRO-003-PRIMARY-PRIMARY</t>
  </si>
  <si>
    <t xml:space="preserve">EUR COLLECTION_SETTLEMENT for Deutsche Bank via Deutsche Bank</t>
  </si>
  <si>
    <t xml:space="preserve">SSI-DEMO-006</t>
  </si>
  <si>
    <t xml:space="preserve">558025f6-0d4c-4e34-a42d-140ec1150adf</t>
  </si>
  <si>
    <t xml:space="preserve">ROUTE-EUR-HSBCHKHH</t>
  </si>
  <si>
    <t xml:space="preserve">HK_EUR</t>
  </si>
  <si>
    <t xml:space="preserve">EUR_CHATS</t>
  </si>
  <si>
    <t xml:space="preserve">DEMO-NOSTRO-003-SECONDARY</t>
  </si>
  <si>
    <t xml:space="preserve">DEMO-NOSTRO-003-SECONDARY-PRIMARY</t>
  </si>
  <si>
    <t xml:space="preserve">EUR COLLECTION_SETTLEMENT for Deutsche Bank via HSBC</t>
  </si>
  <si>
    <t xml:space="preserve">SSI-DEMO-035</t>
  </si>
  <si>
    <t xml:space="preserve">32947523-d6bc-4bd2-95fc-4a1e49d4947f</t>
  </si>
  <si>
    <t xml:space="preserve">APPL-EUR-HIGH-VALUE</t>
  </si>
  <si>
    <t xml:space="preserve">ROUTE-EUR-DEUTDEFF-EURO1</t>
  </si>
  <si>
    <t xml:space="preserve">EURO1</t>
  </si>
  <si>
    <t xml:space="preserve">DEMO-NOSTRO-EUR-EURO1-DEUT</t>
  </si>
  <si>
    <t xml:space="preserve">DEMO-NOSTRO-EUR-EURO1-DEUT-PRIMARY</t>
  </si>
  <si>
    <t xml:space="preserve">EUR Deutsche Bank High-value Settlement via EURO1</t>
  </si>
  <si>
    <t xml:space="preserve">9abf16ae-6bd6-4a81-901e-3132635356c3</t>
  </si>
  <si>
    <t xml:space="preserve">APPL-EXPORT_COLLECTION_PROCEEDS_SETTLEMENT-SGD</t>
  </si>
  <si>
    <t xml:space="preserve">ROUTE-SGD-DBSSSGSG</t>
  </si>
  <si>
    <t xml:space="preserve">SG</t>
  </si>
  <si>
    <t xml:space="preserve">SG_DOMESTIC</t>
  </si>
  <si>
    <t xml:space="preserve">MEPS_PLUS</t>
  </si>
  <si>
    <t xml:space="preserve">DEMO-NOSTRO-004-PRIMARY</t>
  </si>
  <si>
    <t xml:space="preserve">DEMO-NOSTRO-004-PRIMARY-PRIMARY</t>
  </si>
  <si>
    <t xml:space="preserve">SGD PROCEEDS_SETTLEMENT for DBS via DBS</t>
  </si>
  <si>
    <t xml:space="preserve">SSI-DEMO-008</t>
  </si>
  <si>
    <t xml:space="preserve">c534a39d-aa52-448d-ad4b-a438bb9d9407</t>
  </si>
  <si>
    <t xml:space="preserve">ROUTE-SGD-OCBCSGSG</t>
  </si>
  <si>
    <t xml:space="preserve">DEMO-NOSTRO-004-SECONDARY</t>
  </si>
  <si>
    <t xml:space="preserve">DEMO-NOSTRO-004-SECONDARY-PRIMARY</t>
  </si>
  <si>
    <t xml:space="preserve">OCBCSGSG</t>
  </si>
  <si>
    <t xml:space="preserve">SGD PROCEEDS_SETTLEMENT for DBS via OCBC</t>
  </si>
  <si>
    <t xml:space="preserve">cf4313b3-4fb0-4d72-8f05-65f1259446b0</t>
  </si>
  <si>
    <t xml:space="preserve">APPL-STANDBY_LC_CLAIM_PAYMENT-JPY</t>
  </si>
  <si>
    <t xml:space="preserve">ROUTE-JPY-BOTKJPJT</t>
  </si>
  <si>
    <t xml:space="preserve">JP</t>
  </si>
  <si>
    <t xml:space="preserve">JP_DOMESTIC</t>
  </si>
  <si>
    <t xml:space="preserve">BOJ_NET</t>
  </si>
  <si>
    <t xml:space="preserve">DEMO-NOSTRO-005-PRIMARY</t>
  </si>
  <si>
    <t xml:space="preserve">DEMO-NOSTRO-005-PRIMARY-PRIMARY</t>
  </si>
  <si>
    <t xml:space="preserve">56A,57A,58A</t>
  </si>
  <si>
    <t xml:space="preserve">JPY CLAIM_PAYMENT for MUFG via MUFG</t>
  </si>
  <si>
    <t xml:space="preserve">SSI-DEMO-010</t>
  </si>
  <si>
    <t xml:space="preserve">50962f54-4ed4-4cf9-bb18-e86a6ba275f7</t>
  </si>
  <si>
    <t xml:space="preserve">ROUTE-JPY-SMBCJPJT</t>
  </si>
  <si>
    <t xml:space="preserve">DEMO-NOSTRO-005-SECONDARY</t>
  </si>
  <si>
    <t xml:space="preserve">DEMO-NOSTRO-005-SECONDARY-PRIMARY</t>
  </si>
  <si>
    <t xml:space="preserve">SMBCJPJT</t>
  </si>
  <si>
    <t xml:space="preserve">JPY CLAIM_PAYMENT for MUFG via SMBC</t>
  </si>
  <si>
    <t xml:space="preserve">6dac06e1-3474-4d48-be75-eecb228bd425</t>
  </si>
  <si>
    <t xml:space="preserve">APPL-DEMAND_GUARANTEE_CLAIM_PAYMENT-HKD</t>
  </si>
  <si>
    <t xml:space="preserve">ROUTE-HKD-HSBCHKHH</t>
  </si>
  <si>
    <t xml:space="preserve">HK_DOLLAR</t>
  </si>
  <si>
    <t xml:space="preserve">HKD_CHATS</t>
  </si>
  <si>
    <t xml:space="preserve">DEMO-NOSTRO-006-PRIMARY</t>
  </si>
  <si>
    <t xml:space="preserve">DEMO-NOSTRO-006-PRIMARY-PRIMARY</t>
  </si>
  <si>
    <t xml:space="preserve">HKD CLAIM_PAYMENT for HSBC via HSBC</t>
  </si>
  <si>
    <t xml:space="preserve">SSI-DEMO-012</t>
  </si>
  <si>
    <t xml:space="preserve">1d5cb0df-c76a-41ee-839c-5112abd1362f</t>
  </si>
  <si>
    <t xml:space="preserve">ROUTE-HKD-SCBLHKHH</t>
  </si>
  <si>
    <t xml:space="preserve">DEMO-NOSTRO-006-SECONDARY</t>
  </si>
  <si>
    <t xml:space="preserve">DEMO-NOSTRO-006-SECONDARY-PRIMARY</t>
  </si>
  <si>
    <t xml:space="preserve">SCBLHKHH</t>
  </si>
  <si>
    <t xml:space="preserve">HKD CLAIM_PAYMENT for HSBC via SCB (HK)</t>
  </si>
  <si>
    <t xml:space="preserve">cbfc6589-bec5-401b-9c44-d57b161cd426</t>
  </si>
  <si>
    <t xml:space="preserve">APPL-LC_REIMBURSEMENT_SETTLEMENT-AUD</t>
  </si>
  <si>
    <t xml:space="preserve">ROUTE-AUD-CTBAAU2S</t>
  </si>
  <si>
    <t xml:space="preserve">AU</t>
  </si>
  <si>
    <t xml:space="preserve">AU_DOMESTIC</t>
  </si>
  <si>
    <t xml:space="preserve">RITS</t>
  </si>
  <si>
    <t xml:space="preserve">DEMO-NOSTRO-007-PRIMARY</t>
  </si>
  <si>
    <t xml:space="preserve">DEMO-NOSTRO-007-PRIMARY-PRIMARY</t>
  </si>
  <si>
    <t xml:space="preserve">CTBAAU2S</t>
  </si>
  <si>
    <t xml:space="preserve">AUD BANK_REIMBURSEMENT for BofA via CBA</t>
  </si>
  <si>
    <t xml:space="preserve">SSI-DEMO-014</t>
  </si>
  <si>
    <t xml:space="preserve">1132bd36-a7d8-489b-9492-2c6b6611d61c</t>
  </si>
  <si>
    <t xml:space="preserve">ROUTE-AUD-ANZBAU3M</t>
  </si>
  <si>
    <t xml:space="preserve">DEMO-NOSTRO-007-SECONDARY</t>
  </si>
  <si>
    <t xml:space="preserve">DEMO-NOSTRO-007-SECONDARY-PRIMARY</t>
  </si>
  <si>
    <t xml:space="preserve">ANZBAU3M</t>
  </si>
  <si>
    <t xml:space="preserve">AUD BANK_REIMBURSEMENT for BofA via ANZ</t>
  </si>
  <si>
    <t xml:space="preserve">35ae3e41-15f5-4b82-b0b3-897c8b365ea7</t>
  </si>
  <si>
    <t xml:space="preserve">APPL-FX_SETTLEMENT-CAD</t>
  </si>
  <si>
    <t xml:space="preserve">ROUTE-CAD-ROYCCAT2</t>
  </si>
  <si>
    <t xml:space="preserve">CA</t>
  </si>
  <si>
    <t xml:space="preserve">CA_DOMESTIC</t>
  </si>
  <si>
    <t xml:space="preserve">LYNX</t>
  </si>
  <si>
    <t xml:space="preserve">DEMO-NOSTRO-008-PRIMARY</t>
  </si>
  <si>
    <t xml:space="preserve">DEMO-NOSTRO-008-PRIMARY-PRIMARY</t>
  </si>
  <si>
    <t xml:space="preserve">ROYCCAT2</t>
  </si>
  <si>
    <t xml:space="preserve">53A,56A,57A,58A</t>
  </si>
  <si>
    <t xml:space="preserve">CAD INTERBANK_SETTLEMENT for JPM via RBC</t>
  </si>
  <si>
    <t xml:space="preserve">SSI-DEMO-016</t>
  </si>
  <si>
    <t xml:space="preserve">0b04d4aa-ad56-4e25-956c-38e24fb112fd</t>
  </si>
  <si>
    <t xml:space="preserve">ROUTE-CAD-BOFMCAM2</t>
  </si>
  <si>
    <t xml:space="preserve">DEMO-NOSTRO-008-SECONDARY</t>
  </si>
  <si>
    <t xml:space="preserve">DEMO-NOSTRO-008-SECONDARY-PRIMARY</t>
  </si>
  <si>
    <t xml:space="preserve">BOFMCAM2</t>
  </si>
  <si>
    <t xml:space="preserve">CAD INTERBANK_SETTLEMENT for JPM via BMO</t>
  </si>
  <si>
    <t xml:space="preserve">aca83fa3-0666-4495-8b1e-1c6374d06a77</t>
  </si>
  <si>
    <t xml:space="preserve">APPL-EXPORT_COLLECTION_PROCEEDS_SETTLEMENT-USD</t>
  </si>
  <si>
    <t xml:space="preserve">DEMO-NOSTRO-001-EXPCOLL</t>
  </si>
  <si>
    <t xml:space="preserve">DEMO-NOSTRO-001-EXPCOLL-PRIMARY</t>
  </si>
  <si>
    <t xml:space="preserve">USD JPM Standing Settlement Route via Citi</t>
  </si>
  <si>
    <t xml:space="preserve">969bb24c-878a-4ddf-ba66-106c2ac1c8d9</t>
  </si>
  <si>
    <t xml:space="preserve">APPL-MONEY_MARKET_SETTLEMENT-CHF</t>
  </si>
  <si>
    <t xml:space="preserve">ROUTE-CHF-UBSWCHZH80A</t>
  </si>
  <si>
    <t xml:space="preserve">CH</t>
  </si>
  <si>
    <t xml:space="preserve">CH_DOMESTIC</t>
  </si>
  <si>
    <t xml:space="preserve">SIC</t>
  </si>
  <si>
    <t xml:space="preserve">DEMO-NOSTRO-009-PRIMARY</t>
  </si>
  <si>
    <t xml:space="preserve">DEMO-NOSTRO-009-PRIMARY-PRIMARY</t>
  </si>
  <si>
    <t xml:space="preserve">UBSWCHZH80A</t>
  </si>
  <si>
    <t xml:space="preserve">CHF INTERBANK_SETTLEMENT for SCB via UBS</t>
  </si>
  <si>
    <t xml:space="preserve">SSI-DEMO-018</t>
  </si>
  <si>
    <t xml:space="preserve">2c224f59-1a94-4f0b-846b-88e5d562952c</t>
  </si>
  <si>
    <t xml:space="preserve">ROUTE-CHF-CRESCHZZ80A</t>
  </si>
  <si>
    <t xml:space="preserve">DEMO-NOSTRO-009-SECONDARY</t>
  </si>
  <si>
    <t xml:space="preserve">DEMO-NOSTRO-009-SECONDARY-PRIMARY</t>
  </si>
  <si>
    <t xml:space="preserve">CRESCHZZ80A</t>
  </si>
  <si>
    <t xml:space="preserve">CHF INTERBANK_SETTLEMENT for SCB via CS</t>
  </si>
  <si>
    <t xml:space="preserve">0ccbba36-8e5c-4082-8d77-113fd535eb54</t>
  </si>
  <si>
    <t xml:space="preserve">APPL-CUSTOMER_CREDIT_TRANSFER-CNY</t>
  </si>
  <si>
    <t xml:space="preserve">ROUTE-CNY-BKCHCNBJ</t>
  </si>
  <si>
    <t xml:space="preserve">CN</t>
  </si>
  <si>
    <t xml:space="preserve">ONSHORE_CN</t>
  </si>
  <si>
    <t xml:space="preserve">CIPS</t>
  </si>
  <si>
    <t xml:space="preserve">DEMO-NOSTRO-010-PRIMARY</t>
  </si>
  <si>
    <t xml:space="preserve">DEMO-NOSTRO-010-PRIMARY-PRIMARY</t>
  </si>
  <si>
    <t xml:space="preserve">BKCHCNBJ</t>
  </si>
  <si>
    <t xml:space="preserve">53A,54A,56A,57A,58A,CdtrAgt,IntrmyAgt1</t>
  </si>
  <si>
    <t xml:space="preserve">CNY CUSTOMER_TRANSFER for BNP via Bank of China</t>
  </si>
  <si>
    <t xml:space="preserve">SSI-DEMO-020</t>
  </si>
  <si>
    <t xml:space="preserve">d8b00921-9c00-42a3-8c02-1149a2699ca7</t>
  </si>
  <si>
    <t xml:space="preserve">ROUTE-CNY-HSBCHKHH</t>
  </si>
  <si>
    <t xml:space="preserve">OFFSHORE_RENMINBI_HK</t>
  </si>
  <si>
    <t xml:space="preserve">RMB_CHATS</t>
  </si>
  <si>
    <t xml:space="preserve">DEMO-NOSTRO-010-SECONDARY</t>
  </si>
  <si>
    <t xml:space="preserve">DEMO-NOSTRO-010-SECONDARY-PRIMARY</t>
  </si>
  <si>
    <t xml:space="preserve">CNY CUSTOMER_TRANSFER for BNP via HSBC</t>
  </si>
  <si>
    <t xml:space="preserve">701e7c47-0304-4561-b895-5e81bf39636e</t>
  </si>
  <si>
    <t xml:space="preserve">APPL-NORTHSTAR-USD</t>
  </si>
  <si>
    <t xml:space="preserve">ROUTE-USD-CITIUS33-NORTHSTAR</t>
  </si>
  <si>
    <t xml:space="preserve">DEMO-NORTHSTAR-USD-001</t>
  </si>
  <si>
    <t xml:space="preserve">DEMO-NORTHSTAR-USD-001-PRIMARY</t>
  </si>
  <si>
    <t xml:space="preserve">DEMO-LIMITED-COVERAGE</t>
  </si>
  <si>
    <t xml:space="preserve">Northstar Limited USD Settlement via Citi</t>
  </si>
  <si>
    <t xml:space="preserve">1c9ecba7-b726-49cf-839b-a5be2e686dc5</t>
  </si>
  <si>
    <t xml:space="preserve">APPL-NORTHSTAR-GBP</t>
  </si>
  <si>
    <t xml:space="preserve">ROUTE-GBP-BARCGB22-NORTHSTAR</t>
  </si>
  <si>
    <t xml:space="preserve">DEMO-NORTHSTAR-GBP-001</t>
  </si>
  <si>
    <t xml:space="preserve">DEMO-NORTHSTAR-GBP-001-PRIMARY</t>
  </si>
  <si>
    <t xml:space="preserve">Northstar Limited GBP Settlement via Barclays</t>
  </si>
  <si>
    <t xml:space="preserve">資料註記</t>
  </si>
  <si>
    <r>
      <rPr>
        <sz val="10"/>
        <rFont val="Arial"/>
        <family val="0"/>
        <charset val="1"/>
      </rPr>
      <t xml:space="preserve">1. SSI-DEMO-002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006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020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accountReference </t>
    </r>
    <r>
      <rPr>
        <sz val="10"/>
        <rFont val="Noto Sans CJK SC"/>
        <family val="2"/>
      </rPr>
      <t xml:space="preserve">各對應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筆 </t>
    </r>
    <r>
      <rPr>
        <sz val="10"/>
        <rFont val="Arial"/>
        <family val="0"/>
        <charset val="1"/>
      </rPr>
      <t xml:space="preserve">ACTIVE Nostro</t>
    </r>
    <r>
      <rPr>
        <sz val="10"/>
        <rFont val="Noto Sans CJK SC"/>
        <family val="2"/>
      </rPr>
      <t xml:space="preserve">（兩個 </t>
    </r>
    <r>
      <rPr>
        <sz val="10"/>
        <rFont val="Arial"/>
        <family val="0"/>
        <charset val="1"/>
      </rPr>
      <t xml:space="preserve">servicer × PRIMARY/BACKUP</t>
    </r>
    <r>
      <rPr>
        <sz val="10"/>
        <rFont val="Noto Sans CJK SC"/>
        <family val="2"/>
      </rPr>
      <t xml:space="preserve">），幣別、</t>
    </r>
    <r>
      <rPr>
        <sz val="10"/>
        <rFont val="Arial"/>
        <family val="0"/>
        <charset val="1"/>
      </rPr>
      <t xml:space="preserve">purpose</t>
    </r>
    <r>
      <rPr>
        <sz val="10"/>
        <rFont val="Noto Sans CJK SC"/>
        <family val="2"/>
      </rPr>
      <t xml:space="preserve">、生效日完全相同。唯有以 </t>
    </r>
    <r>
      <rPr>
        <sz val="10"/>
        <rFont val="Arial"/>
        <family val="0"/>
        <charset val="1"/>
      </rPr>
      <t xml:space="preserve">servicer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該 </t>
    </r>
    <r>
      <rPr>
        <sz val="10"/>
        <rFont val="Arial"/>
        <family val="0"/>
        <charset val="1"/>
      </rPr>
      <t xml:space="preserve">SSI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accountWithBic</t>
    </r>
    <r>
      <rPr>
        <sz val="10"/>
        <rFont val="Noto Sans CJK SC"/>
        <family val="2"/>
      </rPr>
      <t xml:space="preserve">）篩選才能唯一決定。若實作只做 </t>
    </r>
    <r>
      <rPr>
        <sz val="10"/>
        <rFont val="Arial"/>
        <family val="0"/>
        <charset val="1"/>
      </rPr>
      <t xml:space="preserve">accountReference + PRIMARY</t>
    </r>
    <r>
      <rPr>
        <sz val="10"/>
        <rFont val="Noto Sans CJK SC"/>
        <family val="2"/>
      </rPr>
      <t xml:space="preserve">，會取到錯誤 </t>
    </r>
    <r>
      <rPr>
        <sz val="10"/>
        <rFont val="Arial"/>
        <family val="0"/>
        <charset val="1"/>
      </rPr>
      <t xml:space="preserve">servicer </t>
    </r>
    <r>
      <rPr>
        <sz val="10"/>
        <rFont val="Noto Sans CJK SC"/>
        <family val="2"/>
      </rPr>
      <t xml:space="preserve">的帳戶。</t>
    </r>
  </si>
  <si>
    <r>
      <rPr>
        <sz val="10"/>
        <rFont val="Arial"/>
        <family val="0"/>
        <charset val="1"/>
      </rPr>
      <t xml:space="preserve">2. SSI-DEMO-005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035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settlementCountry </t>
    </r>
    <r>
      <rPr>
        <sz val="10"/>
        <rFont val="Noto Sans CJK SC"/>
        <family val="2"/>
      </rPr>
      <t xml:space="preserve">為萬用值 </t>
    </r>
    <r>
      <rPr>
        <sz val="10"/>
        <rFont val="Arial"/>
        <family val="0"/>
        <charset val="1"/>
      </rPr>
      <t xml:space="preserve">ANY</t>
    </r>
    <r>
      <rPr>
        <sz val="10"/>
        <rFont val="Noto Sans CJK SC"/>
        <family val="2"/>
      </rPr>
      <t xml:space="preserve">，是全表唯一使用萬用值者；可用於驗證硬過濾對 </t>
    </r>
    <r>
      <rPr>
        <sz val="10"/>
        <rFont val="Arial"/>
        <family val="0"/>
        <charset val="1"/>
      </rPr>
      <t xml:space="preserve">ANY </t>
    </r>
    <r>
      <rPr>
        <sz val="10"/>
        <rFont val="Noto Sans CJK SC"/>
        <family val="2"/>
      </rPr>
      <t xml:space="preserve">的處理。</t>
    </r>
  </si>
  <si>
    <r>
      <rPr>
        <sz val="10"/>
        <rFont val="Arial"/>
        <family val="0"/>
        <charset val="1"/>
      </rPr>
      <t xml:space="preserve">3. SSI-DEMO-019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020 </t>
    </r>
    <r>
      <rPr>
        <sz val="10"/>
        <rFont val="Noto Sans CJK SC"/>
        <family val="2"/>
      </rPr>
      <t xml:space="preserve">是唯一候選分屬不同結算國者（</t>
    </r>
    <r>
      <rPr>
        <sz val="10"/>
        <rFont val="Arial"/>
        <family val="0"/>
        <charset val="1"/>
      </rPr>
      <t xml:space="preserve">CN onshore CIPS vs HK offshore RMB CHATS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</si>
  <si>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4. SSI-DEMO-004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counterpartyBic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BARCGB22 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bic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accountWithBic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SCBLGB2L —— </t>
    </r>
    <r>
      <rPr>
        <sz val="10"/>
        <rFont val="Noto Sans CJK SC"/>
        <family val="2"/>
      </rPr>
      <t xml:space="preserve">這是「</t>
    </r>
    <r>
      <rPr>
        <sz val="10"/>
        <rFont val="Arial"/>
        <family val="0"/>
        <charset val="1"/>
      </rPr>
      <t xml:space="preserve">Barclays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Standard Chartered </t>
    </r>
    <r>
      <rPr>
        <sz val="10"/>
        <rFont val="Noto Sans CJK SC"/>
        <family val="2"/>
      </rPr>
      <t xml:space="preserve">代理」的合法路由，非資料矛盾。</t>
    </r>
  </si>
  <si>
    <r>
      <rPr>
        <sz val="10"/>
        <rFont val="Arial"/>
        <family val="0"/>
        <charset val="1"/>
      </rPr>
      <t xml:space="preserve">5. ssiTags </t>
    </r>
    <r>
      <rPr>
        <sz val="10"/>
        <rFont val="Noto Sans CJK SC"/>
        <family val="2"/>
      </rPr>
      <t xml:space="preserve">標示「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」者，該欄於原始資料為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。依 </t>
    </r>
    <r>
      <rPr>
        <sz val="10"/>
        <rFont val="Arial"/>
        <family val="0"/>
        <charset val="1"/>
      </rPr>
      <t xml:space="preserve">EC-RANK-01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ssiTags </t>
    </r>
    <r>
      <rPr>
        <sz val="10"/>
        <rFont val="Noto Sans CJK SC"/>
        <family val="2"/>
      </rPr>
      <t xml:space="preserve">不得作為排序或決勝鍵。</t>
    </r>
  </si>
  <si>
    <r>
      <rPr>
        <b val="true"/>
        <sz val="14"/>
        <color rgb="FF1F3864"/>
        <rFont val="Arial"/>
        <family val="0"/>
        <charset val="1"/>
      </rPr>
      <t xml:space="preserve">UI </t>
    </r>
    <r>
      <rPr>
        <b val="true"/>
        <sz val="14"/>
        <color rgb="FF1F3864"/>
        <rFont val="Noto Sans CJK SC"/>
        <family val="2"/>
      </rPr>
      <t xml:space="preserve">輸入指引與常見誤判</t>
    </r>
  </si>
  <si>
    <r>
      <rPr>
        <i val="true"/>
        <sz val="9"/>
        <color rgb="FF595959"/>
        <rFont val="Noto Sans CJK SC"/>
        <family val="2"/>
      </rPr>
      <t xml:space="preserve">依 </t>
    </r>
    <r>
      <rPr>
        <i val="true"/>
        <sz val="9"/>
        <color rgb="FF595959"/>
        <rFont val="Arial"/>
        <family val="0"/>
        <charset val="1"/>
      </rPr>
      <t xml:space="preserve">Resolution </t>
    </r>
    <r>
      <rPr>
        <i val="true"/>
        <sz val="9"/>
        <color rgb="FF595959"/>
        <rFont val="Noto Sans CJK SC"/>
        <family val="2"/>
      </rPr>
      <t xml:space="preserve">畫面欄位順序整理。黃底欄位是最常造成假陽性的地方。</t>
    </r>
  </si>
  <si>
    <t xml:space="preserve">畫面欄位</t>
  </si>
  <si>
    <t xml:space="preserve">本清單的填法</t>
  </si>
  <si>
    <t xml:space="preserve">說明</t>
  </si>
  <si>
    <t xml:space="preserve">輸出格式分頁</t>
  </si>
  <si>
    <t xml:space="preserve">MX — pacs.009.001.08</t>
  </si>
  <si>
    <r>
      <rPr>
        <sz val="10"/>
        <rFont val="Arial"/>
        <family val="0"/>
        <charset val="1"/>
      </rPr>
      <t xml:space="preserve">SSI </t>
    </r>
    <r>
      <rPr>
        <sz val="10"/>
        <rFont val="Noto Sans CJK SC"/>
        <family val="2"/>
      </rPr>
      <t xml:space="preserve">只以 </t>
    </r>
    <r>
      <rPr>
        <sz val="10"/>
        <rFont val="Arial"/>
        <family val="0"/>
        <charset val="1"/>
      </rPr>
      <t xml:space="preserve">MX </t>
    </r>
    <r>
      <rPr>
        <sz val="10"/>
        <rFont val="Noto Sans CJK SC"/>
        <family val="2"/>
      </rPr>
      <t xml:space="preserve">執行 </t>
    </r>
    <r>
      <rPr>
        <sz val="10"/>
        <rFont val="Arial"/>
        <family val="0"/>
        <charset val="1"/>
      </rPr>
      <t xml:space="preserve">Resolution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RMA</t>
    </r>
    <r>
      <rPr>
        <sz val="10"/>
        <rFont val="Noto Sans CJK SC"/>
        <family val="2"/>
      </rPr>
      <t xml:space="preserve">；選 </t>
    </r>
    <r>
      <rPr>
        <sz val="10"/>
        <rFont val="Arial"/>
        <family val="0"/>
        <charset val="1"/>
      </rPr>
      <t xml:space="preserve">MT </t>
    </r>
    <r>
      <rPr>
        <sz val="10"/>
        <rFont val="Noto Sans CJK SC"/>
        <family val="2"/>
      </rPr>
      <t xml:space="preserve">分頁只是回覆適用的 </t>
    </r>
    <r>
      <rPr>
        <sz val="10"/>
        <rFont val="Arial"/>
        <family val="0"/>
        <charset val="1"/>
      </rPr>
      <t xml:space="preserve">5x Tags</t>
    </r>
    <r>
      <rPr>
        <sz val="10"/>
        <rFont val="Noto Sans CJK SC"/>
        <family val="2"/>
      </rPr>
      <t xml:space="preserve">，不改變 </t>
    </r>
    <r>
      <rPr>
        <sz val="10"/>
        <rFont val="Arial"/>
        <family val="0"/>
        <charset val="1"/>
      </rPr>
      <t xml:space="preserve">route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RMA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snapshot</t>
    </r>
    <r>
      <rPr>
        <sz val="10"/>
        <rFont val="Noto Sans CJK SC"/>
        <family val="2"/>
      </rPr>
      <t xml:space="preserve">。</t>
    </r>
  </si>
  <si>
    <t xml:space="preserve">依清單</t>
  </si>
  <si>
    <r>
      <rPr>
        <sz val="10"/>
        <rFont val="Noto Sans CJK SC"/>
        <family val="2"/>
      </rPr>
      <t xml:space="preserve">解析主鍵。畫面出現「</t>
    </r>
    <r>
      <rPr>
        <sz val="10"/>
        <rFont val="Arial"/>
        <family val="0"/>
        <charset val="1"/>
      </rPr>
      <t xml:space="preserve">SSI Record Available</t>
    </r>
    <r>
      <rPr>
        <sz val="10"/>
        <rFont val="Noto Sans CJK SC"/>
        <family val="2"/>
      </rPr>
      <t xml:space="preserve">」只代表找到 </t>
    </r>
    <r>
      <rPr>
        <sz val="10"/>
        <rFont val="Arial"/>
        <family val="0"/>
        <charset val="1"/>
      </rPr>
      <t xml:space="preserve">Active SSI</t>
    </r>
    <r>
      <rPr>
        <sz val="10"/>
        <rFont val="Noto Sans CJK SC"/>
        <family val="2"/>
      </rPr>
      <t xml:space="preserve">，不代表 </t>
    </r>
    <r>
      <rPr>
        <sz val="10"/>
        <rFont val="Arial"/>
        <family val="0"/>
        <charset val="1"/>
      </rPr>
      <t xml:space="preserve">eligible —— eligible </t>
    </r>
    <r>
      <rPr>
        <sz val="10"/>
        <rFont val="Noto Sans CJK SC"/>
        <family val="2"/>
      </rPr>
      <t xml:space="preserve">仍由 </t>
    </r>
    <r>
      <rPr>
        <sz val="10"/>
        <rFont val="Arial"/>
        <family val="0"/>
        <charset val="1"/>
      </rPr>
      <t xml:space="preserve">API Resolution </t>
    </r>
    <r>
      <rPr>
        <sz val="10"/>
        <rFont val="Noto Sans CJK SC"/>
        <family val="2"/>
      </rPr>
      <t xml:space="preserve">判定。</t>
    </r>
  </si>
  <si>
    <r>
      <rPr>
        <sz val="10"/>
        <rFont val="Noto Sans CJK SC"/>
        <family val="2"/>
      </rPr>
      <t xml:space="preserve">硬過濾。改動幣別後右側舊結果必須立即清除或標為 </t>
    </r>
    <r>
      <rPr>
        <sz val="10"/>
        <rFont val="Arial"/>
        <family val="0"/>
        <charset val="1"/>
      </rPr>
      <t xml:space="preserve">stale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UI-STALE-01</t>
    </r>
    <r>
      <rPr>
        <sz val="10"/>
        <rFont val="Noto Sans CJK SC"/>
        <family val="2"/>
      </rPr>
      <t xml:space="preserve">，仍為 </t>
    </r>
    <r>
      <rPr>
        <sz val="10"/>
        <rFont val="Arial"/>
        <family val="0"/>
        <charset val="1"/>
      </rPr>
      <t xml:space="preserve">CONFIRMED BLOCKER</t>
    </r>
    <r>
      <rPr>
        <sz val="10"/>
        <rFont val="Noto Sans CJK SC"/>
        <family val="2"/>
      </rPr>
      <t xml:space="preserve">）。</t>
    </r>
  </si>
  <si>
    <t xml:space="preserve">Booking Branch / Entity</t>
  </si>
  <si>
    <t xml:space="preserve">HK01 · Hong Kong Branch</t>
  </si>
  <si>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42 </t>
    </r>
    <r>
      <rPr>
        <sz val="10"/>
        <rFont val="Noto Sans CJK SC"/>
        <family val="2"/>
      </rPr>
      <t xml:space="preserve">筆 </t>
    </r>
    <r>
      <rPr>
        <sz val="10"/>
        <rFont val="Arial"/>
        <family val="0"/>
        <charset val="1"/>
      </rPr>
      <t xml:space="preserve">ACTIVE SSI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bookingEntity </t>
    </r>
    <r>
      <rPr>
        <sz val="10"/>
        <rFont val="Noto Sans CJK SC"/>
        <family val="2"/>
      </rPr>
      <t xml:space="preserve">均為 </t>
    </r>
    <r>
      <rPr>
        <sz val="10"/>
        <rFont val="Arial"/>
        <family val="0"/>
        <charset val="1"/>
      </rPr>
      <t xml:space="preserve">HK01</t>
    </r>
    <r>
      <rPr>
        <sz val="10"/>
        <rFont val="Noto Sans CJK SC"/>
        <family val="2"/>
      </rPr>
      <t xml:space="preserve">；換成其他分行一律解析不到。</t>
    </r>
  </si>
  <si>
    <t xml:space="preserve">Settlement Country</t>
  </si>
  <si>
    <t xml:space="preserve">留白</t>
  </si>
  <si>
    <r>
      <rPr>
        <sz val="10"/>
        <rFont val="Noto Sans CJK SC"/>
        <family val="2"/>
      </rPr>
      <t xml:space="preserve">硬過濾、非排序鍵。填錯會把唯一候選濾掉，回傳 </t>
    </r>
    <r>
      <rPr>
        <sz val="10"/>
        <rFont val="Arial"/>
        <family val="0"/>
        <charset val="1"/>
      </rPr>
      <t xml:space="preserve">SSI_NOT_FOUND</t>
    </r>
    <r>
      <rPr>
        <sz val="10"/>
        <rFont val="Noto Sans CJK SC"/>
        <family val="2"/>
      </rPr>
      <t xml:space="preserve">，且錯誤訊息不會指出是 </t>
    </r>
    <r>
      <rPr>
        <sz val="10"/>
        <rFont val="Arial"/>
        <family val="0"/>
        <charset val="1"/>
      </rPr>
      <t xml:space="preserve">override </t>
    </r>
    <r>
      <rPr>
        <sz val="10"/>
        <rFont val="Noto Sans CJK SC"/>
        <family val="2"/>
      </rPr>
      <t xml:space="preserve">造成的。最常見的坑：把 </t>
    </r>
    <r>
      <rPr>
        <sz val="10"/>
        <rFont val="Arial"/>
        <family val="0"/>
        <charset val="1"/>
      </rPr>
      <t xml:space="preserve">BARCGB22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GBP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USD </t>
    </r>
    <r>
      <rPr>
        <sz val="10"/>
        <rFont val="Noto Sans CJK SC"/>
        <family val="2"/>
      </rPr>
      <t xml:space="preserve">時忘了清掉 </t>
    </r>
    <r>
      <rPr>
        <sz val="10"/>
        <rFont val="Arial"/>
        <family val="0"/>
        <charset val="1"/>
      </rPr>
      <t xml:space="preserve">GB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SSI-DEMO-024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settlementCountry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US</t>
    </r>
    <r>
      <rPr>
        <sz val="10"/>
        <rFont val="Noto Sans CJK SC"/>
        <family val="2"/>
      </rPr>
      <t xml:space="preserve">）。</t>
    </r>
  </si>
  <si>
    <t xml:space="preserve">Settlement Market</t>
  </si>
  <si>
    <r>
      <rPr>
        <sz val="10"/>
        <rFont val="Noto Sans CJK SC"/>
        <family val="2"/>
      </rPr>
      <t xml:space="preserve">同上。留白時由 </t>
    </r>
    <r>
      <rPr>
        <sz val="10"/>
        <rFont val="Arial"/>
        <family val="0"/>
        <charset val="1"/>
      </rPr>
      <t xml:space="preserve">eligible route </t>
    </r>
    <r>
      <rPr>
        <sz val="10"/>
        <rFont val="Noto Sans CJK SC"/>
        <family val="2"/>
      </rPr>
      <t xml:space="preserve">推導。</t>
    </r>
  </si>
  <si>
    <t xml:space="preserve">Clearing System</t>
  </si>
  <si>
    <t xml:space="preserve">Derive from eligible route</t>
  </si>
  <si>
    <t xml:space="preserve">同上。</t>
  </si>
  <si>
    <t xml:space="preserve">Value Date</t>
  </si>
  <si>
    <t xml:space="preserve">任意營業日</t>
  </si>
  <si>
    <r>
      <rPr>
        <sz val="10"/>
        <rFont val="Noto Sans CJK SC"/>
        <family val="2"/>
      </rPr>
      <t xml:space="preserve">交易資料，不參與解析。畫面為美式 </t>
    </r>
    <r>
      <rPr>
        <sz val="10"/>
        <rFont val="Arial"/>
        <family val="0"/>
        <charset val="1"/>
      </rPr>
      <t xml:space="preserve">MM/DD/YYYY</t>
    </r>
    <r>
      <rPr>
        <sz val="10"/>
        <rFont val="Noto Sans CJK SC"/>
        <family val="2"/>
      </rPr>
      <t xml:space="preserve">，填寫時請確認月日未顛倒。</t>
    </r>
  </si>
  <si>
    <t xml:space="preserve">Amount</t>
  </si>
  <si>
    <t xml:space="preserve">任意</t>
  </si>
  <si>
    <t xml:space="preserve">交易資料，不參與解析。</t>
  </si>
  <si>
    <t xml:space="preserve">Transaction Reference</t>
  </si>
  <si>
    <t xml:space="preserve">任意唯一值</t>
  </si>
  <si>
    <r>
      <rPr>
        <sz val="10"/>
        <rFont val="Noto Sans CJK SC"/>
        <family val="2"/>
      </rPr>
      <t xml:space="preserve">交易資料，不參與解析。建議帶案例編號以便對帳，例如 </t>
    </r>
    <r>
      <rPr>
        <sz val="10"/>
        <rFont val="Arial"/>
        <family val="0"/>
        <charset val="1"/>
      </rPr>
      <t xml:space="preserve">UAT-MT2-001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</si>
  <si>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每案必驗的回應不變式（</t>
    </r>
    <r>
      <rPr>
        <b val="true"/>
        <sz val="10"/>
        <rFont val="Arial"/>
        <family val="0"/>
        <charset val="1"/>
      </rPr>
      <t xml:space="preserve">A1–A4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</si>
  <si>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A1_RESOLVED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</si>
  <si>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chosenRoute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null </t>
    </r>
    <r>
      <rPr>
        <sz val="10"/>
        <rFont val="Noto Sans CJK SC"/>
        <family val="2"/>
      </rPr>
      <t xml:space="preserve">且完整；</t>
    </r>
    <r>
      <rPr>
        <sz val="10"/>
        <rFont val="Arial"/>
        <family val="0"/>
        <charset val="1"/>
      </rPr>
      <t xml:space="preserve">roleProvenance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null </t>
    </r>
    <r>
      <rPr>
        <sz val="10"/>
        <rFont val="Noto Sans CJK SC"/>
        <family val="2"/>
      </rPr>
      <t xml:space="preserve">且完整；</t>
    </r>
    <r>
      <rPr>
        <sz val="10"/>
        <rFont val="Arial"/>
        <family val="0"/>
        <charset val="1"/>
      </rPr>
      <t xml:space="preserve">snapshotHash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resolutionToken </t>
    </r>
    <r>
      <rPr>
        <sz val="10"/>
        <rFont val="Noto Sans CJK SC"/>
        <family val="2"/>
      </rPr>
      <t xml:space="preserve">存在；每個角色都有 </t>
    </r>
    <r>
      <rPr>
        <sz val="10"/>
        <rFont val="Arial"/>
        <family val="0"/>
        <charset val="1"/>
      </rPr>
      <t xml:space="preserve">source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sourceField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evidence </t>
    </r>
    <r>
      <rPr>
        <sz val="10"/>
        <rFont val="Noto Sans CJK SC"/>
        <family val="2"/>
      </rPr>
      <t xml:space="preserve">版本。</t>
    </r>
  </si>
  <si>
    <r>
      <rPr>
        <b val="true"/>
        <sz val="10"/>
        <rFont val="Arial"/>
        <family val="0"/>
        <charset val="1"/>
      </rPr>
      <t xml:space="preserve">A2_TIE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422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</si>
  <si>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fail closed </t>
    </r>
    <r>
      <rPr>
        <sz val="10"/>
        <rFont val="Noto Sans CJK SC"/>
        <family val="2"/>
      </rPr>
      <t xml:space="preserve">轉 </t>
    </r>
    <r>
      <rPr>
        <sz val="10"/>
        <rFont val="Arial"/>
        <family val="0"/>
        <charset val="1"/>
      </rPr>
      <t xml:space="preserve">Repair Queue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payloadGenerated=false</t>
    </r>
    <r>
      <rPr>
        <sz val="10"/>
        <rFont val="Noto Sans CJK SC"/>
        <family val="2"/>
      </rPr>
      <t xml:space="preserve">；無任何技術性決勝。</t>
    </r>
  </si>
  <si>
    <r>
      <rPr>
        <b val="true"/>
        <sz val="10"/>
        <rFont val="Arial"/>
        <family val="0"/>
        <charset val="1"/>
      </rPr>
      <t xml:space="preserve">A3_AMBIGUOUS_SHAPE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422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</si>
  <si>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chosenRoute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canonicalRoute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agent roles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roleProvenance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messageComposerContext </t>
    </r>
    <r>
      <rPr>
        <sz val="10"/>
        <rFont val="Noto Sans CJK SC"/>
        <family val="2"/>
      </rPr>
      <t xml:space="preserve">全部為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candidates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null </t>
    </r>
    <r>
      <rPr>
        <sz val="10"/>
        <rFont val="Noto Sans CJK SC"/>
        <family val="2"/>
      </rPr>
      <t xml:space="preserve">且無序，每筆帶 </t>
    </r>
    <r>
      <rPr>
        <sz val="10"/>
        <rFont val="Arial"/>
        <family val="0"/>
        <charset val="1"/>
      </rPr>
      <t xml:space="preserve">tieMember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businessRank</t>
    </r>
    <r>
      <rPr>
        <sz val="10"/>
        <rFont val="Noto Sans CJK SC"/>
        <family val="2"/>
      </rPr>
      <t xml:space="preserve">；不得出現 </t>
    </r>
    <r>
      <rPr>
        <sz val="10"/>
        <rFont val="Arial"/>
        <family val="0"/>
        <charset val="1"/>
      </rPr>
      <t xml:space="preserve">alternativeRoutes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renderedPayload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recommendedRoute</t>
    </r>
    <r>
      <rPr>
        <sz val="10"/>
        <rFont val="Noto Sans CJK SC"/>
        <family val="2"/>
      </rPr>
      <t xml:space="preserve">。</t>
    </r>
  </si>
  <si>
    <t xml:space="preserve">A4_NOSTRO_JOIN</t>
  </si>
  <si>
    <r>
      <rPr>
        <sz val="10"/>
        <rFont val="Arial"/>
        <family val="0"/>
        <charset val="1"/>
      </rPr>
      <t xml:space="preserve">accountId </t>
    </r>
    <r>
      <rPr>
        <sz val="10"/>
        <rFont val="Noto Sans CJK SC"/>
        <family val="2"/>
      </rPr>
      <t xml:space="preserve">必須精確等於 </t>
    </r>
    <r>
      <rPr>
        <sz val="10"/>
        <rFont val="Arial"/>
        <family val="0"/>
        <charset val="1"/>
      </rPr>
      <t xml:space="preserve">ACTIVE Nostro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accountReference</t>
    </r>
    <r>
      <rPr>
        <sz val="10"/>
        <rFont val="Noto Sans CJK SC"/>
        <family val="2"/>
      </rPr>
      <t xml:space="preserve">；禁止以 </t>
    </r>
    <r>
      <rPr>
        <sz val="10"/>
        <rFont val="Arial"/>
        <family val="0"/>
        <charset val="1"/>
      </rPr>
      <t xml:space="preserve">Nostro.id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maskedAccountRef </t>
    </r>
    <r>
      <rPr>
        <sz val="10"/>
        <rFont val="Noto Sans CJK SC"/>
        <family val="2"/>
      </rPr>
      <t xml:space="preserve">或前綴／模糊比對。</t>
    </r>
  </si>
  <si>
    <t xml:space="preserve">跨筆混用檢查</t>
  </si>
  <si>
    <r>
      <rPr>
        <sz val="10"/>
        <rFont val="Arial"/>
        <family val="0"/>
        <charset val="1"/>
      </rPr>
      <t xml:space="preserve">chosen </t>
    </r>
    <r>
      <rPr>
        <sz val="10"/>
        <rFont val="Noto Sans CJK SC"/>
        <family val="2"/>
      </rPr>
      <t xml:space="preserve">的帳號與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必須來自同一筆 </t>
    </r>
    <r>
      <rPr>
        <sz val="10"/>
        <rFont val="Arial"/>
        <family val="0"/>
        <charset val="1"/>
      </rPr>
      <t xml:space="preserve">SSI</t>
    </r>
    <r>
      <rPr>
        <sz val="10"/>
        <rFont val="Noto Sans CJK SC"/>
        <family val="2"/>
      </rPr>
      <t xml:space="preserve">。曾出現「帳號取自 </t>
    </r>
    <r>
      <rPr>
        <sz val="10"/>
        <rFont val="Arial"/>
        <family val="0"/>
        <charset val="1"/>
      </rPr>
      <t xml:space="preserve">022(GBP) 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024(USD/CITIUS33)</t>
    </r>
    <r>
      <rPr>
        <sz val="10"/>
        <rFont val="Noto Sans CJK SC"/>
        <family val="2"/>
      </rPr>
      <t xml:space="preserve">」的硬錯，務必回歸驗證。</t>
    </r>
  </si>
  <si>
    <r>
      <rPr>
        <b val="true"/>
        <sz val="14"/>
        <color rgb="FF1F3864"/>
        <rFont val="Arial"/>
        <family val="0"/>
        <charset val="1"/>
      </rPr>
      <t xml:space="preserve">Message Scenarios</t>
    </r>
    <r>
      <rPr>
        <b val="true"/>
        <sz val="14"/>
        <color rgb="FF1F3864"/>
        <rFont val="Noto Sans CJK SC"/>
        <family val="2"/>
      </rPr>
      <t xml:space="preserve">（畫面「雙擊情境以套用參數」）</t>
    </r>
  </si>
  <si>
    <r>
      <rPr>
        <i val="true"/>
        <sz val="9"/>
        <color rgb="FF595959"/>
        <rFont val="Noto Sans CJK SC"/>
        <family val="2"/>
      </rPr>
      <t xml:space="preserve">情境影響欄位呈現與 </t>
    </r>
    <r>
      <rPr>
        <i val="true"/>
        <sz val="9"/>
        <color rgb="FF595959"/>
        <rFont val="Arial"/>
        <family val="0"/>
        <charset val="1"/>
      </rPr>
      <t xml:space="preserve">context</t>
    </r>
    <r>
      <rPr>
        <i val="true"/>
        <sz val="9"/>
        <color rgb="FF595959"/>
        <rFont val="Noto Sans CJK SC"/>
        <family val="2"/>
      </rPr>
      <t xml:space="preserve">，不改變 </t>
    </r>
    <r>
      <rPr>
        <i val="true"/>
        <sz val="9"/>
        <color rgb="FF595959"/>
        <rFont val="Arial"/>
        <family val="0"/>
        <charset val="1"/>
      </rPr>
      <t xml:space="preserve">SSI </t>
    </r>
    <r>
      <rPr>
        <i val="true"/>
        <sz val="9"/>
        <color rgb="FF595959"/>
        <rFont val="Noto Sans CJK SC"/>
        <family val="2"/>
      </rPr>
      <t xml:space="preserve">選取結果。同一組 </t>
    </r>
    <r>
      <rPr>
        <i val="true"/>
        <sz val="9"/>
        <color rgb="FF595959"/>
        <rFont val="Arial"/>
        <family val="0"/>
        <charset val="1"/>
      </rPr>
      <t xml:space="preserve">Counterparty</t>
    </r>
    <r>
      <rPr>
        <i val="true"/>
        <sz val="9"/>
        <color rgb="FF595959"/>
        <rFont val="Noto Sans CJK SC"/>
        <family val="2"/>
      </rPr>
      <t xml:space="preserve">／</t>
    </r>
    <r>
      <rPr>
        <i val="true"/>
        <sz val="9"/>
        <color rgb="FF595959"/>
        <rFont val="Arial"/>
        <family val="0"/>
        <charset val="1"/>
      </rPr>
      <t xml:space="preserve">Currency </t>
    </r>
    <r>
      <rPr>
        <i val="true"/>
        <sz val="9"/>
        <color rgb="FF595959"/>
        <rFont val="Noto Sans CJK SC"/>
        <family val="2"/>
      </rPr>
      <t xml:space="preserve">下，套用任一情境的 </t>
    </r>
    <r>
      <rPr>
        <i val="true"/>
        <sz val="9"/>
        <color rgb="FF595959"/>
        <rFont val="Arial"/>
        <family val="0"/>
        <charset val="1"/>
      </rPr>
      <t xml:space="preserve">chosen SSI </t>
    </r>
    <r>
      <rPr>
        <i val="true"/>
        <sz val="9"/>
        <color rgb="FF595959"/>
        <rFont val="Noto Sans CJK SC"/>
        <family val="2"/>
      </rPr>
      <t xml:space="preserve">應完全相同。</t>
    </r>
  </si>
  <si>
    <t xml:space="preserve">情境說明</t>
  </si>
  <si>
    <t xml:space="preserve">ISO 20022</t>
  </si>
  <si>
    <t xml:space="preserve">TARGET SCENARIO</t>
  </si>
  <si>
    <r>
      <rPr>
        <b val="true"/>
        <sz val="10"/>
        <color rgb="FFFFFFFF"/>
        <rFont val="Arial"/>
        <family val="0"/>
        <charset val="1"/>
      </rPr>
      <t xml:space="preserve">UAT </t>
    </r>
    <r>
      <rPr>
        <b val="true"/>
        <sz val="10"/>
        <color rgb="FFFFFFFF"/>
        <rFont val="Noto Sans CJK SC"/>
        <family val="2"/>
      </rPr>
      <t xml:space="preserve">重點</t>
    </r>
  </si>
  <si>
    <r>
      <rPr>
        <sz val="10"/>
        <rFont val="Arial"/>
        <family val="0"/>
        <charset val="1"/>
      </rPr>
      <t xml:space="preserve">Book transfer — same receiver</t>
    </r>
    <r>
      <rPr>
        <sz val="10"/>
        <rFont val="Noto Sans CJK SC"/>
        <family val="2"/>
      </rPr>
      <t xml:space="preserve">（本行於同一收款行之帳戶間移轉）</t>
    </r>
  </si>
  <si>
    <t xml:space="preserve">BOOK_TRANSFER_SAME_RECEIVER</t>
  </si>
  <si>
    <r>
      <rPr>
        <sz val="10"/>
        <rFont val="Arial"/>
        <family val="0"/>
        <charset val="1"/>
      </rPr>
      <t xml:space="preserve">57a </t>
    </r>
    <r>
      <rPr>
        <sz val="10"/>
        <rFont val="Noto Sans CJK SC"/>
        <family val="2"/>
      </rPr>
      <t xml:space="preserve">省略規則：當 </t>
    </r>
    <r>
      <rPr>
        <sz val="10"/>
        <rFont val="Arial"/>
        <family val="0"/>
        <charset val="1"/>
      </rPr>
      <t xml:space="preserve">creditorAgent </t>
    </r>
    <r>
      <rPr>
        <sz val="10"/>
        <rFont val="Noto Sans CJK SC"/>
        <family val="2"/>
      </rPr>
      <t xml:space="preserve">等於 </t>
    </r>
    <r>
      <rPr>
        <sz val="10"/>
        <rFont val="Arial"/>
        <family val="0"/>
        <charset val="1"/>
      </rPr>
      <t xml:space="preserve">instructedAgent </t>
    </r>
    <r>
      <rPr>
        <sz val="10"/>
        <rFont val="Noto Sans CJK SC"/>
        <family val="2"/>
      </rPr>
      <t xml:space="preserve">時，</t>
    </r>
    <r>
      <rPr>
        <sz val="10"/>
        <rFont val="Arial"/>
        <family val="0"/>
        <charset val="1"/>
      </rPr>
      <t xml:space="preserve">MT </t>
    </r>
    <r>
      <rPr>
        <sz val="10"/>
        <rFont val="Noto Sans CJK SC"/>
        <family val="2"/>
      </rPr>
      <t xml:space="preserve">應 </t>
    </r>
    <r>
      <rPr>
        <sz val="10"/>
        <rFont val="Arial"/>
        <family val="0"/>
        <charset val="1"/>
      </rPr>
      <t xml:space="preserve">OMIT_57A </t>
    </r>
    <r>
      <rPr>
        <sz val="10"/>
        <rFont val="Noto Sans CJK SC"/>
        <family val="2"/>
      </rPr>
      <t xml:space="preserve">並標 </t>
    </r>
    <r>
      <rPr>
        <sz val="10"/>
        <rFont val="Arial"/>
        <family val="0"/>
        <charset val="1"/>
      </rPr>
      <t xml:space="preserve">OMITTED_BY_RULE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MX </t>
    </r>
    <r>
      <rPr>
        <sz val="10"/>
        <rFont val="Noto Sans CJK SC"/>
        <family val="2"/>
      </rPr>
      <t xml:space="preserve">仍輸出 </t>
    </r>
    <r>
      <rPr>
        <sz val="10"/>
        <rFont val="Arial"/>
        <family val="0"/>
        <charset val="1"/>
      </rPr>
      <t xml:space="preserve">CdtrAgt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MTMX-57A-01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</si>
  <si>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Credit one of several accounts at 57A</t>
    </r>
    <r>
      <rPr>
        <sz val="10"/>
        <rFont val="Noto Sans CJK SC"/>
        <family val="2"/>
      </rPr>
      <t xml:space="preserve">（明示指定自有貸記帳戶與 </t>
    </r>
    <r>
      <rPr>
        <sz val="10"/>
        <rFont val="Arial"/>
        <family val="0"/>
        <charset val="1"/>
      </rPr>
      <t xml:space="preserve">Account With Institution</t>
    </r>
    <r>
      <rPr>
        <sz val="10"/>
        <rFont val="Noto Sans CJK SC"/>
        <family val="2"/>
      </rPr>
      <t xml:space="preserve">）</t>
    </r>
  </si>
  <si>
    <t xml:space="preserve">CREDIT_ONE_OF_SEVERAL_AT_57A</t>
  </si>
  <si>
    <r>
      <rPr>
        <sz val="10"/>
        <rFont val="Noto Sans CJK SC"/>
        <family val="2"/>
      </rPr>
      <t xml:space="preserve">多帳戶情境：須確認 </t>
    </r>
    <r>
      <rPr>
        <sz val="10"/>
        <rFont val="Arial"/>
        <family val="0"/>
        <charset val="1"/>
      </rPr>
      <t xml:space="preserve">57a </t>
    </r>
    <r>
      <rPr>
        <sz val="10"/>
        <rFont val="Noto Sans CJK SC"/>
        <family val="2"/>
      </rPr>
      <t xml:space="preserve">明示輸出而非省略，且所選帳戶與 </t>
    </r>
    <r>
      <rPr>
        <sz val="10"/>
        <rFont val="Arial"/>
        <family val="0"/>
        <charset val="1"/>
      </rPr>
      <t xml:space="preserve">chosen SSI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accountId </t>
    </r>
    <r>
      <rPr>
        <sz val="10"/>
        <rFont val="Noto Sans CJK SC"/>
        <family val="2"/>
      </rPr>
      <t xml:space="preserve">一致。</t>
    </r>
  </si>
  <si>
    <r>
      <rPr>
        <sz val="10"/>
        <rFont val="Arial"/>
        <family val="0"/>
        <charset val="1"/>
      </rPr>
      <t xml:space="preserve">Initial MT200 / MT201 equivalence</t>
    </r>
    <r>
      <rPr>
        <sz val="10"/>
        <rFont val="Noto Sans CJK SC"/>
        <family val="2"/>
      </rPr>
      <t xml:space="preserve">（沿用前手 </t>
    </r>
    <r>
      <rPr>
        <sz val="10"/>
        <rFont val="Arial"/>
        <family val="0"/>
        <charset val="1"/>
      </rPr>
      <t xml:space="preserve">MT200/201 context</t>
    </r>
    <r>
      <rPr>
        <sz val="10"/>
        <rFont val="Noto Sans CJK SC"/>
        <family val="2"/>
      </rPr>
      <t xml:space="preserve">，不允許編輯銀行身分）</t>
    </r>
  </si>
  <si>
    <t xml:space="preserve">INITIAL_MT200_201_EQUIVALENCE</t>
  </si>
  <si>
    <r>
      <rPr>
        <sz val="10"/>
        <rFont val="Arial"/>
        <family val="0"/>
        <charset val="1"/>
      </rPr>
      <t xml:space="preserve">MT205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52a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Mandatory</t>
    </r>
    <r>
      <rPr>
        <sz val="10"/>
        <rFont val="Noto Sans CJK SC"/>
        <family val="2"/>
      </rPr>
      <t xml:space="preserve">，須由前手 </t>
    </r>
    <r>
      <rPr>
        <sz val="10"/>
        <rFont val="Arial"/>
        <family val="0"/>
        <charset val="1"/>
      </rPr>
      <t xml:space="preserve">Category 2 </t>
    </r>
    <r>
      <rPr>
        <sz val="10"/>
        <rFont val="Noto Sans CJK SC"/>
        <family val="2"/>
      </rPr>
      <t xml:space="preserve">指示帶入；缺值應回 </t>
    </r>
    <r>
      <rPr>
        <sz val="10"/>
        <rFont val="Arial"/>
        <family val="0"/>
        <charset val="1"/>
      </rPr>
      <t xml:space="preserve">MESSAGE_CONTEXT_MISSING</t>
    </r>
    <r>
      <rPr>
        <sz val="10"/>
        <rFont val="Noto Sans CJK SC"/>
        <family val="2"/>
      </rPr>
      <t xml:space="preserve">，不得誤報 </t>
    </r>
    <r>
      <rPr>
        <sz val="10"/>
        <rFont val="Arial"/>
        <family val="0"/>
        <charset val="1"/>
      </rPr>
      <t xml:space="preserve">SSI_NOT_FOUND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</si>
  <si>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MT205 COV — no MT200 / MT201 equivalence</t>
    </r>
    <r>
      <rPr>
        <sz val="10"/>
        <rFont val="Noto Sans CJK SC"/>
        <family val="2"/>
      </rPr>
      <t xml:space="preserve">（保留前手 </t>
    </r>
    <r>
      <rPr>
        <sz val="10"/>
        <rFont val="Arial"/>
        <family val="0"/>
        <charset val="1"/>
      </rPr>
      <t xml:space="preserve">cover context</t>
    </r>
    <r>
      <rPr>
        <sz val="10"/>
        <rFont val="Noto Sans CJK SC"/>
        <family val="2"/>
      </rPr>
      <t xml:space="preserve">；不套用 </t>
    </r>
    <r>
      <rPr>
        <sz val="10"/>
        <rFont val="Arial"/>
        <family val="0"/>
        <charset val="1"/>
      </rPr>
      <t xml:space="preserve">MT-only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58a </t>
    </r>
    <r>
      <rPr>
        <sz val="10"/>
        <rFont val="Noto Sans CJK SC"/>
        <family val="2"/>
      </rPr>
      <t xml:space="preserve">等於 </t>
    </r>
    <r>
      <rPr>
        <sz val="10"/>
        <rFont val="Arial"/>
        <family val="0"/>
        <charset val="1"/>
      </rPr>
      <t xml:space="preserve">52a </t>
    </r>
    <r>
      <rPr>
        <sz val="10"/>
        <rFont val="Noto Sans CJK SC"/>
        <family val="2"/>
      </rPr>
      <t xml:space="preserve">規則）</t>
    </r>
  </si>
  <si>
    <t xml:space="preserve">NO_MT200_201_EQUIVALENCE</t>
  </si>
  <si>
    <r>
      <rPr>
        <sz val="10"/>
        <rFont val="Noto Sans CJK SC"/>
        <family val="2"/>
      </rPr>
      <t xml:space="preserve">目前受 </t>
    </r>
    <r>
      <rPr>
        <sz val="10"/>
        <rFont val="Arial"/>
        <family val="0"/>
        <charset val="1"/>
      </rPr>
      <t xml:space="preserve">DG-COV-PROFILE </t>
    </r>
    <r>
      <rPr>
        <sz val="10"/>
        <rFont val="Noto Sans CJK SC"/>
        <family val="2"/>
      </rPr>
      <t xml:space="preserve">封鎖，應在 </t>
    </r>
    <r>
      <rPr>
        <sz val="10"/>
        <rFont val="Arial"/>
        <family val="0"/>
        <charset val="1"/>
      </rPr>
      <t xml:space="preserve">rank </t>
    </r>
    <r>
      <rPr>
        <sz val="10"/>
        <rFont val="Noto Sans CJK SC"/>
        <family val="2"/>
      </rPr>
      <t xml:space="preserve">之前回 </t>
    </r>
    <r>
      <rPr>
        <sz val="10"/>
        <rFont val="Arial"/>
        <family val="0"/>
        <charset val="1"/>
      </rPr>
      <t xml:space="preserve">503 PROFILE_INCOMPLETE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DG </t>
    </r>
    <r>
      <rPr>
        <sz val="10"/>
        <rFont val="Noto Sans CJK SC"/>
        <family val="2"/>
      </rPr>
      <t xml:space="preserve">關閉後才驗此情境。</t>
    </r>
  </si>
  <si>
    <t xml:space="preserve">證據來源、範圍界定與待確認事項</t>
  </si>
  <si>
    <r>
      <rPr>
        <i val="true"/>
        <sz val="9"/>
        <color rgb="FF595959"/>
        <rFont val="Noto Sans CJK SC"/>
        <family val="2"/>
      </rPr>
      <t xml:space="preserve">本清單所有數字均由受控 </t>
    </r>
    <r>
      <rPr>
        <i val="true"/>
        <sz val="9"/>
        <color rgb="FF595959"/>
        <rFont val="Arial"/>
        <family val="0"/>
        <charset val="1"/>
      </rPr>
      <t xml:space="preserve">snapshot </t>
    </r>
    <r>
      <rPr>
        <i val="true"/>
        <sz val="9"/>
        <color rgb="FF595959"/>
        <rFont val="Noto Sans CJK SC"/>
        <family val="2"/>
      </rPr>
      <t xml:space="preserve">實測導出，未採信任何文件自述。</t>
    </r>
  </si>
  <si>
    <t xml:space="preserve">項目</t>
  </si>
  <si>
    <t xml:space="preserve">內容</t>
  </si>
  <si>
    <r>
      <rPr>
        <b val="true"/>
        <sz val="10"/>
        <rFont val="Noto Sans CJK SC"/>
        <family val="2"/>
      </rPr>
      <t xml:space="preserve">受控 </t>
    </r>
    <r>
      <rPr>
        <b val="true"/>
        <sz val="10"/>
        <rFont val="Arial"/>
        <family val="0"/>
        <charset val="1"/>
      </rPr>
      <t xml:space="preserve">snapshot</t>
    </r>
  </si>
  <si>
    <t xml:space="preserve">qa/mt2-final/fixtures/baselines/ssi-demo.consistent-snapshot.sqlite</t>
  </si>
  <si>
    <t xml:space="preserve">snapshot SHA-256</t>
  </si>
  <si>
    <t xml:space="preserve">7492CC264BCDBC7EE43DC7028CDCDC12385898BFD4BDCCA02798D2B5A3AB4EF3</t>
  </si>
  <si>
    <t xml:space="preserve">snapshot bytes</t>
  </si>
  <si>
    <t xml:space="preserve">9,068,544</t>
  </si>
  <si>
    <t xml:space="preserve">ACTIVE SSI / ACTIVE Nostro</t>
  </si>
  <si>
    <t xml:space="preserve">42 / 159</t>
  </si>
  <si>
    <r>
      <rPr>
        <b val="true"/>
        <sz val="10"/>
        <rFont val="Noto Sans CJK SC"/>
        <family val="2"/>
      </rPr>
      <t xml:space="preserve">具 </t>
    </r>
    <r>
      <rPr>
        <b val="true"/>
        <sz val="10"/>
        <rFont val="Arial"/>
        <family val="0"/>
        <charset val="1"/>
      </rPr>
      <t xml:space="preserve">pacs.009.001.08 </t>
    </r>
    <r>
      <rPr>
        <b val="true"/>
        <sz val="10"/>
        <rFont val="Noto Sans CJK SC"/>
        <family val="2"/>
      </rPr>
      <t xml:space="preserve">之 </t>
    </r>
    <r>
      <rPr>
        <b val="true"/>
        <sz val="10"/>
        <rFont val="Arial"/>
        <family val="0"/>
        <charset val="1"/>
      </rPr>
      <t xml:space="preserve">ACTIVE SSI</t>
    </r>
  </si>
  <si>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筆（本清單全部涵蓋）</t>
    </r>
  </si>
  <si>
    <r>
      <rPr>
        <b val="true"/>
        <sz val="10"/>
        <rFont val="Noto Sans CJK SC"/>
        <family val="2"/>
      </rPr>
      <t xml:space="preserve">不具 </t>
    </r>
    <r>
      <rPr>
        <b val="true"/>
        <sz val="10"/>
        <rFont val="Arial"/>
        <family val="0"/>
        <charset val="1"/>
      </rPr>
      <t xml:space="preserve">.08 </t>
    </r>
    <r>
      <rPr>
        <b val="true"/>
        <sz val="10"/>
        <rFont val="Noto Sans CJK SC"/>
        <family val="2"/>
      </rPr>
      <t xml:space="preserve">之 </t>
    </r>
    <r>
      <rPr>
        <b val="true"/>
        <sz val="10"/>
        <rFont val="Arial"/>
        <family val="0"/>
        <charset val="1"/>
      </rPr>
      <t xml:space="preserve">ACTIVE SSI</t>
    </r>
  </si>
  <si>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筆，</t>
    </r>
    <r>
      <rPr>
        <sz val="10"/>
        <rFont val="Arial"/>
        <family val="0"/>
        <charset val="1"/>
      </rPr>
      <t xml:space="preserve">MT2xx </t>
    </r>
    <r>
      <rPr>
        <sz val="10"/>
        <rFont val="Noto Sans CJK SC"/>
        <family val="2"/>
      </rPr>
      <t xml:space="preserve">不可見：</t>
    </r>
    <r>
      <rPr>
        <sz val="10"/>
        <rFont val="Arial"/>
        <family val="0"/>
        <charset val="1"/>
      </rPr>
      <t xml:space="preserve">SSI-DEMO-025~034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筆，僅 </t>
    </r>
    <r>
      <rPr>
        <sz val="10"/>
        <rFont val="Arial"/>
        <family val="0"/>
        <charset val="1"/>
      </rPr>
      <t xml:space="preserve">.12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counterpartyBic=ANY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SSI-DEMO-036~040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筆，僅 </t>
    </r>
    <r>
      <rPr>
        <sz val="10"/>
        <rFont val="Arial"/>
        <family val="0"/>
        <charset val="1"/>
      </rPr>
      <t xml:space="preserve">pacs.008</t>
    </r>
    <r>
      <rPr>
        <sz val="10"/>
        <rFont val="Noto Sans CJK SC"/>
        <family val="2"/>
      </rPr>
      <t xml:space="preserve">，屬 </t>
    </r>
    <r>
      <rPr>
        <sz val="10"/>
        <rFont val="Arial"/>
        <family val="0"/>
        <charset val="1"/>
      </rPr>
      <t xml:space="preserve">MT103 </t>
    </r>
    <r>
      <rPr>
        <sz val="10"/>
        <rFont val="Noto Sans CJK SC"/>
        <family val="2"/>
      </rPr>
      <t xml:space="preserve">域）、</t>
    </r>
    <r>
      <rPr>
        <sz val="10"/>
        <rFont val="Arial"/>
        <family val="0"/>
        <charset val="1"/>
      </rPr>
      <t xml:space="preserve">SSI-DEMO-023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筆，僅 </t>
    </r>
    <r>
      <rPr>
        <sz val="10"/>
        <rFont val="Arial"/>
        <family val="0"/>
        <charset val="1"/>
      </rPr>
      <t xml:space="preserve">pacs.009.001.12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</si>
  <si>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Nostro </t>
    </r>
    <r>
      <rPr>
        <b val="true"/>
        <sz val="10"/>
        <rFont val="Noto Sans CJK SC"/>
        <family val="2"/>
      </rPr>
      <t xml:space="preserve">參照完整性</t>
    </r>
  </si>
  <si>
    <r>
      <rPr>
        <sz val="10"/>
        <rFont val="Arial"/>
        <family val="0"/>
        <charset val="1"/>
      </rPr>
      <t xml:space="preserve">42/42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accountId = accountReference </t>
    </r>
    <r>
      <rPr>
        <sz val="10"/>
        <rFont val="Noto Sans CJK SC"/>
        <family val="2"/>
      </rPr>
      <t xml:space="preserve">精確命中，</t>
    </r>
    <r>
      <rPr>
        <sz val="10"/>
        <rFont val="Arial"/>
        <family val="0"/>
        <charset val="1"/>
      </rPr>
      <t xml:space="preserve">orphan = 0</t>
    </r>
    <r>
      <rPr>
        <sz val="10"/>
        <rFont val="Noto Sans CJK SC"/>
        <family val="2"/>
      </rPr>
      <t xml:space="preserve">。以 </t>
    </r>
    <r>
      <rPr>
        <sz val="10"/>
        <rFont val="Arial"/>
        <family val="0"/>
        <charset val="1"/>
      </rPr>
      <t xml:space="preserve">maskedAccountRef </t>
    </r>
    <r>
      <rPr>
        <sz val="10"/>
        <rFont val="Noto Sans CJK SC"/>
        <family val="2"/>
      </rPr>
      <t xml:space="preserve">比對會有 </t>
    </r>
    <r>
      <rPr>
        <sz val="10"/>
        <rFont val="Arial"/>
        <family val="0"/>
        <charset val="1"/>
      </rPr>
      <t xml:space="preserve">38 </t>
    </r>
    <r>
      <rPr>
        <sz val="10"/>
        <rFont val="Noto Sans CJK SC"/>
        <family val="2"/>
      </rPr>
      <t xml:space="preserve">筆落空、以 </t>
    </r>
    <r>
      <rPr>
        <sz val="10"/>
        <rFont val="Arial"/>
        <family val="0"/>
        <charset val="1"/>
      </rPr>
      <t xml:space="preserve">Nostro.id </t>
    </r>
    <r>
      <rPr>
        <sz val="10"/>
        <rFont val="Noto Sans CJK SC"/>
        <family val="2"/>
      </rPr>
      <t xml:space="preserve">比對 </t>
    </r>
    <r>
      <rPr>
        <sz val="10"/>
        <rFont val="Arial"/>
        <family val="0"/>
        <charset val="1"/>
      </rPr>
      <t xml:space="preserve">42 </t>
    </r>
    <r>
      <rPr>
        <sz val="10"/>
        <rFont val="Noto Sans CJK SC"/>
        <family val="2"/>
      </rPr>
      <t xml:space="preserve">筆全落空 —— 兩者皆為錯誤 </t>
    </r>
    <r>
      <rPr>
        <sz val="10"/>
        <rFont val="Arial"/>
        <family val="0"/>
        <charset val="1"/>
      </rPr>
      <t xml:space="preserve">join </t>
    </r>
    <r>
      <rPr>
        <sz val="10"/>
        <rFont val="Noto Sans CJK SC"/>
        <family val="2"/>
      </rPr>
      <t xml:space="preserve">方式。</t>
    </r>
  </si>
  <si>
    <t xml:space="preserve">平手掃描</t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</si>
  <si>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(counterpartyBic, currency, bookingEntity) </t>
    </r>
    <r>
      <rPr>
        <sz val="10"/>
        <rFont val="Noto Sans CJK SC"/>
        <family val="2"/>
      </rPr>
      <t xml:space="preserve">分組共 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組，僅 </t>
    </r>
    <r>
      <rPr>
        <sz val="10"/>
        <rFont val="Arial"/>
        <family val="0"/>
        <charset val="1"/>
      </rPr>
      <t xml:space="preserve">BARCGB22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HK01 </t>
    </r>
    <r>
      <rPr>
        <sz val="10"/>
        <rFont val="Noto Sans CJK SC"/>
        <family val="2"/>
      </rPr>
      <t xml:space="preserve">一組於 </t>
    </r>
    <r>
      <rPr>
        <sz val="10"/>
        <rFont val="Arial"/>
        <family val="0"/>
        <charset val="1"/>
      </rPr>
      <t xml:space="preserve">priority→routePreference </t>
    </r>
    <r>
      <rPr>
        <sz val="10"/>
        <rFont val="Noto Sans CJK SC"/>
        <family val="2"/>
      </rPr>
      <t xml:space="preserve">打平（</t>
    </r>
    <r>
      <rPr>
        <sz val="10"/>
        <rFont val="Arial"/>
        <family val="0"/>
        <charset val="1"/>
      </rPr>
      <t xml:space="preserve">003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022</t>
    </r>
    <r>
      <rPr>
        <sz val="10"/>
        <rFont val="Noto Sans CJK SC"/>
        <family val="2"/>
      </rPr>
      <t xml:space="preserve">）。</t>
    </r>
  </si>
  <si>
    <t xml:space="preserve">範圍：涵蓋</t>
  </si>
  <si>
    <r>
      <rPr>
        <sz val="10"/>
        <rFont val="Arial"/>
        <family val="0"/>
        <charset val="1"/>
      </rPr>
      <t xml:space="preserve">MT202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MT205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MT202COV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MT205COV </t>
    </r>
    <r>
      <rPr>
        <sz val="10"/>
        <rFont val="Noto Sans CJK SC"/>
        <family val="2"/>
      </rPr>
      <t xml:space="preserve">四種來源電文，全部正規化至 </t>
    </r>
    <r>
      <rPr>
        <sz val="10"/>
        <rFont val="Arial"/>
        <family val="0"/>
        <charset val="1"/>
      </rPr>
      <t xml:space="preserve">pacs.009.001.08</t>
    </r>
    <r>
      <rPr>
        <sz val="10"/>
        <rFont val="Noto Sans CJK SC"/>
        <family val="2"/>
      </rPr>
      <t xml:space="preserve">。本清單即為該 </t>
    </r>
    <r>
      <rPr>
        <sz val="10"/>
        <rFont val="Arial"/>
        <family val="0"/>
        <charset val="1"/>
      </rPr>
      <t xml:space="preserve">.08 </t>
    </r>
    <r>
      <rPr>
        <sz val="10"/>
        <rFont val="Noto Sans CJK SC"/>
        <family val="2"/>
      </rPr>
      <t xml:space="preserve">宇宙的完整集合。</t>
    </r>
  </si>
  <si>
    <t xml:space="preserve">範圍：不涵蓋</t>
  </si>
  <si>
    <r>
      <rPr>
        <sz val="10"/>
        <rFont val="Arial"/>
        <family val="0"/>
        <charset val="1"/>
      </rPr>
      <t xml:space="preserve">MT200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MT201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MT203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MT204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MT210 ——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MT2xx Scope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MT200 </t>
    </r>
    <r>
      <rPr>
        <sz val="10"/>
        <rFont val="Noto Sans CJK SC"/>
        <family val="2"/>
      </rPr>
      <t xml:space="preserve">轉 </t>
    </r>
    <r>
      <rPr>
        <sz val="10"/>
        <rFont val="Arial"/>
        <family val="0"/>
        <charset val="1"/>
      </rPr>
      <t xml:space="preserve">OWN_SSI_NOSTRO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MT204 </t>
    </r>
    <r>
      <rPr>
        <sz val="10"/>
        <rFont val="Noto Sans CJK SC"/>
        <family val="2"/>
      </rPr>
      <t xml:space="preserve">轉 </t>
    </r>
    <r>
      <rPr>
        <sz val="10"/>
        <rFont val="Arial"/>
        <family val="0"/>
        <charset val="1"/>
      </rPr>
      <t xml:space="preserve">FI_DIRECT_DEBIT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MT210 </t>
    </r>
    <r>
      <rPr>
        <sz val="10"/>
        <rFont val="Noto Sans CJK SC"/>
        <family val="2"/>
      </rPr>
      <t xml:space="preserve">轉 </t>
    </r>
    <r>
      <rPr>
        <sz val="10"/>
        <rFont val="Arial"/>
        <family val="0"/>
        <charset val="1"/>
      </rPr>
      <t xml:space="preserve">NOTIFICATION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MT201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MT203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MESSAGE_TYPE_NOT_SUPPORTED</t>
    </r>
    <r>
      <rPr>
        <sz val="10"/>
        <rFont val="Noto Sans CJK SC"/>
        <family val="2"/>
      </rPr>
      <t xml:space="preserve">。均不查 </t>
    </r>
    <r>
      <rPr>
        <sz val="10"/>
        <rFont val="Arial"/>
        <family val="0"/>
        <charset val="1"/>
      </rPr>
      <t xml:space="preserve">Counterparty SSI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</si>
  <si>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待確認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</si>
  <si>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UAT </t>
    </r>
    <r>
      <rPr>
        <sz val="10"/>
        <rFont val="Noto Sans CJK SC"/>
        <family val="2"/>
      </rPr>
      <t xml:space="preserve">矩陣僅收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組，未收 </t>
    </r>
    <r>
      <rPr>
        <sz val="10"/>
        <rFont val="Arial"/>
        <family val="0"/>
        <charset val="1"/>
      </rPr>
      <t xml:space="preserve">NSSIUSN1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SSI-DEMO-041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NSSIUSN1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SSI-DEMO-042</t>
    </r>
    <r>
      <rPr>
        <sz val="10"/>
        <rFont val="Noto Sans CJK SC"/>
        <family val="2"/>
      </rPr>
      <t xml:space="preserve">）。兩者皆為合法且會成功解析的 </t>
    </r>
    <r>
      <rPr>
        <sz val="10"/>
        <rFont val="Arial"/>
        <family val="0"/>
        <charset val="1"/>
      </rPr>
      <t xml:space="preserve">MT202 </t>
    </r>
    <r>
      <rPr>
        <sz val="10"/>
        <rFont val="Noto Sans CJK SC"/>
        <family val="2"/>
      </rPr>
      <t xml:space="preserve">路由，</t>
    </r>
    <r>
      <rPr>
        <sz val="10"/>
        <rFont val="Arial"/>
        <family val="0"/>
        <charset val="1"/>
      </rPr>
      <t xml:space="preserve">sampleSet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DEMO-LIMITED-COVERAGE</t>
    </r>
    <r>
      <rPr>
        <sz val="10"/>
        <rFont val="Noto Sans CJK SC"/>
        <family val="2"/>
      </rPr>
      <t xml:space="preserve">。請 </t>
    </r>
    <r>
      <rPr>
        <sz val="10"/>
        <rFont val="Arial"/>
        <family val="0"/>
        <charset val="1"/>
      </rPr>
      <t xml:space="preserve">BA </t>
    </r>
    <r>
      <rPr>
        <sz val="10"/>
        <rFont val="Noto Sans CJK SC"/>
        <family val="2"/>
      </rPr>
      <t xml:space="preserve">裁定：刻意排除（需登錄理由）或遺漏（分母應由 </t>
    </r>
    <r>
      <rPr>
        <sz val="10"/>
        <rFont val="Arial"/>
        <family val="0"/>
        <charset val="1"/>
      </rPr>
      <t xml:space="preserve">48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</si>
  <si>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待確認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</si>
  <si>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SSI-DEMO-025~034 </t>
    </r>
    <r>
      <rPr>
        <sz val="10"/>
        <rFont val="Noto Sans CJK SC"/>
        <family val="2"/>
      </rPr>
      <t xml:space="preserve">目前僅掛 </t>
    </r>
    <r>
      <rPr>
        <sz val="10"/>
        <rFont val="Arial"/>
        <family val="0"/>
        <charset val="1"/>
      </rPr>
      <t xml:space="preserve">pacs.009.001.12</t>
    </r>
    <r>
      <rPr>
        <sz val="10"/>
        <rFont val="Noto Sans CJK SC"/>
        <family val="2"/>
      </rPr>
      <t xml:space="preserve">。若 </t>
    </r>
    <r>
      <rPr>
        <sz val="10"/>
        <rFont val="Arial"/>
        <family val="0"/>
        <charset val="1"/>
      </rPr>
      <t xml:space="preserve">DG </t>
    </r>
    <r>
      <rPr>
        <sz val="10"/>
        <rFont val="Noto Sans CJK SC"/>
        <family val="2"/>
      </rPr>
      <t xml:space="preserve">遷移時一併補上 </t>
    </r>
    <r>
      <rPr>
        <sz val="10"/>
        <rFont val="Arial"/>
        <family val="0"/>
        <charset val="1"/>
      </rPr>
      <t xml:space="preserve">.08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MT202 </t>
    </r>
    <r>
      <rPr>
        <sz val="10"/>
        <rFont val="Noto Sans CJK SC"/>
        <family val="2"/>
      </rPr>
      <t xml:space="preserve">可解析宇宙將由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增至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，且其幣別與現有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組幾乎全面重疊、</t>
    </r>
    <r>
      <rPr>
        <sz val="10"/>
        <rFont val="Arial"/>
        <family val="0"/>
        <charset val="1"/>
      </rPr>
      <t xml:space="preserve">counterpartyBic </t>
    </r>
    <r>
      <rPr>
        <sz val="10"/>
        <rFont val="Noto Sans CJK SC"/>
        <family val="2"/>
      </rPr>
      <t xml:space="preserve">為萬用值 </t>
    </r>
    <r>
      <rPr>
        <sz val="10"/>
        <rFont val="Arial"/>
        <family val="0"/>
        <charset val="1"/>
      </rPr>
      <t xml:space="preserve">ANY</t>
    </r>
    <r>
      <rPr>
        <sz val="10"/>
        <rFont val="Noto Sans CJK SC"/>
        <family val="2"/>
      </rPr>
      <t xml:space="preserve">，極可能產生新的 </t>
    </r>
    <r>
      <rPr>
        <sz val="10"/>
        <rFont val="Arial"/>
        <family val="0"/>
        <charset val="1"/>
      </rPr>
      <t xml:space="preserve">top-rank </t>
    </r>
    <r>
      <rPr>
        <sz val="10"/>
        <rFont val="Noto Sans CJK SC"/>
        <family val="2"/>
      </rPr>
      <t xml:space="preserve">平手。此即 </t>
    </r>
    <r>
      <rPr>
        <sz val="10"/>
        <rFont val="Arial"/>
        <family val="0"/>
        <charset val="1"/>
      </rPr>
      <t xml:space="preserve">post-migration </t>
    </r>
    <r>
      <rPr>
        <sz val="10"/>
        <rFont val="Noto Sans CJK SC"/>
        <family val="2"/>
      </rPr>
      <t xml:space="preserve">必須重跑全量 </t>
    </r>
    <r>
      <rPr>
        <sz val="10"/>
        <rFont val="Arial"/>
        <family val="0"/>
        <charset val="1"/>
      </rPr>
      <t xml:space="preserve">tie scan</t>
    </r>
    <r>
      <rPr>
        <sz val="10"/>
        <rFont val="Noto Sans CJK SC"/>
        <family val="2"/>
      </rPr>
      <t xml:space="preserve">、不得以公式驗收的具體理由。</t>
    </r>
  </si>
  <si>
    <r>
      <rPr>
        <b val="true"/>
        <sz val="10"/>
        <rFont val="Noto Sans CJK SC"/>
        <family val="2"/>
      </rPr>
      <t xml:space="preserve">既有 </t>
    </r>
    <r>
      <rPr>
        <b val="true"/>
        <sz val="10"/>
        <rFont val="Arial"/>
        <family val="0"/>
        <charset val="1"/>
      </rPr>
      <t xml:space="preserve">BLOCKER</t>
    </r>
  </si>
  <si>
    <r>
      <rPr>
        <sz val="10"/>
        <rFont val="Arial"/>
        <family val="0"/>
        <charset val="1"/>
      </rPr>
      <t xml:space="preserve">UI-STALE-01</t>
    </r>
    <r>
      <rPr>
        <sz val="10"/>
        <rFont val="Noto Sans CJK SC"/>
        <family val="2"/>
      </rPr>
      <t xml:space="preserve">（改動 </t>
    </r>
    <r>
      <rPr>
        <sz val="10"/>
        <rFont val="Arial"/>
        <family val="0"/>
        <charset val="1"/>
      </rPr>
      <t xml:space="preserve">resolver input </t>
    </r>
    <r>
      <rPr>
        <sz val="10"/>
        <rFont val="Noto Sans CJK SC"/>
        <family val="2"/>
      </rPr>
      <t xml:space="preserve">後舊結果未即時失效）為 </t>
    </r>
    <r>
      <rPr>
        <sz val="10"/>
        <rFont val="Arial"/>
        <family val="0"/>
        <charset val="1"/>
      </rPr>
      <t xml:space="preserve">CONFIRMED BLOCKER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DG-COV-PROFILE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DG-COV-EXIT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OPEN BLOCKER</t>
    </r>
    <r>
      <rPr>
        <sz val="10"/>
        <rFont val="Noto Sans CJK SC"/>
        <family val="2"/>
      </rPr>
      <t xml:space="preserve">。</t>
    </r>
  </si>
  <si>
    <t xml:space="preserve">對應文件</t>
  </si>
  <si>
    <r>
      <rPr>
        <sz val="10"/>
        <rFont val="Arial"/>
        <family val="0"/>
        <charset val="1"/>
      </rPr>
      <t xml:space="preserve">MT2XX_</t>
    </r>
    <r>
      <rPr>
        <sz val="10"/>
        <rFont val="Noto Sans CJK SC"/>
        <family val="2"/>
      </rPr>
      <t xml:space="preserve">支援標準</t>
    </r>
    <r>
      <rPr>
        <sz val="10"/>
        <rFont val="Arial"/>
        <family val="0"/>
        <charset val="1"/>
      </rPr>
      <t xml:space="preserve">SSI_SR2026_MRG</t>
    </r>
    <r>
      <rPr>
        <sz val="10"/>
        <rFont val="Noto Sans CJK SC"/>
        <family val="2"/>
      </rPr>
      <t xml:space="preserve">與</t>
    </r>
    <r>
      <rPr>
        <sz val="10"/>
        <rFont val="Arial"/>
        <family val="0"/>
        <charset val="1"/>
      </rPr>
      <t xml:space="preserve">ISO20022</t>
    </r>
    <r>
      <rPr>
        <sz val="10"/>
        <rFont val="Noto Sans CJK SC"/>
        <family val="2"/>
      </rPr>
      <t xml:space="preserve">對應覆核版</t>
    </r>
    <r>
      <rPr>
        <sz val="10"/>
        <rFont val="Arial"/>
        <family val="0"/>
        <charset val="1"/>
      </rPr>
      <t xml:space="preserve">_v15.1_DRAFT_R5.xlsx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DRAFT — NOT APPROVED</t>
    </r>
    <r>
      <rPr>
        <sz val="10"/>
        <rFont val="Noto Sans CJK SC"/>
        <family val="2"/>
      </rPr>
      <t xml:space="preserve">）；受控基線仍為 </t>
    </r>
    <r>
      <rPr>
        <sz val="10"/>
        <rFont val="Arial"/>
        <family val="0"/>
        <charset val="1"/>
      </rPr>
      <t xml:space="preserve">v15</t>
    </r>
    <r>
      <rPr>
        <sz val="10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</si>
</sst>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9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8"/>
    <col collapsed="false" customWidth="true" hidden="false" outlineLevel="0" max="16" min="16" style="0" width="4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4" t="s">
        <v>16</v>
      </c>
      <c r="P4" s="3" t="s">
        <v>17</v>
      </c>
    </row>
    <row r="5" customFormat="false" ht="42" hidden="false" customHeight="true" outlineLevel="0" collapsed="false">
      <c r="A5" s="5" t="s">
        <v>18</v>
      </c>
      <c r="B5" s="6" t="n">
        <v>1</v>
      </c>
      <c r="C5" s="7" t="s">
        <v>19</v>
      </c>
      <c r="D5" s="8" t="s">
        <v>20</v>
      </c>
      <c r="E5" s="8" t="s">
        <v>21</v>
      </c>
      <c r="F5" s="6" t="s">
        <v>22</v>
      </c>
      <c r="G5" s="6" t="s">
        <v>23</v>
      </c>
      <c r="H5" s="8" t="s">
        <v>24</v>
      </c>
      <c r="I5" s="5" t="s">
        <v>25</v>
      </c>
      <c r="J5" s="5" t="s">
        <v>26</v>
      </c>
      <c r="K5" s="6" t="n">
        <v>200</v>
      </c>
      <c r="L5" s="8" t="s">
        <v>27</v>
      </c>
      <c r="M5" s="5" t="s">
        <v>28</v>
      </c>
      <c r="N5" s="6" t="n">
        <v>2</v>
      </c>
      <c r="O5" s="9" t="s">
        <v>29</v>
      </c>
      <c r="P5" s="9" t="s">
        <v>30</v>
      </c>
    </row>
    <row r="6" customFormat="false" ht="42" hidden="false" customHeight="true" outlineLevel="0" collapsed="false">
      <c r="A6" s="5" t="s">
        <v>31</v>
      </c>
      <c r="B6" s="6" t="n">
        <v>1</v>
      </c>
      <c r="C6" s="7" t="s">
        <v>19</v>
      </c>
      <c r="D6" s="8" t="s">
        <v>20</v>
      </c>
      <c r="E6" s="8" t="s">
        <v>21</v>
      </c>
      <c r="F6" s="6" t="s">
        <v>22</v>
      </c>
      <c r="G6" s="6" t="s">
        <v>23</v>
      </c>
      <c r="H6" s="8" t="s">
        <v>32</v>
      </c>
      <c r="I6" s="5" t="s">
        <v>25</v>
      </c>
      <c r="J6" s="5" t="s">
        <v>26</v>
      </c>
      <c r="K6" s="6" t="n">
        <v>200</v>
      </c>
      <c r="L6" s="8" t="s">
        <v>27</v>
      </c>
      <c r="M6" s="5" t="s">
        <v>28</v>
      </c>
      <c r="N6" s="6" t="n">
        <v>2</v>
      </c>
      <c r="O6" s="9" t="s">
        <v>29</v>
      </c>
      <c r="P6" s="9" t="s">
        <v>30</v>
      </c>
    </row>
    <row r="7" customFormat="false" ht="42" hidden="false" customHeight="true" outlineLevel="0" collapsed="false">
      <c r="A7" s="5" t="s">
        <v>33</v>
      </c>
      <c r="B7" s="6" t="n">
        <v>1</v>
      </c>
      <c r="C7" s="10" t="s">
        <v>34</v>
      </c>
      <c r="D7" s="8" t="s">
        <v>20</v>
      </c>
      <c r="E7" s="8" t="s">
        <v>21</v>
      </c>
      <c r="F7" s="6" t="s">
        <v>22</v>
      </c>
      <c r="G7" s="6" t="s">
        <v>23</v>
      </c>
      <c r="H7" s="8" t="s">
        <v>35</v>
      </c>
      <c r="I7" s="5" t="s">
        <v>25</v>
      </c>
      <c r="J7" s="5" t="s">
        <v>36</v>
      </c>
      <c r="K7" s="6" t="n">
        <v>503</v>
      </c>
      <c r="L7" s="8" t="s">
        <v>37</v>
      </c>
      <c r="M7" s="5" t="s">
        <v>38</v>
      </c>
      <c r="N7" s="6" t="n">
        <v>2</v>
      </c>
      <c r="O7" s="9" t="s">
        <v>29</v>
      </c>
      <c r="P7" s="8" t="s">
        <v>39</v>
      </c>
    </row>
    <row r="8" customFormat="false" ht="42" hidden="false" customHeight="true" outlineLevel="0" collapsed="false">
      <c r="A8" s="5" t="s">
        <v>40</v>
      </c>
      <c r="B8" s="6" t="n">
        <v>1</v>
      </c>
      <c r="C8" s="10" t="s">
        <v>34</v>
      </c>
      <c r="D8" s="8" t="s">
        <v>20</v>
      </c>
      <c r="E8" s="8" t="s">
        <v>21</v>
      </c>
      <c r="F8" s="6" t="s">
        <v>22</v>
      </c>
      <c r="G8" s="6" t="s">
        <v>23</v>
      </c>
      <c r="H8" s="8" t="s">
        <v>41</v>
      </c>
      <c r="I8" s="5" t="s">
        <v>25</v>
      </c>
      <c r="J8" s="5" t="s">
        <v>36</v>
      </c>
      <c r="K8" s="6" t="n">
        <v>503</v>
      </c>
      <c r="L8" s="8" t="s">
        <v>37</v>
      </c>
      <c r="M8" s="5" t="s">
        <v>38</v>
      </c>
      <c r="N8" s="6" t="n">
        <v>2</v>
      </c>
      <c r="O8" s="9" t="s">
        <v>29</v>
      </c>
      <c r="P8" s="8" t="s">
        <v>39</v>
      </c>
    </row>
    <row r="9" customFormat="false" ht="42" hidden="false" customHeight="true" outlineLevel="0" collapsed="false">
      <c r="A9" s="5" t="s">
        <v>42</v>
      </c>
      <c r="B9" s="6" t="n">
        <v>2</v>
      </c>
      <c r="C9" s="11" t="s">
        <v>19</v>
      </c>
      <c r="D9" s="8" t="s">
        <v>43</v>
      </c>
      <c r="E9" s="8" t="s">
        <v>44</v>
      </c>
      <c r="F9" s="6" t="s">
        <v>45</v>
      </c>
      <c r="G9" s="6" t="s">
        <v>23</v>
      </c>
      <c r="H9" s="8" t="s">
        <v>24</v>
      </c>
      <c r="I9" s="5" t="s">
        <v>25</v>
      </c>
      <c r="J9" s="5" t="s">
        <v>26</v>
      </c>
      <c r="K9" s="6" t="n">
        <v>422</v>
      </c>
      <c r="L9" s="8" t="s">
        <v>46</v>
      </c>
      <c r="M9" s="5" t="s">
        <v>47</v>
      </c>
      <c r="N9" s="6" t="n">
        <v>3</v>
      </c>
      <c r="O9" s="9" t="s">
        <v>29</v>
      </c>
      <c r="P9" s="9" t="s">
        <v>48</v>
      </c>
    </row>
    <row r="10" customFormat="false" ht="42" hidden="false" customHeight="true" outlineLevel="0" collapsed="false">
      <c r="A10" s="5" t="s">
        <v>49</v>
      </c>
      <c r="B10" s="6" t="n">
        <v>2</v>
      </c>
      <c r="C10" s="11" t="s">
        <v>19</v>
      </c>
      <c r="D10" s="8" t="s">
        <v>43</v>
      </c>
      <c r="E10" s="8" t="s">
        <v>44</v>
      </c>
      <c r="F10" s="6" t="s">
        <v>45</v>
      </c>
      <c r="G10" s="6" t="s">
        <v>23</v>
      </c>
      <c r="H10" s="8" t="s">
        <v>32</v>
      </c>
      <c r="I10" s="5" t="s">
        <v>25</v>
      </c>
      <c r="J10" s="5" t="s">
        <v>26</v>
      </c>
      <c r="K10" s="6" t="n">
        <v>422</v>
      </c>
      <c r="L10" s="8" t="s">
        <v>46</v>
      </c>
      <c r="M10" s="5" t="s">
        <v>47</v>
      </c>
      <c r="N10" s="6" t="n">
        <v>3</v>
      </c>
      <c r="O10" s="9" t="s">
        <v>29</v>
      </c>
      <c r="P10" s="9" t="s">
        <v>48</v>
      </c>
    </row>
    <row r="11" customFormat="false" ht="42" hidden="false" customHeight="true" outlineLevel="0" collapsed="false">
      <c r="A11" s="5" t="s">
        <v>50</v>
      </c>
      <c r="B11" s="6" t="n">
        <v>2</v>
      </c>
      <c r="C11" s="10" t="s">
        <v>34</v>
      </c>
      <c r="D11" s="8" t="s">
        <v>43</v>
      </c>
      <c r="E11" s="8" t="s">
        <v>44</v>
      </c>
      <c r="F11" s="6" t="s">
        <v>45</v>
      </c>
      <c r="G11" s="6" t="s">
        <v>23</v>
      </c>
      <c r="H11" s="8" t="s">
        <v>35</v>
      </c>
      <c r="I11" s="5" t="s">
        <v>25</v>
      </c>
      <c r="J11" s="5" t="s">
        <v>36</v>
      </c>
      <c r="K11" s="6" t="n">
        <v>503</v>
      </c>
      <c r="L11" s="8" t="s">
        <v>37</v>
      </c>
      <c r="M11" s="5" t="s">
        <v>38</v>
      </c>
      <c r="N11" s="6" t="n">
        <v>3</v>
      </c>
      <c r="O11" s="9" t="s">
        <v>29</v>
      </c>
      <c r="P11" s="8" t="s">
        <v>39</v>
      </c>
    </row>
    <row r="12" customFormat="false" ht="42" hidden="false" customHeight="true" outlineLevel="0" collapsed="false">
      <c r="A12" s="5" t="s">
        <v>51</v>
      </c>
      <c r="B12" s="6" t="n">
        <v>2</v>
      </c>
      <c r="C12" s="10" t="s">
        <v>34</v>
      </c>
      <c r="D12" s="8" t="s">
        <v>43</v>
      </c>
      <c r="E12" s="8" t="s">
        <v>44</v>
      </c>
      <c r="F12" s="6" t="s">
        <v>45</v>
      </c>
      <c r="G12" s="6" t="s">
        <v>23</v>
      </c>
      <c r="H12" s="8" t="s">
        <v>41</v>
      </c>
      <c r="I12" s="5" t="s">
        <v>25</v>
      </c>
      <c r="J12" s="5" t="s">
        <v>36</v>
      </c>
      <c r="K12" s="6" t="n">
        <v>503</v>
      </c>
      <c r="L12" s="8" t="s">
        <v>37</v>
      </c>
      <c r="M12" s="5" t="s">
        <v>38</v>
      </c>
      <c r="N12" s="6" t="n">
        <v>3</v>
      </c>
      <c r="O12" s="9" t="s">
        <v>29</v>
      </c>
      <c r="P12" s="8" t="s">
        <v>39</v>
      </c>
    </row>
    <row r="13" customFormat="false" ht="42" hidden="false" customHeight="true" outlineLevel="0" collapsed="false">
      <c r="A13" s="5" t="s">
        <v>52</v>
      </c>
      <c r="B13" s="6" t="n">
        <v>3</v>
      </c>
      <c r="C13" s="7" t="s">
        <v>19</v>
      </c>
      <c r="D13" s="8" t="s">
        <v>43</v>
      </c>
      <c r="E13" s="8" t="s">
        <v>44</v>
      </c>
      <c r="F13" s="6" t="s">
        <v>22</v>
      </c>
      <c r="G13" s="6" t="s">
        <v>23</v>
      </c>
      <c r="H13" s="8" t="s">
        <v>24</v>
      </c>
      <c r="I13" s="5" t="s">
        <v>25</v>
      </c>
      <c r="J13" s="5" t="s">
        <v>26</v>
      </c>
      <c r="K13" s="6" t="n">
        <v>200</v>
      </c>
      <c r="L13" s="8" t="s">
        <v>27</v>
      </c>
      <c r="M13" s="5" t="s">
        <v>53</v>
      </c>
      <c r="N13" s="6" t="n">
        <v>1</v>
      </c>
      <c r="O13" s="9" t="s">
        <v>29</v>
      </c>
      <c r="P13" s="9" t="s">
        <v>54</v>
      </c>
    </row>
    <row r="14" customFormat="false" ht="42" hidden="false" customHeight="true" outlineLevel="0" collapsed="false">
      <c r="A14" s="5" t="s">
        <v>55</v>
      </c>
      <c r="B14" s="6" t="n">
        <v>3</v>
      </c>
      <c r="C14" s="7" t="s">
        <v>19</v>
      </c>
      <c r="D14" s="8" t="s">
        <v>43</v>
      </c>
      <c r="E14" s="8" t="s">
        <v>44</v>
      </c>
      <c r="F14" s="6" t="s">
        <v>22</v>
      </c>
      <c r="G14" s="6" t="s">
        <v>23</v>
      </c>
      <c r="H14" s="8" t="s">
        <v>32</v>
      </c>
      <c r="I14" s="5" t="s">
        <v>25</v>
      </c>
      <c r="J14" s="5" t="s">
        <v>26</v>
      </c>
      <c r="K14" s="6" t="n">
        <v>200</v>
      </c>
      <c r="L14" s="8" t="s">
        <v>27</v>
      </c>
      <c r="M14" s="5" t="s">
        <v>53</v>
      </c>
      <c r="N14" s="6" t="n">
        <v>1</v>
      </c>
      <c r="O14" s="9" t="s">
        <v>29</v>
      </c>
      <c r="P14" s="9" t="s">
        <v>54</v>
      </c>
    </row>
    <row r="15" customFormat="false" ht="42" hidden="false" customHeight="true" outlineLevel="0" collapsed="false">
      <c r="A15" s="5" t="s">
        <v>56</v>
      </c>
      <c r="B15" s="6" t="n">
        <v>3</v>
      </c>
      <c r="C15" s="10" t="s">
        <v>34</v>
      </c>
      <c r="D15" s="8" t="s">
        <v>43</v>
      </c>
      <c r="E15" s="8" t="s">
        <v>44</v>
      </c>
      <c r="F15" s="6" t="s">
        <v>22</v>
      </c>
      <c r="G15" s="6" t="s">
        <v>23</v>
      </c>
      <c r="H15" s="8" t="s">
        <v>35</v>
      </c>
      <c r="I15" s="5" t="s">
        <v>25</v>
      </c>
      <c r="J15" s="5" t="s">
        <v>36</v>
      </c>
      <c r="K15" s="6" t="n">
        <v>503</v>
      </c>
      <c r="L15" s="8" t="s">
        <v>37</v>
      </c>
      <c r="M15" s="5" t="s">
        <v>38</v>
      </c>
      <c r="N15" s="6" t="n">
        <v>1</v>
      </c>
      <c r="O15" s="9" t="s">
        <v>29</v>
      </c>
      <c r="P15" s="8" t="s">
        <v>39</v>
      </c>
    </row>
    <row r="16" customFormat="false" ht="42" hidden="false" customHeight="true" outlineLevel="0" collapsed="false">
      <c r="A16" s="5" t="s">
        <v>57</v>
      </c>
      <c r="B16" s="6" t="n">
        <v>3</v>
      </c>
      <c r="C16" s="10" t="s">
        <v>34</v>
      </c>
      <c r="D16" s="8" t="s">
        <v>43</v>
      </c>
      <c r="E16" s="8" t="s">
        <v>44</v>
      </c>
      <c r="F16" s="6" t="s">
        <v>22</v>
      </c>
      <c r="G16" s="6" t="s">
        <v>23</v>
      </c>
      <c r="H16" s="8" t="s">
        <v>41</v>
      </c>
      <c r="I16" s="5" t="s">
        <v>25</v>
      </c>
      <c r="J16" s="5" t="s">
        <v>36</v>
      </c>
      <c r="K16" s="6" t="n">
        <v>503</v>
      </c>
      <c r="L16" s="8" t="s">
        <v>37</v>
      </c>
      <c r="M16" s="5" t="s">
        <v>38</v>
      </c>
      <c r="N16" s="6" t="n">
        <v>1</v>
      </c>
      <c r="O16" s="9" t="s">
        <v>29</v>
      </c>
      <c r="P16" s="8" t="s">
        <v>39</v>
      </c>
    </row>
    <row r="17" customFormat="false" ht="42" hidden="false" customHeight="true" outlineLevel="0" collapsed="false">
      <c r="A17" s="5" t="s">
        <v>58</v>
      </c>
      <c r="B17" s="6" t="n">
        <v>4</v>
      </c>
      <c r="C17" s="7" t="s">
        <v>19</v>
      </c>
      <c r="D17" s="8" t="s">
        <v>59</v>
      </c>
      <c r="E17" s="8" t="s">
        <v>60</v>
      </c>
      <c r="F17" s="6" t="s">
        <v>61</v>
      </c>
      <c r="G17" s="6" t="s">
        <v>23</v>
      </c>
      <c r="H17" s="8" t="s">
        <v>24</v>
      </c>
      <c r="I17" s="5" t="s">
        <v>25</v>
      </c>
      <c r="J17" s="5" t="s">
        <v>26</v>
      </c>
      <c r="K17" s="6" t="n">
        <v>200</v>
      </c>
      <c r="L17" s="8" t="s">
        <v>27</v>
      </c>
      <c r="M17" s="5" t="s">
        <v>62</v>
      </c>
      <c r="N17" s="6" t="n">
        <v>3</v>
      </c>
      <c r="O17" s="9" t="s">
        <v>29</v>
      </c>
      <c r="P17" s="9" t="s">
        <v>30</v>
      </c>
    </row>
    <row r="18" customFormat="false" ht="42" hidden="false" customHeight="true" outlineLevel="0" collapsed="false">
      <c r="A18" s="5" t="s">
        <v>63</v>
      </c>
      <c r="B18" s="6" t="n">
        <v>4</v>
      </c>
      <c r="C18" s="7" t="s">
        <v>19</v>
      </c>
      <c r="D18" s="8" t="s">
        <v>59</v>
      </c>
      <c r="E18" s="8" t="s">
        <v>60</v>
      </c>
      <c r="F18" s="6" t="s">
        <v>61</v>
      </c>
      <c r="G18" s="6" t="s">
        <v>23</v>
      </c>
      <c r="H18" s="8" t="s">
        <v>32</v>
      </c>
      <c r="I18" s="5" t="s">
        <v>25</v>
      </c>
      <c r="J18" s="5" t="s">
        <v>26</v>
      </c>
      <c r="K18" s="6" t="n">
        <v>200</v>
      </c>
      <c r="L18" s="8" t="s">
        <v>27</v>
      </c>
      <c r="M18" s="5" t="s">
        <v>62</v>
      </c>
      <c r="N18" s="6" t="n">
        <v>3</v>
      </c>
      <c r="O18" s="9" t="s">
        <v>29</v>
      </c>
      <c r="P18" s="9" t="s">
        <v>30</v>
      </c>
    </row>
    <row r="19" customFormat="false" ht="42" hidden="false" customHeight="true" outlineLevel="0" collapsed="false">
      <c r="A19" s="5" t="s">
        <v>64</v>
      </c>
      <c r="B19" s="6" t="n">
        <v>4</v>
      </c>
      <c r="C19" s="10" t="s">
        <v>34</v>
      </c>
      <c r="D19" s="8" t="s">
        <v>59</v>
      </c>
      <c r="E19" s="8" t="s">
        <v>60</v>
      </c>
      <c r="F19" s="6" t="s">
        <v>61</v>
      </c>
      <c r="G19" s="6" t="s">
        <v>23</v>
      </c>
      <c r="H19" s="8" t="s">
        <v>35</v>
      </c>
      <c r="I19" s="5" t="s">
        <v>25</v>
      </c>
      <c r="J19" s="5" t="s">
        <v>36</v>
      </c>
      <c r="K19" s="6" t="n">
        <v>503</v>
      </c>
      <c r="L19" s="8" t="s">
        <v>37</v>
      </c>
      <c r="M19" s="5" t="s">
        <v>38</v>
      </c>
      <c r="N19" s="6" t="n">
        <v>3</v>
      </c>
      <c r="O19" s="9" t="s">
        <v>29</v>
      </c>
      <c r="P19" s="8" t="s">
        <v>39</v>
      </c>
    </row>
    <row r="20" customFormat="false" ht="42" hidden="false" customHeight="true" outlineLevel="0" collapsed="false">
      <c r="A20" s="5" t="s">
        <v>65</v>
      </c>
      <c r="B20" s="6" t="n">
        <v>4</v>
      </c>
      <c r="C20" s="10" t="s">
        <v>34</v>
      </c>
      <c r="D20" s="8" t="s">
        <v>59</v>
      </c>
      <c r="E20" s="8" t="s">
        <v>60</v>
      </c>
      <c r="F20" s="6" t="s">
        <v>61</v>
      </c>
      <c r="G20" s="6" t="s">
        <v>23</v>
      </c>
      <c r="H20" s="8" t="s">
        <v>41</v>
      </c>
      <c r="I20" s="5" t="s">
        <v>25</v>
      </c>
      <c r="J20" s="5" t="s">
        <v>36</v>
      </c>
      <c r="K20" s="6" t="n">
        <v>503</v>
      </c>
      <c r="L20" s="8" t="s">
        <v>37</v>
      </c>
      <c r="M20" s="5" t="s">
        <v>38</v>
      </c>
      <c r="N20" s="6" t="n">
        <v>3</v>
      </c>
      <c r="O20" s="9" t="s">
        <v>29</v>
      </c>
      <c r="P20" s="8" t="s">
        <v>39</v>
      </c>
    </row>
    <row r="21" customFormat="false" ht="42" hidden="false" customHeight="true" outlineLevel="0" collapsed="false">
      <c r="A21" s="5" t="s">
        <v>66</v>
      </c>
      <c r="B21" s="6" t="n">
        <v>5</v>
      </c>
      <c r="C21" s="7" t="s">
        <v>19</v>
      </c>
      <c r="D21" s="8" t="s">
        <v>67</v>
      </c>
      <c r="E21" s="8" t="s">
        <v>68</v>
      </c>
      <c r="F21" s="6" t="s">
        <v>69</v>
      </c>
      <c r="G21" s="6" t="s">
        <v>23</v>
      </c>
      <c r="H21" s="8" t="s">
        <v>24</v>
      </c>
      <c r="I21" s="5" t="s">
        <v>25</v>
      </c>
      <c r="J21" s="5" t="s">
        <v>26</v>
      </c>
      <c r="K21" s="6" t="n">
        <v>200</v>
      </c>
      <c r="L21" s="8" t="s">
        <v>27</v>
      </c>
      <c r="M21" s="5" t="s">
        <v>70</v>
      </c>
      <c r="N21" s="6" t="n">
        <v>2</v>
      </c>
      <c r="O21" s="9" t="s">
        <v>29</v>
      </c>
      <c r="P21" s="9" t="s">
        <v>30</v>
      </c>
    </row>
    <row r="22" customFormat="false" ht="42" hidden="false" customHeight="true" outlineLevel="0" collapsed="false">
      <c r="A22" s="5" t="s">
        <v>71</v>
      </c>
      <c r="B22" s="6" t="n">
        <v>5</v>
      </c>
      <c r="C22" s="7" t="s">
        <v>19</v>
      </c>
      <c r="D22" s="8" t="s">
        <v>67</v>
      </c>
      <c r="E22" s="8" t="s">
        <v>68</v>
      </c>
      <c r="F22" s="6" t="s">
        <v>69</v>
      </c>
      <c r="G22" s="6" t="s">
        <v>23</v>
      </c>
      <c r="H22" s="8" t="s">
        <v>32</v>
      </c>
      <c r="I22" s="5" t="s">
        <v>25</v>
      </c>
      <c r="J22" s="5" t="s">
        <v>26</v>
      </c>
      <c r="K22" s="6" t="n">
        <v>200</v>
      </c>
      <c r="L22" s="8" t="s">
        <v>27</v>
      </c>
      <c r="M22" s="5" t="s">
        <v>70</v>
      </c>
      <c r="N22" s="6" t="n">
        <v>2</v>
      </c>
      <c r="O22" s="9" t="s">
        <v>29</v>
      </c>
      <c r="P22" s="9" t="s">
        <v>30</v>
      </c>
    </row>
    <row r="23" customFormat="false" ht="42" hidden="false" customHeight="true" outlineLevel="0" collapsed="false">
      <c r="A23" s="5" t="s">
        <v>72</v>
      </c>
      <c r="B23" s="6" t="n">
        <v>5</v>
      </c>
      <c r="C23" s="10" t="s">
        <v>34</v>
      </c>
      <c r="D23" s="8" t="s">
        <v>67</v>
      </c>
      <c r="E23" s="8" t="s">
        <v>68</v>
      </c>
      <c r="F23" s="6" t="s">
        <v>69</v>
      </c>
      <c r="G23" s="6" t="s">
        <v>23</v>
      </c>
      <c r="H23" s="8" t="s">
        <v>35</v>
      </c>
      <c r="I23" s="5" t="s">
        <v>25</v>
      </c>
      <c r="J23" s="5" t="s">
        <v>36</v>
      </c>
      <c r="K23" s="6" t="n">
        <v>503</v>
      </c>
      <c r="L23" s="8" t="s">
        <v>37</v>
      </c>
      <c r="M23" s="5" t="s">
        <v>38</v>
      </c>
      <c r="N23" s="6" t="n">
        <v>2</v>
      </c>
      <c r="O23" s="9" t="s">
        <v>29</v>
      </c>
      <c r="P23" s="8" t="s">
        <v>39</v>
      </c>
    </row>
    <row r="24" customFormat="false" ht="42" hidden="false" customHeight="true" outlineLevel="0" collapsed="false">
      <c r="A24" s="5" t="s">
        <v>73</v>
      </c>
      <c r="B24" s="6" t="n">
        <v>5</v>
      </c>
      <c r="C24" s="10" t="s">
        <v>34</v>
      </c>
      <c r="D24" s="8" t="s">
        <v>67</v>
      </c>
      <c r="E24" s="8" t="s">
        <v>68</v>
      </c>
      <c r="F24" s="6" t="s">
        <v>69</v>
      </c>
      <c r="G24" s="6" t="s">
        <v>23</v>
      </c>
      <c r="H24" s="8" t="s">
        <v>41</v>
      </c>
      <c r="I24" s="5" t="s">
        <v>25</v>
      </c>
      <c r="J24" s="5" t="s">
        <v>36</v>
      </c>
      <c r="K24" s="6" t="n">
        <v>503</v>
      </c>
      <c r="L24" s="8" t="s">
        <v>37</v>
      </c>
      <c r="M24" s="5" t="s">
        <v>38</v>
      </c>
      <c r="N24" s="6" t="n">
        <v>2</v>
      </c>
      <c r="O24" s="9" t="s">
        <v>29</v>
      </c>
      <c r="P24" s="8" t="s">
        <v>39</v>
      </c>
    </row>
    <row r="25" customFormat="false" ht="42" hidden="false" customHeight="true" outlineLevel="0" collapsed="false">
      <c r="A25" s="5" t="s">
        <v>74</v>
      </c>
      <c r="B25" s="6" t="n">
        <v>6</v>
      </c>
      <c r="C25" s="7" t="s">
        <v>19</v>
      </c>
      <c r="D25" s="8" t="s">
        <v>75</v>
      </c>
      <c r="E25" s="8" t="s">
        <v>76</v>
      </c>
      <c r="F25" s="6" t="s">
        <v>77</v>
      </c>
      <c r="G25" s="6" t="s">
        <v>23</v>
      </c>
      <c r="H25" s="8" t="s">
        <v>24</v>
      </c>
      <c r="I25" s="5" t="s">
        <v>25</v>
      </c>
      <c r="J25" s="5" t="s">
        <v>26</v>
      </c>
      <c r="K25" s="6" t="n">
        <v>200</v>
      </c>
      <c r="L25" s="8" t="s">
        <v>27</v>
      </c>
      <c r="M25" s="5" t="s">
        <v>78</v>
      </c>
      <c r="N25" s="6" t="n">
        <v>2</v>
      </c>
      <c r="O25" s="9" t="s">
        <v>29</v>
      </c>
      <c r="P25" s="9" t="s">
        <v>30</v>
      </c>
    </row>
    <row r="26" customFormat="false" ht="42" hidden="false" customHeight="true" outlineLevel="0" collapsed="false">
      <c r="A26" s="5" t="s">
        <v>79</v>
      </c>
      <c r="B26" s="6" t="n">
        <v>6</v>
      </c>
      <c r="C26" s="7" t="s">
        <v>19</v>
      </c>
      <c r="D26" s="8" t="s">
        <v>75</v>
      </c>
      <c r="E26" s="8" t="s">
        <v>76</v>
      </c>
      <c r="F26" s="6" t="s">
        <v>77</v>
      </c>
      <c r="G26" s="6" t="s">
        <v>23</v>
      </c>
      <c r="H26" s="8" t="s">
        <v>32</v>
      </c>
      <c r="I26" s="5" t="s">
        <v>25</v>
      </c>
      <c r="J26" s="5" t="s">
        <v>26</v>
      </c>
      <c r="K26" s="6" t="n">
        <v>200</v>
      </c>
      <c r="L26" s="8" t="s">
        <v>27</v>
      </c>
      <c r="M26" s="5" t="s">
        <v>78</v>
      </c>
      <c r="N26" s="6" t="n">
        <v>2</v>
      </c>
      <c r="O26" s="9" t="s">
        <v>29</v>
      </c>
      <c r="P26" s="9" t="s">
        <v>30</v>
      </c>
    </row>
    <row r="27" customFormat="false" ht="42" hidden="false" customHeight="true" outlineLevel="0" collapsed="false">
      <c r="A27" s="5" t="s">
        <v>80</v>
      </c>
      <c r="B27" s="6" t="n">
        <v>6</v>
      </c>
      <c r="C27" s="10" t="s">
        <v>34</v>
      </c>
      <c r="D27" s="8" t="s">
        <v>75</v>
      </c>
      <c r="E27" s="8" t="s">
        <v>76</v>
      </c>
      <c r="F27" s="6" t="s">
        <v>77</v>
      </c>
      <c r="G27" s="6" t="s">
        <v>23</v>
      </c>
      <c r="H27" s="8" t="s">
        <v>35</v>
      </c>
      <c r="I27" s="5" t="s">
        <v>25</v>
      </c>
      <c r="J27" s="5" t="s">
        <v>36</v>
      </c>
      <c r="K27" s="6" t="n">
        <v>503</v>
      </c>
      <c r="L27" s="8" t="s">
        <v>37</v>
      </c>
      <c r="M27" s="5" t="s">
        <v>38</v>
      </c>
      <c r="N27" s="6" t="n">
        <v>2</v>
      </c>
      <c r="O27" s="9" t="s">
        <v>29</v>
      </c>
      <c r="P27" s="8" t="s">
        <v>39</v>
      </c>
    </row>
    <row r="28" customFormat="false" ht="42" hidden="false" customHeight="true" outlineLevel="0" collapsed="false">
      <c r="A28" s="5" t="s">
        <v>81</v>
      </c>
      <c r="B28" s="6" t="n">
        <v>6</v>
      </c>
      <c r="C28" s="10" t="s">
        <v>34</v>
      </c>
      <c r="D28" s="8" t="s">
        <v>75</v>
      </c>
      <c r="E28" s="8" t="s">
        <v>76</v>
      </c>
      <c r="F28" s="6" t="s">
        <v>77</v>
      </c>
      <c r="G28" s="6" t="s">
        <v>23</v>
      </c>
      <c r="H28" s="8" t="s">
        <v>41</v>
      </c>
      <c r="I28" s="5" t="s">
        <v>25</v>
      </c>
      <c r="J28" s="5" t="s">
        <v>36</v>
      </c>
      <c r="K28" s="6" t="n">
        <v>503</v>
      </c>
      <c r="L28" s="8" t="s">
        <v>37</v>
      </c>
      <c r="M28" s="5" t="s">
        <v>38</v>
      </c>
      <c r="N28" s="6" t="n">
        <v>2</v>
      </c>
      <c r="O28" s="9" t="s">
        <v>29</v>
      </c>
      <c r="P28" s="8" t="s">
        <v>39</v>
      </c>
    </row>
    <row r="29" customFormat="false" ht="42" hidden="false" customHeight="true" outlineLevel="0" collapsed="false">
      <c r="A29" s="5" t="s">
        <v>82</v>
      </c>
      <c r="B29" s="6" t="n">
        <v>7</v>
      </c>
      <c r="C29" s="7" t="s">
        <v>19</v>
      </c>
      <c r="D29" s="8" t="s">
        <v>83</v>
      </c>
      <c r="E29" s="8" t="s">
        <v>84</v>
      </c>
      <c r="F29" s="6" t="s">
        <v>85</v>
      </c>
      <c r="G29" s="6" t="s">
        <v>23</v>
      </c>
      <c r="H29" s="8" t="s">
        <v>24</v>
      </c>
      <c r="I29" s="5" t="s">
        <v>25</v>
      </c>
      <c r="J29" s="5" t="s">
        <v>26</v>
      </c>
      <c r="K29" s="6" t="n">
        <v>200</v>
      </c>
      <c r="L29" s="8" t="s">
        <v>27</v>
      </c>
      <c r="M29" s="5" t="s">
        <v>86</v>
      </c>
      <c r="N29" s="6" t="n">
        <v>2</v>
      </c>
      <c r="O29" s="9" t="s">
        <v>29</v>
      </c>
      <c r="P29" s="9" t="s">
        <v>30</v>
      </c>
    </row>
    <row r="30" customFormat="false" ht="42" hidden="false" customHeight="true" outlineLevel="0" collapsed="false">
      <c r="A30" s="5" t="s">
        <v>87</v>
      </c>
      <c r="B30" s="6" t="n">
        <v>7</v>
      </c>
      <c r="C30" s="7" t="s">
        <v>19</v>
      </c>
      <c r="D30" s="8" t="s">
        <v>83</v>
      </c>
      <c r="E30" s="8" t="s">
        <v>84</v>
      </c>
      <c r="F30" s="6" t="s">
        <v>85</v>
      </c>
      <c r="G30" s="6" t="s">
        <v>23</v>
      </c>
      <c r="H30" s="8" t="s">
        <v>32</v>
      </c>
      <c r="I30" s="5" t="s">
        <v>25</v>
      </c>
      <c r="J30" s="5" t="s">
        <v>26</v>
      </c>
      <c r="K30" s="6" t="n">
        <v>200</v>
      </c>
      <c r="L30" s="8" t="s">
        <v>27</v>
      </c>
      <c r="M30" s="5" t="s">
        <v>86</v>
      </c>
      <c r="N30" s="6" t="n">
        <v>2</v>
      </c>
      <c r="O30" s="9" t="s">
        <v>29</v>
      </c>
      <c r="P30" s="9" t="s">
        <v>30</v>
      </c>
    </row>
    <row r="31" customFormat="false" ht="42" hidden="false" customHeight="true" outlineLevel="0" collapsed="false">
      <c r="A31" s="5" t="s">
        <v>88</v>
      </c>
      <c r="B31" s="6" t="n">
        <v>7</v>
      </c>
      <c r="C31" s="10" t="s">
        <v>34</v>
      </c>
      <c r="D31" s="8" t="s">
        <v>83</v>
      </c>
      <c r="E31" s="8" t="s">
        <v>84</v>
      </c>
      <c r="F31" s="6" t="s">
        <v>85</v>
      </c>
      <c r="G31" s="6" t="s">
        <v>23</v>
      </c>
      <c r="H31" s="8" t="s">
        <v>35</v>
      </c>
      <c r="I31" s="5" t="s">
        <v>25</v>
      </c>
      <c r="J31" s="5" t="s">
        <v>36</v>
      </c>
      <c r="K31" s="6" t="n">
        <v>503</v>
      </c>
      <c r="L31" s="8" t="s">
        <v>37</v>
      </c>
      <c r="M31" s="5" t="s">
        <v>38</v>
      </c>
      <c r="N31" s="6" t="n">
        <v>2</v>
      </c>
      <c r="O31" s="9" t="s">
        <v>29</v>
      </c>
      <c r="P31" s="8" t="s">
        <v>39</v>
      </c>
    </row>
    <row r="32" customFormat="false" ht="42" hidden="false" customHeight="true" outlineLevel="0" collapsed="false">
      <c r="A32" s="5" t="s">
        <v>89</v>
      </c>
      <c r="B32" s="6" t="n">
        <v>7</v>
      </c>
      <c r="C32" s="10" t="s">
        <v>34</v>
      </c>
      <c r="D32" s="8" t="s">
        <v>83</v>
      </c>
      <c r="E32" s="8" t="s">
        <v>84</v>
      </c>
      <c r="F32" s="6" t="s">
        <v>85</v>
      </c>
      <c r="G32" s="6" t="s">
        <v>23</v>
      </c>
      <c r="H32" s="8" t="s">
        <v>41</v>
      </c>
      <c r="I32" s="5" t="s">
        <v>25</v>
      </c>
      <c r="J32" s="5" t="s">
        <v>36</v>
      </c>
      <c r="K32" s="6" t="n">
        <v>503</v>
      </c>
      <c r="L32" s="8" t="s">
        <v>37</v>
      </c>
      <c r="M32" s="5" t="s">
        <v>38</v>
      </c>
      <c r="N32" s="6" t="n">
        <v>2</v>
      </c>
      <c r="O32" s="9" t="s">
        <v>29</v>
      </c>
      <c r="P32" s="8" t="s">
        <v>39</v>
      </c>
    </row>
    <row r="33" customFormat="false" ht="42" hidden="false" customHeight="true" outlineLevel="0" collapsed="false">
      <c r="A33" s="5" t="s">
        <v>90</v>
      </c>
      <c r="B33" s="6" t="n">
        <v>8</v>
      </c>
      <c r="C33" s="7" t="s">
        <v>19</v>
      </c>
      <c r="D33" s="8" t="s">
        <v>91</v>
      </c>
      <c r="E33" s="8" t="s">
        <v>92</v>
      </c>
      <c r="F33" s="6" t="s">
        <v>93</v>
      </c>
      <c r="G33" s="6" t="s">
        <v>23</v>
      </c>
      <c r="H33" s="8" t="s">
        <v>24</v>
      </c>
      <c r="I33" s="5" t="s">
        <v>25</v>
      </c>
      <c r="J33" s="5" t="s">
        <v>26</v>
      </c>
      <c r="K33" s="6" t="n">
        <v>200</v>
      </c>
      <c r="L33" s="8" t="s">
        <v>27</v>
      </c>
      <c r="M33" s="5" t="s">
        <v>94</v>
      </c>
      <c r="N33" s="6" t="n">
        <v>2</v>
      </c>
      <c r="O33" s="9" t="s">
        <v>29</v>
      </c>
      <c r="P33" s="9" t="s">
        <v>30</v>
      </c>
    </row>
    <row r="34" customFormat="false" ht="42" hidden="false" customHeight="true" outlineLevel="0" collapsed="false">
      <c r="A34" s="5" t="s">
        <v>95</v>
      </c>
      <c r="B34" s="6" t="n">
        <v>8</v>
      </c>
      <c r="C34" s="7" t="s">
        <v>19</v>
      </c>
      <c r="D34" s="8" t="s">
        <v>91</v>
      </c>
      <c r="E34" s="8" t="s">
        <v>92</v>
      </c>
      <c r="F34" s="6" t="s">
        <v>93</v>
      </c>
      <c r="G34" s="6" t="s">
        <v>23</v>
      </c>
      <c r="H34" s="8" t="s">
        <v>32</v>
      </c>
      <c r="I34" s="5" t="s">
        <v>25</v>
      </c>
      <c r="J34" s="5" t="s">
        <v>26</v>
      </c>
      <c r="K34" s="6" t="n">
        <v>200</v>
      </c>
      <c r="L34" s="8" t="s">
        <v>27</v>
      </c>
      <c r="M34" s="5" t="s">
        <v>94</v>
      </c>
      <c r="N34" s="6" t="n">
        <v>2</v>
      </c>
      <c r="O34" s="9" t="s">
        <v>29</v>
      </c>
      <c r="P34" s="9" t="s">
        <v>30</v>
      </c>
    </row>
    <row r="35" customFormat="false" ht="42" hidden="false" customHeight="true" outlineLevel="0" collapsed="false">
      <c r="A35" s="5" t="s">
        <v>96</v>
      </c>
      <c r="B35" s="6" t="n">
        <v>8</v>
      </c>
      <c r="C35" s="10" t="s">
        <v>34</v>
      </c>
      <c r="D35" s="8" t="s">
        <v>91</v>
      </c>
      <c r="E35" s="8" t="s">
        <v>92</v>
      </c>
      <c r="F35" s="6" t="s">
        <v>93</v>
      </c>
      <c r="G35" s="6" t="s">
        <v>23</v>
      </c>
      <c r="H35" s="8" t="s">
        <v>35</v>
      </c>
      <c r="I35" s="5" t="s">
        <v>25</v>
      </c>
      <c r="J35" s="5" t="s">
        <v>36</v>
      </c>
      <c r="K35" s="6" t="n">
        <v>503</v>
      </c>
      <c r="L35" s="8" t="s">
        <v>37</v>
      </c>
      <c r="M35" s="5" t="s">
        <v>38</v>
      </c>
      <c r="N35" s="6" t="n">
        <v>2</v>
      </c>
      <c r="O35" s="9" t="s">
        <v>29</v>
      </c>
      <c r="P35" s="8" t="s">
        <v>39</v>
      </c>
    </row>
    <row r="36" customFormat="false" ht="42" hidden="false" customHeight="true" outlineLevel="0" collapsed="false">
      <c r="A36" s="5" t="s">
        <v>97</v>
      </c>
      <c r="B36" s="6" t="n">
        <v>8</v>
      </c>
      <c r="C36" s="10" t="s">
        <v>34</v>
      </c>
      <c r="D36" s="8" t="s">
        <v>91</v>
      </c>
      <c r="E36" s="8" t="s">
        <v>92</v>
      </c>
      <c r="F36" s="6" t="s">
        <v>93</v>
      </c>
      <c r="G36" s="6" t="s">
        <v>23</v>
      </c>
      <c r="H36" s="8" t="s">
        <v>41</v>
      </c>
      <c r="I36" s="5" t="s">
        <v>25</v>
      </c>
      <c r="J36" s="5" t="s">
        <v>36</v>
      </c>
      <c r="K36" s="6" t="n">
        <v>503</v>
      </c>
      <c r="L36" s="8" t="s">
        <v>37</v>
      </c>
      <c r="M36" s="5" t="s">
        <v>38</v>
      </c>
      <c r="N36" s="6" t="n">
        <v>2</v>
      </c>
      <c r="O36" s="9" t="s">
        <v>29</v>
      </c>
      <c r="P36" s="8" t="s">
        <v>39</v>
      </c>
    </row>
    <row r="37" customFormat="false" ht="42" hidden="false" customHeight="true" outlineLevel="0" collapsed="false">
      <c r="A37" s="5" t="s">
        <v>98</v>
      </c>
      <c r="B37" s="6" t="n">
        <v>9</v>
      </c>
      <c r="C37" s="7" t="s">
        <v>19</v>
      </c>
      <c r="D37" s="8" t="s">
        <v>99</v>
      </c>
      <c r="E37" s="8" t="s">
        <v>100</v>
      </c>
      <c r="F37" s="6" t="s">
        <v>101</v>
      </c>
      <c r="G37" s="6" t="s">
        <v>23</v>
      </c>
      <c r="H37" s="8" t="s">
        <v>24</v>
      </c>
      <c r="I37" s="5" t="s">
        <v>25</v>
      </c>
      <c r="J37" s="5" t="s">
        <v>26</v>
      </c>
      <c r="K37" s="6" t="n">
        <v>200</v>
      </c>
      <c r="L37" s="8" t="s">
        <v>27</v>
      </c>
      <c r="M37" s="5" t="s">
        <v>102</v>
      </c>
      <c r="N37" s="6" t="n">
        <v>2</v>
      </c>
      <c r="O37" s="9" t="s">
        <v>29</v>
      </c>
      <c r="P37" s="9" t="s">
        <v>30</v>
      </c>
    </row>
    <row r="38" customFormat="false" ht="42" hidden="false" customHeight="true" outlineLevel="0" collapsed="false">
      <c r="A38" s="5" t="s">
        <v>103</v>
      </c>
      <c r="B38" s="6" t="n">
        <v>9</v>
      </c>
      <c r="C38" s="7" t="s">
        <v>19</v>
      </c>
      <c r="D38" s="8" t="s">
        <v>99</v>
      </c>
      <c r="E38" s="8" t="s">
        <v>100</v>
      </c>
      <c r="F38" s="6" t="s">
        <v>101</v>
      </c>
      <c r="G38" s="6" t="s">
        <v>23</v>
      </c>
      <c r="H38" s="8" t="s">
        <v>32</v>
      </c>
      <c r="I38" s="5" t="s">
        <v>25</v>
      </c>
      <c r="J38" s="5" t="s">
        <v>26</v>
      </c>
      <c r="K38" s="6" t="n">
        <v>200</v>
      </c>
      <c r="L38" s="8" t="s">
        <v>27</v>
      </c>
      <c r="M38" s="5" t="s">
        <v>102</v>
      </c>
      <c r="N38" s="6" t="n">
        <v>2</v>
      </c>
      <c r="O38" s="9" t="s">
        <v>29</v>
      </c>
      <c r="P38" s="9" t="s">
        <v>30</v>
      </c>
    </row>
    <row r="39" customFormat="false" ht="42" hidden="false" customHeight="true" outlineLevel="0" collapsed="false">
      <c r="A39" s="5" t="s">
        <v>104</v>
      </c>
      <c r="B39" s="6" t="n">
        <v>9</v>
      </c>
      <c r="C39" s="10" t="s">
        <v>34</v>
      </c>
      <c r="D39" s="8" t="s">
        <v>99</v>
      </c>
      <c r="E39" s="8" t="s">
        <v>100</v>
      </c>
      <c r="F39" s="6" t="s">
        <v>101</v>
      </c>
      <c r="G39" s="6" t="s">
        <v>23</v>
      </c>
      <c r="H39" s="8" t="s">
        <v>35</v>
      </c>
      <c r="I39" s="5" t="s">
        <v>25</v>
      </c>
      <c r="J39" s="5" t="s">
        <v>36</v>
      </c>
      <c r="K39" s="6" t="n">
        <v>503</v>
      </c>
      <c r="L39" s="8" t="s">
        <v>37</v>
      </c>
      <c r="M39" s="5" t="s">
        <v>38</v>
      </c>
      <c r="N39" s="6" t="n">
        <v>2</v>
      </c>
      <c r="O39" s="9" t="s">
        <v>29</v>
      </c>
      <c r="P39" s="8" t="s">
        <v>39</v>
      </c>
    </row>
    <row r="40" customFormat="false" ht="42" hidden="false" customHeight="true" outlineLevel="0" collapsed="false">
      <c r="A40" s="5" t="s">
        <v>105</v>
      </c>
      <c r="B40" s="6" t="n">
        <v>9</v>
      </c>
      <c r="C40" s="10" t="s">
        <v>34</v>
      </c>
      <c r="D40" s="8" t="s">
        <v>99</v>
      </c>
      <c r="E40" s="8" t="s">
        <v>100</v>
      </c>
      <c r="F40" s="6" t="s">
        <v>101</v>
      </c>
      <c r="G40" s="6" t="s">
        <v>23</v>
      </c>
      <c r="H40" s="8" t="s">
        <v>41</v>
      </c>
      <c r="I40" s="5" t="s">
        <v>25</v>
      </c>
      <c r="J40" s="5" t="s">
        <v>36</v>
      </c>
      <c r="K40" s="6" t="n">
        <v>503</v>
      </c>
      <c r="L40" s="8" t="s">
        <v>37</v>
      </c>
      <c r="M40" s="5" t="s">
        <v>38</v>
      </c>
      <c r="N40" s="6" t="n">
        <v>2</v>
      </c>
      <c r="O40" s="9" t="s">
        <v>29</v>
      </c>
      <c r="P40" s="8" t="s">
        <v>39</v>
      </c>
    </row>
    <row r="41" customFormat="false" ht="42" hidden="false" customHeight="true" outlineLevel="0" collapsed="false">
      <c r="A41" s="5" t="s">
        <v>106</v>
      </c>
      <c r="B41" s="6" t="n">
        <v>10</v>
      </c>
      <c r="C41" s="7" t="s">
        <v>19</v>
      </c>
      <c r="D41" s="8" t="s">
        <v>99</v>
      </c>
      <c r="E41" s="8" t="s">
        <v>100</v>
      </c>
      <c r="F41" s="6" t="s">
        <v>22</v>
      </c>
      <c r="G41" s="6" t="s">
        <v>23</v>
      </c>
      <c r="H41" s="8" t="s">
        <v>24</v>
      </c>
      <c r="I41" s="5" t="s">
        <v>25</v>
      </c>
      <c r="J41" s="5" t="s">
        <v>26</v>
      </c>
      <c r="K41" s="6" t="n">
        <v>200</v>
      </c>
      <c r="L41" s="8" t="s">
        <v>27</v>
      </c>
      <c r="M41" s="5" t="s">
        <v>107</v>
      </c>
      <c r="N41" s="6" t="n">
        <v>1</v>
      </c>
      <c r="O41" s="9" t="s">
        <v>29</v>
      </c>
      <c r="P41" s="9" t="s">
        <v>54</v>
      </c>
    </row>
    <row r="42" customFormat="false" ht="42" hidden="false" customHeight="true" outlineLevel="0" collapsed="false">
      <c r="A42" s="5" t="s">
        <v>108</v>
      </c>
      <c r="B42" s="6" t="n">
        <v>10</v>
      </c>
      <c r="C42" s="7" t="s">
        <v>19</v>
      </c>
      <c r="D42" s="8" t="s">
        <v>99</v>
      </c>
      <c r="E42" s="8" t="s">
        <v>100</v>
      </c>
      <c r="F42" s="6" t="s">
        <v>22</v>
      </c>
      <c r="G42" s="6" t="s">
        <v>23</v>
      </c>
      <c r="H42" s="8" t="s">
        <v>32</v>
      </c>
      <c r="I42" s="5" t="s">
        <v>25</v>
      </c>
      <c r="J42" s="5" t="s">
        <v>26</v>
      </c>
      <c r="K42" s="6" t="n">
        <v>200</v>
      </c>
      <c r="L42" s="8" t="s">
        <v>27</v>
      </c>
      <c r="M42" s="5" t="s">
        <v>107</v>
      </c>
      <c r="N42" s="6" t="n">
        <v>1</v>
      </c>
      <c r="O42" s="9" t="s">
        <v>29</v>
      </c>
      <c r="P42" s="9" t="s">
        <v>54</v>
      </c>
    </row>
    <row r="43" customFormat="false" ht="42" hidden="false" customHeight="true" outlineLevel="0" collapsed="false">
      <c r="A43" s="5" t="s">
        <v>109</v>
      </c>
      <c r="B43" s="6" t="n">
        <v>10</v>
      </c>
      <c r="C43" s="10" t="s">
        <v>34</v>
      </c>
      <c r="D43" s="8" t="s">
        <v>99</v>
      </c>
      <c r="E43" s="8" t="s">
        <v>100</v>
      </c>
      <c r="F43" s="6" t="s">
        <v>22</v>
      </c>
      <c r="G43" s="6" t="s">
        <v>23</v>
      </c>
      <c r="H43" s="8" t="s">
        <v>35</v>
      </c>
      <c r="I43" s="5" t="s">
        <v>25</v>
      </c>
      <c r="J43" s="5" t="s">
        <v>36</v>
      </c>
      <c r="K43" s="6" t="n">
        <v>503</v>
      </c>
      <c r="L43" s="8" t="s">
        <v>37</v>
      </c>
      <c r="M43" s="5" t="s">
        <v>38</v>
      </c>
      <c r="N43" s="6" t="n">
        <v>1</v>
      </c>
      <c r="O43" s="9" t="s">
        <v>29</v>
      </c>
      <c r="P43" s="8" t="s">
        <v>39</v>
      </c>
    </row>
    <row r="44" customFormat="false" ht="42" hidden="false" customHeight="true" outlineLevel="0" collapsed="false">
      <c r="A44" s="5" t="s">
        <v>110</v>
      </c>
      <c r="B44" s="6" t="n">
        <v>10</v>
      </c>
      <c r="C44" s="10" t="s">
        <v>34</v>
      </c>
      <c r="D44" s="8" t="s">
        <v>99</v>
      </c>
      <c r="E44" s="8" t="s">
        <v>100</v>
      </c>
      <c r="F44" s="6" t="s">
        <v>22</v>
      </c>
      <c r="G44" s="6" t="s">
        <v>23</v>
      </c>
      <c r="H44" s="8" t="s">
        <v>41</v>
      </c>
      <c r="I44" s="5" t="s">
        <v>25</v>
      </c>
      <c r="J44" s="5" t="s">
        <v>36</v>
      </c>
      <c r="K44" s="6" t="n">
        <v>503</v>
      </c>
      <c r="L44" s="8" t="s">
        <v>37</v>
      </c>
      <c r="M44" s="5" t="s">
        <v>38</v>
      </c>
      <c r="N44" s="6" t="n">
        <v>1</v>
      </c>
      <c r="O44" s="9" t="s">
        <v>29</v>
      </c>
      <c r="P44" s="8" t="s">
        <v>39</v>
      </c>
    </row>
    <row r="45" customFormat="false" ht="42" hidden="false" customHeight="true" outlineLevel="0" collapsed="false">
      <c r="A45" s="5" t="s">
        <v>111</v>
      </c>
      <c r="B45" s="6" t="n">
        <v>11</v>
      </c>
      <c r="C45" s="7" t="s">
        <v>19</v>
      </c>
      <c r="D45" s="8" t="s">
        <v>112</v>
      </c>
      <c r="E45" s="8" t="s">
        <v>113</v>
      </c>
      <c r="F45" s="6" t="s">
        <v>114</v>
      </c>
      <c r="G45" s="6" t="s">
        <v>23</v>
      </c>
      <c r="H45" s="8" t="s">
        <v>24</v>
      </c>
      <c r="I45" s="5" t="s">
        <v>25</v>
      </c>
      <c r="J45" s="5" t="s">
        <v>26</v>
      </c>
      <c r="K45" s="6" t="n">
        <v>200</v>
      </c>
      <c r="L45" s="8" t="s">
        <v>27</v>
      </c>
      <c r="M45" s="5" t="s">
        <v>115</v>
      </c>
      <c r="N45" s="6" t="n">
        <v>2</v>
      </c>
      <c r="O45" s="9" t="s">
        <v>29</v>
      </c>
      <c r="P45" s="9" t="s">
        <v>30</v>
      </c>
    </row>
    <row r="46" customFormat="false" ht="42" hidden="false" customHeight="true" outlineLevel="0" collapsed="false">
      <c r="A46" s="5" t="s">
        <v>116</v>
      </c>
      <c r="B46" s="6" t="n">
        <v>11</v>
      </c>
      <c r="C46" s="7" t="s">
        <v>19</v>
      </c>
      <c r="D46" s="8" t="s">
        <v>112</v>
      </c>
      <c r="E46" s="8" t="s">
        <v>113</v>
      </c>
      <c r="F46" s="6" t="s">
        <v>114</v>
      </c>
      <c r="G46" s="6" t="s">
        <v>23</v>
      </c>
      <c r="H46" s="8" t="s">
        <v>32</v>
      </c>
      <c r="I46" s="5" t="s">
        <v>25</v>
      </c>
      <c r="J46" s="5" t="s">
        <v>26</v>
      </c>
      <c r="K46" s="6" t="n">
        <v>200</v>
      </c>
      <c r="L46" s="8" t="s">
        <v>27</v>
      </c>
      <c r="M46" s="5" t="s">
        <v>115</v>
      </c>
      <c r="N46" s="6" t="n">
        <v>2</v>
      </c>
      <c r="O46" s="9" t="s">
        <v>29</v>
      </c>
      <c r="P46" s="9" t="s">
        <v>30</v>
      </c>
    </row>
    <row r="47" customFormat="false" ht="42" hidden="false" customHeight="true" outlineLevel="0" collapsed="false">
      <c r="A47" s="5" t="s">
        <v>117</v>
      </c>
      <c r="B47" s="6" t="n">
        <v>11</v>
      </c>
      <c r="C47" s="10" t="s">
        <v>34</v>
      </c>
      <c r="D47" s="8" t="s">
        <v>112</v>
      </c>
      <c r="E47" s="8" t="s">
        <v>113</v>
      </c>
      <c r="F47" s="6" t="s">
        <v>114</v>
      </c>
      <c r="G47" s="6" t="s">
        <v>23</v>
      </c>
      <c r="H47" s="8" t="s">
        <v>35</v>
      </c>
      <c r="I47" s="5" t="s">
        <v>25</v>
      </c>
      <c r="J47" s="5" t="s">
        <v>36</v>
      </c>
      <c r="K47" s="6" t="n">
        <v>503</v>
      </c>
      <c r="L47" s="8" t="s">
        <v>37</v>
      </c>
      <c r="M47" s="5" t="s">
        <v>38</v>
      </c>
      <c r="N47" s="6" t="n">
        <v>2</v>
      </c>
      <c r="O47" s="9" t="s">
        <v>29</v>
      </c>
      <c r="P47" s="8" t="s">
        <v>39</v>
      </c>
    </row>
    <row r="48" customFormat="false" ht="42" hidden="false" customHeight="true" outlineLevel="0" collapsed="false">
      <c r="A48" s="5" t="s">
        <v>118</v>
      </c>
      <c r="B48" s="6" t="n">
        <v>11</v>
      </c>
      <c r="C48" s="10" t="s">
        <v>34</v>
      </c>
      <c r="D48" s="8" t="s">
        <v>112</v>
      </c>
      <c r="E48" s="8" t="s">
        <v>113</v>
      </c>
      <c r="F48" s="6" t="s">
        <v>114</v>
      </c>
      <c r="G48" s="6" t="s">
        <v>23</v>
      </c>
      <c r="H48" s="8" t="s">
        <v>41</v>
      </c>
      <c r="I48" s="5" t="s">
        <v>25</v>
      </c>
      <c r="J48" s="5" t="s">
        <v>36</v>
      </c>
      <c r="K48" s="6" t="n">
        <v>503</v>
      </c>
      <c r="L48" s="8" t="s">
        <v>37</v>
      </c>
      <c r="M48" s="5" t="s">
        <v>38</v>
      </c>
      <c r="N48" s="6" t="n">
        <v>2</v>
      </c>
      <c r="O48" s="9" t="s">
        <v>29</v>
      </c>
      <c r="P48" s="8" t="s">
        <v>39</v>
      </c>
    </row>
    <row r="49" customFormat="false" ht="42" hidden="false" customHeight="true" outlineLevel="0" collapsed="false">
      <c r="A49" s="5" t="s">
        <v>119</v>
      </c>
      <c r="B49" s="6" t="n">
        <v>12</v>
      </c>
      <c r="C49" s="7" t="s">
        <v>19</v>
      </c>
      <c r="D49" s="8" t="s">
        <v>120</v>
      </c>
      <c r="E49" s="8" t="s">
        <v>121</v>
      </c>
      <c r="F49" s="6" t="s">
        <v>122</v>
      </c>
      <c r="G49" s="6" t="s">
        <v>23</v>
      </c>
      <c r="H49" s="8" t="s">
        <v>24</v>
      </c>
      <c r="I49" s="5" t="s">
        <v>25</v>
      </c>
      <c r="J49" s="5" t="s">
        <v>26</v>
      </c>
      <c r="K49" s="6" t="n">
        <v>200</v>
      </c>
      <c r="L49" s="8" t="s">
        <v>27</v>
      </c>
      <c r="M49" s="5" t="s">
        <v>123</v>
      </c>
      <c r="N49" s="6" t="n">
        <v>2</v>
      </c>
      <c r="O49" s="9" t="s">
        <v>29</v>
      </c>
      <c r="P49" s="9" t="s">
        <v>30</v>
      </c>
    </row>
    <row r="50" customFormat="false" ht="42" hidden="false" customHeight="true" outlineLevel="0" collapsed="false">
      <c r="A50" s="5" t="s">
        <v>124</v>
      </c>
      <c r="B50" s="6" t="n">
        <v>12</v>
      </c>
      <c r="C50" s="7" t="s">
        <v>19</v>
      </c>
      <c r="D50" s="8" t="s">
        <v>120</v>
      </c>
      <c r="E50" s="8" t="s">
        <v>121</v>
      </c>
      <c r="F50" s="6" t="s">
        <v>122</v>
      </c>
      <c r="G50" s="6" t="s">
        <v>23</v>
      </c>
      <c r="H50" s="8" t="s">
        <v>32</v>
      </c>
      <c r="I50" s="5" t="s">
        <v>25</v>
      </c>
      <c r="J50" s="5" t="s">
        <v>26</v>
      </c>
      <c r="K50" s="6" t="n">
        <v>200</v>
      </c>
      <c r="L50" s="8" t="s">
        <v>27</v>
      </c>
      <c r="M50" s="5" t="s">
        <v>123</v>
      </c>
      <c r="N50" s="6" t="n">
        <v>2</v>
      </c>
      <c r="O50" s="9" t="s">
        <v>29</v>
      </c>
      <c r="P50" s="9" t="s">
        <v>30</v>
      </c>
    </row>
    <row r="51" customFormat="false" ht="42" hidden="false" customHeight="true" outlineLevel="0" collapsed="false">
      <c r="A51" s="5" t="s">
        <v>125</v>
      </c>
      <c r="B51" s="6" t="n">
        <v>12</v>
      </c>
      <c r="C51" s="10" t="s">
        <v>34</v>
      </c>
      <c r="D51" s="8" t="s">
        <v>120</v>
      </c>
      <c r="E51" s="8" t="s">
        <v>121</v>
      </c>
      <c r="F51" s="6" t="s">
        <v>122</v>
      </c>
      <c r="G51" s="6" t="s">
        <v>23</v>
      </c>
      <c r="H51" s="8" t="s">
        <v>35</v>
      </c>
      <c r="I51" s="5" t="s">
        <v>25</v>
      </c>
      <c r="J51" s="5" t="s">
        <v>36</v>
      </c>
      <c r="K51" s="6" t="n">
        <v>503</v>
      </c>
      <c r="L51" s="8" t="s">
        <v>37</v>
      </c>
      <c r="M51" s="5" t="s">
        <v>38</v>
      </c>
      <c r="N51" s="6" t="n">
        <v>2</v>
      </c>
      <c r="O51" s="9" t="s">
        <v>29</v>
      </c>
      <c r="P51" s="8" t="s">
        <v>39</v>
      </c>
    </row>
    <row r="52" customFormat="false" ht="42" hidden="false" customHeight="true" outlineLevel="0" collapsed="false">
      <c r="A52" s="5" t="s">
        <v>126</v>
      </c>
      <c r="B52" s="6" t="n">
        <v>12</v>
      </c>
      <c r="C52" s="10" t="s">
        <v>34</v>
      </c>
      <c r="D52" s="8" t="s">
        <v>120</v>
      </c>
      <c r="E52" s="8" t="s">
        <v>121</v>
      </c>
      <c r="F52" s="6" t="s">
        <v>122</v>
      </c>
      <c r="G52" s="6" t="s">
        <v>23</v>
      </c>
      <c r="H52" s="8" t="s">
        <v>41</v>
      </c>
      <c r="I52" s="5" t="s">
        <v>25</v>
      </c>
      <c r="J52" s="5" t="s">
        <v>36</v>
      </c>
      <c r="K52" s="6" t="n">
        <v>503</v>
      </c>
      <c r="L52" s="8" t="s">
        <v>37</v>
      </c>
      <c r="M52" s="5" t="s">
        <v>38</v>
      </c>
      <c r="N52" s="6" t="n">
        <v>2</v>
      </c>
      <c r="O52" s="9" t="s">
        <v>29</v>
      </c>
      <c r="P52" s="8" t="s">
        <v>39</v>
      </c>
    </row>
    <row r="53" customFormat="false" ht="42" hidden="false" customHeight="true" outlineLevel="0" collapsed="false">
      <c r="A53" s="5" t="s">
        <v>127</v>
      </c>
      <c r="B53" s="12" t="n">
        <v>13</v>
      </c>
      <c r="C53" s="7" t="s">
        <v>19</v>
      </c>
      <c r="D53" s="8" t="s">
        <v>128</v>
      </c>
      <c r="E53" s="8" t="s">
        <v>129</v>
      </c>
      <c r="F53" s="6" t="s">
        <v>22</v>
      </c>
      <c r="G53" s="6" t="s">
        <v>23</v>
      </c>
      <c r="H53" s="8" t="s">
        <v>24</v>
      </c>
      <c r="I53" s="5" t="s">
        <v>25</v>
      </c>
      <c r="J53" s="5" t="s">
        <v>26</v>
      </c>
      <c r="K53" s="6" t="n">
        <v>200</v>
      </c>
      <c r="L53" s="8" t="s">
        <v>27</v>
      </c>
      <c r="M53" s="5" t="s">
        <v>130</v>
      </c>
      <c r="N53" s="6" t="n">
        <v>1</v>
      </c>
      <c r="O53" s="9" t="s">
        <v>29</v>
      </c>
      <c r="P53" s="9" t="s">
        <v>131</v>
      </c>
    </row>
    <row r="54" customFormat="false" ht="42" hidden="false" customHeight="true" outlineLevel="0" collapsed="false">
      <c r="A54" s="5" t="s">
        <v>132</v>
      </c>
      <c r="B54" s="12" t="n">
        <v>13</v>
      </c>
      <c r="C54" s="7" t="s">
        <v>19</v>
      </c>
      <c r="D54" s="8" t="s">
        <v>128</v>
      </c>
      <c r="E54" s="8" t="s">
        <v>129</v>
      </c>
      <c r="F54" s="6" t="s">
        <v>22</v>
      </c>
      <c r="G54" s="6" t="s">
        <v>23</v>
      </c>
      <c r="H54" s="8" t="s">
        <v>32</v>
      </c>
      <c r="I54" s="5" t="s">
        <v>25</v>
      </c>
      <c r="J54" s="5" t="s">
        <v>26</v>
      </c>
      <c r="K54" s="6" t="n">
        <v>200</v>
      </c>
      <c r="L54" s="8" t="s">
        <v>27</v>
      </c>
      <c r="M54" s="5" t="s">
        <v>130</v>
      </c>
      <c r="N54" s="6" t="n">
        <v>1</v>
      </c>
      <c r="O54" s="9" t="s">
        <v>29</v>
      </c>
      <c r="P54" s="9" t="s">
        <v>131</v>
      </c>
    </row>
    <row r="55" customFormat="false" ht="42" hidden="false" customHeight="true" outlineLevel="0" collapsed="false">
      <c r="A55" s="5" t="s">
        <v>133</v>
      </c>
      <c r="B55" s="12" t="n">
        <v>13</v>
      </c>
      <c r="C55" s="10" t="s">
        <v>34</v>
      </c>
      <c r="D55" s="8" t="s">
        <v>128</v>
      </c>
      <c r="E55" s="8" t="s">
        <v>129</v>
      </c>
      <c r="F55" s="6" t="s">
        <v>22</v>
      </c>
      <c r="G55" s="6" t="s">
        <v>23</v>
      </c>
      <c r="H55" s="8" t="s">
        <v>35</v>
      </c>
      <c r="I55" s="5" t="s">
        <v>25</v>
      </c>
      <c r="J55" s="5" t="s">
        <v>36</v>
      </c>
      <c r="K55" s="6" t="n">
        <v>503</v>
      </c>
      <c r="L55" s="8" t="s">
        <v>37</v>
      </c>
      <c r="M55" s="5" t="s">
        <v>38</v>
      </c>
      <c r="N55" s="6" t="n">
        <v>1</v>
      </c>
      <c r="O55" s="9" t="s">
        <v>29</v>
      </c>
      <c r="P55" s="9" t="s">
        <v>134</v>
      </c>
    </row>
    <row r="56" customFormat="false" ht="42" hidden="false" customHeight="true" outlineLevel="0" collapsed="false">
      <c r="A56" s="5" t="s">
        <v>135</v>
      </c>
      <c r="B56" s="12" t="n">
        <v>13</v>
      </c>
      <c r="C56" s="10" t="s">
        <v>34</v>
      </c>
      <c r="D56" s="8" t="s">
        <v>128</v>
      </c>
      <c r="E56" s="8" t="s">
        <v>129</v>
      </c>
      <c r="F56" s="6" t="s">
        <v>22</v>
      </c>
      <c r="G56" s="6" t="s">
        <v>23</v>
      </c>
      <c r="H56" s="8" t="s">
        <v>41</v>
      </c>
      <c r="I56" s="5" t="s">
        <v>25</v>
      </c>
      <c r="J56" s="5" t="s">
        <v>36</v>
      </c>
      <c r="K56" s="6" t="n">
        <v>503</v>
      </c>
      <c r="L56" s="8" t="s">
        <v>37</v>
      </c>
      <c r="M56" s="5" t="s">
        <v>38</v>
      </c>
      <c r="N56" s="6" t="n">
        <v>1</v>
      </c>
      <c r="O56" s="9" t="s">
        <v>29</v>
      </c>
      <c r="P56" s="9" t="s">
        <v>134</v>
      </c>
    </row>
    <row r="57" customFormat="false" ht="42" hidden="false" customHeight="true" outlineLevel="0" collapsed="false">
      <c r="A57" s="5" t="s">
        <v>136</v>
      </c>
      <c r="B57" s="12" t="n">
        <v>14</v>
      </c>
      <c r="C57" s="7" t="s">
        <v>19</v>
      </c>
      <c r="D57" s="8" t="s">
        <v>128</v>
      </c>
      <c r="E57" s="8" t="s">
        <v>129</v>
      </c>
      <c r="F57" s="6" t="s">
        <v>45</v>
      </c>
      <c r="G57" s="6" t="s">
        <v>23</v>
      </c>
      <c r="H57" s="8" t="s">
        <v>24</v>
      </c>
      <c r="I57" s="5" t="s">
        <v>25</v>
      </c>
      <c r="J57" s="5" t="s">
        <v>26</v>
      </c>
      <c r="K57" s="6" t="n">
        <v>200</v>
      </c>
      <c r="L57" s="8" t="s">
        <v>27</v>
      </c>
      <c r="M57" s="5" t="s">
        <v>137</v>
      </c>
      <c r="N57" s="6" t="n">
        <v>1</v>
      </c>
      <c r="O57" s="9" t="s">
        <v>29</v>
      </c>
      <c r="P57" s="9" t="s">
        <v>131</v>
      </c>
    </row>
    <row r="58" customFormat="false" ht="42" hidden="false" customHeight="true" outlineLevel="0" collapsed="false">
      <c r="A58" s="5" t="s">
        <v>138</v>
      </c>
      <c r="B58" s="12" t="n">
        <v>14</v>
      </c>
      <c r="C58" s="7" t="s">
        <v>19</v>
      </c>
      <c r="D58" s="8" t="s">
        <v>128</v>
      </c>
      <c r="E58" s="8" t="s">
        <v>129</v>
      </c>
      <c r="F58" s="6" t="s">
        <v>45</v>
      </c>
      <c r="G58" s="6" t="s">
        <v>23</v>
      </c>
      <c r="H58" s="8" t="s">
        <v>32</v>
      </c>
      <c r="I58" s="5" t="s">
        <v>25</v>
      </c>
      <c r="J58" s="5" t="s">
        <v>26</v>
      </c>
      <c r="K58" s="6" t="n">
        <v>200</v>
      </c>
      <c r="L58" s="8" t="s">
        <v>27</v>
      </c>
      <c r="M58" s="5" t="s">
        <v>137</v>
      </c>
      <c r="N58" s="6" t="n">
        <v>1</v>
      </c>
      <c r="O58" s="9" t="s">
        <v>29</v>
      </c>
      <c r="P58" s="9" t="s">
        <v>131</v>
      </c>
    </row>
    <row r="59" customFormat="false" ht="42" hidden="false" customHeight="true" outlineLevel="0" collapsed="false">
      <c r="A59" s="5" t="s">
        <v>139</v>
      </c>
      <c r="B59" s="12" t="n">
        <v>14</v>
      </c>
      <c r="C59" s="10" t="s">
        <v>34</v>
      </c>
      <c r="D59" s="8" t="s">
        <v>128</v>
      </c>
      <c r="E59" s="8" t="s">
        <v>129</v>
      </c>
      <c r="F59" s="6" t="s">
        <v>45</v>
      </c>
      <c r="G59" s="6" t="s">
        <v>23</v>
      </c>
      <c r="H59" s="8" t="s">
        <v>35</v>
      </c>
      <c r="I59" s="5" t="s">
        <v>25</v>
      </c>
      <c r="J59" s="5" t="s">
        <v>36</v>
      </c>
      <c r="K59" s="6" t="n">
        <v>503</v>
      </c>
      <c r="L59" s="8" t="s">
        <v>37</v>
      </c>
      <c r="M59" s="5" t="s">
        <v>38</v>
      </c>
      <c r="N59" s="6" t="n">
        <v>1</v>
      </c>
      <c r="O59" s="9" t="s">
        <v>29</v>
      </c>
      <c r="P59" s="9" t="s">
        <v>134</v>
      </c>
    </row>
    <row r="60" customFormat="false" ht="42" hidden="false" customHeight="true" outlineLevel="0" collapsed="false">
      <c r="A60" s="5" t="s">
        <v>140</v>
      </c>
      <c r="B60" s="12" t="n">
        <v>14</v>
      </c>
      <c r="C60" s="10" t="s">
        <v>34</v>
      </c>
      <c r="D60" s="8" t="s">
        <v>128</v>
      </c>
      <c r="E60" s="8" t="s">
        <v>129</v>
      </c>
      <c r="F60" s="6" t="s">
        <v>45</v>
      </c>
      <c r="G60" s="6" t="s">
        <v>23</v>
      </c>
      <c r="H60" s="8" t="s">
        <v>41</v>
      </c>
      <c r="I60" s="5" t="s">
        <v>25</v>
      </c>
      <c r="J60" s="5" t="s">
        <v>36</v>
      </c>
      <c r="K60" s="6" t="n">
        <v>503</v>
      </c>
      <c r="L60" s="8" t="s">
        <v>37</v>
      </c>
      <c r="M60" s="5" t="s">
        <v>38</v>
      </c>
      <c r="N60" s="6" t="n">
        <v>1</v>
      </c>
      <c r="O60" s="9" t="s">
        <v>29</v>
      </c>
      <c r="P60" s="9" t="s">
        <v>134</v>
      </c>
    </row>
    <row r="62" customFormat="false" ht="15" hidden="false" customHeight="false" outlineLevel="0" collapsed="false">
      <c r="A62" s="13" t="s">
        <v>141</v>
      </c>
    </row>
    <row r="63" customFormat="false" ht="15" hidden="false" customHeight="false" outlineLevel="0" collapsed="false">
      <c r="A63" s="14" t="s">
        <v>142</v>
      </c>
      <c r="B63" s="15" t="n">
        <f aca="false">COUNTA($A$5:$A$60)</f>
        <v>56</v>
      </c>
    </row>
    <row r="64" customFormat="false" ht="15" hidden="false" customHeight="false" outlineLevel="0" collapsed="false">
      <c r="A64" s="16" t="s">
        <v>19</v>
      </c>
      <c r="B64" s="15" t="n">
        <f aca="false">COUNTIF($C$5:$C$60,"EXECUTABLE NOW")</f>
        <v>28</v>
      </c>
    </row>
    <row r="65" customFormat="false" ht="15" hidden="false" customHeight="false" outlineLevel="0" collapsed="false">
      <c r="A65" s="16" t="s">
        <v>143</v>
      </c>
      <c r="B65" s="15" t="n">
        <f aca="false">COUNTIF($C$5:$C$60,"NOT_EXECUTABLE*")</f>
        <v>28</v>
      </c>
    </row>
    <row r="66" customFormat="false" ht="15" hidden="false" customHeight="false" outlineLevel="0" collapsed="false">
      <c r="A66" s="14" t="s">
        <v>144</v>
      </c>
      <c r="B66" s="15" t="n">
        <f aca="false">COUNTIF($L$5:$L$60,"SSI_RESOLVED")</f>
        <v>26</v>
      </c>
    </row>
    <row r="67" customFormat="false" ht="15" hidden="false" customHeight="false" outlineLevel="0" collapsed="false">
      <c r="A67" s="14" t="s">
        <v>145</v>
      </c>
      <c r="B67" s="15" t="n">
        <f aca="false">COUNTIF($L$5:$L$60,"SSI_AMBIGUOUS")</f>
        <v>2</v>
      </c>
    </row>
    <row r="68" customFormat="false" ht="15" hidden="false" customHeight="false" outlineLevel="0" collapsed="false">
      <c r="A68" s="14" t="s">
        <v>146</v>
      </c>
      <c r="B68" s="15" t="n">
        <f aca="false">COUNTIF($L$5:$L$60,"PROFILE_INCOMPLETE")</f>
        <v>28</v>
      </c>
    </row>
    <row r="69" customFormat="false" ht="15" hidden="false" customHeight="false" outlineLevel="0" collapsed="false">
      <c r="A69" s="16" t="s">
        <v>147</v>
      </c>
      <c r="B69" s="17" t="n">
        <f aca="false">COUNTIF($C$5:$C$60,"NOT_EXECUTABLE*")/COUNTA($A$5:$A$60)</f>
        <v>0.5</v>
      </c>
    </row>
    <row r="71" customFormat="false" ht="15" hidden="false" customHeight="false" outlineLevel="0" collapsed="false">
      <c r="A71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40"/>
    <col collapsed="false" customWidth="true" hidden="false" outlineLevel="0" max="11" min="11" style="0" width="28"/>
    <col collapsed="false" customWidth="true" hidden="false" outlineLevel="0" max="12" min="12" style="0" width="15"/>
    <col collapsed="false" customWidth="true" hidden="false" outlineLevel="0" max="13" min="13" style="0" width="21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34"/>
    <col collapsed="false" customWidth="true" hidden="false" outlineLevel="0" max="18" min="17" style="0" width="1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32"/>
    <col collapsed="false" customWidth="true" hidden="false" outlineLevel="0" max="22" min="22" style="0" width="22"/>
    <col collapsed="false" customWidth="true" hidden="false" outlineLevel="0" max="23" min="23" style="0" width="52"/>
  </cols>
  <sheetData>
    <row r="1" customFormat="false" ht="21.6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30" hidden="false" customHeight="true" outlineLevel="0" collapsed="false">
      <c r="A4" s="4" t="s">
        <v>151</v>
      </c>
      <c r="B4" s="4" t="s">
        <v>152</v>
      </c>
      <c r="C4" s="3" t="s">
        <v>153</v>
      </c>
      <c r="D4" s="4" t="s">
        <v>5</v>
      </c>
      <c r="E4" s="4" t="s">
        <v>7</v>
      </c>
      <c r="F4" s="4" t="s">
        <v>8</v>
      </c>
      <c r="G4" s="4" t="s">
        <v>154</v>
      </c>
      <c r="H4" s="4" t="s">
        <v>155</v>
      </c>
      <c r="I4" s="3" t="s">
        <v>156</v>
      </c>
      <c r="J4" s="4" t="s">
        <v>157</v>
      </c>
      <c r="K4" s="4" t="s">
        <v>158</v>
      </c>
      <c r="L4" s="4" t="s">
        <v>159</v>
      </c>
      <c r="M4" s="4" t="s">
        <v>160</v>
      </c>
      <c r="N4" s="4" t="s">
        <v>161</v>
      </c>
      <c r="O4" s="4" t="s">
        <v>162</v>
      </c>
      <c r="P4" s="3" t="s">
        <v>163</v>
      </c>
      <c r="Q4" s="4" t="s">
        <v>164</v>
      </c>
      <c r="R4" s="4" t="s">
        <v>165</v>
      </c>
      <c r="S4" s="4" t="s">
        <v>166</v>
      </c>
      <c r="T4" s="4" t="s">
        <v>167</v>
      </c>
      <c r="U4" s="4" t="s">
        <v>168</v>
      </c>
      <c r="V4" s="4" t="s">
        <v>169</v>
      </c>
      <c r="W4" s="4" t="s">
        <v>170</v>
      </c>
    </row>
    <row r="5" customFormat="false" ht="23.85" hidden="false" customHeight="false" outlineLevel="0" collapsed="false">
      <c r="A5" s="5" t="s">
        <v>28</v>
      </c>
      <c r="B5" s="5" t="s">
        <v>171</v>
      </c>
      <c r="C5" s="6" t="n">
        <v>39</v>
      </c>
      <c r="D5" s="8" t="s">
        <v>20</v>
      </c>
      <c r="E5" s="6" t="s">
        <v>22</v>
      </c>
      <c r="F5" s="6" t="s">
        <v>23</v>
      </c>
      <c r="G5" s="6" t="n">
        <v>10</v>
      </c>
      <c r="H5" s="8" t="s">
        <v>172</v>
      </c>
      <c r="I5" s="7" t="s">
        <v>173</v>
      </c>
      <c r="J5" s="5" t="s">
        <v>174</v>
      </c>
      <c r="K5" s="5" t="s">
        <v>175</v>
      </c>
      <c r="L5" s="6" t="s">
        <v>176</v>
      </c>
      <c r="M5" s="8" t="s">
        <v>177</v>
      </c>
      <c r="N5" s="6" t="s">
        <v>178</v>
      </c>
      <c r="O5" s="5" t="s">
        <v>179</v>
      </c>
      <c r="P5" s="5" t="s">
        <v>180</v>
      </c>
      <c r="Q5" s="8" t="s">
        <v>20</v>
      </c>
      <c r="R5" s="8" t="s">
        <v>20</v>
      </c>
      <c r="S5" s="8" t="s">
        <v>20</v>
      </c>
      <c r="T5" s="8" t="s">
        <v>20</v>
      </c>
      <c r="U5" s="8" t="s">
        <v>181</v>
      </c>
      <c r="V5" s="8" t="s">
        <v>182</v>
      </c>
      <c r="W5" s="8" t="s">
        <v>183</v>
      </c>
    </row>
    <row r="6" customFormat="false" ht="15" hidden="false" customHeight="false" outlineLevel="0" collapsed="false">
      <c r="A6" s="5" t="s">
        <v>184</v>
      </c>
      <c r="B6" s="5" t="s">
        <v>185</v>
      </c>
      <c r="C6" s="6" t="n">
        <v>34</v>
      </c>
      <c r="D6" s="8" t="s">
        <v>20</v>
      </c>
      <c r="E6" s="6" t="s">
        <v>22</v>
      </c>
      <c r="F6" s="6" t="s">
        <v>23</v>
      </c>
      <c r="G6" s="6" t="n">
        <v>20</v>
      </c>
      <c r="H6" s="8" t="s">
        <v>186</v>
      </c>
      <c r="I6" s="18" t="s">
        <v>187</v>
      </c>
      <c r="J6" s="5" t="s">
        <v>174</v>
      </c>
      <c r="K6" s="5" t="s">
        <v>188</v>
      </c>
      <c r="L6" s="6" t="s">
        <v>189</v>
      </c>
      <c r="M6" s="8" t="s">
        <v>190</v>
      </c>
      <c r="N6" s="6" t="s">
        <v>191</v>
      </c>
      <c r="O6" s="5" t="s">
        <v>192</v>
      </c>
      <c r="P6" s="5" t="s">
        <v>193</v>
      </c>
      <c r="Q6" s="8" t="s">
        <v>83</v>
      </c>
      <c r="R6" s="8" t="s">
        <v>83</v>
      </c>
      <c r="S6" s="8" t="s">
        <v>83</v>
      </c>
      <c r="T6" s="8" t="s">
        <v>20</v>
      </c>
      <c r="U6" s="8" t="s">
        <v>181</v>
      </c>
      <c r="V6" s="8" t="s">
        <v>182</v>
      </c>
      <c r="W6" s="8" t="s">
        <v>194</v>
      </c>
    </row>
    <row r="7" customFormat="false" ht="29.85" hidden="false" customHeight="false" outlineLevel="0" collapsed="false">
      <c r="A7" s="5" t="s">
        <v>195</v>
      </c>
      <c r="B7" s="5" t="s">
        <v>196</v>
      </c>
      <c r="C7" s="6" t="n">
        <v>39</v>
      </c>
      <c r="D7" s="8" t="s">
        <v>43</v>
      </c>
      <c r="E7" s="6" t="s">
        <v>45</v>
      </c>
      <c r="F7" s="6" t="s">
        <v>23</v>
      </c>
      <c r="G7" s="6" t="n">
        <v>10</v>
      </c>
      <c r="H7" s="8" t="s">
        <v>172</v>
      </c>
      <c r="I7" s="11" t="s">
        <v>197</v>
      </c>
      <c r="J7" s="5" t="s">
        <v>198</v>
      </c>
      <c r="K7" s="5" t="s">
        <v>199</v>
      </c>
      <c r="L7" s="6" t="s">
        <v>200</v>
      </c>
      <c r="M7" s="8" t="s">
        <v>201</v>
      </c>
      <c r="N7" s="6" t="s">
        <v>202</v>
      </c>
      <c r="O7" s="5" t="s">
        <v>203</v>
      </c>
      <c r="P7" s="5" t="s">
        <v>204</v>
      </c>
      <c r="Q7" s="8" t="s">
        <v>43</v>
      </c>
      <c r="R7" s="8" t="s">
        <v>43</v>
      </c>
      <c r="S7" s="8" t="s">
        <v>43</v>
      </c>
      <c r="T7" s="8" t="s">
        <v>43</v>
      </c>
      <c r="U7" s="8" t="s">
        <v>181</v>
      </c>
      <c r="V7" s="8" t="s">
        <v>182</v>
      </c>
      <c r="W7" s="8" t="s">
        <v>205</v>
      </c>
    </row>
    <row r="8" customFormat="false" ht="29.85" hidden="false" customHeight="false" outlineLevel="0" collapsed="false">
      <c r="A8" s="5" t="s">
        <v>206</v>
      </c>
      <c r="B8" s="5" t="s">
        <v>207</v>
      </c>
      <c r="C8" s="6" t="n">
        <v>34</v>
      </c>
      <c r="D8" s="8" t="s">
        <v>43</v>
      </c>
      <c r="E8" s="6" t="s">
        <v>45</v>
      </c>
      <c r="F8" s="6" t="s">
        <v>23</v>
      </c>
      <c r="G8" s="6" t="n">
        <v>10</v>
      </c>
      <c r="H8" s="8" t="s">
        <v>172</v>
      </c>
      <c r="I8" s="11" t="s">
        <v>197</v>
      </c>
      <c r="J8" s="5" t="s">
        <v>208</v>
      </c>
      <c r="K8" s="5" t="s">
        <v>199</v>
      </c>
      <c r="L8" s="6" t="s">
        <v>200</v>
      </c>
      <c r="M8" s="8" t="s">
        <v>201</v>
      </c>
      <c r="N8" s="6" t="s">
        <v>202</v>
      </c>
      <c r="O8" s="5" t="s">
        <v>209</v>
      </c>
      <c r="P8" s="5" t="s">
        <v>210</v>
      </c>
      <c r="Q8" s="8" t="s">
        <v>43</v>
      </c>
      <c r="R8" s="8" t="s">
        <v>43</v>
      </c>
      <c r="S8" s="8" t="s">
        <v>43</v>
      </c>
      <c r="T8" s="8" t="s">
        <v>43</v>
      </c>
      <c r="U8" s="8" t="s">
        <v>211</v>
      </c>
      <c r="V8" s="8" t="s">
        <v>182</v>
      </c>
      <c r="W8" s="8" t="s">
        <v>212</v>
      </c>
    </row>
    <row r="9" customFormat="false" ht="23.85" hidden="false" customHeight="false" outlineLevel="0" collapsed="false">
      <c r="A9" s="5" t="s">
        <v>213</v>
      </c>
      <c r="B9" s="5" t="s">
        <v>214</v>
      </c>
      <c r="C9" s="6" t="n">
        <v>39</v>
      </c>
      <c r="D9" s="8" t="s">
        <v>43</v>
      </c>
      <c r="E9" s="6" t="s">
        <v>45</v>
      </c>
      <c r="F9" s="6" t="s">
        <v>23</v>
      </c>
      <c r="G9" s="6" t="n">
        <v>20</v>
      </c>
      <c r="H9" s="8" t="s">
        <v>186</v>
      </c>
      <c r="I9" s="19" t="s">
        <v>215</v>
      </c>
      <c r="J9" s="5" t="s">
        <v>198</v>
      </c>
      <c r="K9" s="5" t="s">
        <v>216</v>
      </c>
      <c r="L9" s="6" t="s">
        <v>200</v>
      </c>
      <c r="M9" s="8" t="s">
        <v>201</v>
      </c>
      <c r="N9" s="6" t="s">
        <v>202</v>
      </c>
      <c r="O9" s="5" t="s">
        <v>217</v>
      </c>
      <c r="P9" s="5" t="s">
        <v>218</v>
      </c>
      <c r="Q9" s="8" t="s">
        <v>112</v>
      </c>
      <c r="R9" s="8" t="s">
        <v>112</v>
      </c>
      <c r="S9" s="8" t="s">
        <v>112</v>
      </c>
      <c r="T9" s="8" t="s">
        <v>43</v>
      </c>
      <c r="U9" s="8" t="s">
        <v>181</v>
      </c>
      <c r="V9" s="8" t="s">
        <v>182</v>
      </c>
      <c r="W9" s="8" t="s">
        <v>219</v>
      </c>
    </row>
    <row r="10" customFormat="false" ht="22.35" hidden="false" customHeight="false" outlineLevel="0" collapsed="false">
      <c r="A10" s="5" t="s">
        <v>53</v>
      </c>
      <c r="B10" s="5" t="s">
        <v>220</v>
      </c>
      <c r="C10" s="6" t="n">
        <v>14</v>
      </c>
      <c r="D10" s="8" t="s">
        <v>43</v>
      </c>
      <c r="E10" s="6" t="s">
        <v>22</v>
      </c>
      <c r="F10" s="6" t="s">
        <v>23</v>
      </c>
      <c r="G10" s="6" t="n">
        <v>10</v>
      </c>
      <c r="H10" s="8" t="s">
        <v>172</v>
      </c>
      <c r="I10" s="7" t="s">
        <v>173</v>
      </c>
      <c r="J10" s="5" t="s">
        <v>221</v>
      </c>
      <c r="K10" s="5" t="s">
        <v>222</v>
      </c>
      <c r="L10" s="6" t="s">
        <v>176</v>
      </c>
      <c r="M10" s="8" t="s">
        <v>177</v>
      </c>
      <c r="N10" s="6" t="s">
        <v>178</v>
      </c>
      <c r="O10" s="5" t="s">
        <v>223</v>
      </c>
      <c r="P10" s="5" t="s">
        <v>224</v>
      </c>
      <c r="Q10" s="8" t="s">
        <v>20</v>
      </c>
      <c r="R10" s="8" t="s">
        <v>20</v>
      </c>
      <c r="S10" s="8" t="s">
        <v>20</v>
      </c>
      <c r="T10" s="8" t="s">
        <v>43</v>
      </c>
      <c r="U10" s="8" t="s">
        <v>225</v>
      </c>
      <c r="V10" s="8" t="s">
        <v>182</v>
      </c>
      <c r="W10" s="8" t="s">
        <v>226</v>
      </c>
    </row>
    <row r="11" customFormat="false" ht="23.85" hidden="false" customHeight="false" outlineLevel="0" collapsed="false">
      <c r="A11" s="5" t="s">
        <v>62</v>
      </c>
      <c r="B11" s="5" t="s">
        <v>227</v>
      </c>
      <c r="C11" s="6" t="n">
        <v>34</v>
      </c>
      <c r="D11" s="8" t="s">
        <v>59</v>
      </c>
      <c r="E11" s="6" t="s">
        <v>61</v>
      </c>
      <c r="F11" s="6" t="s">
        <v>23</v>
      </c>
      <c r="G11" s="6" t="n">
        <v>10</v>
      </c>
      <c r="H11" s="8" t="s">
        <v>172</v>
      </c>
      <c r="I11" s="7" t="s">
        <v>173</v>
      </c>
      <c r="J11" s="5" t="s">
        <v>228</v>
      </c>
      <c r="K11" s="5" t="s">
        <v>229</v>
      </c>
      <c r="L11" s="6" t="s">
        <v>230</v>
      </c>
      <c r="M11" s="8" t="s">
        <v>231</v>
      </c>
      <c r="N11" s="6" t="s">
        <v>232</v>
      </c>
      <c r="O11" s="5" t="s">
        <v>233</v>
      </c>
      <c r="P11" s="5" t="s">
        <v>234</v>
      </c>
      <c r="Q11" s="8" t="s">
        <v>59</v>
      </c>
      <c r="R11" s="8" t="s">
        <v>59</v>
      </c>
      <c r="S11" s="8" t="s">
        <v>59</v>
      </c>
      <c r="T11" s="8" t="s">
        <v>59</v>
      </c>
      <c r="U11" s="8" t="s">
        <v>181</v>
      </c>
      <c r="V11" s="8" t="s">
        <v>182</v>
      </c>
      <c r="W11" s="8" t="s">
        <v>235</v>
      </c>
    </row>
    <row r="12" customFormat="false" ht="23.85" hidden="false" customHeight="false" outlineLevel="0" collapsed="false">
      <c r="A12" s="5" t="s">
        <v>236</v>
      </c>
      <c r="B12" s="5" t="s">
        <v>237</v>
      </c>
      <c r="C12" s="6" t="n">
        <v>34</v>
      </c>
      <c r="D12" s="8" t="s">
        <v>59</v>
      </c>
      <c r="E12" s="6" t="s">
        <v>61</v>
      </c>
      <c r="F12" s="6" t="s">
        <v>23</v>
      </c>
      <c r="G12" s="6" t="n">
        <v>20</v>
      </c>
      <c r="H12" s="8" t="s">
        <v>186</v>
      </c>
      <c r="I12" s="18" t="s">
        <v>187</v>
      </c>
      <c r="J12" s="5" t="s">
        <v>228</v>
      </c>
      <c r="K12" s="5" t="s">
        <v>238</v>
      </c>
      <c r="L12" s="6" t="s">
        <v>189</v>
      </c>
      <c r="M12" s="8" t="s">
        <v>239</v>
      </c>
      <c r="N12" s="6" t="s">
        <v>240</v>
      </c>
      <c r="O12" s="5" t="s">
        <v>241</v>
      </c>
      <c r="P12" s="5" t="s">
        <v>242</v>
      </c>
      <c r="Q12" s="8" t="s">
        <v>83</v>
      </c>
      <c r="R12" s="8" t="s">
        <v>83</v>
      </c>
      <c r="S12" s="8" t="s">
        <v>83</v>
      </c>
      <c r="T12" s="8" t="s">
        <v>59</v>
      </c>
      <c r="U12" s="8" t="s">
        <v>181</v>
      </c>
      <c r="V12" s="8" t="s">
        <v>182</v>
      </c>
      <c r="W12" s="8" t="s">
        <v>243</v>
      </c>
    </row>
    <row r="13" customFormat="false" ht="22.35" hidden="false" customHeight="false" outlineLevel="0" collapsed="false">
      <c r="A13" s="5" t="s">
        <v>244</v>
      </c>
      <c r="B13" s="5" t="s">
        <v>245</v>
      </c>
      <c r="C13" s="6" t="n">
        <v>9</v>
      </c>
      <c r="D13" s="8" t="s">
        <v>59</v>
      </c>
      <c r="E13" s="6" t="s">
        <v>61</v>
      </c>
      <c r="F13" s="6" t="s">
        <v>23</v>
      </c>
      <c r="G13" s="6" t="n">
        <v>20</v>
      </c>
      <c r="H13" s="8" t="s">
        <v>186</v>
      </c>
      <c r="I13" s="18" t="s">
        <v>187</v>
      </c>
      <c r="J13" s="5" t="s">
        <v>246</v>
      </c>
      <c r="K13" s="5" t="s">
        <v>247</v>
      </c>
      <c r="L13" s="6" t="s">
        <v>230</v>
      </c>
      <c r="M13" s="8" t="s">
        <v>231</v>
      </c>
      <c r="N13" s="6" t="s">
        <v>248</v>
      </c>
      <c r="O13" s="5" t="s">
        <v>249</v>
      </c>
      <c r="P13" s="5" t="s">
        <v>250</v>
      </c>
      <c r="Q13" s="8" t="s">
        <v>59</v>
      </c>
      <c r="R13" s="8" t="s">
        <v>59</v>
      </c>
      <c r="S13" s="8" t="s">
        <v>59</v>
      </c>
      <c r="T13" s="8" t="s">
        <v>59</v>
      </c>
      <c r="U13" s="8" t="s">
        <v>225</v>
      </c>
      <c r="V13" s="8" t="s">
        <v>182</v>
      </c>
      <c r="W13" s="8" t="s">
        <v>251</v>
      </c>
    </row>
    <row r="14" customFormat="false" ht="32.8" hidden="false" customHeight="false" outlineLevel="0" collapsed="false">
      <c r="A14" s="5" t="s">
        <v>70</v>
      </c>
      <c r="B14" s="5" t="s">
        <v>252</v>
      </c>
      <c r="C14" s="6" t="n">
        <v>39</v>
      </c>
      <c r="D14" s="8" t="s">
        <v>67</v>
      </c>
      <c r="E14" s="6" t="s">
        <v>69</v>
      </c>
      <c r="F14" s="6" t="s">
        <v>23</v>
      </c>
      <c r="G14" s="6" t="n">
        <v>10</v>
      </c>
      <c r="H14" s="8" t="s">
        <v>172</v>
      </c>
      <c r="I14" s="7" t="s">
        <v>173</v>
      </c>
      <c r="J14" s="5" t="s">
        <v>253</v>
      </c>
      <c r="K14" s="5" t="s">
        <v>254</v>
      </c>
      <c r="L14" s="6" t="s">
        <v>255</v>
      </c>
      <c r="M14" s="8" t="s">
        <v>256</v>
      </c>
      <c r="N14" s="6" t="s">
        <v>257</v>
      </c>
      <c r="O14" s="5" t="s">
        <v>258</v>
      </c>
      <c r="P14" s="5" t="s">
        <v>259</v>
      </c>
      <c r="Q14" s="8" t="s">
        <v>67</v>
      </c>
      <c r="R14" s="8" t="s">
        <v>67</v>
      </c>
      <c r="S14" s="8" t="s">
        <v>67</v>
      </c>
      <c r="T14" s="8" t="s">
        <v>67</v>
      </c>
      <c r="U14" s="8" t="s">
        <v>181</v>
      </c>
      <c r="V14" s="8" t="s">
        <v>182</v>
      </c>
      <c r="W14" s="8" t="s">
        <v>260</v>
      </c>
    </row>
    <row r="15" customFormat="false" ht="32.8" hidden="false" customHeight="false" outlineLevel="0" collapsed="false">
      <c r="A15" s="5" t="s">
        <v>261</v>
      </c>
      <c r="B15" s="5" t="s">
        <v>262</v>
      </c>
      <c r="C15" s="6" t="n">
        <v>39</v>
      </c>
      <c r="D15" s="8" t="s">
        <v>67</v>
      </c>
      <c r="E15" s="6" t="s">
        <v>69</v>
      </c>
      <c r="F15" s="6" t="s">
        <v>23</v>
      </c>
      <c r="G15" s="6" t="n">
        <v>20</v>
      </c>
      <c r="H15" s="8" t="s">
        <v>186</v>
      </c>
      <c r="I15" s="18" t="s">
        <v>187</v>
      </c>
      <c r="J15" s="5" t="s">
        <v>253</v>
      </c>
      <c r="K15" s="5" t="s">
        <v>263</v>
      </c>
      <c r="L15" s="6" t="s">
        <v>255</v>
      </c>
      <c r="M15" s="8" t="s">
        <v>256</v>
      </c>
      <c r="N15" s="6" t="s">
        <v>257</v>
      </c>
      <c r="O15" s="5" t="s">
        <v>264</v>
      </c>
      <c r="P15" s="5" t="s">
        <v>265</v>
      </c>
      <c r="Q15" s="8" t="s">
        <v>266</v>
      </c>
      <c r="R15" s="8" t="s">
        <v>266</v>
      </c>
      <c r="S15" s="8" t="s">
        <v>266</v>
      </c>
      <c r="T15" s="8" t="s">
        <v>67</v>
      </c>
      <c r="U15" s="8" t="s">
        <v>181</v>
      </c>
      <c r="V15" s="8" t="s">
        <v>182</v>
      </c>
      <c r="W15" s="8" t="s">
        <v>267</v>
      </c>
    </row>
    <row r="16" customFormat="false" ht="15" hidden="false" customHeight="false" outlineLevel="0" collapsed="false">
      <c r="A16" s="5" t="s">
        <v>78</v>
      </c>
      <c r="B16" s="5" t="s">
        <v>268</v>
      </c>
      <c r="C16" s="6" t="n">
        <v>34</v>
      </c>
      <c r="D16" s="8" t="s">
        <v>75</v>
      </c>
      <c r="E16" s="6" t="s">
        <v>77</v>
      </c>
      <c r="F16" s="6" t="s">
        <v>23</v>
      </c>
      <c r="G16" s="6" t="n">
        <v>10</v>
      </c>
      <c r="H16" s="8" t="s">
        <v>172</v>
      </c>
      <c r="I16" s="7" t="s">
        <v>173</v>
      </c>
      <c r="J16" s="5" t="s">
        <v>269</v>
      </c>
      <c r="K16" s="5" t="s">
        <v>270</v>
      </c>
      <c r="L16" s="6" t="s">
        <v>271</v>
      </c>
      <c r="M16" s="8" t="s">
        <v>272</v>
      </c>
      <c r="N16" s="6" t="s">
        <v>273</v>
      </c>
      <c r="O16" s="5" t="s">
        <v>274</v>
      </c>
      <c r="P16" s="5" t="s">
        <v>275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276</v>
      </c>
      <c r="V16" s="8" t="s">
        <v>182</v>
      </c>
      <c r="W16" s="8" t="s">
        <v>277</v>
      </c>
    </row>
    <row r="17" customFormat="false" ht="15" hidden="false" customHeight="false" outlineLevel="0" collapsed="false">
      <c r="A17" s="5" t="s">
        <v>278</v>
      </c>
      <c r="B17" s="5" t="s">
        <v>279</v>
      </c>
      <c r="C17" s="6" t="n">
        <v>34</v>
      </c>
      <c r="D17" s="8" t="s">
        <v>75</v>
      </c>
      <c r="E17" s="6" t="s">
        <v>77</v>
      </c>
      <c r="F17" s="6" t="s">
        <v>23</v>
      </c>
      <c r="G17" s="6" t="n">
        <v>20</v>
      </c>
      <c r="H17" s="8" t="s">
        <v>186</v>
      </c>
      <c r="I17" s="18" t="s">
        <v>187</v>
      </c>
      <c r="J17" s="5" t="s">
        <v>269</v>
      </c>
      <c r="K17" s="5" t="s">
        <v>280</v>
      </c>
      <c r="L17" s="6" t="s">
        <v>271</v>
      </c>
      <c r="M17" s="8" t="s">
        <v>272</v>
      </c>
      <c r="N17" s="6" t="s">
        <v>273</v>
      </c>
      <c r="O17" s="5" t="s">
        <v>281</v>
      </c>
      <c r="P17" s="5" t="s">
        <v>282</v>
      </c>
      <c r="Q17" s="8" t="s">
        <v>283</v>
      </c>
      <c r="R17" s="8" t="s">
        <v>283</v>
      </c>
      <c r="S17" s="8" t="s">
        <v>283</v>
      </c>
      <c r="T17" s="8" t="s">
        <v>75</v>
      </c>
      <c r="U17" s="8" t="s">
        <v>276</v>
      </c>
      <c r="V17" s="8" t="s">
        <v>182</v>
      </c>
      <c r="W17" s="8" t="s">
        <v>284</v>
      </c>
    </row>
    <row r="18" customFormat="false" ht="15" hidden="false" customHeight="false" outlineLevel="0" collapsed="false">
      <c r="A18" s="5" t="s">
        <v>86</v>
      </c>
      <c r="B18" s="5" t="s">
        <v>285</v>
      </c>
      <c r="C18" s="6" t="n">
        <v>34</v>
      </c>
      <c r="D18" s="8" t="s">
        <v>83</v>
      </c>
      <c r="E18" s="6" t="s">
        <v>85</v>
      </c>
      <c r="F18" s="6" t="s">
        <v>23</v>
      </c>
      <c r="G18" s="6" t="n">
        <v>10</v>
      </c>
      <c r="H18" s="8" t="s">
        <v>172</v>
      </c>
      <c r="I18" s="7" t="s">
        <v>173</v>
      </c>
      <c r="J18" s="5" t="s">
        <v>286</v>
      </c>
      <c r="K18" s="5" t="s">
        <v>287</v>
      </c>
      <c r="L18" s="6" t="s">
        <v>189</v>
      </c>
      <c r="M18" s="8" t="s">
        <v>288</v>
      </c>
      <c r="N18" s="6" t="s">
        <v>289</v>
      </c>
      <c r="O18" s="5" t="s">
        <v>290</v>
      </c>
      <c r="P18" s="5" t="s">
        <v>291</v>
      </c>
      <c r="Q18" s="8" t="s">
        <v>83</v>
      </c>
      <c r="R18" s="8" t="s">
        <v>83</v>
      </c>
      <c r="S18" s="8" t="s">
        <v>83</v>
      </c>
      <c r="T18" s="8" t="s">
        <v>83</v>
      </c>
      <c r="U18" s="8" t="s">
        <v>276</v>
      </c>
      <c r="V18" s="8" t="s">
        <v>182</v>
      </c>
      <c r="W18" s="8" t="s">
        <v>292</v>
      </c>
    </row>
    <row r="19" customFormat="false" ht="15" hidden="false" customHeight="false" outlineLevel="0" collapsed="false">
      <c r="A19" s="5" t="s">
        <v>293</v>
      </c>
      <c r="B19" s="5" t="s">
        <v>294</v>
      </c>
      <c r="C19" s="6" t="n">
        <v>34</v>
      </c>
      <c r="D19" s="8" t="s">
        <v>83</v>
      </c>
      <c r="E19" s="6" t="s">
        <v>85</v>
      </c>
      <c r="F19" s="6" t="s">
        <v>23</v>
      </c>
      <c r="G19" s="6" t="n">
        <v>20</v>
      </c>
      <c r="H19" s="8" t="s">
        <v>186</v>
      </c>
      <c r="I19" s="18" t="s">
        <v>187</v>
      </c>
      <c r="J19" s="5" t="s">
        <v>286</v>
      </c>
      <c r="K19" s="5" t="s">
        <v>295</v>
      </c>
      <c r="L19" s="6" t="s">
        <v>189</v>
      </c>
      <c r="M19" s="8" t="s">
        <v>288</v>
      </c>
      <c r="N19" s="6" t="s">
        <v>289</v>
      </c>
      <c r="O19" s="5" t="s">
        <v>296</v>
      </c>
      <c r="P19" s="5" t="s">
        <v>297</v>
      </c>
      <c r="Q19" s="8" t="s">
        <v>298</v>
      </c>
      <c r="R19" s="8" t="s">
        <v>298</v>
      </c>
      <c r="S19" s="8" t="s">
        <v>298</v>
      </c>
      <c r="T19" s="8" t="s">
        <v>83</v>
      </c>
      <c r="U19" s="8" t="s">
        <v>276</v>
      </c>
      <c r="V19" s="8" t="s">
        <v>182</v>
      </c>
      <c r="W19" s="8" t="s">
        <v>299</v>
      </c>
    </row>
    <row r="20" customFormat="false" ht="15" hidden="false" customHeight="false" outlineLevel="0" collapsed="false">
      <c r="A20" s="5" t="s">
        <v>94</v>
      </c>
      <c r="B20" s="5" t="s">
        <v>300</v>
      </c>
      <c r="C20" s="6" t="n">
        <v>34</v>
      </c>
      <c r="D20" s="8" t="s">
        <v>91</v>
      </c>
      <c r="E20" s="6" t="s">
        <v>93</v>
      </c>
      <c r="F20" s="6" t="s">
        <v>23</v>
      </c>
      <c r="G20" s="6" t="n">
        <v>10</v>
      </c>
      <c r="H20" s="8" t="s">
        <v>172</v>
      </c>
      <c r="I20" s="7" t="s">
        <v>173</v>
      </c>
      <c r="J20" s="5" t="s">
        <v>301</v>
      </c>
      <c r="K20" s="5" t="s">
        <v>302</v>
      </c>
      <c r="L20" s="6" t="s">
        <v>303</v>
      </c>
      <c r="M20" s="8" t="s">
        <v>304</v>
      </c>
      <c r="N20" s="6" t="s">
        <v>305</v>
      </c>
      <c r="O20" s="5" t="s">
        <v>306</v>
      </c>
      <c r="P20" s="5" t="s">
        <v>307</v>
      </c>
      <c r="Q20" s="8" t="s">
        <v>308</v>
      </c>
      <c r="R20" s="8" t="s">
        <v>308</v>
      </c>
      <c r="S20" s="8" t="s">
        <v>308</v>
      </c>
      <c r="T20" s="8" t="s">
        <v>91</v>
      </c>
      <c r="U20" s="8" t="s">
        <v>181</v>
      </c>
      <c r="V20" s="8" t="s">
        <v>182</v>
      </c>
      <c r="W20" s="8" t="s">
        <v>309</v>
      </c>
    </row>
    <row r="21" customFormat="false" ht="15" hidden="false" customHeight="false" outlineLevel="0" collapsed="false">
      <c r="A21" s="5" t="s">
        <v>310</v>
      </c>
      <c r="B21" s="5" t="s">
        <v>311</v>
      </c>
      <c r="C21" s="6" t="n">
        <v>34</v>
      </c>
      <c r="D21" s="8" t="s">
        <v>91</v>
      </c>
      <c r="E21" s="6" t="s">
        <v>93</v>
      </c>
      <c r="F21" s="6" t="s">
        <v>23</v>
      </c>
      <c r="G21" s="6" t="n">
        <v>20</v>
      </c>
      <c r="H21" s="8" t="s">
        <v>186</v>
      </c>
      <c r="I21" s="18" t="s">
        <v>187</v>
      </c>
      <c r="J21" s="5" t="s">
        <v>301</v>
      </c>
      <c r="K21" s="5" t="s">
        <v>312</v>
      </c>
      <c r="L21" s="6" t="s">
        <v>303</v>
      </c>
      <c r="M21" s="8" t="s">
        <v>304</v>
      </c>
      <c r="N21" s="6" t="s">
        <v>305</v>
      </c>
      <c r="O21" s="5" t="s">
        <v>313</v>
      </c>
      <c r="P21" s="5" t="s">
        <v>314</v>
      </c>
      <c r="Q21" s="8" t="s">
        <v>315</v>
      </c>
      <c r="R21" s="8" t="s">
        <v>315</v>
      </c>
      <c r="S21" s="8" t="s">
        <v>315</v>
      </c>
      <c r="T21" s="8" t="s">
        <v>91</v>
      </c>
      <c r="U21" s="8" t="s">
        <v>181</v>
      </c>
      <c r="V21" s="8" t="s">
        <v>182</v>
      </c>
      <c r="W21" s="8" t="s">
        <v>316</v>
      </c>
    </row>
    <row r="22" customFormat="false" ht="15" hidden="false" customHeight="false" outlineLevel="0" collapsed="false">
      <c r="A22" s="5" t="s">
        <v>102</v>
      </c>
      <c r="B22" s="5" t="s">
        <v>317</v>
      </c>
      <c r="C22" s="6" t="n">
        <v>34</v>
      </c>
      <c r="D22" s="8" t="s">
        <v>99</v>
      </c>
      <c r="E22" s="6" t="s">
        <v>101</v>
      </c>
      <c r="F22" s="6" t="s">
        <v>23</v>
      </c>
      <c r="G22" s="6" t="n">
        <v>10</v>
      </c>
      <c r="H22" s="8" t="s">
        <v>172</v>
      </c>
      <c r="I22" s="7" t="s">
        <v>173</v>
      </c>
      <c r="J22" s="5" t="s">
        <v>318</v>
      </c>
      <c r="K22" s="5" t="s">
        <v>319</v>
      </c>
      <c r="L22" s="6" t="s">
        <v>320</v>
      </c>
      <c r="M22" s="8" t="s">
        <v>321</v>
      </c>
      <c r="N22" s="6" t="s">
        <v>322</v>
      </c>
      <c r="O22" s="5" t="s">
        <v>323</v>
      </c>
      <c r="P22" s="5" t="s">
        <v>324</v>
      </c>
      <c r="Q22" s="8" t="s">
        <v>325</v>
      </c>
      <c r="R22" s="8" t="s">
        <v>325</v>
      </c>
      <c r="S22" s="8" t="s">
        <v>325</v>
      </c>
      <c r="T22" s="8" t="s">
        <v>99</v>
      </c>
      <c r="U22" s="8" t="s">
        <v>326</v>
      </c>
      <c r="V22" s="8" t="s">
        <v>182</v>
      </c>
      <c r="W22" s="8" t="s">
        <v>327</v>
      </c>
    </row>
    <row r="23" customFormat="false" ht="15" hidden="false" customHeight="false" outlineLevel="0" collapsed="false">
      <c r="A23" s="5" t="s">
        <v>328</v>
      </c>
      <c r="B23" s="5" t="s">
        <v>329</v>
      </c>
      <c r="C23" s="6" t="n">
        <v>34</v>
      </c>
      <c r="D23" s="8" t="s">
        <v>99</v>
      </c>
      <c r="E23" s="6" t="s">
        <v>101</v>
      </c>
      <c r="F23" s="6" t="s">
        <v>23</v>
      </c>
      <c r="G23" s="6" t="n">
        <v>20</v>
      </c>
      <c r="H23" s="8" t="s">
        <v>186</v>
      </c>
      <c r="I23" s="18" t="s">
        <v>187</v>
      </c>
      <c r="J23" s="5" t="s">
        <v>318</v>
      </c>
      <c r="K23" s="5" t="s">
        <v>330</v>
      </c>
      <c r="L23" s="6" t="s">
        <v>320</v>
      </c>
      <c r="M23" s="8" t="s">
        <v>321</v>
      </c>
      <c r="N23" s="6" t="s">
        <v>322</v>
      </c>
      <c r="O23" s="5" t="s">
        <v>331</v>
      </c>
      <c r="P23" s="5" t="s">
        <v>332</v>
      </c>
      <c r="Q23" s="8" t="s">
        <v>333</v>
      </c>
      <c r="R23" s="8" t="s">
        <v>333</v>
      </c>
      <c r="S23" s="8" t="s">
        <v>333</v>
      </c>
      <c r="T23" s="8" t="s">
        <v>99</v>
      </c>
      <c r="U23" s="8" t="s">
        <v>326</v>
      </c>
      <c r="V23" s="8" t="s">
        <v>182</v>
      </c>
      <c r="W23" s="8" t="s">
        <v>334</v>
      </c>
    </row>
    <row r="24" customFormat="false" ht="32.8" hidden="false" customHeight="false" outlineLevel="0" collapsed="false">
      <c r="A24" s="5" t="s">
        <v>107</v>
      </c>
      <c r="B24" s="5" t="s">
        <v>335</v>
      </c>
      <c r="C24" s="6" t="n">
        <v>34</v>
      </c>
      <c r="D24" s="8" t="s">
        <v>99</v>
      </c>
      <c r="E24" s="6" t="s">
        <v>22</v>
      </c>
      <c r="F24" s="6" t="s">
        <v>23</v>
      </c>
      <c r="G24" s="6" t="n">
        <v>10</v>
      </c>
      <c r="H24" s="8" t="s">
        <v>172</v>
      </c>
      <c r="I24" s="7" t="s">
        <v>173</v>
      </c>
      <c r="J24" s="5" t="s">
        <v>336</v>
      </c>
      <c r="K24" s="5" t="s">
        <v>175</v>
      </c>
      <c r="L24" s="6" t="s">
        <v>176</v>
      </c>
      <c r="M24" s="8" t="s">
        <v>177</v>
      </c>
      <c r="N24" s="6" t="s">
        <v>178</v>
      </c>
      <c r="O24" s="5" t="s">
        <v>337</v>
      </c>
      <c r="P24" s="5" t="s">
        <v>338</v>
      </c>
      <c r="Q24" s="8" t="s">
        <v>20</v>
      </c>
      <c r="R24" s="8" t="s">
        <v>20</v>
      </c>
      <c r="S24" s="8" t="s">
        <v>20</v>
      </c>
      <c r="T24" s="8" t="s">
        <v>99</v>
      </c>
      <c r="U24" s="8" t="s">
        <v>211</v>
      </c>
      <c r="V24" s="8" t="s">
        <v>182</v>
      </c>
      <c r="W24" s="8" t="s">
        <v>339</v>
      </c>
    </row>
    <row r="25" customFormat="false" ht="23.85" hidden="false" customHeight="false" outlineLevel="0" collapsed="false">
      <c r="A25" s="5" t="s">
        <v>115</v>
      </c>
      <c r="B25" s="5" t="s">
        <v>340</v>
      </c>
      <c r="C25" s="6" t="n">
        <v>34</v>
      </c>
      <c r="D25" s="8" t="s">
        <v>112</v>
      </c>
      <c r="E25" s="6" t="s">
        <v>114</v>
      </c>
      <c r="F25" s="6" t="s">
        <v>23</v>
      </c>
      <c r="G25" s="6" t="n">
        <v>10</v>
      </c>
      <c r="H25" s="8" t="s">
        <v>172</v>
      </c>
      <c r="I25" s="7" t="s">
        <v>173</v>
      </c>
      <c r="J25" s="5" t="s">
        <v>341</v>
      </c>
      <c r="K25" s="5" t="s">
        <v>342</v>
      </c>
      <c r="L25" s="6" t="s">
        <v>343</v>
      </c>
      <c r="M25" s="8" t="s">
        <v>344</v>
      </c>
      <c r="N25" s="6" t="s">
        <v>345</v>
      </c>
      <c r="O25" s="5" t="s">
        <v>346</v>
      </c>
      <c r="P25" s="5" t="s">
        <v>347</v>
      </c>
      <c r="Q25" s="8" t="s">
        <v>348</v>
      </c>
      <c r="R25" s="8" t="s">
        <v>348</v>
      </c>
      <c r="S25" s="8" t="s">
        <v>348</v>
      </c>
      <c r="T25" s="8" t="s">
        <v>112</v>
      </c>
      <c r="U25" s="8" t="s">
        <v>326</v>
      </c>
      <c r="V25" s="8" t="s">
        <v>182</v>
      </c>
      <c r="W25" s="8" t="s">
        <v>349</v>
      </c>
    </row>
    <row r="26" customFormat="false" ht="15" hidden="false" customHeight="false" outlineLevel="0" collapsed="false">
      <c r="A26" s="5" t="s">
        <v>350</v>
      </c>
      <c r="B26" s="5" t="s">
        <v>351</v>
      </c>
      <c r="C26" s="6" t="n">
        <v>34</v>
      </c>
      <c r="D26" s="8" t="s">
        <v>112</v>
      </c>
      <c r="E26" s="6" t="s">
        <v>114</v>
      </c>
      <c r="F26" s="6" t="s">
        <v>23</v>
      </c>
      <c r="G26" s="6" t="n">
        <v>20</v>
      </c>
      <c r="H26" s="8" t="s">
        <v>186</v>
      </c>
      <c r="I26" s="18" t="s">
        <v>187</v>
      </c>
      <c r="J26" s="5" t="s">
        <v>341</v>
      </c>
      <c r="K26" s="5" t="s">
        <v>352</v>
      </c>
      <c r="L26" s="6" t="s">
        <v>343</v>
      </c>
      <c r="M26" s="8" t="s">
        <v>344</v>
      </c>
      <c r="N26" s="6" t="s">
        <v>345</v>
      </c>
      <c r="O26" s="5" t="s">
        <v>353</v>
      </c>
      <c r="P26" s="5" t="s">
        <v>354</v>
      </c>
      <c r="Q26" s="8" t="s">
        <v>355</v>
      </c>
      <c r="R26" s="8" t="s">
        <v>355</v>
      </c>
      <c r="S26" s="8" t="s">
        <v>355</v>
      </c>
      <c r="T26" s="8" t="s">
        <v>112</v>
      </c>
      <c r="U26" s="8" t="s">
        <v>326</v>
      </c>
      <c r="V26" s="8" t="s">
        <v>182</v>
      </c>
      <c r="W26" s="8" t="s">
        <v>356</v>
      </c>
    </row>
    <row r="27" customFormat="false" ht="23.85" hidden="false" customHeight="false" outlineLevel="0" collapsed="false">
      <c r="A27" s="5" t="s">
        <v>123</v>
      </c>
      <c r="B27" s="5" t="s">
        <v>357</v>
      </c>
      <c r="C27" s="6" t="n">
        <v>39</v>
      </c>
      <c r="D27" s="8" t="s">
        <v>120</v>
      </c>
      <c r="E27" s="6" t="s">
        <v>122</v>
      </c>
      <c r="F27" s="6" t="s">
        <v>23</v>
      </c>
      <c r="G27" s="6" t="n">
        <v>10</v>
      </c>
      <c r="H27" s="8" t="s">
        <v>172</v>
      </c>
      <c r="I27" s="7" t="s">
        <v>173</v>
      </c>
      <c r="J27" s="5" t="s">
        <v>358</v>
      </c>
      <c r="K27" s="5" t="s">
        <v>359</v>
      </c>
      <c r="L27" s="6" t="s">
        <v>360</v>
      </c>
      <c r="M27" s="8" t="s">
        <v>361</v>
      </c>
      <c r="N27" s="6" t="s">
        <v>362</v>
      </c>
      <c r="O27" s="5" t="s">
        <v>363</v>
      </c>
      <c r="P27" s="5" t="s">
        <v>364</v>
      </c>
      <c r="Q27" s="8" t="s">
        <v>365</v>
      </c>
      <c r="R27" s="8" t="s">
        <v>365</v>
      </c>
      <c r="S27" s="8" t="s">
        <v>365</v>
      </c>
      <c r="T27" s="8" t="s">
        <v>120</v>
      </c>
      <c r="U27" s="8" t="s">
        <v>366</v>
      </c>
      <c r="V27" s="8" t="s">
        <v>182</v>
      </c>
      <c r="W27" s="8" t="s">
        <v>367</v>
      </c>
    </row>
    <row r="28" customFormat="false" ht="23.85" hidden="false" customHeight="false" outlineLevel="0" collapsed="false">
      <c r="A28" s="5" t="s">
        <v>368</v>
      </c>
      <c r="B28" s="5" t="s">
        <v>369</v>
      </c>
      <c r="C28" s="6" t="n">
        <v>39</v>
      </c>
      <c r="D28" s="8" t="s">
        <v>120</v>
      </c>
      <c r="E28" s="6" t="s">
        <v>122</v>
      </c>
      <c r="F28" s="6" t="s">
        <v>23</v>
      </c>
      <c r="G28" s="6" t="n">
        <v>20</v>
      </c>
      <c r="H28" s="8" t="s">
        <v>186</v>
      </c>
      <c r="I28" s="18" t="s">
        <v>187</v>
      </c>
      <c r="J28" s="5" t="s">
        <v>358</v>
      </c>
      <c r="K28" s="5" t="s">
        <v>370</v>
      </c>
      <c r="L28" s="6" t="s">
        <v>189</v>
      </c>
      <c r="M28" s="8" t="s">
        <v>371</v>
      </c>
      <c r="N28" s="6" t="s">
        <v>372</v>
      </c>
      <c r="O28" s="5" t="s">
        <v>373</v>
      </c>
      <c r="P28" s="5" t="s">
        <v>374</v>
      </c>
      <c r="Q28" s="8" t="s">
        <v>83</v>
      </c>
      <c r="R28" s="8" t="s">
        <v>83</v>
      </c>
      <c r="S28" s="8" t="s">
        <v>83</v>
      </c>
      <c r="T28" s="8" t="s">
        <v>120</v>
      </c>
      <c r="U28" s="8" t="s">
        <v>366</v>
      </c>
      <c r="V28" s="8" t="s">
        <v>182</v>
      </c>
      <c r="W28" s="8" t="s">
        <v>375</v>
      </c>
    </row>
    <row r="29" customFormat="false" ht="23.85" hidden="false" customHeight="false" outlineLevel="0" collapsed="false">
      <c r="A29" s="5" t="s">
        <v>130</v>
      </c>
      <c r="B29" s="5" t="s">
        <v>376</v>
      </c>
      <c r="C29" s="6" t="n">
        <v>9</v>
      </c>
      <c r="D29" s="8" t="s">
        <v>128</v>
      </c>
      <c r="E29" s="6" t="s">
        <v>22</v>
      </c>
      <c r="F29" s="6" t="s">
        <v>23</v>
      </c>
      <c r="G29" s="6" t="n">
        <v>10</v>
      </c>
      <c r="H29" s="8" t="s">
        <v>172</v>
      </c>
      <c r="I29" s="7" t="s">
        <v>173</v>
      </c>
      <c r="J29" s="5" t="s">
        <v>377</v>
      </c>
      <c r="K29" s="5" t="s">
        <v>378</v>
      </c>
      <c r="L29" s="6" t="s">
        <v>176</v>
      </c>
      <c r="M29" s="8" t="s">
        <v>177</v>
      </c>
      <c r="N29" s="6" t="s">
        <v>178</v>
      </c>
      <c r="O29" s="5" t="s">
        <v>379</v>
      </c>
      <c r="P29" s="5" t="s">
        <v>380</v>
      </c>
      <c r="Q29" s="8" t="s">
        <v>20</v>
      </c>
      <c r="R29" s="8" t="s">
        <v>20</v>
      </c>
      <c r="S29" s="8" t="s">
        <v>20</v>
      </c>
      <c r="T29" s="8" t="s">
        <v>128</v>
      </c>
      <c r="U29" s="8" t="s">
        <v>225</v>
      </c>
      <c r="V29" s="8" t="s">
        <v>381</v>
      </c>
      <c r="W29" s="8" t="s">
        <v>382</v>
      </c>
    </row>
    <row r="30" customFormat="false" ht="23.85" hidden="false" customHeight="false" outlineLevel="0" collapsed="false">
      <c r="A30" s="5" t="s">
        <v>137</v>
      </c>
      <c r="B30" s="5" t="s">
        <v>383</v>
      </c>
      <c r="C30" s="6" t="n">
        <v>9</v>
      </c>
      <c r="D30" s="8" t="s">
        <v>128</v>
      </c>
      <c r="E30" s="6" t="s">
        <v>45</v>
      </c>
      <c r="F30" s="6" t="s">
        <v>23</v>
      </c>
      <c r="G30" s="6" t="n">
        <v>10</v>
      </c>
      <c r="H30" s="8" t="s">
        <v>172</v>
      </c>
      <c r="I30" s="7" t="s">
        <v>173</v>
      </c>
      <c r="J30" s="5" t="s">
        <v>384</v>
      </c>
      <c r="K30" s="5" t="s">
        <v>385</v>
      </c>
      <c r="L30" s="6" t="s">
        <v>200</v>
      </c>
      <c r="M30" s="8" t="s">
        <v>201</v>
      </c>
      <c r="N30" s="6" t="s">
        <v>202</v>
      </c>
      <c r="O30" s="5" t="s">
        <v>386</v>
      </c>
      <c r="P30" s="5" t="s">
        <v>387</v>
      </c>
      <c r="Q30" s="8" t="s">
        <v>43</v>
      </c>
      <c r="R30" s="8" t="s">
        <v>43</v>
      </c>
      <c r="S30" s="8" t="s">
        <v>43</v>
      </c>
      <c r="T30" s="8" t="s">
        <v>128</v>
      </c>
      <c r="U30" s="8" t="s">
        <v>225</v>
      </c>
      <c r="V30" s="8" t="s">
        <v>381</v>
      </c>
      <c r="W30" s="8" t="s">
        <v>388</v>
      </c>
    </row>
    <row r="32" customFormat="false" ht="15" hidden="false" customHeight="false" outlineLevel="0" collapsed="false">
      <c r="A32" s="13" t="s">
        <v>389</v>
      </c>
    </row>
    <row r="33" customFormat="false" ht="30" hidden="false" customHeight="true" outlineLevel="0" collapsed="false">
      <c r="A33" s="20" t="s">
        <v>390</v>
      </c>
      <c r="B33" s="20"/>
      <c r="C33" s="20"/>
      <c r="D33" s="20"/>
      <c r="E33" s="20"/>
      <c r="F33" s="20"/>
      <c r="G33" s="20"/>
      <c r="H33" s="20"/>
      <c r="I33" s="20"/>
      <c r="J33" s="20"/>
    </row>
    <row r="34" customFormat="false" ht="30" hidden="false" customHeight="true" outlineLevel="0" collapsed="false">
      <c r="A34" s="20" t="s">
        <v>391</v>
      </c>
      <c r="B34" s="20"/>
      <c r="C34" s="20"/>
      <c r="D34" s="20"/>
      <c r="E34" s="20"/>
      <c r="F34" s="20"/>
      <c r="G34" s="20"/>
      <c r="H34" s="20"/>
      <c r="I34" s="20"/>
      <c r="J34" s="20"/>
    </row>
    <row r="35" customFormat="false" ht="30" hidden="false" customHeight="true" outlineLevel="0" collapsed="false">
      <c r="A35" s="20" t="s">
        <v>392</v>
      </c>
      <c r="B35" s="20"/>
      <c r="C35" s="20"/>
      <c r="D35" s="20"/>
      <c r="E35" s="20"/>
      <c r="F35" s="20"/>
      <c r="G35" s="20"/>
      <c r="H35" s="20"/>
      <c r="I35" s="20"/>
      <c r="J35" s="20"/>
    </row>
    <row r="36" customFormat="false" ht="30" hidden="false" customHeight="true" outlineLevel="0" collapsed="false">
      <c r="A36" s="20" t="s">
        <v>393</v>
      </c>
      <c r="B36" s="20"/>
      <c r="C36" s="20"/>
      <c r="D36" s="20"/>
      <c r="E36" s="20"/>
      <c r="F36" s="20"/>
      <c r="G36" s="20"/>
      <c r="H36" s="20"/>
      <c r="I36" s="20"/>
      <c r="J36" s="20"/>
    </row>
    <row r="37" customFormat="false" ht="30" hidden="false" customHeight="true" outlineLevel="0" collapsed="false">
      <c r="A37" s="20" t="s">
        <v>394</v>
      </c>
      <c r="B37" s="20"/>
      <c r="C37" s="20"/>
      <c r="D37" s="20"/>
      <c r="E37" s="20"/>
      <c r="F37" s="20"/>
      <c r="G37" s="20"/>
      <c r="H37" s="20"/>
      <c r="I37" s="20"/>
      <c r="J37" s="20"/>
    </row>
  </sheetData>
  <mergeCells count="5"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86"/>
  </cols>
  <sheetData>
    <row r="1" customFormat="false" ht="21.6" hidden="false" customHeight="false" outlineLevel="0" collapsed="false">
      <c r="A1" s="1" t="s">
        <v>395</v>
      </c>
    </row>
    <row r="2" customFormat="false" ht="15" hidden="false" customHeight="false" outlineLevel="0" collapsed="false">
      <c r="A2" s="2" t="s">
        <v>396</v>
      </c>
    </row>
    <row r="4" customFormat="false" ht="30" hidden="false" customHeight="true" outlineLevel="0" collapsed="false">
      <c r="A4" s="3" t="s">
        <v>397</v>
      </c>
      <c r="B4" s="3" t="s">
        <v>398</v>
      </c>
      <c r="C4" s="3" t="s">
        <v>399</v>
      </c>
    </row>
    <row r="5" customFormat="false" ht="43.5" hidden="false" customHeight="true" outlineLevel="0" collapsed="false">
      <c r="A5" s="9" t="s">
        <v>400</v>
      </c>
      <c r="B5" s="8" t="s">
        <v>401</v>
      </c>
      <c r="C5" s="8" t="s">
        <v>402</v>
      </c>
    </row>
    <row r="6" customFormat="false" ht="43.5" hidden="false" customHeight="true" outlineLevel="0" collapsed="false">
      <c r="A6" s="8" t="s">
        <v>5</v>
      </c>
      <c r="B6" s="9" t="s">
        <v>403</v>
      </c>
      <c r="C6" s="9" t="s">
        <v>404</v>
      </c>
    </row>
    <row r="7" customFormat="false" ht="43.5" hidden="false" customHeight="true" outlineLevel="0" collapsed="false">
      <c r="A7" s="8" t="s">
        <v>7</v>
      </c>
      <c r="B7" s="9" t="s">
        <v>403</v>
      </c>
      <c r="C7" s="9" t="s">
        <v>405</v>
      </c>
    </row>
    <row r="8" customFormat="false" ht="43.5" hidden="false" customHeight="true" outlineLevel="0" collapsed="false">
      <c r="A8" s="8" t="s">
        <v>406</v>
      </c>
      <c r="B8" s="8" t="s">
        <v>407</v>
      </c>
      <c r="C8" s="9" t="s">
        <v>408</v>
      </c>
    </row>
    <row r="9" customFormat="false" ht="43.5" hidden="false" customHeight="true" outlineLevel="0" collapsed="false">
      <c r="A9" s="21" t="s">
        <v>409</v>
      </c>
      <c r="B9" s="22" t="s">
        <v>410</v>
      </c>
      <c r="C9" s="9" t="s">
        <v>411</v>
      </c>
    </row>
    <row r="10" customFormat="false" ht="43.5" hidden="false" customHeight="true" outlineLevel="0" collapsed="false">
      <c r="A10" s="21" t="s">
        <v>412</v>
      </c>
      <c r="B10" s="22" t="s">
        <v>410</v>
      </c>
      <c r="C10" s="9" t="s">
        <v>413</v>
      </c>
    </row>
    <row r="11" customFormat="false" ht="43.5" hidden="false" customHeight="true" outlineLevel="0" collapsed="false">
      <c r="A11" s="21" t="s">
        <v>414</v>
      </c>
      <c r="B11" s="21" t="s">
        <v>415</v>
      </c>
      <c r="C11" s="9" t="s">
        <v>416</v>
      </c>
    </row>
    <row r="12" customFormat="false" ht="43.5" hidden="false" customHeight="true" outlineLevel="0" collapsed="false">
      <c r="A12" s="8" t="s">
        <v>417</v>
      </c>
      <c r="B12" s="9" t="s">
        <v>418</v>
      </c>
      <c r="C12" s="9" t="s">
        <v>419</v>
      </c>
    </row>
    <row r="13" customFormat="false" ht="43.5" hidden="false" customHeight="true" outlineLevel="0" collapsed="false">
      <c r="A13" s="8" t="s">
        <v>420</v>
      </c>
      <c r="B13" s="9" t="s">
        <v>421</v>
      </c>
      <c r="C13" s="9" t="s">
        <v>422</v>
      </c>
    </row>
    <row r="14" customFormat="false" ht="43.5" hidden="false" customHeight="true" outlineLevel="0" collapsed="false">
      <c r="A14" s="8" t="s">
        <v>423</v>
      </c>
      <c r="B14" s="9" t="s">
        <v>424</v>
      </c>
      <c r="C14" s="9" t="s">
        <v>425</v>
      </c>
    </row>
    <row r="16" customFormat="false" ht="15" hidden="false" customHeight="false" outlineLevel="0" collapsed="false">
      <c r="A16" s="13" t="s">
        <v>426</v>
      </c>
    </row>
    <row r="17" customFormat="false" ht="42" hidden="false" customHeight="true" outlineLevel="0" collapsed="false">
      <c r="A17" s="23" t="s">
        <v>427</v>
      </c>
      <c r="B17" s="20" t="s">
        <v>428</v>
      </c>
      <c r="C17" s="20"/>
    </row>
    <row r="18" customFormat="false" ht="42" hidden="false" customHeight="true" outlineLevel="0" collapsed="false">
      <c r="A18" s="23" t="s">
        <v>429</v>
      </c>
      <c r="B18" s="20" t="s">
        <v>430</v>
      </c>
      <c r="C18" s="20"/>
    </row>
    <row r="19" customFormat="false" ht="42" hidden="false" customHeight="true" outlineLevel="0" collapsed="false">
      <c r="A19" s="23" t="s">
        <v>431</v>
      </c>
      <c r="B19" s="20" t="s">
        <v>432</v>
      </c>
      <c r="C19" s="20"/>
    </row>
    <row r="20" customFormat="false" ht="42" hidden="false" customHeight="true" outlineLevel="0" collapsed="false">
      <c r="A20" s="23" t="s">
        <v>433</v>
      </c>
      <c r="B20" s="20" t="s">
        <v>434</v>
      </c>
      <c r="C20" s="20"/>
    </row>
    <row r="21" customFormat="false" ht="42" hidden="false" customHeight="true" outlineLevel="0" collapsed="false">
      <c r="A21" s="13" t="s">
        <v>435</v>
      </c>
      <c r="B21" s="20" t="s">
        <v>436</v>
      </c>
      <c r="C21" s="20"/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64"/>
  </cols>
  <sheetData>
    <row r="1" customFormat="false" ht="21.6" hidden="false" customHeight="false" outlineLevel="0" collapsed="false">
      <c r="A1" s="1" t="s">
        <v>437</v>
      </c>
    </row>
    <row r="2" customFormat="false" ht="15" hidden="false" customHeight="false" outlineLevel="0" collapsed="false">
      <c r="A2" s="2" t="s">
        <v>438</v>
      </c>
    </row>
    <row r="4" customFormat="false" ht="30" hidden="false" customHeight="true" outlineLevel="0" collapsed="false">
      <c r="A4" s="4" t="s">
        <v>9</v>
      </c>
      <c r="B4" s="3" t="s">
        <v>439</v>
      </c>
      <c r="C4" s="4" t="s">
        <v>440</v>
      </c>
      <c r="D4" s="4" t="s">
        <v>11</v>
      </c>
      <c r="E4" s="4" t="s">
        <v>441</v>
      </c>
      <c r="F4" s="4" t="s">
        <v>442</v>
      </c>
    </row>
    <row r="5" customFormat="false" ht="57.75" hidden="false" customHeight="true" outlineLevel="0" collapsed="false">
      <c r="A5" s="8" t="s">
        <v>24</v>
      </c>
      <c r="B5" s="8" t="s">
        <v>443</v>
      </c>
      <c r="C5" s="5" t="s">
        <v>25</v>
      </c>
      <c r="D5" s="8" t="s">
        <v>26</v>
      </c>
      <c r="E5" s="5" t="s">
        <v>444</v>
      </c>
      <c r="F5" s="8" t="s">
        <v>445</v>
      </c>
    </row>
    <row r="6" customFormat="false" ht="57.75" hidden="false" customHeight="true" outlineLevel="0" collapsed="false">
      <c r="A6" s="8" t="s">
        <v>24</v>
      </c>
      <c r="B6" s="8" t="s">
        <v>446</v>
      </c>
      <c r="C6" s="5" t="s">
        <v>25</v>
      </c>
      <c r="D6" s="8" t="s">
        <v>26</v>
      </c>
      <c r="E6" s="5" t="s">
        <v>447</v>
      </c>
      <c r="F6" s="9" t="s">
        <v>448</v>
      </c>
    </row>
    <row r="7" customFormat="false" ht="57.75" hidden="false" customHeight="true" outlineLevel="0" collapsed="false">
      <c r="A7" s="8" t="s">
        <v>32</v>
      </c>
      <c r="B7" s="8" t="s">
        <v>449</v>
      </c>
      <c r="C7" s="5" t="s">
        <v>25</v>
      </c>
      <c r="D7" s="8" t="s">
        <v>26</v>
      </c>
      <c r="E7" s="5" t="s">
        <v>450</v>
      </c>
      <c r="F7" s="8" t="s">
        <v>451</v>
      </c>
    </row>
    <row r="8" customFormat="false" ht="57.75" hidden="false" customHeight="true" outlineLevel="0" collapsed="false">
      <c r="A8" s="8" t="s">
        <v>41</v>
      </c>
      <c r="B8" s="8" t="s">
        <v>452</v>
      </c>
      <c r="C8" s="5" t="s">
        <v>25</v>
      </c>
      <c r="D8" s="8" t="s">
        <v>36</v>
      </c>
      <c r="E8" s="5" t="s">
        <v>453</v>
      </c>
      <c r="F8" s="9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24" t="s">
        <v>455</v>
      </c>
    </row>
    <row r="2" customFormat="false" ht="15" hidden="false" customHeight="false" outlineLevel="0" collapsed="false">
      <c r="A2" s="2" t="s">
        <v>456</v>
      </c>
    </row>
    <row r="4" customFormat="false" ht="30" hidden="false" customHeight="true" outlineLevel="0" collapsed="false">
      <c r="A4" s="3" t="s">
        <v>457</v>
      </c>
      <c r="B4" s="3" t="s">
        <v>458</v>
      </c>
    </row>
    <row r="5" customFormat="false" ht="25.5" hidden="false" customHeight="true" outlineLevel="0" collapsed="false">
      <c r="A5" s="25" t="s">
        <v>459</v>
      </c>
      <c r="B5" s="8" t="s">
        <v>460</v>
      </c>
    </row>
    <row r="6" customFormat="false" ht="25.5" hidden="false" customHeight="true" outlineLevel="0" collapsed="false">
      <c r="A6" s="26" t="s">
        <v>461</v>
      </c>
      <c r="B6" s="5" t="s">
        <v>462</v>
      </c>
    </row>
    <row r="7" customFormat="false" ht="25.5" hidden="false" customHeight="true" outlineLevel="0" collapsed="false">
      <c r="A7" s="26" t="s">
        <v>463</v>
      </c>
      <c r="B7" s="8" t="s">
        <v>464</v>
      </c>
    </row>
    <row r="8" customFormat="false" ht="25.5" hidden="false" customHeight="true" outlineLevel="0" collapsed="false">
      <c r="A8" s="26" t="s">
        <v>465</v>
      </c>
      <c r="B8" s="8" t="s">
        <v>466</v>
      </c>
    </row>
    <row r="9" customFormat="false" ht="25.5" hidden="false" customHeight="true" outlineLevel="0" collapsed="false">
      <c r="A9" s="25" t="s">
        <v>467</v>
      </c>
      <c r="B9" s="8" t="s">
        <v>468</v>
      </c>
    </row>
    <row r="10" customFormat="false" ht="45.75" hidden="false" customHeight="true" outlineLevel="0" collapsed="false">
      <c r="A10" s="25" t="s">
        <v>469</v>
      </c>
      <c r="B10" s="8" t="s">
        <v>470</v>
      </c>
    </row>
    <row r="11" customFormat="false" ht="45.75" hidden="false" customHeight="true" outlineLevel="0" collapsed="false">
      <c r="A11" s="26" t="s">
        <v>471</v>
      </c>
      <c r="B11" s="8" t="s">
        <v>472</v>
      </c>
    </row>
    <row r="12" customFormat="false" ht="45.75" hidden="false" customHeight="true" outlineLevel="0" collapsed="false">
      <c r="A12" s="25" t="s">
        <v>473</v>
      </c>
      <c r="B12" s="9" t="s">
        <v>474</v>
      </c>
    </row>
    <row r="13" customFormat="false" ht="25.5" hidden="false" customHeight="true" outlineLevel="0" collapsed="false">
      <c r="A13" s="25" t="s">
        <v>475</v>
      </c>
      <c r="B13" s="8" t="s">
        <v>476</v>
      </c>
    </row>
    <row r="14" customFormat="false" ht="45.75" hidden="false" customHeight="true" outlineLevel="0" collapsed="false">
      <c r="A14" s="25" t="s">
        <v>477</v>
      </c>
      <c r="B14" s="8" t="s">
        <v>478</v>
      </c>
    </row>
    <row r="15" customFormat="false" ht="45.75" hidden="false" customHeight="true" outlineLevel="0" collapsed="false">
      <c r="A15" s="25" t="s">
        <v>479</v>
      </c>
      <c r="B15" s="8" t="s">
        <v>480</v>
      </c>
    </row>
    <row r="16" customFormat="false" ht="45.75" hidden="false" customHeight="true" outlineLevel="0" collapsed="false">
      <c r="A16" s="25" t="s">
        <v>481</v>
      </c>
      <c r="B16" s="8" t="s">
        <v>482</v>
      </c>
    </row>
    <row r="17" customFormat="false" ht="45.75" hidden="false" customHeight="true" outlineLevel="0" collapsed="false">
      <c r="A17" s="25" t="s">
        <v>483</v>
      </c>
      <c r="B17" s="8" t="s">
        <v>484</v>
      </c>
    </row>
    <row r="18" customFormat="false" ht="45.75" hidden="false" customHeight="true" outlineLevel="0" collapsed="false">
      <c r="A18" s="25" t="s">
        <v>485</v>
      </c>
      <c r="B18" s="8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2026-09-11T06:02:34Z</dcterms:created>
  <dc:creator>openpyxl</dc:creator>
  <dc:description/>
  <dc:language>en-US</dc:language>
  <cp:lastModifiedBy/>
  <dcterms:modified xsi:type="dcterms:W3CDTF">2026-09-11T06:02:34Z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