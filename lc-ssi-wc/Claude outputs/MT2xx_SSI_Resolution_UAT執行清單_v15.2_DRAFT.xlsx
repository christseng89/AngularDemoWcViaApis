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xmlns:r="http://schemas.openxmlformats.org/officeDocument/2006/relationships" name="UAT 執行清單" sheetId="1" state="visible" r:id="rId1"/>
    <sheet xmlns:r="http://schemas.openxmlformats.org/officeDocument/2006/relationships" name="SSI 候選明細" sheetId="2" state="visible" r:id="rId2"/>
    <sheet xmlns:r="http://schemas.openxmlformats.org/officeDocument/2006/relationships" name="輸入指引" sheetId="3" state="visible" r:id="rId3"/>
    <sheet xmlns:r="http://schemas.openxmlformats.org/officeDocument/2006/relationships" name="情境對照" sheetId="4" state="visible" r:id="rId4"/>
    <sheet xmlns:r="http://schemas.openxmlformats.org/officeDocument/2006/relationships" name="證據與範圍" sheetId="5" state="visible" r:id="rId5"/>
    <sheet xmlns:r="http://schemas.openxmlformats.org/officeDocument/2006/relationships" name="UI Fail-Closed" sheetId="6" state="visible" r:id="rId6"/>
    <sheet xmlns:r="http://schemas.openxmlformats.org/officeDocument/2006/relationships" name="Scenario Behavior" sheetId="7" state="visible" r:id="rId7"/>
    <sheet xmlns:r="http://schemas.openxmlformats.org/officeDocument/2006/relationships" name="v15.2 新增案例" sheetId="8" state="visible" r:id="rId8"/>
    <sheet xmlns:r="http://schemas.openxmlformats.org/officeDocument/2006/relationships" name="未決項清單" sheetId="9" state="visible" r:id="rId9"/>
    <sheet xmlns:r="http://schemas.openxmlformats.org/officeDocument/2006/relationships" name="變更說明 v15.2" sheetId="10" state="visible" r:id="rId10"/>
  </sheets>
  <definedNames>
    <definedName name="_xlnm._FilterDatabase" localSheetId="0" hidden="1">'UAT 執行清單'!$A$4:$AD$52</definedName>
    <definedName name="_xlnm._FilterDatabase" localSheetId="5" hidden="1">'UI Fail-Closed'!$A$1:$F$5</definedName>
    <definedName name="_xlnm._FilterDatabase" localSheetId="6" hidden="1">'Scenario Behavior'!$A$1:$E$8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3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0"/>
      <b val="1"/>
      <color rgb="FF1F3864"/>
      <sz val="11"/>
    </font>
    <font>
      <name val="Noto Sans CJK SC"/>
      <family val="2"/>
      <b val="1"/>
      <color rgb="FF1F3864"/>
      <sz val="11"/>
    </font>
    <font>
      <name val="Times New Roman"/>
      <charset val="1"/>
      <family val="2"/>
      <color theme="1"/>
      <sz val="11"/>
    </font>
    <font>
      <name val="Noto Sans CJK SC"/>
      <family val="2"/>
      <i val="1"/>
      <color rgb="FF595959"/>
      <sz val="11"/>
    </font>
    <font>
      <name val="Times New Roman"/>
      <charset val="1"/>
      <family val="2"/>
      <i val="1"/>
      <color rgb="FF595959"/>
      <sz val="11"/>
    </font>
    <font>
      <name val="Noto Sans CJK SC"/>
      <family val="2"/>
      <b val="1"/>
      <color rgb="FFFFFFFF"/>
      <sz val="11"/>
    </font>
    <font>
      <name val="Times New Roman"/>
      <charset val="1"/>
      <family val="1"/>
      <b val="1"/>
      <color rgb="FFFFFFFF"/>
      <sz val="11"/>
    </font>
    <font>
      <name val="Times New Roman"/>
      <charset val="1"/>
      <family val="1"/>
      <sz val="11"/>
    </font>
    <font>
      <name val="Noto Sans CJK SC"/>
      <family val="2"/>
      <sz val="11"/>
    </font>
    <font>
      <name val="Noto Sans CJK SC"/>
      <family val="2"/>
      <b val="1"/>
      <sz val="11"/>
    </font>
    <font>
      <name val="Times New Roman"/>
      <charset val="1"/>
      <family val="0"/>
      <b val="1"/>
      <sz val="11"/>
    </font>
    <font>
      <name val="Times New Roman"/>
      <charset val="1"/>
      <family val="0"/>
      <sz val="11"/>
    </font>
    <font>
      <name val="Times New Roman"/>
      <charset val="1"/>
      <family val="2"/>
      <sz val="11"/>
    </font>
    <font>
      <name val="Times New Roman"/>
      <charset val="1"/>
      <family val="1"/>
      <color theme="1"/>
      <sz val="11"/>
    </font>
    <font>
      <name val="Times New Roman"/>
      <charset val="1"/>
      <family val="1"/>
      <b val="1"/>
      <color rgb="FF1F3864"/>
      <sz val="11"/>
    </font>
    <font>
      <name val="Times New Roman"/>
      <charset val="1"/>
      <family val="1"/>
      <i val="1"/>
      <color rgb="FF595959"/>
      <sz val="11"/>
    </font>
    <font>
      <name val="Times New Roman"/>
      <charset val="1"/>
      <family val="1"/>
      <b val="1"/>
      <sz val="11"/>
    </font>
    <font>
      <name val="Times New Roman"/>
      <charset val="1"/>
      <family val="0"/>
      <i val="1"/>
      <color rgb="FF595959"/>
      <sz val="11"/>
    </font>
    <font>
      <name val="Noto Sans CJK SC"/>
      <family val="2"/>
      <color theme="1"/>
      <sz val="11"/>
    </font>
    <font>
      <name val="Times New Roman"/>
      <charset val="1"/>
      <family val="0"/>
      <b val="1"/>
      <color rgb="FF1F3864"/>
      <sz val="15"/>
    </font>
    <font>
      <name val="Noto Sans CJK SC"/>
      <family val="2"/>
      <b val="1"/>
      <color rgb="FF1F3864"/>
      <sz val="15"/>
    </font>
    <font>
      <name val="Times New Roman"/>
      <charset val="1"/>
      <family val="0"/>
      <b val="1"/>
      <color rgb="FFFFFFFF"/>
      <sz val="11"/>
    </font>
    <font>
      <name val="Times New Roman"/>
      <family val="2"/>
      <i val="1"/>
      <color rgb="FF595959"/>
      <sz val="11"/>
    </font>
    <font>
      <name val="Times New Roman"/>
      <family val="2"/>
      <b val="1"/>
      <color rgb="FFFFFFFF"/>
      <sz val="11"/>
    </font>
    <font>
      <name val="Times New Roman"/>
      <family val="2"/>
      <sz val="11"/>
    </font>
    <font>
      <name val="Times New Roman"/>
      <family val="2"/>
      <b val="1"/>
      <sz val="11"/>
    </font>
    <font>
      <name val="Times New Roman"/>
      <family val="2"/>
      <b val="1"/>
      <color rgb="FF1F3864"/>
      <sz val="11"/>
    </font>
    <font>
      <name val="Times New Roman"/>
      <family val="2"/>
      <color theme="1"/>
      <sz val="11"/>
    </font>
    <font>
      <name val="Times New Roman"/>
      <family val="2"/>
      <b val="1"/>
      <color rgb="FF1F3864"/>
      <sz val="15"/>
    </font>
  </fonts>
  <fills count="13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EDEDED"/>
      </patternFill>
    </fill>
    <fill>
      <patternFill patternType="solid">
        <fgColor rgb="FFFCE4EC"/>
        <bgColor rgb="FFEDEDED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DEDED"/>
      </patternFill>
    </fill>
    <fill>
      <patternFill patternType="solid">
        <fgColor rgb="FFFFF2CC"/>
        <bgColor rgb="FFF2F2F2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EDEDED"/>
        <bgColor rgb="FFF2F2F2"/>
      </patternFill>
    </fill>
    <fill>
      <patternFill patternType="solid">
        <fgColor rgb="FFDDEBF7"/>
        <bgColor rgb="FFEDEDED"/>
      </patternFill>
    </fill>
    <fill>
      <patternFill patternType="solid">
        <fgColor rgb="FFC6E0B4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1" fillId="4" borderId="1" applyAlignment="1" pivotButton="0" quotePrefix="0" xfId="0">
      <alignment horizontal="general" vertical="top" wrapText="1"/>
    </xf>
    <xf numFmtId="0" fontId="11" fillId="5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4" fillId="6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164" fontId="14" fillId="6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top" wrapText="1"/>
    </xf>
    <xf numFmtId="0" fontId="11" fillId="7" borderId="1" applyAlignment="1" pivotButton="0" quotePrefix="0" xfId="0">
      <alignment horizontal="general" vertical="top" wrapText="1"/>
    </xf>
    <xf numFmtId="0" fontId="12" fillId="7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top" wrapText="1"/>
    </xf>
    <xf numFmtId="0" fontId="11" fillId="5" borderId="1" applyAlignment="1" pivotButton="0" quotePrefix="0" xfId="0">
      <alignment horizontal="general" vertical="top" wrapText="1"/>
    </xf>
    <xf numFmtId="0" fontId="12" fillId="5" borderId="1" applyAlignment="1" pivotButton="0" quotePrefix="0" xfId="0">
      <alignment horizontal="general" vertical="top" wrapText="1"/>
    </xf>
    <xf numFmtId="0" fontId="20" fillId="0" borderId="0" applyAlignment="1" pivotButton="0" quotePrefix="0" xfId="0">
      <alignment horizontal="general" vertical="bottom"/>
    </xf>
    <xf numFmtId="0" fontId="11" fillId="8" borderId="1" applyAlignment="1" pivotButton="0" quotePrefix="0" xfId="0">
      <alignment horizontal="general" vertical="top" wrapText="1"/>
    </xf>
    <xf numFmtId="0" fontId="12" fillId="8" borderId="1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top" wrapText="1"/>
    </xf>
    <xf numFmtId="0" fontId="20" fillId="0" borderId="1" applyAlignment="1" pivotButton="0" quotePrefix="0" xfId="0">
      <alignment horizontal="general" vertical="top" wrapText="1"/>
    </xf>
    <xf numFmtId="0" fontId="22" fillId="0" borderId="0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top" wrapText="1"/>
    </xf>
    <xf numFmtId="0" fontId="15" fillId="0" borderId="1" applyAlignment="1" pivotButton="0" quotePrefix="0" xfId="0">
      <alignment horizontal="general" vertical="top" wrapText="1"/>
    </xf>
    <xf numFmtId="0" fontId="10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top" wrapText="1"/>
    </xf>
    <xf numFmtId="0" fontId="22" fillId="0" borderId="0" applyAlignment="1" pivotButton="0" quotePrefix="0" xfId="0">
      <alignment horizontal="general" vertical="top" wrapText="1"/>
    </xf>
    <xf numFmtId="0" fontId="22" fillId="8" borderId="0" applyAlignment="1" pivotButton="0" quotePrefix="0" xfId="0">
      <alignment horizontal="general" vertical="top" wrapText="1"/>
    </xf>
    <xf numFmtId="0" fontId="23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5" fillId="2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general" vertical="top" wrapText="1"/>
    </xf>
    <xf numFmtId="0" fontId="15" fillId="0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general" vertical="top" wrapText="1"/>
    </xf>
    <xf numFmtId="0" fontId="15" fillId="11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general" vertical="top" wrapText="1"/>
    </xf>
    <xf numFmtId="0" fontId="15" fillId="12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14" fillId="1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7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general" vertical="top" wrapText="1"/>
    </xf>
    <xf numFmtId="0" fontId="28" fillId="0" borderId="1" applyAlignment="1" pivotButton="0" quotePrefix="0" xfId="0">
      <alignment horizontal="general" vertical="top" wrapText="1"/>
    </xf>
    <xf numFmtId="0" fontId="11" fillId="4" borderId="1" applyAlignment="1" pivotButton="0" quotePrefix="0" xfId="0">
      <alignment horizontal="general" vertical="top" wrapText="1"/>
    </xf>
    <xf numFmtId="0" fontId="11" fillId="5" borderId="1" applyAlignment="1" pivotButton="0" quotePrefix="0" xfId="0">
      <alignment horizontal="center" vertical="center"/>
    </xf>
    <xf numFmtId="0" fontId="29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14" fillId="6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164" fontId="14" fillId="6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top" wrapText="1"/>
    </xf>
    <xf numFmtId="0" fontId="11" fillId="7" borderId="1" applyAlignment="1" pivotButton="0" quotePrefix="0" xfId="0">
      <alignment horizontal="general" vertical="top" wrapText="1"/>
    </xf>
    <xf numFmtId="0" fontId="28" fillId="7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top" wrapText="1"/>
    </xf>
    <xf numFmtId="0" fontId="6" fillId="0" borderId="0" pivotButton="0" quotePrefix="0" xfId="0"/>
    <xf numFmtId="0" fontId="11" fillId="5" borderId="1" applyAlignment="1" pivotButton="0" quotePrefix="0" xfId="0">
      <alignment horizontal="general" vertical="top" wrapText="1"/>
    </xf>
    <xf numFmtId="0" fontId="28" fillId="5" borderId="1" applyAlignment="1" pivotButton="0" quotePrefix="0" xfId="0">
      <alignment horizontal="general" vertical="top" wrapText="1"/>
    </xf>
    <xf numFmtId="0" fontId="20" fillId="0" borderId="0" applyAlignment="1" pivotButton="0" quotePrefix="0" xfId="0">
      <alignment horizontal="general" vertical="bottom"/>
    </xf>
    <xf numFmtId="0" fontId="11" fillId="8" borderId="1" applyAlignment="1" pivotButton="0" quotePrefix="0" xfId="0">
      <alignment horizontal="general" vertical="top" wrapText="1"/>
    </xf>
    <xf numFmtId="0" fontId="28" fillId="8" borderId="1" applyAlignment="1" pivotButton="0" quotePrefix="0" xfId="0">
      <alignment horizontal="general" vertical="top" wrapText="1"/>
    </xf>
    <xf numFmtId="0" fontId="30" fillId="0" borderId="0" applyAlignment="1" pivotButton="0" quotePrefix="0" xfId="0">
      <alignment horizontal="general" vertical="bottom"/>
    </xf>
    <xf numFmtId="0" fontId="29" fillId="0" borderId="1" applyAlignment="1" pivotButton="0" quotePrefix="0" xfId="0">
      <alignment horizontal="general" vertical="top" wrapText="1"/>
    </xf>
    <xf numFmtId="0" fontId="20" fillId="0" borderId="1" applyAlignment="1" pivotButton="0" quotePrefix="0" xfId="0">
      <alignment horizontal="general" vertical="top" wrapText="1"/>
    </xf>
    <xf numFmtId="0" fontId="31" fillId="0" borderId="0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top" wrapText="1"/>
    </xf>
    <xf numFmtId="0" fontId="15" fillId="0" borderId="1" applyAlignment="1" pivotButton="0" quotePrefix="0" xfId="0">
      <alignment horizontal="general" vertical="top" wrapText="1"/>
    </xf>
    <xf numFmtId="0" fontId="10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top" wrapText="1"/>
    </xf>
    <xf numFmtId="0" fontId="31" fillId="0" borderId="0" applyAlignment="1" pivotButton="0" quotePrefix="0" xfId="0">
      <alignment horizontal="general" vertical="top" wrapText="1"/>
    </xf>
    <xf numFmtId="0" fontId="31" fillId="8" borderId="0" applyAlignment="1" pivotButton="0" quotePrefix="0" xfId="0">
      <alignment horizontal="general" vertical="top" wrapText="1"/>
    </xf>
    <xf numFmtId="0" fontId="23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5" fillId="2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general" vertical="top" wrapText="1"/>
    </xf>
    <xf numFmtId="0" fontId="15" fillId="0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general" vertical="top" wrapText="1"/>
    </xf>
    <xf numFmtId="0" fontId="15" fillId="11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general" vertical="top" wrapText="1"/>
    </xf>
    <xf numFmtId="0" fontId="15" fillId="12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14" fillId="1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EDEDED"/>
      <rgbColor rgb="FFFCE4E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7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E5" activeCellId="0" sqref="E5"/>
    </sheetView>
  </sheetViews>
  <sheetFormatPr baseColWidth="8" defaultColWidth="8.66796875" defaultRowHeight="14.25" zeroHeight="0" outlineLevelRow="0"/>
  <cols>
    <col width="13" customWidth="1" style="52" min="1" max="1"/>
    <col width="8" customWidth="1" style="52" min="2" max="2"/>
    <col width="22" customWidth="1" style="52" min="3" max="3"/>
    <col width="12" customWidth="1" style="52" min="4" max="4"/>
    <col width="24" customWidth="1" style="52" min="5" max="5"/>
    <col width="9" customWidth="1" style="52" min="6" max="7"/>
    <col width="11" customWidth="1" style="52" min="8" max="8"/>
    <col width="17" customWidth="1" style="52" min="9" max="9"/>
    <col width="20" customWidth="1" style="52" min="10" max="10"/>
    <col width="10" customWidth="1" style="52" min="11" max="11"/>
    <col width="22" customWidth="1" style="52" min="12" max="12"/>
    <col width="16" customWidth="1" style="52" min="13" max="13"/>
    <col width="7" customWidth="1" style="52" min="14" max="14"/>
    <col width="18" customWidth="1" style="52" min="15" max="15"/>
    <col width="46" customWidth="1" style="52" min="16" max="16"/>
    <col width="23" customWidth="1" style="52" min="17" max="30"/>
  </cols>
  <sheetData>
    <row r="1" ht="17.25" customHeight="1" s="53">
      <c r="A1" s="54" t="inlineStr">
        <is>
          <t>MT2xx SSI Resolution — UAT 執行清單 v15.2_DRAFT（候選版 · NOT APPROVED）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  <c r="J1" s="55" t="n"/>
      <c r="K1" s="55" t="n"/>
      <c r="L1" s="55" t="n"/>
      <c r="M1" s="55" t="n"/>
      <c r="N1" s="55" t="n"/>
      <c r="O1" s="55" t="n"/>
      <c r="P1" s="55" t="n"/>
      <c r="Q1" s="55" t="n"/>
      <c r="R1" s="55" t="n"/>
      <c r="S1" s="55" t="n"/>
      <c r="T1" s="55" t="n"/>
      <c r="U1" s="55" t="n"/>
      <c r="V1" s="55" t="n"/>
      <c r="W1" s="55" t="n"/>
      <c r="X1" s="55" t="n"/>
      <c r="Y1" s="55" t="n"/>
      <c r="Z1" s="55" t="n"/>
      <c r="AA1" s="55" t="n"/>
      <c r="AB1" s="55" t="n"/>
      <c r="AC1" s="55" t="n"/>
      <c r="AD1" s="55" t="n"/>
    </row>
    <row r="2" ht="17.15" customHeight="1" s="53">
      <c r="A2" s="56" t="inlineStr">
        <is>
          <t>基底：v15.1 官方清單（SHA-256 AB21F5BC…14B06），48 案矩陣逐列未動。snapshot 仍為 ssi-demo.v15.1-post-migration.sqlite（52A58C19…CEEF6）。v15.2 新增之 BOOK／generic／57A／provenance 案例一律列於「v15.2 新增案例」表，BA 核准前不計入本表分母。</t>
        </is>
      </c>
      <c r="B2" s="55" t="n"/>
      <c r="C2" s="55" t="n"/>
      <c r="D2" s="55" t="n"/>
      <c r="E2" s="55" t="n"/>
      <c r="F2" s="55" t="n"/>
      <c r="G2" s="55" t="n"/>
      <c r="H2" s="55" t="n"/>
      <c r="I2" s="55" t="n"/>
      <c r="J2" s="55" t="n"/>
      <c r="K2" s="55" t="n"/>
      <c r="L2" s="55" t="n"/>
      <c r="M2" s="55" t="n"/>
      <c r="N2" s="55" t="n"/>
      <c r="O2" s="55" t="n"/>
      <c r="P2" s="55" t="n"/>
      <c r="Q2" s="55" t="n"/>
      <c r="R2" s="55" t="n"/>
      <c r="S2" s="55" t="n"/>
      <c r="T2" s="55" t="n"/>
      <c r="U2" s="55" t="n"/>
      <c r="V2" s="55" t="n"/>
      <c r="W2" s="55" t="n"/>
      <c r="X2" s="55" t="n"/>
      <c r="Y2" s="55" t="n"/>
      <c r="Z2" s="55" t="n"/>
      <c r="AA2" s="55" t="n"/>
      <c r="AB2" s="55" t="n"/>
      <c r="AC2" s="55" t="n"/>
      <c r="AD2" s="55" t="n"/>
    </row>
    <row r="3" ht="14.25" customHeight="1" s="53">
      <c r="A3" s="55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5" t="n"/>
      <c r="P3" s="55" t="n"/>
      <c r="Q3" s="55" t="n"/>
      <c r="R3" s="55" t="n"/>
      <c r="S3" s="55" t="n"/>
      <c r="T3" s="55" t="n"/>
      <c r="U3" s="55" t="n"/>
      <c r="V3" s="55" t="n"/>
      <c r="W3" s="55" t="n"/>
      <c r="X3" s="55" t="n"/>
      <c r="Y3" s="55" t="n"/>
      <c r="Z3" s="55" t="n"/>
      <c r="AA3" s="55" t="n"/>
      <c r="AB3" s="55" t="n"/>
      <c r="AC3" s="55" t="n"/>
      <c r="AD3" s="55" t="n"/>
    </row>
    <row r="4" ht="26.25" customHeight="1" s="53">
      <c r="A4" s="57" t="inlineStr">
        <is>
          <t>案例編號</t>
        </is>
      </c>
      <c r="B4" s="57" t="inlineStr">
        <is>
          <t>矩陣列</t>
        </is>
      </c>
      <c r="C4" s="57" t="inlineStr">
        <is>
          <t>可執行性</t>
        </is>
      </c>
      <c r="D4" s="58" t="inlineStr">
        <is>
          <t>Counterparty</t>
        </is>
      </c>
      <c r="E4" s="57" t="inlineStr">
        <is>
          <t>對手行名稱</t>
        </is>
      </c>
      <c r="F4" s="58" t="inlineStr">
        <is>
          <t>Currency</t>
        </is>
      </c>
      <c r="G4" s="58" t="inlineStr">
        <is>
          <t>Booking</t>
        </is>
      </c>
      <c r="H4" s="58" t="inlineStr">
        <is>
          <t>Message</t>
        </is>
      </c>
      <c r="I4" s="58" t="inlineStr">
        <is>
          <t>ISO 20022 Target</t>
        </is>
      </c>
      <c r="J4" s="58" t="inlineStr">
        <is>
          <t>businessService</t>
        </is>
      </c>
      <c r="K4" s="57" t="inlineStr">
        <is>
          <t>預期 HTTP</t>
        </is>
      </c>
      <c r="L4" s="57" t="inlineStr">
        <is>
          <t>預期 code</t>
        </is>
      </c>
      <c r="M4" s="57" t="inlineStr">
        <is>
          <t>預期 chosen SSI</t>
        </is>
      </c>
      <c r="N4" s="57" t="inlineStr">
        <is>
          <t>候選數</t>
        </is>
      </c>
      <c r="O4" s="58" t="inlineStr">
        <is>
          <t>Settlement Country 建議</t>
        </is>
      </c>
      <c r="P4" s="57" t="inlineStr">
        <is>
          <t>備註</t>
        </is>
      </c>
      <c r="Q4" s="55" t="inlineStr">
        <is>
          <t>Resolver Baseline Profile</t>
        </is>
      </c>
      <c r="R4" s="55" t="inlineStr">
        <is>
          <t>Counterparty Bank Service ID</t>
        </is>
      </c>
      <c r="S4" s="55" t="inlineStr">
        <is>
          <t>Actual HTTP</t>
        </is>
      </c>
      <c r="T4" s="55" t="inlineStr">
        <is>
          <t>Actual code</t>
        </is>
      </c>
      <c r="U4" s="55" t="inlineStr">
        <is>
          <t>Actual chosen SSI / version</t>
        </is>
      </c>
      <c r="V4" s="55" t="inlineStr">
        <is>
          <t>Actual candidates</t>
        </is>
      </c>
      <c r="W4" s="55" t="inlineStr">
        <is>
          <t>Snapshot Hash</t>
        </is>
      </c>
      <c r="X4" s="55" t="inlineStr">
        <is>
          <t>Resolution Token</t>
        </is>
      </c>
      <c r="Y4" s="55" t="inlineStr">
        <is>
          <t>Correlation / Request ID</t>
        </is>
      </c>
      <c r="Z4" s="55" t="inlineStr">
        <is>
          <t>Tester</t>
        </is>
      </c>
      <c r="AA4" s="55" t="inlineStr">
        <is>
          <t>Execution Date</t>
        </is>
      </c>
      <c r="AB4" s="55" t="inlineStr">
        <is>
          <t>PASS / FAIL</t>
        </is>
      </c>
      <c r="AC4" s="55" t="inlineStr">
        <is>
          <t>Evidence Path</t>
        </is>
      </c>
      <c r="AD4" s="55" t="inlineStr">
        <is>
          <t>Screenshot / Defect ID</t>
        </is>
      </c>
    </row>
    <row r="5" ht="48.5" customHeight="1" s="53">
      <c r="A5" s="59" t="inlineStr">
        <is>
          <t>UAT-V151-001</t>
        </is>
      </c>
      <c r="B5" s="60" t="n">
        <v>1</v>
      </c>
      <c r="C5" s="61" t="inlineStr">
        <is>
          <t>EXECUTABLE NOW</t>
        </is>
      </c>
      <c r="D5" s="59" t="inlineStr">
        <is>
          <t>CITIUS33</t>
        </is>
      </c>
      <c r="E5" s="59" t="inlineStr">
        <is>
          <t>Citibank N.A.</t>
        </is>
      </c>
      <c r="F5" s="60" t="inlineStr">
        <is>
          <t>USD</t>
        </is>
      </c>
      <c r="G5" s="60" t="inlineStr">
        <is>
          <t>HK01</t>
        </is>
      </c>
      <c r="H5" s="59" t="inlineStr">
        <is>
          <t>MT202</t>
        </is>
      </c>
      <c r="I5" s="59" t="inlineStr">
        <is>
          <t>pacs.009.001.08</t>
        </is>
      </c>
      <c r="J5" s="59" t="inlineStr">
        <is>
          <t>swift.cbprplus.04</t>
        </is>
      </c>
      <c r="K5" s="60" t="n">
        <v>200</v>
      </c>
      <c r="L5" s="59" t="inlineStr">
        <is>
          <t>SSI_RESOLVED</t>
        </is>
      </c>
      <c r="M5" s="59" t="inlineStr">
        <is>
          <t>SSI-DEMO-001</t>
        </is>
      </c>
      <c r="N5" s="60" t="n">
        <v>2</v>
      </c>
      <c r="O5" s="62" t="inlineStr">
        <is>
          <t>留白（由 eligible route 推導）</t>
        </is>
      </c>
      <c r="P5" s="59" t="inlineStr">
        <is>
          <t>2 筆 eligible；依受控 rank keys 選 SSI-DEMO-001。須列出 alternatives，且帳號、agent、provenance 均來自同一 chosen SSI。</t>
        </is>
      </c>
      <c r="Q5" s="55" t="inlineStr">
        <is>
          <t>RESOLVER_BASELINE_MT202</t>
        </is>
      </c>
      <c r="R5" s="55" t="inlineStr">
        <is>
          <t>BANK-SVC-CITIUS33</t>
        </is>
      </c>
      <c r="S5" s="55" t="n"/>
      <c r="T5" s="55" t="n"/>
      <c r="U5" s="55" t="n"/>
      <c r="V5" s="55" t="n"/>
      <c r="W5" s="55" t="n"/>
      <c r="X5" s="55" t="n"/>
      <c r="Y5" s="55" t="n"/>
      <c r="Z5" s="55" t="n"/>
      <c r="AA5" s="55" t="n"/>
      <c r="AB5" s="55" t="n"/>
      <c r="AC5" s="55" t="n"/>
      <c r="AD5" s="55" t="n"/>
    </row>
    <row r="6" ht="48.5" customHeight="1" s="53">
      <c r="A6" s="59" t="inlineStr">
        <is>
          <t>UAT-V151-002</t>
        </is>
      </c>
      <c r="B6" s="60" t="n">
        <v>1</v>
      </c>
      <c r="C6" s="61" t="inlineStr">
        <is>
          <t>EXECUTABLE NOW</t>
        </is>
      </c>
      <c r="D6" s="59" t="inlineStr">
        <is>
          <t>CITIUS33</t>
        </is>
      </c>
      <c r="E6" s="59" t="inlineStr">
        <is>
          <t>Citibank N.A.</t>
        </is>
      </c>
      <c r="F6" s="60" t="inlineStr">
        <is>
          <t>USD</t>
        </is>
      </c>
      <c r="G6" s="60" t="inlineStr">
        <is>
          <t>HK01</t>
        </is>
      </c>
      <c r="H6" s="59" t="inlineStr">
        <is>
          <t>MT205</t>
        </is>
      </c>
      <c r="I6" s="59" t="inlineStr">
        <is>
          <t>pacs.009.001.08</t>
        </is>
      </c>
      <c r="J6" s="59" t="inlineStr">
        <is>
          <t>swift.cbprplus.04</t>
        </is>
      </c>
      <c r="K6" s="60" t="n">
        <v>200</v>
      </c>
      <c r="L6" s="59" t="inlineStr">
        <is>
          <t>SSI_RESOLVED</t>
        </is>
      </c>
      <c r="M6" s="59" t="inlineStr">
        <is>
          <t>SSI-DEMO-001</t>
        </is>
      </c>
      <c r="N6" s="60" t="n">
        <v>2</v>
      </c>
      <c r="O6" s="62" t="inlineStr">
        <is>
          <t>留白（由 eligible route 推導）</t>
        </is>
      </c>
      <c r="P6" s="59" t="inlineStr">
        <is>
          <t>2 筆 eligible；依受控 rank keys 選 SSI-DEMO-001。須列出 alternatives，且帳號、agent、provenance 均來自同一 chosen SSI。</t>
        </is>
      </c>
      <c r="Q6" s="55" t="inlineStr">
        <is>
          <t>RESOLVER_BASELINE_MT205</t>
        </is>
      </c>
      <c r="R6" s="55" t="inlineStr">
        <is>
          <t>BANK-SVC-CITIUS33</t>
        </is>
      </c>
      <c r="S6" s="55" t="n"/>
      <c r="T6" s="55" t="n"/>
      <c r="U6" s="55" t="n"/>
      <c r="V6" s="55" t="n"/>
      <c r="W6" s="55" t="n"/>
      <c r="X6" s="55" t="n"/>
      <c r="Y6" s="55" t="n"/>
      <c r="Z6" s="55" t="n"/>
      <c r="AA6" s="55" t="n"/>
      <c r="AB6" s="55" t="n"/>
      <c r="AC6" s="55" t="n"/>
      <c r="AD6" s="55" t="n"/>
    </row>
    <row r="7" ht="48.5" customHeight="1" s="53">
      <c r="A7" s="59" t="inlineStr">
        <is>
          <t>UAT-V151-003</t>
        </is>
      </c>
      <c r="B7" s="60" t="n">
        <v>1</v>
      </c>
      <c r="C7" s="61" t="inlineStr">
        <is>
          <t>EXECUTABLE NOW</t>
        </is>
      </c>
      <c r="D7" s="59" t="inlineStr">
        <is>
          <t>CITIUS33</t>
        </is>
      </c>
      <c r="E7" s="59" t="inlineStr">
        <is>
          <t>Citibank N.A.</t>
        </is>
      </c>
      <c r="F7" s="60" t="inlineStr">
        <is>
          <t>USD</t>
        </is>
      </c>
      <c r="G7" s="60" t="inlineStr">
        <is>
          <t>HK01</t>
        </is>
      </c>
      <c r="H7" s="59" t="inlineStr">
        <is>
          <t>MT202COV</t>
        </is>
      </c>
      <c r="I7" s="59" t="inlineStr">
        <is>
          <t>pacs.009.001.08</t>
        </is>
      </c>
      <c r="J7" s="59" t="inlineStr">
        <is>
          <t>swift.cbprplus.cov.04</t>
        </is>
      </c>
      <c r="K7" s="60" t="n">
        <v>200</v>
      </c>
      <c r="L7" s="59" t="inlineStr">
        <is>
          <t>SSI_RESOLVED</t>
        </is>
      </c>
      <c r="M7" s="59" t="inlineStr">
        <is>
          <t>SSI-DEMO-001</t>
        </is>
      </c>
      <c r="N7" s="60" t="n">
        <v>2</v>
      </c>
      <c r="O7" s="62" t="inlineStr">
        <is>
          <t>留白（由 eligible route 推導）</t>
        </is>
      </c>
      <c r="P7" s="59" t="inlineStr">
        <is>
          <t>2 筆 eligible；依受控 rank keys 選 SSI-DEMO-001。須列出 alternatives，且帳號、agent、provenance 均來自同一 chosen SSI。</t>
        </is>
      </c>
      <c r="Q7" s="55" t="inlineStr">
        <is>
          <t>RESOLVER_BASELINE_MT202COV</t>
        </is>
      </c>
      <c r="R7" s="55" t="inlineStr">
        <is>
          <t>BANK-SVC-CITIUS33</t>
        </is>
      </c>
      <c r="S7" s="55" t="n"/>
      <c r="T7" s="55" t="n"/>
      <c r="U7" s="55" t="n"/>
      <c r="V7" s="55" t="n"/>
      <c r="W7" s="55" t="n"/>
      <c r="X7" s="55" t="n"/>
      <c r="Y7" s="55" t="n"/>
      <c r="Z7" s="55" t="n"/>
      <c r="AA7" s="55" t="n"/>
      <c r="AB7" s="55" t="n"/>
      <c r="AC7" s="55" t="n"/>
      <c r="AD7" s="55" t="n"/>
    </row>
    <row r="8" ht="48.5" customHeight="1" s="53">
      <c r="A8" s="59" t="inlineStr">
        <is>
          <t>UAT-V151-004</t>
        </is>
      </c>
      <c r="B8" s="60" t="n">
        <v>1</v>
      </c>
      <c r="C8" s="61" t="inlineStr">
        <is>
          <t>EXECUTABLE NOW</t>
        </is>
      </c>
      <c r="D8" s="59" t="inlineStr">
        <is>
          <t>CITIUS33</t>
        </is>
      </c>
      <c r="E8" s="59" t="inlineStr">
        <is>
          <t>Citibank N.A.</t>
        </is>
      </c>
      <c r="F8" s="60" t="inlineStr">
        <is>
          <t>USD</t>
        </is>
      </c>
      <c r="G8" s="60" t="inlineStr">
        <is>
          <t>HK01</t>
        </is>
      </c>
      <c r="H8" s="59" t="inlineStr">
        <is>
          <t>MT205COV</t>
        </is>
      </c>
      <c r="I8" s="59" t="inlineStr">
        <is>
          <t>pacs.009.001.08</t>
        </is>
      </c>
      <c r="J8" s="59" t="inlineStr">
        <is>
          <t>swift.cbprplus.cov.04</t>
        </is>
      </c>
      <c r="K8" s="60" t="n">
        <v>200</v>
      </c>
      <c r="L8" s="59" t="inlineStr">
        <is>
          <t>SSI_RESOLVED</t>
        </is>
      </c>
      <c r="M8" s="59" t="inlineStr">
        <is>
          <t>SSI-DEMO-001</t>
        </is>
      </c>
      <c r="N8" s="60" t="n">
        <v>2</v>
      </c>
      <c r="O8" s="62" t="inlineStr">
        <is>
          <t>留白（由 eligible route 推導）</t>
        </is>
      </c>
      <c r="P8" s="59" t="inlineStr">
        <is>
          <t>2 筆 eligible；依受控 rank keys 選 SSI-DEMO-001。須列出 alternatives，且帳號、agent、provenance 均來自同一 chosen SSI。</t>
        </is>
      </c>
      <c r="Q8" s="55" t="inlineStr">
        <is>
          <t>RESOLVER_BASELINE_MT205COV</t>
        </is>
      </c>
      <c r="R8" s="55" t="inlineStr">
        <is>
          <t>BANK-SVC-CITIUS33</t>
        </is>
      </c>
      <c r="S8" s="55" t="n"/>
      <c r="T8" s="55" t="n"/>
      <c r="U8" s="55" t="n"/>
      <c r="V8" s="55" t="n"/>
      <c r="W8" s="55" t="n"/>
      <c r="X8" s="55" t="n"/>
      <c r="Y8" s="55" t="n"/>
      <c r="Z8" s="55" t="n"/>
      <c r="AA8" s="55" t="n"/>
      <c r="AB8" s="55" t="n"/>
      <c r="AC8" s="55" t="n"/>
      <c r="AD8" s="55" t="n"/>
    </row>
    <row r="9" ht="91.75" customHeight="1" s="53">
      <c r="A9" s="59" t="inlineStr">
        <is>
          <t>UAT-V151-005</t>
        </is>
      </c>
      <c r="B9" s="60" t="n">
        <v>2</v>
      </c>
      <c r="C9" s="61" t="inlineStr">
        <is>
          <t>EXECUTABLE NOW</t>
        </is>
      </c>
      <c r="D9" s="59" t="inlineStr">
        <is>
          <t>BARCGB22</t>
        </is>
      </c>
      <c r="E9" s="59" t="inlineStr">
        <is>
          <t>Barclays Bank PLC</t>
        </is>
      </c>
      <c r="F9" s="60" t="inlineStr">
        <is>
          <t>GBP</t>
        </is>
      </c>
      <c r="G9" s="60" t="inlineStr">
        <is>
          <t>HK01</t>
        </is>
      </c>
      <c r="H9" s="59" t="inlineStr">
        <is>
          <t>MT202</t>
        </is>
      </c>
      <c r="I9" s="59" t="inlineStr">
        <is>
          <t>pacs.009.001.08</t>
        </is>
      </c>
      <c r="J9" s="59" t="inlineStr">
        <is>
          <t>swift.cbprplus.04</t>
        </is>
      </c>
      <c r="K9" s="60" t="n">
        <v>422</v>
      </c>
      <c r="L9" s="59" t="inlineStr">
        <is>
          <t>SSI_AMBIGUOUS</t>
        </is>
      </c>
      <c r="M9" s="59" t="inlineStr">
        <is>
          <t>null（fail closed）</t>
        </is>
      </c>
      <c r="N9" s="60" t="n">
        <v>3</v>
      </c>
      <c r="O9" s="62" t="inlineStr">
        <is>
          <t>留白（由 eligible route 推導）</t>
        </is>
      </c>
      <c r="P9" s="62" t="inlineStr">
        <is>
          <t>受控 top-rank tie：SSI-DEMO-003／022 同為 priority 10、PRIMARY、NAMED_COUNTERPARTY。必須 fail closed；chosenRoute／agent roles／roleProvenance／messageComposerContext 為 null，candidates 無序，payloadGenerated=false。</t>
        </is>
      </c>
      <c r="Q9" s="55" t="inlineStr">
        <is>
          <t>RESOLVER_BASELINE_MT202</t>
        </is>
      </c>
      <c r="R9" s="55" t="inlineStr">
        <is>
          <t>BANK-SVC-BARCGB22</t>
        </is>
      </c>
      <c r="S9" s="55" t="n"/>
      <c r="T9" s="55" t="n"/>
      <c r="U9" s="55" t="n"/>
      <c r="V9" s="55" t="n"/>
      <c r="W9" s="55" t="n"/>
      <c r="X9" s="55" t="n"/>
      <c r="Y9" s="55" t="n"/>
      <c r="Z9" s="55" t="n"/>
      <c r="AA9" s="55" t="n"/>
      <c r="AB9" s="55" t="n"/>
      <c r="AC9" s="55" t="n"/>
      <c r="AD9" s="55" t="n"/>
    </row>
    <row r="10" ht="91.75" customHeight="1" s="53">
      <c r="A10" s="59" t="inlineStr">
        <is>
          <t>UAT-V151-006</t>
        </is>
      </c>
      <c r="B10" s="60" t="n">
        <v>2</v>
      </c>
      <c r="C10" s="61" t="inlineStr">
        <is>
          <t>EXECUTABLE NOW</t>
        </is>
      </c>
      <c r="D10" s="59" t="inlineStr">
        <is>
          <t>BARCGB22</t>
        </is>
      </c>
      <c r="E10" s="59" t="inlineStr">
        <is>
          <t>Barclays Bank PLC</t>
        </is>
      </c>
      <c r="F10" s="60" t="inlineStr">
        <is>
          <t>GBP</t>
        </is>
      </c>
      <c r="G10" s="60" t="inlineStr">
        <is>
          <t>HK01</t>
        </is>
      </c>
      <c r="H10" s="59" t="inlineStr">
        <is>
          <t>MT205</t>
        </is>
      </c>
      <c r="I10" s="59" t="inlineStr">
        <is>
          <t>pacs.009.001.08</t>
        </is>
      </c>
      <c r="J10" s="59" t="inlineStr">
        <is>
          <t>swift.cbprplus.04</t>
        </is>
      </c>
      <c r="K10" s="60" t="n">
        <v>422</v>
      </c>
      <c r="L10" s="59" t="inlineStr">
        <is>
          <t>SSI_AMBIGUOUS</t>
        </is>
      </c>
      <c r="M10" s="59" t="inlineStr">
        <is>
          <t>null（fail closed）</t>
        </is>
      </c>
      <c r="N10" s="60" t="n">
        <v>3</v>
      </c>
      <c r="O10" s="62" t="inlineStr">
        <is>
          <t>留白（由 eligible route 推導）</t>
        </is>
      </c>
      <c r="P10" s="62" t="inlineStr">
        <is>
          <t>受控 top-rank tie：SSI-DEMO-003／022 同為 priority 10、PRIMARY、NAMED_COUNTERPARTY。必須 fail closed；chosenRoute／agent roles／roleProvenance／messageComposerContext 為 null，candidates 無序，payloadGenerated=false。</t>
        </is>
      </c>
      <c r="Q10" s="55" t="inlineStr">
        <is>
          <t>RESOLVER_BASELINE_MT205</t>
        </is>
      </c>
      <c r="R10" s="55" t="inlineStr">
        <is>
          <t>BANK-SVC-BARCGB22</t>
        </is>
      </c>
      <c r="S10" s="55" t="n"/>
      <c r="T10" s="55" t="n"/>
      <c r="U10" s="55" t="n"/>
      <c r="V10" s="55" t="n"/>
      <c r="W10" s="55" t="n"/>
      <c r="X10" s="55" t="n"/>
      <c r="Y10" s="55" t="n"/>
      <c r="Z10" s="55" t="n"/>
      <c r="AA10" s="55" t="n"/>
      <c r="AB10" s="55" t="n"/>
      <c r="AC10" s="55" t="n"/>
      <c r="AD10" s="55" t="n"/>
    </row>
    <row r="11" ht="91.75" customHeight="1" s="53">
      <c r="A11" s="59" t="inlineStr">
        <is>
          <t>UAT-V151-007</t>
        </is>
      </c>
      <c r="B11" s="60" t="n">
        <v>2</v>
      </c>
      <c r="C11" s="61" t="inlineStr">
        <is>
          <t>EXECUTABLE NOW</t>
        </is>
      </c>
      <c r="D11" s="59" t="inlineStr">
        <is>
          <t>BARCGB22</t>
        </is>
      </c>
      <c r="E11" s="59" t="inlineStr">
        <is>
          <t>Barclays Bank PLC</t>
        </is>
      </c>
      <c r="F11" s="60" t="inlineStr">
        <is>
          <t>GBP</t>
        </is>
      </c>
      <c r="G11" s="60" t="inlineStr">
        <is>
          <t>HK01</t>
        </is>
      </c>
      <c r="H11" s="59" t="inlineStr">
        <is>
          <t>MT202COV</t>
        </is>
      </c>
      <c r="I11" s="59" t="inlineStr">
        <is>
          <t>pacs.009.001.08</t>
        </is>
      </c>
      <c r="J11" s="59" t="inlineStr">
        <is>
          <t>swift.cbprplus.cov.04</t>
        </is>
      </c>
      <c r="K11" s="60" t="n">
        <v>422</v>
      </c>
      <c r="L11" s="59" t="inlineStr">
        <is>
          <t>SSI_AMBIGUOUS</t>
        </is>
      </c>
      <c r="M11" s="59" t="inlineStr">
        <is>
          <t>null（fail closed）</t>
        </is>
      </c>
      <c r="N11" s="60" t="n">
        <v>3</v>
      </c>
      <c r="O11" s="62" t="inlineStr">
        <is>
          <t>留白（由 eligible route 推導）</t>
        </is>
      </c>
      <c r="P11" s="62" t="inlineStr">
        <is>
          <t>受控 top-rank tie：SSI-DEMO-003／022 同為 priority 10、PRIMARY、NAMED_COUNTERPARTY。必須 fail closed；chosenRoute／agent roles／roleProvenance／messageComposerContext 為 null，candidates 無序，payloadGenerated=false。</t>
        </is>
      </c>
      <c r="Q11" s="55" t="inlineStr">
        <is>
          <t>RESOLVER_BASELINE_MT202COV</t>
        </is>
      </c>
      <c r="R11" s="55" t="inlineStr">
        <is>
          <t>BANK-SVC-BARCGB22</t>
        </is>
      </c>
      <c r="S11" s="55" t="n"/>
      <c r="T11" s="55" t="n"/>
      <c r="U11" s="55" t="n"/>
      <c r="V11" s="55" t="n"/>
      <c r="W11" s="55" t="n"/>
      <c r="X11" s="55" t="n"/>
      <c r="Y11" s="55" t="n"/>
      <c r="Z11" s="55" t="n"/>
      <c r="AA11" s="55" t="n"/>
      <c r="AB11" s="55" t="n"/>
      <c r="AC11" s="55" t="n"/>
      <c r="AD11" s="55" t="n"/>
    </row>
    <row r="12" ht="91.75" customHeight="1" s="53">
      <c r="A12" s="59" t="inlineStr">
        <is>
          <t>UAT-V151-008</t>
        </is>
      </c>
      <c r="B12" s="60" t="n">
        <v>2</v>
      </c>
      <c r="C12" s="61" t="inlineStr">
        <is>
          <t>EXECUTABLE NOW</t>
        </is>
      </c>
      <c r="D12" s="59" t="inlineStr">
        <is>
          <t>BARCGB22</t>
        </is>
      </c>
      <c r="E12" s="59" t="inlineStr">
        <is>
          <t>Barclays Bank PLC</t>
        </is>
      </c>
      <c r="F12" s="60" t="inlineStr">
        <is>
          <t>GBP</t>
        </is>
      </c>
      <c r="G12" s="60" t="inlineStr">
        <is>
          <t>HK01</t>
        </is>
      </c>
      <c r="H12" s="59" t="inlineStr">
        <is>
          <t>MT205COV</t>
        </is>
      </c>
      <c r="I12" s="59" t="inlineStr">
        <is>
          <t>pacs.009.001.08</t>
        </is>
      </c>
      <c r="J12" s="59" t="inlineStr">
        <is>
          <t>swift.cbprplus.cov.04</t>
        </is>
      </c>
      <c r="K12" s="60" t="n">
        <v>422</v>
      </c>
      <c r="L12" s="59" t="inlineStr">
        <is>
          <t>SSI_AMBIGUOUS</t>
        </is>
      </c>
      <c r="M12" s="59" t="inlineStr">
        <is>
          <t>null（fail closed）</t>
        </is>
      </c>
      <c r="N12" s="60" t="n">
        <v>3</v>
      </c>
      <c r="O12" s="62" t="inlineStr">
        <is>
          <t>留白（由 eligible route 推導）</t>
        </is>
      </c>
      <c r="P12" s="62" t="inlineStr">
        <is>
          <t>受控 top-rank tie：SSI-DEMO-003／022 同為 priority 10、PRIMARY、NAMED_COUNTERPARTY。必須 fail closed；chosenRoute／agent roles／roleProvenance／messageComposerContext 為 null，candidates 無序，payloadGenerated=false。</t>
        </is>
      </c>
      <c r="Q12" s="55" t="inlineStr">
        <is>
          <t>RESOLVER_BASELINE_MT205COV</t>
        </is>
      </c>
      <c r="R12" s="55" t="inlineStr">
        <is>
          <t>BANK-SVC-BARCGB22</t>
        </is>
      </c>
      <c r="S12" s="55" t="n"/>
      <c r="T12" s="55" t="n"/>
      <c r="U12" s="55" t="n"/>
      <c r="V12" s="55" t="n"/>
      <c r="W12" s="55" t="n"/>
      <c r="X12" s="55" t="n"/>
      <c r="Y12" s="55" t="n"/>
      <c r="Z12" s="55" t="n"/>
      <c r="AA12" s="55" t="n"/>
      <c r="AB12" s="55" t="n"/>
      <c r="AC12" s="55" t="n"/>
      <c r="AD12" s="55" t="n"/>
    </row>
    <row r="13" ht="48.5" customHeight="1" s="53">
      <c r="A13" s="59" t="inlineStr">
        <is>
          <t>UAT-V151-009</t>
        </is>
      </c>
      <c r="B13" s="60" t="n">
        <v>3</v>
      </c>
      <c r="C13" s="61" t="inlineStr">
        <is>
          <t>EXECUTABLE NOW</t>
        </is>
      </c>
      <c r="D13" s="59" t="inlineStr">
        <is>
          <t>BARCGB22</t>
        </is>
      </c>
      <c r="E13" s="59" t="inlineStr">
        <is>
          <t>Barclays Bank PLC</t>
        </is>
      </c>
      <c r="F13" s="60" t="inlineStr">
        <is>
          <t>USD</t>
        </is>
      </c>
      <c r="G13" s="60" t="inlineStr">
        <is>
          <t>HK01</t>
        </is>
      </c>
      <c r="H13" s="59" t="inlineStr">
        <is>
          <t>MT202</t>
        </is>
      </c>
      <c r="I13" s="59" t="inlineStr">
        <is>
          <t>pacs.009.001.08</t>
        </is>
      </c>
      <c r="J13" s="59" t="inlineStr">
        <is>
          <t>swift.cbprplus.04</t>
        </is>
      </c>
      <c r="K13" s="60" t="n">
        <v>200</v>
      </c>
      <c r="L13" s="59" t="inlineStr">
        <is>
          <t>SSI_RESOLVED</t>
        </is>
      </c>
      <c r="M13" s="59" t="inlineStr">
        <is>
          <t>SSI-DEMO-024</t>
        </is>
      </c>
      <c r="N13" s="60" t="n">
        <v>1</v>
      </c>
      <c r="O13" s="62" t="inlineStr">
        <is>
          <t>留白（由 eligible route 推導）</t>
        </is>
      </c>
      <c r="P13" s="62" t="inlineStr">
        <is>
          <t>唯一候選；須驗 chosenRoute、roleProvenance、snapshotHash、resolutionToken 與幣別一致。</t>
        </is>
      </c>
      <c r="Q13" s="55" t="inlineStr">
        <is>
          <t>RESOLVER_BASELINE_MT202</t>
        </is>
      </c>
      <c r="R13" s="55" t="inlineStr">
        <is>
          <t>BANK-SVC-BARCGB22</t>
        </is>
      </c>
      <c r="S13" s="55" t="n"/>
      <c r="T13" s="55" t="n"/>
      <c r="U13" s="55" t="n"/>
      <c r="V13" s="55" t="n"/>
      <c r="W13" s="55" t="n"/>
      <c r="X13" s="55" t="n"/>
      <c r="Y13" s="55" t="n"/>
      <c r="Z13" s="55" t="n"/>
      <c r="AA13" s="55" t="n"/>
      <c r="AB13" s="55" t="n"/>
      <c r="AC13" s="55" t="n"/>
      <c r="AD13" s="55" t="n"/>
    </row>
    <row r="14" ht="48.5" customHeight="1" s="53">
      <c r="A14" s="59" t="inlineStr">
        <is>
          <t>UAT-V151-010</t>
        </is>
      </c>
      <c r="B14" s="60" t="n">
        <v>3</v>
      </c>
      <c r="C14" s="61" t="inlineStr">
        <is>
          <t>EXECUTABLE NOW</t>
        </is>
      </c>
      <c r="D14" s="59" t="inlineStr">
        <is>
          <t>BARCGB22</t>
        </is>
      </c>
      <c r="E14" s="59" t="inlineStr">
        <is>
          <t>Barclays Bank PLC</t>
        </is>
      </c>
      <c r="F14" s="60" t="inlineStr">
        <is>
          <t>USD</t>
        </is>
      </c>
      <c r="G14" s="60" t="inlineStr">
        <is>
          <t>HK01</t>
        </is>
      </c>
      <c r="H14" s="59" t="inlineStr">
        <is>
          <t>MT205</t>
        </is>
      </c>
      <c r="I14" s="59" t="inlineStr">
        <is>
          <t>pacs.009.001.08</t>
        </is>
      </c>
      <c r="J14" s="59" t="inlineStr">
        <is>
          <t>swift.cbprplus.04</t>
        </is>
      </c>
      <c r="K14" s="60" t="n">
        <v>200</v>
      </c>
      <c r="L14" s="59" t="inlineStr">
        <is>
          <t>SSI_RESOLVED</t>
        </is>
      </c>
      <c r="M14" s="59" t="inlineStr">
        <is>
          <t>SSI-DEMO-024</t>
        </is>
      </c>
      <c r="N14" s="60" t="n">
        <v>1</v>
      </c>
      <c r="O14" s="62" t="inlineStr">
        <is>
          <t>留白（由 eligible route 推導）</t>
        </is>
      </c>
      <c r="P14" s="62" t="inlineStr">
        <is>
          <t>唯一候選；須驗 chosenRoute、roleProvenance、snapshotHash、resolutionToken 與幣別一致。</t>
        </is>
      </c>
      <c r="Q14" s="55" t="inlineStr">
        <is>
          <t>RESOLVER_BASELINE_MT205</t>
        </is>
      </c>
      <c r="R14" s="55" t="inlineStr">
        <is>
          <t>BANK-SVC-BARCGB22</t>
        </is>
      </c>
      <c r="S14" s="55" t="n"/>
      <c r="T14" s="55" t="n"/>
      <c r="U14" s="55" t="n"/>
      <c r="V14" s="55" t="n"/>
      <c r="W14" s="55" t="n"/>
      <c r="X14" s="55" t="n"/>
      <c r="Y14" s="55" t="n"/>
      <c r="Z14" s="55" t="n"/>
      <c r="AA14" s="55" t="n"/>
      <c r="AB14" s="55" t="n"/>
      <c r="AC14" s="55" t="n"/>
      <c r="AD14" s="55" t="n"/>
    </row>
    <row r="15" ht="48.5" customHeight="1" s="53">
      <c r="A15" s="59" t="inlineStr">
        <is>
          <t>UAT-V151-011</t>
        </is>
      </c>
      <c r="B15" s="60" t="n">
        <v>3</v>
      </c>
      <c r="C15" s="61" t="inlineStr">
        <is>
          <t>EXECUTABLE NOW</t>
        </is>
      </c>
      <c r="D15" s="59" t="inlineStr">
        <is>
          <t>BARCGB22</t>
        </is>
      </c>
      <c r="E15" s="59" t="inlineStr">
        <is>
          <t>Barclays Bank PLC</t>
        </is>
      </c>
      <c r="F15" s="60" t="inlineStr">
        <is>
          <t>USD</t>
        </is>
      </c>
      <c r="G15" s="60" t="inlineStr">
        <is>
          <t>HK01</t>
        </is>
      </c>
      <c r="H15" s="59" t="inlineStr">
        <is>
          <t>MT202COV</t>
        </is>
      </c>
      <c r="I15" s="59" t="inlineStr">
        <is>
          <t>pacs.009.001.08</t>
        </is>
      </c>
      <c r="J15" s="59" t="inlineStr">
        <is>
          <t>swift.cbprplus.cov.04</t>
        </is>
      </c>
      <c r="K15" s="60" t="n">
        <v>200</v>
      </c>
      <c r="L15" s="59" t="inlineStr">
        <is>
          <t>SSI_RESOLVED</t>
        </is>
      </c>
      <c r="M15" s="59" t="inlineStr">
        <is>
          <t>SSI-DEMO-024</t>
        </is>
      </c>
      <c r="N15" s="60" t="n">
        <v>1</v>
      </c>
      <c r="O15" s="62" t="inlineStr">
        <is>
          <t>留白（由 eligible route 推導）</t>
        </is>
      </c>
      <c r="P15" s="62" t="inlineStr">
        <is>
          <t>唯一候選；須驗 chosenRoute、roleProvenance、snapshotHash、resolutionToken 與幣別一致。</t>
        </is>
      </c>
      <c r="Q15" s="55" t="inlineStr">
        <is>
          <t>RESOLVER_BASELINE_MT202COV</t>
        </is>
      </c>
      <c r="R15" s="55" t="inlineStr">
        <is>
          <t>BANK-SVC-BARCGB22</t>
        </is>
      </c>
      <c r="S15" s="55" t="n"/>
      <c r="T15" s="55" t="n"/>
      <c r="U15" s="55" t="n"/>
      <c r="V15" s="55" t="n"/>
      <c r="W15" s="55" t="n"/>
      <c r="X15" s="55" t="n"/>
      <c r="Y15" s="55" t="n"/>
      <c r="Z15" s="55" t="n"/>
      <c r="AA15" s="55" t="n"/>
      <c r="AB15" s="55" t="n"/>
      <c r="AC15" s="55" t="n"/>
      <c r="AD15" s="55" t="n"/>
    </row>
    <row r="16" ht="48.5" customHeight="1" s="53">
      <c r="A16" s="59" t="inlineStr">
        <is>
          <t>UAT-V151-012</t>
        </is>
      </c>
      <c r="B16" s="60" t="n">
        <v>3</v>
      </c>
      <c r="C16" s="61" t="inlineStr">
        <is>
          <t>EXECUTABLE NOW</t>
        </is>
      </c>
      <c r="D16" s="59" t="inlineStr">
        <is>
          <t>BARCGB22</t>
        </is>
      </c>
      <c r="E16" s="59" t="inlineStr">
        <is>
          <t>Barclays Bank PLC</t>
        </is>
      </c>
      <c r="F16" s="60" t="inlineStr">
        <is>
          <t>USD</t>
        </is>
      </c>
      <c r="G16" s="60" t="inlineStr">
        <is>
          <t>HK01</t>
        </is>
      </c>
      <c r="H16" s="59" t="inlineStr">
        <is>
          <t>MT205COV</t>
        </is>
      </c>
      <c r="I16" s="59" t="inlineStr">
        <is>
          <t>pacs.009.001.08</t>
        </is>
      </c>
      <c r="J16" s="59" t="inlineStr">
        <is>
          <t>swift.cbprplus.cov.04</t>
        </is>
      </c>
      <c r="K16" s="60" t="n">
        <v>200</v>
      </c>
      <c r="L16" s="59" t="inlineStr">
        <is>
          <t>SSI_RESOLVED</t>
        </is>
      </c>
      <c r="M16" s="59" t="inlineStr">
        <is>
          <t>SSI-DEMO-024</t>
        </is>
      </c>
      <c r="N16" s="60" t="n">
        <v>1</v>
      </c>
      <c r="O16" s="62" t="inlineStr">
        <is>
          <t>留白（由 eligible route 推導）</t>
        </is>
      </c>
      <c r="P16" s="62" t="inlineStr">
        <is>
          <t>唯一候選；須驗 chosenRoute、roleProvenance、snapshotHash、resolutionToken 與幣別一致。</t>
        </is>
      </c>
      <c r="Q16" s="55" t="inlineStr">
        <is>
          <t>RESOLVER_BASELINE_MT205COV</t>
        </is>
      </c>
      <c r="R16" s="55" t="inlineStr">
        <is>
          <t>BANK-SVC-BARCGB22</t>
        </is>
      </c>
      <c r="S16" s="55" t="n"/>
      <c r="T16" s="55" t="n"/>
      <c r="U16" s="55" t="n"/>
      <c r="V16" s="55" t="n"/>
      <c r="W16" s="55" t="n"/>
      <c r="X16" s="55" t="n"/>
      <c r="Y16" s="55" t="n"/>
      <c r="Z16" s="55" t="n"/>
      <c r="AA16" s="55" t="n"/>
      <c r="AB16" s="55" t="n"/>
      <c r="AC16" s="55" t="n"/>
      <c r="AD16" s="55" t="n"/>
    </row>
    <row r="17" ht="48.5" customHeight="1" s="53">
      <c r="A17" s="59" t="inlineStr">
        <is>
          <t>UAT-V151-013</t>
        </is>
      </c>
      <c r="B17" s="60" t="n">
        <v>4</v>
      </c>
      <c r="C17" s="61" t="inlineStr">
        <is>
          <t>EXECUTABLE NOW</t>
        </is>
      </c>
      <c r="D17" s="59" t="inlineStr">
        <is>
          <t>DEUTDEFF</t>
        </is>
      </c>
      <c r="E17" s="59" t="inlineStr">
        <is>
          <t>Deutsche Bank AG</t>
        </is>
      </c>
      <c r="F17" s="60" t="inlineStr">
        <is>
          <t>EUR</t>
        </is>
      </c>
      <c r="G17" s="60" t="inlineStr">
        <is>
          <t>HK01</t>
        </is>
      </c>
      <c r="H17" s="59" t="inlineStr">
        <is>
          <t>MT202</t>
        </is>
      </c>
      <c r="I17" s="59" t="inlineStr">
        <is>
          <t>pacs.009.001.08</t>
        </is>
      </c>
      <c r="J17" s="59" t="inlineStr">
        <is>
          <t>swift.cbprplus.04</t>
        </is>
      </c>
      <c r="K17" s="60" t="n">
        <v>200</v>
      </c>
      <c r="L17" s="59" t="inlineStr">
        <is>
          <t>SSI_RESOLVED</t>
        </is>
      </c>
      <c r="M17" s="59" t="inlineStr">
        <is>
          <t>SSI-DEMO-005</t>
        </is>
      </c>
      <c r="N17" s="60" t="n">
        <v>3</v>
      </c>
      <c r="O17" s="62" t="inlineStr">
        <is>
          <t>留白（由 eligible route 推導）</t>
        </is>
      </c>
      <c r="P17" s="59" t="inlineStr">
        <is>
          <t>3 筆 eligible；依受控 rank keys 選 SSI-DEMO-005。須列出 alternatives，且帳號、agent、provenance 均來自同一 chosen SSI。</t>
        </is>
      </c>
      <c r="Q17" s="55" t="inlineStr">
        <is>
          <t>RESOLVER_BASELINE_MT202</t>
        </is>
      </c>
      <c r="R17" s="55" t="inlineStr">
        <is>
          <t>BANK-SVC-DEUTDEFF</t>
        </is>
      </c>
      <c r="S17" s="55" t="n"/>
      <c r="T17" s="55" t="n"/>
      <c r="U17" s="55" t="n"/>
      <c r="V17" s="55" t="n"/>
      <c r="W17" s="55" t="n"/>
      <c r="X17" s="55" t="n"/>
      <c r="Y17" s="55" t="n"/>
      <c r="Z17" s="55" t="n"/>
      <c r="AA17" s="55" t="n"/>
      <c r="AB17" s="55" t="n"/>
      <c r="AC17" s="55" t="n"/>
      <c r="AD17" s="55" t="n"/>
    </row>
    <row r="18" ht="48.5" customHeight="1" s="53">
      <c r="A18" s="59" t="inlineStr">
        <is>
          <t>UAT-V151-014</t>
        </is>
      </c>
      <c r="B18" s="60" t="n">
        <v>4</v>
      </c>
      <c r="C18" s="61" t="inlineStr">
        <is>
          <t>EXECUTABLE NOW</t>
        </is>
      </c>
      <c r="D18" s="59" t="inlineStr">
        <is>
          <t>DEUTDEFF</t>
        </is>
      </c>
      <c r="E18" s="59" t="inlineStr">
        <is>
          <t>Deutsche Bank AG</t>
        </is>
      </c>
      <c r="F18" s="60" t="inlineStr">
        <is>
          <t>EUR</t>
        </is>
      </c>
      <c r="G18" s="60" t="inlineStr">
        <is>
          <t>HK01</t>
        </is>
      </c>
      <c r="H18" s="59" t="inlineStr">
        <is>
          <t>MT205</t>
        </is>
      </c>
      <c r="I18" s="59" t="inlineStr">
        <is>
          <t>pacs.009.001.08</t>
        </is>
      </c>
      <c r="J18" s="59" t="inlineStr">
        <is>
          <t>swift.cbprplus.04</t>
        </is>
      </c>
      <c r="K18" s="60" t="n">
        <v>200</v>
      </c>
      <c r="L18" s="59" t="inlineStr">
        <is>
          <t>SSI_RESOLVED</t>
        </is>
      </c>
      <c r="M18" s="59" t="inlineStr">
        <is>
          <t>SSI-DEMO-005</t>
        </is>
      </c>
      <c r="N18" s="60" t="n">
        <v>3</v>
      </c>
      <c r="O18" s="62" t="inlineStr">
        <is>
          <t>留白（由 eligible route 推導）</t>
        </is>
      </c>
      <c r="P18" s="59" t="inlineStr">
        <is>
          <t>3 筆 eligible；依受控 rank keys 選 SSI-DEMO-005。須列出 alternatives，且帳號、agent、provenance 均來自同一 chosen SSI。</t>
        </is>
      </c>
      <c r="Q18" s="55" t="inlineStr">
        <is>
          <t>RESOLVER_BASELINE_MT205</t>
        </is>
      </c>
      <c r="R18" s="55" t="inlineStr">
        <is>
          <t>BANK-SVC-DEUTDEFF</t>
        </is>
      </c>
      <c r="S18" s="55" t="n"/>
      <c r="T18" s="55" t="n"/>
      <c r="U18" s="55" t="n"/>
      <c r="V18" s="55" t="n"/>
      <c r="W18" s="55" t="n"/>
      <c r="X18" s="55" t="n"/>
      <c r="Y18" s="55" t="n"/>
      <c r="Z18" s="55" t="n"/>
      <c r="AA18" s="55" t="n"/>
      <c r="AB18" s="55" t="n"/>
      <c r="AC18" s="55" t="n"/>
      <c r="AD18" s="55" t="n"/>
    </row>
    <row r="19" ht="48.5" customHeight="1" s="53">
      <c r="A19" s="59" t="inlineStr">
        <is>
          <t>UAT-V151-015</t>
        </is>
      </c>
      <c r="B19" s="60" t="n">
        <v>4</v>
      </c>
      <c r="C19" s="61" t="inlineStr">
        <is>
          <t>EXECUTABLE NOW</t>
        </is>
      </c>
      <c r="D19" s="59" t="inlineStr">
        <is>
          <t>DEUTDEFF</t>
        </is>
      </c>
      <c r="E19" s="59" t="inlineStr">
        <is>
          <t>Deutsche Bank AG</t>
        </is>
      </c>
      <c r="F19" s="60" t="inlineStr">
        <is>
          <t>EUR</t>
        </is>
      </c>
      <c r="G19" s="60" t="inlineStr">
        <is>
          <t>HK01</t>
        </is>
      </c>
      <c r="H19" s="59" t="inlineStr">
        <is>
          <t>MT202COV</t>
        </is>
      </c>
      <c r="I19" s="59" t="inlineStr">
        <is>
          <t>pacs.009.001.08</t>
        </is>
      </c>
      <c r="J19" s="59" t="inlineStr">
        <is>
          <t>swift.cbprplus.cov.04</t>
        </is>
      </c>
      <c r="K19" s="60" t="n">
        <v>200</v>
      </c>
      <c r="L19" s="59" t="inlineStr">
        <is>
          <t>SSI_RESOLVED</t>
        </is>
      </c>
      <c r="M19" s="59" t="inlineStr">
        <is>
          <t>SSI-DEMO-005</t>
        </is>
      </c>
      <c r="N19" s="60" t="n">
        <v>3</v>
      </c>
      <c r="O19" s="62" t="inlineStr">
        <is>
          <t>留白（由 eligible route 推導）</t>
        </is>
      </c>
      <c r="P19" s="59" t="inlineStr">
        <is>
          <t>3 筆 eligible；依受控 rank keys 選 SSI-DEMO-005。須列出 alternatives，且帳號、agent、provenance 均來自同一 chosen SSI。</t>
        </is>
      </c>
      <c r="Q19" s="55" t="inlineStr">
        <is>
          <t>RESOLVER_BASELINE_MT202COV</t>
        </is>
      </c>
      <c r="R19" s="55" t="inlineStr">
        <is>
          <t>BANK-SVC-DEUTDEFF</t>
        </is>
      </c>
      <c r="S19" s="55" t="n"/>
      <c r="T19" s="55" t="n"/>
      <c r="U19" s="55" t="n"/>
      <c r="V19" s="55" t="n"/>
      <c r="W19" s="55" t="n"/>
      <c r="X19" s="55" t="n"/>
      <c r="Y19" s="55" t="n"/>
      <c r="Z19" s="55" t="n"/>
      <c r="AA19" s="55" t="n"/>
      <c r="AB19" s="55" t="n"/>
      <c r="AC19" s="55" t="n"/>
      <c r="AD19" s="55" t="n"/>
    </row>
    <row r="20" ht="48.5" customHeight="1" s="53">
      <c r="A20" s="59" t="inlineStr">
        <is>
          <t>UAT-V151-016</t>
        </is>
      </c>
      <c r="B20" s="60" t="n">
        <v>4</v>
      </c>
      <c r="C20" s="61" t="inlineStr">
        <is>
          <t>EXECUTABLE NOW</t>
        </is>
      </c>
      <c r="D20" s="59" t="inlineStr">
        <is>
          <t>DEUTDEFF</t>
        </is>
      </c>
      <c r="E20" s="59" t="inlineStr">
        <is>
          <t>Deutsche Bank AG</t>
        </is>
      </c>
      <c r="F20" s="60" t="inlineStr">
        <is>
          <t>EUR</t>
        </is>
      </c>
      <c r="G20" s="60" t="inlineStr">
        <is>
          <t>HK01</t>
        </is>
      </c>
      <c r="H20" s="59" t="inlineStr">
        <is>
          <t>MT205COV</t>
        </is>
      </c>
      <c r="I20" s="59" t="inlineStr">
        <is>
          <t>pacs.009.001.08</t>
        </is>
      </c>
      <c r="J20" s="59" t="inlineStr">
        <is>
          <t>swift.cbprplus.cov.04</t>
        </is>
      </c>
      <c r="K20" s="60" t="n">
        <v>200</v>
      </c>
      <c r="L20" s="59" t="inlineStr">
        <is>
          <t>SSI_RESOLVED</t>
        </is>
      </c>
      <c r="M20" s="59" t="inlineStr">
        <is>
          <t>SSI-DEMO-005</t>
        </is>
      </c>
      <c r="N20" s="60" t="n">
        <v>3</v>
      </c>
      <c r="O20" s="62" t="inlineStr">
        <is>
          <t>留白（由 eligible route 推導）</t>
        </is>
      </c>
      <c r="P20" s="59" t="inlineStr">
        <is>
          <t>3 筆 eligible；依受控 rank keys 選 SSI-DEMO-005。須列出 alternatives，且帳號、agent、provenance 均來自同一 chosen SSI。</t>
        </is>
      </c>
      <c r="Q20" s="55" t="inlineStr">
        <is>
          <t>RESOLVER_BASELINE_MT205COV</t>
        </is>
      </c>
      <c r="R20" s="55" t="inlineStr">
        <is>
          <t>BANK-SVC-DEUTDEFF</t>
        </is>
      </c>
      <c r="S20" s="55" t="n"/>
      <c r="T20" s="55" t="n"/>
      <c r="U20" s="55" t="n"/>
      <c r="V20" s="55" t="n"/>
      <c r="W20" s="55" t="n"/>
      <c r="X20" s="55" t="n"/>
      <c r="Y20" s="55" t="n"/>
      <c r="Z20" s="55" t="n"/>
      <c r="AA20" s="55" t="n"/>
      <c r="AB20" s="55" t="n"/>
      <c r="AC20" s="55" t="n"/>
      <c r="AD20" s="55" t="n"/>
    </row>
    <row r="21" ht="48.5" customHeight="1" s="53">
      <c r="A21" s="59" t="inlineStr">
        <is>
          <t>UAT-V151-017</t>
        </is>
      </c>
      <c r="B21" s="60" t="n">
        <v>5</v>
      </c>
      <c r="C21" s="61" t="inlineStr">
        <is>
          <t>EXECUTABLE NOW</t>
        </is>
      </c>
      <c r="D21" s="59" t="inlineStr">
        <is>
          <t>DBSSSGSG</t>
        </is>
      </c>
      <c r="E21" s="59" t="inlineStr">
        <is>
          <t>DBS Bank Ltd.</t>
        </is>
      </c>
      <c r="F21" s="60" t="inlineStr">
        <is>
          <t>SGD</t>
        </is>
      </c>
      <c r="G21" s="60" t="inlineStr">
        <is>
          <t>HK01</t>
        </is>
      </c>
      <c r="H21" s="59" t="inlineStr">
        <is>
          <t>MT202</t>
        </is>
      </c>
      <c r="I21" s="59" t="inlineStr">
        <is>
          <t>pacs.009.001.08</t>
        </is>
      </c>
      <c r="J21" s="59" t="inlineStr">
        <is>
          <t>swift.cbprplus.04</t>
        </is>
      </c>
      <c r="K21" s="60" t="n">
        <v>200</v>
      </c>
      <c r="L21" s="59" t="inlineStr">
        <is>
          <t>SSI_RESOLVED</t>
        </is>
      </c>
      <c r="M21" s="59" t="inlineStr">
        <is>
          <t>SSI-DEMO-007</t>
        </is>
      </c>
      <c r="N21" s="60" t="n">
        <v>2</v>
      </c>
      <c r="O21" s="62" t="inlineStr">
        <is>
          <t>留白（由 eligible route 推導）</t>
        </is>
      </c>
      <c r="P21" s="59" t="inlineStr">
        <is>
          <t>2 筆 eligible；依受控 rank keys 選 SSI-DEMO-007。須列出 alternatives，且帳號、agent、provenance 均來自同一 chosen SSI。</t>
        </is>
      </c>
      <c r="Q21" s="55" t="inlineStr">
        <is>
          <t>RESOLVER_BASELINE_MT202</t>
        </is>
      </c>
      <c r="R21" s="55" t="inlineStr">
        <is>
          <t>BANK-SVC-DBSSSGSG</t>
        </is>
      </c>
      <c r="S21" s="55" t="n"/>
      <c r="T21" s="55" t="n"/>
      <c r="U21" s="55" t="n"/>
      <c r="V21" s="55" t="n"/>
      <c r="W21" s="55" t="n"/>
      <c r="X21" s="55" t="n"/>
      <c r="Y21" s="55" t="n"/>
      <c r="Z21" s="55" t="n"/>
      <c r="AA21" s="55" t="n"/>
      <c r="AB21" s="55" t="n"/>
      <c r="AC21" s="55" t="n"/>
      <c r="AD21" s="55" t="n"/>
    </row>
    <row r="22" ht="48.5" customHeight="1" s="53">
      <c r="A22" s="59" t="inlineStr">
        <is>
          <t>UAT-V151-018</t>
        </is>
      </c>
      <c r="B22" s="60" t="n">
        <v>5</v>
      </c>
      <c r="C22" s="61" t="inlineStr">
        <is>
          <t>EXECUTABLE NOW</t>
        </is>
      </c>
      <c r="D22" s="59" t="inlineStr">
        <is>
          <t>DBSSSGSG</t>
        </is>
      </c>
      <c r="E22" s="59" t="inlineStr">
        <is>
          <t>DBS Bank Ltd.</t>
        </is>
      </c>
      <c r="F22" s="60" t="inlineStr">
        <is>
          <t>SGD</t>
        </is>
      </c>
      <c r="G22" s="60" t="inlineStr">
        <is>
          <t>HK01</t>
        </is>
      </c>
      <c r="H22" s="59" t="inlineStr">
        <is>
          <t>MT205</t>
        </is>
      </c>
      <c r="I22" s="59" t="inlineStr">
        <is>
          <t>pacs.009.001.08</t>
        </is>
      </c>
      <c r="J22" s="59" t="inlineStr">
        <is>
          <t>swift.cbprplus.04</t>
        </is>
      </c>
      <c r="K22" s="60" t="n">
        <v>200</v>
      </c>
      <c r="L22" s="59" t="inlineStr">
        <is>
          <t>SSI_RESOLVED</t>
        </is>
      </c>
      <c r="M22" s="59" t="inlineStr">
        <is>
          <t>SSI-DEMO-007</t>
        </is>
      </c>
      <c r="N22" s="60" t="n">
        <v>2</v>
      </c>
      <c r="O22" s="62" t="inlineStr">
        <is>
          <t>留白（由 eligible route 推導）</t>
        </is>
      </c>
      <c r="P22" s="59" t="inlineStr">
        <is>
          <t>2 筆 eligible；依受控 rank keys 選 SSI-DEMO-007。須列出 alternatives，且帳號、agent、provenance 均來自同一 chosen SSI。</t>
        </is>
      </c>
      <c r="Q22" s="55" t="inlineStr">
        <is>
          <t>RESOLVER_BASELINE_MT205</t>
        </is>
      </c>
      <c r="R22" s="55" t="inlineStr">
        <is>
          <t>BANK-SVC-DBSSSGSG</t>
        </is>
      </c>
      <c r="S22" s="55" t="n"/>
      <c r="T22" s="55" t="n"/>
      <c r="U22" s="55" t="n"/>
      <c r="V22" s="55" t="n"/>
      <c r="W22" s="55" t="n"/>
      <c r="X22" s="55" t="n"/>
      <c r="Y22" s="55" t="n"/>
      <c r="Z22" s="55" t="n"/>
      <c r="AA22" s="55" t="n"/>
      <c r="AB22" s="55" t="n"/>
      <c r="AC22" s="55" t="n"/>
      <c r="AD22" s="55" t="n"/>
    </row>
    <row r="23" ht="48.5" customHeight="1" s="53">
      <c r="A23" s="59" t="inlineStr">
        <is>
          <t>UAT-V151-019</t>
        </is>
      </c>
      <c r="B23" s="60" t="n">
        <v>5</v>
      </c>
      <c r="C23" s="61" t="inlineStr">
        <is>
          <t>EXECUTABLE NOW</t>
        </is>
      </c>
      <c r="D23" s="59" t="inlineStr">
        <is>
          <t>DBSSSGSG</t>
        </is>
      </c>
      <c r="E23" s="59" t="inlineStr">
        <is>
          <t>DBS Bank Ltd.</t>
        </is>
      </c>
      <c r="F23" s="60" t="inlineStr">
        <is>
          <t>SGD</t>
        </is>
      </c>
      <c r="G23" s="60" t="inlineStr">
        <is>
          <t>HK01</t>
        </is>
      </c>
      <c r="H23" s="59" t="inlineStr">
        <is>
          <t>MT202COV</t>
        </is>
      </c>
      <c r="I23" s="59" t="inlineStr">
        <is>
          <t>pacs.009.001.08</t>
        </is>
      </c>
      <c r="J23" s="59" t="inlineStr">
        <is>
          <t>swift.cbprplus.cov.04</t>
        </is>
      </c>
      <c r="K23" s="60" t="n">
        <v>200</v>
      </c>
      <c r="L23" s="59" t="inlineStr">
        <is>
          <t>SSI_RESOLVED</t>
        </is>
      </c>
      <c r="M23" s="59" t="inlineStr">
        <is>
          <t>SSI-DEMO-007</t>
        </is>
      </c>
      <c r="N23" s="60" t="n">
        <v>2</v>
      </c>
      <c r="O23" s="62" t="inlineStr">
        <is>
          <t>留白（由 eligible route 推導）</t>
        </is>
      </c>
      <c r="P23" s="59" t="inlineStr">
        <is>
          <t>2 筆 eligible；依受控 rank keys 選 SSI-DEMO-007。須列出 alternatives，且帳號、agent、provenance 均來自同一 chosen SSI。</t>
        </is>
      </c>
      <c r="Q23" s="55" t="inlineStr">
        <is>
          <t>RESOLVER_BASELINE_MT202COV</t>
        </is>
      </c>
      <c r="R23" s="55" t="inlineStr">
        <is>
          <t>BANK-SVC-DBSSSGSG</t>
        </is>
      </c>
      <c r="S23" s="55" t="n"/>
      <c r="T23" s="55" t="n"/>
      <c r="U23" s="55" t="n"/>
      <c r="V23" s="55" t="n"/>
      <c r="W23" s="55" t="n"/>
      <c r="X23" s="55" t="n"/>
      <c r="Y23" s="55" t="n"/>
      <c r="Z23" s="55" t="n"/>
      <c r="AA23" s="55" t="n"/>
      <c r="AB23" s="55" t="n"/>
      <c r="AC23" s="55" t="n"/>
      <c r="AD23" s="55" t="n"/>
    </row>
    <row r="24" ht="48.5" customHeight="1" s="53">
      <c r="A24" s="59" t="inlineStr">
        <is>
          <t>UAT-V151-020</t>
        </is>
      </c>
      <c r="B24" s="60" t="n">
        <v>5</v>
      </c>
      <c r="C24" s="61" t="inlineStr">
        <is>
          <t>EXECUTABLE NOW</t>
        </is>
      </c>
      <c r="D24" s="59" t="inlineStr">
        <is>
          <t>DBSSSGSG</t>
        </is>
      </c>
      <c r="E24" s="59" t="inlineStr">
        <is>
          <t>DBS Bank Ltd.</t>
        </is>
      </c>
      <c r="F24" s="60" t="inlineStr">
        <is>
          <t>SGD</t>
        </is>
      </c>
      <c r="G24" s="60" t="inlineStr">
        <is>
          <t>HK01</t>
        </is>
      </c>
      <c r="H24" s="59" t="inlineStr">
        <is>
          <t>MT205COV</t>
        </is>
      </c>
      <c r="I24" s="59" t="inlineStr">
        <is>
          <t>pacs.009.001.08</t>
        </is>
      </c>
      <c r="J24" s="59" t="inlineStr">
        <is>
          <t>swift.cbprplus.cov.04</t>
        </is>
      </c>
      <c r="K24" s="60" t="n">
        <v>200</v>
      </c>
      <c r="L24" s="59" t="inlineStr">
        <is>
          <t>SSI_RESOLVED</t>
        </is>
      </c>
      <c r="M24" s="59" t="inlineStr">
        <is>
          <t>SSI-DEMO-007</t>
        </is>
      </c>
      <c r="N24" s="60" t="n">
        <v>2</v>
      </c>
      <c r="O24" s="62" t="inlineStr">
        <is>
          <t>留白（由 eligible route 推導）</t>
        </is>
      </c>
      <c r="P24" s="59" t="inlineStr">
        <is>
          <t>2 筆 eligible；依受控 rank keys 選 SSI-DEMO-007。須列出 alternatives，且帳號、agent、provenance 均來自同一 chosen SSI。</t>
        </is>
      </c>
      <c r="Q24" s="55" t="inlineStr">
        <is>
          <t>RESOLVER_BASELINE_MT205COV</t>
        </is>
      </c>
      <c r="R24" s="55" t="inlineStr">
        <is>
          <t>BANK-SVC-DBSSSGSG</t>
        </is>
      </c>
      <c r="S24" s="55" t="n"/>
      <c r="T24" s="55" t="n"/>
      <c r="U24" s="55" t="n"/>
      <c r="V24" s="55" t="n"/>
      <c r="W24" s="55" t="n"/>
      <c r="X24" s="55" t="n"/>
      <c r="Y24" s="55" t="n"/>
      <c r="Z24" s="55" t="n"/>
      <c r="AA24" s="55" t="n"/>
      <c r="AB24" s="55" t="n"/>
      <c r="AC24" s="55" t="n"/>
      <c r="AD24" s="55" t="n"/>
    </row>
    <row r="25" ht="48.5" customHeight="1" s="53">
      <c r="A25" s="59" t="inlineStr">
        <is>
          <t>UAT-V151-021</t>
        </is>
      </c>
      <c r="B25" s="60" t="n">
        <v>6</v>
      </c>
      <c r="C25" s="61" t="inlineStr">
        <is>
          <t>EXECUTABLE NOW</t>
        </is>
      </c>
      <c r="D25" s="59" t="inlineStr">
        <is>
          <t>BOTKJPJT</t>
        </is>
      </c>
      <c r="E25" s="59" t="inlineStr">
        <is>
          <t>MUFG Bank, Ltd.</t>
        </is>
      </c>
      <c r="F25" s="60" t="inlineStr">
        <is>
          <t>JPY</t>
        </is>
      </c>
      <c r="G25" s="60" t="inlineStr">
        <is>
          <t>HK01</t>
        </is>
      </c>
      <c r="H25" s="59" t="inlineStr">
        <is>
          <t>MT202</t>
        </is>
      </c>
      <c r="I25" s="59" t="inlineStr">
        <is>
          <t>pacs.009.001.08</t>
        </is>
      </c>
      <c r="J25" s="59" t="inlineStr">
        <is>
          <t>swift.cbprplus.04</t>
        </is>
      </c>
      <c r="K25" s="60" t="n">
        <v>200</v>
      </c>
      <c r="L25" s="59" t="inlineStr">
        <is>
          <t>SSI_RESOLVED</t>
        </is>
      </c>
      <c r="M25" s="59" t="inlineStr">
        <is>
          <t>SSI-DEMO-009</t>
        </is>
      </c>
      <c r="N25" s="60" t="n">
        <v>2</v>
      </c>
      <c r="O25" s="62" t="inlineStr">
        <is>
          <t>留白（由 eligible route 推導）</t>
        </is>
      </c>
      <c r="P25" s="59" t="inlineStr">
        <is>
          <t>2 筆 eligible；依受控 rank keys 選 SSI-DEMO-009。須列出 alternatives，且帳號、agent、provenance 均來自同一 chosen SSI。</t>
        </is>
      </c>
      <c r="Q25" s="55" t="inlineStr">
        <is>
          <t>RESOLVER_BASELINE_MT202</t>
        </is>
      </c>
      <c r="R25" s="55" t="inlineStr">
        <is>
          <t>BANK-SVC-BOTKJPJT</t>
        </is>
      </c>
      <c r="S25" s="55" t="n"/>
      <c r="T25" s="55" t="n"/>
      <c r="U25" s="55" t="n"/>
      <c r="V25" s="55" t="n"/>
      <c r="W25" s="55" t="n"/>
      <c r="X25" s="55" t="n"/>
      <c r="Y25" s="55" t="n"/>
      <c r="Z25" s="55" t="n"/>
      <c r="AA25" s="55" t="n"/>
      <c r="AB25" s="55" t="n"/>
      <c r="AC25" s="55" t="n"/>
      <c r="AD25" s="55" t="n"/>
    </row>
    <row r="26" ht="48.5" customHeight="1" s="53">
      <c r="A26" s="59" t="inlineStr">
        <is>
          <t>UAT-V151-022</t>
        </is>
      </c>
      <c r="B26" s="60" t="n">
        <v>6</v>
      </c>
      <c r="C26" s="61" t="inlineStr">
        <is>
          <t>EXECUTABLE NOW</t>
        </is>
      </c>
      <c r="D26" s="59" t="inlineStr">
        <is>
          <t>BOTKJPJT</t>
        </is>
      </c>
      <c r="E26" s="59" t="inlineStr">
        <is>
          <t>MUFG Bank, Ltd.</t>
        </is>
      </c>
      <c r="F26" s="60" t="inlineStr">
        <is>
          <t>JPY</t>
        </is>
      </c>
      <c r="G26" s="60" t="inlineStr">
        <is>
          <t>HK01</t>
        </is>
      </c>
      <c r="H26" s="59" t="inlineStr">
        <is>
          <t>MT205</t>
        </is>
      </c>
      <c r="I26" s="59" t="inlineStr">
        <is>
          <t>pacs.009.001.08</t>
        </is>
      </c>
      <c r="J26" s="59" t="inlineStr">
        <is>
          <t>swift.cbprplus.04</t>
        </is>
      </c>
      <c r="K26" s="60" t="n">
        <v>200</v>
      </c>
      <c r="L26" s="59" t="inlineStr">
        <is>
          <t>SSI_RESOLVED</t>
        </is>
      </c>
      <c r="M26" s="59" t="inlineStr">
        <is>
          <t>SSI-DEMO-009</t>
        </is>
      </c>
      <c r="N26" s="60" t="n">
        <v>2</v>
      </c>
      <c r="O26" s="62" t="inlineStr">
        <is>
          <t>留白（由 eligible route 推導）</t>
        </is>
      </c>
      <c r="P26" s="59" t="inlineStr">
        <is>
          <t>2 筆 eligible；依受控 rank keys 選 SSI-DEMO-009。須列出 alternatives，且帳號、agent、provenance 均來自同一 chosen SSI。</t>
        </is>
      </c>
      <c r="Q26" s="55" t="inlineStr">
        <is>
          <t>RESOLVER_BASELINE_MT205</t>
        </is>
      </c>
      <c r="R26" s="55" t="inlineStr">
        <is>
          <t>BANK-SVC-BOTKJPJT</t>
        </is>
      </c>
      <c r="S26" s="55" t="n"/>
      <c r="T26" s="55" t="n"/>
      <c r="U26" s="55" t="n"/>
      <c r="V26" s="55" t="n"/>
      <c r="W26" s="55" t="n"/>
      <c r="X26" s="55" t="n"/>
      <c r="Y26" s="55" t="n"/>
      <c r="Z26" s="55" t="n"/>
      <c r="AA26" s="55" t="n"/>
      <c r="AB26" s="55" t="n"/>
      <c r="AC26" s="55" t="n"/>
      <c r="AD26" s="55" t="n"/>
    </row>
    <row r="27" ht="48.5" customHeight="1" s="53">
      <c r="A27" s="59" t="inlineStr">
        <is>
          <t>UAT-V151-023</t>
        </is>
      </c>
      <c r="B27" s="60" t="n">
        <v>6</v>
      </c>
      <c r="C27" s="61" t="inlineStr">
        <is>
          <t>EXECUTABLE NOW</t>
        </is>
      </c>
      <c r="D27" s="59" t="inlineStr">
        <is>
          <t>BOTKJPJT</t>
        </is>
      </c>
      <c r="E27" s="59" t="inlineStr">
        <is>
          <t>MUFG Bank, Ltd.</t>
        </is>
      </c>
      <c r="F27" s="60" t="inlineStr">
        <is>
          <t>JPY</t>
        </is>
      </c>
      <c r="G27" s="60" t="inlineStr">
        <is>
          <t>HK01</t>
        </is>
      </c>
      <c r="H27" s="59" t="inlineStr">
        <is>
          <t>MT202COV</t>
        </is>
      </c>
      <c r="I27" s="59" t="inlineStr">
        <is>
          <t>pacs.009.001.08</t>
        </is>
      </c>
      <c r="J27" s="59" t="inlineStr">
        <is>
          <t>swift.cbprplus.cov.04</t>
        </is>
      </c>
      <c r="K27" s="60" t="n">
        <v>200</v>
      </c>
      <c r="L27" s="59" t="inlineStr">
        <is>
          <t>SSI_RESOLVED</t>
        </is>
      </c>
      <c r="M27" s="59" t="inlineStr">
        <is>
          <t>SSI-DEMO-009</t>
        </is>
      </c>
      <c r="N27" s="60" t="n">
        <v>2</v>
      </c>
      <c r="O27" s="62" t="inlineStr">
        <is>
          <t>留白（由 eligible route 推導）</t>
        </is>
      </c>
      <c r="P27" s="59" t="inlineStr">
        <is>
          <t>2 筆 eligible；依受控 rank keys 選 SSI-DEMO-009。須列出 alternatives，且帳號、agent、provenance 均來自同一 chosen SSI。</t>
        </is>
      </c>
      <c r="Q27" s="55" t="inlineStr">
        <is>
          <t>RESOLVER_BASELINE_MT202COV</t>
        </is>
      </c>
      <c r="R27" s="55" t="inlineStr">
        <is>
          <t>BANK-SVC-BOTKJPJT</t>
        </is>
      </c>
      <c r="S27" s="55" t="n"/>
      <c r="T27" s="55" t="n"/>
      <c r="U27" s="55" t="n"/>
      <c r="V27" s="55" t="n"/>
      <c r="W27" s="55" t="n"/>
      <c r="X27" s="55" t="n"/>
      <c r="Y27" s="55" t="n"/>
      <c r="Z27" s="55" t="n"/>
      <c r="AA27" s="55" t="n"/>
      <c r="AB27" s="55" t="n"/>
      <c r="AC27" s="55" t="n"/>
      <c r="AD27" s="55" t="n"/>
    </row>
    <row r="28" ht="48.5" customHeight="1" s="53">
      <c r="A28" s="59" t="inlineStr">
        <is>
          <t>UAT-V151-024</t>
        </is>
      </c>
      <c r="B28" s="60" t="n">
        <v>6</v>
      </c>
      <c r="C28" s="61" t="inlineStr">
        <is>
          <t>EXECUTABLE NOW</t>
        </is>
      </c>
      <c r="D28" s="59" t="inlineStr">
        <is>
          <t>BOTKJPJT</t>
        </is>
      </c>
      <c r="E28" s="59" t="inlineStr">
        <is>
          <t>MUFG Bank, Ltd.</t>
        </is>
      </c>
      <c r="F28" s="60" t="inlineStr">
        <is>
          <t>JPY</t>
        </is>
      </c>
      <c r="G28" s="60" t="inlineStr">
        <is>
          <t>HK01</t>
        </is>
      </c>
      <c r="H28" s="59" t="inlineStr">
        <is>
          <t>MT205COV</t>
        </is>
      </c>
      <c r="I28" s="59" t="inlineStr">
        <is>
          <t>pacs.009.001.08</t>
        </is>
      </c>
      <c r="J28" s="59" t="inlineStr">
        <is>
          <t>swift.cbprplus.cov.04</t>
        </is>
      </c>
      <c r="K28" s="60" t="n">
        <v>200</v>
      </c>
      <c r="L28" s="59" t="inlineStr">
        <is>
          <t>SSI_RESOLVED</t>
        </is>
      </c>
      <c r="M28" s="59" t="inlineStr">
        <is>
          <t>SSI-DEMO-009</t>
        </is>
      </c>
      <c r="N28" s="60" t="n">
        <v>2</v>
      </c>
      <c r="O28" s="62" t="inlineStr">
        <is>
          <t>留白（由 eligible route 推導）</t>
        </is>
      </c>
      <c r="P28" s="59" t="inlineStr">
        <is>
          <t>2 筆 eligible；依受控 rank keys 選 SSI-DEMO-009。須列出 alternatives，且帳號、agent、provenance 均來自同一 chosen SSI。</t>
        </is>
      </c>
      <c r="Q28" s="55" t="inlineStr">
        <is>
          <t>RESOLVER_BASELINE_MT205COV</t>
        </is>
      </c>
      <c r="R28" s="55" t="inlineStr">
        <is>
          <t>BANK-SVC-BOTKJPJT</t>
        </is>
      </c>
      <c r="S28" s="55" t="n"/>
      <c r="T28" s="55" t="n"/>
      <c r="U28" s="55" t="n"/>
      <c r="V28" s="55" t="n"/>
      <c r="W28" s="55" t="n"/>
      <c r="X28" s="55" t="n"/>
      <c r="Y28" s="55" t="n"/>
      <c r="Z28" s="55" t="n"/>
      <c r="AA28" s="55" t="n"/>
      <c r="AB28" s="55" t="n"/>
      <c r="AC28" s="55" t="n"/>
      <c r="AD28" s="55" t="n"/>
    </row>
    <row r="29" ht="48.5" customHeight="1" s="53">
      <c r="A29" s="59" t="inlineStr">
        <is>
          <t>UAT-V151-025</t>
        </is>
      </c>
      <c r="B29" s="60" t="n">
        <v>7</v>
      </c>
      <c r="C29" s="61" t="inlineStr">
        <is>
          <t>EXECUTABLE NOW</t>
        </is>
      </c>
      <c r="D29" s="59" t="inlineStr">
        <is>
          <t>HSBCHKHH</t>
        </is>
      </c>
      <c r="E29" s="59" t="inlineStr">
        <is>
          <t>HSBC</t>
        </is>
      </c>
      <c r="F29" s="60" t="inlineStr">
        <is>
          <t>HKD</t>
        </is>
      </c>
      <c r="G29" s="60" t="inlineStr">
        <is>
          <t>HK01</t>
        </is>
      </c>
      <c r="H29" s="59" t="inlineStr">
        <is>
          <t>MT202</t>
        </is>
      </c>
      <c r="I29" s="59" t="inlineStr">
        <is>
          <t>pacs.009.001.08</t>
        </is>
      </c>
      <c r="J29" s="59" t="inlineStr">
        <is>
          <t>swift.cbprplus.04</t>
        </is>
      </c>
      <c r="K29" s="60" t="n">
        <v>200</v>
      </c>
      <c r="L29" s="59" t="inlineStr">
        <is>
          <t>SSI_RESOLVED</t>
        </is>
      </c>
      <c r="M29" s="59" t="inlineStr">
        <is>
          <t>SSI-DEMO-011</t>
        </is>
      </c>
      <c r="N29" s="60" t="n">
        <v>2</v>
      </c>
      <c r="O29" s="62" t="inlineStr">
        <is>
          <t>留白（由 eligible route 推導）</t>
        </is>
      </c>
      <c r="P29" s="59" t="inlineStr">
        <is>
          <t>2 筆 eligible；依受控 rank keys 選 SSI-DEMO-011。須列出 alternatives，且帳號、agent、provenance 均來自同一 chosen SSI。</t>
        </is>
      </c>
      <c r="Q29" s="55" t="inlineStr">
        <is>
          <t>RESOLVER_BASELINE_MT202</t>
        </is>
      </c>
      <c r="R29" s="55" t="inlineStr">
        <is>
          <t>BANK-SVC-HSBCHKHH</t>
        </is>
      </c>
      <c r="S29" s="55" t="n"/>
      <c r="T29" s="55" t="n"/>
      <c r="U29" s="55" t="n"/>
      <c r="V29" s="55" t="n"/>
      <c r="W29" s="55" t="n"/>
      <c r="X29" s="55" t="n"/>
      <c r="Y29" s="55" t="n"/>
      <c r="Z29" s="55" t="n"/>
      <c r="AA29" s="55" t="n"/>
      <c r="AB29" s="55" t="n"/>
      <c r="AC29" s="55" t="n"/>
      <c r="AD29" s="55" t="n"/>
    </row>
    <row r="30" ht="48.5" customHeight="1" s="53">
      <c r="A30" s="59" t="inlineStr">
        <is>
          <t>UAT-V151-026</t>
        </is>
      </c>
      <c r="B30" s="60" t="n">
        <v>7</v>
      </c>
      <c r="C30" s="61" t="inlineStr">
        <is>
          <t>EXECUTABLE NOW</t>
        </is>
      </c>
      <c r="D30" s="59" t="inlineStr">
        <is>
          <t>HSBCHKHH</t>
        </is>
      </c>
      <c r="E30" s="59" t="inlineStr">
        <is>
          <t>HSBC</t>
        </is>
      </c>
      <c r="F30" s="60" t="inlineStr">
        <is>
          <t>HKD</t>
        </is>
      </c>
      <c r="G30" s="60" t="inlineStr">
        <is>
          <t>HK01</t>
        </is>
      </c>
      <c r="H30" s="59" t="inlineStr">
        <is>
          <t>MT205</t>
        </is>
      </c>
      <c r="I30" s="59" t="inlineStr">
        <is>
          <t>pacs.009.001.08</t>
        </is>
      </c>
      <c r="J30" s="59" t="inlineStr">
        <is>
          <t>swift.cbprplus.04</t>
        </is>
      </c>
      <c r="K30" s="60" t="n">
        <v>200</v>
      </c>
      <c r="L30" s="59" t="inlineStr">
        <is>
          <t>SSI_RESOLVED</t>
        </is>
      </c>
      <c r="M30" s="59" t="inlineStr">
        <is>
          <t>SSI-DEMO-011</t>
        </is>
      </c>
      <c r="N30" s="60" t="n">
        <v>2</v>
      </c>
      <c r="O30" s="62" t="inlineStr">
        <is>
          <t>留白（由 eligible route 推導）</t>
        </is>
      </c>
      <c r="P30" s="59" t="inlineStr">
        <is>
          <t>2 筆 eligible；依受控 rank keys 選 SSI-DEMO-011。須列出 alternatives，且帳號、agent、provenance 均來自同一 chosen SSI。</t>
        </is>
      </c>
      <c r="Q30" s="55" t="inlineStr">
        <is>
          <t>RESOLVER_BASELINE_MT205</t>
        </is>
      </c>
      <c r="R30" s="55" t="inlineStr">
        <is>
          <t>BANK-SVC-HSBCHKHH</t>
        </is>
      </c>
      <c r="S30" s="55" t="n"/>
      <c r="T30" s="55" t="n"/>
      <c r="U30" s="55" t="n"/>
      <c r="V30" s="55" t="n"/>
      <c r="W30" s="55" t="n"/>
      <c r="X30" s="55" t="n"/>
      <c r="Y30" s="55" t="n"/>
      <c r="Z30" s="55" t="n"/>
      <c r="AA30" s="55" t="n"/>
      <c r="AB30" s="55" t="n"/>
      <c r="AC30" s="55" t="n"/>
      <c r="AD30" s="55" t="n"/>
    </row>
    <row r="31" ht="48.5" customHeight="1" s="53">
      <c r="A31" s="59" t="inlineStr">
        <is>
          <t>UAT-V151-027</t>
        </is>
      </c>
      <c r="B31" s="60" t="n">
        <v>7</v>
      </c>
      <c r="C31" s="61" t="inlineStr">
        <is>
          <t>EXECUTABLE NOW</t>
        </is>
      </c>
      <c r="D31" s="59" t="inlineStr">
        <is>
          <t>HSBCHKHH</t>
        </is>
      </c>
      <c r="E31" s="59" t="inlineStr">
        <is>
          <t>HSBC</t>
        </is>
      </c>
      <c r="F31" s="60" t="inlineStr">
        <is>
          <t>HKD</t>
        </is>
      </c>
      <c r="G31" s="60" t="inlineStr">
        <is>
          <t>HK01</t>
        </is>
      </c>
      <c r="H31" s="59" t="inlineStr">
        <is>
          <t>MT202COV</t>
        </is>
      </c>
      <c r="I31" s="59" t="inlineStr">
        <is>
          <t>pacs.009.001.08</t>
        </is>
      </c>
      <c r="J31" s="59" t="inlineStr">
        <is>
          <t>swift.cbprplus.cov.04</t>
        </is>
      </c>
      <c r="K31" s="60" t="n">
        <v>200</v>
      </c>
      <c r="L31" s="59" t="inlineStr">
        <is>
          <t>SSI_RESOLVED</t>
        </is>
      </c>
      <c r="M31" s="59" t="inlineStr">
        <is>
          <t>SSI-DEMO-011</t>
        </is>
      </c>
      <c r="N31" s="60" t="n">
        <v>2</v>
      </c>
      <c r="O31" s="62" t="inlineStr">
        <is>
          <t>留白（由 eligible route 推導）</t>
        </is>
      </c>
      <c r="P31" s="59" t="inlineStr">
        <is>
          <t>2 筆 eligible；依受控 rank keys 選 SSI-DEMO-011。須列出 alternatives，且帳號、agent、provenance 均來自同一 chosen SSI。</t>
        </is>
      </c>
      <c r="Q31" s="55" t="inlineStr">
        <is>
          <t>RESOLVER_BASELINE_MT202COV</t>
        </is>
      </c>
      <c r="R31" s="55" t="inlineStr">
        <is>
          <t>BANK-SVC-HSBCHKHH</t>
        </is>
      </c>
      <c r="S31" s="55" t="n"/>
      <c r="T31" s="55" t="n"/>
      <c r="U31" s="55" t="n"/>
      <c r="V31" s="55" t="n"/>
      <c r="W31" s="55" t="n"/>
      <c r="X31" s="55" t="n"/>
      <c r="Y31" s="55" t="n"/>
      <c r="Z31" s="55" t="n"/>
      <c r="AA31" s="55" t="n"/>
      <c r="AB31" s="55" t="n"/>
      <c r="AC31" s="55" t="n"/>
      <c r="AD31" s="55" t="n"/>
    </row>
    <row r="32" ht="48.5" customHeight="1" s="53">
      <c r="A32" s="59" t="inlineStr">
        <is>
          <t>UAT-V151-028</t>
        </is>
      </c>
      <c r="B32" s="60" t="n">
        <v>7</v>
      </c>
      <c r="C32" s="61" t="inlineStr">
        <is>
          <t>EXECUTABLE NOW</t>
        </is>
      </c>
      <c r="D32" s="59" t="inlineStr">
        <is>
          <t>HSBCHKHH</t>
        </is>
      </c>
      <c r="E32" s="59" t="inlineStr">
        <is>
          <t>HSBC</t>
        </is>
      </c>
      <c r="F32" s="60" t="inlineStr">
        <is>
          <t>HKD</t>
        </is>
      </c>
      <c r="G32" s="60" t="inlineStr">
        <is>
          <t>HK01</t>
        </is>
      </c>
      <c r="H32" s="59" t="inlineStr">
        <is>
          <t>MT205COV</t>
        </is>
      </c>
      <c r="I32" s="59" t="inlineStr">
        <is>
          <t>pacs.009.001.08</t>
        </is>
      </c>
      <c r="J32" s="59" t="inlineStr">
        <is>
          <t>swift.cbprplus.cov.04</t>
        </is>
      </c>
      <c r="K32" s="60" t="n">
        <v>200</v>
      </c>
      <c r="L32" s="59" t="inlineStr">
        <is>
          <t>SSI_RESOLVED</t>
        </is>
      </c>
      <c r="M32" s="59" t="inlineStr">
        <is>
          <t>SSI-DEMO-011</t>
        </is>
      </c>
      <c r="N32" s="60" t="n">
        <v>2</v>
      </c>
      <c r="O32" s="62" t="inlineStr">
        <is>
          <t>留白（由 eligible route 推導）</t>
        </is>
      </c>
      <c r="P32" s="59" t="inlineStr">
        <is>
          <t>2 筆 eligible；依受控 rank keys 選 SSI-DEMO-011。須列出 alternatives，且帳號、agent、provenance 均來自同一 chosen SSI。</t>
        </is>
      </c>
      <c r="Q32" s="55" t="inlineStr">
        <is>
          <t>RESOLVER_BASELINE_MT205COV</t>
        </is>
      </c>
      <c r="R32" s="55" t="inlineStr">
        <is>
          <t>BANK-SVC-HSBCHKHH</t>
        </is>
      </c>
      <c r="S32" s="55" t="n"/>
      <c r="T32" s="55" t="n"/>
      <c r="U32" s="55" t="n"/>
      <c r="V32" s="55" t="n"/>
      <c r="W32" s="55" t="n"/>
      <c r="X32" s="55" t="n"/>
      <c r="Y32" s="55" t="n"/>
      <c r="Z32" s="55" t="n"/>
      <c r="AA32" s="55" t="n"/>
      <c r="AB32" s="55" t="n"/>
      <c r="AC32" s="55" t="n"/>
      <c r="AD32" s="55" t="n"/>
    </row>
    <row r="33" ht="48.5" customHeight="1" s="53">
      <c r="A33" s="59" t="inlineStr">
        <is>
          <t>UAT-V151-029</t>
        </is>
      </c>
      <c r="B33" s="60" t="n">
        <v>8</v>
      </c>
      <c r="C33" s="61" t="inlineStr">
        <is>
          <t>EXECUTABLE NOW</t>
        </is>
      </c>
      <c r="D33" s="59" t="inlineStr">
        <is>
          <t>BOFAUS3N</t>
        </is>
      </c>
      <c r="E33" s="59" t="inlineStr">
        <is>
          <t>Bank of America, N.A.</t>
        </is>
      </c>
      <c r="F33" s="60" t="inlineStr">
        <is>
          <t>AUD</t>
        </is>
      </c>
      <c r="G33" s="60" t="inlineStr">
        <is>
          <t>HK01</t>
        </is>
      </c>
      <c r="H33" s="59" t="inlineStr">
        <is>
          <t>MT202</t>
        </is>
      </c>
      <c r="I33" s="59" t="inlineStr">
        <is>
          <t>pacs.009.001.08</t>
        </is>
      </c>
      <c r="J33" s="59" t="inlineStr">
        <is>
          <t>swift.cbprplus.04</t>
        </is>
      </c>
      <c r="K33" s="60" t="n">
        <v>200</v>
      </c>
      <c r="L33" s="59" t="inlineStr">
        <is>
          <t>SSI_RESOLVED</t>
        </is>
      </c>
      <c r="M33" s="59" t="inlineStr">
        <is>
          <t>SSI-DEMO-013</t>
        </is>
      </c>
      <c r="N33" s="60" t="n">
        <v>2</v>
      </c>
      <c r="O33" s="62" t="inlineStr">
        <is>
          <t>留白（由 eligible route 推導）</t>
        </is>
      </c>
      <c r="P33" s="59" t="inlineStr">
        <is>
          <t>2 筆 eligible；依受控 rank keys 選 SSI-DEMO-013。須列出 alternatives，且帳號、agent、provenance 均來自同一 chosen SSI。</t>
        </is>
      </c>
      <c r="Q33" s="55" t="inlineStr">
        <is>
          <t>RESOLVER_BASELINE_MT202</t>
        </is>
      </c>
      <c r="R33" s="55" t="inlineStr">
        <is>
          <t>BANK-SVC-BOFAUS3N</t>
        </is>
      </c>
      <c r="S33" s="55" t="n"/>
      <c r="T33" s="55" t="n"/>
      <c r="U33" s="55" t="n"/>
      <c r="V33" s="55" t="n"/>
      <c r="W33" s="55" t="n"/>
      <c r="X33" s="55" t="n"/>
      <c r="Y33" s="55" t="n"/>
      <c r="Z33" s="55" t="n"/>
      <c r="AA33" s="55" t="n"/>
      <c r="AB33" s="55" t="n"/>
      <c r="AC33" s="55" t="n"/>
      <c r="AD33" s="55" t="n"/>
    </row>
    <row r="34" ht="48.5" customHeight="1" s="53">
      <c r="A34" s="59" t="inlineStr">
        <is>
          <t>UAT-V151-030</t>
        </is>
      </c>
      <c r="B34" s="60" t="n">
        <v>8</v>
      </c>
      <c r="C34" s="61" t="inlineStr">
        <is>
          <t>EXECUTABLE NOW</t>
        </is>
      </c>
      <c r="D34" s="59" t="inlineStr">
        <is>
          <t>BOFAUS3N</t>
        </is>
      </c>
      <c r="E34" s="59" t="inlineStr">
        <is>
          <t>Bank of America, N.A.</t>
        </is>
      </c>
      <c r="F34" s="60" t="inlineStr">
        <is>
          <t>AUD</t>
        </is>
      </c>
      <c r="G34" s="60" t="inlineStr">
        <is>
          <t>HK01</t>
        </is>
      </c>
      <c r="H34" s="59" t="inlineStr">
        <is>
          <t>MT205</t>
        </is>
      </c>
      <c r="I34" s="59" t="inlineStr">
        <is>
          <t>pacs.009.001.08</t>
        </is>
      </c>
      <c r="J34" s="59" t="inlineStr">
        <is>
          <t>swift.cbprplus.04</t>
        </is>
      </c>
      <c r="K34" s="60" t="n">
        <v>200</v>
      </c>
      <c r="L34" s="59" t="inlineStr">
        <is>
          <t>SSI_RESOLVED</t>
        </is>
      </c>
      <c r="M34" s="59" t="inlineStr">
        <is>
          <t>SSI-DEMO-013</t>
        </is>
      </c>
      <c r="N34" s="60" t="n">
        <v>2</v>
      </c>
      <c r="O34" s="62" t="inlineStr">
        <is>
          <t>留白（由 eligible route 推導）</t>
        </is>
      </c>
      <c r="P34" s="59" t="inlineStr">
        <is>
          <t>2 筆 eligible；依受控 rank keys 選 SSI-DEMO-013。須列出 alternatives，且帳號、agent、provenance 均來自同一 chosen SSI。</t>
        </is>
      </c>
      <c r="Q34" s="55" t="inlineStr">
        <is>
          <t>RESOLVER_BASELINE_MT205</t>
        </is>
      </c>
      <c r="R34" s="55" t="inlineStr">
        <is>
          <t>BANK-SVC-BOFAUS3N</t>
        </is>
      </c>
      <c r="S34" s="55" t="n"/>
      <c r="T34" s="55" t="n"/>
      <c r="U34" s="55" t="n"/>
      <c r="V34" s="55" t="n"/>
      <c r="W34" s="55" t="n"/>
      <c r="X34" s="55" t="n"/>
      <c r="Y34" s="55" t="n"/>
      <c r="Z34" s="55" t="n"/>
      <c r="AA34" s="55" t="n"/>
      <c r="AB34" s="55" t="n"/>
      <c r="AC34" s="55" t="n"/>
      <c r="AD34" s="55" t="n"/>
    </row>
    <row r="35" ht="48.5" customHeight="1" s="53">
      <c r="A35" s="59" t="inlineStr">
        <is>
          <t>UAT-V151-031</t>
        </is>
      </c>
      <c r="B35" s="60" t="n">
        <v>8</v>
      </c>
      <c r="C35" s="61" t="inlineStr">
        <is>
          <t>EXECUTABLE NOW</t>
        </is>
      </c>
      <c r="D35" s="59" t="inlineStr">
        <is>
          <t>BOFAUS3N</t>
        </is>
      </c>
      <c r="E35" s="59" t="inlineStr">
        <is>
          <t>Bank of America, N.A.</t>
        </is>
      </c>
      <c r="F35" s="60" t="inlineStr">
        <is>
          <t>AUD</t>
        </is>
      </c>
      <c r="G35" s="60" t="inlineStr">
        <is>
          <t>HK01</t>
        </is>
      </c>
      <c r="H35" s="59" t="inlineStr">
        <is>
          <t>MT202COV</t>
        </is>
      </c>
      <c r="I35" s="59" t="inlineStr">
        <is>
          <t>pacs.009.001.08</t>
        </is>
      </c>
      <c r="J35" s="59" t="inlineStr">
        <is>
          <t>swift.cbprplus.cov.04</t>
        </is>
      </c>
      <c r="K35" s="60" t="n">
        <v>200</v>
      </c>
      <c r="L35" s="59" t="inlineStr">
        <is>
          <t>SSI_RESOLVED</t>
        </is>
      </c>
      <c r="M35" s="59" t="inlineStr">
        <is>
          <t>SSI-DEMO-013</t>
        </is>
      </c>
      <c r="N35" s="60" t="n">
        <v>2</v>
      </c>
      <c r="O35" s="62" t="inlineStr">
        <is>
          <t>留白（由 eligible route 推導）</t>
        </is>
      </c>
      <c r="P35" s="59" t="inlineStr">
        <is>
          <t>2 筆 eligible；依受控 rank keys 選 SSI-DEMO-013。須列出 alternatives，且帳號、agent、provenance 均來自同一 chosen SSI。</t>
        </is>
      </c>
      <c r="Q35" s="55" t="inlineStr">
        <is>
          <t>RESOLVER_BASELINE_MT202COV</t>
        </is>
      </c>
      <c r="R35" s="55" t="inlineStr">
        <is>
          <t>BANK-SVC-BOFAUS3N</t>
        </is>
      </c>
      <c r="S35" s="55" t="n"/>
      <c r="T35" s="55" t="n"/>
      <c r="U35" s="55" t="n"/>
      <c r="V35" s="55" t="n"/>
      <c r="W35" s="55" t="n"/>
      <c r="X35" s="55" t="n"/>
      <c r="Y35" s="55" t="n"/>
      <c r="Z35" s="55" t="n"/>
      <c r="AA35" s="55" t="n"/>
      <c r="AB35" s="55" t="n"/>
      <c r="AC35" s="55" t="n"/>
      <c r="AD35" s="55" t="n"/>
    </row>
    <row r="36" ht="48.5" customHeight="1" s="53">
      <c r="A36" s="59" t="inlineStr">
        <is>
          <t>UAT-V151-032</t>
        </is>
      </c>
      <c r="B36" s="60" t="n">
        <v>8</v>
      </c>
      <c r="C36" s="61" t="inlineStr">
        <is>
          <t>EXECUTABLE NOW</t>
        </is>
      </c>
      <c r="D36" s="59" t="inlineStr">
        <is>
          <t>BOFAUS3N</t>
        </is>
      </c>
      <c r="E36" s="59" t="inlineStr">
        <is>
          <t>Bank of America, N.A.</t>
        </is>
      </c>
      <c r="F36" s="60" t="inlineStr">
        <is>
          <t>AUD</t>
        </is>
      </c>
      <c r="G36" s="60" t="inlineStr">
        <is>
          <t>HK01</t>
        </is>
      </c>
      <c r="H36" s="59" t="inlineStr">
        <is>
          <t>MT205COV</t>
        </is>
      </c>
      <c r="I36" s="59" t="inlineStr">
        <is>
          <t>pacs.009.001.08</t>
        </is>
      </c>
      <c r="J36" s="59" t="inlineStr">
        <is>
          <t>swift.cbprplus.cov.04</t>
        </is>
      </c>
      <c r="K36" s="60" t="n">
        <v>200</v>
      </c>
      <c r="L36" s="59" t="inlineStr">
        <is>
          <t>SSI_RESOLVED</t>
        </is>
      </c>
      <c r="M36" s="59" t="inlineStr">
        <is>
          <t>SSI-DEMO-013</t>
        </is>
      </c>
      <c r="N36" s="60" t="n">
        <v>2</v>
      </c>
      <c r="O36" s="62" t="inlineStr">
        <is>
          <t>留白（由 eligible route 推導）</t>
        </is>
      </c>
      <c r="P36" s="59" t="inlineStr">
        <is>
          <t>2 筆 eligible；依受控 rank keys 選 SSI-DEMO-013。須列出 alternatives，且帳號、agent、provenance 均來自同一 chosen SSI。</t>
        </is>
      </c>
      <c r="Q36" s="55" t="inlineStr">
        <is>
          <t>RESOLVER_BASELINE_MT205COV</t>
        </is>
      </c>
      <c r="R36" s="55" t="inlineStr">
        <is>
          <t>BANK-SVC-BOFAUS3N</t>
        </is>
      </c>
      <c r="S36" s="55" t="n"/>
      <c r="T36" s="55" t="n"/>
      <c r="U36" s="55" t="n"/>
      <c r="V36" s="55" t="n"/>
      <c r="W36" s="55" t="n"/>
      <c r="X36" s="55" t="n"/>
      <c r="Y36" s="55" t="n"/>
      <c r="Z36" s="55" t="n"/>
      <c r="AA36" s="55" t="n"/>
      <c r="AB36" s="55" t="n"/>
      <c r="AC36" s="55" t="n"/>
      <c r="AD36" s="55" t="n"/>
    </row>
    <row r="37" ht="48.5" customHeight="1" s="53">
      <c r="A37" s="59" t="inlineStr">
        <is>
          <t>UAT-V151-033</t>
        </is>
      </c>
      <c r="B37" s="60" t="n">
        <v>9</v>
      </c>
      <c r="C37" s="61" t="inlineStr">
        <is>
          <t>EXECUTABLE NOW</t>
        </is>
      </c>
      <c r="D37" s="59" t="inlineStr">
        <is>
          <t>CHASUS33</t>
        </is>
      </c>
      <c r="E37" s="59" t="inlineStr">
        <is>
          <t>JPMorgan Chase Bank, N.A.</t>
        </is>
      </c>
      <c r="F37" s="60" t="inlineStr">
        <is>
          <t>CAD</t>
        </is>
      </c>
      <c r="G37" s="60" t="inlineStr">
        <is>
          <t>HK01</t>
        </is>
      </c>
      <c r="H37" s="59" t="inlineStr">
        <is>
          <t>MT202</t>
        </is>
      </c>
      <c r="I37" s="59" t="inlineStr">
        <is>
          <t>pacs.009.001.08</t>
        </is>
      </c>
      <c r="J37" s="59" t="inlineStr">
        <is>
          <t>swift.cbprplus.04</t>
        </is>
      </c>
      <c r="K37" s="60" t="n">
        <v>200</v>
      </c>
      <c r="L37" s="59" t="inlineStr">
        <is>
          <t>SSI_RESOLVED</t>
        </is>
      </c>
      <c r="M37" s="59" t="inlineStr">
        <is>
          <t>SSI-DEMO-015</t>
        </is>
      </c>
      <c r="N37" s="60" t="n">
        <v>2</v>
      </c>
      <c r="O37" s="62" t="inlineStr">
        <is>
          <t>留白（由 eligible route 推導）</t>
        </is>
      </c>
      <c r="P37" s="59" t="inlineStr">
        <is>
          <t>2 筆 eligible；依受控 rank keys 選 SSI-DEMO-015。須列出 alternatives，且帳號、agent、provenance 均來自同一 chosen SSI。</t>
        </is>
      </c>
      <c r="Q37" s="55" t="inlineStr">
        <is>
          <t>RESOLVER_BASELINE_MT202</t>
        </is>
      </c>
      <c r="R37" s="55" t="inlineStr">
        <is>
          <t>BANK-SVC-CHASUS33</t>
        </is>
      </c>
      <c r="S37" s="55" t="n"/>
      <c r="T37" s="55" t="n"/>
      <c r="U37" s="55" t="n"/>
      <c r="V37" s="55" t="n"/>
      <c r="W37" s="55" t="n"/>
      <c r="X37" s="55" t="n"/>
      <c r="Y37" s="55" t="n"/>
      <c r="Z37" s="55" t="n"/>
      <c r="AA37" s="55" t="n"/>
      <c r="AB37" s="55" t="n"/>
      <c r="AC37" s="55" t="n"/>
      <c r="AD37" s="55" t="n"/>
    </row>
    <row r="38" ht="48.5" customHeight="1" s="53">
      <c r="A38" s="59" t="inlineStr">
        <is>
          <t>UAT-V151-034</t>
        </is>
      </c>
      <c r="B38" s="60" t="n">
        <v>9</v>
      </c>
      <c r="C38" s="61" t="inlineStr">
        <is>
          <t>EXECUTABLE NOW</t>
        </is>
      </c>
      <c r="D38" s="59" t="inlineStr">
        <is>
          <t>CHASUS33</t>
        </is>
      </c>
      <c r="E38" s="59" t="inlineStr">
        <is>
          <t>JPMorgan Chase Bank, N.A.</t>
        </is>
      </c>
      <c r="F38" s="60" t="inlineStr">
        <is>
          <t>CAD</t>
        </is>
      </c>
      <c r="G38" s="60" t="inlineStr">
        <is>
          <t>HK01</t>
        </is>
      </c>
      <c r="H38" s="59" t="inlineStr">
        <is>
          <t>MT205</t>
        </is>
      </c>
      <c r="I38" s="59" t="inlineStr">
        <is>
          <t>pacs.009.001.08</t>
        </is>
      </c>
      <c r="J38" s="59" t="inlineStr">
        <is>
          <t>swift.cbprplus.04</t>
        </is>
      </c>
      <c r="K38" s="60" t="n">
        <v>200</v>
      </c>
      <c r="L38" s="59" t="inlineStr">
        <is>
          <t>SSI_RESOLVED</t>
        </is>
      </c>
      <c r="M38" s="59" t="inlineStr">
        <is>
          <t>SSI-DEMO-015</t>
        </is>
      </c>
      <c r="N38" s="60" t="n">
        <v>2</v>
      </c>
      <c r="O38" s="62" t="inlineStr">
        <is>
          <t>留白（由 eligible route 推導）</t>
        </is>
      </c>
      <c r="P38" s="59" t="inlineStr">
        <is>
          <t>2 筆 eligible；依受控 rank keys 選 SSI-DEMO-015。須列出 alternatives，且帳號、agent、provenance 均來自同一 chosen SSI。</t>
        </is>
      </c>
      <c r="Q38" s="55" t="inlineStr">
        <is>
          <t>RESOLVER_BASELINE_MT205</t>
        </is>
      </c>
      <c r="R38" s="55" t="inlineStr">
        <is>
          <t>BANK-SVC-CHASUS33</t>
        </is>
      </c>
      <c r="S38" s="55" t="n"/>
      <c r="T38" s="55" t="n"/>
      <c r="U38" s="55" t="n"/>
      <c r="V38" s="55" t="n"/>
      <c r="W38" s="55" t="n"/>
      <c r="X38" s="55" t="n"/>
      <c r="Y38" s="55" t="n"/>
      <c r="Z38" s="55" t="n"/>
      <c r="AA38" s="55" t="n"/>
      <c r="AB38" s="55" t="n"/>
      <c r="AC38" s="55" t="n"/>
      <c r="AD38" s="55" t="n"/>
    </row>
    <row r="39" ht="48.5" customHeight="1" s="53">
      <c r="A39" s="59" t="inlineStr">
        <is>
          <t>UAT-V151-035</t>
        </is>
      </c>
      <c r="B39" s="60" t="n">
        <v>9</v>
      </c>
      <c r="C39" s="61" t="inlineStr">
        <is>
          <t>EXECUTABLE NOW</t>
        </is>
      </c>
      <c r="D39" s="59" t="inlineStr">
        <is>
          <t>CHASUS33</t>
        </is>
      </c>
      <c r="E39" s="59" t="inlineStr">
        <is>
          <t>JPMorgan Chase Bank, N.A.</t>
        </is>
      </c>
      <c r="F39" s="60" t="inlineStr">
        <is>
          <t>CAD</t>
        </is>
      </c>
      <c r="G39" s="60" t="inlineStr">
        <is>
          <t>HK01</t>
        </is>
      </c>
      <c r="H39" s="59" t="inlineStr">
        <is>
          <t>MT202COV</t>
        </is>
      </c>
      <c r="I39" s="59" t="inlineStr">
        <is>
          <t>pacs.009.001.08</t>
        </is>
      </c>
      <c r="J39" s="59" t="inlineStr">
        <is>
          <t>swift.cbprplus.cov.04</t>
        </is>
      </c>
      <c r="K39" s="60" t="n">
        <v>200</v>
      </c>
      <c r="L39" s="59" t="inlineStr">
        <is>
          <t>SSI_RESOLVED</t>
        </is>
      </c>
      <c r="M39" s="59" t="inlineStr">
        <is>
          <t>SSI-DEMO-015</t>
        </is>
      </c>
      <c r="N39" s="60" t="n">
        <v>2</v>
      </c>
      <c r="O39" s="62" t="inlineStr">
        <is>
          <t>留白（由 eligible route 推導）</t>
        </is>
      </c>
      <c r="P39" s="59" t="inlineStr">
        <is>
          <t>2 筆 eligible；依受控 rank keys 選 SSI-DEMO-015。須列出 alternatives，且帳號、agent、provenance 均來自同一 chosen SSI。</t>
        </is>
      </c>
      <c r="Q39" s="55" t="inlineStr">
        <is>
          <t>RESOLVER_BASELINE_MT202COV</t>
        </is>
      </c>
      <c r="R39" s="55" t="inlineStr">
        <is>
          <t>BANK-SVC-CHASUS33</t>
        </is>
      </c>
      <c r="S39" s="55" t="n"/>
      <c r="T39" s="55" t="n"/>
      <c r="U39" s="55" t="n"/>
      <c r="V39" s="55" t="n"/>
      <c r="W39" s="55" t="n"/>
      <c r="X39" s="55" t="n"/>
      <c r="Y39" s="55" t="n"/>
      <c r="Z39" s="55" t="n"/>
      <c r="AA39" s="55" t="n"/>
      <c r="AB39" s="55" t="n"/>
      <c r="AC39" s="55" t="n"/>
      <c r="AD39" s="55" t="n"/>
    </row>
    <row r="40" ht="48.5" customHeight="1" s="53">
      <c r="A40" s="59" t="inlineStr">
        <is>
          <t>UAT-V151-036</t>
        </is>
      </c>
      <c r="B40" s="60" t="n">
        <v>9</v>
      </c>
      <c r="C40" s="61" t="inlineStr">
        <is>
          <t>EXECUTABLE NOW</t>
        </is>
      </c>
      <c r="D40" s="59" t="inlineStr">
        <is>
          <t>CHASUS33</t>
        </is>
      </c>
      <c r="E40" s="59" t="inlineStr">
        <is>
          <t>JPMorgan Chase Bank, N.A.</t>
        </is>
      </c>
      <c r="F40" s="60" t="inlineStr">
        <is>
          <t>CAD</t>
        </is>
      </c>
      <c r="G40" s="60" t="inlineStr">
        <is>
          <t>HK01</t>
        </is>
      </c>
      <c r="H40" s="59" t="inlineStr">
        <is>
          <t>MT205COV</t>
        </is>
      </c>
      <c r="I40" s="59" t="inlineStr">
        <is>
          <t>pacs.009.001.08</t>
        </is>
      </c>
      <c r="J40" s="59" t="inlineStr">
        <is>
          <t>swift.cbprplus.cov.04</t>
        </is>
      </c>
      <c r="K40" s="60" t="n">
        <v>200</v>
      </c>
      <c r="L40" s="59" t="inlineStr">
        <is>
          <t>SSI_RESOLVED</t>
        </is>
      </c>
      <c r="M40" s="59" t="inlineStr">
        <is>
          <t>SSI-DEMO-015</t>
        </is>
      </c>
      <c r="N40" s="60" t="n">
        <v>2</v>
      </c>
      <c r="O40" s="62" t="inlineStr">
        <is>
          <t>留白（由 eligible route 推導）</t>
        </is>
      </c>
      <c r="P40" s="59" t="inlineStr">
        <is>
          <t>2 筆 eligible；依受控 rank keys 選 SSI-DEMO-015。須列出 alternatives，且帳號、agent、provenance 均來自同一 chosen SSI。</t>
        </is>
      </c>
      <c r="Q40" s="55" t="inlineStr">
        <is>
          <t>RESOLVER_BASELINE_MT205COV</t>
        </is>
      </c>
      <c r="R40" s="55" t="inlineStr">
        <is>
          <t>BANK-SVC-CHASUS33</t>
        </is>
      </c>
      <c r="S40" s="55" t="n"/>
      <c r="T40" s="55" t="n"/>
      <c r="U40" s="55" t="n"/>
      <c r="V40" s="55" t="n"/>
      <c r="W40" s="55" t="n"/>
      <c r="X40" s="55" t="n"/>
      <c r="Y40" s="55" t="n"/>
      <c r="Z40" s="55" t="n"/>
      <c r="AA40" s="55" t="n"/>
      <c r="AB40" s="55" t="n"/>
      <c r="AC40" s="55" t="n"/>
      <c r="AD40" s="55" t="n"/>
    </row>
    <row r="41" ht="48.5" customHeight="1" s="53">
      <c r="A41" s="59" t="inlineStr">
        <is>
          <t>UAT-V151-037</t>
        </is>
      </c>
      <c r="B41" s="60" t="n">
        <v>10</v>
      </c>
      <c r="C41" s="61" t="inlineStr">
        <is>
          <t>EXECUTABLE NOW</t>
        </is>
      </c>
      <c r="D41" s="59" t="inlineStr">
        <is>
          <t>CHASUS33</t>
        </is>
      </c>
      <c r="E41" s="59" t="inlineStr">
        <is>
          <t>JPMorgan Chase Bank, N.A.</t>
        </is>
      </c>
      <c r="F41" s="60" t="inlineStr">
        <is>
          <t>USD</t>
        </is>
      </c>
      <c r="G41" s="60" t="inlineStr">
        <is>
          <t>HK01</t>
        </is>
      </c>
      <c r="H41" s="59" t="inlineStr">
        <is>
          <t>MT202</t>
        </is>
      </c>
      <c r="I41" s="59" t="inlineStr">
        <is>
          <t>pacs.009.001.08</t>
        </is>
      </c>
      <c r="J41" s="59" t="inlineStr">
        <is>
          <t>swift.cbprplus.04</t>
        </is>
      </c>
      <c r="K41" s="60" t="n">
        <v>200</v>
      </c>
      <c r="L41" s="59" t="inlineStr">
        <is>
          <t>SSI_RESOLVED</t>
        </is>
      </c>
      <c r="M41" s="59" t="inlineStr">
        <is>
          <t>SSI-DEMO-021</t>
        </is>
      </c>
      <c r="N41" s="60" t="n">
        <v>1</v>
      </c>
      <c r="O41" s="62" t="inlineStr">
        <is>
          <t>留白（由 eligible route 推導）</t>
        </is>
      </c>
      <c r="P41" s="62" t="inlineStr">
        <is>
          <t>唯一候選；須驗 chosenRoute、roleProvenance、snapshotHash、resolutionToken 與幣別一致。</t>
        </is>
      </c>
      <c r="Q41" s="55" t="inlineStr">
        <is>
          <t>RESOLVER_BASELINE_MT202</t>
        </is>
      </c>
      <c r="R41" s="55" t="inlineStr">
        <is>
          <t>BANK-SVC-CHASUS33</t>
        </is>
      </c>
      <c r="S41" s="55" t="n"/>
      <c r="T41" s="55" t="n"/>
      <c r="U41" s="55" t="n"/>
      <c r="V41" s="55" t="n"/>
      <c r="W41" s="55" t="n"/>
      <c r="X41" s="55" t="n"/>
      <c r="Y41" s="55" t="n"/>
      <c r="Z41" s="55" t="n"/>
      <c r="AA41" s="55" t="n"/>
      <c r="AB41" s="55" t="n"/>
      <c r="AC41" s="55" t="n"/>
      <c r="AD41" s="55" t="n"/>
    </row>
    <row r="42" ht="48.5" customHeight="1" s="53">
      <c r="A42" s="59" t="inlineStr">
        <is>
          <t>UAT-V151-038</t>
        </is>
      </c>
      <c r="B42" s="60" t="n">
        <v>10</v>
      </c>
      <c r="C42" s="61" t="inlineStr">
        <is>
          <t>EXECUTABLE NOW</t>
        </is>
      </c>
      <c r="D42" s="59" t="inlineStr">
        <is>
          <t>CHASUS33</t>
        </is>
      </c>
      <c r="E42" s="59" t="inlineStr">
        <is>
          <t>JPMorgan Chase Bank, N.A.</t>
        </is>
      </c>
      <c r="F42" s="60" t="inlineStr">
        <is>
          <t>USD</t>
        </is>
      </c>
      <c r="G42" s="60" t="inlineStr">
        <is>
          <t>HK01</t>
        </is>
      </c>
      <c r="H42" s="59" t="inlineStr">
        <is>
          <t>MT205</t>
        </is>
      </c>
      <c r="I42" s="59" t="inlineStr">
        <is>
          <t>pacs.009.001.08</t>
        </is>
      </c>
      <c r="J42" s="59" t="inlineStr">
        <is>
          <t>swift.cbprplus.04</t>
        </is>
      </c>
      <c r="K42" s="60" t="n">
        <v>200</v>
      </c>
      <c r="L42" s="59" t="inlineStr">
        <is>
          <t>SSI_RESOLVED</t>
        </is>
      </c>
      <c r="M42" s="59" t="inlineStr">
        <is>
          <t>SSI-DEMO-021</t>
        </is>
      </c>
      <c r="N42" s="60" t="n">
        <v>1</v>
      </c>
      <c r="O42" s="62" t="inlineStr">
        <is>
          <t>留白（由 eligible route 推導）</t>
        </is>
      </c>
      <c r="P42" s="62" t="inlineStr">
        <is>
          <t>唯一候選；須驗 chosenRoute、roleProvenance、snapshotHash、resolutionToken 與幣別一致。</t>
        </is>
      </c>
      <c r="Q42" s="55" t="inlineStr">
        <is>
          <t>RESOLVER_BASELINE_MT205</t>
        </is>
      </c>
      <c r="R42" s="55" t="inlineStr">
        <is>
          <t>BANK-SVC-CHASUS33</t>
        </is>
      </c>
      <c r="S42" s="55" t="n"/>
      <c r="T42" s="55" t="n"/>
      <c r="U42" s="55" t="n"/>
      <c r="V42" s="55" t="n"/>
      <c r="W42" s="55" t="n"/>
      <c r="X42" s="55" t="n"/>
      <c r="Y42" s="55" t="n"/>
      <c r="Z42" s="55" t="n"/>
      <c r="AA42" s="55" t="n"/>
      <c r="AB42" s="55" t="n"/>
      <c r="AC42" s="55" t="n"/>
      <c r="AD42" s="55" t="n"/>
    </row>
    <row r="43" ht="48.5" customHeight="1" s="53">
      <c r="A43" s="59" t="inlineStr">
        <is>
          <t>UAT-V151-039</t>
        </is>
      </c>
      <c r="B43" s="60" t="n">
        <v>10</v>
      </c>
      <c r="C43" s="61" t="inlineStr">
        <is>
          <t>EXECUTABLE NOW</t>
        </is>
      </c>
      <c r="D43" s="59" t="inlineStr">
        <is>
          <t>CHASUS33</t>
        </is>
      </c>
      <c r="E43" s="59" t="inlineStr">
        <is>
          <t>JPMorgan Chase Bank, N.A.</t>
        </is>
      </c>
      <c r="F43" s="60" t="inlineStr">
        <is>
          <t>USD</t>
        </is>
      </c>
      <c r="G43" s="60" t="inlineStr">
        <is>
          <t>HK01</t>
        </is>
      </c>
      <c r="H43" s="59" t="inlineStr">
        <is>
          <t>MT202COV</t>
        </is>
      </c>
      <c r="I43" s="59" t="inlineStr">
        <is>
          <t>pacs.009.001.08</t>
        </is>
      </c>
      <c r="J43" s="59" t="inlineStr">
        <is>
          <t>swift.cbprplus.cov.04</t>
        </is>
      </c>
      <c r="K43" s="60" t="n">
        <v>200</v>
      </c>
      <c r="L43" s="59" t="inlineStr">
        <is>
          <t>SSI_RESOLVED</t>
        </is>
      </c>
      <c r="M43" s="59" t="inlineStr">
        <is>
          <t>SSI-DEMO-021</t>
        </is>
      </c>
      <c r="N43" s="60" t="n">
        <v>1</v>
      </c>
      <c r="O43" s="62" t="inlineStr">
        <is>
          <t>留白（由 eligible route 推導）</t>
        </is>
      </c>
      <c r="P43" s="62" t="inlineStr">
        <is>
          <t>唯一候選；須驗 chosenRoute、roleProvenance、snapshotHash、resolutionToken 與幣別一致。</t>
        </is>
      </c>
      <c r="Q43" s="55" t="inlineStr">
        <is>
          <t>RESOLVER_BASELINE_MT202COV</t>
        </is>
      </c>
      <c r="R43" s="55" t="inlineStr">
        <is>
          <t>BANK-SVC-CHASUS33</t>
        </is>
      </c>
      <c r="S43" s="55" t="n"/>
      <c r="T43" s="55" t="n"/>
      <c r="U43" s="55" t="n"/>
      <c r="V43" s="55" t="n"/>
      <c r="W43" s="55" t="n"/>
      <c r="X43" s="55" t="n"/>
      <c r="Y43" s="55" t="n"/>
      <c r="Z43" s="55" t="n"/>
      <c r="AA43" s="55" t="n"/>
      <c r="AB43" s="55" t="n"/>
      <c r="AC43" s="55" t="n"/>
      <c r="AD43" s="55" t="n"/>
    </row>
    <row r="44" ht="48.5" customHeight="1" s="53">
      <c r="A44" s="59" t="inlineStr">
        <is>
          <t>UAT-V151-040</t>
        </is>
      </c>
      <c r="B44" s="60" t="n">
        <v>10</v>
      </c>
      <c r="C44" s="61" t="inlineStr">
        <is>
          <t>EXECUTABLE NOW</t>
        </is>
      </c>
      <c r="D44" s="59" t="inlineStr">
        <is>
          <t>CHASUS33</t>
        </is>
      </c>
      <c r="E44" s="59" t="inlineStr">
        <is>
          <t>JPMorgan Chase Bank, N.A.</t>
        </is>
      </c>
      <c r="F44" s="60" t="inlineStr">
        <is>
          <t>USD</t>
        </is>
      </c>
      <c r="G44" s="60" t="inlineStr">
        <is>
          <t>HK01</t>
        </is>
      </c>
      <c r="H44" s="59" t="inlineStr">
        <is>
          <t>MT205COV</t>
        </is>
      </c>
      <c r="I44" s="59" t="inlineStr">
        <is>
          <t>pacs.009.001.08</t>
        </is>
      </c>
      <c r="J44" s="59" t="inlineStr">
        <is>
          <t>swift.cbprplus.cov.04</t>
        </is>
      </c>
      <c r="K44" s="60" t="n">
        <v>200</v>
      </c>
      <c r="L44" s="59" t="inlineStr">
        <is>
          <t>SSI_RESOLVED</t>
        </is>
      </c>
      <c r="M44" s="59" t="inlineStr">
        <is>
          <t>SSI-DEMO-021</t>
        </is>
      </c>
      <c r="N44" s="60" t="n">
        <v>1</v>
      </c>
      <c r="O44" s="62" t="inlineStr">
        <is>
          <t>留白（由 eligible route 推導）</t>
        </is>
      </c>
      <c r="P44" s="62" t="inlineStr">
        <is>
          <t>唯一候選；須驗 chosenRoute、roleProvenance、snapshotHash、resolutionToken 與幣別一致。</t>
        </is>
      </c>
      <c r="Q44" s="55" t="inlineStr">
        <is>
          <t>RESOLVER_BASELINE_MT205COV</t>
        </is>
      </c>
      <c r="R44" s="55" t="inlineStr">
        <is>
          <t>BANK-SVC-CHASUS33</t>
        </is>
      </c>
      <c r="S44" s="55" t="n"/>
      <c r="T44" s="55" t="n"/>
      <c r="U44" s="55" t="n"/>
      <c r="V44" s="55" t="n"/>
      <c r="W44" s="55" t="n"/>
      <c r="X44" s="55" t="n"/>
      <c r="Y44" s="55" t="n"/>
      <c r="Z44" s="55" t="n"/>
      <c r="AA44" s="55" t="n"/>
      <c r="AB44" s="55" t="n"/>
      <c r="AC44" s="55" t="n"/>
      <c r="AD44" s="55" t="n"/>
    </row>
    <row r="45" ht="48.5" customHeight="1" s="53">
      <c r="A45" s="59" t="inlineStr">
        <is>
          <t>UAT-V151-041</t>
        </is>
      </c>
      <c r="B45" s="60" t="n">
        <v>11</v>
      </c>
      <c r="C45" s="61" t="inlineStr">
        <is>
          <t>EXECUTABLE NOW</t>
        </is>
      </c>
      <c r="D45" s="59" t="inlineStr">
        <is>
          <t>SCBLGB2L</t>
        </is>
      </c>
      <c r="E45" s="59" t="inlineStr">
        <is>
          <t>Standard Chartered Bank</t>
        </is>
      </c>
      <c r="F45" s="60" t="inlineStr">
        <is>
          <t>CHF</t>
        </is>
      </c>
      <c r="G45" s="60" t="inlineStr">
        <is>
          <t>HK01</t>
        </is>
      </c>
      <c r="H45" s="59" t="inlineStr">
        <is>
          <t>MT202</t>
        </is>
      </c>
      <c r="I45" s="59" t="inlineStr">
        <is>
          <t>pacs.009.001.08</t>
        </is>
      </c>
      <c r="J45" s="59" t="inlineStr">
        <is>
          <t>swift.cbprplus.04</t>
        </is>
      </c>
      <c r="K45" s="60" t="n">
        <v>200</v>
      </c>
      <c r="L45" s="59" t="inlineStr">
        <is>
          <t>SSI_RESOLVED</t>
        </is>
      </c>
      <c r="M45" s="59" t="inlineStr">
        <is>
          <t>SSI-DEMO-017</t>
        </is>
      </c>
      <c r="N45" s="60" t="n">
        <v>2</v>
      </c>
      <c r="O45" s="62" t="inlineStr">
        <is>
          <t>留白（由 eligible route 推導）</t>
        </is>
      </c>
      <c r="P45" s="59" t="inlineStr">
        <is>
          <t>2 筆 eligible；依受控 rank keys 選 SSI-DEMO-017。須列出 alternatives，且帳號、agent、provenance 均來自同一 chosen SSI。</t>
        </is>
      </c>
      <c r="Q45" s="55" t="inlineStr">
        <is>
          <t>RESOLVER_BASELINE_MT202</t>
        </is>
      </c>
      <c r="R45" s="55" t="inlineStr">
        <is>
          <t>BANK-SVC-SCBLGB2L</t>
        </is>
      </c>
      <c r="S45" s="55" t="n"/>
      <c r="T45" s="55" t="n"/>
      <c r="U45" s="55" t="n"/>
      <c r="V45" s="55" t="n"/>
      <c r="W45" s="55" t="n"/>
      <c r="X45" s="55" t="n"/>
      <c r="Y45" s="55" t="n"/>
      <c r="Z45" s="55" t="n"/>
      <c r="AA45" s="55" t="n"/>
      <c r="AB45" s="55" t="n"/>
      <c r="AC45" s="55" t="n"/>
      <c r="AD45" s="55" t="n"/>
    </row>
    <row r="46" ht="48.5" customHeight="1" s="53">
      <c r="A46" s="59" t="inlineStr">
        <is>
          <t>UAT-V151-042</t>
        </is>
      </c>
      <c r="B46" s="60" t="n">
        <v>11</v>
      </c>
      <c r="C46" s="61" t="inlineStr">
        <is>
          <t>EXECUTABLE NOW</t>
        </is>
      </c>
      <c r="D46" s="59" t="inlineStr">
        <is>
          <t>SCBLGB2L</t>
        </is>
      </c>
      <c r="E46" s="59" t="inlineStr">
        <is>
          <t>Standard Chartered Bank</t>
        </is>
      </c>
      <c r="F46" s="60" t="inlineStr">
        <is>
          <t>CHF</t>
        </is>
      </c>
      <c r="G46" s="60" t="inlineStr">
        <is>
          <t>HK01</t>
        </is>
      </c>
      <c r="H46" s="59" t="inlineStr">
        <is>
          <t>MT205</t>
        </is>
      </c>
      <c r="I46" s="59" t="inlineStr">
        <is>
          <t>pacs.009.001.08</t>
        </is>
      </c>
      <c r="J46" s="59" t="inlineStr">
        <is>
          <t>swift.cbprplus.04</t>
        </is>
      </c>
      <c r="K46" s="60" t="n">
        <v>200</v>
      </c>
      <c r="L46" s="59" t="inlineStr">
        <is>
          <t>SSI_RESOLVED</t>
        </is>
      </c>
      <c r="M46" s="59" t="inlineStr">
        <is>
          <t>SSI-DEMO-017</t>
        </is>
      </c>
      <c r="N46" s="60" t="n">
        <v>2</v>
      </c>
      <c r="O46" s="62" t="inlineStr">
        <is>
          <t>留白（由 eligible route 推導）</t>
        </is>
      </c>
      <c r="P46" s="59" t="inlineStr">
        <is>
          <t>2 筆 eligible；依受控 rank keys 選 SSI-DEMO-017。須列出 alternatives，且帳號、agent、provenance 均來自同一 chosen SSI。</t>
        </is>
      </c>
      <c r="Q46" s="55" t="inlineStr">
        <is>
          <t>RESOLVER_BASELINE_MT205</t>
        </is>
      </c>
      <c r="R46" s="55" t="inlineStr">
        <is>
          <t>BANK-SVC-SCBLGB2L</t>
        </is>
      </c>
      <c r="S46" s="55" t="n"/>
      <c r="T46" s="55" t="n"/>
      <c r="U46" s="55" t="n"/>
      <c r="V46" s="55" t="n"/>
      <c r="W46" s="55" t="n"/>
      <c r="X46" s="55" t="n"/>
      <c r="Y46" s="55" t="n"/>
      <c r="Z46" s="55" t="n"/>
      <c r="AA46" s="55" t="n"/>
      <c r="AB46" s="55" t="n"/>
      <c r="AC46" s="55" t="n"/>
      <c r="AD46" s="55" t="n"/>
    </row>
    <row r="47" ht="48.5" customHeight="1" s="53">
      <c r="A47" s="59" t="inlineStr">
        <is>
          <t>UAT-V151-043</t>
        </is>
      </c>
      <c r="B47" s="60" t="n">
        <v>11</v>
      </c>
      <c r="C47" s="61" t="inlineStr">
        <is>
          <t>EXECUTABLE NOW</t>
        </is>
      </c>
      <c r="D47" s="59" t="inlineStr">
        <is>
          <t>SCBLGB2L</t>
        </is>
      </c>
      <c r="E47" s="59" t="inlineStr">
        <is>
          <t>Standard Chartered Bank</t>
        </is>
      </c>
      <c r="F47" s="60" t="inlineStr">
        <is>
          <t>CHF</t>
        </is>
      </c>
      <c r="G47" s="60" t="inlineStr">
        <is>
          <t>HK01</t>
        </is>
      </c>
      <c r="H47" s="59" t="inlineStr">
        <is>
          <t>MT202COV</t>
        </is>
      </c>
      <c r="I47" s="59" t="inlineStr">
        <is>
          <t>pacs.009.001.08</t>
        </is>
      </c>
      <c r="J47" s="59" t="inlineStr">
        <is>
          <t>swift.cbprplus.cov.04</t>
        </is>
      </c>
      <c r="K47" s="60" t="n">
        <v>200</v>
      </c>
      <c r="L47" s="59" t="inlineStr">
        <is>
          <t>SSI_RESOLVED</t>
        </is>
      </c>
      <c r="M47" s="59" t="inlineStr">
        <is>
          <t>SSI-DEMO-017</t>
        </is>
      </c>
      <c r="N47" s="60" t="n">
        <v>2</v>
      </c>
      <c r="O47" s="62" t="inlineStr">
        <is>
          <t>留白（由 eligible route 推導）</t>
        </is>
      </c>
      <c r="P47" s="59" t="inlineStr">
        <is>
          <t>2 筆 eligible；依受控 rank keys 選 SSI-DEMO-017。須列出 alternatives，且帳號、agent、provenance 均來自同一 chosen SSI。</t>
        </is>
      </c>
      <c r="Q47" s="55" t="inlineStr">
        <is>
          <t>RESOLVER_BASELINE_MT202COV</t>
        </is>
      </c>
      <c r="R47" s="55" t="inlineStr">
        <is>
          <t>BANK-SVC-SCBLGB2L</t>
        </is>
      </c>
      <c r="S47" s="55" t="n"/>
      <c r="T47" s="55" t="n"/>
      <c r="U47" s="55" t="n"/>
      <c r="V47" s="55" t="n"/>
      <c r="W47" s="55" t="n"/>
      <c r="X47" s="55" t="n"/>
      <c r="Y47" s="55" t="n"/>
      <c r="Z47" s="55" t="n"/>
      <c r="AA47" s="55" t="n"/>
      <c r="AB47" s="55" t="n"/>
      <c r="AC47" s="55" t="n"/>
      <c r="AD47" s="55" t="n"/>
    </row>
    <row r="48" ht="48.5" customHeight="1" s="53">
      <c r="A48" s="59" t="inlineStr">
        <is>
          <t>UAT-V151-044</t>
        </is>
      </c>
      <c r="B48" s="60" t="n">
        <v>11</v>
      </c>
      <c r="C48" s="61" t="inlineStr">
        <is>
          <t>EXECUTABLE NOW</t>
        </is>
      </c>
      <c r="D48" s="59" t="inlineStr">
        <is>
          <t>SCBLGB2L</t>
        </is>
      </c>
      <c r="E48" s="59" t="inlineStr">
        <is>
          <t>Standard Chartered Bank</t>
        </is>
      </c>
      <c r="F48" s="60" t="inlineStr">
        <is>
          <t>CHF</t>
        </is>
      </c>
      <c r="G48" s="60" t="inlineStr">
        <is>
          <t>HK01</t>
        </is>
      </c>
      <c r="H48" s="59" t="inlineStr">
        <is>
          <t>MT205COV</t>
        </is>
      </c>
      <c r="I48" s="59" t="inlineStr">
        <is>
          <t>pacs.009.001.08</t>
        </is>
      </c>
      <c r="J48" s="59" t="inlineStr">
        <is>
          <t>swift.cbprplus.cov.04</t>
        </is>
      </c>
      <c r="K48" s="60" t="n">
        <v>200</v>
      </c>
      <c r="L48" s="59" t="inlineStr">
        <is>
          <t>SSI_RESOLVED</t>
        </is>
      </c>
      <c r="M48" s="59" t="inlineStr">
        <is>
          <t>SSI-DEMO-017</t>
        </is>
      </c>
      <c r="N48" s="60" t="n">
        <v>2</v>
      </c>
      <c r="O48" s="62" t="inlineStr">
        <is>
          <t>留白（由 eligible route 推導）</t>
        </is>
      </c>
      <c r="P48" s="59" t="inlineStr">
        <is>
          <t>2 筆 eligible；依受控 rank keys 選 SSI-DEMO-017。須列出 alternatives，且帳號、agent、provenance 均來自同一 chosen SSI。</t>
        </is>
      </c>
      <c r="Q48" s="55" t="inlineStr">
        <is>
          <t>RESOLVER_BASELINE_MT205COV</t>
        </is>
      </c>
      <c r="R48" s="55" t="inlineStr">
        <is>
          <t>BANK-SVC-SCBLGB2L</t>
        </is>
      </c>
      <c r="S48" s="55" t="n"/>
      <c r="T48" s="55" t="n"/>
      <c r="U48" s="55" t="n"/>
      <c r="V48" s="55" t="n"/>
      <c r="W48" s="55" t="n"/>
      <c r="X48" s="55" t="n"/>
      <c r="Y48" s="55" t="n"/>
      <c r="Z48" s="55" t="n"/>
      <c r="AA48" s="55" t="n"/>
      <c r="AB48" s="55" t="n"/>
      <c r="AC48" s="55" t="n"/>
      <c r="AD48" s="55" t="n"/>
    </row>
    <row r="49" ht="48.5" customHeight="1" s="53">
      <c r="A49" s="59" t="inlineStr">
        <is>
          <t>UAT-V151-045</t>
        </is>
      </c>
      <c r="B49" s="60" t="n">
        <v>12</v>
      </c>
      <c r="C49" s="61" t="inlineStr">
        <is>
          <t>EXECUTABLE NOW</t>
        </is>
      </c>
      <c r="D49" s="59" t="inlineStr">
        <is>
          <t>BNPAFRPP</t>
        </is>
      </c>
      <c r="E49" s="59" t="inlineStr">
        <is>
          <t>BNP Paribas</t>
        </is>
      </c>
      <c r="F49" s="60" t="inlineStr">
        <is>
          <t>CNY</t>
        </is>
      </c>
      <c r="G49" s="60" t="inlineStr">
        <is>
          <t>HK01</t>
        </is>
      </c>
      <c r="H49" s="59" t="inlineStr">
        <is>
          <t>MT202</t>
        </is>
      </c>
      <c r="I49" s="59" t="inlineStr">
        <is>
          <t>pacs.009.001.08</t>
        </is>
      </c>
      <c r="J49" s="59" t="inlineStr">
        <is>
          <t>swift.cbprplus.04</t>
        </is>
      </c>
      <c r="K49" s="60" t="n">
        <v>200</v>
      </c>
      <c r="L49" s="59" t="inlineStr">
        <is>
          <t>SSI_RESOLVED</t>
        </is>
      </c>
      <c r="M49" s="59" t="inlineStr">
        <is>
          <t>SSI-DEMO-019</t>
        </is>
      </c>
      <c r="N49" s="60" t="n">
        <v>2</v>
      </c>
      <c r="O49" s="62" t="inlineStr">
        <is>
          <t>留白（由 eligible route 推導）</t>
        </is>
      </c>
      <c r="P49" s="59" t="inlineStr">
        <is>
          <t>2 筆 eligible；依受控 rank keys 選 SSI-DEMO-019。須列出 alternatives，且帳號、agent、provenance 均來自同一 chosen SSI。</t>
        </is>
      </c>
      <c r="Q49" s="55" t="inlineStr">
        <is>
          <t>RESOLVER_BASELINE_MT202</t>
        </is>
      </c>
      <c r="R49" s="55" t="inlineStr">
        <is>
          <t>BANK-SVC-BNPAFRPP</t>
        </is>
      </c>
      <c r="S49" s="55" t="n"/>
      <c r="T49" s="55" t="n"/>
      <c r="U49" s="55" t="n"/>
      <c r="V49" s="55" t="n"/>
      <c r="W49" s="55" t="n"/>
      <c r="X49" s="55" t="n"/>
      <c r="Y49" s="55" t="n"/>
      <c r="Z49" s="55" t="n"/>
      <c r="AA49" s="55" t="n"/>
      <c r="AB49" s="55" t="n"/>
      <c r="AC49" s="55" t="n"/>
      <c r="AD49" s="55" t="n"/>
    </row>
    <row r="50" ht="48.5" customHeight="1" s="53">
      <c r="A50" s="59" t="inlineStr">
        <is>
          <t>UAT-V151-046</t>
        </is>
      </c>
      <c r="B50" s="60" t="n">
        <v>12</v>
      </c>
      <c r="C50" s="61" t="inlineStr">
        <is>
          <t>EXECUTABLE NOW</t>
        </is>
      </c>
      <c r="D50" s="59" t="inlineStr">
        <is>
          <t>BNPAFRPP</t>
        </is>
      </c>
      <c r="E50" s="59" t="inlineStr">
        <is>
          <t>BNP Paribas</t>
        </is>
      </c>
      <c r="F50" s="60" t="inlineStr">
        <is>
          <t>CNY</t>
        </is>
      </c>
      <c r="G50" s="60" t="inlineStr">
        <is>
          <t>HK01</t>
        </is>
      </c>
      <c r="H50" s="59" t="inlineStr">
        <is>
          <t>MT205</t>
        </is>
      </c>
      <c r="I50" s="59" t="inlineStr">
        <is>
          <t>pacs.009.001.08</t>
        </is>
      </c>
      <c r="J50" s="59" t="inlineStr">
        <is>
          <t>swift.cbprplus.04</t>
        </is>
      </c>
      <c r="K50" s="60" t="n">
        <v>200</v>
      </c>
      <c r="L50" s="59" t="inlineStr">
        <is>
          <t>SSI_RESOLVED</t>
        </is>
      </c>
      <c r="M50" s="59" t="inlineStr">
        <is>
          <t>SSI-DEMO-019</t>
        </is>
      </c>
      <c r="N50" s="60" t="n">
        <v>2</v>
      </c>
      <c r="O50" s="62" t="inlineStr">
        <is>
          <t>留白（由 eligible route 推導）</t>
        </is>
      </c>
      <c r="P50" s="59" t="inlineStr">
        <is>
          <t>2 筆 eligible；依受控 rank keys 選 SSI-DEMO-019。須列出 alternatives，且帳號、agent、provenance 均來自同一 chosen SSI。</t>
        </is>
      </c>
      <c r="Q50" s="55" t="inlineStr">
        <is>
          <t>RESOLVER_BASELINE_MT205</t>
        </is>
      </c>
      <c r="R50" s="55" t="inlineStr">
        <is>
          <t>BANK-SVC-BNPAFRPP</t>
        </is>
      </c>
      <c r="S50" s="55" t="n"/>
      <c r="T50" s="55" t="n"/>
      <c r="U50" s="55" t="n"/>
      <c r="V50" s="55" t="n"/>
      <c r="W50" s="55" t="n"/>
      <c r="X50" s="55" t="n"/>
      <c r="Y50" s="55" t="n"/>
      <c r="Z50" s="55" t="n"/>
      <c r="AA50" s="55" t="n"/>
      <c r="AB50" s="55" t="n"/>
      <c r="AC50" s="55" t="n"/>
      <c r="AD50" s="55" t="n"/>
    </row>
    <row r="51" ht="48.5" customHeight="1" s="53">
      <c r="A51" s="59" t="inlineStr">
        <is>
          <t>UAT-V151-047</t>
        </is>
      </c>
      <c r="B51" s="60" t="n">
        <v>12</v>
      </c>
      <c r="C51" s="61" t="inlineStr">
        <is>
          <t>EXECUTABLE NOW</t>
        </is>
      </c>
      <c r="D51" s="59" t="inlineStr">
        <is>
          <t>BNPAFRPP</t>
        </is>
      </c>
      <c r="E51" s="59" t="inlineStr">
        <is>
          <t>BNP Paribas</t>
        </is>
      </c>
      <c r="F51" s="60" t="inlineStr">
        <is>
          <t>CNY</t>
        </is>
      </c>
      <c r="G51" s="60" t="inlineStr">
        <is>
          <t>HK01</t>
        </is>
      </c>
      <c r="H51" s="59" t="inlineStr">
        <is>
          <t>MT202COV</t>
        </is>
      </c>
      <c r="I51" s="59" t="inlineStr">
        <is>
          <t>pacs.009.001.08</t>
        </is>
      </c>
      <c r="J51" s="59" t="inlineStr">
        <is>
          <t>swift.cbprplus.cov.04</t>
        </is>
      </c>
      <c r="K51" s="60" t="n">
        <v>200</v>
      </c>
      <c r="L51" s="59" t="inlineStr">
        <is>
          <t>SSI_RESOLVED</t>
        </is>
      </c>
      <c r="M51" s="59" t="inlineStr">
        <is>
          <t>SSI-DEMO-019</t>
        </is>
      </c>
      <c r="N51" s="60" t="n">
        <v>2</v>
      </c>
      <c r="O51" s="62" t="inlineStr">
        <is>
          <t>留白（由 eligible route 推導）</t>
        </is>
      </c>
      <c r="P51" s="59" t="inlineStr">
        <is>
          <t>2 筆 eligible；依受控 rank keys 選 SSI-DEMO-019。須列出 alternatives，且帳號、agent、provenance 均來自同一 chosen SSI。</t>
        </is>
      </c>
      <c r="Q51" s="55" t="inlineStr">
        <is>
          <t>RESOLVER_BASELINE_MT202COV</t>
        </is>
      </c>
      <c r="R51" s="55" t="inlineStr">
        <is>
          <t>BANK-SVC-BNPAFRPP</t>
        </is>
      </c>
      <c r="S51" s="55" t="n"/>
      <c r="T51" s="55" t="n"/>
      <c r="U51" s="55" t="n"/>
      <c r="V51" s="55" t="n"/>
      <c r="W51" s="55" t="n"/>
      <c r="X51" s="55" t="n"/>
      <c r="Y51" s="55" t="n"/>
      <c r="Z51" s="55" t="n"/>
      <c r="AA51" s="55" t="n"/>
      <c r="AB51" s="55" t="n"/>
      <c r="AC51" s="55" t="n"/>
      <c r="AD51" s="55" t="n"/>
    </row>
    <row r="52" ht="48.5" customHeight="1" s="53">
      <c r="A52" s="59" t="inlineStr">
        <is>
          <t>UAT-V151-048</t>
        </is>
      </c>
      <c r="B52" s="60" t="n">
        <v>12</v>
      </c>
      <c r="C52" s="61" t="inlineStr">
        <is>
          <t>EXECUTABLE NOW</t>
        </is>
      </c>
      <c r="D52" s="59" t="inlineStr">
        <is>
          <t>BNPAFRPP</t>
        </is>
      </c>
      <c r="E52" s="59" t="inlineStr">
        <is>
          <t>BNP Paribas</t>
        </is>
      </c>
      <c r="F52" s="60" t="inlineStr">
        <is>
          <t>CNY</t>
        </is>
      </c>
      <c r="G52" s="60" t="inlineStr">
        <is>
          <t>HK01</t>
        </is>
      </c>
      <c r="H52" s="59" t="inlineStr">
        <is>
          <t>MT205COV</t>
        </is>
      </c>
      <c r="I52" s="59" t="inlineStr">
        <is>
          <t>pacs.009.001.08</t>
        </is>
      </c>
      <c r="J52" s="59" t="inlineStr">
        <is>
          <t>swift.cbprplus.cov.04</t>
        </is>
      </c>
      <c r="K52" s="60" t="n">
        <v>200</v>
      </c>
      <c r="L52" s="59" t="inlineStr">
        <is>
          <t>SSI_RESOLVED</t>
        </is>
      </c>
      <c r="M52" s="59" t="inlineStr">
        <is>
          <t>SSI-DEMO-019</t>
        </is>
      </c>
      <c r="N52" s="60" t="n">
        <v>2</v>
      </c>
      <c r="O52" s="62" t="inlineStr">
        <is>
          <t>留白（由 eligible route 推導）</t>
        </is>
      </c>
      <c r="P52" s="59" t="inlineStr">
        <is>
          <t>2 筆 eligible；依受控 rank keys 選 SSI-DEMO-019。須列出 alternatives，且帳號、agent、provenance 均來自同一 chosen SSI。</t>
        </is>
      </c>
      <c r="Q52" s="55" t="inlineStr">
        <is>
          <t>RESOLVER_BASELINE_MT205COV</t>
        </is>
      </c>
      <c r="R52" s="55" t="inlineStr">
        <is>
          <t>BANK-SVC-BNPAFRPP</t>
        </is>
      </c>
      <c r="S52" s="55" t="n"/>
      <c r="T52" s="55" t="n"/>
      <c r="U52" s="55" t="n"/>
      <c r="V52" s="55" t="n"/>
      <c r="W52" s="55" t="n"/>
      <c r="X52" s="55" t="n"/>
      <c r="Y52" s="55" t="n"/>
      <c r="Z52" s="55" t="n"/>
      <c r="AA52" s="55" t="n"/>
      <c r="AB52" s="55" t="n"/>
      <c r="AC52" s="55" t="n"/>
      <c r="AD52" s="55" t="n"/>
    </row>
    <row r="53" ht="52.5" customHeight="1" s="53">
      <c r="A53" s="59" t="n"/>
      <c r="B53" s="60" t="n"/>
      <c r="C53" s="63" t="n"/>
      <c r="D53" s="59" t="n"/>
      <c r="E53" s="59" t="n"/>
      <c r="F53" s="60" t="n"/>
      <c r="G53" s="60" t="n"/>
      <c r="H53" s="59" t="n"/>
      <c r="I53" s="59" t="n"/>
      <c r="J53" s="59" t="n"/>
      <c r="K53" s="60" t="n"/>
      <c r="L53" s="59" t="n"/>
      <c r="M53" s="59" t="n"/>
      <c r="N53" s="60" t="n"/>
      <c r="O53" s="59" t="n"/>
      <c r="P53" s="59" t="n"/>
      <c r="Q53" s="55" t="n"/>
      <c r="R53" s="55" t="n"/>
      <c r="S53" s="55" t="n"/>
      <c r="T53" s="55" t="n"/>
      <c r="U53" s="55" t="n"/>
      <c r="V53" s="55" t="n"/>
      <c r="W53" s="55" t="n"/>
      <c r="X53" s="55" t="n"/>
      <c r="Y53" s="55" t="n"/>
      <c r="Z53" s="55" t="n"/>
      <c r="AA53" s="55" t="n"/>
      <c r="AB53" s="55" t="n"/>
      <c r="AC53" s="55" t="n"/>
      <c r="AD53" s="55" t="n"/>
    </row>
    <row r="54" ht="52.5" customHeight="1" s="53">
      <c r="A54" s="59" t="n"/>
      <c r="B54" s="60" t="n"/>
      <c r="C54" s="63" t="n"/>
      <c r="D54" s="59" t="n"/>
      <c r="E54" s="59" t="n"/>
      <c r="F54" s="60" t="n"/>
      <c r="G54" s="60" t="n"/>
      <c r="H54" s="59" t="n"/>
      <c r="I54" s="59" t="n"/>
      <c r="J54" s="59" t="n"/>
      <c r="K54" s="60" t="n"/>
      <c r="L54" s="59" t="n"/>
      <c r="M54" s="59" t="n"/>
      <c r="N54" s="60" t="n"/>
      <c r="O54" s="59" t="n"/>
      <c r="P54" s="59" t="n"/>
      <c r="Q54" s="55" t="n"/>
      <c r="R54" s="55" t="n"/>
      <c r="S54" s="55" t="n"/>
      <c r="T54" s="55" t="n"/>
      <c r="U54" s="55" t="n"/>
      <c r="V54" s="55" t="n"/>
      <c r="W54" s="55" t="n"/>
      <c r="X54" s="55" t="n"/>
      <c r="Y54" s="55" t="n"/>
      <c r="Z54" s="55" t="n"/>
      <c r="AA54" s="55" t="n"/>
      <c r="AB54" s="55" t="n"/>
      <c r="AC54" s="55" t="n"/>
      <c r="AD54" s="55" t="n"/>
    </row>
    <row r="55" ht="52.5" customHeight="1" s="53">
      <c r="A55" s="59" t="n"/>
      <c r="B55" s="60" t="n"/>
      <c r="C55" s="63" t="n"/>
      <c r="D55" s="59" t="n"/>
      <c r="E55" s="59" t="n"/>
      <c r="F55" s="60" t="n"/>
      <c r="G55" s="60" t="n"/>
      <c r="H55" s="59" t="n"/>
      <c r="I55" s="59" t="n"/>
      <c r="J55" s="59" t="n"/>
      <c r="K55" s="60" t="n"/>
      <c r="L55" s="59" t="n"/>
      <c r="M55" s="59" t="n"/>
      <c r="N55" s="60" t="n"/>
      <c r="O55" s="59" t="n"/>
      <c r="P55" s="59" t="n"/>
      <c r="Q55" s="55" t="n"/>
      <c r="R55" s="55" t="n"/>
      <c r="S55" s="55" t="n"/>
      <c r="T55" s="55" t="n"/>
      <c r="U55" s="55" t="n"/>
      <c r="V55" s="55" t="n"/>
      <c r="W55" s="55" t="n"/>
      <c r="X55" s="55" t="n"/>
      <c r="Y55" s="55" t="n"/>
      <c r="Z55" s="55" t="n"/>
      <c r="AA55" s="55" t="n"/>
      <c r="AB55" s="55" t="n"/>
      <c r="AC55" s="55" t="n"/>
      <c r="AD55" s="55" t="n"/>
    </row>
    <row r="56" ht="52.5" customHeight="1" s="53">
      <c r="A56" s="59" t="n"/>
      <c r="B56" s="60" t="n"/>
      <c r="C56" s="63" t="n"/>
      <c r="D56" s="59" t="n"/>
      <c r="E56" s="59" t="n"/>
      <c r="F56" s="60" t="n"/>
      <c r="G56" s="60" t="n"/>
      <c r="H56" s="59" t="n"/>
      <c r="I56" s="59" t="n"/>
      <c r="J56" s="59" t="n"/>
      <c r="K56" s="60" t="n"/>
      <c r="L56" s="59" t="n"/>
      <c r="M56" s="59" t="n"/>
      <c r="N56" s="60" t="n"/>
      <c r="O56" s="59" t="n"/>
      <c r="P56" s="59" t="n"/>
      <c r="Q56" s="55" t="n"/>
      <c r="R56" s="55" t="n"/>
      <c r="S56" s="55" t="n"/>
      <c r="T56" s="55" t="n"/>
      <c r="U56" s="55" t="n"/>
      <c r="V56" s="55" t="n"/>
      <c r="W56" s="55" t="n"/>
      <c r="X56" s="55" t="n"/>
      <c r="Y56" s="55" t="n"/>
      <c r="Z56" s="55" t="n"/>
      <c r="AA56" s="55" t="n"/>
      <c r="AB56" s="55" t="n"/>
      <c r="AC56" s="55" t="n"/>
      <c r="AD56" s="55" t="n"/>
    </row>
    <row r="57" ht="52.5" customHeight="1" s="53">
      <c r="A57" s="59" t="n"/>
      <c r="B57" s="60" t="n"/>
      <c r="C57" s="63" t="n"/>
      <c r="D57" s="59" t="n"/>
      <c r="E57" s="59" t="n"/>
      <c r="F57" s="60" t="n"/>
      <c r="G57" s="60" t="n"/>
      <c r="H57" s="59" t="n"/>
      <c r="I57" s="59" t="n"/>
      <c r="J57" s="59" t="n"/>
      <c r="K57" s="60" t="n"/>
      <c r="L57" s="59" t="n"/>
      <c r="M57" s="59" t="n"/>
      <c r="N57" s="60" t="n"/>
      <c r="O57" s="59" t="n"/>
      <c r="P57" s="59" t="n"/>
      <c r="Q57" s="55" t="n"/>
      <c r="R57" s="55" t="n"/>
      <c r="S57" s="55" t="n"/>
      <c r="T57" s="55" t="n"/>
      <c r="U57" s="55" t="n"/>
      <c r="V57" s="55" t="n"/>
      <c r="W57" s="55" t="n"/>
      <c r="X57" s="55" t="n"/>
      <c r="Y57" s="55" t="n"/>
      <c r="Z57" s="55" t="n"/>
      <c r="AA57" s="55" t="n"/>
      <c r="AB57" s="55" t="n"/>
      <c r="AC57" s="55" t="n"/>
      <c r="AD57" s="55" t="n"/>
    </row>
    <row r="58" ht="66" customHeight="1" s="53">
      <c r="A58" s="59" t="n"/>
      <c r="B58" s="64" t="n"/>
      <c r="C58" s="63" t="n"/>
      <c r="D58" s="59" t="n"/>
      <c r="E58" s="59" t="n"/>
      <c r="F58" s="60" t="n"/>
      <c r="G58" s="60" t="n"/>
      <c r="H58" s="59" t="n"/>
      <c r="I58" s="59" t="n"/>
      <c r="J58" s="59" t="n"/>
      <c r="K58" s="60" t="n"/>
      <c r="L58" s="59" t="n"/>
      <c r="M58" s="59" t="n"/>
      <c r="N58" s="60" t="n"/>
      <c r="O58" s="59" t="n"/>
      <c r="P58" s="59" t="n"/>
      <c r="Q58" s="55" t="n"/>
      <c r="R58" s="55" t="n"/>
      <c r="S58" s="55" t="n"/>
      <c r="T58" s="55" t="n"/>
      <c r="U58" s="55" t="n"/>
      <c r="V58" s="55" t="n"/>
      <c r="W58" s="55" t="n"/>
      <c r="X58" s="55" t="n"/>
      <c r="Y58" s="55" t="n"/>
      <c r="Z58" s="55" t="n"/>
      <c r="AA58" s="55" t="n"/>
      <c r="AB58" s="55" t="n"/>
      <c r="AC58" s="55" t="n"/>
      <c r="AD58" s="55" t="n"/>
    </row>
    <row r="59" ht="66" customHeight="1" s="53">
      <c r="A59" s="59" t="n"/>
      <c r="B59" s="64" t="n"/>
      <c r="C59" s="63" t="n"/>
      <c r="D59" s="59" t="n"/>
      <c r="E59" s="59" t="n"/>
      <c r="F59" s="60" t="n"/>
      <c r="G59" s="60" t="n"/>
      <c r="H59" s="59" t="n"/>
      <c r="I59" s="59" t="n"/>
      <c r="J59" s="59" t="n"/>
      <c r="K59" s="60" t="n"/>
      <c r="L59" s="59" t="n"/>
      <c r="M59" s="59" t="n"/>
      <c r="N59" s="60" t="n"/>
      <c r="O59" s="59" t="n"/>
      <c r="P59" s="59" t="n"/>
      <c r="Q59" s="55" t="n"/>
      <c r="R59" s="55" t="n"/>
      <c r="S59" s="55" t="n"/>
      <c r="T59" s="55" t="n"/>
      <c r="U59" s="55" t="n"/>
      <c r="V59" s="55" t="n"/>
      <c r="W59" s="55" t="n"/>
      <c r="X59" s="55" t="n"/>
      <c r="Y59" s="55" t="n"/>
      <c r="Z59" s="55" t="n"/>
      <c r="AA59" s="55" t="n"/>
      <c r="AB59" s="55" t="n"/>
      <c r="AC59" s="55" t="n"/>
      <c r="AD59" s="55" t="n"/>
    </row>
    <row r="60" ht="52.5" customHeight="1" s="53">
      <c r="A60" s="59" t="n"/>
      <c r="B60" s="60" t="n"/>
      <c r="C60" s="63" t="n"/>
      <c r="D60" s="59" t="n"/>
      <c r="E60" s="59" t="n"/>
      <c r="F60" s="60" t="n"/>
      <c r="G60" s="60" t="n"/>
      <c r="H60" s="59" t="n"/>
      <c r="I60" s="59" t="n"/>
      <c r="J60" s="59" t="n"/>
      <c r="K60" s="60" t="n"/>
      <c r="L60" s="59" t="n"/>
      <c r="M60" s="59" t="n"/>
      <c r="N60" s="60" t="n"/>
      <c r="O60" s="59" t="n"/>
      <c r="P60" s="59" t="n"/>
      <c r="Q60" s="55" t="n"/>
      <c r="R60" s="55" t="n"/>
      <c r="S60" s="55" t="n"/>
      <c r="T60" s="55" t="n"/>
      <c r="U60" s="55" t="n"/>
      <c r="V60" s="55" t="n"/>
      <c r="W60" s="55" t="n"/>
      <c r="X60" s="55" t="n"/>
      <c r="Y60" s="55" t="n"/>
      <c r="Z60" s="55" t="n"/>
      <c r="AA60" s="55" t="n"/>
      <c r="AB60" s="55" t="n"/>
      <c r="AC60" s="55" t="n"/>
      <c r="AD60" s="55" t="n"/>
    </row>
    <row r="61" ht="14.25" customHeight="1" s="53">
      <c r="A61" s="55" t="n"/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  <c r="S61" s="55" t="n"/>
      <c r="T61" s="55" t="n"/>
      <c r="U61" s="55" t="n"/>
      <c r="V61" s="55" t="n"/>
      <c r="W61" s="55" t="n"/>
      <c r="X61" s="55" t="n"/>
      <c r="Y61" s="55" t="n"/>
      <c r="Z61" s="55" t="n"/>
      <c r="AA61" s="55" t="n"/>
      <c r="AB61" s="55" t="n"/>
      <c r="AC61" s="55" t="n"/>
      <c r="AD61" s="55" t="n"/>
    </row>
    <row r="62" ht="14.25" customHeight="1" s="53">
      <c r="A62" s="65" t="inlineStr">
        <is>
          <t>彙總（依受控矩陣產生；非公式，任何閱讀器皆可見）</t>
        </is>
      </c>
      <c r="B62" s="55" t="n"/>
      <c r="C62" s="55" t="n"/>
      <c r="D62" s="55" t="n"/>
      <c r="E62" s="55" t="n"/>
      <c r="F62" s="55" t="n"/>
      <c r="G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  <c r="S62" s="55" t="n"/>
      <c r="T62" s="55" t="n"/>
      <c r="U62" s="55" t="n"/>
      <c r="V62" s="55" t="n"/>
      <c r="W62" s="55" t="n"/>
      <c r="X62" s="55" t="n"/>
      <c r="Y62" s="55" t="n"/>
      <c r="Z62" s="55" t="n"/>
      <c r="AA62" s="55" t="n"/>
      <c r="AB62" s="55" t="n"/>
      <c r="AC62" s="55" t="n"/>
      <c r="AD62" s="55" t="n"/>
    </row>
    <row r="63" ht="14.25" customHeight="1" s="53">
      <c r="A63" s="66" t="inlineStr">
        <is>
          <t>案例總數</t>
        </is>
      </c>
      <c r="B63" s="67" t="n">
        <v>48</v>
      </c>
      <c r="C63" s="55" t="n"/>
      <c r="D63" s="55" t="n"/>
      <c r="E63" s="55" t="n"/>
      <c r="F63" s="55" t="n"/>
      <c r="G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  <c r="S63" s="55" t="n"/>
      <c r="T63" s="55" t="n"/>
      <c r="U63" s="55" t="n"/>
      <c r="V63" s="55" t="n"/>
      <c r="W63" s="55" t="n"/>
      <c r="X63" s="55" t="n"/>
      <c r="Y63" s="55" t="n"/>
      <c r="Z63" s="55" t="n"/>
      <c r="AA63" s="55" t="n"/>
      <c r="AB63" s="55" t="n"/>
      <c r="AC63" s="55" t="n"/>
      <c r="AD63" s="55" t="n"/>
    </row>
    <row r="64" ht="14.25" customHeight="1" s="53">
      <c r="A64" s="68" t="inlineStr">
        <is>
          <t>EXECUTABLE NOW</t>
        </is>
      </c>
      <c r="B64" s="67" t="n">
        <v>48</v>
      </c>
      <c r="C64" s="55" t="n"/>
      <c r="D64" s="55" t="n"/>
      <c r="E64" s="55" t="n"/>
      <c r="F64" s="55" t="n"/>
      <c r="G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  <c r="S64" s="55" t="n"/>
      <c r="T64" s="55" t="n"/>
      <c r="U64" s="55" t="n"/>
      <c r="V64" s="55" t="n"/>
      <c r="W64" s="55" t="n"/>
      <c r="X64" s="55" t="n"/>
      <c r="Y64" s="55" t="n"/>
      <c r="Z64" s="55" t="n"/>
      <c r="AA64" s="55" t="n"/>
      <c r="AB64" s="55" t="n"/>
      <c r="AC64" s="55" t="n"/>
      <c r="AD64" s="55" t="n"/>
    </row>
    <row r="65" ht="14.25" customHeight="1" s="53">
      <c r="A65" s="68" t="inlineStr">
        <is>
          <t>NOT_EXECUTABLE</t>
        </is>
      </c>
      <c r="B65" s="67" t="n">
        <v>0</v>
      </c>
      <c r="C65" s="55" t="n"/>
      <c r="D65" s="55" t="n"/>
      <c r="E65" s="55" t="n"/>
      <c r="F65" s="55" t="n"/>
      <c r="G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  <c r="S65" s="55" t="n"/>
      <c r="T65" s="55" t="n"/>
      <c r="U65" s="55" t="n"/>
      <c r="V65" s="55" t="n"/>
      <c r="W65" s="55" t="n"/>
      <c r="X65" s="55" t="n"/>
      <c r="Y65" s="55" t="n"/>
      <c r="Z65" s="55" t="n"/>
      <c r="AA65" s="55" t="n"/>
      <c r="AB65" s="55" t="n"/>
      <c r="AC65" s="55" t="n"/>
      <c r="AD65" s="55" t="n"/>
    </row>
    <row r="66" ht="17.15" customHeight="1" s="53">
      <c r="A66" s="66" t="inlineStr">
        <is>
          <t>預期 200 SSI_RESOLVED</t>
        </is>
      </c>
      <c r="B66" s="67" t="n">
        <v>44</v>
      </c>
      <c r="C66" s="55" t="n"/>
      <c r="D66" s="55" t="n"/>
      <c r="E66" s="55" t="n"/>
      <c r="F66" s="55" t="n"/>
      <c r="G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  <c r="S66" s="55" t="n"/>
      <c r="T66" s="55" t="n"/>
      <c r="U66" s="55" t="n"/>
      <c r="V66" s="55" t="n"/>
      <c r="W66" s="55" t="n"/>
      <c r="X66" s="55" t="n"/>
      <c r="Y66" s="55" t="n"/>
      <c r="Z66" s="55" t="n"/>
      <c r="AA66" s="55" t="n"/>
      <c r="AB66" s="55" t="n"/>
      <c r="AC66" s="55" t="n"/>
      <c r="AD66" s="55" t="n"/>
    </row>
    <row r="67" ht="17.15" customHeight="1" s="53">
      <c r="A67" s="66" t="inlineStr">
        <is>
          <t>預期 422 SSI_AMBIGUOUS</t>
        </is>
      </c>
      <c r="B67" s="67" t="n">
        <v>4</v>
      </c>
      <c r="C67" s="55" t="n"/>
      <c r="D67" s="55" t="n"/>
      <c r="E67" s="55" t="n"/>
      <c r="F67" s="55" t="n"/>
      <c r="G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  <c r="S67" s="55" t="n"/>
      <c r="T67" s="55" t="n"/>
      <c r="U67" s="55" t="n"/>
      <c r="V67" s="55" t="n"/>
      <c r="W67" s="55" t="n"/>
      <c r="X67" s="55" t="n"/>
      <c r="Y67" s="55" t="n"/>
      <c r="Z67" s="55" t="n"/>
      <c r="AA67" s="55" t="n"/>
      <c r="AB67" s="55" t="n"/>
      <c r="AC67" s="55" t="n"/>
      <c r="AD67" s="55" t="n"/>
    </row>
    <row r="68" ht="17.15" customHeight="1" s="53">
      <c r="A68" s="66" t="inlineStr">
        <is>
          <t>預期 503 PROFILE_INCOMPLETE（矩陣內）</t>
        </is>
      </c>
      <c r="B68" s="67" t="n">
        <v>0</v>
      </c>
      <c r="C68" s="55" t="n"/>
      <c r="D68" s="55" t="n"/>
      <c r="E68" s="55" t="n"/>
      <c r="F68" s="55" t="n"/>
      <c r="G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  <c r="S68" s="55" t="n"/>
      <c r="T68" s="55" t="n"/>
      <c r="U68" s="55" t="n"/>
      <c r="V68" s="55" t="n"/>
      <c r="W68" s="55" t="n"/>
      <c r="X68" s="55" t="n"/>
      <c r="Y68" s="55" t="n"/>
      <c r="Z68" s="55" t="n"/>
      <c r="AA68" s="55" t="n"/>
      <c r="AB68" s="55" t="n"/>
      <c r="AC68" s="55" t="n"/>
      <c r="AD68" s="55" t="n"/>
    </row>
    <row r="69" ht="17.15" customHeight="1" s="53">
      <c r="A69" s="68" t="inlineStr">
        <is>
          <t>NOT_EXECUTABLE 比率</t>
        </is>
      </c>
      <c r="B69" s="69" t="n">
        <v>0</v>
      </c>
      <c r="C69" s="55" t="n"/>
      <c r="D69" s="55" t="n"/>
      <c r="E69" s="55" t="n"/>
      <c r="F69" s="55" t="n"/>
      <c r="G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  <c r="S69" s="55" t="n"/>
      <c r="T69" s="55" t="n"/>
      <c r="U69" s="55" t="n"/>
      <c r="V69" s="55" t="n"/>
      <c r="W69" s="55" t="n"/>
      <c r="X69" s="55" t="n"/>
      <c r="Y69" s="55" t="n"/>
      <c r="Z69" s="55" t="n"/>
      <c r="AA69" s="55" t="n"/>
      <c r="AB69" s="55" t="n"/>
      <c r="AC69" s="55" t="n"/>
      <c r="AD69" s="55" t="n"/>
    </row>
    <row r="70" ht="14.25" customHeight="1" s="53">
      <c r="A70" s="55" t="n"/>
      <c r="B70" s="55" t="n"/>
      <c r="C70" s="55" t="n"/>
      <c r="D70" s="55" t="n"/>
      <c r="E70" s="55" t="n"/>
      <c r="F70" s="55" t="n"/>
      <c r="G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  <c r="S70" s="55" t="n"/>
      <c r="T70" s="55" t="n"/>
      <c r="U70" s="55" t="n"/>
      <c r="V70" s="55" t="n"/>
      <c r="W70" s="55" t="n"/>
      <c r="X70" s="55" t="n"/>
      <c r="Y70" s="55" t="n"/>
      <c r="Z70" s="55" t="n"/>
      <c r="AA70" s="55" t="n"/>
      <c r="AB70" s="55" t="n"/>
      <c r="AC70" s="55" t="n"/>
      <c r="AD70" s="55" t="n"/>
    </row>
    <row r="71" ht="17.15" customHeight="1" s="53">
      <c r="A71" s="56" t="inlineStr">
        <is>
          <t>矩陣外負向控制：NSSIUSN1／USD／MT202COV 與 MT205COV 必須在 rank 前回 HTTP 503 PROFILE_INCOMPLETE，payloadGenerated=false，且不得 fallback 至 Core。此控制不計入 48 案功能矩陣。</t>
        </is>
      </c>
      <c r="B71" s="55" t="n"/>
      <c r="C71" s="55" t="n"/>
      <c r="D71" s="55" t="n"/>
      <c r="E71" s="55" t="n"/>
      <c r="F71" s="55" t="n"/>
      <c r="G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  <c r="S71" s="55" t="n"/>
      <c r="T71" s="55" t="n"/>
      <c r="U71" s="55" t="n"/>
      <c r="V71" s="55" t="n"/>
      <c r="W71" s="55" t="n"/>
      <c r="X71" s="55" t="n"/>
      <c r="Y71" s="55" t="n"/>
      <c r="Z71" s="55" t="n"/>
      <c r="AA71" s="55" t="n"/>
      <c r="AB71" s="55" t="n"/>
      <c r="AC71" s="55" t="n"/>
      <c r="AD71" s="55" t="n"/>
    </row>
  </sheetData>
  <autoFilter ref="A4:AD52">
    <sortState ref="A5:AD52">
      <sortCondition ref="A5:A52" customList=""/>
    </sortState>
  </autoFilter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Y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28.00390625" defaultRowHeight="13.5" zeroHeight="0" outlineLevelRow="0"/>
  <cols>
    <col width="14" customWidth="1" style="70" min="1" max="1"/>
    <col width="38" customWidth="1" style="70" min="2" max="2"/>
    <col width="6" customWidth="1" style="70" min="3" max="3"/>
    <col width="12" customWidth="1" style="70" min="4" max="4"/>
    <col width="9" customWidth="1" style="70" min="5" max="5"/>
    <col width="8" customWidth="1" style="70" min="6" max="7"/>
    <col width="14" customWidth="1" style="70" min="8" max="9"/>
    <col width="40" customWidth="1" style="70" min="10" max="10"/>
    <col width="28" customWidth="1" style="70" min="11" max="11"/>
    <col width="15" customWidth="1" style="70" min="12" max="12"/>
    <col width="21" customWidth="1" style="70" min="13" max="13"/>
    <col width="13" customWidth="1" style="70" min="14" max="14"/>
    <col width="30" customWidth="1" style="70" min="15" max="15"/>
    <col width="34" customWidth="1" style="70" min="16" max="16"/>
    <col width="14" customWidth="1" style="70" min="17" max="18"/>
    <col width="16" customWidth="1" style="70" min="19" max="19"/>
    <col width="14" customWidth="1" style="70" min="20" max="20"/>
    <col width="32" customWidth="1" style="70" min="21" max="21"/>
    <col width="22" customWidth="1" style="70" min="22" max="22"/>
    <col width="52" customWidth="1" style="70" min="23" max="23"/>
    <col width="28" customWidth="1" style="70" min="24" max="16384"/>
  </cols>
  <sheetData>
    <row r="1" ht="17.15" customHeight="1" s="53">
      <c r="A1" s="71" t="inlineStr">
        <is>
          <t>SSI 候選明細 — 26 筆具 pacs.009.001.08 之 ACTIVE SSI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  <c r="J1" s="55" t="n"/>
      <c r="K1" s="55" t="n"/>
      <c r="L1" s="55" t="n"/>
      <c r="M1" s="55" t="n"/>
      <c r="N1" s="55" t="n"/>
      <c r="O1" s="55" t="n"/>
      <c r="P1" s="55" t="n"/>
      <c r="Q1" s="55" t="n"/>
      <c r="R1" s="55" t="n"/>
      <c r="S1" s="55" t="n"/>
      <c r="T1" s="55" t="n"/>
      <c r="U1" s="55" t="n"/>
      <c r="V1" s="55" t="n"/>
      <c r="W1" s="55" t="n"/>
      <c r="X1" s="55" t="n"/>
      <c r="Y1" s="55" t="n"/>
    </row>
    <row r="2" ht="17.15" customHeight="1" s="53">
      <c r="A2" s="56" t="inlineStr">
        <is>
          <t>欄位逐字取自受控 snapshot。Nostro 依 A4_NOSTRO_JOIN：SSI.route.accountId 精確等於 ACTIVE Nostro.accountReference，再依 servicer／幣別／SETTLEMENT／booking／生效日篩選，最後取 PRIMARY。</t>
        </is>
      </c>
      <c r="B2" s="55" t="n"/>
      <c r="C2" s="55" t="n"/>
      <c r="D2" s="55" t="n"/>
      <c r="E2" s="55" t="n"/>
      <c r="F2" s="55" t="n"/>
      <c r="G2" s="55" t="n"/>
      <c r="H2" s="55" t="n"/>
      <c r="I2" s="55" t="n"/>
      <c r="J2" s="55" t="n"/>
      <c r="K2" s="55" t="n"/>
      <c r="L2" s="55" t="n"/>
      <c r="M2" s="55" t="n"/>
      <c r="N2" s="55" t="n"/>
      <c r="O2" s="55" t="n"/>
      <c r="P2" s="55" t="n"/>
      <c r="Q2" s="55" t="n"/>
      <c r="R2" s="55" t="n"/>
      <c r="S2" s="55" t="n"/>
      <c r="T2" s="55" t="n"/>
      <c r="U2" s="55" t="n"/>
      <c r="V2" s="55" t="n"/>
      <c r="W2" s="55" t="n"/>
      <c r="X2" s="55" t="n"/>
      <c r="Y2" s="55" t="n"/>
    </row>
    <row r="3" ht="13.5" customHeight="1" s="53">
      <c r="A3" s="55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5" t="n"/>
      <c r="P3" s="55" t="n"/>
      <c r="Q3" s="55" t="n"/>
      <c r="R3" s="55" t="n"/>
      <c r="S3" s="55" t="n"/>
      <c r="T3" s="55" t="n"/>
      <c r="U3" s="55" t="n"/>
      <c r="V3" s="55" t="n"/>
      <c r="W3" s="55" t="n"/>
      <c r="X3" s="55" t="n"/>
      <c r="Y3" s="55" t="n"/>
    </row>
    <row r="4" ht="27" customHeight="1" s="53">
      <c r="A4" s="58" t="inlineStr">
        <is>
          <t>SSI Code</t>
        </is>
      </c>
      <c r="B4" s="58" t="inlineStr">
        <is>
          <t>SSI id (UUID)</t>
        </is>
      </c>
      <c r="C4" s="57" t="inlineStr">
        <is>
          <t>版本</t>
        </is>
      </c>
      <c r="D4" s="58" t="inlineStr">
        <is>
          <t>Counterparty</t>
        </is>
      </c>
      <c r="E4" s="58" t="inlineStr">
        <is>
          <t>Currency</t>
        </is>
      </c>
      <c r="F4" s="58" t="inlineStr">
        <is>
          <t>Booking</t>
        </is>
      </c>
      <c r="G4" s="58" t="inlineStr">
        <is>
          <t>priority</t>
        </is>
      </c>
      <c r="H4" s="58" t="inlineStr">
        <is>
          <t>routePreference</t>
        </is>
      </c>
      <c r="I4" s="57" t="inlineStr">
        <is>
          <t>排名結果</t>
        </is>
      </c>
      <c r="J4" s="58" t="inlineStr">
        <is>
          <t>applicabilityProfileId</t>
        </is>
      </c>
      <c r="K4" s="58" t="inlineStr">
        <is>
          <t>settlementRouteId</t>
        </is>
      </c>
      <c r="L4" s="58" t="inlineStr">
        <is>
          <t>settlementCountry</t>
        </is>
      </c>
      <c r="M4" s="58" t="inlineStr">
        <is>
          <t>settlementMarket</t>
        </is>
      </c>
      <c r="N4" s="58" t="inlineStr">
        <is>
          <t>clearingSystem</t>
        </is>
      </c>
      <c r="O4" s="58" t="inlineStr">
        <is>
          <t>route.accountId</t>
        </is>
      </c>
      <c r="P4" s="57" t="inlineStr">
        <is>
          <t>對應 Nostro (masked)</t>
        </is>
      </c>
      <c r="Q4" s="58" t="inlineStr">
        <is>
          <t>Nostro servicer</t>
        </is>
      </c>
      <c r="R4" s="58" t="inlineStr">
        <is>
          <t>accountWithBic</t>
        </is>
      </c>
      <c r="S4" s="58" t="inlineStr">
        <is>
          <t>actualReceiverBic</t>
        </is>
      </c>
      <c r="T4" s="58" t="inlineStr">
        <is>
          <t>beneficiaryBic</t>
        </is>
      </c>
      <c r="U4" s="58" t="inlineStr">
        <is>
          <t>ssiTags</t>
        </is>
      </c>
      <c r="V4" s="58" t="inlineStr">
        <is>
          <t>sampleSet</t>
        </is>
      </c>
      <c r="W4" s="58" t="inlineStr">
        <is>
          <t>ssiName</t>
        </is>
      </c>
      <c r="X4" s="55" t="inlineStr">
        <is>
          <t>businessService</t>
        </is>
      </c>
      <c r="Y4" s="55" t="inlineStr">
        <is>
          <t>sourceMessageTypes</t>
        </is>
      </c>
    </row>
    <row r="5" ht="41.25" customHeight="1" s="53">
      <c r="A5" s="59" t="inlineStr">
        <is>
          <t>SSI-DEMO-001</t>
        </is>
      </c>
      <c r="B5" s="59" t="inlineStr">
        <is>
          <t>a1e1ac1a-a16f-414c-ac70-85731ed84d3f</t>
        </is>
      </c>
      <c r="C5" s="60" t="n">
        <v>44</v>
      </c>
      <c r="D5" s="59" t="inlineStr">
        <is>
          <t>CITIUS33</t>
        </is>
      </c>
      <c r="E5" s="60" t="inlineStr">
        <is>
          <t>USD</t>
        </is>
      </c>
      <c r="F5" s="60" t="inlineStr">
        <is>
          <t>HK01</t>
        </is>
      </c>
      <c r="G5" s="60" t="n">
        <v>10</v>
      </c>
      <c r="H5" s="59" t="inlineStr">
        <is>
          <t>PRIMARY</t>
        </is>
      </c>
      <c r="I5" s="61" t="inlineStr">
        <is>
          <t>CHOSEN</t>
        </is>
      </c>
      <c r="J5" s="59" t="inlineStr">
        <is>
          <t>APPL-IMPORT_LC_BANK_REIMBURSEMENT-USD</t>
        </is>
      </c>
      <c r="K5" s="59" t="inlineStr">
        <is>
          <t>ROUTE-USD-CITIUS33</t>
        </is>
      </c>
      <c r="L5" s="60" t="inlineStr">
        <is>
          <t>US</t>
        </is>
      </c>
      <c r="M5" s="59" t="inlineStr">
        <is>
          <t>US_DOLLAR</t>
        </is>
      </c>
      <c r="N5" s="60" t="inlineStr">
        <is>
          <t>FEDWIRE</t>
        </is>
      </c>
      <c r="O5" s="59" t="inlineStr">
        <is>
          <t>DEMO-NOSTRO-001-PRIMARY</t>
        </is>
      </c>
      <c r="P5" s="59" t="inlineStr">
        <is>
          <t>DEMO-NOSTRO-001-PRIMARY-PRIMARY</t>
        </is>
      </c>
      <c r="Q5" s="59" t="inlineStr">
        <is>
          <t>CITIUS33</t>
        </is>
      </c>
      <c r="R5" s="59" t="inlineStr">
        <is>
          <t>CITIUS33</t>
        </is>
      </c>
      <c r="S5" s="59" t="inlineStr">
        <is>
          <t>CITIUS33</t>
        </is>
      </c>
      <c r="T5" s="59" t="inlineStr">
        <is>
          <t>CITIUS33</t>
        </is>
      </c>
      <c r="U5" s="59" t="inlineStr">
        <is>
          <t>53A,54A,56A,57A,58A</t>
        </is>
      </c>
      <c r="V5" s="59" t="inlineStr">
        <is>
          <t>DEMO-PURPOSE-BUILT</t>
        </is>
      </c>
      <c r="W5" s="59" t="inlineStr">
        <is>
          <t>USD BANK_REIMBURSEMENT for Citibank N.A. via Citibank N.A.</t>
        </is>
      </c>
      <c r="X5" s="55" t="inlineStr">
        <is>
          <t>swift.cbprplus.04,swift.cbprplus.cov.04</t>
        </is>
      </c>
      <c r="Y5" s="55" t="inlineStr">
        <is>
          <t>MT202,MT205,MT202COV,MT205COV</t>
        </is>
      </c>
    </row>
    <row r="6" ht="41.25" customHeight="1" s="53">
      <c r="A6" s="59" t="inlineStr">
        <is>
          <t>SSI-DEMO-002</t>
        </is>
      </c>
      <c r="B6" s="59" t="inlineStr">
        <is>
          <t>e029ad81-7715-4c2a-9452-75876508cacb</t>
        </is>
      </c>
      <c r="C6" s="60" t="n">
        <v>39</v>
      </c>
      <c r="D6" s="59" t="inlineStr">
        <is>
          <t>CITIUS33</t>
        </is>
      </c>
      <c r="E6" s="60" t="inlineStr">
        <is>
          <t>USD</t>
        </is>
      </c>
      <c r="F6" s="60" t="inlineStr">
        <is>
          <t>HK01</t>
        </is>
      </c>
      <c r="G6" s="60" t="n">
        <v>20</v>
      </c>
      <c r="H6" s="59" t="inlineStr">
        <is>
          <t>SECONDARY</t>
        </is>
      </c>
      <c r="I6" s="72" t="inlineStr">
        <is>
          <t>alternative</t>
        </is>
      </c>
      <c r="J6" s="59" t="inlineStr">
        <is>
          <t>APPL-IMPORT_LC_BANK_REIMBURSEMENT-USD</t>
        </is>
      </c>
      <c r="K6" s="59" t="inlineStr">
        <is>
          <t>ROUTE-USD-HSBCHKHH</t>
        </is>
      </c>
      <c r="L6" s="60" t="inlineStr">
        <is>
          <t>HK</t>
        </is>
      </c>
      <c r="M6" s="59" t="inlineStr">
        <is>
          <t>HK_USD</t>
        </is>
      </c>
      <c r="N6" s="60" t="inlineStr">
        <is>
          <t>USD_CHATS</t>
        </is>
      </c>
      <c r="O6" s="59" t="inlineStr">
        <is>
          <t>DEMO-NOSTRO-001-SECONDARY</t>
        </is>
      </c>
      <c r="P6" s="59" t="inlineStr">
        <is>
          <t>DEMO-NOSTRO-001-SECONDARY-PRIMARY</t>
        </is>
      </c>
      <c r="Q6" s="59" t="inlineStr">
        <is>
          <t>HSBCHKHH</t>
        </is>
      </c>
      <c r="R6" s="59" t="inlineStr">
        <is>
          <t>HSBCHKHH</t>
        </is>
      </c>
      <c r="S6" s="59" t="inlineStr">
        <is>
          <t>HSBCHKHH</t>
        </is>
      </c>
      <c r="T6" s="59" t="inlineStr">
        <is>
          <t>CITIUS33</t>
        </is>
      </c>
      <c r="U6" s="59" t="inlineStr">
        <is>
          <t>53A,54A,56A,57A,58A</t>
        </is>
      </c>
      <c r="V6" s="59" t="inlineStr">
        <is>
          <t>DEMO-PURPOSE-BUILT</t>
        </is>
      </c>
      <c r="W6" s="59" t="inlineStr">
        <is>
          <t>USD BANK_REIMBURSEMENT for Citibank N.A. via HSBC</t>
        </is>
      </c>
      <c r="X6" s="55" t="inlineStr">
        <is>
          <t>swift.cbprplus.04,swift.cbprplus.cov.04</t>
        </is>
      </c>
      <c r="Y6" s="55" t="inlineStr">
        <is>
          <t>MT202,MT205,MT202COV,MT205COV</t>
        </is>
      </c>
    </row>
    <row r="7" ht="41.25" customHeight="1" s="53">
      <c r="A7" s="59" t="inlineStr">
        <is>
          <t>SSI-DEMO-003</t>
        </is>
      </c>
      <c r="B7" s="59" t="inlineStr">
        <is>
          <t>351807b1-c715-4f53-8fbd-058cc9a14eab</t>
        </is>
      </c>
      <c r="C7" s="60" t="n">
        <v>44</v>
      </c>
      <c r="D7" s="59" t="inlineStr">
        <is>
          <t>BARCGB22</t>
        </is>
      </c>
      <c r="E7" s="60" t="inlineStr">
        <is>
          <t>GBP</t>
        </is>
      </c>
      <c r="F7" s="60" t="inlineStr">
        <is>
          <t>HK01</t>
        </is>
      </c>
      <c r="G7" s="60" t="n">
        <v>10</v>
      </c>
      <c r="H7" s="59" t="inlineStr">
        <is>
          <t>PRIMARY</t>
        </is>
      </c>
      <c r="I7" s="73" t="inlineStr">
        <is>
          <t>TIE（並列第一）</t>
        </is>
      </c>
      <c r="J7" s="59" t="inlineStr">
        <is>
          <t>APPL-EXPORT_LC_PROCEEDS_SETTLEMENT-GBP</t>
        </is>
      </c>
      <c r="K7" s="59" t="inlineStr">
        <is>
          <t>ROUTE-GBP-BARCGB22</t>
        </is>
      </c>
      <c r="L7" s="60" t="inlineStr">
        <is>
          <t>GB</t>
        </is>
      </c>
      <c r="M7" s="59" t="inlineStr">
        <is>
          <t>GB_STERLING</t>
        </is>
      </c>
      <c r="N7" s="60" t="inlineStr">
        <is>
          <t>CHAPS</t>
        </is>
      </c>
      <c r="O7" s="59" t="inlineStr">
        <is>
          <t>DEMO-NOSTRO-002-PRIMARY</t>
        </is>
      </c>
      <c r="P7" s="59" t="inlineStr">
        <is>
          <t>DEMO-NOSTRO-002-PRIMARY-PRIMARY</t>
        </is>
      </c>
      <c r="Q7" s="59" t="inlineStr">
        <is>
          <t>BARCGB22</t>
        </is>
      </c>
      <c r="R7" s="59" t="inlineStr">
        <is>
          <t>BARCGB22</t>
        </is>
      </c>
      <c r="S7" s="59" t="inlineStr">
        <is>
          <t>BARCGB22</t>
        </is>
      </c>
      <c r="T7" s="59" t="inlineStr">
        <is>
          <t>BARCGB22</t>
        </is>
      </c>
      <c r="U7" s="59" t="inlineStr">
        <is>
          <t>53A,54A,56A,57A,58A</t>
        </is>
      </c>
      <c r="V7" s="59" t="inlineStr">
        <is>
          <t>DEMO-PURPOSE-BUILT</t>
        </is>
      </c>
      <c r="W7" s="59" t="inlineStr">
        <is>
          <t>GBP PROCEEDS_SETTLEMENT for Barclays via Barclays</t>
        </is>
      </c>
      <c r="X7" s="55" t="inlineStr">
        <is>
          <t>swift.cbprplus.04,swift.cbprplus.cov.04</t>
        </is>
      </c>
      <c r="Y7" s="55" t="inlineStr">
        <is>
          <t>MT202,MT205,MT202COV,MT205COV</t>
        </is>
      </c>
    </row>
    <row r="8" ht="27" customHeight="1" s="53">
      <c r="A8" s="59" t="inlineStr">
        <is>
          <t>SSI-DEMO-022</t>
        </is>
      </c>
      <c r="B8" s="59" t="inlineStr">
        <is>
          <t>1a386704-017a-4439-bb65-29fc3fd6e8dc</t>
        </is>
      </c>
      <c r="C8" s="60" t="n">
        <v>39</v>
      </c>
      <c r="D8" s="59" t="inlineStr">
        <is>
          <t>BARCGB22</t>
        </is>
      </c>
      <c r="E8" s="60" t="inlineStr">
        <is>
          <t>GBP</t>
        </is>
      </c>
      <c r="F8" s="60" t="inlineStr">
        <is>
          <t>HK01</t>
        </is>
      </c>
      <c r="G8" s="60" t="n">
        <v>10</v>
      </c>
      <c r="H8" s="59" t="inlineStr">
        <is>
          <t>PRIMARY</t>
        </is>
      </c>
      <c r="I8" s="73" t="inlineStr">
        <is>
          <t>TIE（並列第一）</t>
        </is>
      </c>
      <c r="J8" s="59" t="inlineStr">
        <is>
          <t>APPL-IMPORT_COLLECTION_PAYMENT-GBP</t>
        </is>
      </c>
      <c r="K8" s="59" t="inlineStr">
        <is>
          <t>ROUTE-GBP-BARCGB22</t>
        </is>
      </c>
      <c r="L8" s="60" t="inlineStr">
        <is>
          <t>GB</t>
        </is>
      </c>
      <c r="M8" s="59" t="inlineStr">
        <is>
          <t>GB_STERLING</t>
        </is>
      </c>
      <c r="N8" s="60" t="inlineStr">
        <is>
          <t>CHAPS</t>
        </is>
      </c>
      <c r="O8" s="59" t="inlineStr">
        <is>
          <t>DEMO-NOSTRO-002-IMPCOLL</t>
        </is>
      </c>
      <c r="P8" s="59" t="inlineStr">
        <is>
          <t>DEMO-NOSTRO-002-IMPCOLL-PRIMARY</t>
        </is>
      </c>
      <c r="Q8" s="59" t="inlineStr">
        <is>
          <t>BARCGB22</t>
        </is>
      </c>
      <c r="R8" s="59" t="inlineStr">
        <is>
          <t>BARCGB22</t>
        </is>
      </c>
      <c r="S8" s="59" t="inlineStr">
        <is>
          <t>BARCGB22</t>
        </is>
      </c>
      <c r="T8" s="59" t="inlineStr">
        <is>
          <t>BARCGB22</t>
        </is>
      </c>
      <c r="U8" s="59" t="inlineStr">
        <is>
          <t>CdtrAgt,IntrmyAgt1</t>
        </is>
      </c>
      <c r="V8" s="59" t="inlineStr">
        <is>
          <t>DEMO-PURPOSE-BUILT</t>
        </is>
      </c>
      <c r="W8" s="59" t="inlineStr">
        <is>
          <t>GBP Import Collection Payment for Barclays</t>
        </is>
      </c>
      <c r="X8" s="55" t="inlineStr">
        <is>
          <t>swift.cbprplus.04,swift.cbprplus.cov.04</t>
        </is>
      </c>
      <c r="Y8" s="55" t="inlineStr">
        <is>
          <t>MT202,MT205,MT202COV,MT205COV</t>
        </is>
      </c>
    </row>
    <row r="9" ht="41.25" customHeight="1" s="53">
      <c r="A9" s="59" t="inlineStr">
        <is>
          <t>SSI-DEMO-004</t>
        </is>
      </c>
      <c r="B9" s="59" t="inlineStr">
        <is>
          <t>9532ba2c-717f-42b6-8437-5ff7e270fccb</t>
        </is>
      </c>
      <c r="C9" s="60" t="n">
        <v>44</v>
      </c>
      <c r="D9" s="59" t="inlineStr">
        <is>
          <t>BARCGB22</t>
        </is>
      </c>
      <c r="E9" s="60" t="inlineStr">
        <is>
          <t>GBP</t>
        </is>
      </c>
      <c r="F9" s="60" t="inlineStr">
        <is>
          <t>HK01</t>
        </is>
      </c>
      <c r="G9" s="60" t="n">
        <v>20</v>
      </c>
      <c r="H9" s="59" t="inlineStr">
        <is>
          <t>SECONDARY</t>
        </is>
      </c>
      <c r="I9" s="74" t="inlineStr">
        <is>
          <t>低名次候選</t>
        </is>
      </c>
      <c r="J9" s="59" t="inlineStr">
        <is>
          <t>APPL-EXPORT_LC_PROCEEDS_SETTLEMENT-GBP</t>
        </is>
      </c>
      <c r="K9" s="59" t="inlineStr">
        <is>
          <t>ROUTE-GBP-SCBLGB2L</t>
        </is>
      </c>
      <c r="L9" s="60" t="inlineStr">
        <is>
          <t>GB</t>
        </is>
      </c>
      <c r="M9" s="59" t="inlineStr">
        <is>
          <t>GB_STERLING</t>
        </is>
      </c>
      <c r="N9" s="60" t="inlineStr">
        <is>
          <t>CHAPS</t>
        </is>
      </c>
      <c r="O9" s="59" t="inlineStr">
        <is>
          <t>DEMO-NOSTRO-002-SECONDARY</t>
        </is>
      </c>
      <c r="P9" s="59" t="inlineStr">
        <is>
          <t>DEMO-NOSTRO-002-SECONDARY-PRIMARY</t>
        </is>
      </c>
      <c r="Q9" s="59" t="inlineStr">
        <is>
          <t>SCBLGB2L</t>
        </is>
      </c>
      <c r="R9" s="59" t="inlineStr">
        <is>
          <t>SCBLGB2L</t>
        </is>
      </c>
      <c r="S9" s="59" t="inlineStr">
        <is>
          <t>SCBLGB2L</t>
        </is>
      </c>
      <c r="T9" s="59" t="inlineStr">
        <is>
          <t>BARCGB22</t>
        </is>
      </c>
      <c r="U9" s="59" t="inlineStr">
        <is>
          <t>53A,54A,56A,57A,58A</t>
        </is>
      </c>
      <c r="V9" s="59" t="inlineStr">
        <is>
          <t>DEMO-PURPOSE-BUILT</t>
        </is>
      </c>
      <c r="W9" s="59" t="inlineStr">
        <is>
          <t>GBP PROCEEDS_SETTLEMENT for Barclays via Standard Chartered</t>
        </is>
      </c>
      <c r="X9" s="55" t="inlineStr">
        <is>
          <t>swift.cbprplus.04,swift.cbprplus.cov.04</t>
        </is>
      </c>
      <c r="Y9" s="55" t="inlineStr">
        <is>
          <t>MT202,MT205,MT202COV,MT205COV</t>
        </is>
      </c>
    </row>
    <row r="10" ht="27" customHeight="1" s="53">
      <c r="A10" s="59" t="inlineStr">
        <is>
          <t>SSI-DEMO-024</t>
        </is>
      </c>
      <c r="B10" s="59" t="inlineStr">
        <is>
          <t>54c26b29-e351-4391-aa38-8614aab63c4f</t>
        </is>
      </c>
      <c r="C10" s="60" t="n">
        <v>19</v>
      </c>
      <c r="D10" s="59" t="inlineStr">
        <is>
          <t>BARCGB22</t>
        </is>
      </c>
      <c r="E10" s="60" t="inlineStr">
        <is>
          <t>USD</t>
        </is>
      </c>
      <c r="F10" s="60" t="inlineStr">
        <is>
          <t>HK01</t>
        </is>
      </c>
      <c r="G10" s="60" t="n">
        <v>10</v>
      </c>
      <c r="H10" s="59" t="inlineStr">
        <is>
          <t>PRIMARY</t>
        </is>
      </c>
      <c r="I10" s="61" t="inlineStr">
        <is>
          <t>CHOSEN</t>
        </is>
      </c>
      <c r="J10" s="59" t="inlineStr">
        <is>
          <t>APPL-IMPORT_COLLECTION_PAYMENT-USD</t>
        </is>
      </c>
      <c r="K10" s="59" t="inlineStr">
        <is>
          <t>ROUTE-USD-CITIUS33-BARC</t>
        </is>
      </c>
      <c r="L10" s="60" t="inlineStr">
        <is>
          <t>US</t>
        </is>
      </c>
      <c r="M10" s="59" t="inlineStr">
        <is>
          <t>US_DOLLAR</t>
        </is>
      </c>
      <c r="N10" s="60" t="inlineStr">
        <is>
          <t>FEDWIRE</t>
        </is>
      </c>
      <c r="O10" s="59" t="inlineStr">
        <is>
          <t>DEMO-NOSTRO-USD-IMPCOLL-BARC</t>
        </is>
      </c>
      <c r="P10" s="59" t="inlineStr">
        <is>
          <t>DEMO-NOSTRO-USD-IMPCOLL-BARC-PRIMARY</t>
        </is>
      </c>
      <c r="Q10" s="59" t="inlineStr">
        <is>
          <t>CITIUS33</t>
        </is>
      </c>
      <c r="R10" s="59" t="inlineStr">
        <is>
          <t>CITIUS33</t>
        </is>
      </c>
      <c r="S10" s="59" t="inlineStr">
        <is>
          <t>CITIUS33</t>
        </is>
      </c>
      <c r="T10" s="59" t="inlineStr">
        <is>
          <t>BARCGB22</t>
        </is>
      </c>
      <c r="U10" s="59" t="inlineStr">
        <is>
          <t>(無)</t>
        </is>
      </c>
      <c r="V10" s="59" t="inlineStr">
        <is>
          <t>DEMO-PURPOSE-BUILT</t>
        </is>
      </c>
      <c r="W10" s="59" t="inlineStr">
        <is>
          <t>USD Import Collection Payment for Barclays via Citi</t>
        </is>
      </c>
      <c r="X10" s="55" t="inlineStr">
        <is>
          <t>swift.cbprplus.04,swift.cbprplus.cov.04</t>
        </is>
      </c>
      <c r="Y10" s="55" t="inlineStr">
        <is>
          <t>MT202,MT205,MT202COV,MT205COV</t>
        </is>
      </c>
    </row>
    <row r="11" ht="27" customHeight="1" s="53">
      <c r="A11" s="59" t="inlineStr">
        <is>
          <t>SSI-DEMO-005</t>
        </is>
      </c>
      <c r="B11" s="59" t="inlineStr">
        <is>
          <t>c12bd429-cf8c-4b57-9575-299bbe58d680</t>
        </is>
      </c>
      <c r="C11" s="60" t="n">
        <v>39</v>
      </c>
      <c r="D11" s="59" t="inlineStr">
        <is>
          <t>DEUTDEFF</t>
        </is>
      </c>
      <c r="E11" s="60" t="inlineStr">
        <is>
          <t>EUR</t>
        </is>
      </c>
      <c r="F11" s="60" t="inlineStr">
        <is>
          <t>HK01</t>
        </is>
      </c>
      <c r="G11" s="60" t="n">
        <v>10</v>
      </c>
      <c r="H11" s="59" t="inlineStr">
        <is>
          <t>PRIMARY</t>
        </is>
      </c>
      <c r="I11" s="61" t="inlineStr">
        <is>
          <t>CHOSEN</t>
        </is>
      </c>
      <c r="J11" s="59" t="inlineStr">
        <is>
          <t>APPL-IMPORT_COLLECTION_PAYMENT-EUR</t>
        </is>
      </c>
      <c r="K11" s="59" t="inlineStr">
        <is>
          <t>ROUTE-EUR-DEUTDEFF</t>
        </is>
      </c>
      <c r="L11" s="60" t="inlineStr">
        <is>
          <t>ANY</t>
        </is>
      </c>
      <c r="M11" s="59" t="inlineStr">
        <is>
          <t>EURO_AREA</t>
        </is>
      </c>
      <c r="N11" s="60" t="inlineStr">
        <is>
          <t>T2</t>
        </is>
      </c>
      <c r="O11" s="59" t="inlineStr">
        <is>
          <t>DEMO-NOSTRO-003-PRIMARY</t>
        </is>
      </c>
      <c r="P11" s="59" t="inlineStr">
        <is>
          <t>DEMO-NOSTRO-003-PRIMARY-PRIMARY</t>
        </is>
      </c>
      <c r="Q11" s="59" t="inlineStr">
        <is>
          <t>DEUTDEFF</t>
        </is>
      </c>
      <c r="R11" s="59" t="inlineStr">
        <is>
          <t>DEUTDEFF</t>
        </is>
      </c>
      <c r="S11" s="59" t="inlineStr">
        <is>
          <t>DEUTDEFF</t>
        </is>
      </c>
      <c r="T11" s="59" t="inlineStr">
        <is>
          <t>DEUTDEFF</t>
        </is>
      </c>
      <c r="U11" s="59" t="inlineStr">
        <is>
          <t>53A,54A,56A,57A,58A</t>
        </is>
      </c>
      <c r="V11" s="59" t="inlineStr">
        <is>
          <t>DEMO-PURPOSE-BUILT</t>
        </is>
      </c>
      <c r="W11" s="59" t="inlineStr">
        <is>
          <t>EUR COLLECTION_SETTLEMENT for Deutsche Bank via Deutsche Bank</t>
        </is>
      </c>
      <c r="X11" s="55" t="inlineStr">
        <is>
          <t>swift.cbprplus.04,swift.cbprplus.cov.04</t>
        </is>
      </c>
      <c r="Y11" s="55" t="inlineStr">
        <is>
          <t>MT202,MT205,MT202COV,MT205COV</t>
        </is>
      </c>
    </row>
    <row r="12" ht="27" customHeight="1" s="53">
      <c r="A12" s="59" t="inlineStr">
        <is>
          <t>SSI-DEMO-006</t>
        </is>
      </c>
      <c r="B12" s="59" t="inlineStr">
        <is>
          <t>cd50ca60-1ec8-4a16-b61c-b03abf6a9c58</t>
        </is>
      </c>
      <c r="C12" s="60" t="n">
        <v>39</v>
      </c>
      <c r="D12" s="59" t="inlineStr">
        <is>
          <t>DEUTDEFF</t>
        </is>
      </c>
      <c r="E12" s="60" t="inlineStr">
        <is>
          <t>EUR</t>
        </is>
      </c>
      <c r="F12" s="60" t="inlineStr">
        <is>
          <t>HK01</t>
        </is>
      </c>
      <c r="G12" s="60" t="n">
        <v>20</v>
      </c>
      <c r="H12" s="59" t="inlineStr">
        <is>
          <t>SECONDARY</t>
        </is>
      </c>
      <c r="I12" s="72" t="inlineStr">
        <is>
          <t>alternative</t>
        </is>
      </c>
      <c r="J12" s="59" t="inlineStr">
        <is>
          <t>APPL-IMPORT_COLLECTION_PAYMENT-EUR</t>
        </is>
      </c>
      <c r="K12" s="59" t="inlineStr">
        <is>
          <t>ROUTE-EUR-HSBCHKHH</t>
        </is>
      </c>
      <c r="L12" s="60" t="inlineStr">
        <is>
          <t>HK</t>
        </is>
      </c>
      <c r="M12" s="59" t="inlineStr">
        <is>
          <t>HK_EUR</t>
        </is>
      </c>
      <c r="N12" s="60" t="inlineStr">
        <is>
          <t>EUR_CHATS</t>
        </is>
      </c>
      <c r="O12" s="59" t="inlineStr">
        <is>
          <t>DEMO-NOSTRO-003-SECONDARY</t>
        </is>
      </c>
      <c r="P12" s="59" t="inlineStr">
        <is>
          <t>DEMO-NOSTRO-003-SECONDARY-PRIMARY</t>
        </is>
      </c>
      <c r="Q12" s="59" t="inlineStr">
        <is>
          <t>HSBCHKHH</t>
        </is>
      </c>
      <c r="R12" s="59" t="inlineStr">
        <is>
          <t>HSBCHKHH</t>
        </is>
      </c>
      <c r="S12" s="59" t="inlineStr">
        <is>
          <t>HSBCHKHH</t>
        </is>
      </c>
      <c r="T12" s="59" t="inlineStr">
        <is>
          <t>DEUTDEFF</t>
        </is>
      </c>
      <c r="U12" s="59" t="inlineStr">
        <is>
          <t>53A,54A,56A,57A,58A</t>
        </is>
      </c>
      <c r="V12" s="59" t="inlineStr">
        <is>
          <t>DEMO-PURPOSE-BUILT</t>
        </is>
      </c>
      <c r="W12" s="59" t="inlineStr">
        <is>
          <t>EUR COLLECTION_SETTLEMENT for Deutsche Bank via HSBC</t>
        </is>
      </c>
      <c r="X12" s="55" t="inlineStr">
        <is>
          <t>swift.cbprplus.04,swift.cbprplus.cov.04</t>
        </is>
      </c>
      <c r="Y12" s="55" t="inlineStr">
        <is>
          <t>MT202,MT205,MT202COV,MT205COV</t>
        </is>
      </c>
    </row>
    <row r="13" ht="27" customHeight="1" s="53">
      <c r="A13" s="59" t="inlineStr">
        <is>
          <t>SSI-DEMO-035</t>
        </is>
      </c>
      <c r="B13" s="59" t="inlineStr">
        <is>
          <t>45ea4c86-67d4-40b7-935d-904a6e3ffd12</t>
        </is>
      </c>
      <c r="C13" s="60" t="n">
        <v>14</v>
      </c>
      <c r="D13" s="59" t="inlineStr">
        <is>
          <t>DEUTDEFF</t>
        </is>
      </c>
      <c r="E13" s="60" t="inlineStr">
        <is>
          <t>EUR</t>
        </is>
      </c>
      <c r="F13" s="60" t="inlineStr">
        <is>
          <t>HK01</t>
        </is>
      </c>
      <c r="G13" s="60" t="n">
        <v>20</v>
      </c>
      <c r="H13" s="59" t="inlineStr">
        <is>
          <t>SECONDARY</t>
        </is>
      </c>
      <c r="I13" s="72" t="inlineStr">
        <is>
          <t>alternative</t>
        </is>
      </c>
      <c r="J13" s="59" t="inlineStr">
        <is>
          <t>APPL-EUR-HIGH-VALUE</t>
        </is>
      </c>
      <c r="K13" s="59" t="inlineStr">
        <is>
          <t>ROUTE-EUR-DEUTDEFF-EURO1</t>
        </is>
      </c>
      <c r="L13" s="60" t="inlineStr">
        <is>
          <t>ANY</t>
        </is>
      </c>
      <c r="M13" s="59" t="inlineStr">
        <is>
          <t>EURO_AREA</t>
        </is>
      </c>
      <c r="N13" s="60" t="inlineStr">
        <is>
          <t>EURO1</t>
        </is>
      </c>
      <c r="O13" s="59" t="inlineStr">
        <is>
          <t>DEMO-NOSTRO-EUR-EURO1-DEUT</t>
        </is>
      </c>
      <c r="P13" s="59" t="inlineStr">
        <is>
          <t>DEMO-NOSTRO-EUR-EURO1-DEUT-PRIMARY</t>
        </is>
      </c>
      <c r="Q13" s="59" t="inlineStr">
        <is>
          <t>DEUTDEFF</t>
        </is>
      </c>
      <c r="R13" s="59" t="inlineStr">
        <is>
          <t>DEUTDEFF</t>
        </is>
      </c>
      <c r="S13" s="59" t="inlineStr">
        <is>
          <t>DEUTDEFF</t>
        </is>
      </c>
      <c r="T13" s="59" t="inlineStr">
        <is>
          <t>DEUTDEFF</t>
        </is>
      </c>
      <c r="U13" s="59" t="inlineStr">
        <is>
          <t>(無)</t>
        </is>
      </c>
      <c r="V13" s="59" t="inlineStr">
        <is>
          <t>DEMO-PURPOSE-BUILT</t>
        </is>
      </c>
      <c r="W13" s="59" t="inlineStr">
        <is>
          <t>EUR Deutsche Bank High-value Settlement via EURO1</t>
        </is>
      </c>
      <c r="X13" s="55" t="inlineStr">
        <is>
          <t>swift.cbprplus.04,swift.cbprplus.cov.04</t>
        </is>
      </c>
      <c r="Y13" s="55" t="inlineStr">
        <is>
          <t>MT202,MT205,MT202COV,MT205COV</t>
        </is>
      </c>
    </row>
    <row r="14" ht="41.25" customHeight="1" s="53">
      <c r="A14" s="59" t="inlineStr">
        <is>
          <t>SSI-DEMO-007</t>
        </is>
      </c>
      <c r="B14" s="59" t="inlineStr">
        <is>
          <t>f4bae14b-a208-45ae-990a-df840fb9af9f</t>
        </is>
      </c>
      <c r="C14" s="60" t="n">
        <v>44</v>
      </c>
      <c r="D14" s="59" t="inlineStr">
        <is>
          <t>DBSSSGSG</t>
        </is>
      </c>
      <c r="E14" s="60" t="inlineStr">
        <is>
          <t>SGD</t>
        </is>
      </c>
      <c r="F14" s="60" t="inlineStr">
        <is>
          <t>HK01</t>
        </is>
      </c>
      <c r="G14" s="60" t="n">
        <v>10</v>
      </c>
      <c r="H14" s="59" t="inlineStr">
        <is>
          <t>PRIMARY</t>
        </is>
      </c>
      <c r="I14" s="61" t="inlineStr">
        <is>
          <t>CHOSEN</t>
        </is>
      </c>
      <c r="J14" s="59" t="inlineStr">
        <is>
          <t>APPL-EXPORT_COLLECTION_PROCEEDS_SETTLEMENT-SGD</t>
        </is>
      </c>
      <c r="K14" s="59" t="inlineStr">
        <is>
          <t>ROUTE-SGD-DBSSSGSG</t>
        </is>
      </c>
      <c r="L14" s="60" t="inlineStr">
        <is>
          <t>SG</t>
        </is>
      </c>
      <c r="M14" s="59" t="inlineStr">
        <is>
          <t>SG_DOMESTIC</t>
        </is>
      </c>
      <c r="N14" s="60" t="inlineStr">
        <is>
          <t>MEPS_PLUS</t>
        </is>
      </c>
      <c r="O14" s="59" t="inlineStr">
        <is>
          <t>DEMO-NOSTRO-004-PRIMARY</t>
        </is>
      </c>
      <c r="P14" s="59" t="inlineStr">
        <is>
          <t>DEMO-NOSTRO-004-PRIMARY-PRIMARY</t>
        </is>
      </c>
      <c r="Q14" s="59" t="inlineStr">
        <is>
          <t>DBSSSGSG</t>
        </is>
      </c>
      <c r="R14" s="59" t="inlineStr">
        <is>
          <t>DBSSSGSG</t>
        </is>
      </c>
      <c r="S14" s="59" t="inlineStr">
        <is>
          <t>DBSSSGSG</t>
        </is>
      </c>
      <c r="T14" s="59" t="inlineStr">
        <is>
          <t>DBSSSGSG</t>
        </is>
      </c>
      <c r="U14" s="59" t="inlineStr">
        <is>
          <t>53A,54A,56A,57A,58A</t>
        </is>
      </c>
      <c r="V14" s="59" t="inlineStr">
        <is>
          <t>DEMO-PURPOSE-BUILT</t>
        </is>
      </c>
      <c r="W14" s="59" t="inlineStr">
        <is>
          <t>SGD PROCEEDS_SETTLEMENT for DBS via DBS</t>
        </is>
      </c>
      <c r="X14" s="55" t="inlineStr">
        <is>
          <t>swift.cbprplus.04,swift.cbprplus.cov.04</t>
        </is>
      </c>
      <c r="Y14" s="55" t="inlineStr">
        <is>
          <t>MT202,MT205,MT202COV,MT205COV</t>
        </is>
      </c>
    </row>
    <row r="15" ht="41.25" customHeight="1" s="53">
      <c r="A15" s="59" t="inlineStr">
        <is>
          <t>SSI-DEMO-008</t>
        </is>
      </c>
      <c r="B15" s="59" t="inlineStr">
        <is>
          <t>cc4f488c-99e1-40ad-a59d-a7d73f643de4</t>
        </is>
      </c>
      <c r="C15" s="60" t="n">
        <v>44</v>
      </c>
      <c r="D15" s="59" t="inlineStr">
        <is>
          <t>DBSSSGSG</t>
        </is>
      </c>
      <c r="E15" s="60" t="inlineStr">
        <is>
          <t>SGD</t>
        </is>
      </c>
      <c r="F15" s="60" t="inlineStr">
        <is>
          <t>HK01</t>
        </is>
      </c>
      <c r="G15" s="60" t="n">
        <v>20</v>
      </c>
      <c r="H15" s="59" t="inlineStr">
        <is>
          <t>SECONDARY</t>
        </is>
      </c>
      <c r="I15" s="72" t="inlineStr">
        <is>
          <t>alternative</t>
        </is>
      </c>
      <c r="J15" s="59" t="inlineStr">
        <is>
          <t>APPL-EXPORT_COLLECTION_PROCEEDS_SETTLEMENT-SGD</t>
        </is>
      </c>
      <c r="K15" s="59" t="inlineStr">
        <is>
          <t>ROUTE-SGD-OCBCSGSG</t>
        </is>
      </c>
      <c r="L15" s="60" t="inlineStr">
        <is>
          <t>SG</t>
        </is>
      </c>
      <c r="M15" s="59" t="inlineStr">
        <is>
          <t>SG_DOMESTIC</t>
        </is>
      </c>
      <c r="N15" s="60" t="inlineStr">
        <is>
          <t>MEPS_PLUS</t>
        </is>
      </c>
      <c r="O15" s="59" t="inlineStr">
        <is>
          <t>DEMO-NOSTRO-004-SECONDARY</t>
        </is>
      </c>
      <c r="P15" s="59" t="inlineStr">
        <is>
          <t>DEMO-NOSTRO-004-SECONDARY-PRIMARY</t>
        </is>
      </c>
      <c r="Q15" s="59" t="inlineStr">
        <is>
          <t>OCBCSGSG</t>
        </is>
      </c>
      <c r="R15" s="59" t="inlineStr">
        <is>
          <t>OCBCSGSG</t>
        </is>
      </c>
      <c r="S15" s="59" t="inlineStr">
        <is>
          <t>OCBCSGSG</t>
        </is>
      </c>
      <c r="T15" s="59" t="inlineStr">
        <is>
          <t>DBSSSGSG</t>
        </is>
      </c>
      <c r="U15" s="59" t="inlineStr">
        <is>
          <t>53A,54A,56A,57A,58A</t>
        </is>
      </c>
      <c r="V15" s="59" t="inlineStr">
        <is>
          <t>DEMO-PURPOSE-BUILT</t>
        </is>
      </c>
      <c r="W15" s="59" t="inlineStr">
        <is>
          <t>SGD PROCEEDS_SETTLEMENT for DBS via OCBC</t>
        </is>
      </c>
      <c r="X15" s="55" t="inlineStr">
        <is>
          <t>swift.cbprplus.04,swift.cbprplus.cov.04</t>
        </is>
      </c>
      <c r="Y15" s="55" t="inlineStr">
        <is>
          <t>MT202,MT205,MT202COV,MT205COV</t>
        </is>
      </c>
    </row>
    <row r="16" ht="27" customHeight="1" s="53">
      <c r="A16" s="59" t="inlineStr">
        <is>
          <t>SSI-DEMO-009</t>
        </is>
      </c>
      <c r="B16" s="59" t="inlineStr">
        <is>
          <t>ca4a553d-77f0-4f30-b2a7-c83c4d81f52b</t>
        </is>
      </c>
      <c r="C16" s="60" t="n">
        <v>39</v>
      </c>
      <c r="D16" s="59" t="inlineStr">
        <is>
          <t>BOTKJPJT</t>
        </is>
      </c>
      <c r="E16" s="60" t="inlineStr">
        <is>
          <t>JPY</t>
        </is>
      </c>
      <c r="F16" s="60" t="inlineStr">
        <is>
          <t>HK01</t>
        </is>
      </c>
      <c r="G16" s="60" t="n">
        <v>10</v>
      </c>
      <c r="H16" s="59" t="inlineStr">
        <is>
          <t>PRIMARY</t>
        </is>
      </c>
      <c r="I16" s="61" t="inlineStr">
        <is>
          <t>CHOSEN</t>
        </is>
      </c>
      <c r="J16" s="59" t="inlineStr">
        <is>
          <t>APPL-STANDBY_LC_CLAIM_PAYMENT-JPY</t>
        </is>
      </c>
      <c r="K16" s="59" t="inlineStr">
        <is>
          <t>ROUTE-JPY-BOTKJPJT</t>
        </is>
      </c>
      <c r="L16" s="60" t="inlineStr">
        <is>
          <t>JP</t>
        </is>
      </c>
      <c r="M16" s="59" t="inlineStr">
        <is>
          <t>JP_DOMESTIC</t>
        </is>
      </c>
      <c r="N16" s="60" t="inlineStr">
        <is>
          <t>BOJ_NET</t>
        </is>
      </c>
      <c r="O16" s="59" t="inlineStr">
        <is>
          <t>DEMO-NOSTRO-005-PRIMARY</t>
        </is>
      </c>
      <c r="P16" s="59" t="inlineStr">
        <is>
          <t>DEMO-NOSTRO-005-PRIMARY-PRIMARY</t>
        </is>
      </c>
      <c r="Q16" s="59" t="inlineStr">
        <is>
          <t>BOTKJPJT</t>
        </is>
      </c>
      <c r="R16" s="59" t="inlineStr">
        <is>
          <t>BOTKJPJT</t>
        </is>
      </c>
      <c r="S16" s="59" t="inlineStr">
        <is>
          <t>BOTKJPJT</t>
        </is>
      </c>
      <c r="T16" s="59" t="inlineStr">
        <is>
          <t>BOTKJPJT</t>
        </is>
      </c>
      <c r="U16" s="59" t="inlineStr">
        <is>
          <t>56A,57A,58A</t>
        </is>
      </c>
      <c r="V16" s="59" t="inlineStr">
        <is>
          <t>DEMO-PURPOSE-BUILT</t>
        </is>
      </c>
      <c r="W16" s="59" t="inlineStr">
        <is>
          <t>JPY CLAIM_PAYMENT for MUFG via MUFG</t>
        </is>
      </c>
      <c r="X16" s="55" t="inlineStr">
        <is>
          <t>swift.cbprplus.04,swift.cbprplus.cov.04</t>
        </is>
      </c>
      <c r="Y16" s="55" t="inlineStr">
        <is>
          <t>MT202,MT205,MT202COV,MT205COV</t>
        </is>
      </c>
    </row>
    <row r="17" ht="27" customHeight="1" s="53">
      <c r="A17" s="59" t="inlineStr">
        <is>
          <t>SSI-DEMO-010</t>
        </is>
      </c>
      <c r="B17" s="59" t="inlineStr">
        <is>
          <t>ca1d12d4-1208-40d5-a8fe-bcd040bda6e3</t>
        </is>
      </c>
      <c r="C17" s="60" t="n">
        <v>39</v>
      </c>
      <c r="D17" s="59" t="inlineStr">
        <is>
          <t>BOTKJPJT</t>
        </is>
      </c>
      <c r="E17" s="60" t="inlineStr">
        <is>
          <t>JPY</t>
        </is>
      </c>
      <c r="F17" s="60" t="inlineStr">
        <is>
          <t>HK01</t>
        </is>
      </c>
      <c r="G17" s="60" t="n">
        <v>20</v>
      </c>
      <c r="H17" s="59" t="inlineStr">
        <is>
          <t>SECONDARY</t>
        </is>
      </c>
      <c r="I17" s="72" t="inlineStr">
        <is>
          <t>alternative</t>
        </is>
      </c>
      <c r="J17" s="59" t="inlineStr">
        <is>
          <t>APPL-STANDBY_LC_CLAIM_PAYMENT-JPY</t>
        </is>
      </c>
      <c r="K17" s="59" t="inlineStr">
        <is>
          <t>ROUTE-JPY-SMBCJPJT</t>
        </is>
      </c>
      <c r="L17" s="60" t="inlineStr">
        <is>
          <t>JP</t>
        </is>
      </c>
      <c r="M17" s="59" t="inlineStr">
        <is>
          <t>JP_DOMESTIC</t>
        </is>
      </c>
      <c r="N17" s="60" t="inlineStr">
        <is>
          <t>BOJ_NET</t>
        </is>
      </c>
      <c r="O17" s="59" t="inlineStr">
        <is>
          <t>DEMO-NOSTRO-005-SECONDARY</t>
        </is>
      </c>
      <c r="P17" s="59" t="inlineStr">
        <is>
          <t>DEMO-NOSTRO-005-SECONDARY-PRIMARY</t>
        </is>
      </c>
      <c r="Q17" s="59" t="inlineStr">
        <is>
          <t>SMBCJPJT</t>
        </is>
      </c>
      <c r="R17" s="59" t="inlineStr">
        <is>
          <t>SMBCJPJT</t>
        </is>
      </c>
      <c r="S17" s="59" t="inlineStr">
        <is>
          <t>SMBCJPJT</t>
        </is>
      </c>
      <c r="T17" s="59" t="inlineStr">
        <is>
          <t>BOTKJPJT</t>
        </is>
      </c>
      <c r="U17" s="59" t="inlineStr">
        <is>
          <t>56A,57A,58A</t>
        </is>
      </c>
      <c r="V17" s="59" t="inlineStr">
        <is>
          <t>DEMO-PURPOSE-BUILT</t>
        </is>
      </c>
      <c r="W17" s="59" t="inlineStr">
        <is>
          <t>JPY CLAIM_PAYMENT for MUFG via SMBC</t>
        </is>
      </c>
      <c r="X17" s="55" t="inlineStr">
        <is>
          <t>swift.cbprplus.04,swift.cbprplus.cov.04</t>
        </is>
      </c>
      <c r="Y17" s="55" t="inlineStr">
        <is>
          <t>MT202,MT205,MT202COV,MT205COV</t>
        </is>
      </c>
    </row>
    <row r="18" ht="41.25" customHeight="1" s="53">
      <c r="A18" s="59" t="inlineStr">
        <is>
          <t>SSI-DEMO-011</t>
        </is>
      </c>
      <c r="B18" s="59" t="inlineStr">
        <is>
          <t>d60d207b-29b2-4352-8314-89378edcf139</t>
        </is>
      </c>
      <c r="C18" s="60" t="n">
        <v>39</v>
      </c>
      <c r="D18" s="59" t="inlineStr">
        <is>
          <t>HSBCHKHH</t>
        </is>
      </c>
      <c r="E18" s="60" t="inlineStr">
        <is>
          <t>HKD</t>
        </is>
      </c>
      <c r="F18" s="60" t="inlineStr">
        <is>
          <t>HK01</t>
        </is>
      </c>
      <c r="G18" s="60" t="n">
        <v>10</v>
      </c>
      <c r="H18" s="59" t="inlineStr">
        <is>
          <t>PRIMARY</t>
        </is>
      </c>
      <c r="I18" s="61" t="inlineStr">
        <is>
          <t>CHOSEN</t>
        </is>
      </c>
      <c r="J18" s="59" t="inlineStr">
        <is>
          <t>APPL-DEMAND_GUARANTEE_CLAIM_PAYMENT-HKD</t>
        </is>
      </c>
      <c r="K18" s="59" t="inlineStr">
        <is>
          <t>ROUTE-HKD-HSBCHKHH</t>
        </is>
      </c>
      <c r="L18" s="60" t="inlineStr">
        <is>
          <t>HK</t>
        </is>
      </c>
      <c r="M18" s="59" t="inlineStr">
        <is>
          <t>HK_DOLLAR</t>
        </is>
      </c>
      <c r="N18" s="60" t="inlineStr">
        <is>
          <t>HKD_CHATS</t>
        </is>
      </c>
      <c r="O18" s="59" t="inlineStr">
        <is>
          <t>DEMO-NOSTRO-006-PRIMARY</t>
        </is>
      </c>
      <c r="P18" s="59" t="inlineStr">
        <is>
          <t>DEMO-NOSTRO-006-PRIMARY-PRIMARY</t>
        </is>
      </c>
      <c r="Q18" s="59" t="inlineStr">
        <is>
          <t>HSBCHKHH</t>
        </is>
      </c>
      <c r="R18" s="59" t="inlineStr">
        <is>
          <t>HSBCHKHH</t>
        </is>
      </c>
      <c r="S18" s="59" t="inlineStr">
        <is>
          <t>HSBCHKHH</t>
        </is>
      </c>
      <c r="T18" s="59" t="inlineStr">
        <is>
          <t>HSBCHKHH</t>
        </is>
      </c>
      <c r="U18" s="59" t="inlineStr">
        <is>
          <t>56A,57A,58A</t>
        </is>
      </c>
      <c r="V18" s="59" t="inlineStr">
        <is>
          <t>DEMO-PURPOSE-BUILT</t>
        </is>
      </c>
      <c r="W18" s="59" t="inlineStr">
        <is>
          <t>HKD CLAIM_PAYMENT for HSBC via HSBC</t>
        </is>
      </c>
      <c r="X18" s="55" t="inlineStr">
        <is>
          <t>swift.cbprplus.04,swift.cbprplus.cov.04</t>
        </is>
      </c>
      <c r="Y18" s="55" t="inlineStr">
        <is>
          <t>MT202,MT205,MT202COV,MT205COV</t>
        </is>
      </c>
    </row>
    <row r="19" ht="41.25" customHeight="1" s="53">
      <c r="A19" s="59" t="inlineStr">
        <is>
          <t>SSI-DEMO-012</t>
        </is>
      </c>
      <c r="B19" s="59" t="inlineStr">
        <is>
          <t>12fed8b5-20a9-4fa0-b684-cfc08bd307fe</t>
        </is>
      </c>
      <c r="C19" s="60" t="n">
        <v>39</v>
      </c>
      <c r="D19" s="59" t="inlineStr">
        <is>
          <t>HSBCHKHH</t>
        </is>
      </c>
      <c r="E19" s="60" t="inlineStr">
        <is>
          <t>HKD</t>
        </is>
      </c>
      <c r="F19" s="60" t="inlineStr">
        <is>
          <t>HK01</t>
        </is>
      </c>
      <c r="G19" s="60" t="n">
        <v>20</v>
      </c>
      <c r="H19" s="59" t="inlineStr">
        <is>
          <t>SECONDARY</t>
        </is>
      </c>
      <c r="I19" s="72" t="inlineStr">
        <is>
          <t>alternative</t>
        </is>
      </c>
      <c r="J19" s="59" t="inlineStr">
        <is>
          <t>APPL-DEMAND_GUARANTEE_CLAIM_PAYMENT-HKD</t>
        </is>
      </c>
      <c r="K19" s="59" t="inlineStr">
        <is>
          <t>ROUTE-HKD-SCBLHKHH</t>
        </is>
      </c>
      <c r="L19" s="60" t="inlineStr">
        <is>
          <t>HK</t>
        </is>
      </c>
      <c r="M19" s="59" t="inlineStr">
        <is>
          <t>HK_DOLLAR</t>
        </is>
      </c>
      <c r="N19" s="60" t="inlineStr">
        <is>
          <t>HKD_CHATS</t>
        </is>
      </c>
      <c r="O19" s="59" t="inlineStr">
        <is>
          <t>DEMO-NOSTRO-006-SECONDARY</t>
        </is>
      </c>
      <c r="P19" s="59" t="inlineStr">
        <is>
          <t>DEMO-NOSTRO-006-SECONDARY-PRIMARY</t>
        </is>
      </c>
      <c r="Q19" s="59" t="inlineStr">
        <is>
          <t>SCBLHKHH</t>
        </is>
      </c>
      <c r="R19" s="59" t="inlineStr">
        <is>
          <t>SCBLHKHH</t>
        </is>
      </c>
      <c r="S19" s="59" t="inlineStr">
        <is>
          <t>SCBLHKHH</t>
        </is>
      </c>
      <c r="T19" s="59" t="inlineStr">
        <is>
          <t>HSBCHKHH</t>
        </is>
      </c>
      <c r="U19" s="59" t="inlineStr">
        <is>
          <t>56A,57A,58A</t>
        </is>
      </c>
      <c r="V19" s="59" t="inlineStr">
        <is>
          <t>DEMO-PURPOSE-BUILT</t>
        </is>
      </c>
      <c r="W19" s="59" t="inlineStr">
        <is>
          <t>HKD CLAIM_PAYMENT for HSBC via SCB (HK)</t>
        </is>
      </c>
      <c r="X19" s="55" t="inlineStr">
        <is>
          <t>swift.cbprplus.04,swift.cbprplus.cov.04</t>
        </is>
      </c>
      <c r="Y19" s="55" t="inlineStr">
        <is>
          <t>MT202,MT205,MT202COV,MT205COV</t>
        </is>
      </c>
    </row>
    <row r="20" ht="41.25" customHeight="1" s="53">
      <c r="A20" s="59" t="inlineStr">
        <is>
          <t>SSI-DEMO-013</t>
        </is>
      </c>
      <c r="B20" s="59" t="inlineStr">
        <is>
          <t>42aae02a-0597-4982-b4c0-4b27bb44a549</t>
        </is>
      </c>
      <c r="C20" s="60" t="n">
        <v>39</v>
      </c>
      <c r="D20" s="59" t="inlineStr">
        <is>
          <t>BOFAUS3N</t>
        </is>
      </c>
      <c r="E20" s="60" t="inlineStr">
        <is>
          <t>AUD</t>
        </is>
      </c>
      <c r="F20" s="60" t="inlineStr">
        <is>
          <t>HK01</t>
        </is>
      </c>
      <c r="G20" s="60" t="n">
        <v>10</v>
      </c>
      <c r="H20" s="59" t="inlineStr">
        <is>
          <t>PRIMARY</t>
        </is>
      </c>
      <c r="I20" s="61" t="inlineStr">
        <is>
          <t>CHOSEN</t>
        </is>
      </c>
      <c r="J20" s="59" t="inlineStr">
        <is>
          <t>APPL-LC_REIMBURSEMENT_SETTLEMENT-AUD</t>
        </is>
      </c>
      <c r="K20" s="59" t="inlineStr">
        <is>
          <t>ROUTE-AUD-CTBAAU2S</t>
        </is>
      </c>
      <c r="L20" s="60" t="inlineStr">
        <is>
          <t>AU</t>
        </is>
      </c>
      <c r="M20" s="59" t="inlineStr">
        <is>
          <t>AU_DOMESTIC</t>
        </is>
      </c>
      <c r="N20" s="60" t="inlineStr">
        <is>
          <t>RITS</t>
        </is>
      </c>
      <c r="O20" s="59" t="inlineStr">
        <is>
          <t>DEMO-NOSTRO-007-PRIMARY</t>
        </is>
      </c>
      <c r="P20" s="59" t="inlineStr">
        <is>
          <t>DEMO-NOSTRO-007-PRIMARY-PRIMARY</t>
        </is>
      </c>
      <c r="Q20" s="59" t="inlineStr">
        <is>
          <t>CTBAAU2S</t>
        </is>
      </c>
      <c r="R20" s="59" t="inlineStr">
        <is>
          <t>CTBAAU2S</t>
        </is>
      </c>
      <c r="S20" s="59" t="inlineStr">
        <is>
          <t>CTBAAU2S</t>
        </is>
      </c>
      <c r="T20" s="59" t="inlineStr">
        <is>
          <t>BOFAUS3N</t>
        </is>
      </c>
      <c r="U20" s="59" t="inlineStr">
        <is>
          <t>53A,54A,56A,57A,58A</t>
        </is>
      </c>
      <c r="V20" s="59" t="inlineStr">
        <is>
          <t>DEMO-PURPOSE-BUILT</t>
        </is>
      </c>
      <c r="W20" s="59" t="inlineStr">
        <is>
          <t>AUD BANK_REIMBURSEMENT for BofA via CBA</t>
        </is>
      </c>
      <c r="X20" s="55" t="inlineStr">
        <is>
          <t>swift.cbprplus.04,swift.cbprplus.cov.04</t>
        </is>
      </c>
      <c r="Y20" s="55" t="inlineStr">
        <is>
          <t>MT202,MT205,MT202COV,MT205COV</t>
        </is>
      </c>
    </row>
    <row r="21" ht="41.25" customHeight="1" s="53">
      <c r="A21" s="59" t="inlineStr">
        <is>
          <t>SSI-DEMO-014</t>
        </is>
      </c>
      <c r="B21" s="59" t="inlineStr">
        <is>
          <t>50d51f4c-9905-46f2-ac93-e0e1a4330019</t>
        </is>
      </c>
      <c r="C21" s="60" t="n">
        <v>39</v>
      </c>
      <c r="D21" s="59" t="inlineStr">
        <is>
          <t>BOFAUS3N</t>
        </is>
      </c>
      <c r="E21" s="60" t="inlineStr">
        <is>
          <t>AUD</t>
        </is>
      </c>
      <c r="F21" s="60" t="inlineStr">
        <is>
          <t>HK01</t>
        </is>
      </c>
      <c r="G21" s="60" t="n">
        <v>20</v>
      </c>
      <c r="H21" s="59" t="inlineStr">
        <is>
          <t>SECONDARY</t>
        </is>
      </c>
      <c r="I21" s="72" t="inlineStr">
        <is>
          <t>alternative</t>
        </is>
      </c>
      <c r="J21" s="59" t="inlineStr">
        <is>
          <t>APPL-LC_REIMBURSEMENT_SETTLEMENT-AUD</t>
        </is>
      </c>
      <c r="K21" s="59" t="inlineStr">
        <is>
          <t>ROUTE-AUD-ANZBAU3M</t>
        </is>
      </c>
      <c r="L21" s="60" t="inlineStr">
        <is>
          <t>AU</t>
        </is>
      </c>
      <c r="M21" s="59" t="inlineStr">
        <is>
          <t>AU_DOMESTIC</t>
        </is>
      </c>
      <c r="N21" s="60" t="inlineStr">
        <is>
          <t>RITS</t>
        </is>
      </c>
      <c r="O21" s="59" t="inlineStr">
        <is>
          <t>DEMO-NOSTRO-007-SECONDARY</t>
        </is>
      </c>
      <c r="P21" s="59" t="inlineStr">
        <is>
          <t>DEMO-NOSTRO-007-SECONDARY-PRIMARY</t>
        </is>
      </c>
      <c r="Q21" s="59" t="inlineStr">
        <is>
          <t>ANZBAU3M</t>
        </is>
      </c>
      <c r="R21" s="59" t="inlineStr">
        <is>
          <t>ANZBAU3M</t>
        </is>
      </c>
      <c r="S21" s="59" t="inlineStr">
        <is>
          <t>ANZBAU3M</t>
        </is>
      </c>
      <c r="T21" s="59" t="inlineStr">
        <is>
          <t>BOFAUS3N</t>
        </is>
      </c>
      <c r="U21" s="59" t="inlineStr">
        <is>
          <t>53A,54A,56A,57A,58A</t>
        </is>
      </c>
      <c r="V21" s="59" t="inlineStr">
        <is>
          <t>DEMO-PURPOSE-BUILT</t>
        </is>
      </c>
      <c r="W21" s="59" t="inlineStr">
        <is>
          <t>AUD BANK_REIMBURSEMENT for BofA via ANZ</t>
        </is>
      </c>
      <c r="X21" s="55" t="inlineStr">
        <is>
          <t>swift.cbprplus.04,swift.cbprplus.cov.04</t>
        </is>
      </c>
      <c r="Y21" s="55" t="inlineStr">
        <is>
          <t>MT202,MT205,MT202COV,MT205COV</t>
        </is>
      </c>
    </row>
    <row r="22" ht="27" customHeight="1" s="53">
      <c r="A22" s="59" t="inlineStr">
        <is>
          <t>SSI-DEMO-015</t>
        </is>
      </c>
      <c r="B22" s="59" t="inlineStr">
        <is>
          <t>eb1a6c37-f327-4038-8241-8aac9f5d20b9</t>
        </is>
      </c>
      <c r="C22" s="60" t="n">
        <v>39</v>
      </c>
      <c r="D22" s="59" t="inlineStr">
        <is>
          <t>CHASUS33</t>
        </is>
      </c>
      <c r="E22" s="60" t="inlineStr">
        <is>
          <t>CAD</t>
        </is>
      </c>
      <c r="F22" s="60" t="inlineStr">
        <is>
          <t>HK01</t>
        </is>
      </c>
      <c r="G22" s="60" t="n">
        <v>10</v>
      </c>
      <c r="H22" s="59" t="inlineStr">
        <is>
          <t>PRIMARY</t>
        </is>
      </c>
      <c r="I22" s="61" t="inlineStr">
        <is>
          <t>CHOSEN</t>
        </is>
      </c>
      <c r="J22" s="59" t="inlineStr">
        <is>
          <t>APPL-FX_SETTLEMENT-CAD</t>
        </is>
      </c>
      <c r="K22" s="59" t="inlineStr">
        <is>
          <t>ROUTE-CAD-ROYCCAT2</t>
        </is>
      </c>
      <c r="L22" s="60" t="inlineStr">
        <is>
          <t>CA</t>
        </is>
      </c>
      <c r="M22" s="59" t="inlineStr">
        <is>
          <t>CA_DOMESTIC</t>
        </is>
      </c>
      <c r="N22" s="60" t="inlineStr">
        <is>
          <t>LYNX</t>
        </is>
      </c>
      <c r="O22" s="59" t="inlineStr">
        <is>
          <t>DEMO-NOSTRO-008-PRIMARY</t>
        </is>
      </c>
      <c r="P22" s="59" t="inlineStr">
        <is>
          <t>DEMO-NOSTRO-008-PRIMARY-PRIMARY</t>
        </is>
      </c>
      <c r="Q22" s="59" t="inlineStr">
        <is>
          <t>ROYCCAT2</t>
        </is>
      </c>
      <c r="R22" s="59" t="inlineStr">
        <is>
          <t>ROYCCAT2</t>
        </is>
      </c>
      <c r="S22" s="59" t="inlineStr">
        <is>
          <t>ROYCCAT2</t>
        </is>
      </c>
      <c r="T22" s="59" t="inlineStr">
        <is>
          <t>CHASUS33</t>
        </is>
      </c>
      <c r="U22" s="59" t="inlineStr">
        <is>
          <t>53A,56A,57A,58A</t>
        </is>
      </c>
      <c r="V22" s="59" t="inlineStr">
        <is>
          <t>DEMO-PURPOSE-BUILT</t>
        </is>
      </c>
      <c r="W22" s="59" t="inlineStr">
        <is>
          <t>CAD INTERBANK_SETTLEMENT for JPM via RBC</t>
        </is>
      </c>
      <c r="X22" s="55" t="inlineStr">
        <is>
          <t>swift.cbprplus.04,swift.cbprplus.cov.04</t>
        </is>
      </c>
      <c r="Y22" s="55" t="inlineStr">
        <is>
          <t>MT202,MT205,MT202COV,MT205COV</t>
        </is>
      </c>
    </row>
    <row r="23" ht="27" customHeight="1" s="53">
      <c r="A23" s="59" t="inlineStr">
        <is>
          <t>SSI-DEMO-016</t>
        </is>
      </c>
      <c r="B23" s="59" t="inlineStr">
        <is>
          <t>ed799438-a80b-4787-85e5-443a0ca5c5bb</t>
        </is>
      </c>
      <c r="C23" s="60" t="n">
        <v>39</v>
      </c>
      <c r="D23" s="59" t="inlineStr">
        <is>
          <t>CHASUS33</t>
        </is>
      </c>
      <c r="E23" s="60" t="inlineStr">
        <is>
          <t>CAD</t>
        </is>
      </c>
      <c r="F23" s="60" t="inlineStr">
        <is>
          <t>HK01</t>
        </is>
      </c>
      <c r="G23" s="60" t="n">
        <v>20</v>
      </c>
      <c r="H23" s="59" t="inlineStr">
        <is>
          <t>SECONDARY</t>
        </is>
      </c>
      <c r="I23" s="72" t="inlineStr">
        <is>
          <t>alternative</t>
        </is>
      </c>
      <c r="J23" s="59" t="inlineStr">
        <is>
          <t>APPL-FX_SETTLEMENT-CAD</t>
        </is>
      </c>
      <c r="K23" s="59" t="inlineStr">
        <is>
          <t>ROUTE-CAD-BOFMCAM2</t>
        </is>
      </c>
      <c r="L23" s="60" t="inlineStr">
        <is>
          <t>CA</t>
        </is>
      </c>
      <c r="M23" s="59" t="inlineStr">
        <is>
          <t>CA_DOMESTIC</t>
        </is>
      </c>
      <c r="N23" s="60" t="inlineStr">
        <is>
          <t>LYNX</t>
        </is>
      </c>
      <c r="O23" s="59" t="inlineStr">
        <is>
          <t>DEMO-NOSTRO-008-SECONDARY</t>
        </is>
      </c>
      <c r="P23" s="59" t="inlineStr">
        <is>
          <t>DEMO-NOSTRO-008-SECONDARY-PRIMARY</t>
        </is>
      </c>
      <c r="Q23" s="59" t="inlineStr">
        <is>
          <t>BOFMCAM2</t>
        </is>
      </c>
      <c r="R23" s="59" t="inlineStr">
        <is>
          <t>BOFMCAM2</t>
        </is>
      </c>
      <c r="S23" s="59" t="inlineStr">
        <is>
          <t>BOFMCAM2</t>
        </is>
      </c>
      <c r="T23" s="59" t="inlineStr">
        <is>
          <t>CHASUS33</t>
        </is>
      </c>
      <c r="U23" s="59" t="inlineStr">
        <is>
          <t>53A,56A,57A,58A</t>
        </is>
      </c>
      <c r="V23" s="59" t="inlineStr">
        <is>
          <t>DEMO-PURPOSE-BUILT</t>
        </is>
      </c>
      <c r="W23" s="59" t="inlineStr">
        <is>
          <t>CAD INTERBANK_SETTLEMENT for JPM via BMO</t>
        </is>
      </c>
      <c r="X23" s="55" t="inlineStr">
        <is>
          <t>swift.cbprplus.04,swift.cbprplus.cov.04</t>
        </is>
      </c>
      <c r="Y23" s="55" t="inlineStr">
        <is>
          <t>MT202,MT205,MT202COV,MT205COV</t>
        </is>
      </c>
    </row>
    <row r="24" ht="41.25" customHeight="1" s="53">
      <c r="A24" s="59" t="inlineStr">
        <is>
          <t>SSI-DEMO-021</t>
        </is>
      </c>
      <c r="B24" s="59" t="inlineStr">
        <is>
          <t>b96e8d9a-327b-4fb0-9777-a9ad9d86ac43</t>
        </is>
      </c>
      <c r="C24" s="60" t="n">
        <v>39</v>
      </c>
      <c r="D24" s="59" t="inlineStr">
        <is>
          <t>CHASUS33</t>
        </is>
      </c>
      <c r="E24" s="60" t="inlineStr">
        <is>
          <t>USD</t>
        </is>
      </c>
      <c r="F24" s="60" t="inlineStr">
        <is>
          <t>HK01</t>
        </is>
      </c>
      <c r="G24" s="60" t="n">
        <v>10</v>
      </c>
      <c r="H24" s="59" t="inlineStr">
        <is>
          <t>PRIMARY</t>
        </is>
      </c>
      <c r="I24" s="61" t="inlineStr">
        <is>
          <t>CHOSEN</t>
        </is>
      </c>
      <c r="J24" s="59" t="inlineStr">
        <is>
          <t>APPL-EXPORT_COLLECTION_PROCEEDS_SETTLEMENT-USD</t>
        </is>
      </c>
      <c r="K24" s="59" t="inlineStr">
        <is>
          <t>ROUTE-USD-CITIUS33</t>
        </is>
      </c>
      <c r="L24" s="60" t="inlineStr">
        <is>
          <t>US</t>
        </is>
      </c>
      <c r="M24" s="59" t="inlineStr">
        <is>
          <t>US_DOLLAR</t>
        </is>
      </c>
      <c r="N24" s="60" t="inlineStr">
        <is>
          <t>FEDWIRE</t>
        </is>
      </c>
      <c r="O24" s="59" t="inlineStr">
        <is>
          <t>DEMO-NOSTRO-001-EXPCOLL</t>
        </is>
      </c>
      <c r="P24" s="59" t="inlineStr">
        <is>
          <t>DEMO-NOSTRO-001-EXPCOLL-PRIMARY</t>
        </is>
      </c>
      <c r="Q24" s="59" t="inlineStr">
        <is>
          <t>CITIUS33</t>
        </is>
      </c>
      <c r="R24" s="59" t="inlineStr">
        <is>
          <t>CITIUS33</t>
        </is>
      </c>
      <c r="S24" s="59" t="inlineStr">
        <is>
          <t>CITIUS33</t>
        </is>
      </c>
      <c r="T24" s="59" t="inlineStr">
        <is>
          <t>CHASUS33</t>
        </is>
      </c>
      <c r="U24" s="59" t="inlineStr">
        <is>
          <t>CdtrAgt,IntrmyAgt1</t>
        </is>
      </c>
      <c r="V24" s="59" t="inlineStr">
        <is>
          <t>DEMO-PURPOSE-BUILT</t>
        </is>
      </c>
      <c r="W24" s="59" t="inlineStr">
        <is>
          <t>USD JPM Standing Settlement Route via Citi</t>
        </is>
      </c>
      <c r="X24" s="55" t="inlineStr">
        <is>
          <t>swift.cbprplus.04,swift.cbprplus.cov.04</t>
        </is>
      </c>
      <c r="Y24" s="55" t="inlineStr">
        <is>
          <t>MT202,MT205,MT202COV,MT205COV</t>
        </is>
      </c>
    </row>
    <row r="25" ht="27" customHeight="1" s="53">
      <c r="A25" s="59" t="inlineStr">
        <is>
          <t>SSI-DEMO-017</t>
        </is>
      </c>
      <c r="B25" s="59" t="inlineStr">
        <is>
          <t>946b7448-f719-4bd4-8d83-f66c597e1f6d</t>
        </is>
      </c>
      <c r="C25" s="60" t="n">
        <v>39</v>
      </c>
      <c r="D25" s="59" t="inlineStr">
        <is>
          <t>SCBLGB2L</t>
        </is>
      </c>
      <c r="E25" s="60" t="inlineStr">
        <is>
          <t>CHF</t>
        </is>
      </c>
      <c r="F25" s="60" t="inlineStr">
        <is>
          <t>HK01</t>
        </is>
      </c>
      <c r="G25" s="60" t="n">
        <v>10</v>
      </c>
      <c r="H25" s="59" t="inlineStr">
        <is>
          <t>PRIMARY</t>
        </is>
      </c>
      <c r="I25" s="61" t="inlineStr">
        <is>
          <t>CHOSEN</t>
        </is>
      </c>
      <c r="J25" s="59" t="inlineStr">
        <is>
          <t>APPL-MONEY_MARKET_SETTLEMENT-CHF</t>
        </is>
      </c>
      <c r="K25" s="59" t="inlineStr">
        <is>
          <t>ROUTE-CHF-UBSWCHZH80A</t>
        </is>
      </c>
      <c r="L25" s="60" t="inlineStr">
        <is>
          <t>CH</t>
        </is>
      </c>
      <c r="M25" s="59" t="inlineStr">
        <is>
          <t>CH_DOMESTIC</t>
        </is>
      </c>
      <c r="N25" s="60" t="inlineStr">
        <is>
          <t>SIC</t>
        </is>
      </c>
      <c r="O25" s="59" t="inlineStr">
        <is>
          <t>DEMO-NOSTRO-009-PRIMARY</t>
        </is>
      </c>
      <c r="P25" s="59" t="inlineStr">
        <is>
          <t>DEMO-NOSTRO-009-PRIMARY-PRIMARY</t>
        </is>
      </c>
      <c r="Q25" s="59" t="inlineStr">
        <is>
          <t>UBSWCHZH80A</t>
        </is>
      </c>
      <c r="R25" s="59" t="inlineStr">
        <is>
          <t>UBSWCHZH80A</t>
        </is>
      </c>
      <c r="S25" s="59" t="inlineStr">
        <is>
          <t>UBSWCHZH80A</t>
        </is>
      </c>
      <c r="T25" s="59" t="inlineStr">
        <is>
          <t>SCBLGB2L</t>
        </is>
      </c>
      <c r="U25" s="59" t="inlineStr">
        <is>
          <t>53A,56A,57A,58A</t>
        </is>
      </c>
      <c r="V25" s="59" t="inlineStr">
        <is>
          <t>DEMO-PURPOSE-BUILT</t>
        </is>
      </c>
      <c r="W25" s="59" t="inlineStr">
        <is>
          <t>CHF INTERBANK_SETTLEMENT for SCB via UBS</t>
        </is>
      </c>
      <c r="X25" s="55" t="inlineStr">
        <is>
          <t>swift.cbprplus.04,swift.cbprplus.cov.04</t>
        </is>
      </c>
      <c r="Y25" s="55" t="inlineStr">
        <is>
          <t>MT202,MT205,MT202COV,MT205COV</t>
        </is>
      </c>
    </row>
    <row r="26" ht="27" customHeight="1" s="53">
      <c r="A26" s="59" t="inlineStr">
        <is>
          <t>SSI-DEMO-018</t>
        </is>
      </c>
      <c r="B26" s="59" t="inlineStr">
        <is>
          <t>1bb2ba6f-b11d-4ed8-8213-482dbfa6afd4</t>
        </is>
      </c>
      <c r="C26" s="60" t="n">
        <v>39</v>
      </c>
      <c r="D26" s="59" t="inlineStr">
        <is>
          <t>SCBLGB2L</t>
        </is>
      </c>
      <c r="E26" s="60" t="inlineStr">
        <is>
          <t>CHF</t>
        </is>
      </c>
      <c r="F26" s="60" t="inlineStr">
        <is>
          <t>HK01</t>
        </is>
      </c>
      <c r="G26" s="60" t="n">
        <v>20</v>
      </c>
      <c r="H26" s="59" t="inlineStr">
        <is>
          <t>SECONDARY</t>
        </is>
      </c>
      <c r="I26" s="72" t="inlineStr">
        <is>
          <t>alternative</t>
        </is>
      </c>
      <c r="J26" s="59" t="inlineStr">
        <is>
          <t>APPL-MONEY_MARKET_SETTLEMENT-CHF</t>
        </is>
      </c>
      <c r="K26" s="59" t="inlineStr">
        <is>
          <t>ROUTE-CHF-CRESCHZZ80A</t>
        </is>
      </c>
      <c r="L26" s="60" t="inlineStr">
        <is>
          <t>CH</t>
        </is>
      </c>
      <c r="M26" s="59" t="inlineStr">
        <is>
          <t>CH_DOMESTIC</t>
        </is>
      </c>
      <c r="N26" s="60" t="inlineStr">
        <is>
          <t>SIC</t>
        </is>
      </c>
      <c r="O26" s="59" t="inlineStr">
        <is>
          <t>DEMO-NOSTRO-009-SECONDARY</t>
        </is>
      </c>
      <c r="P26" s="59" t="inlineStr">
        <is>
          <t>DEMO-NOSTRO-009-SECONDARY-PRIMARY</t>
        </is>
      </c>
      <c r="Q26" s="59" t="inlineStr">
        <is>
          <t>CRESCHZZ80A</t>
        </is>
      </c>
      <c r="R26" s="59" t="inlineStr">
        <is>
          <t>CRESCHZZ80A</t>
        </is>
      </c>
      <c r="S26" s="59" t="inlineStr">
        <is>
          <t>CRESCHZZ80A</t>
        </is>
      </c>
      <c r="T26" s="59" t="inlineStr">
        <is>
          <t>SCBLGB2L</t>
        </is>
      </c>
      <c r="U26" s="59" t="inlineStr">
        <is>
          <t>53A,56A,57A,58A</t>
        </is>
      </c>
      <c r="V26" s="59" t="inlineStr">
        <is>
          <t>DEMO-PURPOSE-BUILT</t>
        </is>
      </c>
      <c r="W26" s="59" t="inlineStr">
        <is>
          <t>CHF INTERBANK_SETTLEMENT for SCB via CS</t>
        </is>
      </c>
      <c r="X26" s="55" t="inlineStr">
        <is>
          <t>swift.cbprplus.04,swift.cbprplus.cov.04</t>
        </is>
      </c>
      <c r="Y26" s="55" t="inlineStr">
        <is>
          <t>MT202,MT205,MT202COV,MT205COV</t>
        </is>
      </c>
    </row>
    <row r="27" ht="27" customHeight="1" s="53">
      <c r="A27" s="59" t="inlineStr">
        <is>
          <t>SSI-DEMO-019</t>
        </is>
      </c>
      <c r="B27" s="59" t="inlineStr">
        <is>
          <t>2927617a-e7e4-479e-9bc4-27a6705383ee</t>
        </is>
      </c>
      <c r="C27" s="60" t="n">
        <v>44</v>
      </c>
      <c r="D27" s="59" t="inlineStr">
        <is>
          <t>BNPAFRPP</t>
        </is>
      </c>
      <c r="E27" s="60" t="inlineStr">
        <is>
          <t>CNY</t>
        </is>
      </c>
      <c r="F27" s="60" t="inlineStr">
        <is>
          <t>HK01</t>
        </is>
      </c>
      <c r="G27" s="60" t="n">
        <v>10</v>
      </c>
      <c r="H27" s="59" t="inlineStr">
        <is>
          <t>PRIMARY</t>
        </is>
      </c>
      <c r="I27" s="61" t="inlineStr">
        <is>
          <t>CHOSEN</t>
        </is>
      </c>
      <c r="J27" s="59" t="inlineStr">
        <is>
          <t>APPL-CUSTOMER_CREDIT_TRANSFER-CNY</t>
        </is>
      </c>
      <c r="K27" s="59" t="inlineStr">
        <is>
          <t>ROUTE-CNY-BKCHCNBJ</t>
        </is>
      </c>
      <c r="L27" s="60" t="inlineStr">
        <is>
          <t>CN</t>
        </is>
      </c>
      <c r="M27" s="59" t="inlineStr">
        <is>
          <t>ONSHORE_CN</t>
        </is>
      </c>
      <c r="N27" s="60" t="inlineStr">
        <is>
          <t>CIPS</t>
        </is>
      </c>
      <c r="O27" s="59" t="inlineStr">
        <is>
          <t>DEMO-NOSTRO-010-PRIMARY</t>
        </is>
      </c>
      <c r="P27" s="59" t="inlineStr">
        <is>
          <t>DEMO-NOSTRO-010-PRIMARY-PRIMARY</t>
        </is>
      </c>
      <c r="Q27" s="59" t="inlineStr">
        <is>
          <t>BKCHCNBJ</t>
        </is>
      </c>
      <c r="R27" s="59" t="inlineStr">
        <is>
          <t>BKCHCNBJ</t>
        </is>
      </c>
      <c r="S27" s="59" t="inlineStr">
        <is>
          <t>BKCHCNBJ</t>
        </is>
      </c>
      <c r="T27" s="59" t="inlineStr">
        <is>
          <t>BNPAFRPP</t>
        </is>
      </c>
      <c r="U27" s="59" t="inlineStr">
        <is>
          <t>53A,54A,56A,57A,58A,CdtrAgt,IntrmyAgt1</t>
        </is>
      </c>
      <c r="V27" s="59" t="inlineStr">
        <is>
          <t>DEMO-PURPOSE-BUILT</t>
        </is>
      </c>
      <c r="W27" s="59" t="inlineStr">
        <is>
          <t>CNY CUSTOMER_TRANSFER for BNP via Bank of China</t>
        </is>
      </c>
      <c r="X27" s="55" t="inlineStr">
        <is>
          <t>swift.cbprplus.04,swift.cbprplus.cov.04</t>
        </is>
      </c>
      <c r="Y27" s="55" t="inlineStr">
        <is>
          <t>MT202,MT205,MT202COV,MT205COV</t>
        </is>
      </c>
    </row>
    <row r="28" ht="27" customHeight="1" s="53">
      <c r="A28" s="59" t="inlineStr">
        <is>
          <t>SSI-DEMO-020</t>
        </is>
      </c>
      <c r="B28" s="59" t="inlineStr">
        <is>
          <t>38df686a-9022-4ad6-8ac7-22435411d983</t>
        </is>
      </c>
      <c r="C28" s="60" t="n">
        <v>44</v>
      </c>
      <c r="D28" s="59" t="inlineStr">
        <is>
          <t>BNPAFRPP</t>
        </is>
      </c>
      <c r="E28" s="60" t="inlineStr">
        <is>
          <t>CNY</t>
        </is>
      </c>
      <c r="F28" s="60" t="inlineStr">
        <is>
          <t>HK01</t>
        </is>
      </c>
      <c r="G28" s="60" t="n">
        <v>20</v>
      </c>
      <c r="H28" s="59" t="inlineStr">
        <is>
          <t>SECONDARY</t>
        </is>
      </c>
      <c r="I28" s="72" t="inlineStr">
        <is>
          <t>alternative</t>
        </is>
      </c>
      <c r="J28" s="59" t="inlineStr">
        <is>
          <t>APPL-CUSTOMER_CREDIT_TRANSFER-CNY</t>
        </is>
      </c>
      <c r="K28" s="59" t="inlineStr">
        <is>
          <t>ROUTE-CNY-HSBCHKHH</t>
        </is>
      </c>
      <c r="L28" s="60" t="inlineStr">
        <is>
          <t>HK</t>
        </is>
      </c>
      <c r="M28" s="59" t="inlineStr">
        <is>
          <t>OFFSHORE_RENMINBI_HK</t>
        </is>
      </c>
      <c r="N28" s="60" t="inlineStr">
        <is>
          <t>RMB_CHATS</t>
        </is>
      </c>
      <c r="O28" s="59" t="inlineStr">
        <is>
          <t>DEMO-NOSTRO-010-SECONDARY</t>
        </is>
      </c>
      <c r="P28" s="59" t="inlineStr">
        <is>
          <t>DEMO-NOSTRO-010-SECONDARY-PRIMARY</t>
        </is>
      </c>
      <c r="Q28" s="59" t="inlineStr">
        <is>
          <t>HSBCHKHH</t>
        </is>
      </c>
      <c r="R28" s="59" t="inlineStr">
        <is>
          <t>HSBCHKHH</t>
        </is>
      </c>
      <c r="S28" s="59" t="inlineStr">
        <is>
          <t>HSBCHKHH</t>
        </is>
      </c>
      <c r="T28" s="59" t="inlineStr">
        <is>
          <t>BNPAFRPP</t>
        </is>
      </c>
      <c r="U28" s="59" t="inlineStr">
        <is>
          <t>53A,54A,56A,57A,58A,CdtrAgt,IntrmyAgt1</t>
        </is>
      </c>
      <c r="V28" s="59" t="inlineStr">
        <is>
          <t>DEMO-PURPOSE-BUILT</t>
        </is>
      </c>
      <c r="W28" s="59" t="inlineStr">
        <is>
          <t>CNY CUSTOMER_TRANSFER for BNP via HSBC</t>
        </is>
      </c>
      <c r="X28" s="55" t="inlineStr">
        <is>
          <t>swift.cbprplus.04,swift.cbprplus.cov.04</t>
        </is>
      </c>
      <c r="Y28" s="55" t="inlineStr">
        <is>
          <t>MT202,MT205,MT202COV,MT205COV</t>
        </is>
      </c>
    </row>
    <row r="29" ht="27" customHeight="1" s="53">
      <c r="A29" s="59" t="inlineStr">
        <is>
          <t>SSI-DEMO-041</t>
        </is>
      </c>
      <c r="B29" s="59" t="inlineStr">
        <is>
          <t>22a11830-f848-4281-805f-8e693c98b364</t>
        </is>
      </c>
      <c r="C29" s="60" t="n">
        <v>14</v>
      </c>
      <c r="D29" s="59" t="inlineStr">
        <is>
          <t>NSSIUSN1</t>
        </is>
      </c>
      <c r="E29" s="60" t="inlineStr">
        <is>
          <t>USD</t>
        </is>
      </c>
      <c r="F29" s="60" t="inlineStr">
        <is>
          <t>HK01</t>
        </is>
      </c>
      <c r="G29" s="60" t="n">
        <v>10</v>
      </c>
      <c r="H29" s="59" t="inlineStr">
        <is>
          <t>PRIMARY</t>
        </is>
      </c>
      <c r="I29" s="61" t="inlineStr">
        <is>
          <t>NEGATIVE CONTROL — NOT COV ALLOW-LISTED</t>
        </is>
      </c>
      <c r="J29" s="59" t="inlineStr">
        <is>
          <t>APPL-NORTHSTAR-USD</t>
        </is>
      </c>
      <c r="K29" s="59" t="inlineStr">
        <is>
          <t>ROUTE-USD-CITIUS33-NORTHSTAR</t>
        </is>
      </c>
      <c r="L29" s="60" t="inlineStr">
        <is>
          <t>US</t>
        </is>
      </c>
      <c r="M29" s="59" t="inlineStr">
        <is>
          <t>US_DOLLAR</t>
        </is>
      </c>
      <c r="N29" s="60" t="inlineStr">
        <is>
          <t>FEDWIRE</t>
        </is>
      </c>
      <c r="O29" s="59" t="inlineStr">
        <is>
          <t>DEMO-NORTHSTAR-USD-001</t>
        </is>
      </c>
      <c r="P29" s="59" t="inlineStr">
        <is>
          <t>DEMO-NORTHSTAR-USD-001-PRIMARY</t>
        </is>
      </c>
      <c r="Q29" s="59" t="inlineStr">
        <is>
          <t>CITIUS33</t>
        </is>
      </c>
      <c r="R29" s="59" t="inlineStr">
        <is>
          <t>CITIUS33</t>
        </is>
      </c>
      <c r="S29" s="59" t="inlineStr">
        <is>
          <t>CITIUS33</t>
        </is>
      </c>
      <c r="T29" s="59" t="inlineStr">
        <is>
          <t>NSSIUSN1</t>
        </is>
      </c>
      <c r="U29" s="59" t="inlineStr">
        <is>
          <t>(無)</t>
        </is>
      </c>
      <c r="V29" s="59" t="inlineStr">
        <is>
          <t>DEMO-LIMITED-COVERAGE</t>
        </is>
      </c>
      <c r="W29" s="59" t="inlineStr">
        <is>
          <t>Northstar Limited USD Settlement via Citi</t>
        </is>
      </c>
      <c r="X29" s="55" t="inlineStr">
        <is>
          <t>swift.cbprplus.04</t>
        </is>
      </c>
      <c r="Y29" s="55" t="inlineStr">
        <is>
          <t>MT202,MT205</t>
        </is>
      </c>
    </row>
    <row r="30" ht="27" customHeight="1" s="53">
      <c r="A30" s="59" t="inlineStr">
        <is>
          <t>SSI-DEMO-042</t>
        </is>
      </c>
      <c r="B30" s="59" t="inlineStr">
        <is>
          <t>50531295-c91a-4eb5-9c21-69d2dab38b7c</t>
        </is>
      </c>
      <c r="C30" s="60" t="n">
        <v>14</v>
      </c>
      <c r="D30" s="59" t="inlineStr">
        <is>
          <t>NSSIUSN1</t>
        </is>
      </c>
      <c r="E30" s="60" t="inlineStr">
        <is>
          <t>GBP</t>
        </is>
      </c>
      <c r="F30" s="60" t="inlineStr">
        <is>
          <t>HK01</t>
        </is>
      </c>
      <c r="G30" s="60" t="n">
        <v>10</v>
      </c>
      <c r="H30" s="59" t="inlineStr">
        <is>
          <t>PRIMARY</t>
        </is>
      </c>
      <c r="I30" s="61" t="inlineStr">
        <is>
          <t>NEGATIVE CONTROL — NOT COV ALLOW-LISTED</t>
        </is>
      </c>
      <c r="J30" s="59" t="inlineStr">
        <is>
          <t>APPL-NORTHSTAR-GBP</t>
        </is>
      </c>
      <c r="K30" s="59" t="inlineStr">
        <is>
          <t>ROUTE-GBP-BARCGB22-NORTHSTAR</t>
        </is>
      </c>
      <c r="L30" s="60" t="inlineStr">
        <is>
          <t>GB</t>
        </is>
      </c>
      <c r="M30" s="59" t="inlineStr">
        <is>
          <t>GB_STERLING</t>
        </is>
      </c>
      <c r="N30" s="60" t="inlineStr">
        <is>
          <t>CHAPS</t>
        </is>
      </c>
      <c r="O30" s="59" t="inlineStr">
        <is>
          <t>DEMO-NORTHSTAR-GBP-001</t>
        </is>
      </c>
      <c r="P30" s="59" t="inlineStr">
        <is>
          <t>DEMO-NORTHSTAR-GBP-001-PRIMARY</t>
        </is>
      </c>
      <c r="Q30" s="59" t="inlineStr">
        <is>
          <t>BARCGB22</t>
        </is>
      </c>
      <c r="R30" s="59" t="inlineStr">
        <is>
          <t>BARCGB22</t>
        </is>
      </c>
      <c r="S30" s="59" t="inlineStr">
        <is>
          <t>BARCGB22</t>
        </is>
      </c>
      <c r="T30" s="59" t="inlineStr">
        <is>
          <t>NSSIUSN1</t>
        </is>
      </c>
      <c r="U30" s="59" t="inlineStr">
        <is>
          <t>(無)</t>
        </is>
      </c>
      <c r="V30" s="59" t="inlineStr">
        <is>
          <t>DEMO-LIMITED-COVERAGE</t>
        </is>
      </c>
      <c r="W30" s="59" t="inlineStr">
        <is>
          <t>Northstar Limited GBP Settlement via Barclays</t>
        </is>
      </c>
      <c r="X30" s="55" t="inlineStr">
        <is>
          <t>swift.cbprplus.04</t>
        </is>
      </c>
      <c r="Y30" s="55" t="inlineStr">
        <is>
          <t>MT202,MT205</t>
        </is>
      </c>
    </row>
    <row r="31" ht="13.5" customHeight="1" s="53">
      <c r="A31" s="55" t="n"/>
      <c r="B31" s="55" t="n"/>
      <c r="C31" s="55" t="n"/>
      <c r="D31" s="55" t="n"/>
      <c r="E31" s="55" t="n"/>
      <c r="F31" s="55" t="n"/>
      <c r="G31" s="55" t="n"/>
      <c r="H31" s="55" t="n"/>
      <c r="I31" s="55" t="n"/>
      <c r="J31" s="55" t="n"/>
      <c r="K31" s="55" t="n"/>
      <c r="L31" s="55" t="n"/>
      <c r="M31" s="55" t="n"/>
      <c r="N31" s="55" t="n"/>
      <c r="O31" s="55" t="n"/>
      <c r="P31" s="55" t="n"/>
      <c r="Q31" s="55" t="n"/>
      <c r="R31" s="55" t="n"/>
      <c r="S31" s="55" t="n"/>
      <c r="T31" s="55" t="n"/>
      <c r="U31" s="55" t="n"/>
      <c r="V31" s="55" t="n"/>
      <c r="W31" s="55" t="n"/>
      <c r="X31" s="55" t="n"/>
      <c r="Y31" s="55" t="n"/>
    </row>
    <row r="32" ht="13.5" customHeight="1" s="53">
      <c r="A32" s="65" t="inlineStr">
        <is>
          <t>資料註記</t>
        </is>
      </c>
      <c r="B32" s="55" t="n"/>
      <c r="C32" s="55" t="n"/>
      <c r="D32" s="55" t="n"/>
      <c r="E32" s="55" t="n"/>
      <c r="F32" s="55" t="n"/>
      <c r="G32" s="55" t="n"/>
      <c r="H32" s="55" t="n"/>
      <c r="I32" s="55" t="n"/>
      <c r="J32" s="55" t="n"/>
      <c r="K32" s="55" t="n"/>
      <c r="L32" s="55" t="n"/>
      <c r="M32" s="55" t="n"/>
      <c r="N32" s="55" t="n"/>
      <c r="O32" s="55" t="n"/>
      <c r="P32" s="55" t="n"/>
      <c r="Q32" s="55" t="n"/>
      <c r="R32" s="55" t="n"/>
      <c r="S32" s="55" t="n"/>
      <c r="T32" s="55" t="n"/>
      <c r="U32" s="55" t="n"/>
      <c r="V32" s="55" t="n"/>
      <c r="W32" s="55" t="n"/>
      <c r="X32" s="55" t="n"/>
      <c r="Y32" s="55" t="n"/>
    </row>
    <row r="33" ht="32.8" customHeight="1" s="53">
      <c r="A33" s="75" t="inlineStr">
        <is>
          <t>1. SSI-DEMO-002／006／020 的 accountReference 各對應 4 筆 ACTIVE Nostro（兩個 servicer × PRIMARY/BACKUP），幣別、purpose、生效日完全相同。唯有以 servicer（= 該 SSI 的 accountWithBic）篩選才能唯一決定。若實作只做 accountReference + PRIMARY，會取到錯誤 servicer 的帳戶。</t>
        </is>
      </c>
      <c r="B33" s="76" t="n"/>
      <c r="C33" s="76" t="n"/>
      <c r="D33" s="76" t="n"/>
      <c r="E33" s="76" t="n"/>
      <c r="F33" s="76" t="n"/>
      <c r="G33" s="76" t="n"/>
      <c r="H33" s="76" t="n"/>
      <c r="I33" s="76" t="n"/>
      <c r="J33" s="76" t="n"/>
      <c r="K33" s="55" t="n"/>
      <c r="L33" s="55" t="n"/>
      <c r="M33" s="55" t="n"/>
      <c r="N33" s="55" t="n"/>
      <c r="O33" s="55" t="n"/>
      <c r="P33" s="55" t="n"/>
      <c r="Q33" s="55" t="n"/>
      <c r="R33" s="55" t="n"/>
      <c r="S33" s="55" t="n"/>
      <c r="T33" s="55" t="n"/>
      <c r="U33" s="55" t="n"/>
      <c r="V33" s="55" t="n"/>
      <c r="W33" s="55" t="n"/>
      <c r="X33" s="55" t="n"/>
      <c r="Y33" s="55" t="n"/>
    </row>
    <row r="34" ht="17.15" customHeight="1" s="53">
      <c r="A34" s="75" t="inlineStr">
        <is>
          <t>2. SSI-DEMO-005／035 的 settlementCountry 為萬用值 ANY，是全表唯一使用萬用值者；可用於驗證硬過濾對 ANY 的處理。</t>
        </is>
      </c>
      <c r="B34" s="76" t="n"/>
      <c r="C34" s="76" t="n"/>
      <c r="D34" s="76" t="n"/>
      <c r="E34" s="76" t="n"/>
      <c r="F34" s="76" t="n"/>
      <c r="G34" s="76" t="n"/>
      <c r="H34" s="76" t="n"/>
      <c r="I34" s="76" t="n"/>
      <c r="J34" s="76" t="n"/>
      <c r="K34" s="55" t="n"/>
      <c r="L34" s="55" t="n"/>
      <c r="M34" s="55" t="n"/>
      <c r="N34" s="55" t="n"/>
      <c r="O34" s="55" t="n"/>
      <c r="P34" s="55" t="n"/>
      <c r="Q34" s="55" t="n"/>
      <c r="R34" s="55" t="n"/>
      <c r="S34" s="55" t="n"/>
      <c r="T34" s="55" t="n"/>
      <c r="U34" s="55" t="n"/>
      <c r="V34" s="55" t="n"/>
      <c r="W34" s="55" t="n"/>
      <c r="X34" s="55" t="n"/>
      <c r="Y34" s="55" t="n"/>
    </row>
    <row r="35" ht="17.15" customHeight="1" s="53">
      <c r="A35" s="75" t="inlineStr">
        <is>
          <t>3. SSI-DEMO-019／020 是唯一候選分屬不同結算國者（CN onshore CIPS vs HK offshore RMB CHATS）。</t>
        </is>
      </c>
      <c r="B35" s="76" t="n"/>
      <c r="C35" s="76" t="n"/>
      <c r="D35" s="76" t="n"/>
      <c r="E35" s="76" t="n"/>
      <c r="F35" s="76" t="n"/>
      <c r="G35" s="76" t="n"/>
      <c r="H35" s="76" t="n"/>
      <c r="I35" s="76" t="n"/>
      <c r="J35" s="76" t="n"/>
      <c r="K35" s="55" t="n"/>
      <c r="L35" s="55" t="n"/>
      <c r="M35" s="55" t="n"/>
      <c r="N35" s="55" t="n"/>
      <c r="O35" s="55" t="n"/>
      <c r="P35" s="55" t="n"/>
      <c r="Q35" s="55" t="n"/>
      <c r="R35" s="55" t="n"/>
      <c r="S35" s="55" t="n"/>
      <c r="T35" s="55" t="n"/>
      <c r="U35" s="55" t="n"/>
      <c r="V35" s="55" t="n"/>
      <c r="W35" s="55" t="n"/>
      <c r="X35" s="55" t="n"/>
      <c r="Y35" s="55" t="n"/>
    </row>
    <row r="36" ht="17.15" customHeight="1" s="53">
      <c r="A36" s="75" t="inlineStr">
        <is>
          <t>4. SSI-DEMO-004 的 counterpartyBic 為 BARCGB22 但 bic／accountWithBic 為 SCBLGB2L —— 這是「Barclays 經 Standard Chartered 代理」的合法路由，非資料矛盾。</t>
        </is>
      </c>
      <c r="B36" s="76" t="n"/>
      <c r="C36" s="76" t="n"/>
      <c r="D36" s="76" t="n"/>
      <c r="E36" s="76" t="n"/>
      <c r="F36" s="76" t="n"/>
      <c r="G36" s="76" t="n"/>
      <c r="H36" s="76" t="n"/>
      <c r="I36" s="76" t="n"/>
      <c r="J36" s="76" t="n"/>
      <c r="K36" s="55" t="n"/>
      <c r="L36" s="55" t="n"/>
      <c r="M36" s="55" t="n"/>
      <c r="N36" s="55" t="n"/>
      <c r="O36" s="55" t="n"/>
      <c r="P36" s="55" t="n"/>
      <c r="Q36" s="55" t="n"/>
      <c r="R36" s="55" t="n"/>
      <c r="S36" s="55" t="n"/>
      <c r="T36" s="55" t="n"/>
      <c r="U36" s="55" t="n"/>
      <c r="V36" s="55" t="n"/>
      <c r="W36" s="55" t="n"/>
      <c r="X36" s="55" t="n"/>
      <c r="Y36" s="55" t="n"/>
    </row>
    <row r="37" ht="17.15" customHeight="1" s="53">
      <c r="A37" s="75" t="inlineStr">
        <is>
          <t>5. ssiTags 標示「(無)」者，該欄於原始資料為 null。依 EC-RANK-01，ssiTags 不得作為排序或決勝鍵。</t>
        </is>
      </c>
      <c r="B37" s="76" t="n"/>
      <c r="C37" s="76" t="n"/>
      <c r="D37" s="76" t="n"/>
      <c r="E37" s="76" t="n"/>
      <c r="F37" s="76" t="n"/>
      <c r="G37" s="76" t="n"/>
      <c r="H37" s="76" t="n"/>
      <c r="I37" s="76" t="n"/>
      <c r="J37" s="76" t="n"/>
      <c r="K37" s="55" t="n"/>
      <c r="L37" s="55" t="n"/>
      <c r="M37" s="55" t="n"/>
      <c r="N37" s="55" t="n"/>
      <c r="O37" s="55" t="n"/>
      <c r="P37" s="55" t="n"/>
      <c r="Q37" s="55" t="n"/>
      <c r="R37" s="55" t="n"/>
      <c r="S37" s="55" t="n"/>
      <c r="T37" s="55" t="n"/>
      <c r="U37" s="55" t="n"/>
      <c r="V37" s="55" t="n"/>
      <c r="W37" s="55" t="n"/>
      <c r="X37" s="55" t="n"/>
      <c r="Y37" s="55" t="n"/>
    </row>
  </sheetData>
  <mergeCells count="5">
    <mergeCell ref="A37:J37"/>
    <mergeCell ref="A36:J36"/>
    <mergeCell ref="A34:J34"/>
    <mergeCell ref="A35:J35"/>
    <mergeCell ref="A33:J3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6796875" defaultRowHeight="13.5" zeroHeight="0" outlineLevelRow="0"/>
  <cols>
    <col width="22" customWidth="1" style="70" min="1" max="1"/>
    <col width="30" customWidth="1" style="70" min="2" max="2"/>
    <col width="86" customWidth="1" style="70" min="3" max="3"/>
    <col width="8.67" customWidth="1" style="70" min="4" max="16384"/>
  </cols>
  <sheetData>
    <row r="1" ht="17.15" customHeight="1" s="53">
      <c r="A1" s="71" t="inlineStr">
        <is>
          <t>UI 輸入指引與常見誤判</t>
        </is>
      </c>
      <c r="B1" s="55" t="n"/>
      <c r="C1" s="55" t="n"/>
    </row>
    <row r="2" ht="17.15" customHeight="1" s="53">
      <c r="A2" s="56" t="inlineStr">
        <is>
          <t>依 Resolution 畫面欄位順序整理。黃底欄位是最常造成假陽性的地方。</t>
        </is>
      </c>
      <c r="B2" s="55" t="n"/>
      <c r="C2" s="55" t="n"/>
    </row>
    <row r="3" ht="13.5" customHeight="1" s="53">
      <c r="A3" s="55" t="n"/>
      <c r="B3" s="55" t="n"/>
      <c r="C3" s="55" t="n"/>
    </row>
    <row r="4" ht="17.15" customHeight="1" s="53">
      <c r="A4" s="57" t="inlineStr">
        <is>
          <t>畫面欄位</t>
        </is>
      </c>
      <c r="B4" s="57" t="inlineStr">
        <is>
          <t>本清單的填法</t>
        </is>
      </c>
      <c r="C4" s="57" t="inlineStr">
        <is>
          <t>說明</t>
        </is>
      </c>
    </row>
    <row r="5" ht="27" customHeight="1" s="53">
      <c r="A5" s="62" t="inlineStr">
        <is>
          <t>輸出格式分頁</t>
        </is>
      </c>
      <c r="B5" s="62" t="inlineStr">
        <is>
          <t>依案例：MT 或 MX；切換格式不得重新解析或改變 confirmed snapshot</t>
        </is>
      </c>
      <c r="C5" s="59" t="inlineStr">
        <is>
          <t>SSI 只以 MX 執行 Resolution 與 RMA；選 MT 分頁只是回覆適用的 5x Tags，不改變 route、RMA 或 snapshot。</t>
        </is>
      </c>
    </row>
    <row r="6" ht="27" customHeight="1" s="53">
      <c r="A6" s="59" t="inlineStr">
        <is>
          <t>Counterparty</t>
        </is>
      </c>
      <c r="B6" s="62" t="inlineStr">
        <is>
          <t>依清單</t>
        </is>
      </c>
      <c r="C6" s="62" t="inlineStr">
        <is>
          <t>解析主鍵。畫面出現「SSI Record Available」只代表找到 Active SSI，不代表 eligible —— eligible 仍由 API Resolution 判定。</t>
        </is>
      </c>
    </row>
    <row r="7" ht="27" customHeight="1" s="53">
      <c r="A7" s="59" t="inlineStr">
        <is>
          <t>Currency</t>
        </is>
      </c>
      <c r="B7" s="62" t="inlineStr">
        <is>
          <t>依清單</t>
        </is>
      </c>
      <c r="C7" s="62" t="inlineStr">
        <is>
          <t>硬過濾。任一 resolver input 變動後，舊結果須立即失效；重新 Preview 後 currency、chosen SSI、agent、nostro 與 provenance 必須整批一致。</t>
        </is>
      </c>
    </row>
    <row r="8" ht="17.15" customHeight="1" s="53">
      <c r="A8" s="59" t="inlineStr">
        <is>
          <t>Booking Branch / Entity</t>
        </is>
      </c>
      <c r="B8" s="59" t="inlineStr">
        <is>
          <t>HK01 · Hong Kong Branch</t>
        </is>
      </c>
      <c r="C8" s="62" t="inlineStr">
        <is>
          <t>全部 42 筆 ACTIVE SSI 的 bookingEntity 均為 HK01；換成其他分行一律解析不到。</t>
        </is>
      </c>
    </row>
    <row r="9" ht="41.25" customHeight="1" s="53">
      <c r="A9" s="77" t="inlineStr">
        <is>
          <t>Settlement Country</t>
        </is>
      </c>
      <c r="B9" s="78" t="inlineStr">
        <is>
          <t>留白</t>
        </is>
      </c>
      <c r="C9" s="62" t="inlineStr">
        <is>
          <t>硬過濾、非排序鍵。填錯會把唯一候選濾掉，回傳 SSI_NOT_FOUND，且錯誤訊息不會指出是 override 造成的。最常見的坑：把 BARCGB22 由 GBP 改 USD 時忘了清掉 GB（SSI-DEMO-024 的 settlementCountry 是 US）。</t>
        </is>
      </c>
    </row>
    <row r="10" ht="17.15" customHeight="1" s="53">
      <c r="A10" s="77" t="inlineStr">
        <is>
          <t>Settlement Market</t>
        </is>
      </c>
      <c r="B10" s="78" t="inlineStr">
        <is>
          <t>留白</t>
        </is>
      </c>
      <c r="C10" s="62" t="inlineStr">
        <is>
          <t>同上。留白時由 eligible route 推導。</t>
        </is>
      </c>
    </row>
    <row r="11" ht="17.15" customHeight="1" s="53">
      <c r="A11" s="77" t="inlineStr">
        <is>
          <t>Clearing System</t>
        </is>
      </c>
      <c r="B11" s="77" t="inlineStr">
        <is>
          <t>Derive from eligible route</t>
        </is>
      </c>
      <c r="C11" s="62" t="inlineStr">
        <is>
          <t>同上。</t>
        </is>
      </c>
    </row>
    <row r="12" ht="17.15" customHeight="1" s="53">
      <c r="A12" s="59" t="inlineStr">
        <is>
          <t>Value Date</t>
        </is>
      </c>
      <c r="B12" s="62" t="inlineStr">
        <is>
          <t>任意營業日</t>
        </is>
      </c>
      <c r="C12" s="62" t="inlineStr">
        <is>
          <t>交易資料，不參與解析。畫面為美式 MM/DD/YYYY，填寫時請確認月日未顛倒。</t>
        </is>
      </c>
    </row>
    <row r="13" ht="17.15" customHeight="1" s="53">
      <c r="A13" s="59" t="inlineStr">
        <is>
          <t>Amount</t>
        </is>
      </c>
      <c r="B13" s="62" t="inlineStr">
        <is>
          <t>任意</t>
        </is>
      </c>
      <c r="C13" s="62" t="inlineStr">
        <is>
          <t>交易資料，不參與解析。</t>
        </is>
      </c>
    </row>
    <row r="14" ht="17.15" customHeight="1" s="53">
      <c r="A14" s="59" t="inlineStr">
        <is>
          <t>Transaction Reference</t>
        </is>
      </c>
      <c r="B14" s="62" t="inlineStr">
        <is>
          <t>任意唯一值</t>
        </is>
      </c>
      <c r="C14" s="62" t="inlineStr">
        <is>
          <t>交易資料，不參與解析。建議帶案例編號以便對帳，例如 UAT-MT2-001。</t>
        </is>
      </c>
    </row>
    <row r="15" ht="13.5" customHeight="1" s="53">
      <c r="A15" s="55" t="n"/>
      <c r="B15" s="55" t="n"/>
      <c r="C15" s="55" t="n"/>
    </row>
    <row r="16" ht="17.15" customHeight="1" s="53">
      <c r="A16" s="65" t="inlineStr">
        <is>
          <t>每案必驗的回應不變式（A1–A4）</t>
        </is>
      </c>
      <c r="B16" s="55" t="n"/>
      <c r="C16" s="55" t="n"/>
    </row>
    <row r="17" ht="32.8" customHeight="1" s="53">
      <c r="A17" s="79" t="inlineStr">
        <is>
          <t>A1_RESOLVED（200）</t>
        </is>
      </c>
      <c r="B17" s="75" t="inlineStr">
        <is>
          <t>chosenRoute 非 null 且完整；roleProvenance 非 null 且完整；snapshotHash 與 resolutionToken 存在；每個角色都有 source／sourceField／evidence 版本。</t>
        </is>
      </c>
      <c r="C17" s="76" t="n"/>
    </row>
    <row r="18" ht="17.15" customHeight="1" s="53">
      <c r="A18" s="79" t="inlineStr">
        <is>
          <t>A2_TIE（422）</t>
        </is>
      </c>
      <c r="B18" s="75" t="inlineStr">
        <is>
          <t>fail closed 轉 Repair Queue；payloadGenerated=false；無任何技術性決勝。</t>
        </is>
      </c>
      <c r="C18" s="76" t="n"/>
    </row>
    <row r="19" ht="32.8" customHeight="1" s="53">
      <c r="A19" s="79" t="inlineStr">
        <is>
          <t>A3_AMBIGUOUS_SHAPE（422）</t>
        </is>
      </c>
      <c r="B19" s="75" t="inlineStr">
        <is>
          <t>chosenRoute／canonicalRoute／agent roles／roleProvenance／messageComposerContext 全部為 null；candidates 非 null 且無序，每筆帶 tieMember 與 businessRank；不得出現 alternativeRoutes、renderedPayload、recommendedRoute。</t>
        </is>
      </c>
      <c r="C19" s="76" t="n"/>
    </row>
    <row r="20" ht="17.15" customHeight="1" s="53">
      <c r="A20" s="79" t="inlineStr">
        <is>
          <t>A4_NOSTRO_JOIN</t>
        </is>
      </c>
      <c r="B20" s="75" t="inlineStr">
        <is>
          <t>accountId 必須精確等於 ACTIVE Nostro 的 accountReference；禁止以 Nostro.id、maskedAccountRef 或前綴／模糊比對。</t>
        </is>
      </c>
      <c r="C20" s="76" t="n"/>
    </row>
    <row r="21" ht="32.8" customHeight="1" s="53">
      <c r="A21" s="65" t="inlineStr">
        <is>
          <t>跨筆混用檢查</t>
        </is>
      </c>
      <c r="B21" s="75" t="inlineStr">
        <is>
          <t>chosen 的帳號與 agent 必須來自同一筆 SSI。曾出現「帳號取自 022(GBP) 但 agent 取自 024(USD/CITIUS33)」的硬錯，務必回歸驗證。</t>
        </is>
      </c>
      <c r="C21" s="76" t="n"/>
    </row>
  </sheetData>
  <mergeCells count="5">
    <mergeCell ref="B21:C21"/>
    <mergeCell ref="B19:C19"/>
    <mergeCell ref="B20:C20"/>
    <mergeCell ref="B17:C17"/>
    <mergeCell ref="B18:C1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5" activeCellId="0" sqref="B5"/>
    </sheetView>
  </sheetViews>
  <sheetFormatPr baseColWidth="8" defaultColWidth="8.66796875" defaultRowHeight="13.5" zeroHeight="0" outlineLevelRow="0"/>
  <cols>
    <col width="12" customWidth="1" style="70" min="1" max="1"/>
    <col width="34" customWidth="1" style="70" min="2" max="2"/>
    <col width="18" customWidth="1" style="70" min="3" max="3"/>
    <col width="20" customWidth="1" style="70" min="4" max="4"/>
    <col width="34" customWidth="1" style="70" min="5" max="5"/>
    <col width="64" customWidth="1" style="70" min="6" max="6"/>
    <col width="8.67" customWidth="1" style="70" min="7" max="16384"/>
  </cols>
  <sheetData>
    <row r="1" ht="17.15" customHeight="1" s="53">
      <c r="A1" s="71" t="inlineStr">
        <is>
          <t>Message Scenarios（畫面「雙擊情境以套用參數」）</t>
        </is>
      </c>
      <c r="B1" s="55" t="n"/>
      <c r="C1" s="55" t="n"/>
      <c r="D1" s="55" t="n"/>
      <c r="E1" s="55" t="n"/>
      <c r="F1" s="55" t="n"/>
    </row>
    <row r="2" ht="17.15" customHeight="1" s="53">
      <c r="A2" s="56" t="inlineStr">
        <is>
          <t>【v15.2 更正】情境可改變 Resolution Domain。原句「情境不改變 SSI 選取結果／套用任一情境的 chosen SSI 應完全相同」已依 BA 裁決撤回 —— 依該句判讀會在 resolver 正確切換 domain 時開出假缺陷。</t>
        </is>
      </c>
      <c r="B2" s="55" t="n"/>
      <c r="C2" s="55" t="n"/>
      <c r="D2" s="55" t="n"/>
      <c r="E2" s="55" t="n"/>
      <c r="F2" s="55" t="n"/>
    </row>
    <row r="3" ht="13.5" customHeight="1" s="53">
      <c r="A3" s="55" t="n"/>
      <c r="B3" s="55" t="n"/>
      <c r="C3" s="55" t="n"/>
      <c r="D3" s="55" t="n"/>
      <c r="E3" s="55" t="n"/>
      <c r="F3" s="55" t="n"/>
    </row>
    <row r="4" ht="30" customHeight="1" s="53">
      <c r="A4" s="58" t="inlineStr">
        <is>
          <t>Message</t>
        </is>
      </c>
      <c r="B4" s="57" t="inlineStr">
        <is>
          <t>情境說明</t>
        </is>
      </c>
      <c r="C4" s="58" t="inlineStr">
        <is>
          <t>ISO 20022</t>
        </is>
      </c>
      <c r="D4" s="58" t="inlineStr">
        <is>
          <t>businessService</t>
        </is>
      </c>
      <c r="E4" s="58" t="inlineStr">
        <is>
          <t>TARGET SCENARIO</t>
        </is>
      </c>
      <c r="F4" s="58" t="inlineStr">
        <is>
          <t>UAT 重點</t>
        </is>
      </c>
    </row>
    <row r="5" ht="41.25" customHeight="1" s="53">
      <c r="A5" s="59" t="inlineStr">
        <is>
          <t>MT202</t>
        </is>
      </c>
      <c r="B5" s="80" t="inlineStr">
        <is>
          <t>Book transfer — same receiver（本行於同一收款行之帳戶間移轉）【BLOCKED — 見未決項 OPEN-001】</t>
        </is>
      </c>
      <c r="C5" s="59" t="inlineStr">
        <is>
          <t>pacs.009.001.08</t>
        </is>
      </c>
      <c r="D5" s="59" t="inlineStr">
        <is>
          <t>swift.cbprplus.04</t>
        </is>
      </c>
      <c r="E5" s="59" t="inlineStr">
        <is>
          <t>BOOK_TRANSFER_SAME_RECEIVER</t>
        </is>
      </c>
      <c r="F5" s="81" t="inlineStr">
        <is>
          <t>【v15.2 更正】BA 裁決：本情境之 Resolution Domain 為 OWN_SSI_NOSTRO，Counterparty SSI 為 SKIPPED —— 不會有 chosen counterparty SSI，亦不產生 counterparty agent 角色。原「57a 省略語意」敘述已作廢。完整預期值待 BA 提供 BOOK-01～05 定義後填入；在此之前不得執行、不得宣稱覆蓋。</t>
        </is>
      </c>
    </row>
    <row r="6" ht="57.75" customHeight="1" s="53">
      <c r="A6" s="59" t="inlineStr">
        <is>
          <t>MT202</t>
        </is>
      </c>
      <c r="B6" s="59" t="inlineStr">
        <is>
          <t>Credit one of several accounts at 57A（明示指定自有貸記帳戶與 Account With Institution）</t>
        </is>
      </c>
      <c r="C6" s="59" t="inlineStr">
        <is>
          <t>pacs.009.001.08</t>
        </is>
      </c>
      <c r="D6" s="59" t="inlineStr">
        <is>
          <t>swift.cbprplus.04</t>
        </is>
      </c>
      <c r="E6" s="59" t="inlineStr">
        <is>
          <t>CREDIT_ONE_OF_SEVERAL_AT_57A</t>
        </is>
      </c>
      <c r="F6" s="62" t="inlineStr">
        <is>
          <t>多帳戶情境：須確認 57a 明示輸出而非省略，且所選帳戶與 chosen SSI 的 accountId 一致。</t>
        </is>
      </c>
    </row>
    <row r="7" ht="57.75" customHeight="1" s="53">
      <c r="A7" s="59" t="inlineStr">
        <is>
          <t>MT205</t>
        </is>
      </c>
      <c r="B7" s="59" t="inlineStr">
        <is>
          <t>Initial MT200 / MT201 equivalence（沿用前手 MT200/201 context，不允許編輯銀行身分）</t>
        </is>
      </c>
      <c r="C7" s="59" t="inlineStr">
        <is>
          <t>pacs.009.001.08</t>
        </is>
      </c>
      <c r="D7" s="59" t="inlineStr">
        <is>
          <t>swift.cbprplus.04</t>
        </is>
      </c>
      <c r="E7" s="59" t="inlineStr">
        <is>
          <t>INITIAL_MT200_201_EQUIVALENCE</t>
        </is>
      </c>
      <c r="F7" s="59" t="inlineStr">
        <is>
          <t>MT205 的 52a 為 Mandatory，須由前手 Category 2 指示帶入；缺值應回 MESSAGE_CONTEXT_MISSING，不得誤報 SSI_NOT_FOUND。</t>
        </is>
      </c>
    </row>
    <row r="8" ht="57.75" customHeight="1" s="53">
      <c r="A8" s="59" t="inlineStr">
        <is>
          <t>MT205COV</t>
        </is>
      </c>
      <c r="B8" s="59" t="inlineStr">
        <is>
          <t>MT205 COV — no MT200 / MT201 equivalence（保留前手 cover context；不套用 MT-only 的 58a 等於 52a 規則）</t>
        </is>
      </c>
      <c r="C8" s="59" t="inlineStr">
        <is>
          <t>pacs.009.001.08</t>
        </is>
      </c>
      <c r="D8" s="59" t="inlineStr">
        <is>
          <t>swift.cbprplus.cov.04</t>
        </is>
      </c>
      <c r="E8" s="59" t="inlineStr">
        <is>
          <t>NO_MT200_201_EQUIVALENCE</t>
        </is>
      </c>
      <c r="F8" s="59" t="inlineStr">
        <is>
          <t>12 組 approved allow-list 已可執行：11 組 RESOLVED；BARCGB22/GBP 回 SSI_AMBIGUOUS。僅未列入 allow-list 的 Northstar 負向控制回 503 PROFILE_INCOMPLETE。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2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8" activeCellId="0" sqref="B8"/>
    </sheetView>
  </sheetViews>
  <sheetFormatPr baseColWidth="8" defaultColWidth="8.66796875" defaultRowHeight="13.5" zeroHeight="0" outlineLevelRow="0"/>
  <cols>
    <col width="30" customWidth="1" style="70" min="1" max="1"/>
    <col width="118" customWidth="1" style="70" min="2" max="2"/>
    <col width="8.67" customWidth="1" style="70" min="3" max="16384"/>
  </cols>
  <sheetData>
    <row r="1" ht="13.5" customHeight="1" s="53">
      <c r="A1" s="82" t="inlineStr">
        <is>
          <t>證據來源、範圍界定與待確認事項</t>
        </is>
      </c>
      <c r="B1" s="55" t="n"/>
    </row>
    <row r="2" ht="17.15" customHeight="1" s="53">
      <c r="A2" s="56" t="inlineStr">
        <is>
          <t>本清單所有數字均由受控 snapshot 實測導出，未採信任何文件自述。</t>
        </is>
      </c>
      <c r="B2" s="55" t="n"/>
    </row>
    <row r="3" ht="13.5" customHeight="1" s="53">
      <c r="A3" s="55" t="n"/>
      <c r="B3" s="55" t="n"/>
    </row>
    <row r="4" ht="30" customHeight="1" s="53">
      <c r="A4" s="57" t="inlineStr">
        <is>
          <t>項目</t>
        </is>
      </c>
      <c r="B4" s="57" t="inlineStr">
        <is>
          <t>內容</t>
        </is>
      </c>
    </row>
    <row r="5" ht="25.5" customHeight="1" s="53">
      <c r="A5" s="83" t="inlineStr">
        <is>
          <t>受控 snapshot</t>
        </is>
      </c>
      <c r="B5" s="59" t="inlineStr">
        <is>
          <t>qa/mt2-final/fixtures/baselines/ssi-demo.v15.1-post-migration.sqlite</t>
        </is>
      </c>
    </row>
    <row r="6" ht="25.5" customHeight="1" s="53">
      <c r="A6" s="84" t="inlineStr">
        <is>
          <t>snapshot SHA-256</t>
        </is>
      </c>
      <c r="B6" s="59" t="inlineStr">
        <is>
          <t>52A58C19901F1FBD6A3EE964968A14164EDA89DF22B284282C88D05C3D5CEEF6</t>
        </is>
      </c>
    </row>
    <row r="7" ht="25.5" customHeight="1" s="53">
      <c r="A7" s="84" t="inlineStr">
        <is>
          <t>snapshot bytes</t>
        </is>
      </c>
      <c r="B7" s="59" t="n">
        <v>10350592</v>
      </c>
    </row>
    <row r="8" ht="25.5" customHeight="1" s="53">
      <c r="A8" s="84" t="inlineStr">
        <is>
          <t>ACTIVE SSI / ACTIVE Nostro</t>
        </is>
      </c>
      <c r="B8" s="59" t="inlineStr">
        <is>
          <t>42 / 159</t>
        </is>
      </c>
    </row>
    <row r="9" ht="25.5" customHeight="1" s="53">
      <c r="A9" s="83" t="inlineStr">
        <is>
          <t>具 pacs.009.001.08 之 ACTIVE SSI</t>
        </is>
      </c>
      <c r="B9" s="59" t="inlineStr">
        <is>
          <t>26 筆（本清單全部涵蓋）</t>
        </is>
      </c>
    </row>
    <row r="10" ht="45.75" customHeight="1" s="53">
      <c r="A10" s="83" t="inlineStr">
        <is>
          <t>不具 .08 之 ACTIVE SSI</t>
        </is>
      </c>
      <c r="B10" s="59" t="inlineStr">
        <is>
          <t>16 筆，MT2xx 不可見：SSI-DEMO-025~034（10 筆，僅 .12；counterpartyBic=ANY）、SSI-DEMO-036~040（5 筆，僅 pacs.008，屬 MT103 域）、SSI-DEMO-023（1 筆，僅 pacs.009.001.12）</t>
        </is>
      </c>
    </row>
    <row r="11" ht="27" customHeight="1" s="53">
      <c r="A11" s="84" t="inlineStr">
        <is>
          <t>Nostro 參照完整性</t>
        </is>
      </c>
      <c r="B11" s="59" t="inlineStr">
        <is>
          <t>42/42 以 accountId = accountReference 精確命中，orphan = 0。以 maskedAccountRef 比對會有 38 筆落空、以 Nostro.id 比對 42 筆全落空 —— 兩者皆為錯誤 join 方式。</t>
        </is>
      </c>
    </row>
    <row r="12" ht="45.75" customHeight="1" s="53">
      <c r="A12" s="83" t="inlineStr">
        <is>
          <t>平手掃描</t>
        </is>
      </c>
      <c r="B12" s="59" t="inlineStr">
        <is>
          <t>post-migration 全量 scan：12 組中僅 BARCGB22／GBP／HK01 top-rank tie；四種 MT2xx 電文均預期 422。</t>
        </is>
      </c>
    </row>
    <row r="13" ht="25.5" customHeight="1" s="53">
      <c r="A13" s="83" t="inlineStr">
        <is>
          <t>範圍：涵蓋</t>
        </is>
      </c>
      <c r="B13" s="59" t="inlineStr">
        <is>
          <t>12 組、MT202／MT205／MT202COV／MT205COV，共 48 案；全部使用 pacs.009.001.08 canonical tuple。</t>
        </is>
      </c>
    </row>
    <row r="14" ht="45.75" customHeight="1" s="53">
      <c r="A14" s="83" t="inlineStr">
        <is>
          <t>範圍：不涵蓋</t>
        </is>
      </c>
      <c r="B14" s="59" t="inlineStr">
        <is>
          <t>MT200／MT201／MT203／MT204／MT210 —— 依 MT2xx Scope，MT200 轉 OWN_SSI_NOSTRO、MT204 轉 FI_DIRECT_DEBIT、MT210 轉 NOTIFICATION、MT201／MT203 為 MESSAGE_TYPE_NOT_SUPPORTED。均不查 Counterparty SSI。</t>
        </is>
      </c>
    </row>
    <row r="15" ht="45.75" customHeight="1" s="53">
      <c r="A15" s="84" t="inlineStr">
        <is>
          <t>v15.1 migration</t>
        </is>
      </c>
      <c r="B15" s="59" t="inlineStr">
        <is>
          <t>24 筆 SSI 具 explicit COV allow-list；Core/COV 以 businessService 分流，禁止 synthetic .COV messageDefinitionId。</t>
        </is>
      </c>
    </row>
    <row r="16" ht="45.75" customHeight="1" s="53">
      <c r="A16" s="83" t="inlineStr">
        <is>
          <t>現行驗收帳本</t>
        </is>
      </c>
      <c r="B16" s="59" t="inlineStr">
        <is>
          <t>48 = 44 SSI_RESOLVED + 4 SSI_AMBIGUOUS；NOT_EXECUTABLE=0；另有 1 筆 Northstar COV 503 負向控制。</t>
        </is>
      </c>
    </row>
    <row r="17" ht="45.75" customHeight="1" s="53">
      <c r="A17" s="83" t="inlineStr">
        <is>
          <t>最新自動執行證據</t>
        </is>
      </c>
      <c r="B17" s="59" t="inlineStr">
        <is>
          <t>qa/reports/MT2XX_v15.1_post_migration_tie_scan_20260911.json；SHA-256 CBA6D5D0704CC37788251D8DDCA0D987C6F8404AD19B32FC7C51BDAA67AAB2CB；passed=48/48。</t>
        </is>
      </c>
    </row>
    <row r="18" ht="45.75" customHeight="1" s="53">
      <c r="A18" s="84" t="inlineStr">
        <is>
          <t>BA review gate</t>
        </is>
      </c>
      <c r="B18" s="62" t="inlineStr">
        <is>
          <t>候選版須經獨立 BA 覆核接受後才可置入 qa/uat；不得以自動執行成功取代業務驗收。</t>
        </is>
      </c>
    </row>
    <row r="19" ht="17.15" customHeight="1" s="53">
      <c r="A19" s="85" t="inlineStr">
        <is>
          <t>受控 v15.1 baseline</t>
        </is>
      </c>
      <c r="B19" s="55" t="inlineStr">
        <is>
          <t>qa/tdd/MT2XX_支援標準SSI_SR2026_MRG與ISO20022對應覆核版_v15.1.xlsx；SHA-256 0493C1D44D55A48B369AF6C6198BEE6943C1E17FC3A76AC93DE22C1D2A69A3D5。</t>
        </is>
      </c>
    </row>
    <row r="20" ht="17.15" customHeight="1" s="53">
      <c r="A20" s="55" t="inlineStr">
        <is>
          <t>COV allow-list</t>
        </is>
      </c>
      <c r="B20" s="55" t="inlineStr">
        <is>
          <t>parameters/cov-profile-allow-list.v15.1.json；SHA-256 9B7F689627C7C790BFA94ADABACCE7FE18C43125FC93991B74958EDF92314482。</t>
        </is>
      </c>
    </row>
    <row r="21" ht="45.75" customHeight="1" s="53">
      <c r="A21" s="86" t="inlineStr">
        <is>
          <t>v15.2 候選版狀態</t>
        </is>
      </c>
      <c r="B21" s="87" t="inlineStr">
        <is>
          <t>DRAFT — NOT APPROVED / NOT IMPLEMENTABLE。v15.1 保持 immutable、不覆寫；本檔為 fork 候選版，經獨立 BA 覆核接受後方可置入 qa/uat。</t>
        </is>
      </c>
    </row>
    <row r="22" ht="25.5" customHeight="1" s="53">
      <c r="A22" s="86" t="inlineStr">
        <is>
          <t>v15.1 base SHA-256</t>
        </is>
      </c>
      <c r="B22" s="87" t="inlineStr">
        <is>
          <t>AB21F5BC02D6BFBEC5683E1D8423950AC49EC0811542BB430DB5F0CB70A14B06</t>
        </is>
      </c>
    </row>
    <row r="23" ht="25.5" customHeight="1" s="53">
      <c r="A23" s="86" t="inlineStr">
        <is>
          <t>v15.1 base bytes</t>
        </is>
      </c>
      <c r="B23" s="87" t="inlineStr">
        <is>
          <t>29813</t>
        </is>
      </c>
    </row>
    <row r="24" ht="45.75" customHeight="1" s="53">
      <c r="A24" s="86" t="inlineStr">
        <is>
          <t>v15.2 新增範圍</t>
        </is>
      </c>
      <c r="B24" s="87" t="inlineStr">
        <is>
          <t>BOOK-01～05、generic MT202 對照、Receiver ≠ Account With 之 57A 案例、agent provenance 斷言，共 20 案，全部列於「v15.2 新增案例」表且標記 BLOCKED、不計入 48 案分母。</t>
        </is>
      </c>
    </row>
    <row r="25" ht="45.75" customHeight="1" s="53">
      <c r="A25" s="86" t="inlineStr">
        <is>
          <t>48/48 報告之適用範圍</t>
        </is>
      </c>
      <c r="B25" s="87" t="inlineStr">
        <is>
          <t>MT2XX_v15.1_QA_UAT_Final_Report_ZH_20260911.docx 產生於 BOOK_TRANSFER blocker 確認之前，且其 runner 僅檢查 HTTP、結果碼、幣別、AMBIGUOUS fail-closed shape 與 COV fallback，未逐案比對 agent 值或 provenance。該報告不得再引為整體 Release Gate Pass。</t>
        </is>
      </c>
    </row>
    <row r="26" ht="45.75" customHeight="1" s="53">
      <c r="A26" s="83" t="inlineStr">
        <is>
          <t>已知覆蓋缺口</t>
        </is>
      </c>
      <c r="B26" s="87" t="inlineStr">
        <is>
          <t>12 組中有 6 組為「經由第三行」路由（actualReceiverBic ≠ counterpartyBic）：BARCGB22/USD、BNPAFRPP/CNY、BOFAUS3N/AUD、CHASUS33/CAD、CHASUS33/USD、SCBLGB2L/CHF。DEF-001 僅在此 6 組現形，而現行 48 案未對其設斷言。</t>
        </is>
      </c>
    </row>
    <row r="27" ht="45.75" customHeight="1" s="53">
      <c r="A27" s="83" t="inlineStr">
        <is>
          <t>作廢檔案</t>
        </is>
      </c>
      <c r="B27" s="87" t="inlineStr">
        <is>
          <t>MT2xx_SSI_Resolution_UAT執行清單_v1_1.xlsx（SHA-256 6AF578B6E795F44B8F1F7E8902DD17AEA69290FD0257D96AF0A2F13CF18FE95D）已更名為 _OBSOLETE_DO_NOT_USE：使用舊 snapshot 7492…4EF3 與 56 案／COV 503 舊矩陣。</t>
        </is>
      </c>
    </row>
    <row r="28" ht="25.5" customHeight="1" s="53">
      <c r="A28" s="83" t="inlineStr">
        <is>
          <t>未決項驅動規則</t>
        </is>
      </c>
      <c r="B28" s="62" t="inlineStr">
        <is>
          <t>本檔所有 BLOCKED 列均由「未決項清單」表之 OPEN-xxx 驅動。未決項未關閉前，受影響列不得填入具體預期值、不得執行、不得計入任何分母或通過率。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52" min="1" max="1"/>
    <col width="32" customWidth="1" style="52" min="2" max="2"/>
    <col width="40" customWidth="1" style="52" min="3" max="3"/>
    <col width="56" customWidth="1" style="52" min="4" max="4"/>
    <col width="38" customWidth="1" style="52" min="5" max="5"/>
    <col width="28" customWidth="1" style="52" min="6" max="6"/>
  </cols>
  <sheetData>
    <row r="1" ht="15" customHeight="1" s="53">
      <c r="A1" s="88" t="inlineStr">
        <is>
          <t>Case ID</t>
        </is>
      </c>
      <c r="B1" s="88" t="inlineStr">
        <is>
          <t>Precondition</t>
        </is>
      </c>
      <c r="C1" s="88" t="inlineStr">
        <is>
          <t>Action</t>
        </is>
      </c>
      <c r="D1" s="88" t="inlineStr">
        <is>
          <t>Expected Result</t>
        </is>
      </c>
      <c r="E1" s="88" t="inlineStr">
        <is>
          <t>Business Risk</t>
        </is>
      </c>
      <c r="F1" s="88" t="inlineStr">
        <is>
          <t>Execution Record</t>
        </is>
      </c>
    </row>
    <row r="2" ht="32.8" customHeight="1" s="53">
      <c r="A2" s="89" t="inlineStr">
        <is>
          <t>UI-STALE-01</t>
        </is>
      </c>
      <c r="B2" s="89" t="inlineStr">
        <is>
          <t>BARCGB22 / USD 已 SSI_RESOLVED</t>
        </is>
      </c>
      <c r="C2" s="90" t="inlineStr">
        <is>
          <t>改 Currency 為 SGD（No SSI Record），不按 Preview</t>
        </is>
      </c>
      <c r="D2" s="90" t="inlineStr">
        <is>
          <t>舊結果立即清空或明確標 stale；不得顯示 RESOLVED、舊 agent、nostro 或 token。</t>
        </is>
      </c>
      <c r="E2" s="90" t="inlineStr">
        <is>
          <t>避免使用者把 USD 路由誤當 SGD 路由</t>
        </is>
      </c>
      <c r="F2" s="89" t="n"/>
    </row>
    <row r="3" ht="32.8" customHeight="1" s="53">
      <c r="A3" s="89" t="inlineStr">
        <is>
          <t>UI-RACE-01</t>
        </is>
      </c>
      <c r="B3" s="90" t="inlineStr">
        <is>
          <t>先送 USD Preview，立即切 GBP 再送 Preview</t>
        </is>
      </c>
      <c r="C3" s="90" t="inlineStr">
        <is>
          <t>以瀏覽器 route interception 固定延遲 USD response 1500 ms；GBP response 先返回</t>
        </is>
      </c>
      <c r="D3" s="90" t="inlineStr">
        <is>
          <t>畫面只接受最新 GBP request identity；遲到 USD response 不得回填。</t>
        </is>
      </c>
      <c r="E3" s="90" t="inlineStr">
        <is>
          <t>避免非同步競態造成跨幣別路由混用</t>
        </is>
      </c>
      <c r="F3" s="89" t="n"/>
    </row>
    <row r="4" ht="32.8" customHeight="1" s="53">
      <c r="A4" s="89" t="inlineStr">
        <is>
          <t>UI-BANK-SVC-01</t>
        </is>
      </c>
      <c r="B4" s="90" t="inlineStr">
        <is>
          <t>未選 Counterparty Bank Service</t>
        </is>
      </c>
      <c r="C4" s="90" t="inlineStr">
        <is>
          <t>以空 bankServiceId 送出 Preview</t>
        </is>
      </c>
      <c r="D4" s="89" t="inlineStr">
        <is>
          <t>fail closed；不得以 raw BIC fallback，須顯示可行動的欄位錯誤。</t>
        </is>
      </c>
      <c r="E4" s="90" t="inlineStr">
        <is>
          <t>維持 bankServiceId → BIC 的唯一受控解析鏈</t>
        </is>
      </c>
      <c r="F4" s="89" t="n"/>
    </row>
    <row r="5" ht="32.8" customHeight="1" s="53">
      <c r="A5" s="89" t="inlineStr">
        <is>
          <t>UI-BANK-SVC-02</t>
        </is>
      </c>
      <c r="B5" s="90" t="inlineStr">
        <is>
          <t>輸入不存在的 Bank Service ID</t>
        </is>
      </c>
      <c r="C5" s="90" t="inlineStr">
        <is>
          <t>送出 Preview</t>
        </is>
      </c>
      <c r="D5" s="89" t="inlineStr">
        <is>
          <t>HTTP 422 OPTION_CONSTRAINT_VIOLATION；不得產生 payload，亦不得接受 raw BIC fallback。</t>
        </is>
      </c>
      <c r="E5" s="90" t="inlineStr">
        <is>
          <t>防止未登錄銀行身分繞過 Bank Service</t>
        </is>
      </c>
      <c r="F5" s="89" t="n"/>
    </row>
  </sheetData>
  <autoFilter ref="A1:F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52" min="1" max="1"/>
    <col width="14" customWidth="1" style="52" min="2" max="2"/>
    <col width="40" customWidth="1" style="52" min="3" max="3"/>
    <col width="68" customWidth="1" style="52" min="4" max="4"/>
    <col width="24" customWidth="1" style="52" min="5" max="5"/>
  </cols>
  <sheetData>
    <row r="1" ht="25.35" customHeight="1" s="53">
      <c r="A1" s="88" t="inlineStr">
        <is>
          <t>Case ID</t>
        </is>
      </c>
      <c r="B1" s="88" t="inlineStr">
        <is>
          <t>Message</t>
        </is>
      </c>
      <c r="C1" s="88" t="inlineStr">
        <is>
          <t>Target Scenario</t>
        </is>
      </c>
      <c r="D1" s="88" t="inlineStr">
        <is>
          <t>Expected Behavior</t>
        </is>
      </c>
      <c r="E1" s="88" t="inlineStr">
        <is>
          <t>Separate From 48-Case Resolver Matrix</t>
        </is>
      </c>
    </row>
    <row r="2" ht="79.84999999999999" customHeight="1" s="53">
      <c r="A2" s="89" t="inlineStr">
        <is>
          <t>SCN-202-01</t>
        </is>
      </c>
      <c r="B2" s="89" t="inlineStr">
        <is>
          <t>MT202</t>
        </is>
      </c>
      <c r="C2" s="89" t="inlineStr">
        <is>
          <t>BOOK_TRANSFER_SAME_RECEIVER</t>
        </is>
      </c>
      <c r="D2" s="91" t="inlineStr">
        <is>
          <t>【v15.2 更正 · BLOCKED】Resolution Domain = OWN_SSI_NOSTRO；Counterparty SSI = SKIPPED。不得預期任何 counterparty chosen SSI，不得以 SAME-BIC／VIA-BIC 對照判讀（該情境不產生 counterparty agent 角色）。原敘述「驗證同 receiver 的 57a 省略語意」已作廢。預期回應 shape 待 BA 定義（OPEN-001／OPEN-002）。</t>
        </is>
      </c>
      <c r="E2" s="89" t="inlineStr">
        <is>
          <t>YES</t>
        </is>
      </c>
    </row>
    <row r="3" ht="17.15" customHeight="1" s="53">
      <c r="A3" s="89" t="inlineStr">
        <is>
          <t>SCN-202-02</t>
        </is>
      </c>
      <c r="B3" s="89" t="inlineStr">
        <is>
          <t>MT202</t>
        </is>
      </c>
      <c r="C3" s="89" t="inlineStr">
        <is>
          <t>CREDIT_ONE_OF_SEVERAL_AT_57A</t>
        </is>
      </c>
      <c r="D3" s="90" t="inlineStr">
        <is>
          <t>驗證明示帳戶、57a 與 chosen SSI accountId 一致。</t>
        </is>
      </c>
      <c r="E3" s="89" t="inlineStr">
        <is>
          <t>YES</t>
        </is>
      </c>
    </row>
    <row r="4" ht="32.8" customHeight="1" s="53">
      <c r="A4" s="89" t="inlineStr">
        <is>
          <t>SCN-205-01</t>
        </is>
      </c>
      <c r="B4" s="89" t="inlineStr">
        <is>
          <t>MT205</t>
        </is>
      </c>
      <c r="C4" s="89" t="inlineStr">
        <is>
          <t>INITIAL_MT200_201_EQUIVALENCE</t>
        </is>
      </c>
      <c r="D4" s="90" t="inlineStr">
        <is>
          <t>驗證前手 context 與 mandatory 52a；缺值回 MESSAGE_CONTEXT_MISSING。</t>
        </is>
      </c>
      <c r="E4" s="89" t="inlineStr">
        <is>
          <t>YES</t>
        </is>
      </c>
    </row>
    <row r="5" ht="17.15" customHeight="1" s="53">
      <c r="A5" s="89" t="inlineStr">
        <is>
          <t>SCN-205COV-01</t>
        </is>
      </c>
      <c r="B5" s="89" t="inlineStr">
        <is>
          <t>MT205COV</t>
        </is>
      </c>
      <c r="C5" s="89" t="inlineStr">
        <is>
          <t>NO_MT200_201_EQUIVALENCE</t>
        </is>
      </c>
      <c r="D5" s="90" t="inlineStr">
        <is>
          <t>驗證 cover context 傳遞且不套用 MT205-only 規則。</t>
        </is>
      </c>
      <c r="E5" s="89" t="inlineStr">
        <is>
          <t>YES</t>
        </is>
      </c>
    </row>
    <row r="6" ht="17.15" customHeight="1" s="53">
      <c r="A6" s="89" t="inlineStr">
        <is>
          <t>SCN-202COV-GAP</t>
        </is>
      </c>
      <c r="B6" s="89" t="inlineStr">
        <is>
          <t>MT202COV</t>
        </is>
      </c>
      <c r="C6" s="89" t="inlineStr">
        <is>
          <t>NO_REGISTERED_UI_SCENARIO</t>
        </is>
      </c>
      <c r="D6" s="90" t="inlineStr">
        <is>
          <t>登錄為情境覆蓋缺口；只執行 resolver baseline，不宣稱 scenario coverage。</t>
        </is>
      </c>
      <c r="E6" s="89" t="inlineStr">
        <is>
          <t>YES</t>
        </is>
      </c>
    </row>
    <row r="7" ht="15" customHeight="1" s="53">
      <c r="A7" s="89" t="n"/>
      <c r="B7" s="89" t="n"/>
      <c r="C7" s="89" t="n"/>
      <c r="D7" s="89" t="n"/>
      <c r="E7" s="89" t="n"/>
    </row>
    <row r="8" ht="135.05" customHeight="1" s="53">
      <c r="A8" s="90" t="inlineStr">
        <is>
          <t>說明</t>
        </is>
      </c>
      <c r="B8" s="89" t="inlineStr">
        <is>
          <t>48 案主矩陣的 Resolver Baseline Profile 不是可選 UI scenario；不需套用情境。以上 5 案另計，不灌入 48 案分母。</t>
        </is>
      </c>
      <c r="C8" s="89" t="n"/>
      <c r="D8" s="89" t="n"/>
      <c r="E8" s="89" t="n"/>
    </row>
  </sheetData>
  <autoFilter ref="A1:E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T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52" min="1" max="1"/>
    <col width="20" customWidth="1" style="52" min="2" max="2"/>
    <col width="22" customWidth="1" style="52" min="3" max="3"/>
    <col width="10" customWidth="1" style="52" min="4" max="5"/>
    <col width="26" customWidth="1" style="52" min="6" max="6"/>
    <col width="12" customWidth="1" style="52" min="7" max="7"/>
    <col width="7" customWidth="1" style="52" min="8" max="8"/>
    <col width="14" customWidth="1" style="52" min="9" max="9"/>
    <col width="10" customWidth="1" style="52" min="10" max="10"/>
    <col width="22" customWidth="1" style="52" min="11" max="11"/>
    <col width="16" customWidth="1" style="52" min="12" max="12"/>
    <col width="9" customWidth="1" style="52" min="13" max="13"/>
    <col width="18" customWidth="1" style="52" min="14" max="14"/>
    <col width="64" customWidth="1" style="52" min="15" max="15"/>
    <col width="42" customWidth="1" style="52" min="16" max="16"/>
    <col width="14" customWidth="1" style="52" min="17" max="17"/>
    <col width="10" customWidth="1" style="52" min="18" max="19"/>
    <col width="11" customWidth="1" style="52" min="20" max="20"/>
  </cols>
  <sheetData>
    <row r="1" ht="23.1" customHeight="1" s="53">
      <c r="A1" s="92" t="inlineStr">
        <is>
          <t>v15.2 新增案例 — 全部 BLOCKED，不計入 48 案分母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  <c r="J1" s="55" t="n"/>
      <c r="K1" s="55" t="n"/>
      <c r="L1" s="55" t="n"/>
      <c r="M1" s="55" t="n"/>
      <c r="N1" s="55" t="n"/>
      <c r="O1" s="55" t="n"/>
      <c r="P1" s="55" t="n"/>
      <c r="Q1" s="55" t="n"/>
      <c r="R1" s="55" t="n"/>
      <c r="S1" s="55" t="n"/>
      <c r="T1" s="55" t="n"/>
    </row>
    <row r="2" ht="17.15" customHeight="1" s="53">
      <c r="A2" s="93" t="inlineStr">
        <is>
          <t>BLOCKED 分兩型：UNDEFINED＝預期值尚不存在，必須由 BA 定義；PENDING APPROVAL＝預期值已由受控 snapshot 導出並可供覆核，僅待 BA 核准。兩型皆不得執行。</t>
        </is>
      </c>
      <c r="B2" s="55" t="n"/>
      <c r="C2" s="55" t="n"/>
      <c r="D2" s="55" t="n"/>
      <c r="E2" s="55" t="n"/>
      <c r="F2" s="55" t="n"/>
      <c r="G2" s="55" t="n"/>
      <c r="H2" s="55" t="n"/>
      <c r="I2" s="55" t="n"/>
      <c r="J2" s="55" t="n"/>
      <c r="K2" s="55" t="n"/>
      <c r="L2" s="55" t="n"/>
      <c r="M2" s="55" t="n"/>
      <c r="N2" s="55" t="n"/>
      <c r="O2" s="55" t="n"/>
      <c r="P2" s="55" t="n"/>
      <c r="Q2" s="55" t="n"/>
      <c r="R2" s="55" t="n"/>
      <c r="S2" s="55" t="n"/>
      <c r="T2" s="55" t="n"/>
    </row>
    <row r="3" ht="15" customHeight="1" s="53">
      <c r="A3" s="55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5" t="n"/>
      <c r="P3" s="55" t="n"/>
      <c r="Q3" s="55" t="n"/>
      <c r="R3" s="55" t="n"/>
      <c r="S3" s="55" t="n"/>
      <c r="T3" s="55" t="n"/>
    </row>
    <row r="4" ht="33.75" customHeight="1" s="53">
      <c r="A4" s="57" t="inlineStr">
        <is>
          <t>案例編號</t>
        </is>
      </c>
      <c r="B4" s="57" t="inlineStr">
        <is>
          <t>類別</t>
        </is>
      </c>
      <c r="C4" s="94" t="inlineStr">
        <is>
          <t>BLOCKED 型別</t>
        </is>
      </c>
      <c r="D4" s="57" t="inlineStr">
        <is>
          <t>未決項</t>
        </is>
      </c>
      <c r="E4" s="94" t="inlineStr">
        <is>
          <t>Message</t>
        </is>
      </c>
      <c r="F4" s="57" t="inlineStr">
        <is>
          <t>情境／條件</t>
        </is>
      </c>
      <c r="G4" s="94" t="inlineStr">
        <is>
          <t>Counterparty</t>
        </is>
      </c>
      <c r="H4" s="57" t="inlineStr">
        <is>
          <t>幣別</t>
        </is>
      </c>
      <c r="I4" s="94" t="inlineStr">
        <is>
          <t>chosen SSI</t>
        </is>
      </c>
      <c r="J4" s="94" t="inlineStr">
        <is>
          <t>agent 對照</t>
        </is>
      </c>
      <c r="K4" s="57" t="inlineStr">
        <is>
          <t>預期 Resolution Domain</t>
        </is>
      </c>
      <c r="L4" s="94" t="inlineStr">
        <is>
          <t>Counterparty SSI</t>
        </is>
      </c>
      <c r="M4" s="57" t="inlineStr">
        <is>
          <t>預期 HTTP</t>
        </is>
      </c>
      <c r="N4" s="57" t="inlineStr">
        <is>
          <t>預期 code</t>
        </is>
      </c>
      <c r="O4" s="57" t="inlineStr">
        <is>
          <t>斷言內容</t>
        </is>
      </c>
      <c r="P4" s="57" t="inlineStr">
        <is>
          <t>業務風險</t>
        </is>
      </c>
      <c r="Q4" s="57" t="inlineStr">
        <is>
          <t>實際結果</t>
        </is>
      </c>
      <c r="R4" s="94" t="inlineStr">
        <is>
          <t>PASS/FAIL</t>
        </is>
      </c>
      <c r="S4" s="94" t="inlineStr">
        <is>
          <t>Tester</t>
        </is>
      </c>
      <c r="T4" s="57" t="inlineStr">
        <is>
          <t>執行日期</t>
        </is>
      </c>
    </row>
    <row r="5" ht="72" customHeight="1" s="53">
      <c r="A5" s="87" t="inlineStr">
        <is>
          <t>BOOK-01</t>
        </is>
      </c>
      <c r="B5" s="87" t="inlineStr">
        <is>
          <t>BOOK_TRANSFER 情境</t>
        </is>
      </c>
      <c r="C5" s="95" t="inlineStr">
        <is>
          <t>UNDEFINED — 待 BA 定義</t>
        </is>
      </c>
      <c r="D5" s="96" t="inlineStr">
        <is>
          <t>OPEN-001</t>
        </is>
      </c>
      <c r="E5" s="87" t="inlineStr">
        <is>
          <t>MT202</t>
        </is>
      </c>
      <c r="F5" s="87" t="inlineStr">
        <is>
          <t>BOOK_TRANSFER_SAME_RECEIVER（子情境待定義）</t>
        </is>
      </c>
      <c r="G5" s="87" t="inlineStr">
        <is>
          <t>—</t>
        </is>
      </c>
      <c r="H5" s="96" t="inlineStr">
        <is>
          <t>—</t>
        </is>
      </c>
      <c r="I5" s="87" t="inlineStr">
        <is>
          <t>—</t>
        </is>
      </c>
      <c r="J5" s="97" t="inlineStr">
        <is>
          <t>N/A</t>
        </is>
      </c>
      <c r="K5" s="87" t="inlineStr">
        <is>
          <t>OWN_SSI_NOSTRO</t>
        </is>
      </c>
      <c r="L5" s="87" t="inlineStr">
        <is>
          <t>SKIPPED</t>
        </is>
      </c>
      <c r="M5" s="98" t="inlineStr">
        <is>
          <t>待定義</t>
        </is>
      </c>
      <c r="N5" s="62" t="inlineStr">
        <is>
          <t>待定義</t>
        </is>
      </c>
      <c r="O5" s="87" t="inlineStr">
        <is>
          <t>BA 尚未提供本案的驗證內容。依未決項驅動規則，在 OPEN-001 關閉前不得填入任何具體預期值。已知的僅有 domain 與 Counterparty SSI 狀態兩項裁決結果。</t>
        </is>
      </c>
      <c r="P5" s="62" t="inlineStr">
        <is>
          <t>自有帳戶間移轉若誤走 Counterparty SSI，會把本行帳戶當成對手行路由。</t>
        </is>
      </c>
      <c r="Q5" s="99" t="n"/>
      <c r="R5" s="100" t="n"/>
      <c r="S5" s="100" t="n"/>
      <c r="T5" s="100" t="n"/>
    </row>
    <row r="6" ht="72" customHeight="1" s="53">
      <c r="A6" s="87" t="inlineStr">
        <is>
          <t>BOOK-02</t>
        </is>
      </c>
      <c r="B6" s="87" t="inlineStr">
        <is>
          <t>BOOK_TRANSFER 情境</t>
        </is>
      </c>
      <c r="C6" s="95" t="inlineStr">
        <is>
          <t>UNDEFINED — 待 BA 定義</t>
        </is>
      </c>
      <c r="D6" s="96" t="inlineStr">
        <is>
          <t>OPEN-001</t>
        </is>
      </c>
      <c r="E6" s="87" t="inlineStr">
        <is>
          <t>MT202</t>
        </is>
      </c>
      <c r="F6" s="87" t="inlineStr">
        <is>
          <t>BOOK_TRANSFER_SAME_RECEIVER（子情境待定義）</t>
        </is>
      </c>
      <c r="G6" s="87" t="inlineStr">
        <is>
          <t>—</t>
        </is>
      </c>
      <c r="H6" s="96" t="inlineStr">
        <is>
          <t>—</t>
        </is>
      </c>
      <c r="I6" s="87" t="inlineStr">
        <is>
          <t>—</t>
        </is>
      </c>
      <c r="J6" s="97" t="inlineStr">
        <is>
          <t>N/A</t>
        </is>
      </c>
      <c r="K6" s="87" t="inlineStr">
        <is>
          <t>OWN_SSI_NOSTRO</t>
        </is>
      </c>
      <c r="L6" s="87" t="inlineStr">
        <is>
          <t>SKIPPED</t>
        </is>
      </c>
      <c r="M6" s="98" t="inlineStr">
        <is>
          <t>待定義</t>
        </is>
      </c>
      <c r="N6" s="62" t="inlineStr">
        <is>
          <t>待定義</t>
        </is>
      </c>
      <c r="O6" s="87" t="inlineStr">
        <is>
          <t>BA 尚未提供本案的驗證內容。依未決項驅動規則，在 OPEN-001 關閉前不得填入任何具體預期值。已知的僅有 domain 與 Counterparty SSI 狀態兩項裁決結果。</t>
        </is>
      </c>
      <c r="P6" s="62" t="inlineStr">
        <is>
          <t>自有帳戶間移轉若誤走 Counterparty SSI，會把本行帳戶當成對手行路由。</t>
        </is>
      </c>
      <c r="Q6" s="99" t="n"/>
      <c r="R6" s="100" t="n"/>
      <c r="S6" s="100" t="n"/>
      <c r="T6" s="100" t="n"/>
    </row>
    <row r="7" ht="72" customHeight="1" s="53">
      <c r="A7" s="87" t="inlineStr">
        <is>
          <t>BOOK-03</t>
        </is>
      </c>
      <c r="B7" s="87" t="inlineStr">
        <is>
          <t>BOOK_TRANSFER 情境</t>
        </is>
      </c>
      <c r="C7" s="95" t="inlineStr">
        <is>
          <t>UNDEFINED — 待 BA 定義</t>
        </is>
      </c>
      <c r="D7" s="96" t="inlineStr">
        <is>
          <t>OPEN-001</t>
        </is>
      </c>
      <c r="E7" s="87" t="inlineStr">
        <is>
          <t>MT202</t>
        </is>
      </c>
      <c r="F7" s="87" t="inlineStr">
        <is>
          <t>BOOK_TRANSFER_SAME_RECEIVER（子情境待定義）</t>
        </is>
      </c>
      <c r="G7" s="87" t="inlineStr">
        <is>
          <t>—</t>
        </is>
      </c>
      <c r="H7" s="96" t="inlineStr">
        <is>
          <t>—</t>
        </is>
      </c>
      <c r="I7" s="87" t="inlineStr">
        <is>
          <t>—</t>
        </is>
      </c>
      <c r="J7" s="97" t="inlineStr">
        <is>
          <t>N/A</t>
        </is>
      </c>
      <c r="K7" s="87" t="inlineStr">
        <is>
          <t>OWN_SSI_NOSTRO</t>
        </is>
      </c>
      <c r="L7" s="87" t="inlineStr">
        <is>
          <t>SKIPPED</t>
        </is>
      </c>
      <c r="M7" s="98" t="inlineStr">
        <is>
          <t>待定義</t>
        </is>
      </c>
      <c r="N7" s="62" t="inlineStr">
        <is>
          <t>待定義</t>
        </is>
      </c>
      <c r="O7" s="87" t="inlineStr">
        <is>
          <t>BA 尚未提供本案的驗證內容。依未決項驅動規則，在 OPEN-001 關閉前不得填入任何具體預期值。已知的僅有 domain 與 Counterparty SSI 狀態兩項裁決結果。</t>
        </is>
      </c>
      <c r="P7" s="62" t="inlineStr">
        <is>
          <t>自有帳戶間移轉若誤走 Counterparty SSI，會把本行帳戶當成對手行路由。</t>
        </is>
      </c>
      <c r="Q7" s="99" t="n"/>
      <c r="R7" s="100" t="n"/>
      <c r="S7" s="100" t="n"/>
      <c r="T7" s="100" t="n"/>
    </row>
    <row r="8" ht="72" customHeight="1" s="53">
      <c r="A8" s="87" t="inlineStr">
        <is>
          <t>BOOK-04</t>
        </is>
      </c>
      <c r="B8" s="87" t="inlineStr">
        <is>
          <t>BOOK_TRANSFER 情境</t>
        </is>
      </c>
      <c r="C8" s="95" t="inlineStr">
        <is>
          <t>UNDEFINED — 待 BA 定義</t>
        </is>
      </c>
      <c r="D8" s="96" t="inlineStr">
        <is>
          <t>OPEN-001</t>
        </is>
      </c>
      <c r="E8" s="87" t="inlineStr">
        <is>
          <t>MT202</t>
        </is>
      </c>
      <c r="F8" s="87" t="inlineStr">
        <is>
          <t>BOOK_TRANSFER_SAME_RECEIVER（子情境待定義）</t>
        </is>
      </c>
      <c r="G8" s="87" t="inlineStr">
        <is>
          <t>—</t>
        </is>
      </c>
      <c r="H8" s="96" t="inlineStr">
        <is>
          <t>—</t>
        </is>
      </c>
      <c r="I8" s="87" t="inlineStr">
        <is>
          <t>—</t>
        </is>
      </c>
      <c r="J8" s="97" t="inlineStr">
        <is>
          <t>N/A</t>
        </is>
      </c>
      <c r="K8" s="87" t="inlineStr">
        <is>
          <t>OWN_SSI_NOSTRO</t>
        </is>
      </c>
      <c r="L8" s="87" t="inlineStr">
        <is>
          <t>SKIPPED</t>
        </is>
      </c>
      <c r="M8" s="98" t="inlineStr">
        <is>
          <t>待定義</t>
        </is>
      </c>
      <c r="N8" s="62" t="inlineStr">
        <is>
          <t>待定義</t>
        </is>
      </c>
      <c r="O8" s="87" t="inlineStr">
        <is>
          <t>BA 尚未提供本案的驗證內容。依未決項驅動規則，在 OPEN-001 關閉前不得填入任何具體預期值。已知的僅有 domain 與 Counterparty SSI 狀態兩項裁決結果。</t>
        </is>
      </c>
      <c r="P8" s="62" t="inlineStr">
        <is>
          <t>自有帳戶間移轉若誤走 Counterparty SSI，會把本行帳戶當成對手行路由。</t>
        </is>
      </c>
      <c r="Q8" s="99" t="n"/>
      <c r="R8" s="100" t="n"/>
      <c r="S8" s="100" t="n"/>
      <c r="T8" s="100" t="n"/>
    </row>
    <row r="9" ht="72" customHeight="1" s="53">
      <c r="A9" s="87" t="inlineStr">
        <is>
          <t>BOOK-05</t>
        </is>
      </c>
      <c r="B9" s="87" t="inlineStr">
        <is>
          <t>BOOK_TRANSFER 情境</t>
        </is>
      </c>
      <c r="C9" s="95" t="inlineStr">
        <is>
          <t>UNDEFINED — 待 BA 定義</t>
        </is>
      </c>
      <c r="D9" s="96" t="inlineStr">
        <is>
          <t>OPEN-001</t>
        </is>
      </c>
      <c r="E9" s="87" t="inlineStr">
        <is>
          <t>MT202</t>
        </is>
      </c>
      <c r="F9" s="87" t="inlineStr">
        <is>
          <t>BOOK_TRANSFER_SAME_RECEIVER（子情境待定義）</t>
        </is>
      </c>
      <c r="G9" s="87" t="inlineStr">
        <is>
          <t>—</t>
        </is>
      </c>
      <c r="H9" s="96" t="inlineStr">
        <is>
          <t>—</t>
        </is>
      </c>
      <c r="I9" s="87" t="inlineStr">
        <is>
          <t>—</t>
        </is>
      </c>
      <c r="J9" s="97" t="inlineStr">
        <is>
          <t>N/A</t>
        </is>
      </c>
      <c r="K9" s="87" t="inlineStr">
        <is>
          <t>OWN_SSI_NOSTRO</t>
        </is>
      </c>
      <c r="L9" s="87" t="inlineStr">
        <is>
          <t>SKIPPED</t>
        </is>
      </c>
      <c r="M9" s="98" t="inlineStr">
        <is>
          <t>待定義</t>
        </is>
      </c>
      <c r="N9" s="62" t="inlineStr">
        <is>
          <t>待定義</t>
        </is>
      </c>
      <c r="O9" s="87" t="inlineStr">
        <is>
          <t>BA 尚未提供本案的驗證內容。依未決項驅動規則，在 OPEN-001 關閉前不得填入任何具體預期值。已知的僅有 domain 與 Counterparty SSI 狀態兩項裁決結果。</t>
        </is>
      </c>
      <c r="P9" s="62" t="inlineStr">
        <is>
          <t>自有帳戶間移轉若誤走 Counterparty SSI，會把本行帳戶當成對手行路由。</t>
        </is>
      </c>
      <c r="Q9" s="99" t="n"/>
      <c r="R9" s="100" t="n"/>
      <c r="S9" s="100" t="n"/>
      <c r="T9" s="100" t="n"/>
    </row>
    <row r="10" ht="72" customHeight="1" s="53">
      <c r="A10" s="87" t="inlineStr">
        <is>
          <t>GEN-202-01</t>
        </is>
      </c>
      <c r="B10" s="87" t="inlineStr">
        <is>
          <t>generic MT202 對照（SAME-BIC 控制組）</t>
        </is>
      </c>
      <c r="C10" s="101" t="inlineStr">
        <is>
          <t>PENDING APPROVAL — 預期值已備</t>
        </is>
      </c>
      <c r="D10" s="96" t="inlineStr">
        <is>
          <t>OPEN-002</t>
        </is>
      </c>
      <c r="E10" s="87" t="inlineStr">
        <is>
          <t>MT202</t>
        </is>
      </c>
      <c r="F10" s="62" t="inlineStr">
        <is>
          <t>不套用任何 UI scenario</t>
        </is>
      </c>
      <c r="G10" s="87" t="inlineStr">
        <is>
          <t>CITIUS33</t>
        </is>
      </c>
      <c r="H10" s="96" t="inlineStr">
        <is>
          <t>USD</t>
        </is>
      </c>
      <c r="I10" s="87" t="inlineStr">
        <is>
          <t>SSI-DEMO-001</t>
        </is>
      </c>
      <c r="J10" s="102" t="inlineStr">
        <is>
          <t>SAME</t>
        </is>
      </c>
      <c r="K10" s="87" t="inlineStr">
        <is>
          <t>COUNTERPARTY_SSI</t>
        </is>
      </c>
      <c r="L10" s="87" t="inlineStr">
        <is>
          <t>RESOLVED</t>
        </is>
      </c>
      <c r="M10" s="98" t="n">
        <v>200</v>
      </c>
      <c r="N10" s="87" t="inlineStr">
        <is>
          <t>SSI_RESOLVED</t>
        </is>
      </c>
      <c r="O10" s="62" t="inlineStr">
        <is>
          <t>不套情境時 MT202 必須正常走 COUNTERPARTY_SSI 並解析出 SSI-DEMO-001。本案是 BOOK 情境的對照組：證明 domain 切換來自情境本身，而非 MT202 電文型別。</t>
        </is>
      </c>
      <c r="P10" s="62" t="inlineStr">
        <is>
          <t>無對照組時，無法分辨 domain 錯誤是情境造成還是電文造成。</t>
        </is>
      </c>
      <c r="Q10" s="99" t="n"/>
      <c r="R10" s="100" t="n"/>
      <c r="S10" s="100" t="n"/>
      <c r="T10" s="100" t="n"/>
    </row>
    <row r="11" ht="72" customHeight="1" s="53">
      <c r="A11" s="87" t="inlineStr">
        <is>
          <t>GEN-202-02</t>
        </is>
      </c>
      <c r="B11" s="87" t="inlineStr">
        <is>
          <t>generic MT202 對照（VIA-BIC 證據錨點）</t>
        </is>
      </c>
      <c r="C11" s="101" t="inlineStr">
        <is>
          <t>PENDING APPROVAL — 預期值已備</t>
        </is>
      </c>
      <c r="D11" s="96" t="inlineStr">
        <is>
          <t>OPEN-002</t>
        </is>
      </c>
      <c r="E11" s="87" t="inlineStr">
        <is>
          <t>MT202</t>
        </is>
      </c>
      <c r="F11" s="62" t="inlineStr">
        <is>
          <t>不套用任何 UI scenario</t>
        </is>
      </c>
      <c r="G11" s="87" t="inlineStr">
        <is>
          <t>CHASUS33</t>
        </is>
      </c>
      <c r="H11" s="96" t="inlineStr">
        <is>
          <t>USD</t>
        </is>
      </c>
      <c r="I11" s="87" t="inlineStr">
        <is>
          <t>SSI-DEMO-021</t>
        </is>
      </c>
      <c r="J11" s="103" t="inlineStr">
        <is>
          <t>VIA</t>
        </is>
      </c>
      <c r="K11" s="87" t="inlineStr">
        <is>
          <t>COUNTERPARTY_SSI</t>
        </is>
      </c>
      <c r="L11" s="87" t="inlineStr">
        <is>
          <t>RESOLVED</t>
        </is>
      </c>
      <c r="M11" s="98" t="n">
        <v>200</v>
      </c>
      <c r="N11" s="87" t="inlineStr">
        <is>
          <t>SSI_RESOLVED</t>
        </is>
      </c>
      <c r="O11" s="87" t="inlineStr">
        <is>
          <t>DEF-001 的正式證據錨點。原證據截圖取自 BOOK_TRANSFER 情境，依新裁決該情境本就不應解析 Counterparty SSI，故不適格。本案以 generic MT202 重新取原始 JSON。</t>
        </is>
      </c>
      <c r="P11" s="62" t="inlineStr">
        <is>
          <t>缺陷單若以不適格情境取證，會被以「情境用錯」退票，缺陷因而漏修。</t>
        </is>
      </c>
      <c r="Q11" s="99" t="n"/>
      <c r="R11" s="100" t="n"/>
      <c r="S11" s="100" t="n"/>
      <c r="T11" s="100" t="n"/>
    </row>
    <row r="12" ht="72" customHeight="1" s="53">
      <c r="A12" s="87" t="inlineStr">
        <is>
          <t>57A-01</t>
        </is>
      </c>
      <c r="B12" s="87" t="inlineStr">
        <is>
          <t>Receiver ≠ Account With</t>
        </is>
      </c>
      <c r="C12" s="101" t="inlineStr">
        <is>
          <t>PENDING APPROVAL — 預期值已備</t>
        </is>
      </c>
      <c r="D12" s="96" t="inlineStr">
        <is>
          <t>OPEN-002</t>
        </is>
      </c>
      <c r="E12" s="87" t="inlineStr">
        <is>
          <t>MT202</t>
        </is>
      </c>
      <c r="F12" s="62" t="inlineStr">
        <is>
          <t>不套用情境；檢視 MT 分頁 5x Tags</t>
        </is>
      </c>
      <c r="G12" s="87" t="inlineStr">
        <is>
          <t>(BARCGB22)</t>
        </is>
      </c>
      <c r="H12" s="96" t="inlineStr">
        <is>
          <t>USD</t>
        </is>
      </c>
      <c r="I12" s="87" t="inlineStr">
        <is>
          <t>SSI-DEMO-024</t>
        </is>
      </c>
      <c r="J12" s="103" t="inlineStr">
        <is>
          <t>VIA</t>
        </is>
      </c>
      <c r="K12" s="87" t="inlineStr">
        <is>
          <t>COUNTERPARTY_SSI</t>
        </is>
      </c>
      <c r="L12" s="87" t="inlineStr">
        <is>
          <t>RESOLVED</t>
        </is>
      </c>
      <c r="M12" s="98" t="n">
        <v>200</v>
      </c>
      <c r="N12" s="87" t="inlineStr">
        <is>
          <t>SSI_RESOLVED</t>
        </is>
      </c>
      <c r="O12" s="62" t="inlineStr">
        <is>
          <t>本組為「經由第三行」路由：accountWithBic=actualReceiverBic=CITIUS33，而 beneficiaryBic=BARCGB22。須確認 57A 的內容為 CITIUS33（帳戶行），58A 為 BARCGB22（受益機構），兩者不得互換或合併。註：本資料集 26 筆的 accountWithBic 與 actualReceiverBic 恆相等，故 MTMX-57A-01 的省略條件恆成立；本案驗的是 57A／58A 的「內容正確」而非「是否省略」。</t>
        </is>
      </c>
      <c r="P12" s="87" t="inlineStr">
        <is>
          <t>57A 與 58A 混用會使電文送往錯誤的帳戶行，款項落在非預期帳戶。</t>
        </is>
      </c>
      <c r="Q12" s="99" t="n"/>
      <c r="R12" s="100" t="n"/>
      <c r="S12" s="100" t="n"/>
      <c r="T12" s="100" t="n"/>
    </row>
    <row r="13" ht="72" customHeight="1" s="53">
      <c r="A13" s="87" t="inlineStr">
        <is>
          <t>57A-02</t>
        </is>
      </c>
      <c r="B13" s="87" t="inlineStr">
        <is>
          <t>Receiver ≠ Account With</t>
        </is>
      </c>
      <c r="C13" s="101" t="inlineStr">
        <is>
          <t>PENDING APPROVAL — 預期值已備</t>
        </is>
      </c>
      <c r="D13" s="96" t="inlineStr">
        <is>
          <t>OPEN-002</t>
        </is>
      </c>
      <c r="E13" s="87" t="inlineStr">
        <is>
          <t>MT202</t>
        </is>
      </c>
      <c r="F13" s="62" t="inlineStr">
        <is>
          <t>不套用情境；檢視 MT 分頁 5x Tags</t>
        </is>
      </c>
      <c r="G13" s="87" t="inlineStr">
        <is>
          <t>(BNPAFRPP)</t>
        </is>
      </c>
      <c r="H13" s="96" t="inlineStr">
        <is>
          <t>CNY</t>
        </is>
      </c>
      <c r="I13" s="87" t="inlineStr">
        <is>
          <t>SSI-DEMO-019</t>
        </is>
      </c>
      <c r="J13" s="103" t="inlineStr">
        <is>
          <t>VIA</t>
        </is>
      </c>
      <c r="K13" s="87" t="inlineStr">
        <is>
          <t>COUNTERPARTY_SSI</t>
        </is>
      </c>
      <c r="L13" s="87" t="inlineStr">
        <is>
          <t>RESOLVED</t>
        </is>
      </c>
      <c r="M13" s="98" t="n">
        <v>200</v>
      </c>
      <c r="N13" s="87" t="inlineStr">
        <is>
          <t>SSI_RESOLVED</t>
        </is>
      </c>
      <c r="O13" s="62" t="inlineStr">
        <is>
          <t>本組為「經由第三行」路由：accountWithBic=actualReceiverBic=BKCHCNBJ，而 beneficiaryBic=BNPAFRPP。須確認 57A 的內容為 BKCHCNBJ（帳戶行），58A 為 BNPAFRPP（受益機構），兩者不得互換或合併。註：本資料集 26 筆的 accountWithBic 與 actualReceiverBic 恆相等，故 MTMX-57A-01 的省略條件恆成立；本案驗的是 57A／58A 的「內容正確」而非「是否省略」。</t>
        </is>
      </c>
      <c r="P13" s="87" t="inlineStr">
        <is>
          <t>57A 與 58A 混用會使電文送往錯誤的帳戶行，款項落在非預期帳戶。</t>
        </is>
      </c>
      <c r="Q13" s="99" t="n"/>
      <c r="R13" s="100" t="n"/>
      <c r="S13" s="100" t="n"/>
      <c r="T13" s="100" t="n"/>
    </row>
    <row r="14" ht="72" customHeight="1" s="53">
      <c r="A14" s="87" t="inlineStr">
        <is>
          <t>57A-03</t>
        </is>
      </c>
      <c r="B14" s="87" t="inlineStr">
        <is>
          <t>Receiver ≠ Account With</t>
        </is>
      </c>
      <c r="C14" s="101" t="inlineStr">
        <is>
          <t>PENDING APPROVAL — 預期值已備</t>
        </is>
      </c>
      <c r="D14" s="96" t="inlineStr">
        <is>
          <t>OPEN-002</t>
        </is>
      </c>
      <c r="E14" s="87" t="inlineStr">
        <is>
          <t>MT202</t>
        </is>
      </c>
      <c r="F14" s="62" t="inlineStr">
        <is>
          <t>不套用情境；檢視 MT 分頁 5x Tags</t>
        </is>
      </c>
      <c r="G14" s="87" t="inlineStr">
        <is>
          <t>(BOFAUS3N)</t>
        </is>
      </c>
      <c r="H14" s="96" t="inlineStr">
        <is>
          <t>AUD</t>
        </is>
      </c>
      <c r="I14" s="87" t="inlineStr">
        <is>
          <t>SSI-DEMO-013</t>
        </is>
      </c>
      <c r="J14" s="103" t="inlineStr">
        <is>
          <t>VIA</t>
        </is>
      </c>
      <c r="K14" s="87" t="inlineStr">
        <is>
          <t>COUNTERPARTY_SSI</t>
        </is>
      </c>
      <c r="L14" s="87" t="inlineStr">
        <is>
          <t>RESOLVED</t>
        </is>
      </c>
      <c r="M14" s="98" t="n">
        <v>200</v>
      </c>
      <c r="N14" s="87" t="inlineStr">
        <is>
          <t>SSI_RESOLVED</t>
        </is>
      </c>
      <c r="O14" s="62" t="inlineStr">
        <is>
          <t>本組為「經由第三行」路由：accountWithBic=actualReceiverBic=CTBAAU2S，而 beneficiaryBic=BOFAUS3N。須確認 57A 的內容為 CTBAAU2S（帳戶行），58A 為 BOFAUS3N（受益機構），兩者不得互換或合併。註：本資料集 26 筆的 accountWithBic 與 actualReceiverBic 恆相等，故 MTMX-57A-01 的省略條件恆成立；本案驗的是 57A／58A 的「內容正確」而非「是否省略」。</t>
        </is>
      </c>
      <c r="P14" s="87" t="inlineStr">
        <is>
          <t>57A 與 58A 混用會使電文送往錯誤的帳戶行，款項落在非預期帳戶。</t>
        </is>
      </c>
      <c r="Q14" s="99" t="n"/>
      <c r="R14" s="100" t="n"/>
      <c r="S14" s="100" t="n"/>
      <c r="T14" s="100" t="n"/>
    </row>
    <row r="15" ht="72" customHeight="1" s="53">
      <c r="A15" s="87" t="inlineStr">
        <is>
          <t>57A-04</t>
        </is>
      </c>
      <c r="B15" s="87" t="inlineStr">
        <is>
          <t>Receiver ≠ Account With</t>
        </is>
      </c>
      <c r="C15" s="101" t="inlineStr">
        <is>
          <t>PENDING APPROVAL — 預期值已備</t>
        </is>
      </c>
      <c r="D15" s="96" t="inlineStr">
        <is>
          <t>OPEN-002</t>
        </is>
      </c>
      <c r="E15" s="87" t="inlineStr">
        <is>
          <t>MT202</t>
        </is>
      </c>
      <c r="F15" s="62" t="inlineStr">
        <is>
          <t>不套用情境；檢視 MT 分頁 5x Tags</t>
        </is>
      </c>
      <c r="G15" s="87" t="inlineStr">
        <is>
          <t>(CHASUS33)</t>
        </is>
      </c>
      <c r="H15" s="96" t="inlineStr">
        <is>
          <t>CAD</t>
        </is>
      </c>
      <c r="I15" s="87" t="inlineStr">
        <is>
          <t>SSI-DEMO-015</t>
        </is>
      </c>
      <c r="J15" s="103" t="inlineStr">
        <is>
          <t>VIA</t>
        </is>
      </c>
      <c r="K15" s="87" t="inlineStr">
        <is>
          <t>COUNTERPARTY_SSI</t>
        </is>
      </c>
      <c r="L15" s="87" t="inlineStr">
        <is>
          <t>RESOLVED</t>
        </is>
      </c>
      <c r="M15" s="98" t="n">
        <v>200</v>
      </c>
      <c r="N15" s="87" t="inlineStr">
        <is>
          <t>SSI_RESOLVED</t>
        </is>
      </c>
      <c r="O15" s="62" t="inlineStr">
        <is>
          <t>本組為「經由第三行」路由：accountWithBic=actualReceiverBic=ROYCCAT2，而 beneficiaryBic=CHASUS33。須確認 57A 的內容為 ROYCCAT2（帳戶行），58A 為 CHASUS33（受益機構），兩者不得互換或合併。註：本資料集 26 筆的 accountWithBic 與 actualReceiverBic 恆相等，故 MTMX-57A-01 的省略條件恆成立；本案驗的是 57A／58A 的「內容正確」而非「是否省略」。</t>
        </is>
      </c>
      <c r="P15" s="87" t="inlineStr">
        <is>
          <t>57A 與 58A 混用會使電文送往錯誤的帳戶行，款項落在非預期帳戶。</t>
        </is>
      </c>
      <c r="Q15" s="99" t="n"/>
      <c r="R15" s="100" t="n"/>
      <c r="S15" s="100" t="n"/>
      <c r="T15" s="100" t="n"/>
    </row>
    <row r="16" ht="72" customHeight="1" s="53">
      <c r="A16" s="87" t="inlineStr">
        <is>
          <t>57A-05</t>
        </is>
      </c>
      <c r="B16" s="87" t="inlineStr">
        <is>
          <t>Receiver ≠ Account With</t>
        </is>
      </c>
      <c r="C16" s="101" t="inlineStr">
        <is>
          <t>PENDING APPROVAL — 預期值已備</t>
        </is>
      </c>
      <c r="D16" s="96" t="inlineStr">
        <is>
          <t>OPEN-002</t>
        </is>
      </c>
      <c r="E16" s="87" t="inlineStr">
        <is>
          <t>MT202</t>
        </is>
      </c>
      <c r="F16" s="62" t="inlineStr">
        <is>
          <t>不套用情境；檢視 MT 分頁 5x Tags</t>
        </is>
      </c>
      <c r="G16" s="87" t="inlineStr">
        <is>
          <t>(CHASUS33)</t>
        </is>
      </c>
      <c r="H16" s="96" t="inlineStr">
        <is>
          <t>USD</t>
        </is>
      </c>
      <c r="I16" s="87" t="inlineStr">
        <is>
          <t>SSI-DEMO-021</t>
        </is>
      </c>
      <c r="J16" s="103" t="inlineStr">
        <is>
          <t>VIA</t>
        </is>
      </c>
      <c r="K16" s="87" t="inlineStr">
        <is>
          <t>COUNTERPARTY_SSI</t>
        </is>
      </c>
      <c r="L16" s="87" t="inlineStr">
        <is>
          <t>RESOLVED</t>
        </is>
      </c>
      <c r="M16" s="98" t="n">
        <v>200</v>
      </c>
      <c r="N16" s="87" t="inlineStr">
        <is>
          <t>SSI_RESOLVED</t>
        </is>
      </c>
      <c r="O16" s="62" t="inlineStr">
        <is>
          <t>本組為「經由第三行」路由：accountWithBic=actualReceiverBic=CITIUS33，而 beneficiaryBic=CHASUS33。須確認 57A 的內容為 CITIUS33（帳戶行），58A 為 CHASUS33（受益機構），兩者不得互換或合併。註：本資料集 26 筆的 accountWithBic 與 actualReceiverBic 恆相等，故 MTMX-57A-01 的省略條件恆成立；本案驗的是 57A／58A 的「內容正確」而非「是否省略」。</t>
        </is>
      </c>
      <c r="P16" s="87" t="inlineStr">
        <is>
          <t>57A 與 58A 混用會使電文送往錯誤的帳戶行，款項落在非預期帳戶。</t>
        </is>
      </c>
      <c r="Q16" s="99" t="n"/>
      <c r="R16" s="100" t="n"/>
      <c r="S16" s="100" t="n"/>
      <c r="T16" s="100" t="n"/>
    </row>
    <row r="17" ht="72" customHeight="1" s="53">
      <c r="A17" s="87" t="inlineStr">
        <is>
          <t>57A-06</t>
        </is>
      </c>
      <c r="B17" s="87" t="inlineStr">
        <is>
          <t>Receiver ≠ Account With</t>
        </is>
      </c>
      <c r="C17" s="101" t="inlineStr">
        <is>
          <t>PENDING APPROVAL — 預期值已備</t>
        </is>
      </c>
      <c r="D17" s="96" t="inlineStr">
        <is>
          <t>OPEN-002</t>
        </is>
      </c>
      <c r="E17" s="87" t="inlineStr">
        <is>
          <t>MT202</t>
        </is>
      </c>
      <c r="F17" s="62" t="inlineStr">
        <is>
          <t>不套用情境；檢視 MT 分頁 5x Tags</t>
        </is>
      </c>
      <c r="G17" s="87" t="inlineStr">
        <is>
          <t>(SCBLGB2L)</t>
        </is>
      </c>
      <c r="H17" s="96" t="inlineStr">
        <is>
          <t>CHF</t>
        </is>
      </c>
      <c r="I17" s="87" t="inlineStr">
        <is>
          <t>SSI-DEMO-017</t>
        </is>
      </c>
      <c r="J17" s="103" t="inlineStr">
        <is>
          <t>VIA</t>
        </is>
      </c>
      <c r="K17" s="87" t="inlineStr">
        <is>
          <t>COUNTERPARTY_SSI</t>
        </is>
      </c>
      <c r="L17" s="87" t="inlineStr">
        <is>
          <t>RESOLVED</t>
        </is>
      </c>
      <c r="M17" s="98" t="n">
        <v>200</v>
      </c>
      <c r="N17" s="87" t="inlineStr">
        <is>
          <t>SSI_RESOLVED</t>
        </is>
      </c>
      <c r="O17" s="62" t="inlineStr">
        <is>
          <t>本組為「經由第三行」路由：accountWithBic=actualReceiverBic=UBSWCHZH80A，而 beneficiaryBic=SCBLGB2L。須確認 57A 的內容為 UBSWCHZH80A（帳戶行），58A 為 SCBLGB2L（受益機構），兩者不得互換或合併。註：本資料集 26 筆的 accountWithBic 與 actualReceiverBic 恆相等，故 MTMX-57A-01 的省略條件恆成立；本案驗的是 57A／58A 的「內容正確」而非「是否省略」。</t>
        </is>
      </c>
      <c r="P17" s="87" t="inlineStr">
        <is>
          <t>57A 與 58A 混用會使電文送往錯誤的帳戶行，款項落在非預期帳戶。</t>
        </is>
      </c>
      <c r="Q17" s="99" t="n"/>
      <c r="R17" s="100" t="n"/>
      <c r="S17" s="100" t="n"/>
      <c r="T17" s="100" t="n"/>
    </row>
    <row r="18" ht="72" customHeight="1" s="53">
      <c r="A18" s="87" t="inlineStr">
        <is>
          <t>PROV-00</t>
        </is>
      </c>
      <c r="B18" s="87" t="inlineStr">
        <is>
          <t>agent provenance（SAME-BIC 控制組）</t>
        </is>
      </c>
      <c r="C18" s="101" t="inlineStr">
        <is>
          <t>PENDING APPROVAL — 預期值已備</t>
        </is>
      </c>
      <c r="D18" s="96" t="inlineStr">
        <is>
          <t>OPEN-002</t>
        </is>
      </c>
      <c r="E18" s="87" t="inlineStr">
        <is>
          <t>MT202</t>
        </is>
      </c>
      <c r="F18" s="62" t="inlineStr">
        <is>
          <t>不套用情境；讀原始 JSON，不以截圖比對</t>
        </is>
      </c>
      <c r="G18" s="87" t="inlineStr">
        <is>
          <t>CITIUS33</t>
        </is>
      </c>
      <c r="H18" s="96" t="inlineStr">
        <is>
          <t>USD</t>
        </is>
      </c>
      <c r="I18" s="87" t="inlineStr">
        <is>
          <t>SSI-DEMO-001</t>
        </is>
      </c>
      <c r="J18" s="102" t="inlineStr">
        <is>
          <t>SAME</t>
        </is>
      </c>
      <c r="K18" s="87" t="inlineStr">
        <is>
          <t>COUNTERPARTY_SSI</t>
        </is>
      </c>
      <c r="L18" s="87" t="inlineStr">
        <is>
          <t>RESOLVED</t>
        </is>
      </c>
      <c r="M18" s="98" t="n">
        <v>200</v>
      </c>
      <c r="N18" s="87" t="inlineStr">
        <is>
          <t>SSI_RESOLVED</t>
        </is>
      </c>
      <c r="O18" s="62" t="inlineStr">
        <is>
          <t>控制組：本組 actualReceiverBic 等於 counterpartyBic，DEF-001 即使存在也不會現形。本案預期 PASS，但其通過不得計入 provenance 有效覆蓋。</t>
        </is>
      </c>
      <c r="P18" s="62" t="inlineStr">
        <is>
          <t>若只測本類案例，會在缺陷仍存在時得到 100% 通過。</t>
        </is>
      </c>
      <c r="Q18" s="99" t="n"/>
      <c r="R18" s="100" t="n"/>
      <c r="S18" s="100" t="n"/>
      <c r="T18" s="100" t="n"/>
    </row>
    <row r="19" ht="72" customHeight="1" s="53">
      <c r="A19" s="87" t="inlineStr">
        <is>
          <t>PROV-01</t>
        </is>
      </c>
      <c r="B19" s="87" t="inlineStr">
        <is>
          <t>agent provenance（VIA-BIC 曝險組）</t>
        </is>
      </c>
      <c r="C19" s="101" t="inlineStr">
        <is>
          <t>PENDING APPROVAL — 預期值已備</t>
        </is>
      </c>
      <c r="D19" s="96" t="inlineStr">
        <is>
          <t>OPEN-002</t>
        </is>
      </c>
      <c r="E19" s="87" t="inlineStr">
        <is>
          <t>MT202</t>
        </is>
      </c>
      <c r="F19" s="62" t="inlineStr">
        <is>
          <t>不套用情境；讀原始 JSON，不以截圖比對</t>
        </is>
      </c>
      <c r="G19" s="87" t="inlineStr">
        <is>
          <t>BARCGB22</t>
        </is>
      </c>
      <c r="H19" s="96" t="inlineStr">
        <is>
          <t>USD</t>
        </is>
      </c>
      <c r="I19" s="87" t="inlineStr">
        <is>
          <t>SSI-DEMO-024</t>
        </is>
      </c>
      <c r="J19" s="103" t="inlineStr">
        <is>
          <t>VIA</t>
        </is>
      </c>
      <c r="K19" s="87" t="inlineStr">
        <is>
          <t>COUNTERPARTY_SSI</t>
        </is>
      </c>
      <c r="L19" s="87" t="inlineStr">
        <is>
          <t>RESOLVED</t>
        </is>
      </c>
      <c r="M19" s="98" t="n">
        <v>200</v>
      </c>
      <c r="N19" s="87" t="inlineStr">
        <is>
          <t>SSI_RESOLVED</t>
        </is>
      </c>
      <c r="O19" s="62" t="inlineStr">
        <is>
          <t>逐欄斷言：每個角色的值必須等於其 roleProvenance 宣告之 sourceField 在 chosen SSI 上的實際值。本組 instructedAgent 應為 CITIUS33（= actualReceiverBic），**不得為 BARCGB22（= counterpartyBic）**。並須確認 SttlmMtd=INDA 時，SttlmAcct 所屬 Nostro 的 accountServicerBic 等於 instructedAgent。</t>
        </is>
      </c>
      <c r="P19" s="87" t="inlineStr">
        <is>
          <t>instructedAgent 取錯會使 MT202 送往錯誤收報行，且與 INDA 宣告的帳戶持有行不一致。</t>
        </is>
      </c>
      <c r="Q19" s="99" t="n"/>
      <c r="R19" s="100" t="n"/>
      <c r="S19" s="100" t="n"/>
      <c r="T19" s="100" t="n"/>
    </row>
    <row r="20" ht="72" customHeight="1" s="53">
      <c r="A20" s="87" t="inlineStr">
        <is>
          <t>PROV-02</t>
        </is>
      </c>
      <c r="B20" s="87" t="inlineStr">
        <is>
          <t>agent provenance（VIA-BIC 曝險組）</t>
        </is>
      </c>
      <c r="C20" s="101" t="inlineStr">
        <is>
          <t>PENDING APPROVAL — 預期值已備</t>
        </is>
      </c>
      <c r="D20" s="96" t="inlineStr">
        <is>
          <t>OPEN-002</t>
        </is>
      </c>
      <c r="E20" s="87" t="inlineStr">
        <is>
          <t>MT202</t>
        </is>
      </c>
      <c r="F20" s="62" t="inlineStr">
        <is>
          <t>不套用情境；讀原始 JSON，不以截圖比對</t>
        </is>
      </c>
      <c r="G20" s="87" t="inlineStr">
        <is>
          <t>BNPAFRPP</t>
        </is>
      </c>
      <c r="H20" s="96" t="inlineStr">
        <is>
          <t>CNY</t>
        </is>
      </c>
      <c r="I20" s="87" t="inlineStr">
        <is>
          <t>SSI-DEMO-019</t>
        </is>
      </c>
      <c r="J20" s="103" t="inlineStr">
        <is>
          <t>VIA</t>
        </is>
      </c>
      <c r="K20" s="87" t="inlineStr">
        <is>
          <t>COUNTERPARTY_SSI</t>
        </is>
      </c>
      <c r="L20" s="87" t="inlineStr">
        <is>
          <t>RESOLVED</t>
        </is>
      </c>
      <c r="M20" s="98" t="n">
        <v>200</v>
      </c>
      <c r="N20" s="87" t="inlineStr">
        <is>
          <t>SSI_RESOLVED</t>
        </is>
      </c>
      <c r="O20" s="62" t="inlineStr">
        <is>
          <t>逐欄斷言：每個角色的值必須等於其 roleProvenance 宣告之 sourceField 在 chosen SSI 上的實際值。本組 instructedAgent 應為 BKCHCNBJ（= actualReceiverBic），**不得為 BNPAFRPP（= counterpartyBic）**。並須確認 SttlmMtd=INDA 時，SttlmAcct 所屬 Nostro 的 accountServicerBic 等於 instructedAgent。</t>
        </is>
      </c>
      <c r="P20" s="87" t="inlineStr">
        <is>
          <t>instructedAgent 取錯會使 MT202 送往錯誤收報行，且與 INDA 宣告的帳戶持有行不一致。</t>
        </is>
      </c>
      <c r="Q20" s="99" t="n"/>
      <c r="R20" s="100" t="n"/>
      <c r="S20" s="100" t="n"/>
      <c r="T20" s="100" t="n"/>
    </row>
    <row r="21" ht="72" customHeight="1" s="53">
      <c r="A21" s="87" t="inlineStr">
        <is>
          <t>PROV-03</t>
        </is>
      </c>
      <c r="B21" s="87" t="inlineStr">
        <is>
          <t>agent provenance（VIA-BIC 曝險組）</t>
        </is>
      </c>
      <c r="C21" s="101" t="inlineStr">
        <is>
          <t>PENDING APPROVAL — 預期值已備</t>
        </is>
      </c>
      <c r="D21" s="96" t="inlineStr">
        <is>
          <t>OPEN-002</t>
        </is>
      </c>
      <c r="E21" s="87" t="inlineStr">
        <is>
          <t>MT202</t>
        </is>
      </c>
      <c r="F21" s="62" t="inlineStr">
        <is>
          <t>不套用情境；讀原始 JSON，不以截圖比對</t>
        </is>
      </c>
      <c r="G21" s="87" t="inlineStr">
        <is>
          <t>BOFAUS3N</t>
        </is>
      </c>
      <c r="H21" s="96" t="inlineStr">
        <is>
          <t>AUD</t>
        </is>
      </c>
      <c r="I21" s="87" t="inlineStr">
        <is>
          <t>SSI-DEMO-013</t>
        </is>
      </c>
      <c r="J21" s="103" t="inlineStr">
        <is>
          <t>VIA</t>
        </is>
      </c>
      <c r="K21" s="87" t="inlineStr">
        <is>
          <t>COUNTERPARTY_SSI</t>
        </is>
      </c>
      <c r="L21" s="87" t="inlineStr">
        <is>
          <t>RESOLVED</t>
        </is>
      </c>
      <c r="M21" s="98" t="n">
        <v>200</v>
      </c>
      <c r="N21" s="87" t="inlineStr">
        <is>
          <t>SSI_RESOLVED</t>
        </is>
      </c>
      <c r="O21" s="62" t="inlineStr">
        <is>
          <t>逐欄斷言：每個角色的值必須等於其 roleProvenance 宣告之 sourceField 在 chosen SSI 上的實際值。本組 instructedAgent 應為 CTBAAU2S（= actualReceiverBic），**不得為 BOFAUS3N（= counterpartyBic）**。並須確認 SttlmMtd=INDA 時，SttlmAcct 所屬 Nostro 的 accountServicerBic 等於 instructedAgent。</t>
        </is>
      </c>
      <c r="P21" s="87" t="inlineStr">
        <is>
          <t>instructedAgent 取錯會使 MT202 送往錯誤收報行，且與 INDA 宣告的帳戶持有行不一致。</t>
        </is>
      </c>
      <c r="Q21" s="99" t="n"/>
      <c r="R21" s="100" t="n"/>
      <c r="S21" s="100" t="n"/>
      <c r="T21" s="100" t="n"/>
    </row>
    <row r="22" ht="72" customHeight="1" s="53">
      <c r="A22" s="87" t="inlineStr">
        <is>
          <t>PROV-04</t>
        </is>
      </c>
      <c r="B22" s="87" t="inlineStr">
        <is>
          <t>agent provenance（VIA-BIC 曝險組）</t>
        </is>
      </c>
      <c r="C22" s="101" t="inlineStr">
        <is>
          <t>PENDING APPROVAL — 預期值已備</t>
        </is>
      </c>
      <c r="D22" s="96" t="inlineStr">
        <is>
          <t>OPEN-002</t>
        </is>
      </c>
      <c r="E22" s="87" t="inlineStr">
        <is>
          <t>MT202</t>
        </is>
      </c>
      <c r="F22" s="62" t="inlineStr">
        <is>
          <t>不套用情境；讀原始 JSON，不以截圖比對</t>
        </is>
      </c>
      <c r="G22" s="87" t="inlineStr">
        <is>
          <t>CHASUS33</t>
        </is>
      </c>
      <c r="H22" s="96" t="inlineStr">
        <is>
          <t>CAD</t>
        </is>
      </c>
      <c r="I22" s="87" t="inlineStr">
        <is>
          <t>SSI-DEMO-015</t>
        </is>
      </c>
      <c r="J22" s="103" t="inlineStr">
        <is>
          <t>VIA</t>
        </is>
      </c>
      <c r="K22" s="87" t="inlineStr">
        <is>
          <t>COUNTERPARTY_SSI</t>
        </is>
      </c>
      <c r="L22" s="87" t="inlineStr">
        <is>
          <t>RESOLVED</t>
        </is>
      </c>
      <c r="M22" s="98" t="n">
        <v>200</v>
      </c>
      <c r="N22" s="87" t="inlineStr">
        <is>
          <t>SSI_RESOLVED</t>
        </is>
      </c>
      <c r="O22" s="62" t="inlineStr">
        <is>
          <t>逐欄斷言：每個角色的值必須等於其 roleProvenance 宣告之 sourceField 在 chosen SSI 上的實際值。本組 instructedAgent 應為 ROYCCAT2（= actualReceiverBic），**不得為 CHASUS33（= counterpartyBic）**。並須確認 SttlmMtd=INDA 時，SttlmAcct 所屬 Nostro 的 accountServicerBic 等於 instructedAgent。</t>
        </is>
      </c>
      <c r="P22" s="87" t="inlineStr">
        <is>
          <t>instructedAgent 取錯會使 MT202 送往錯誤收報行，且與 INDA 宣告的帳戶持有行不一致。</t>
        </is>
      </c>
      <c r="Q22" s="99" t="n"/>
      <c r="R22" s="100" t="n"/>
      <c r="S22" s="100" t="n"/>
      <c r="T22" s="100" t="n"/>
    </row>
    <row r="23" ht="72" customHeight="1" s="53">
      <c r="A23" s="87" t="inlineStr">
        <is>
          <t>PROV-05</t>
        </is>
      </c>
      <c r="B23" s="87" t="inlineStr">
        <is>
          <t>agent provenance（VIA-BIC 曝險組）</t>
        </is>
      </c>
      <c r="C23" s="101" t="inlineStr">
        <is>
          <t>PENDING APPROVAL — 預期值已備</t>
        </is>
      </c>
      <c r="D23" s="96" t="inlineStr">
        <is>
          <t>OPEN-002</t>
        </is>
      </c>
      <c r="E23" s="87" t="inlineStr">
        <is>
          <t>MT202</t>
        </is>
      </c>
      <c r="F23" s="62" t="inlineStr">
        <is>
          <t>不套用情境；讀原始 JSON，不以截圖比對</t>
        </is>
      </c>
      <c r="G23" s="87" t="inlineStr">
        <is>
          <t>CHASUS33</t>
        </is>
      </c>
      <c r="H23" s="96" t="inlineStr">
        <is>
          <t>USD</t>
        </is>
      </c>
      <c r="I23" s="87" t="inlineStr">
        <is>
          <t>SSI-DEMO-021</t>
        </is>
      </c>
      <c r="J23" s="103" t="inlineStr">
        <is>
          <t>VIA</t>
        </is>
      </c>
      <c r="K23" s="87" t="inlineStr">
        <is>
          <t>COUNTERPARTY_SSI</t>
        </is>
      </c>
      <c r="L23" s="87" t="inlineStr">
        <is>
          <t>RESOLVED</t>
        </is>
      </c>
      <c r="M23" s="98" t="n">
        <v>200</v>
      </c>
      <c r="N23" s="87" t="inlineStr">
        <is>
          <t>SSI_RESOLVED</t>
        </is>
      </c>
      <c r="O23" s="62" t="inlineStr">
        <is>
          <t>逐欄斷言：每個角色的值必須等於其 roleProvenance 宣告之 sourceField 在 chosen SSI 上的實際值。本組 instructedAgent 應為 CITIUS33（= actualReceiverBic），**不得為 CHASUS33（= counterpartyBic）**。並須確認 SttlmMtd=INDA 時，SttlmAcct 所屬 Nostro 的 accountServicerBic 等於 instructedAgent。</t>
        </is>
      </c>
      <c r="P23" s="87" t="inlineStr">
        <is>
          <t>instructedAgent 取錯會使 MT202 送往錯誤收報行，且與 INDA 宣告的帳戶持有行不一致。</t>
        </is>
      </c>
      <c r="Q23" s="99" t="n"/>
      <c r="R23" s="100" t="n"/>
      <c r="S23" s="100" t="n"/>
      <c r="T23" s="100" t="n"/>
    </row>
    <row r="24" ht="72" customHeight="1" s="53">
      <c r="A24" s="87" t="inlineStr">
        <is>
          <t>PROV-06</t>
        </is>
      </c>
      <c r="B24" s="87" t="inlineStr">
        <is>
          <t>agent provenance（VIA-BIC 曝險組）</t>
        </is>
      </c>
      <c r="C24" s="101" t="inlineStr">
        <is>
          <t>PENDING APPROVAL — 預期值已備</t>
        </is>
      </c>
      <c r="D24" s="96" t="inlineStr">
        <is>
          <t>OPEN-002</t>
        </is>
      </c>
      <c r="E24" s="87" t="inlineStr">
        <is>
          <t>MT202</t>
        </is>
      </c>
      <c r="F24" s="62" t="inlineStr">
        <is>
          <t>不套用情境；讀原始 JSON，不以截圖比對</t>
        </is>
      </c>
      <c r="G24" s="87" t="inlineStr">
        <is>
          <t>SCBLGB2L</t>
        </is>
      </c>
      <c r="H24" s="96" t="inlineStr">
        <is>
          <t>CHF</t>
        </is>
      </c>
      <c r="I24" s="87" t="inlineStr">
        <is>
          <t>SSI-DEMO-017</t>
        </is>
      </c>
      <c r="J24" s="103" t="inlineStr">
        <is>
          <t>VIA</t>
        </is>
      </c>
      <c r="K24" s="87" t="inlineStr">
        <is>
          <t>COUNTERPARTY_SSI</t>
        </is>
      </c>
      <c r="L24" s="87" t="inlineStr">
        <is>
          <t>RESOLVED</t>
        </is>
      </c>
      <c r="M24" s="98" t="n">
        <v>200</v>
      </c>
      <c r="N24" s="87" t="inlineStr">
        <is>
          <t>SSI_RESOLVED</t>
        </is>
      </c>
      <c r="O24" s="62" t="inlineStr">
        <is>
          <t>逐欄斷言：每個角色的值必須等於其 roleProvenance 宣告之 sourceField 在 chosen SSI 上的實際值。本組 instructedAgent 應為 UBSWCHZH80A（= actualReceiverBic），**不得為 SCBLGB2L（= counterpartyBic）**。並須確認 SttlmMtd=INDA 時，SttlmAcct 所屬 Nostro 的 accountServicerBic 等於 instructedAgent。</t>
        </is>
      </c>
      <c r="P24" s="87" t="inlineStr">
        <is>
          <t>instructedAgent 取錯會使 MT202 送往錯誤收報行，且與 INDA 宣告的帳戶持有行不一致。</t>
        </is>
      </c>
      <c r="Q24" s="99" t="n"/>
      <c r="R24" s="100" t="n"/>
      <c r="S24" s="100" t="n"/>
      <c r="T24" s="100" t="n"/>
    </row>
    <row r="25" ht="15" customHeight="1" s="53">
      <c r="A25" s="55" t="n"/>
      <c r="B25" s="55" t="n"/>
      <c r="C25" s="55" t="n"/>
      <c r="D25" s="55" t="n"/>
      <c r="E25" s="55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  <c r="O25" s="55" t="n"/>
      <c r="P25" s="55" t="n"/>
      <c r="Q25" s="55" t="n"/>
      <c r="R25" s="55" t="n"/>
      <c r="S25" s="55" t="n"/>
      <c r="T25" s="55" t="n"/>
    </row>
    <row r="26" ht="15" customHeight="1" s="53">
      <c r="A26" s="65" t="inlineStr">
        <is>
          <t>彙總（自動計算）</t>
        </is>
      </c>
      <c r="B26" s="55" t="n"/>
      <c r="C26" s="55" t="n"/>
      <c r="D26" s="55" t="n"/>
      <c r="E26" s="55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  <c r="O26" s="55" t="n"/>
      <c r="P26" s="55" t="n"/>
      <c r="Q26" s="55" t="n"/>
      <c r="R26" s="55" t="n"/>
      <c r="S26" s="55" t="n"/>
      <c r="T26" s="55" t="n"/>
    </row>
    <row r="27" ht="17.15" customHeight="1" s="53">
      <c r="A27" s="68" t="inlineStr">
        <is>
          <t>v15.2 新增案例總數</t>
        </is>
      </c>
      <c r="B27" s="104">
        <f>COUNTA($A$5:$A$24)</f>
        <v/>
      </c>
      <c r="C27" s="55" t="n"/>
      <c r="D27" s="55" t="n"/>
      <c r="E27" s="55" t="n"/>
      <c r="F27" s="55" t="n"/>
      <c r="G27" s="55" t="n"/>
      <c r="H27" s="55" t="n"/>
      <c r="I27" s="55" t="n"/>
      <c r="J27" s="55" t="n"/>
      <c r="K27" s="55" t="n"/>
      <c r="L27" s="55" t="n"/>
      <c r="M27" s="55" t="n"/>
      <c r="N27" s="55" t="n"/>
      <c r="O27" s="55" t="n"/>
      <c r="P27" s="55" t="n"/>
      <c r="Q27" s="55" t="n"/>
      <c r="R27" s="55" t="n"/>
      <c r="S27" s="55" t="n"/>
      <c r="T27" s="55" t="n"/>
    </row>
    <row r="28" ht="17.15" customHeight="1" s="53">
      <c r="A28" s="68" t="inlineStr">
        <is>
          <t>UNDEFINED — 待 BA 定義</t>
        </is>
      </c>
      <c r="B28" s="104">
        <f>COUNTIF($C$5:$C$24,"UNDEFINED*")</f>
        <v/>
      </c>
      <c r="C28" s="55" t="n"/>
      <c r="D28" s="55" t="n"/>
      <c r="E28" s="55" t="n"/>
      <c r="F28" s="55" t="n"/>
      <c r="G28" s="55" t="n"/>
      <c r="H28" s="55" t="n"/>
      <c r="I28" s="55" t="n"/>
      <c r="J28" s="55" t="n"/>
      <c r="K28" s="55" t="n"/>
      <c r="L28" s="55" t="n"/>
      <c r="M28" s="55" t="n"/>
      <c r="N28" s="55" t="n"/>
      <c r="O28" s="55" t="n"/>
      <c r="P28" s="55" t="n"/>
      <c r="Q28" s="55" t="n"/>
      <c r="R28" s="55" t="n"/>
      <c r="S28" s="55" t="n"/>
      <c r="T28" s="55" t="n"/>
    </row>
    <row r="29" ht="17.15" customHeight="1" s="53">
      <c r="A29" s="68" t="inlineStr">
        <is>
          <t>PENDING APPROVAL — 預期值已備</t>
        </is>
      </c>
      <c r="B29" s="104">
        <f>COUNTIF($C$5:$C$24,"PENDING APPROVAL*")</f>
        <v/>
      </c>
      <c r="C29" s="55" t="n"/>
      <c r="D29" s="55" t="n"/>
      <c r="E29" s="55" t="n"/>
      <c r="F29" s="55" t="n"/>
      <c r="G29" s="55" t="n"/>
      <c r="H29" s="55" t="n"/>
      <c r="I29" s="55" t="n"/>
      <c r="J29" s="55" t="n"/>
      <c r="K29" s="55" t="n"/>
      <c r="L29" s="55" t="n"/>
      <c r="M29" s="55" t="n"/>
      <c r="N29" s="55" t="n"/>
      <c r="O29" s="55" t="n"/>
      <c r="P29" s="55" t="n"/>
      <c r="Q29" s="55" t="n"/>
      <c r="R29" s="55" t="n"/>
      <c r="S29" s="55" t="n"/>
      <c r="T29" s="55" t="n"/>
    </row>
    <row r="30" ht="15" customHeight="1" s="53">
      <c r="A30" s="66" t="inlineStr">
        <is>
          <t>可執行案數（核准前）</t>
        </is>
      </c>
      <c r="B30" s="104">
        <f>0</f>
        <v/>
      </c>
      <c r="C30" s="55" t="n"/>
      <c r="D30" s="55" t="n"/>
      <c r="E30" s="55" t="n"/>
      <c r="F30" s="55" t="n"/>
      <c r="G30" s="55" t="n"/>
      <c r="H30" s="55" t="n"/>
      <c r="I30" s="55" t="n"/>
      <c r="J30" s="55" t="n"/>
      <c r="K30" s="55" t="n"/>
      <c r="L30" s="55" t="n"/>
      <c r="M30" s="55" t="n"/>
      <c r="N30" s="55" t="n"/>
      <c r="O30" s="55" t="n"/>
      <c r="P30" s="55" t="n"/>
      <c r="Q30" s="55" t="n"/>
      <c r="R30" s="55" t="n"/>
      <c r="S30" s="55" t="n"/>
      <c r="T30" s="55" t="n"/>
    </row>
    <row r="31" ht="17.15" customHeight="1" s="53">
      <c r="A31" s="66" t="inlineStr">
        <is>
          <t>計入 48 案分母之案數</t>
        </is>
      </c>
      <c r="B31" s="104">
        <f>0</f>
        <v/>
      </c>
      <c r="C31" s="55" t="n"/>
      <c r="D31" s="55" t="n"/>
      <c r="E31" s="55" t="n"/>
      <c r="F31" s="55" t="n"/>
      <c r="G31" s="55" t="n"/>
      <c r="H31" s="55" t="n"/>
      <c r="I31" s="55" t="n"/>
      <c r="J31" s="55" t="n"/>
      <c r="K31" s="55" t="n"/>
      <c r="L31" s="55" t="n"/>
      <c r="M31" s="55" t="n"/>
      <c r="N31" s="55" t="n"/>
      <c r="O31" s="55" t="n"/>
      <c r="P31" s="55" t="n"/>
      <c r="Q31" s="55" t="n"/>
      <c r="R31" s="55" t="n"/>
      <c r="S31" s="55" t="n"/>
      <c r="T31" s="55" t="n"/>
    </row>
    <row r="32" ht="15" customHeight="1" s="53">
      <c r="A32" s="55" t="n"/>
      <c r="B32" s="55" t="n"/>
      <c r="C32" s="55" t="n"/>
      <c r="D32" s="55" t="n"/>
      <c r="E32" s="55" t="n"/>
      <c r="F32" s="55" t="n"/>
      <c r="G32" s="55" t="n"/>
      <c r="H32" s="55" t="n"/>
      <c r="I32" s="55" t="n"/>
      <c r="J32" s="55" t="n"/>
      <c r="K32" s="55" t="n"/>
      <c r="L32" s="55" t="n"/>
      <c r="M32" s="55" t="n"/>
      <c r="N32" s="55" t="n"/>
      <c r="O32" s="55" t="n"/>
      <c r="P32" s="55" t="n"/>
      <c r="Q32" s="55" t="n"/>
      <c r="R32" s="55" t="n"/>
      <c r="S32" s="55" t="n"/>
      <c r="T32" s="55" t="n"/>
    </row>
    <row r="33" ht="17.15" customHeight="1" s="53">
      <c r="A33" s="93" t="inlineStr">
        <is>
          <t>BA 核准 OPEN-002 後，PENDING APPROVAL 之 15 案可轉為可執行；OPEN-001 關閉後 BOOK-01～05 方能填入預期值。兩者皆需另行決定是否併入正式分母。</t>
        </is>
      </c>
      <c r="B33" s="55" t="n"/>
      <c r="C33" s="55" t="n"/>
      <c r="D33" s="55" t="n"/>
      <c r="E33" s="55" t="n"/>
      <c r="F33" s="55" t="n"/>
      <c r="G33" s="55" t="n"/>
      <c r="H33" s="55" t="n"/>
      <c r="I33" s="55" t="n"/>
      <c r="J33" s="55" t="n"/>
      <c r="K33" s="55" t="n"/>
      <c r="L33" s="55" t="n"/>
      <c r="M33" s="55" t="n"/>
      <c r="N33" s="55" t="n"/>
      <c r="O33" s="55" t="n"/>
      <c r="P33" s="55" t="n"/>
      <c r="Q33" s="55" t="n"/>
      <c r="R33" s="55" t="n"/>
      <c r="S33" s="55" t="n"/>
      <c r="T33" s="5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G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52" min="1" max="1"/>
    <col width="30" customWidth="1" style="52" min="2" max="2"/>
    <col width="14" customWidth="1" style="52" min="3" max="3"/>
    <col width="10" customWidth="1" style="52" min="4" max="4"/>
    <col width="54" customWidth="1" style="52" min="5" max="6"/>
    <col width="30" customWidth="1" style="52" min="7" max="7"/>
  </cols>
  <sheetData>
    <row r="1" ht="23.1" customHeight="1" s="53">
      <c r="A1" s="105" t="inlineStr">
        <is>
          <t>未決項清單 — BLOCKED 列的唯一驅動來源</t>
        </is>
      </c>
      <c r="B1" s="55" t="n"/>
      <c r="C1" s="55" t="n"/>
      <c r="D1" s="55" t="n"/>
      <c r="E1" s="55" t="n"/>
      <c r="F1" s="55" t="n"/>
      <c r="G1" s="55" t="n"/>
    </row>
    <row r="2" ht="17.15" customHeight="1" s="53">
      <c r="A2" s="56" t="inlineStr">
        <is>
          <t>結構性防呆：本表是全檔 BLOCKED 狀態的單一事實來源。任何未決項未關閉前，引用它的列不得填具體預期值、不得執行、不得計入分母。缺陷表與主表不得各自為政。</t>
        </is>
      </c>
      <c r="B2" s="55" t="n"/>
      <c r="C2" s="55" t="n"/>
      <c r="D2" s="55" t="n"/>
      <c r="E2" s="55" t="n"/>
      <c r="F2" s="55" t="n"/>
      <c r="G2" s="55" t="n"/>
    </row>
    <row r="3" ht="15" customHeight="1" s="53">
      <c r="A3" s="55" t="n"/>
      <c r="B3" s="55" t="n"/>
      <c r="C3" s="55" t="n"/>
      <c r="D3" s="55" t="n"/>
      <c r="E3" s="55" t="n"/>
      <c r="F3" s="55" t="n"/>
      <c r="G3" s="55" t="n"/>
    </row>
    <row r="4" ht="33.75" customHeight="1" s="53">
      <c r="A4" s="57" t="inlineStr">
        <is>
          <t>未決項</t>
        </is>
      </c>
      <c r="B4" s="57" t="inlineStr">
        <is>
          <t>標題</t>
        </is>
      </c>
      <c r="C4" s="57" t="inlineStr">
        <is>
          <t>狀態</t>
        </is>
      </c>
      <c r="D4" s="57" t="inlineStr">
        <is>
          <t>裁決者</t>
        </is>
      </c>
      <c r="E4" s="57" t="inlineStr">
        <is>
          <t>已知內容</t>
        </is>
      </c>
      <c r="F4" s="57" t="inlineStr">
        <is>
          <t>尚缺內容</t>
        </is>
      </c>
      <c r="G4" s="57" t="inlineStr">
        <is>
          <t>受影響列</t>
        </is>
      </c>
    </row>
    <row r="5" ht="87.75" customHeight="1" s="53">
      <c r="A5" s="87" t="inlineStr">
        <is>
          <t>OPEN-001</t>
        </is>
      </c>
      <c r="B5" s="87" t="inlineStr">
        <is>
          <t>BOOK-01～05 的案例定義</t>
        </is>
      </c>
      <c r="C5" s="103" t="inlineStr">
        <is>
          <t>OPEN</t>
        </is>
      </c>
      <c r="D5" s="96" t="inlineStr">
        <is>
          <t>BA</t>
        </is>
      </c>
      <c r="E5" s="87" t="inlineStr">
        <is>
          <t>BA 已裁決：BOOK_TRANSFER_SAME_RECEIVER 的 Resolution Domain 為 OWN_SSI_NOSTRO、Counterparty SSI 為 SKIPPED。</t>
        </is>
      </c>
      <c r="F5" s="62" t="inlineStr">
        <is>
          <t>五個案子各自驗什麼；COUNTERPARTY_SSI SKIPPED 的回應 shape（HTTP 碼、code 值、chosenRoute 為 null 或由 OWN_SSI_NOSTRO 填入、roleProvenance 的 source 標記）；被 skip 的案子在驗收公式中算通過、不適用或不計分母。</t>
        </is>
      </c>
      <c r="G5" s="87" t="inlineStr">
        <is>
          <t>BOOK-01～05；情境對照 BOOK_TRANSFER 列；Scenario Behavior SCN-202-01</t>
        </is>
      </c>
    </row>
    <row r="6" ht="87.75" customHeight="1" s="53">
      <c r="A6" s="87" t="inlineStr">
        <is>
          <t>OPEN-002</t>
        </is>
      </c>
      <c r="B6" s="87" t="inlineStr">
        <is>
          <t>generic／57A／provenance 案例之核准</t>
        </is>
      </c>
      <c r="C6" s="103" t="inlineStr">
        <is>
          <t>OPEN</t>
        </is>
      </c>
      <c r="D6" s="96" t="inlineStr">
        <is>
          <t>BA</t>
        </is>
      </c>
      <c r="E6" s="62" t="inlineStr">
        <is>
          <t>預期值已由 post-migration snapshot（52A58C…CEEF6）實測導出，可直接覆核。</t>
        </is>
      </c>
      <c r="F6" s="87" t="inlineStr">
        <is>
          <t>BA 核准與否；核准後是否併入正式 48 案分母，或另立子分母。</t>
        </is>
      </c>
      <c r="G6" s="87" t="inlineStr">
        <is>
          <t>GEN-202-01／02；57A-01～06；PROV-00～06</t>
        </is>
      </c>
    </row>
    <row r="7" ht="87.75" customHeight="1" s="53">
      <c r="A7" s="87" t="inlineStr">
        <is>
          <t>OPEN-003</t>
        </is>
      </c>
      <c r="B7" s="87" t="inlineStr">
        <is>
          <t>DEF-001 的最終處置</t>
        </is>
      </c>
      <c r="C7" s="103" t="inlineStr">
        <is>
          <t>OPEN</t>
        </is>
      </c>
      <c r="D7" s="96" t="inlineStr">
        <is>
          <t>QA / 工程</t>
        </is>
      </c>
      <c r="E7" s="62" t="inlineStr">
        <is>
          <t>已確認 48 案 runner 僅檢查 HTTP、結果碼、幣別、AMBIGUOUS fail-closed shape 與 COV fallback，未逐案比對 agent 值或 provenance，故 48/48 PASS 未涵蓋此面向。</t>
        </is>
      </c>
      <c r="F7" s="87" t="inlineStr">
        <is>
          <t>DEF-001 是已修但未被斷言，或仍存在。須以 GEN-202-02 取原始 JSON 定案，並登錄修正 commit 或維持 OPEN。</t>
        </is>
      </c>
      <c r="G7" s="87" t="inlineStr">
        <is>
          <t>PROV-00～06；GEN-202-02</t>
        </is>
      </c>
    </row>
    <row r="8" ht="87.75" customHeight="1" s="53">
      <c r="A8" s="87" t="inlineStr">
        <is>
          <t>OPEN-004</t>
        </is>
      </c>
      <c r="B8" s="87" t="inlineStr">
        <is>
          <t>48/48 報告的引用範圍</t>
        </is>
      </c>
      <c r="C8" s="103" t="inlineStr">
        <is>
          <t>OPEN</t>
        </is>
      </c>
      <c r="D8" s="96" t="inlineStr">
        <is>
          <t>BA / QA</t>
        </is>
      </c>
      <c r="E8" s="62" t="inlineStr">
        <is>
          <t>該報告產生於 BOOK_TRANSFER blocker 確認之前。</t>
        </is>
      </c>
      <c r="F8" s="62" t="inlineStr">
        <is>
          <t>須明文限縮其適用範圍，並決定是否重跑。Evidence Register 另缺一列 snapshot SHA-256（52A58C…CEEF6），應補登。</t>
        </is>
      </c>
      <c r="G8" s="62" t="inlineStr">
        <is>
          <t>證據與範圍；最終報告 Evidence Register</t>
        </is>
      </c>
    </row>
    <row r="9" ht="87.75" customHeight="1" s="53">
      <c r="A9" s="87" t="inlineStr">
        <is>
          <t>OPEN-005</t>
        </is>
      </c>
      <c r="B9" s="87" t="inlineStr">
        <is>
          <t>BOOK_TRANSFER fixture 的跨幣別問題</t>
        </is>
      </c>
      <c r="C9" s="103" t="inlineStr">
        <is>
          <t>OPEN</t>
        </is>
      </c>
      <c r="D9" s="96" t="inlineStr">
        <is>
          <t>BA</t>
        </is>
      </c>
      <c r="E9" s="62" t="inlineStr">
        <is>
          <t>先前觀察：情境 fixture 借記 OWN-EUR-NOSTRO-002（EUR）、貸記 OWN-USD-NOSTRO-001（USD）。單一 MT202 的 32A／IntrBkSttlmAmt 只能承載單一幣別。</t>
        </is>
      </c>
      <c r="F9" s="62" t="inlineStr">
        <is>
          <t>在 OWN_SSI_NOSTRO 域下該問題是否仍成立，或 fixture 已另行修正。此項由 BA 裁定，本檔不預設立場。</t>
        </is>
      </c>
      <c r="G9" s="87" t="inlineStr">
        <is>
          <t>BOOK-01～05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F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52" min="1" max="1"/>
    <col width="18" customWidth="1" style="52" min="2" max="2"/>
    <col width="34" customWidth="1" style="52" min="3" max="3"/>
    <col width="52" customWidth="1" style="52" min="4" max="4"/>
    <col width="60" customWidth="1" style="52" min="5" max="5"/>
    <col width="44" customWidth="1" style="52" min="6" max="6"/>
  </cols>
  <sheetData>
    <row r="1" ht="23.1" customHeight="1" s="53">
      <c r="A1" s="92" t="inlineStr">
        <is>
          <t>v15.1 → v15.2_DRAFT 變更說明</t>
        </is>
      </c>
      <c r="B1" s="55" t="n"/>
      <c r="C1" s="55" t="n"/>
      <c r="D1" s="55" t="n"/>
      <c r="E1" s="55" t="n"/>
      <c r="F1" s="55" t="n"/>
    </row>
    <row r="2" ht="17.15" customHeight="1" s="53">
      <c r="A2" s="93" t="inlineStr">
        <is>
          <t>48 案主矩陣逐列未動。以下為全部差異。</t>
        </is>
      </c>
      <c r="B2" s="55" t="n"/>
      <c r="C2" s="55" t="n"/>
      <c r="D2" s="55" t="n"/>
      <c r="E2" s="55" t="n"/>
      <c r="F2" s="55" t="n"/>
    </row>
    <row r="3" ht="15" customHeight="1" s="53">
      <c r="A3" s="55" t="n"/>
      <c r="B3" s="55" t="n"/>
      <c r="C3" s="55" t="n"/>
      <c r="D3" s="55" t="n"/>
      <c r="E3" s="55" t="n"/>
      <c r="F3" s="55" t="n"/>
    </row>
    <row r="4" ht="33.75" customHeight="1" s="53">
      <c r="A4" s="94" t="inlineStr">
        <is>
          <t>#</t>
        </is>
      </c>
      <c r="B4" s="57" t="inlineStr">
        <is>
          <t>工作表</t>
        </is>
      </c>
      <c r="C4" s="57" t="inlineStr">
        <is>
          <t>變更</t>
        </is>
      </c>
      <c r="D4" s="57" t="inlineStr">
        <is>
          <t>原內容</t>
        </is>
      </c>
      <c r="E4" s="57" t="inlineStr">
        <is>
          <t>修訂後</t>
        </is>
      </c>
      <c r="F4" s="57" t="inlineStr">
        <is>
          <t>理由</t>
        </is>
      </c>
    </row>
    <row r="5" ht="55.5" customHeight="1" s="53">
      <c r="A5" s="98" t="n">
        <v>1</v>
      </c>
      <c r="B5" s="87" t="inlineStr">
        <is>
          <t>UAT 執行清單</t>
        </is>
      </c>
      <c r="C5" s="62" t="inlineStr">
        <is>
          <t>標題／副標</t>
        </is>
      </c>
      <c r="D5" s="87" t="inlineStr">
        <is>
          <t>v15.1 現行資料 UAT 執行</t>
        </is>
      </c>
      <c r="E5" s="62" t="inlineStr">
        <is>
          <t>標示為 v15.2_DRAFT 候選版；登錄 v15.1 base SHA-256；聲明新增案例另表且不計入分母</t>
        </is>
      </c>
      <c r="F5" s="87" t="inlineStr">
        <is>
          <t>fork 需可追溯至 immutable 基底</t>
        </is>
      </c>
    </row>
    <row r="6" ht="55.5" customHeight="1" s="53">
      <c r="A6" s="98" t="n">
        <v>2</v>
      </c>
      <c r="B6" s="87" t="inlineStr">
        <is>
          <t>UAT 執行清單</t>
        </is>
      </c>
      <c r="C6" s="87" t="inlineStr">
        <is>
          <t>48 案內容</t>
        </is>
      </c>
      <c r="D6" s="87" t="inlineStr">
        <is>
          <t>—</t>
        </is>
      </c>
      <c r="E6" s="62" t="inlineStr">
        <is>
          <t>逐列未動</t>
        </is>
      </c>
      <c r="F6" s="87" t="inlineStr">
        <is>
          <t>BA 裁決：v15.1 保持 immutable</t>
        </is>
      </c>
    </row>
    <row r="7" ht="55.5" customHeight="1" s="53">
      <c r="A7" s="98" t="n">
        <v>3</v>
      </c>
      <c r="B7" s="62" t="inlineStr">
        <is>
          <t>情境對照</t>
        </is>
      </c>
      <c r="C7" s="62" t="inlineStr">
        <is>
          <t>副標前提</t>
        </is>
      </c>
      <c r="D7" s="62" t="inlineStr">
        <is>
          <t>情境影響欄位呈現與 context，不改變 SSI 選取結果。同一組 Counterparty／Currency 下，套用任一情境的 chosen SSI 應完全相同。</t>
        </is>
      </c>
      <c r="E7" s="62" t="inlineStr">
        <is>
          <t>改為：情境可改變 Resolution Domain；原句已撤回</t>
        </is>
      </c>
      <c r="F7" s="62" t="inlineStr">
        <is>
          <t>依該句判讀會在 resolver 正確切換 domain 時開出假缺陷 —— 此為污染整輪 UAT 判讀的錯誤，較預期值錯誤嚴重</t>
        </is>
      </c>
    </row>
    <row r="8" ht="55.5" customHeight="1" s="53">
      <c r="A8" s="98" t="n">
        <v>4</v>
      </c>
      <c r="B8" s="62" t="inlineStr">
        <is>
          <t>情境對照</t>
        </is>
      </c>
      <c r="C8" s="87" t="inlineStr">
        <is>
          <t>BOOK_TRANSFER 列</t>
        </is>
      </c>
      <c r="D8" s="87" t="inlineStr">
        <is>
          <t>57a 省略規則：當 creditorAgent 等於 instructedAgent 時…</t>
        </is>
      </c>
      <c r="E8" s="62" t="inlineStr">
        <is>
          <t>標記 BLOCKED（OPEN-001）；載明 OWN_SSI_NOSTRO + Counterparty SSI SKIPPED；原敘述作廢</t>
        </is>
      </c>
      <c r="F8" s="87" t="inlineStr">
        <is>
          <t>BA 裁決</t>
        </is>
      </c>
    </row>
    <row r="9" ht="55.5" customHeight="1" s="53">
      <c r="A9" s="98" t="n">
        <v>5</v>
      </c>
      <c r="B9" s="87" t="inlineStr">
        <is>
          <t>Scenario Behavior</t>
        </is>
      </c>
      <c r="C9" s="87" t="inlineStr">
        <is>
          <t>SCN-202-01</t>
        </is>
      </c>
      <c r="D9" s="62" t="inlineStr">
        <is>
          <t>驗證同 receiver 的 57a 省略語意與 MT/MX 呈現差異。</t>
        </is>
      </c>
      <c r="E9" s="62" t="inlineStr">
        <is>
          <t>改寫為 OWN_SSI_NOSTRO + SKIPPED，標記 BLOCKED，禁止以 SAME/VIA 對照判讀</t>
        </is>
      </c>
      <c r="F9" s="62" t="inlineStr">
        <is>
          <t>同上；該情境不產生 counterparty agent 角色，對照無意義</t>
        </is>
      </c>
    </row>
    <row r="10" ht="55.5" customHeight="1" s="53">
      <c r="A10" s="98" t="n">
        <v>6</v>
      </c>
      <c r="B10" s="62" t="inlineStr">
        <is>
          <t>證據與範圍</t>
        </is>
      </c>
      <c r="C10" s="62" t="inlineStr">
        <is>
          <t>追加 8 列</t>
        </is>
      </c>
      <c r="D10" s="87" t="inlineStr">
        <is>
          <t>—</t>
        </is>
      </c>
      <c r="E10" s="87" t="inlineStr">
        <is>
          <t>v15.2 狀態、v15.1 base hash/bytes、新增範圍、48/48 報告適用範圍限縮、已知覆蓋缺口、作廢檔案、未決項驅動規則</t>
        </is>
      </c>
      <c r="F10" s="62" t="inlineStr">
        <is>
          <t>證據鏈與範圍界定</t>
        </is>
      </c>
    </row>
    <row r="11" ht="55.5" customHeight="1" s="53">
      <c r="A11" s="98" t="n">
        <v>7</v>
      </c>
      <c r="B11" s="87" t="inlineStr">
        <is>
          <t>v15.2 新增案例</t>
        </is>
      </c>
      <c r="C11" s="62" t="inlineStr">
        <is>
          <t>新表</t>
        </is>
      </c>
      <c r="D11" s="87" t="inlineStr">
        <is>
          <t>—</t>
        </is>
      </c>
      <c r="E11" s="87" t="inlineStr">
        <is>
          <t>20 案：BOOK-01～05、GEN-202-01／02、57A-01～06、PROV-00～06；全部 BLOCKED、不計入分母</t>
        </is>
      </c>
      <c r="F11" s="87" t="inlineStr">
        <is>
          <t>BA 指示新增；核准前不得執行</t>
        </is>
      </c>
    </row>
    <row r="12" ht="55.5" customHeight="1" s="53">
      <c r="A12" s="98" t="n">
        <v>8</v>
      </c>
      <c r="B12" s="62" t="inlineStr">
        <is>
          <t>未決項清單</t>
        </is>
      </c>
      <c r="C12" s="62" t="inlineStr">
        <is>
          <t>新表</t>
        </is>
      </c>
      <c r="D12" s="87" t="inlineStr">
        <is>
          <t>—</t>
        </is>
      </c>
      <c r="E12" s="87" t="inlineStr">
        <is>
          <t>OPEN-001～005，作為全檔 BLOCKED 狀態的單一事實來源</t>
        </is>
      </c>
      <c r="F12" s="62" t="inlineStr">
        <is>
          <t>結構性防呆：前版曾在缺陷表登記「待裁定」卻同時在主表填死預期值，兩處各說各話</t>
        </is>
      </c>
    </row>
    <row r="13" ht="55.5" customHeight="1" s="53">
      <c r="A13" s="98" t="n">
        <v>9</v>
      </c>
      <c r="B13" s="62" t="inlineStr">
        <is>
          <t>變更說明 v15.2</t>
        </is>
      </c>
      <c r="C13" s="62" t="inlineStr">
        <is>
          <t>新表</t>
        </is>
      </c>
      <c r="D13" s="87" t="inlineStr">
        <is>
          <t>—</t>
        </is>
      </c>
      <c r="E13" s="62" t="inlineStr">
        <is>
          <t>本表</t>
        </is>
      </c>
      <c r="F13" s="62" t="inlineStr">
        <is>
          <t>可稽核</t>
        </is>
      </c>
    </row>
    <row r="14" ht="55.5" customHeight="1" s="53">
      <c r="A14" s="98" t="n">
        <v>10</v>
      </c>
      <c r="B14" s="62" t="inlineStr">
        <is>
          <t>全檔</t>
        </is>
      </c>
      <c r="C14" s="62" t="inlineStr">
        <is>
          <t>字型</t>
        </is>
      </c>
      <c r="D14" s="87" t="inlineStr">
        <is>
          <t>Times New Roman 10</t>
        </is>
      </c>
      <c r="E14" s="87" t="inlineStr">
        <is>
          <t>Times New Roman 11</t>
        </is>
      </c>
      <c r="F14" s="62" t="inlineStr">
        <is>
          <t>使用者指定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2026-09-11T06:02:34Z</dcterms:created>
  <dcterms:modified xmlns:dcterms="http://purl.org/dc/terms/" xmlns:xsi="http://www.w3.org/2001/XMLSchema-instance" xsi:type="dcterms:W3CDTF">2026-09-11T09:50:49Z</dcterms:modified>
  <cp:lastModifiedBy>Chris Tseng</cp:lastModifiedBy>
  <cp:revision>0</cp:revision>
</cp:coreProperties>
</file>