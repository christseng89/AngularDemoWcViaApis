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seline_V6_20251231\lc-ssi-wc\qa\uat\"/>
    </mc:Choice>
  </mc:AlternateContent>
  <xr:revisionPtr revIDLastSave="0" documentId="13_ncr:1_{957781E3-93BE-4BC5-9EC8-881F0DE9F730}" xr6:coauthVersionLast="47" xr6:coauthVersionMax="47" xr10:uidLastSave="{00000000-0000-0000-0000-000000000000}"/>
  <bookViews>
    <workbookView xWindow="-93" yWindow="-93" windowWidth="25786" windowHeight="13866" tabRatio="500" activeTab="4" xr2:uid="{00000000-000D-0000-FFFF-FFFF00000000}"/>
  </bookViews>
  <sheets>
    <sheet name="UAT 執行清單" sheetId="1" r:id="rId1"/>
    <sheet name="SSI 候選明細" sheetId="2" r:id="rId2"/>
    <sheet name="輸入指引" sheetId="3" r:id="rId3"/>
    <sheet name="情境對照" sheetId="4" r:id="rId4"/>
    <sheet name="證據與範圍" sheetId="5" r:id="rId5"/>
    <sheet name="UI Fail-Closed" sheetId="6" r:id="rId6"/>
    <sheet name="Scenario Behavior" sheetId="7" r:id="rId7"/>
    <sheet name="v15.2 新增案例" sheetId="8" r:id="rId8"/>
    <sheet name="未決項清單" sheetId="9" r:id="rId9"/>
    <sheet name="變更說明 R6" sheetId="10" r:id="rId10"/>
    <sheet name="變更說明 R7" sheetId="11" r:id="rId11"/>
    <sheet name="變更說明 R8" sheetId="12" r:id="rId12"/>
    <sheet name="變更說明 R9" sheetId="13" r:id="rId13"/>
    <sheet name="變更說明 R10" sheetId="14" r:id="rId14"/>
  </sheets>
  <definedNames>
    <definedName name="_xlnm._FilterDatabase" localSheetId="6" hidden="1">'Scenario Behavior'!$A$1:$E$8</definedName>
    <definedName name="_xlnm._FilterDatabase" localSheetId="0" hidden="1">'UAT 執行清單'!$A$4:$AD$52</definedName>
    <definedName name="_xlnm._FilterDatabase" localSheetId="5" hidden="1">'UI Fail-Closed'!$A$1:$F$5</definedName>
    <definedName name="_xlnm._FilterDatabase" localSheetId="7" hidden="1">'v15.2 新增案例'!$A$4:$AW$24</definedName>
    <definedName name="_xlnm._FilterDatabase" localSheetId="8" hidden="1">未決項清單!$A$4:$G$12</definedName>
    <definedName name="_xlnm._FilterDatabase" localSheetId="12" hidden="1">'變更說明 R9'!$A$4:$E$12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8" l="1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AW24" i="8"/>
  <c r="AT24" i="8" s="1"/>
  <c r="AW23" i="8"/>
  <c r="AT23" i="8" s="1"/>
  <c r="AW22" i="8"/>
  <c r="AT22" i="8" s="1"/>
  <c r="AW21" i="8"/>
  <c r="AT21" i="8" s="1"/>
  <c r="AW20" i="8"/>
  <c r="AT20" i="8" s="1"/>
  <c r="AW19" i="8"/>
  <c r="AT19" i="8" s="1"/>
  <c r="AW18" i="8"/>
  <c r="AT18" i="8" s="1"/>
  <c r="AW17" i="8"/>
  <c r="AT17" i="8" s="1"/>
  <c r="AW16" i="8"/>
  <c r="AT16" i="8" s="1"/>
  <c r="AW15" i="8"/>
  <c r="AT15" i="8" s="1"/>
  <c r="AW14" i="8"/>
  <c r="AT14" i="8" s="1"/>
  <c r="AW13" i="8"/>
  <c r="AT13" i="8" s="1"/>
  <c r="AW12" i="8"/>
  <c r="AT12" i="8" s="1"/>
  <c r="AW11" i="8"/>
  <c r="AT11" i="8" s="1"/>
  <c r="AW10" i="8"/>
  <c r="AT10" i="8" s="1"/>
  <c r="AW9" i="8"/>
  <c r="AT9" i="8" s="1"/>
  <c r="AW8" i="8"/>
  <c r="AT8" i="8" s="1"/>
  <c r="AW7" i="8"/>
  <c r="AT7" i="8" s="1"/>
  <c r="AW6" i="8"/>
  <c r="AT6" i="8" s="1"/>
  <c r="AW5" i="8"/>
  <c r="AT5" i="8" l="1"/>
  <c r="B46" i="8"/>
  <c r="B43" i="8"/>
  <c r="B42" i="8"/>
  <c r="B41" i="8"/>
  <c r="B44" i="8"/>
  <c r="B45" i="8"/>
</calcChain>
</file>

<file path=xl/sharedStrings.xml><?xml version="1.0" encoding="utf-8"?>
<sst xmlns="http://schemas.openxmlformats.org/spreadsheetml/2006/main" count="2895" uniqueCount="1159">
  <si>
    <t>證據來源、範圍界定與待確認事項</t>
  </si>
  <si>
    <t>本清單所有數字均由受控 snapshot 實測導出，未採信任何文件自述。</t>
  </si>
  <si>
    <t>項目</t>
  </si>
  <si>
    <t>內容</t>
  </si>
  <si>
    <t>受控 snapshot</t>
  </si>
  <si>
    <t>qa/mt2-final/fixtures/baselines/ssi-demo.v15.1-post-migration.sqlite</t>
  </si>
  <si>
    <t>snapshot SHA-256</t>
  </si>
  <si>
    <t>52A58C19901F1FBD6A3EE964968A14164EDA89DF22B284282C88D05C3D5CEEF6</t>
  </si>
  <si>
    <t>snapshot bytes</t>
  </si>
  <si>
    <t>ACTIVE SSI / ACTIVE Nostro</t>
  </si>
  <si>
    <t>42 / 159</t>
  </si>
  <si>
    <t>具 pacs.009.001.08 之 ACTIVE SSI</t>
  </si>
  <si>
    <t>26 筆（本清單全部涵蓋）</t>
  </si>
  <si>
    <t>不具 .08 之 ACTIVE SSI</t>
  </si>
  <si>
    <t>16 筆，MT2xx 不可見：SSI-DEMO-025~034（10 筆，僅 .12；counterpartyBic=ANY）、SSI-DEMO-036~040（5 筆，僅 pacs.008，屬 MT103 域）、SSI-DEMO-023（1 筆，僅 pacs.009.001.12）</t>
  </si>
  <si>
    <t>Nostro 參照完整性</t>
  </si>
  <si>
    <t>42/42 以 accountId = accountReference 精確命中，orphan = 0。以 maskedAccountRef 比對會有 38 筆落空、以 Nostro.id 比對 42 筆全落空 —— 兩者皆為錯誤 join 方式。</t>
  </si>
  <si>
    <t>平手掃描</t>
  </si>
  <si>
    <t>post-migration 全量 scan：12 組中僅 BARCGB22／GBP／HK01 top-rank tie；四種 MT2xx 電文均預期 422。</t>
  </si>
  <si>
    <t>範圍：涵蓋</t>
  </si>
  <si>
    <t>12 組、MT202／MT205／MT202COV／MT205COV，共 48 案；全部使用 pacs.009.001.08 canonical tuple。</t>
  </si>
  <si>
    <t>範圍：不涵蓋</t>
  </si>
  <si>
    <t>MT200／MT201／MT203／MT204／MT210 —— 依 MT2xx Scope，MT200 轉 OWN_SSI_NOSTRO、MT204 轉 FI_DIRECT_DEBIT、MT210 轉 NOTIFICATION、MT201／MT203 為 MESSAGE_TYPE_NOT_SUPPORTED。均不查 Counterparty SSI。</t>
  </si>
  <si>
    <t>v15.1 migration</t>
  </si>
  <si>
    <t>24 筆 SSI 具 explicit COV allow-list；Core/COV 以 businessService 分流，禁止 synthetic .COV messageDefinitionId。</t>
  </si>
  <si>
    <t>現行驗收帳本</t>
  </si>
  <si>
    <t>48 = 44 SSI_RESOLVED + 4 SSI_AMBIGUOUS；NOT_EXECUTABLE=0；另有 1 筆 Northstar COV 503 負向控制。</t>
  </si>
  <si>
    <t>最新自動執行證據</t>
  </si>
  <si>
    <t>qa/reports/MT2XX_v15.1_post_migration_tie_scan_20260911.json；SHA-256 CBA6D5D0704CC37788251D8DDCA0D987C6F8404AD19B32FC7C51BDAA67AAB2CB；passed=48/48。</t>
  </si>
  <si>
    <t>BA review gate</t>
  </si>
  <si>
    <t>候選版須經獨立 BA 覆核接受後才可置入 qa/uat；不得以自動執行成功取代業務驗收。</t>
  </si>
  <si>
    <t>受控 v15.1 baseline</t>
  </si>
  <si>
    <t>qa/tdd/MT2XX_支援標準SSI_SR2026_MRG與ISO20022對應覆核版_v15.1.xlsx；SHA-256 0493C1D44D55A48B369AF6C6198BEE6943C1E17FC3A76AC93DE22C1D2A69A3D5。</t>
  </si>
  <si>
    <t>COV allow-list</t>
  </si>
  <si>
    <t>parameters/cov-profile-allow-list.v15.1.json；SHA-256 9B7F689627C7C790BFA94ADABACCE7FE18C43125FC93991B74958EDF92314482。</t>
  </si>
  <si>
    <t>v15.2_DRAFT_R6 狀態</t>
  </si>
  <si>
    <t>DRAFT — NOT APPROVED。v15.1、R1～R5 六份原檔皆保持不變；R5 保留為審查證據。</t>
  </si>
  <si>
    <t>v15.1 base SHA-256</t>
  </si>
  <si>
    <t>AB21F5BC02D6BFBEC5683E1D8423950AC49EC0811542BB430DB5F0CB70A14B06</t>
  </si>
  <si>
    <t>v15.1 base bytes</t>
  </si>
  <si>
    <t>29813</t>
  </si>
  <si>
    <t>v15.2_DRAFT（R1）SHA-256</t>
  </si>
  <si>
    <t>C286F71E29D8831A63B4FE9E0E6DB9E1E888C8ECA406B564B5AD4BB8E3128679</t>
  </si>
  <si>
    <t>v15.2_DRAFT_R2 SHA-256</t>
  </si>
  <si>
    <t>42971C68F928C3F973786867ECD0AA757368DF45688DC79C080FBAFAC592A726</t>
  </si>
  <si>
    <t>v15.2_DRAFT_R3 SHA-256</t>
  </si>
  <si>
    <t>DC4E0CD04AE49F54B9A50B0C75CF86C8E3BDDF00582345ACEE7F0F28476F3402</t>
  </si>
  <si>
    <t>v15.2_DRAFT_R4 SHA-256</t>
  </si>
  <si>
    <t>A7ACC011B350004A506A164B03CC867326C504C7D01F63264D2597A5AE033BF7</t>
  </si>
  <si>
    <t>v15.2_DRAFT_R5 SHA-256</t>
  </si>
  <si>
    <t>1826F36AF5708B71D88B611D2EBFE5CE9B2BA8E15FE0E226495948B234F2980C</t>
  </si>
  <si>
    <t>MRG（完整 SHA-256）</t>
  </si>
  <si>
    <t>SWIFT/us2m_20260717.pdf — 64483D7F7C094DB28E03791AB6BBC7A0522DAEC90487A7DD834228E848FA8323。引用頁 p.52（MT202 57a Usage Rules）、p.54（MT202 58a Usage Rules）。擷取引擎 pdftotext。</t>
  </si>
  <si>
    <t>Bank Service 證據</t>
  </si>
  <si>
    <t>qa/mt2-final/fixtures/baselines/bank-service.current.json — SHA-256 9CA632D0A949329309226599A22D9E4A2D48C73E62B33612496EDC144992C6CE；bytes 13,975；items 27（SSI_REFERENCED 21／DIRECTORY_ONLY_NO_SSI 5／OWN_BANK_IDENTITY 1）；asOf 2026-09-10。本行身分即取自此檔之 OWN_BANK_IDENTITY 項。</t>
  </si>
  <si>
    <t>本行身分（own entity）</t>
  </si>
  <si>
    <t>BIC DEMOHKHH（Demo Bank Hong Kong）；bankServiceId BANK-SVC-DEMOHKHH；usageGroup OWN_BANK_IDENTITY；booking entity HK01。</t>
  </si>
  <si>
    <t>58A 來源裁決</t>
  </si>
  <si>
    <t>MT202／MT202COV 之 Cdtr／58A 一律取自 REQUEST_PASS_THROUGH。禁止讀取 SSI.beneficiaryBic。即使數值相同，來源標記錯誤即為缺陷。</t>
  </si>
  <si>
    <t>負向結果格式</t>
  </si>
  <si>
    <t>BOOK-02／03：HTTP 422 + decision/code=OPTION_CONSTRAINT_VIOLATION + reasonCode=OWN_ACCOUNT_CURRENCY_MISMATCH／OWN_ACCOUNT_RECEIVER_MISMATCH。reasonCode 為獨立欄位。</t>
  </si>
  <si>
    <t>Nostro 唯一性規則</t>
  </si>
  <si>
    <t>accountReference 在 ACTIVE Nostro 中**不保證唯一**：DEMO-NOSTRO-001-SECONDARY（CHASUS33／HSBCHKHH）、DEMO-NOSTRO-003-SECONDARY（BNPAFRPP／HSBCHKHH）、DEMO-NOSTRO-010-SECONDARY（HSBCHKHH／PCBCCNBJ）各有兩個 servicer 之 ACTIVE 記錄。凡 fixture 觸及此三者，必須同時指定 nostroId、version 與 receiverBankServiceId。</t>
  </si>
  <si>
    <t>Evidence 狀態規則</t>
  </si>
  <si>
    <t>Evidence JSON 與 machine assertion registry／schema 尚未建立。所有 Evidence 欄位標為 PLANNED（規格值），須待 implementation gate 完成後改為 DELIVERED 方可視為實測證據。</t>
  </si>
  <si>
    <t>證據完整性閘門（AT）</t>
  </si>
  <si>
    <t>AT 於 AS（PASS／FAIL）有值時啟動，須同時滿足四組條件方判 OK，否則 INCOMPLETE：(1) 執行紀錄 COUNTA(AP Correlation／AQ Tester／AR Execution Date)=3；(2) AF Evidence 狀態 = DELIVERED；(3) **三項 Evidence gate 均有值：AG Evidence JSON Path、AH Machine Assertion ID、AV Evidence SHA-256**；(4) **AW Evidence SHA 格式 = VALID**（AV 長度恰為 64 且僅含十六進位字元 0-9A-F）。工作表僅能檢查格式；AV 是否等於 AG 所指 JSON 之實際 SHA-256，由 runner 以固定斷言 ASSERT-EVIDENCE-HASH 實算比對，為 OPEN-008 之關閉條件。未通過該斷言者，AF 不得標為 DELIVERED。</t>
  </si>
  <si>
    <t>R6 新增範圍</t>
  </si>
  <si>
    <t>BOOK-01～05（BLOCKED — IMPLEMENTATION）、GEN-202-01／02、OMIT-57A-01～06、PROV-00～06，共 20 案，全部不計入 48 案分母。</t>
  </si>
  <si>
    <t>48/48 報告適用範圍</t>
  </si>
  <si>
    <t>產生於 BOOK_TRANSFER blocker 確認之前；runner 未逐案比對 agent 值或 provenance。不得再引為整體 Release Gate Pass。</t>
  </si>
  <si>
    <t>字型與快取取捨</t>
  </si>
  <si>
    <t>以 cached values 齊全為優先：字型於重算前套用、重算為最後步驟，交付前已讀回驗證全部公式均有快取值。</t>
  </si>
  <si>
    <t>v15.2_DRAFT_R9 狀態</t>
  </si>
  <si>
    <t>DRAFT — NOT APPROVED / NOT EXECUTABLE。R9 為修正候選；R8 保留作 REJECTED 稽核軌跡。</t>
  </si>
  <si>
    <t>v15.2_DRAFT_R6 SHA-256</t>
  </si>
  <si>
    <t>725A1A5F27B2BB31CD8710DABF21B54D29F02E1A223481E763CB82280480410B（71637 bytes）</t>
  </si>
  <si>
    <t>R9 變更範圍</t>
  </si>
  <si>
    <t>修正版本標識與互斥敘述；新增 OPEN-009／010；20 案清除舊 actual/PASS/evidence；53B／58A／同帳戶／MT-MX 一致性納入斷言。原 48 案 A5:AD52 未動。</t>
  </si>
  <si>
    <t>OPEN 編號承載規則</t>
  </si>
  <si>
    <t>OPEN 編號一律記於『未決項』欄，**不得寫入『狀態』欄**。狀態欄僅限四個受控值（BLOCKED — IMPLEMENTATION／BLOCKED — 待 BA 核准／APPROVED — 可執行／CLOSED），以維持 Data Validation 與案例狀態帳本之 COUNTIF 精確比對有效。</t>
  </si>
  <si>
    <t>已採納之實作提案基準 A</t>
  </si>
  <si>
    <t>Overlay 回歸不得以彙總判定：須逐案比對 48 案之 decision、chosen SSI code／version 及 candidates，差異案數必須為 0。『44 RESOLVED + 4 AMBIGUOUS』僅作交叉核對，不得單獨作為不漂移之證據。</t>
  </si>
  <si>
    <t>已採納之實作提案基準 B</t>
  </si>
  <si>
    <t>BOOK-02／03 須同時斷言 HTTP 422、decision/code = OPTION_CONSTRAINT_VIOLATION 及精確 reasonCode；僅驗 HTTP 碼不構成通過。</t>
  </si>
  <si>
    <t>已採納之實作提案基準 C</t>
  </si>
  <si>
    <t>nostroId + version 必須精確命中一筆 ACTIVE 記錄；版本已 supersede 即回 422，禁止自動升版，亦禁止回退以 accountReference 查找。</t>
  </si>
  <si>
    <t>已採納之實作提案基準 D</t>
  </si>
  <si>
    <t>後端驗證順序正式固定，避免多重違規時 reasonCode 不穩定。現行 fixture 每案僅設單一變因（BOOK-02 同 servicer 差幣別；BOOK-03 同幣別差 servicer），日後新增 fixture 不得破壞此性質。</t>
  </si>
  <si>
    <t>已採納之實作提案基準 E</t>
  </si>
  <si>
    <t>Evidence gate 之 fail-closed 負向測試共五項：檔案不存在、SHA 不一致、assertion ID 未登錄、**assertion ID 重複**、**JSON 不符 schema v1.0**。</t>
  </si>
  <si>
    <t>已採納之實作提案基準 F</t>
  </si>
  <si>
    <t>Evidence SHA-256 以寫入當下之 raw bytes 計算；任何再序列化（重新排版、縮排或行尾變更）即使內容等價亦使雜湊失效。Overlay manifest 必須記錄其所疊加之 base snapshot SHA-256 52A58C19901F1FBD6A3EE964968A14164EDA89DF22B284282C88D05C3D5CEEF6。</t>
  </si>
  <si>
    <t>R9 不代表之事</t>
  </si>
  <si>
    <t>R9 不宣告新增 20 案已執行或通過：狀態為 BLOCKED — IMPLEMENTATION、Evidence=PLANNED、PASS/FAIL 空白。R8 的 20/20 僅保留為 REJECTED 歷史，不得作 release evidence。</t>
  </si>
  <si>
    <t>V15.2-R8-UAT</t>
  </si>
  <si>
    <t>20 新增案例執行</t>
  </si>
  <si>
    <t>REJECTED／QUARANTINED：缺 53B 與獨立 evidence trust boundary；不得引用 20/20 PASS。</t>
  </si>
  <si>
    <t>HISTORICAL-R8-HASH-ONLY（不得解析為現行檔案路徑）</t>
  </si>
  <si>
    <t>ECB3F7D3A4E9CB5DD61CB2986A53CCF895D6E78F10474160382CFC9B8F6EF282</t>
  </si>
  <si>
    <t>V15.2-BROWSER</t>
  </si>
  <si>
    <t>瀏覽器 UAT</t>
  </si>
  <si>
    <t>REJECTED／QUARANTINED：需在 OPEN-009／010 關閉後重新執行。</t>
  </si>
  <si>
    <t>qa/reports/MT2XX_v15.2_browser_UAT_full_postfix_20260911.json</t>
  </si>
  <si>
    <t>509FEAAC2C57182DA9B6F7BB112608B91937ADCB8AC1E65CB048593B0C8D5970</t>
  </si>
  <si>
    <t>OPEN-006</t>
  </si>
  <si>
    <t>明示 57A 控制</t>
  </si>
  <si>
    <t>QA-only overlay PASS；57A 明示、58A Sender；baseline 48 案零漂移</t>
  </si>
  <si>
    <t>qa/reports/MT2XX_v15.2_overlay_regression_20260911.json</t>
  </si>
  <si>
    <t>60E94223EC1BE703415FDC8667E04539CD5EAEAE2314C40CDA112AAA80C105BE</t>
  </si>
  <si>
    <t>OPEN-004</t>
  </si>
  <si>
    <t>舊報告範圍限縮</t>
  </si>
  <si>
    <t>舊 48/48 不再代表 v15.2 agent/BOOK 全域 release gate</t>
  </si>
  <si>
    <t>qa/reports/MT2XX_v15.1_48_CASE_SCOPE_ADDENDUM_ZH_20260911.md</t>
  </si>
  <si>
    <t>5B79D2722A319C8E060CF35F6BC428EAE5299F713F77A9FDF68AB86AB3F13B07</t>
  </si>
  <si>
    <t>R9-SNAPSHOT-IDENTITY</t>
  </si>
  <si>
    <t>三種 snapshot 身分分離</t>
  </si>
  <si>
    <t>controlled baseline=52A58C19901F1FBD6A3EE964968A14164EDA89DF22B284282C88D05C3D5CEEF6; QA-only overlay=C7C07A2DD74DD223CE8D0354DCA85B78816793B4C65D7163D5CDD1EC3B8C7F21; live main-file hash=5B512253C4EE1B5A1E7B4B910C36563F4032BBB28F5A806ED90AFE6F425153E4（非 WAL-aware evidence，不可互換）</t>
  </si>
  <si>
    <t>qa/mt2-final/fixtures/overlays/ssi-demo.v15.2-own-account-uat.manifest.json</t>
  </si>
  <si>
    <t>52A3A9CAFE3ECBDAD8A9B05F5429BF500D00D85FEB978B6FBEE28BACF8AD7D4C</t>
  </si>
  <si>
    <t>R9-48-CASE-DIFF</t>
  </si>
  <si>
    <t>48 案逐案不漂移證據</t>
  </si>
  <si>
    <t>逐案比對 decision、chosen SSI code/version、candidates；彙總 44+4 僅作交叉檢查。</t>
  </si>
  <si>
    <t>OPEN-009</t>
  </si>
  <si>
    <t>BOOK_TRANSFER 報文層</t>
  </si>
  <si>
    <t>OPEN：53B／58A 格式、帳戶撞號與 MT/MX 一致性修正後須重跑 BOOK-01～05。</t>
  </si>
  <si>
    <t>apps/ssi-service/src/app/message-domain-resolution.service.ts</t>
  </si>
  <si>
    <t>PENDING-REVIEW-NO-EVIDENCE-HASH</t>
  </si>
  <si>
    <t>OPEN-010</t>
  </si>
  <si>
    <t>Evidence trust boundary</t>
  </si>
  <si>
    <t>OPEN：不得使用環境變數或 main-file-only hash；assertion 必須由獨立 verifier 評估。</t>
  </si>
  <si>
    <t>qa/reports/evidence/v15.2/assertion-registry.json</t>
  </si>
  <si>
    <t>22408B219EF9155C039309EF28D3EA462C376A3F1D27A6211DBD368EDF2C8377</t>
  </si>
  <si>
    <t>BA-MX-CREDIT-ACCOUNT-MAPPING</t>
  </si>
  <si>
    <t>BOOK_TRANSFER 貸方 MX 映射待裁示</t>
  </si>
  <si>
    <t>OPEN：請 BA 裁示 58A Party Identifier 對應 CdtrAcct 或 SttlmAcct；R9 暫不更動既有 SttlmAcct 映射。</t>
  </si>
  <si>
    <t>v15.2 新增案例/BOOK-01</t>
  </si>
  <si>
    <t>NOT-APPLICABLE-PENDING-BA-DECISION</t>
  </si>
  <si>
    <t>V15.2-R10-API</t>
  </si>
  <si>
    <t>20 新增案例 API／Evidence</t>
  </si>
  <si>
    <t>20/20 PASS；獨立 verifier 通過；單一 logical snapshot identity。</t>
  </si>
  <si>
    <t>qa/reports/MT2XX_v15.2_api_evidence_20260911.json</t>
  </si>
  <si>
    <t>A448848571C5C0EC296554B50EE6E39BB2504CDCCC07D115A6297A437184B7A3</t>
  </si>
  <si>
    <t>V15.2-R10-BROWSER</t>
  </si>
  <si>
    <t>20/20 PASS；BOOK-05 stale/race 來自 raw DOM/network/correlation 重算。</t>
  </si>
  <si>
    <t>qa/reports/MT2XX_v15.2_browser_UAT_overlay_20260911.json</t>
  </si>
  <si>
    <t>0236DE0AEDC81C0FA4A0A308340556121D83638E231E02E6A8F9309B414DC992</t>
  </si>
  <si>
    <t>V15.2-QA-OVERLAY</t>
  </si>
  <si>
    <t>PROPOSED_QA_ONLY overlay</t>
  </si>
  <si>
    <t>不污染 baseline；manifest 綁定 base snapshot SHA 與 zero-drift regression。</t>
  </si>
  <si>
    <t>V15.2-EVIDENCE-SCHEMA</t>
  </si>
  <si>
    <t>Evidence schema v1.0</t>
  </si>
  <si>
    <t>JSON schema 必填 snapshotIdentityMethod；額外欄位 fail-closed。</t>
  </si>
  <si>
    <t>qa/reports/evidence/v15.2/evidence.schema.json</t>
  </si>
  <si>
    <t>D24E754A51EE2A55235D3DE75591F99F37338A1234D7A6248D9CF27A6CF1F99C</t>
  </si>
  <si>
    <t>V15.2-ASSERTION-REGISTRY</t>
  </si>
  <si>
    <t>Assertion registry</t>
  </si>
  <si>
    <t>caseId 與 assertionId 全域唯一；獨立 verifier 重算。</t>
  </si>
  <si>
    <t>BOOK_TRANSFER MT/MX 帳號映射</t>
  </si>
  <si>
    <t>CLOSED — BA CONFIRMED：53B/DbtrAcct=debit；58A/CdtrAcct=credit；INDA SttlmAcct=debit。</t>
  </si>
  <si>
    <t>MT2xx SSI Resolution — UAT 執行清單 v15.2_DRAFT_R9（候選版 · NOT APPROVED）</t>
  </si>
  <si>
    <t>基底：被退回但保留備查之 R8（SHA-256 476EA4341B84DF36ACE030A5312518397A3B796C12C2B0428C3191D882B21797）。R9 修正 MT202 BOOK_TRANSFER 53B／58A 契約與治理矛盾；20 個新增案例均退回 BLOCKED／PLANNED，待 OPEN-009／OPEN-010 關閉後重新執行。原 v15.1 之 48 案矩陣 A5:AD52 未改。</t>
  </si>
  <si>
    <t>案例編號</t>
  </si>
  <si>
    <t>矩陣列</t>
  </si>
  <si>
    <t>可執行性</t>
  </si>
  <si>
    <t>Counterparty</t>
  </si>
  <si>
    <t>對手行名稱</t>
  </si>
  <si>
    <t>Currency</t>
  </si>
  <si>
    <t>Booking</t>
  </si>
  <si>
    <t>Message</t>
  </si>
  <si>
    <t>ISO 20022 Target</t>
  </si>
  <si>
    <t>businessService</t>
  </si>
  <si>
    <t>預期 HTTP</t>
  </si>
  <si>
    <t>預期 code</t>
  </si>
  <si>
    <t>預期 chosen SSI</t>
  </si>
  <si>
    <t>候選數</t>
  </si>
  <si>
    <t>Settlement Country 建議</t>
  </si>
  <si>
    <t>備註</t>
  </si>
  <si>
    <t>Resolver Baseline Profile</t>
  </si>
  <si>
    <t>Counterparty Bank Service ID</t>
  </si>
  <si>
    <t>Actual HTTP</t>
  </si>
  <si>
    <t>Actual code</t>
  </si>
  <si>
    <t>Actual chosen SSI / version</t>
  </si>
  <si>
    <t>Actual candidates</t>
  </si>
  <si>
    <t>Snapshot Hash</t>
  </si>
  <si>
    <t>Resolution Token</t>
  </si>
  <si>
    <t>Correlation / Request ID</t>
  </si>
  <si>
    <t>Tester</t>
  </si>
  <si>
    <t>Execution Date</t>
  </si>
  <si>
    <t>PASS / FAIL</t>
  </si>
  <si>
    <t>Evidence Path</t>
  </si>
  <si>
    <t>Screenshot / Defect ID</t>
  </si>
  <si>
    <t>UAT-V151-001</t>
  </si>
  <si>
    <t>EXECUTABLE NOW</t>
  </si>
  <si>
    <t>CITIUS33</t>
  </si>
  <si>
    <t>Citibank N.A.</t>
  </si>
  <si>
    <t>USD</t>
  </si>
  <si>
    <t>HK01</t>
  </si>
  <si>
    <t>MT202</t>
  </si>
  <si>
    <t>pacs.009.001.08</t>
  </si>
  <si>
    <t>swift.cbprplus.04</t>
  </si>
  <si>
    <t>SSI_RESOLVED</t>
  </si>
  <si>
    <t>SSI-DEMO-001</t>
  </si>
  <si>
    <t>留白（由 eligible route 推導）</t>
  </si>
  <si>
    <t>2 筆 eligible；依受控 rank keys 選 SSI-DEMO-001。須列出 alternatives，且帳號、agent、provenance 均來自同一 chosen SSI。</t>
  </si>
  <si>
    <t>RESOLVER_BASELINE_MT202</t>
  </si>
  <si>
    <t>BANK-SVC-CITIUS33</t>
  </si>
  <si>
    <t>UAT-V151-002</t>
  </si>
  <si>
    <t>MT205</t>
  </si>
  <si>
    <t>RESOLVER_BASELINE_MT205</t>
  </si>
  <si>
    <t>UAT-V151-003</t>
  </si>
  <si>
    <t>MT202COV</t>
  </si>
  <si>
    <t>swift.cbprplus.cov.04</t>
  </si>
  <si>
    <t>RESOLVER_BASELINE_MT202COV</t>
  </si>
  <si>
    <t>UAT-V151-004</t>
  </si>
  <si>
    <t>MT205COV</t>
  </si>
  <si>
    <t>RESOLVER_BASELINE_MT205COV</t>
  </si>
  <si>
    <t>UAT-V151-005</t>
  </si>
  <si>
    <t>BARCGB22</t>
  </si>
  <si>
    <t>Barclays Bank PLC</t>
  </si>
  <si>
    <t>GBP</t>
  </si>
  <si>
    <t>SSI_AMBIGUOUS</t>
  </si>
  <si>
    <t>null（fail closed）</t>
  </si>
  <si>
    <t>受控 top-rank tie：SSI-DEMO-003／022 同為 priority 10、PRIMARY、NAMED_COUNTERPARTY。必須 fail closed；chosenRoute／agent roles／roleProvenance／messageComposerContext 為 null，candidates 無序，payloadGenerated=false。</t>
  </si>
  <si>
    <t>BANK-SVC-BARCGB22</t>
  </si>
  <si>
    <t>UAT-V151-006</t>
  </si>
  <si>
    <t>UAT-V151-007</t>
  </si>
  <si>
    <t>UAT-V151-008</t>
  </si>
  <si>
    <t>UAT-V151-009</t>
  </si>
  <si>
    <t>SSI-DEMO-024</t>
  </si>
  <si>
    <t>唯一候選；須驗 chosenRoute、roleProvenance、snapshotHash、resolutionToken 與幣別一致。</t>
  </si>
  <si>
    <t>UAT-V151-010</t>
  </si>
  <si>
    <t>UAT-V151-011</t>
  </si>
  <si>
    <t>UAT-V151-012</t>
  </si>
  <si>
    <t>UAT-V151-013</t>
  </si>
  <si>
    <t>DEUTDEFF</t>
  </si>
  <si>
    <t>Deutsche Bank AG</t>
  </si>
  <si>
    <t>EUR</t>
  </si>
  <si>
    <t>SSI-DEMO-005</t>
  </si>
  <si>
    <t>3 筆 eligible；依受控 rank keys 選 SSI-DEMO-005。須列出 alternatives，且帳號、agent、provenance 均來自同一 chosen SSI。</t>
  </si>
  <si>
    <t>BANK-SVC-DEUTDEFF</t>
  </si>
  <si>
    <t>UAT-V151-014</t>
  </si>
  <si>
    <t>UAT-V151-015</t>
  </si>
  <si>
    <t>UAT-V151-016</t>
  </si>
  <si>
    <t>UAT-V151-017</t>
  </si>
  <si>
    <t>DBSSSGSG</t>
  </si>
  <si>
    <t>DBS Bank Ltd.</t>
  </si>
  <si>
    <t>SGD</t>
  </si>
  <si>
    <t>SSI-DEMO-007</t>
  </si>
  <si>
    <t>2 筆 eligible；依受控 rank keys 選 SSI-DEMO-007。須列出 alternatives，且帳號、agent、provenance 均來自同一 chosen SSI。</t>
  </si>
  <si>
    <t>BANK-SVC-DBSSSGSG</t>
  </si>
  <si>
    <t>UAT-V151-018</t>
  </si>
  <si>
    <t>UAT-V151-019</t>
  </si>
  <si>
    <t>UAT-V151-020</t>
  </si>
  <si>
    <t>UAT-V151-021</t>
  </si>
  <si>
    <t>BOTKJPJT</t>
  </si>
  <si>
    <t>MUFG Bank, Ltd.</t>
  </si>
  <si>
    <t>JPY</t>
  </si>
  <si>
    <t>SSI-DEMO-009</t>
  </si>
  <si>
    <t>2 筆 eligible；依受控 rank keys 選 SSI-DEMO-009。須列出 alternatives，且帳號、agent、provenance 均來自同一 chosen SSI。</t>
  </si>
  <si>
    <t>BANK-SVC-BOTKJPJT</t>
  </si>
  <si>
    <t>UAT-V151-022</t>
  </si>
  <si>
    <t>UAT-V151-023</t>
  </si>
  <si>
    <t>UAT-V151-024</t>
  </si>
  <si>
    <t>UAT-V151-025</t>
  </si>
  <si>
    <t>HSBCHKHH</t>
  </si>
  <si>
    <t>HSBC</t>
  </si>
  <si>
    <t>HKD</t>
  </si>
  <si>
    <t>SSI-DEMO-011</t>
  </si>
  <si>
    <t>2 筆 eligible；依受控 rank keys 選 SSI-DEMO-011。須列出 alternatives，且帳號、agent、provenance 均來自同一 chosen SSI。</t>
  </si>
  <si>
    <t>BANK-SVC-HSBCHKHH</t>
  </si>
  <si>
    <t>UAT-V151-026</t>
  </si>
  <si>
    <t>UAT-V151-027</t>
  </si>
  <si>
    <t>UAT-V151-028</t>
  </si>
  <si>
    <t>UAT-V151-029</t>
  </si>
  <si>
    <t>BOFAUS3N</t>
  </si>
  <si>
    <t>Bank of America, N.A.</t>
  </si>
  <si>
    <t>AUD</t>
  </si>
  <si>
    <t>SSI-DEMO-013</t>
  </si>
  <si>
    <t>2 筆 eligible；依受控 rank keys 選 SSI-DEMO-013。須列出 alternatives，且帳號、agent、provenance 均來自同一 chosen SSI。</t>
  </si>
  <si>
    <t>BANK-SVC-BOFAUS3N</t>
  </si>
  <si>
    <t>UAT-V151-030</t>
  </si>
  <si>
    <t>UAT-V151-031</t>
  </si>
  <si>
    <t>UAT-V151-032</t>
  </si>
  <si>
    <t>UAT-V151-033</t>
  </si>
  <si>
    <t>CHASUS33</t>
  </si>
  <si>
    <t>JPMorgan Chase Bank, N.A.</t>
  </si>
  <si>
    <t>CAD</t>
  </si>
  <si>
    <t>SSI-DEMO-015</t>
  </si>
  <si>
    <t>2 筆 eligible；依受控 rank keys 選 SSI-DEMO-015。須列出 alternatives，且帳號、agent、provenance 均來自同一 chosen SSI。</t>
  </si>
  <si>
    <t>BANK-SVC-CHASUS33</t>
  </si>
  <si>
    <t>UAT-V151-034</t>
  </si>
  <si>
    <t>UAT-V151-035</t>
  </si>
  <si>
    <t>UAT-V151-036</t>
  </si>
  <si>
    <t>UAT-V151-037</t>
  </si>
  <si>
    <t>SSI-DEMO-021</t>
  </si>
  <si>
    <t>UAT-V151-038</t>
  </si>
  <si>
    <t>UAT-V151-039</t>
  </si>
  <si>
    <t>UAT-V151-040</t>
  </si>
  <si>
    <t>UAT-V151-041</t>
  </si>
  <si>
    <t>SCBLGB2L</t>
  </si>
  <si>
    <t>Standard Chartered Bank</t>
  </si>
  <si>
    <t>CHF</t>
  </si>
  <si>
    <t>SSI-DEMO-017</t>
  </si>
  <si>
    <t>2 筆 eligible；依受控 rank keys 選 SSI-DEMO-017。須列出 alternatives，且帳號、agent、provenance 均來自同一 chosen SSI。</t>
  </si>
  <si>
    <t>BANK-SVC-SCBLGB2L</t>
  </si>
  <si>
    <t>UAT-V151-042</t>
  </si>
  <si>
    <t>UAT-V151-043</t>
  </si>
  <si>
    <t>UAT-V151-044</t>
  </si>
  <si>
    <t>UAT-V151-045</t>
  </si>
  <si>
    <t>BNPAFRPP</t>
  </si>
  <si>
    <t>BNP Paribas</t>
  </si>
  <si>
    <t>CNY</t>
  </si>
  <si>
    <t>SSI-DEMO-019</t>
  </si>
  <si>
    <t>2 筆 eligible；依受控 rank keys 選 SSI-DEMO-019。須列出 alternatives，且帳號、agent、provenance 均來自同一 chosen SSI。</t>
  </si>
  <si>
    <t>BANK-SVC-BNPAFRPP</t>
  </si>
  <si>
    <t>UAT-V151-046</t>
  </si>
  <si>
    <t>UAT-V151-047</t>
  </si>
  <si>
    <t>UAT-V151-048</t>
  </si>
  <si>
    <t>彙總（依受控矩陣產生；非公式，任何閱讀器皆可見）</t>
  </si>
  <si>
    <t>案例總數</t>
  </si>
  <si>
    <t>NOT_EXECUTABLE</t>
  </si>
  <si>
    <t>預期 200 SSI_RESOLVED</t>
  </si>
  <si>
    <t>預期 422 SSI_AMBIGUOUS</t>
  </si>
  <si>
    <t>預期 503 PROFILE_INCOMPLETE（矩陣內）</t>
  </si>
  <si>
    <t>NOT_EXECUTABLE 比率</t>
  </si>
  <si>
    <t>矩陣外負向控制：NSSIUSN1／USD／MT202COV 與 MT205COV 必須在 rank 前回 HTTP 503 PROFILE_INCOMPLETE，payloadGenerated=false，且不得 fallback 至 Core。此控制不計入 48 案功能矩陣。</t>
  </si>
  <si>
    <t>SSI 候選明細 — 26 筆具 pacs.009.001.08 之 ACTIVE SSI</t>
  </si>
  <si>
    <t>欄位逐字取自受控 snapshot。Nostro 依 A4_NOSTRO_JOIN：SSI.route.accountId 精確等於 ACTIVE Nostro.accountReference，再依 servicer／幣別／SETTLEMENT／booking／生效日篩選，最後取 PRIMARY。</t>
  </si>
  <si>
    <t>SSI Code</t>
  </si>
  <si>
    <t>SSI id (UUID)</t>
  </si>
  <si>
    <t>版本</t>
  </si>
  <si>
    <t>priority</t>
  </si>
  <si>
    <t>routePreference</t>
  </si>
  <si>
    <t>排名結果</t>
  </si>
  <si>
    <t>applicabilityProfileId</t>
  </si>
  <si>
    <t>settlementRouteId</t>
  </si>
  <si>
    <t>settlementCountry</t>
  </si>
  <si>
    <t>settlementMarket</t>
  </si>
  <si>
    <t>clearingSystem</t>
  </si>
  <si>
    <t>route.accountId</t>
  </si>
  <si>
    <t>對應 Nostro (masked)</t>
  </si>
  <si>
    <t>Nostro servicer</t>
  </si>
  <si>
    <t>accountWithBic</t>
  </si>
  <si>
    <t>actualReceiverBic</t>
  </si>
  <si>
    <t>beneficiaryBic</t>
  </si>
  <si>
    <t>ssiTags</t>
  </si>
  <si>
    <t>sampleSet</t>
  </si>
  <si>
    <t>ssiName</t>
  </si>
  <si>
    <t>sourceMessageTypes</t>
  </si>
  <si>
    <t>a1e1ac1a-a16f-414c-ac70-85731ed84d3f</t>
  </si>
  <si>
    <t>PRIMARY</t>
  </si>
  <si>
    <t>CHOSEN</t>
  </si>
  <si>
    <t>APPL-IMPORT_LC_BANK_REIMBURSEMENT-USD</t>
  </si>
  <si>
    <t>ROUTE-USD-CITIUS33</t>
  </si>
  <si>
    <t>US</t>
  </si>
  <si>
    <t>US_DOLLAR</t>
  </si>
  <si>
    <t>FEDWIRE</t>
  </si>
  <si>
    <t>DEMO-NOSTRO-001-PRIMARY</t>
  </si>
  <si>
    <t>DEMO-NOSTRO-001-PRIMARY-PRIMARY</t>
  </si>
  <si>
    <t>53A,54A,56A,57A,58A</t>
  </si>
  <si>
    <t>DEMO-PURPOSE-BUILT</t>
  </si>
  <si>
    <t>USD BANK_REIMBURSEMENT for Citibank N.A. via Citibank N.A.</t>
  </si>
  <si>
    <t>swift.cbprplus.04,swift.cbprplus.cov.04</t>
  </si>
  <si>
    <t>MT202,MT205,MT202COV,MT205COV</t>
  </si>
  <si>
    <t>SSI-DEMO-002</t>
  </si>
  <si>
    <t>e029ad81-7715-4c2a-9452-75876508cacb</t>
  </si>
  <si>
    <t>SECONDARY</t>
  </si>
  <si>
    <t>alternative</t>
  </si>
  <si>
    <t>ROUTE-USD-HSBCHKHH</t>
  </si>
  <si>
    <t>HK</t>
  </si>
  <si>
    <t>HK_USD</t>
  </si>
  <si>
    <t>USD_CHATS</t>
  </si>
  <si>
    <t>DEMO-NOSTRO-001-SECONDARY</t>
  </si>
  <si>
    <t>DEMO-NOSTRO-001-SECONDARY-PRIMARY</t>
  </si>
  <si>
    <t>USD BANK_REIMBURSEMENT for Citibank N.A. via HSBC</t>
  </si>
  <si>
    <t>SSI-DEMO-003</t>
  </si>
  <si>
    <t>351807b1-c715-4f53-8fbd-058cc9a14eab</t>
  </si>
  <si>
    <t>TIE（並列第一）</t>
  </si>
  <si>
    <t>APPL-EXPORT_LC_PROCEEDS_SETTLEMENT-GBP</t>
  </si>
  <si>
    <t>ROUTE-GBP-BARCGB22</t>
  </si>
  <si>
    <t>GB</t>
  </si>
  <si>
    <t>GB_STERLING</t>
  </si>
  <si>
    <t>CHAPS</t>
  </si>
  <si>
    <t>DEMO-NOSTRO-002-PRIMARY</t>
  </si>
  <si>
    <t>DEMO-NOSTRO-002-PRIMARY-PRIMARY</t>
  </si>
  <si>
    <t>GBP PROCEEDS_SETTLEMENT for Barclays via Barclays</t>
  </si>
  <si>
    <t>SSI-DEMO-022</t>
  </si>
  <si>
    <t>1a386704-017a-4439-bb65-29fc3fd6e8dc</t>
  </si>
  <si>
    <t>APPL-IMPORT_COLLECTION_PAYMENT-GBP</t>
  </si>
  <si>
    <t>DEMO-NOSTRO-002-IMPCOLL</t>
  </si>
  <si>
    <t>DEMO-NOSTRO-002-IMPCOLL-PRIMARY</t>
  </si>
  <si>
    <t>CdtrAgt,IntrmyAgt1</t>
  </si>
  <si>
    <t>GBP Import Collection Payment for Barclays</t>
  </si>
  <si>
    <t>SSI-DEMO-004</t>
  </si>
  <si>
    <t>9532ba2c-717f-42b6-8437-5ff7e270fccb</t>
  </si>
  <si>
    <t>低名次候選</t>
  </si>
  <si>
    <t>ROUTE-GBP-SCBLGB2L</t>
  </si>
  <si>
    <t>DEMO-NOSTRO-002-SECONDARY</t>
  </si>
  <si>
    <t>DEMO-NOSTRO-002-SECONDARY-PRIMARY</t>
  </si>
  <si>
    <t>GBP PROCEEDS_SETTLEMENT for Barclays via Standard Chartered</t>
  </si>
  <si>
    <t>54c26b29-e351-4391-aa38-8614aab63c4f</t>
  </si>
  <si>
    <t>APPL-IMPORT_COLLECTION_PAYMENT-USD</t>
  </si>
  <si>
    <t>ROUTE-USD-CITIUS33-BARC</t>
  </si>
  <si>
    <t>DEMO-NOSTRO-USD-IMPCOLL-BARC</t>
  </si>
  <si>
    <t>DEMO-NOSTRO-USD-IMPCOLL-BARC-PRIMARY</t>
  </si>
  <si>
    <t>(無)</t>
  </si>
  <si>
    <t>USD Import Collection Payment for Barclays via Citi</t>
  </si>
  <si>
    <t>c12bd429-cf8c-4b57-9575-299bbe58d680</t>
  </si>
  <si>
    <t>APPL-IMPORT_COLLECTION_PAYMENT-EUR</t>
  </si>
  <si>
    <t>ROUTE-EUR-DEUTDEFF</t>
  </si>
  <si>
    <t>ANY</t>
  </si>
  <si>
    <t>EURO_AREA</t>
  </si>
  <si>
    <t>T2</t>
  </si>
  <si>
    <t>DEMO-NOSTRO-003-PRIMARY</t>
  </si>
  <si>
    <t>DEMO-NOSTRO-003-PRIMARY-PRIMARY</t>
  </si>
  <si>
    <t>EUR COLLECTION_SETTLEMENT for Deutsche Bank via Deutsche Bank</t>
  </si>
  <si>
    <t>SSI-DEMO-006</t>
  </si>
  <si>
    <t>cd50ca60-1ec8-4a16-b61c-b03abf6a9c58</t>
  </si>
  <si>
    <t>ROUTE-EUR-HSBCHKHH</t>
  </si>
  <si>
    <t>HK_EUR</t>
  </si>
  <si>
    <t>EUR_CHATS</t>
  </si>
  <si>
    <t>DEMO-NOSTRO-003-SECONDARY</t>
  </si>
  <si>
    <t>DEMO-NOSTRO-003-SECONDARY-PRIMARY</t>
  </si>
  <si>
    <t>EUR COLLECTION_SETTLEMENT for Deutsche Bank via HSBC</t>
  </si>
  <si>
    <t>SSI-DEMO-035</t>
  </si>
  <si>
    <t>45ea4c86-67d4-40b7-935d-904a6e3ffd12</t>
  </si>
  <si>
    <t>APPL-EUR-HIGH-VALUE</t>
  </si>
  <si>
    <t>ROUTE-EUR-DEUTDEFF-EURO1</t>
  </si>
  <si>
    <t>EURO1</t>
  </si>
  <si>
    <t>DEMO-NOSTRO-EUR-EURO1-DEUT</t>
  </si>
  <si>
    <t>DEMO-NOSTRO-EUR-EURO1-DEUT-PRIMARY</t>
  </si>
  <si>
    <t>EUR Deutsche Bank High-value Settlement via EURO1</t>
  </si>
  <si>
    <t>f4bae14b-a208-45ae-990a-df840fb9af9f</t>
  </si>
  <si>
    <t>APPL-EXPORT_COLLECTION_PROCEEDS_SETTLEMENT-SGD</t>
  </si>
  <si>
    <t>ROUTE-SGD-DBSSSGSG</t>
  </si>
  <si>
    <t>SG</t>
  </si>
  <si>
    <t>SG_DOMESTIC</t>
  </si>
  <si>
    <t>MEPS_PLUS</t>
  </si>
  <si>
    <t>DEMO-NOSTRO-004-PRIMARY</t>
  </si>
  <si>
    <t>DEMO-NOSTRO-004-PRIMARY-PRIMARY</t>
  </si>
  <si>
    <t>SGD PROCEEDS_SETTLEMENT for DBS via DBS</t>
  </si>
  <si>
    <t>SSI-DEMO-008</t>
  </si>
  <si>
    <t>cc4f488c-99e1-40ad-a59d-a7d73f643de4</t>
  </si>
  <si>
    <t>ROUTE-SGD-OCBCSGSG</t>
  </si>
  <si>
    <t>DEMO-NOSTRO-004-SECONDARY</t>
  </si>
  <si>
    <t>DEMO-NOSTRO-004-SECONDARY-PRIMARY</t>
  </si>
  <si>
    <t>OCBCSGSG</t>
  </si>
  <si>
    <t>SGD PROCEEDS_SETTLEMENT for DBS via OCBC</t>
  </si>
  <si>
    <t>ca4a553d-77f0-4f30-b2a7-c83c4d81f52b</t>
  </si>
  <si>
    <t>APPL-STANDBY_LC_CLAIM_PAYMENT-JPY</t>
  </si>
  <si>
    <t>ROUTE-JPY-BOTKJPJT</t>
  </si>
  <si>
    <t>JP</t>
  </si>
  <si>
    <t>JP_DOMESTIC</t>
  </si>
  <si>
    <t>BOJ_NET</t>
  </si>
  <si>
    <t>DEMO-NOSTRO-005-PRIMARY</t>
  </si>
  <si>
    <t>DEMO-NOSTRO-005-PRIMARY-PRIMARY</t>
  </si>
  <si>
    <t>56A,57A,58A</t>
  </si>
  <si>
    <t>JPY CLAIM_PAYMENT for MUFG via MUFG</t>
  </si>
  <si>
    <t>SSI-DEMO-010</t>
  </si>
  <si>
    <t>ca1d12d4-1208-40d5-a8fe-bcd040bda6e3</t>
  </si>
  <si>
    <t>ROUTE-JPY-SMBCJPJT</t>
  </si>
  <si>
    <t>DEMO-NOSTRO-005-SECONDARY</t>
  </si>
  <si>
    <t>DEMO-NOSTRO-005-SECONDARY-PRIMARY</t>
  </si>
  <si>
    <t>SMBCJPJT</t>
  </si>
  <si>
    <t>JPY CLAIM_PAYMENT for MUFG via SMBC</t>
  </si>
  <si>
    <t>d60d207b-29b2-4352-8314-89378edcf139</t>
  </si>
  <si>
    <t>APPL-DEMAND_GUARANTEE_CLAIM_PAYMENT-HKD</t>
  </si>
  <si>
    <t>ROUTE-HKD-HSBCHKHH</t>
  </si>
  <si>
    <t>HK_DOLLAR</t>
  </si>
  <si>
    <t>HKD_CHATS</t>
  </si>
  <si>
    <t>DEMO-NOSTRO-006-PRIMARY</t>
  </si>
  <si>
    <t>DEMO-NOSTRO-006-PRIMARY-PRIMARY</t>
  </si>
  <si>
    <t>HKD CLAIM_PAYMENT for HSBC via HSBC</t>
  </si>
  <si>
    <t>SSI-DEMO-012</t>
  </si>
  <si>
    <t>12fed8b5-20a9-4fa0-b684-cfc08bd307fe</t>
  </si>
  <si>
    <t>ROUTE-HKD-SCBLHKHH</t>
  </si>
  <si>
    <t>DEMO-NOSTRO-006-SECONDARY</t>
  </si>
  <si>
    <t>DEMO-NOSTRO-006-SECONDARY-PRIMARY</t>
  </si>
  <si>
    <t>SCBLHKHH</t>
  </si>
  <si>
    <t>HKD CLAIM_PAYMENT for HSBC via SCB (HK)</t>
  </si>
  <si>
    <t>42aae02a-0597-4982-b4c0-4b27bb44a549</t>
  </si>
  <si>
    <t>APPL-LC_REIMBURSEMENT_SETTLEMENT-AUD</t>
  </si>
  <si>
    <t>ROUTE-AUD-CTBAAU2S</t>
  </si>
  <si>
    <t>AU</t>
  </si>
  <si>
    <t>AU_DOMESTIC</t>
  </si>
  <si>
    <t>RITS</t>
  </si>
  <si>
    <t>DEMO-NOSTRO-007-PRIMARY</t>
  </si>
  <si>
    <t>DEMO-NOSTRO-007-PRIMARY-PRIMARY</t>
  </si>
  <si>
    <t>CTBAAU2S</t>
  </si>
  <si>
    <t>AUD BANK_REIMBURSEMENT for BofA via CBA</t>
  </si>
  <si>
    <t>SSI-DEMO-014</t>
  </si>
  <si>
    <t>50d51f4c-9905-46f2-ac93-e0e1a4330019</t>
  </si>
  <si>
    <t>ROUTE-AUD-ANZBAU3M</t>
  </si>
  <si>
    <t>DEMO-NOSTRO-007-SECONDARY</t>
  </si>
  <si>
    <t>DEMO-NOSTRO-007-SECONDARY-PRIMARY</t>
  </si>
  <si>
    <t>ANZBAU3M</t>
  </si>
  <si>
    <t>AUD BANK_REIMBURSEMENT for BofA via ANZ</t>
  </si>
  <si>
    <t>eb1a6c37-f327-4038-8241-8aac9f5d20b9</t>
  </si>
  <si>
    <t>APPL-FX_SETTLEMENT-CAD</t>
  </si>
  <si>
    <t>ROUTE-CAD-ROYCCAT2</t>
  </si>
  <si>
    <t>CA</t>
  </si>
  <si>
    <t>CA_DOMESTIC</t>
  </si>
  <si>
    <t>LYNX</t>
  </si>
  <si>
    <t>DEMO-NOSTRO-008-PRIMARY</t>
  </si>
  <si>
    <t>DEMO-NOSTRO-008-PRIMARY-PRIMARY</t>
  </si>
  <si>
    <t>ROYCCAT2</t>
  </si>
  <si>
    <t>53A,56A,57A,58A</t>
  </si>
  <si>
    <t>CAD INTERBANK_SETTLEMENT for JPM via RBC</t>
  </si>
  <si>
    <t>SSI-DEMO-016</t>
  </si>
  <si>
    <t>ed799438-a80b-4787-85e5-443a0ca5c5bb</t>
  </si>
  <si>
    <t>ROUTE-CAD-BOFMCAM2</t>
  </si>
  <si>
    <t>DEMO-NOSTRO-008-SECONDARY</t>
  </si>
  <si>
    <t>DEMO-NOSTRO-008-SECONDARY-PRIMARY</t>
  </si>
  <si>
    <t>BOFMCAM2</t>
  </si>
  <si>
    <t>CAD INTERBANK_SETTLEMENT for JPM via BMO</t>
  </si>
  <si>
    <t>b96e8d9a-327b-4fb0-9777-a9ad9d86ac43</t>
  </si>
  <si>
    <t>APPL-EXPORT_COLLECTION_PROCEEDS_SETTLEMENT-USD</t>
  </si>
  <si>
    <t>DEMO-NOSTRO-001-EXPCOLL</t>
  </si>
  <si>
    <t>DEMO-NOSTRO-001-EXPCOLL-PRIMARY</t>
  </si>
  <si>
    <t>USD JPM Standing Settlement Route via Citi</t>
  </si>
  <si>
    <t>946b7448-f719-4bd4-8d83-f66c597e1f6d</t>
  </si>
  <si>
    <t>APPL-MONEY_MARKET_SETTLEMENT-CHF</t>
  </si>
  <si>
    <t>ROUTE-CHF-UBSWCHZH80A</t>
  </si>
  <si>
    <t>CH</t>
  </si>
  <si>
    <t>CH_DOMESTIC</t>
  </si>
  <si>
    <t>SIC</t>
  </si>
  <si>
    <t>DEMO-NOSTRO-009-PRIMARY</t>
  </si>
  <si>
    <t>DEMO-NOSTRO-009-PRIMARY-PRIMARY</t>
  </si>
  <si>
    <t>UBSWCHZH80A</t>
  </si>
  <si>
    <t>CHF INTERBANK_SETTLEMENT for SCB via UBS</t>
  </si>
  <si>
    <t>SSI-DEMO-018</t>
  </si>
  <si>
    <t>1bb2ba6f-b11d-4ed8-8213-482dbfa6afd4</t>
  </si>
  <si>
    <t>ROUTE-CHF-CRESCHZZ80A</t>
  </si>
  <si>
    <t>DEMO-NOSTRO-009-SECONDARY</t>
  </si>
  <si>
    <t>DEMO-NOSTRO-009-SECONDARY-PRIMARY</t>
  </si>
  <si>
    <t>CRESCHZZ80A</t>
  </si>
  <si>
    <t>CHF INTERBANK_SETTLEMENT for SCB via CS</t>
  </si>
  <si>
    <t>2927617a-e7e4-479e-9bc4-27a6705383ee</t>
  </si>
  <si>
    <t>APPL-CUSTOMER_CREDIT_TRANSFER-CNY</t>
  </si>
  <si>
    <t>ROUTE-CNY-BKCHCNBJ</t>
  </si>
  <si>
    <t>CN</t>
  </si>
  <si>
    <t>ONSHORE_CN</t>
  </si>
  <si>
    <t>CIPS</t>
  </si>
  <si>
    <t>DEMO-NOSTRO-010-PRIMARY</t>
  </si>
  <si>
    <t>DEMO-NOSTRO-010-PRIMARY-PRIMARY</t>
  </si>
  <si>
    <t>BKCHCNBJ</t>
  </si>
  <si>
    <t>53A,54A,56A,57A,58A,CdtrAgt,IntrmyAgt1</t>
  </si>
  <si>
    <t>CNY CUSTOMER_TRANSFER for BNP via Bank of China</t>
  </si>
  <si>
    <t>SSI-DEMO-020</t>
  </si>
  <si>
    <t>38df686a-9022-4ad6-8ac7-22435411d983</t>
  </si>
  <si>
    <t>ROUTE-CNY-HSBCHKHH</t>
  </si>
  <si>
    <t>OFFSHORE_RENMINBI_HK</t>
  </si>
  <si>
    <t>RMB_CHATS</t>
  </si>
  <si>
    <t>DEMO-NOSTRO-010-SECONDARY</t>
  </si>
  <si>
    <t>DEMO-NOSTRO-010-SECONDARY-PRIMARY</t>
  </si>
  <si>
    <t>CNY CUSTOMER_TRANSFER for BNP via HSBC</t>
  </si>
  <si>
    <t>SSI-DEMO-041</t>
  </si>
  <si>
    <t>22a11830-f848-4281-805f-8e693c98b364</t>
  </si>
  <si>
    <t>NSSIUSN1</t>
  </si>
  <si>
    <t>NEGATIVE CONTROL — NOT COV ALLOW-LISTED</t>
  </si>
  <si>
    <t>APPL-NORTHSTAR-USD</t>
  </si>
  <si>
    <t>ROUTE-USD-CITIUS33-NORTHSTAR</t>
  </si>
  <si>
    <t>DEMO-NORTHSTAR-USD-001</t>
  </si>
  <si>
    <t>DEMO-NORTHSTAR-USD-001-PRIMARY</t>
  </si>
  <si>
    <t>DEMO-LIMITED-COVERAGE</t>
  </si>
  <si>
    <t>Northstar Limited USD Settlement via Citi</t>
  </si>
  <si>
    <t>MT202,MT205</t>
  </si>
  <si>
    <t>SSI-DEMO-042</t>
  </si>
  <si>
    <t>50531295-c91a-4eb5-9c21-69d2dab38b7c</t>
  </si>
  <si>
    <t>APPL-NORTHSTAR-GBP</t>
  </si>
  <si>
    <t>ROUTE-GBP-BARCGB22-NORTHSTAR</t>
  </si>
  <si>
    <t>DEMO-NORTHSTAR-GBP-001</t>
  </si>
  <si>
    <t>DEMO-NORTHSTAR-GBP-001-PRIMARY</t>
  </si>
  <si>
    <t>Northstar Limited GBP Settlement via Barclays</t>
  </si>
  <si>
    <t>資料註記</t>
  </si>
  <si>
    <t>1. SSI-DEMO-002／006／020 的 accountReference 各對應 4 筆 ACTIVE Nostro（兩個 servicer × PRIMARY/BACKUP），幣別、purpose、生效日完全相同。唯有以 servicer（= 該 SSI 的 accountWithBic）篩選才能唯一決定。若實作只做 accountReference + PRIMARY，會取到錯誤 servicer 的帳戶。</t>
  </si>
  <si>
    <t>2. SSI-DEMO-005／035 的 settlementCountry 為萬用值 ANY，是全表唯一使用萬用值者；可用於驗證硬過濾對 ANY 的處理。</t>
  </si>
  <si>
    <t>3. SSI-DEMO-019／020 是唯一候選分屬不同結算國者（CN onshore CIPS vs HK offshore RMB CHATS）。</t>
  </si>
  <si>
    <t>4. SSI-DEMO-004 的 counterpartyBic 為 BARCGB22 但 bic／accountWithBic 為 SCBLGB2L —— 這是「Barclays 經 Standard Chartered 代理」的合法路由，非資料矛盾。</t>
  </si>
  <si>
    <t>5. ssiTags 標示「(無)」者，該欄於原始資料為 null。依 EC-RANK-01，ssiTags 不得作為排序或決勝鍵。</t>
  </si>
  <si>
    <t>UI 輸入指引與常見誤判</t>
  </si>
  <si>
    <t>依 Resolution 畫面欄位順序整理。黃底欄位是最常造成假陽性的地方。</t>
  </si>
  <si>
    <t>畫面欄位</t>
  </si>
  <si>
    <t>本清單的填法</t>
  </si>
  <si>
    <t>說明</t>
  </si>
  <si>
    <t>輸出格式分頁</t>
  </si>
  <si>
    <t>依案例：MT 或 MX；切換格式不得重新解析或改變 confirmed snapshot</t>
  </si>
  <si>
    <t>SSI 只以 MX 執行 Resolution 與 RMA；選 MT 分頁只是回覆適用的 5x Tags，不改變 route、RMA 或 snapshot。</t>
  </si>
  <si>
    <t>依清單</t>
  </si>
  <si>
    <t>解析主鍵。畫面出現「SSI Record Available」只代表找到 Active SSI，不代表 eligible —— eligible 仍由 API Resolution 判定。</t>
  </si>
  <si>
    <t>硬過濾。任一 resolver input 變動後，舊結果須立即失效；重新 Preview 後 currency、chosen SSI、agent、nostro 與 provenance 必須整批一致。</t>
  </si>
  <si>
    <t>Booking Branch / Entity</t>
  </si>
  <si>
    <t>HK01 · Hong Kong Branch</t>
  </si>
  <si>
    <t>全部 42 筆 ACTIVE SSI 的 bookingEntity 均為 HK01；換成其他分行一律解析不到。</t>
  </si>
  <si>
    <t>Settlement Country</t>
  </si>
  <si>
    <t>留白</t>
  </si>
  <si>
    <t>硬過濾、非排序鍵。填錯會把唯一候選濾掉，回傳 SSI_NOT_FOUND，且錯誤訊息不會指出是 override 造成的。最常見的坑：把 BARCGB22 由 GBP 改 USD 時忘了清掉 GB（SSI-DEMO-024 的 settlementCountry 是 US）。</t>
  </si>
  <si>
    <t>Settlement Market</t>
  </si>
  <si>
    <t>同上。留白時由 eligible route 推導。</t>
  </si>
  <si>
    <t>Clearing System</t>
  </si>
  <si>
    <t>Derive from eligible route</t>
  </si>
  <si>
    <t>同上。</t>
  </si>
  <si>
    <t>Value Date</t>
  </si>
  <si>
    <t>任意營業日</t>
  </si>
  <si>
    <t>交易資料，不參與解析。畫面為美式 MM/DD/YYYY，填寫時請確認月日未顛倒。</t>
  </si>
  <si>
    <t>Amount</t>
  </si>
  <si>
    <t>任意</t>
  </si>
  <si>
    <t>交易資料，不參與解析。</t>
  </si>
  <si>
    <t>Transaction Reference</t>
  </si>
  <si>
    <t>任意唯一值</t>
  </si>
  <si>
    <t>交易資料，不參與解析。建議帶案例編號以便對帳，例如 UAT-MT2-001。</t>
  </si>
  <si>
    <t>每案必驗的回應不變式（A1–A4）</t>
  </si>
  <si>
    <t>A1_RESOLVED（200）</t>
  </si>
  <si>
    <t>chosenRoute 非 null 且完整；roleProvenance 非 null 且完整；snapshotHash 與 resolutionToken 存在；每個角色都有 source／sourceField／evidence 版本。</t>
  </si>
  <si>
    <t>A2_TIE（422）</t>
  </si>
  <si>
    <t>fail closed 轉 Repair Queue；payloadGenerated=false；無任何技術性決勝。</t>
  </si>
  <si>
    <t>A3_AMBIGUOUS_SHAPE（422）</t>
  </si>
  <si>
    <t>chosenRoute／canonicalRoute／agent roles／roleProvenance／messageComposerContext 全部為 null；candidates 非 null 且無序，每筆帶 tieMember 與 businessRank；不得出現 alternativeRoutes、renderedPayload、recommendedRoute。</t>
  </si>
  <si>
    <t>A4_NOSTRO_JOIN</t>
  </si>
  <si>
    <t>accountId 必須精確等於 ACTIVE Nostro 的 accountReference；禁止以 Nostro.id、maskedAccountRef 或前綴／模糊比對。</t>
  </si>
  <si>
    <t>跨筆混用檢查</t>
  </si>
  <si>
    <t>chosen 的帳號與 agent 必須來自同一筆 SSI。曾出現「帳號取自 022(GBP) 但 agent 取自 024(USD/CITIUS33)」的硬錯，務必回歸驗證。</t>
  </si>
  <si>
    <t>Message Scenarios（畫面「雙擊情境以套用參數」）</t>
  </si>
  <si>
    <t>【R2～R6 更正】情境可改變 Resolution Domain，原句「情境不改變 SSI 選取結果」已撤回。57A 省略規則未作廢（MRG p.52／p.54）。BOOK_TRANSFER 與 CREDIT_ONE_OF_SEVERAL 皆為 Sender 自有帳戶情境，均走 OWN_SSI_NOSTRO 且 Counterparty SSI = SKIPPED。【R6】兩情境目前皆不可由瀏覽器執行 —— 見 OPEN-007 SCENARIO_INPUT_NOT_BOUND。</t>
  </si>
  <si>
    <t>情境說明</t>
  </si>
  <si>
    <t>ISO 20022</t>
  </si>
  <si>
    <t>TARGET SCENARIO</t>
  </si>
  <si>
    <t>UAT 重點</t>
  </si>
  <si>
    <t>Book transfer — same receiver（兩個自有帳戶均由 Receiver 服務）【BLOCKED — IMPLEMENTATION】</t>
  </si>
  <si>
    <t>BOOK_TRANSFER_SAME_RECEIVER</t>
  </si>
  <si>
    <t>【R6】resolutionDomain=OWN_SSI_NOSTRO；counterpartySsiResolution=SKIPPED；chosenRoute=null；candidates=[]。own-account agent roles 存在，不得來自 Counterparty SSI。57a 必須省略（MRG p.52）；58A option A 載被貸記帳號 + Sender BIC（MRG p.54）。**目前不可執行**：portal 僅有兩個固定帳戶選項且 request payload 不含 scenario／借記／貸記帳戶（OPEN-007）。詳見 BOOK-01～05。</t>
  </si>
  <si>
    <t>Credit one of several accounts at 57A（明示指定自有貸記帳戶與 Account With Institution）</t>
  </si>
  <si>
    <t>CREDIT_ONE_OF_SEVERAL_AT_57A</t>
  </si>
  <si>
    <t>【R6】同屬自有帳戶情境：resolutionDomain=OWN_SSI_NOSTRO，Counterparty SSI 必須 SKIPPED。MRG p.54：credit one of several accounts owned by the Sender at an institution specified in field 57a —— 57a 必須出現。**目前不可執行**：fixture 未備（OPEN-006）且輸入未綁定（OPEN-007）。</t>
  </si>
  <si>
    <t>Initial MT200 / MT201 equivalence（沿用前手 MT200/201 context，不允許編輯銀行身分）</t>
  </si>
  <si>
    <t>INITIAL_MT200_201_EQUIVALENCE</t>
  </si>
  <si>
    <t>MT205 的 52a 為 Mandatory，須由前手 Category 2 指示帶入；缺值應回 MESSAGE_CONTEXT_MISSING，不得誤報 SSI_NOT_FOUND。</t>
  </si>
  <si>
    <t>MT205 COV — no MT200 / MT201 equivalence（保留前手 cover context；不套用 MT-only 的 58a 等於 52a 規則）</t>
  </si>
  <si>
    <t>NO_MT200_201_EQUIVALENCE</t>
  </si>
  <si>
    <t>12 組 approved allow-list 已可執行：11 組 RESOLVED；BARCGB22/GBP 回 SSI_AMBIGUOUS。僅未列入 allow-list 的 Northstar 負向控制回 503 PROFILE_INCOMPLETE。</t>
  </si>
  <si>
    <t>Case ID</t>
  </si>
  <si>
    <t>Precondition</t>
  </si>
  <si>
    <t>Action</t>
  </si>
  <si>
    <t>Expected Result</t>
  </si>
  <si>
    <t>Business Risk</t>
  </si>
  <si>
    <t>Execution Record</t>
  </si>
  <si>
    <t>UI-STALE-01</t>
  </si>
  <si>
    <t>BARCGB22 / USD 已 SSI_RESOLVED</t>
  </si>
  <si>
    <t>改 Currency 為 SGD（No SSI Record），不按 Preview</t>
  </si>
  <si>
    <t>舊結果立即清空或明確標 stale；不得顯示 RESOLVED、舊 agent、nostro 或 token。</t>
  </si>
  <si>
    <t>避免使用者把 USD 路由誤當 SGD 路由</t>
  </si>
  <si>
    <t>UI-RACE-01</t>
  </si>
  <si>
    <t>先送 USD Preview，立即切 GBP 再送 Preview</t>
  </si>
  <si>
    <t>以瀏覽器 route interception 固定延遲 USD response 1500 ms；GBP response 先返回</t>
  </si>
  <si>
    <t>畫面只接受最新 GBP request identity；遲到 USD response 不得回填。</t>
  </si>
  <si>
    <t>避免非同步競態造成跨幣別路由混用</t>
  </si>
  <si>
    <t>UI-BANK-SVC-01</t>
  </si>
  <si>
    <t>未選 Counterparty Bank Service</t>
  </si>
  <si>
    <t>以空 bankServiceId 送出 Preview</t>
  </si>
  <si>
    <t>fail closed；不得以 raw BIC fallback，須顯示可行動的欄位錯誤。</t>
  </si>
  <si>
    <t>維持 bankServiceId → BIC 的唯一受控解析鏈</t>
  </si>
  <si>
    <t>UI-BANK-SVC-02</t>
  </si>
  <si>
    <t>輸入不存在的 Bank Service ID</t>
  </si>
  <si>
    <t>送出 Preview</t>
  </si>
  <si>
    <t>HTTP 422 OPTION_CONSTRAINT_VIOLATION；不得產生 payload，亦不得接受 raw BIC fallback。</t>
  </si>
  <si>
    <t>防止未登錄銀行身分繞過 Bank Service</t>
  </si>
  <si>
    <t>Target Scenario</t>
  </si>
  <si>
    <t>Expected Behavior</t>
  </si>
  <si>
    <t>Separate From 48-Case Resolver Matrix</t>
  </si>
  <si>
    <t>SCN-202-01</t>
  </si>
  <si>
    <t>【R6】OWN_SSI_NOSTRO／SKIPPED／chosenRoute=null／candidates=[]；roleProvenance 全為 own-account 來源；57A 省略規則有效（MRG p.52／p.54）。**BLOCKED — IMPLEMENTATION（OPEN-007）**：scenario 與借貸帳戶未綁入 request payload。</t>
  </si>
  <si>
    <t>YES</t>
  </si>
  <si>
    <t>SCN-202-02</t>
  </si>
  <si>
    <t>【R6】CREDIT_ONE_OF_SEVERAL_AT_57A 同為自有帳戶情境：OWN_SSI_NOSTRO／SKIPPED；57a 必須出現並載持有多帳戶之機構；58A option A 載被貸記帳號 + Sender BIC。**BLOCKED**：fixture 未備（OPEN-006）＋輸入未綁定（OPEN-007）。</t>
  </si>
  <si>
    <t>SCN-205-01</t>
  </si>
  <si>
    <t>驗證前手 context 與 mandatory 52a；缺值回 MESSAGE_CONTEXT_MISSING。</t>
  </si>
  <si>
    <t>SCN-205COV-01</t>
  </si>
  <si>
    <t>驗證 cover context 傳遞且不套用 MT205-only 規則。</t>
  </si>
  <si>
    <t>SCN-202COV-GAP</t>
  </si>
  <si>
    <t>NO_REGISTERED_UI_SCENARIO</t>
  </si>
  <si>
    <t>登錄為情境覆蓋缺口；只執行 resolver baseline，不宣稱 scenario coverage。</t>
  </si>
  <si>
    <t>48 案主矩陣的 Resolver Baseline Profile 不是可選 UI scenario；不需套用情境。以上 5 案另計，不灌入 48 案分母。</t>
  </si>
  <si>
    <t>v15.2_DRAFT_R10 新增案例 — 20 案（執行證據候選版 · NOT APPROVED）</t>
  </si>
  <si>
    <t>20 案已在 PROPOSED_QA_ONLY 隔離 overlay 執行：API 20/20 PASS、Browser 20/20 PASS、Evidence 20/20 經 schema／registry／raw-byte SHA 與獨立 verifier 核驗。</t>
  </si>
  <si>
    <t>類別</t>
  </si>
  <si>
    <t>狀態</t>
  </si>
  <si>
    <t>未決項</t>
  </si>
  <si>
    <t>情境／前置條件</t>
  </si>
  <si>
    <t>Counterparty / Receiver</t>
  </si>
  <si>
    <t>幣別</t>
  </si>
  <si>
    <t>借記 accountReference</t>
  </si>
  <si>
    <t>借記 nostroId</t>
  </si>
  <si>
    <t>借記 ver</t>
  </si>
  <si>
    <t>貸記 accountReference</t>
  </si>
  <si>
    <t>貸記 nostroId</t>
  </si>
  <si>
    <t>貸記 ver</t>
  </si>
  <si>
    <t>servicer / Receiver BIC</t>
  </si>
  <si>
    <t>receiverBankServiceId</t>
  </si>
  <si>
    <t>Sender BIC</t>
  </si>
  <si>
    <t>Booking Entity</t>
  </si>
  <si>
    <t>chosen SSI</t>
  </si>
  <si>
    <t>SSI ver</t>
  </si>
  <si>
    <t>agent 對照</t>
  </si>
  <si>
    <t>預期 resolutionDomain</t>
  </si>
  <si>
    <t>counterpartySsiResolution</t>
  </si>
  <si>
    <t>預期 decision / code</t>
  </si>
  <si>
    <t>reasonCode</t>
  </si>
  <si>
    <t>chosenRoute</t>
  </si>
  <si>
    <t>candidates</t>
  </si>
  <si>
    <t>斷言內容</t>
  </si>
  <si>
    <t>MRG 錨點</t>
  </si>
  <si>
    <t>業務風險</t>
  </si>
  <si>
    <t>Evidence 狀態</t>
  </si>
  <si>
    <t>Evidence JSON Path</t>
  </si>
  <si>
    <t>Machine Assertion ID</t>
  </si>
  <si>
    <t>Actual reasonCode</t>
  </si>
  <si>
    <t>Actual chosen SSI / ver</t>
  </si>
  <si>
    <t>證據完整性</t>
  </si>
  <si>
    <t>Evidence SHA-256</t>
  </si>
  <si>
    <t>Evidence SHA 格式</t>
  </si>
  <si>
    <t>BOOK-01</t>
  </si>
  <si>
    <t>BOOK_TRANSFER 正向</t>
  </si>
  <si>
    <t>CLOSED</t>
  </si>
  <si>
    <t>—（OPEN-003／006／009／010 已關閉）</t>
  </si>
  <si>
    <t>同幣別、同一 Receiver 服務之兩個自有帳戶</t>
  </si>
  <si>
    <t>CITIUS33（Receiver）</t>
  </si>
  <si>
    <t>fe5d672f-311e-4eb9-88bf-f8538d45793c</t>
  </si>
  <si>
    <t>d28b0fc3-a0d8-4e16-a5e4-64325760b331</t>
  </si>
  <si>
    <t>DEMOHKHH</t>
  </si>
  <si>
    <t>—（不查 Counterparty SSI）</t>
  </si>
  <si>
    <t>—</t>
  </si>
  <si>
    <t>N/A</t>
  </si>
  <si>
    <t>OWN_SSI_NOSTRO</t>
  </si>
  <si>
    <t>SKIPPED</t>
  </si>
  <si>
    <t>RESOLVED</t>
  </si>
  <si>
    <t>—（正向無 reasonCode）</t>
  </si>
  <si>
    <t>null</t>
  </si>
  <si>
    <t>[]</t>
  </si>
  <si>
    <t>七項集中驗證：(1) resolutionDomain=OWN_SSI_NOSTRO；(2) Counterparty SSI=SKIPPED；(3) MT 53B 必須存在且為 option B，Party Identifier=/&lt;借記 accountReference&gt;；(4) 57A 省略並標 OMITTED_BY_RULE；(5) 58A option A 第一行=/&lt;貸記 accountReference&gt;、第二行=DEMOHKHH；(6) debitReference 與 creditReference 渲染字串必須不同；即使 nostroId 不同，只要帳號字串相同即 422 OWN_ACCOUNT_DEBIT_CREDIT_COLLISION；(7) MX DbtrAcct/SttlmAcct 與 MT 53B/58A 帳號逐字一致，provenance 只得為 OWN_ENTITY／OWN_SSI_NOSTRO／RECEIVER_BANK_SERVICE。</t>
  </si>
  <si>
    <t>SR2026 Cat2 MT202 p.40（53B debit／58A credit+Sender）；p.45（53a option B must）；p.52（57a omitted means Receiver=Awi）；p.54（58a option A）</t>
  </si>
  <si>
    <t>58A 若填對手行或 57A 未省略，等於把自有帳戶移轉當成對外付款。</t>
  </si>
  <si>
    <t>DELIVERED</t>
  </si>
  <si>
    <t>qa/reports/evidence/v15.2/BOOK-01.json</t>
  </si>
  <si>
    <t>ASSERTION-SET-BOOK-01</t>
  </si>
  <si>
    <t>371696807835a8c0c1a9ca0bd9bcf4d7d8bd37d457db20404b53c6d772fa8721</t>
  </si>
  <si>
    <t>acc40d37-e734-41b8-8040-beb2bd50ca4d</t>
  </si>
  <si>
    <t>BOOK-01-e3928fa9-eadf-4416-b632-7930f1f96402</t>
  </si>
  <si>
    <t>Codex API Evidence Runner</t>
  </si>
  <si>
    <t>PASS</t>
  </si>
  <si>
    <t>C644E6B4CD8E4082048D6EBE8EBCD0A54C26D23EA2B0730395827564B130F852</t>
  </si>
  <si>
    <t>BOOK-02</t>
  </si>
  <si>
    <t>BOOK_TRANSFER 負向 — 跨幣別</t>
  </si>
  <si>
    <t>同一 servicer（HSBCHKHH），幣別不同；唯一變因為幣別</t>
  </si>
  <si>
    <t>HSBCHKHH（Receiver）</t>
  </si>
  <si>
    <t>HKD → USD</t>
  </si>
  <si>
    <t>f976e74f-4f58-4efd-86b9-48921a3db5a0</t>
  </si>
  <si>
    <t>d4ee3d85-7ad4-4767-9046-33a050705a78</t>
  </si>
  <si>
    <t>OPTION_CONSTRAINT_VIOLATION</t>
  </si>
  <si>
    <t>OWN_ACCOUNT_CURRENCY_MISMATCH</t>
  </si>
  <si>
    <t>須 fail closed：不得產生 payload、不得回退為單幣別解析、不得誤報 SSI_NOT_FOUND 或 PROFILE_INCOMPLETE。MT202 之 32A／pacs.009 IntrBkSttlmAmt 僅能承載單一幣別金額。code 與 reasonCode 須為兩個獨立欄位。注意：貸記之 accountReference DEMO-NOSTRO-001-SECONDARY 在 ACTIVE Nostro 中同時存在 CHASUS33 與 HSBCHKHH 兩筆，本案以 nostroId d4ee3d85-7ad4-4767-9046-33a050705a78（HSBCHKHH／PRIMARY／v4）唯一指定，不得以 accountReference 解析。</t>
  </si>
  <si>
    <t>p.54</t>
  </si>
  <si>
    <t>跨幣別誤放行會產生無法結算的電文，並隱含未定價的 FX 部位。</t>
  </si>
  <si>
    <t>qa/reports/evidence/v15.2/BOOK-02.json</t>
  </si>
  <si>
    <t>ASSERT-BOOK-02</t>
  </si>
  <si>
    <t>N/A（422 fail-closed）</t>
  </si>
  <si>
    <t>BOOK-02-2c841c4c-26cf-4459-93fe-42e438a011ed</t>
  </si>
  <si>
    <t>0F7C8DEDB7E89B5972F91C0CC83C3D03DD2EC4D4FE4552823DD48D48C8B967C2</t>
  </si>
  <si>
    <t>BOOK-03</t>
  </si>
  <si>
    <t>BOOK_TRANSFER 負向 — 不同 servicer</t>
  </si>
  <si>
    <t>同幣別 USD，貸記帳戶之 servicer 不等於宣告 Receiver</t>
  </si>
  <si>
    <t>CITIUS33（宣告 Receiver）</t>
  </si>
  <si>
    <t>CITIUS33（宣告）vs HSBCHKHH（貸記實際）</t>
  </si>
  <si>
    <t>OWN_ACCOUNT_RECEIVER_MISMATCH</t>
  </si>
  <si>
    <t>MRG p.54 明定前提為 two accounts owned by the Sender and serviced by the Receiver。貸記帳戶之 accountServicerBic（HSBCHKHH）不等於宣告 Receiver（CITIUS33）即不符前提，須 fail closed；不得以 57A 補救、不得轉為 MT200 流程、不得任選其一 servicer 續行。貸記側同以 nostroId d4ee3d85-7ad4-4767-9046-33a050705a78 唯一指定，避免與 CHASUS33 同名記錄混淆。</t>
  </si>
  <si>
    <t>不同 servicer 仍放行，會產出一筆 Receiver 無法執行的 book transfer。</t>
  </si>
  <si>
    <t>qa/reports/evidence/v15.2/BOOK-03.json</t>
  </si>
  <si>
    <t>ASSERT-BOOK-03</t>
  </si>
  <si>
    <t>BOOK-03-46f0ff3c-0184-4f82-871e-82901ffb0db4</t>
  </si>
  <si>
    <t>72A6F6C010D788C1EBF32F3DB95D3A57E1E581A950469A32C5DBB631DA8A8D06</t>
  </si>
  <si>
    <t>BOOK-04</t>
  </si>
  <si>
    <t>BOOK_TRANSFER 負向 — Counterparty 洩漏</t>
  </si>
  <si>
    <t>與 BOOK-01 完全相同輸入；檢視原始 JSON 與後端查詢軌跡</t>
  </si>
  <si>
    <t>回應中不得出現 SSI-DEMO-021 或任何 counterparty ssiCode／ssiId／version；roleProvenance 不得出現 source=COUNTERPARTY_SSI；candidates 必須為空陣列而非省略欄位；並以 correlation id 追軌跡，確認後端未對 Counterparty SSI 發出查詢。SKIPPED 若僅是不顯示而仍查詢，即為資料存取缺陷。 同時必須驗 MT 53B 與 58A 帳號格式及 MT/MX 帳號一致性；未驗者不得判 PASS。</t>
  </si>
  <si>
    <t>SKIPPED 若只是不顯示卻仍查詢，等於對手行資料在自有帳戶情境下被不當存取。</t>
  </si>
  <si>
    <t>qa/reports/evidence/v15.2/BOOK-04.json</t>
  </si>
  <si>
    <t>ASSERT-BOOK-04</t>
  </si>
  <si>
    <t>1fbe3506-19cc-4d14-b953-bdafafc37de8</t>
  </si>
  <si>
    <t>BOOK-04-9944cbd0-254c-44ba-83b1-39649e1ddc2b</t>
  </si>
  <si>
    <t>3F8E87820E9F614FC97458C4099F1B33EF00DEC5ABF8C89F4B082DF6052841C1</t>
  </si>
  <si>
    <t>BOOK-05</t>
  </si>
  <si>
    <t>BOOK_TRANSFER 負向 — stale／race</t>
  </si>
  <si>
    <t>BOOK-01 成功後變更貸記帳戶或 Receiver；另以 1500 ms 延遲重現遲到回應</t>
  </si>
  <si>
    <t>CITIUS33 → 變更後</t>
  </si>
  <si>
    <t>N/A (UI-only)</t>
  </si>
  <si>
    <t>變更貸記帳戶或 Receiver 當下，舊結果須立即清空或明確標記 stale，不得等待下一次 Preview；遲到之舊 request 回應不得回填畫面。本案為純 UI 行為驗證，無對應 HTTP／code 預期值；與 UI-STALE-01／UI-RACE-01 同族但作用於 OWN_SSI_NOSTRO 域。</t>
  </si>
  <si>
    <t>—（UI 契約）</t>
  </si>
  <si>
    <t>自有帳戶情境殘留舊結果，會使使用者以錯誤帳戶送出移轉。</t>
  </si>
  <si>
    <t>qa/reports/evidence/v15.2/BOOK-05.json</t>
  </si>
  <si>
    <t>ASSERTION-SET-BOOK-05</t>
  </si>
  <si>
    <t>7697d9c9-76cd-47c2-bb53-1064e067fb8c</t>
  </si>
  <si>
    <t>3da608af-d7b7-4b5d-a4a9-1534d7daed03</t>
  </si>
  <si>
    <t>Codex Playwright Chromium UAT</t>
  </si>
  <si>
    <t>F50543ADD0B7FC2AD3C15BABF60699BB52295DFB7CA18AD267D4F9DD0A9F7D87</t>
  </si>
  <si>
    <t>GEN-202-01</t>
  </si>
  <si>
    <t>generic MT202 對照（SAME-BIC 控制組）</t>
  </si>
  <si>
    <t>不套用任何 UI scenario</t>
  </si>
  <si>
    <t>CITIUS33（Nostro servicer）</t>
  </si>
  <si>
    <t>SAME</t>
  </si>
  <si>
    <t>COUNTERPARTY_SSI</t>
  </si>
  <si>
    <t>non-null（完整）</t>
  </si>
  <si>
    <t>（依候選數）</t>
  </si>
  <si>
    <t>不套情境時 MT202 須正常走 COUNTERPARTY_SSI 並解析 SSI-DEMO-001 v44。為 BOOK 情境之對照組：證明 domain 切換源自情境本身而非電文型別。 逐欄斷言：instructedAgent=CITIUS33（source=actualReceiverBic）；creditorAgent=CITIUS33（source=accountWithBic）；**Cdtr／58A 取自 REQUEST_PASS_THROUGH，禁止讀取 SSI.beneficiaryBic**；chosen SSI version=44；SttlmAcct=DEMO-NOSTRO-001-PRIMARY-PRIMARY 且其 accountServicerBic=CITIUS33；currency=USD；snapshotHash 等於受控 snapshot。</t>
  </si>
  <si>
    <t>缺對照組時無法分辨 domain 錯誤來自情境或電文；缺錨點則缺陷單易被以情境不適格退票。</t>
  </si>
  <si>
    <t>qa/reports/evidence/v15.2/GEN-202-01.json</t>
  </si>
  <si>
    <t>ASSERT-GEN-202-01</t>
  </si>
  <si>
    <t>SSI-DEMO-001 / v44</t>
  </si>
  <si>
    <t>ac7cc478-0123-4283-bf45-0f9b8d6eb2cc</t>
  </si>
  <si>
    <t>GEN-202-01-6b7857f5-bbe2-4f33-aad4-cb689e7aa23a</t>
  </si>
  <si>
    <t>D0B3AD00914DDE6514F0A352FF674FC2F3A1A41BA6E37A984C3CD95E912711A9</t>
  </si>
  <si>
    <t>GEN-202-02</t>
  </si>
  <si>
    <t>generic MT202 對照（VIA-BIC 證據錨點）</t>
  </si>
  <si>
    <t>VIA</t>
  </si>
  <si>
    <t>DEF-001 之正式證據錨點。原證據取自 BOOK_TRANSFER 情境，依裁決該情境本不解析 Counterparty SSI，故不適格；本案以 generic MT202 重新取原始 JSON。 逐欄斷言：instructedAgent=CITIUS33（source=actualReceiverBic）；creditorAgent=CITIUS33（source=accountWithBic）；**Cdtr／58A 取自 REQUEST_PASS_THROUGH，禁止讀取 SSI.beneficiaryBic**；chosen SSI version=39；SttlmAcct=DEMO-NOSTRO-001-EXPCOLL-PRIMARY 且其 accountServicerBic=CITIUS33；currency=USD；snapshotHash 等於受控 snapshot。</t>
  </si>
  <si>
    <t>qa/reports/evidence/v15.2/GEN-202-02.json</t>
  </si>
  <si>
    <t>ASSERT-GEN-202-02</t>
  </si>
  <si>
    <t>SSI-DEMO-021 / v39</t>
  </si>
  <si>
    <t>1f4d74fc-065c-41a9-852e-3948cda79437</t>
  </si>
  <si>
    <t>GEN-202-02-d006af77-e4ec-492e-b1db-bdd6cdbf3faf</t>
  </si>
  <si>
    <t>qa/reports/MT2XX_v15.2_browser_UAT_overlay_20260911.json; DEF-001 CLOSED</t>
  </si>
  <si>
    <t>72353FB92E48C55A63FEC094D06939AC5585EEEC5FD28A8A18B55EBAFFE46DD2</t>
  </si>
  <si>
    <t>OMIT-57A-01</t>
  </si>
  <si>
    <t>57A 省略（帳戶行 ≠ 上手指定受益機構）</t>
  </si>
  <si>
    <t>不套用情境；檢視 MT 5x Tags 與 MX CdtrAgt</t>
  </si>
  <si>
    <t>本組 accountWithBic = actualReceiverBic = CITIUS33，依 MRG p.52 及 MTMX-57A-01，**57A 必須省略並標 OMITTED_BY_RULE**。58A 內容取自 **REQUEST_PASS_THROUGH**，**禁止讀取 SSI.beneficiaryBic** —— 即使數值相同，來源標記錯誤即為缺陷。MX 端仍應輸出 CdtrAgt=CITIUS33。本案驗「正確省略」與「58A 來源正確」，非 57A 內容。</t>
  </si>
  <si>
    <t>p.52</t>
  </si>
  <si>
    <t>若誤輸出 57A、或 58A 改讀 SSI 欄位，電文會指向錯誤帳戶行或繞過上手指示。</t>
  </si>
  <si>
    <t>qa/reports/evidence/v15.2/OMIT-57A-01.json</t>
  </si>
  <si>
    <t>ASSERTION-SET-OMIT-57A-01</t>
  </si>
  <si>
    <t>SSI-DEMO-024 / v19</t>
  </si>
  <si>
    <t>c2d82ec2-498e-4b05-877b-33532c56286e</t>
  </si>
  <si>
    <t>OMIT-57A-01-5f0987fb-449f-4e97-b598-8635f8be0197</t>
  </si>
  <si>
    <t>C3359E3252C50CD262279A1B46DC8B163D52ECC5316466DA0C3B0DB77766882A</t>
  </si>
  <si>
    <t>OMIT-57A-02</t>
  </si>
  <si>
    <t>BKCHCNBJ（Nostro servicer）</t>
  </si>
  <si>
    <t>BANK-SVC-BKCHCNBJ</t>
  </si>
  <si>
    <t>本組 accountWithBic = actualReceiverBic = BKCHCNBJ，依 MRG p.52 及 MTMX-57A-01，**57A 必須省略並標 OMITTED_BY_RULE**。58A 內容取自 **REQUEST_PASS_THROUGH**，**禁止讀取 SSI.beneficiaryBic** —— 即使數值相同，來源標記錯誤即為缺陷。MX 端仍應輸出 CdtrAgt=BKCHCNBJ。本案驗「正確省略」與「58A 來源正確」，非 57A 內容。</t>
  </si>
  <si>
    <t>qa/reports/evidence/v15.2/OMIT-57A-02.json</t>
  </si>
  <si>
    <t>ASSERTION-SET-OMIT-57A-02</t>
  </si>
  <si>
    <t>SSI-DEMO-019 / v44</t>
  </si>
  <si>
    <t>fbab6b3e-cf7d-4854-ba06-1e2696b18bc4</t>
  </si>
  <si>
    <t>OMIT-57A-02-f36c8909-fe9b-468e-a17f-dac985bfbae3</t>
  </si>
  <si>
    <t>96352A3DC2FD1A0A6D22435F375AFA775E1EF7B1BCCD2B958C52A5201393553A</t>
  </si>
  <si>
    <t>OMIT-57A-03</t>
  </si>
  <si>
    <t>CTBAAU2S（Nostro servicer）</t>
  </si>
  <si>
    <t>BANK-SVC-CTBAAU2S</t>
  </si>
  <si>
    <t>本組 accountWithBic = actualReceiverBic = CTBAAU2S，依 MRG p.52 及 MTMX-57A-01，**57A 必須省略並標 OMITTED_BY_RULE**。58A 內容取自 **REQUEST_PASS_THROUGH**，**禁止讀取 SSI.beneficiaryBic** —— 即使數值相同，來源標記錯誤即為缺陷。MX 端仍應輸出 CdtrAgt=CTBAAU2S。本案驗「正確省略」與「58A 來源正確」，非 57A 內容。</t>
  </si>
  <si>
    <t>qa/reports/evidence/v15.2/OMIT-57A-03.json</t>
  </si>
  <si>
    <t>ASSERTION-SET-OMIT-57A-03</t>
  </si>
  <si>
    <t>SSI-DEMO-013 / v39</t>
  </si>
  <si>
    <t>75bf58e8-503c-4d28-a1f1-716a6da86ba6</t>
  </si>
  <si>
    <t>OMIT-57A-03-61c749e5-3c0e-4186-bf8d-8d994ffcbed5</t>
  </si>
  <si>
    <t>41AE4FECF9C9711DA333AEAE472DF304FCBF4B9BA259B948B792DE05339D98F7</t>
  </si>
  <si>
    <t>OMIT-57A-04</t>
  </si>
  <si>
    <t>ROYCCAT2（Nostro servicer）</t>
  </si>
  <si>
    <t>BANK-SVC-ROYCCAT2</t>
  </si>
  <si>
    <t>本組 accountWithBic = actualReceiverBic = ROYCCAT2，依 MRG p.52 及 MTMX-57A-01，**57A 必須省略並標 OMITTED_BY_RULE**。58A 內容取自 **REQUEST_PASS_THROUGH**，**禁止讀取 SSI.beneficiaryBic** —— 即使數值相同，來源標記錯誤即為缺陷。MX 端仍應輸出 CdtrAgt=ROYCCAT2。本案驗「正確省略」與「58A 來源正確」，非 57A 內容。</t>
  </si>
  <si>
    <t>qa/reports/evidence/v15.2/OMIT-57A-04.json</t>
  </si>
  <si>
    <t>ASSERTION-SET-OMIT-57A-04</t>
  </si>
  <si>
    <t>SSI-DEMO-015 / v39</t>
  </si>
  <si>
    <t>66476764-13ff-4109-bb76-bd1ec755c8d4</t>
  </si>
  <si>
    <t>OMIT-57A-04-d4c81373-37b8-42c1-aef4-2fb61343796e</t>
  </si>
  <si>
    <t>452205138164DB30DEC2194CEEE658C8078409242514E01D404A557787A59CCB</t>
  </si>
  <si>
    <t>OMIT-57A-05</t>
  </si>
  <si>
    <t>qa/reports/evidence/v15.2/OMIT-57A-05.json</t>
  </si>
  <si>
    <t>ASSERTION-SET-OMIT-57A-05</t>
  </si>
  <si>
    <t>391e9c06-129b-4b22-850e-0dd19ad42b2b</t>
  </si>
  <si>
    <t>OMIT-57A-05-b253fb44-2642-4321-9e25-5e58ff2ccf67</t>
  </si>
  <si>
    <t>14A786BA559E8A5E50C066C41ED2EE01F37CEBDCE577F8BA744E7556F13AA664</t>
  </si>
  <si>
    <t>OMIT-57A-06</t>
  </si>
  <si>
    <t>UBSWCHZH80A（Nostro servicer）</t>
  </si>
  <si>
    <t>BANK-SVC-UBSWCHZH80A</t>
  </si>
  <si>
    <t>本組 accountWithBic = actualReceiverBic = UBSWCHZH80A，依 MRG p.52 及 MTMX-57A-01，**57A 必須省略並標 OMITTED_BY_RULE**。58A 內容取自 **REQUEST_PASS_THROUGH**，**禁止讀取 SSI.beneficiaryBic** —— 即使數值相同，來源標記錯誤即為缺陷。MX 端仍應輸出 CdtrAgt=UBSWCHZH80A。本案驗「正確省略」與「58A 來源正確」，非 57A 內容。</t>
  </si>
  <si>
    <t>qa/reports/evidence/v15.2/OMIT-57A-06.json</t>
  </si>
  <si>
    <t>ASSERTION-SET-OMIT-57A-06</t>
  </si>
  <si>
    <t>SSI-DEMO-017 / v39</t>
  </si>
  <si>
    <t>6963264b-6f1d-4f8d-b814-393e1474bcfb</t>
  </si>
  <si>
    <t>OMIT-57A-06-d65ea49c-78a6-4a5c-b3c8-0a8b187c21ad</t>
  </si>
  <si>
    <t>AECBA1D99B4C4FD8D21B7C8D7E24CB43565E630B2A73F6D1C8D2AD654589D049</t>
  </si>
  <si>
    <t>PROV-00</t>
  </si>
  <si>
    <t>agent provenance（SAME-BIC 控制組）</t>
  </si>
  <si>
    <t>不套用情境；讀原始 JSON</t>
  </si>
  <si>
    <t>控制組：actualReceiverBic 等於 counterpartyBic，DEF-001 即使存在亦不現形。預期 PASS，但不得計入 provenance 有效覆蓋。仍須斷言 creditorAgent、Cdtr／58A 來源為 REQUEST_PASS_THROUGH（禁讀 SSI.beneficiaryBic）、SSI version=44、Nostro accountServicerBic=CITIUS33、currency=USD 與 snapshotHash。</t>
  </si>
  <si>
    <t>僅測此類案例，會在缺陷仍存在時得到 100% 通過。</t>
  </si>
  <si>
    <t>qa/reports/evidence/v15.2/PROV-00.json</t>
  </si>
  <si>
    <t>ASSERT-PROV-00</t>
  </si>
  <si>
    <t>4d88e0a3-0fb9-4a08-92b6-d6bfee1389d7</t>
  </si>
  <si>
    <t>PROV-00-f43ebb67-8357-47bc-8505-27127ca869ad</t>
  </si>
  <si>
    <t>F23E52559C3EF363A3A2350E6847D3C175BF94925C6FEF9DBD889F220DF86746</t>
  </si>
  <si>
    <t>PROV-01</t>
  </si>
  <si>
    <t>agent provenance（VIA-BIC 曝險組）</t>
  </si>
  <si>
    <t>逐欄斷言：instructedAgent=CITIUS33（actualReceiverBic），**不得為 BARCGB22（counterpartyBic）**；creditorAgent=CITIUS33（accountWithBic）；**Cdtr／58A 之 source 必須為 REQUEST_PASS_THROUGH，禁讀 SSI.beneficiaryBic**；chosen SSI version=19；SttlmAcct=DEMO-NOSTRO-USD-IMPCOLL-BARC-PRIMARY 且 accountServicerBic=CITIUS33；currency=USD；snapshotHash 等於受控 snapshot。SttlmMtd=INDA 時 instructedAgent 須等於該 Nostro 之 accountServicerBic。</t>
  </si>
  <si>
    <t>instructedAgent 取錯會使 MT202 送往錯誤收報行；58A 改讀 SSI 欄位則繞過上手指示。</t>
  </si>
  <si>
    <t>qa/reports/evidence/v15.2/PROV-01.json</t>
  </si>
  <si>
    <t>ASSERTION-SET-PROV-01</t>
  </si>
  <si>
    <t>1ad0242d-c504-45cc-85a8-976eca3be586</t>
  </si>
  <si>
    <t>PROV-01-819405fe-12c5-40ec-8012-cc1ed9b15de8</t>
  </si>
  <si>
    <t>10735BBC9F880B35FE0CB6F8C162498CD60814D7E1CB4071D973C1C3BC37AFC8</t>
  </si>
  <si>
    <t>PROV-02</t>
  </si>
  <si>
    <t>逐欄斷言：instructedAgent=BKCHCNBJ（actualReceiverBic），**不得為 BNPAFRPP（counterpartyBic）**；creditorAgent=BKCHCNBJ（accountWithBic）；**Cdtr／58A 之 source 必須為 REQUEST_PASS_THROUGH，禁讀 SSI.beneficiaryBic**；chosen SSI version=44；SttlmAcct=DEMO-NOSTRO-010-PRIMARY-PRIMARY 且 accountServicerBic=BKCHCNBJ；currency=CNY；snapshotHash 等於受控 snapshot。SttlmMtd=INDA 時 instructedAgent 須等於該 Nostro 之 accountServicerBic。</t>
  </si>
  <si>
    <t>qa/reports/evidence/v15.2/PROV-02.json</t>
  </si>
  <si>
    <t>ASSERTION-SET-PROV-02</t>
  </si>
  <si>
    <t>a4655f59-4da1-4341-9d62-53981bcd9514</t>
  </si>
  <si>
    <t>PROV-02-c9d4cbc9-7e2d-4649-881d-7a1688be1772</t>
  </si>
  <si>
    <t>02A78A8E6708DD79D8BCE89D32B305F2056D80B04E23F79E317562A6A63B7299</t>
  </si>
  <si>
    <t>PROV-03</t>
  </si>
  <si>
    <t>逐欄斷言：instructedAgent=CTBAAU2S（actualReceiverBic），**不得為 BOFAUS3N（counterpartyBic）**；creditorAgent=CTBAAU2S（accountWithBic）；**Cdtr／58A 之 source 必須為 REQUEST_PASS_THROUGH，禁讀 SSI.beneficiaryBic**；chosen SSI version=39；SttlmAcct=DEMO-NOSTRO-007-PRIMARY-PRIMARY 且 accountServicerBic=CTBAAU2S；currency=AUD；snapshotHash 等於受控 snapshot。SttlmMtd=INDA 時 instructedAgent 須等於該 Nostro 之 accountServicerBic。</t>
  </si>
  <si>
    <t>qa/reports/evidence/v15.2/PROV-03.json</t>
  </si>
  <si>
    <t>ASSERTION-SET-PROV-03</t>
  </si>
  <si>
    <t>d3efa593-03ff-4c39-9abb-01ff63df1468</t>
  </si>
  <si>
    <t>PROV-03-f596cd8e-f82b-4290-b209-09158511b8c1</t>
  </si>
  <si>
    <t>3A45178431F2F45BD14EFE1628801D998513D71373635A243E7639DA2F093DD2</t>
  </si>
  <si>
    <t>PROV-04</t>
  </si>
  <si>
    <t>逐欄斷言：instructedAgent=ROYCCAT2（actualReceiverBic），**不得為 CHASUS33（counterpartyBic）**；creditorAgent=ROYCCAT2（accountWithBic）；**Cdtr／58A 之 source 必須為 REQUEST_PASS_THROUGH，禁讀 SSI.beneficiaryBic**；chosen SSI version=39；SttlmAcct=DEMO-NOSTRO-008-PRIMARY-PRIMARY 且 accountServicerBic=ROYCCAT2；currency=CAD；snapshotHash 等於受控 snapshot。SttlmMtd=INDA 時 instructedAgent 須等於該 Nostro 之 accountServicerBic。</t>
  </si>
  <si>
    <t>qa/reports/evidence/v15.2/PROV-04.json</t>
  </si>
  <si>
    <t>ASSERTION-SET-PROV-04</t>
  </si>
  <si>
    <t>c9c2778f-1cc0-4bf2-a263-1c11662139c1</t>
  </si>
  <si>
    <t>PROV-04-a99c9cda-5c34-4c42-9957-b684de9f7acb</t>
  </si>
  <si>
    <t>7787ED2C2717FAA78DA43B52A2BC34169B19589D2398E77597A904273FF2BE1D</t>
  </si>
  <si>
    <t>PROV-05</t>
  </si>
  <si>
    <t>逐欄斷言：instructedAgent=CITIUS33（actualReceiverBic），**不得為 CHASUS33（counterpartyBic）**；creditorAgent=CITIUS33（accountWithBic）；**Cdtr／58A 之 source 必須為 REQUEST_PASS_THROUGH，禁讀 SSI.beneficiaryBic**；chosen SSI version=39；SttlmAcct=DEMO-NOSTRO-001-EXPCOLL-PRIMARY 且 accountServicerBic=CITIUS33；currency=USD；snapshotHash 等於受控 snapshot。SttlmMtd=INDA 時 instructedAgent 須等於該 Nostro 之 accountServicerBic。</t>
  </si>
  <si>
    <t>qa/reports/evidence/v15.2/PROV-05.json</t>
  </si>
  <si>
    <t>ASSERTION-SET-PROV-05</t>
  </si>
  <si>
    <t>cdc1cd0f-6564-45d2-8817-d90f48dd7fc8</t>
  </si>
  <si>
    <t>PROV-05-690ba0cd-e775-4b99-8911-8c30d1e80888</t>
  </si>
  <si>
    <t>CB2938FC5E4345C6672201E8C0B4B5E57B44BC11344862E54601C8D7E8CF4486</t>
  </si>
  <si>
    <t>PROV-06</t>
  </si>
  <si>
    <t>逐欄斷言：instructedAgent=UBSWCHZH80A（actualReceiverBic），**不得為 SCBLGB2L（counterpartyBic）**；creditorAgent=UBSWCHZH80A（accountWithBic）；**Cdtr／58A 之 source 必須為 REQUEST_PASS_THROUGH，禁讀 SSI.beneficiaryBic**；chosen SSI version=39；SttlmAcct=DEMO-NOSTRO-009-PRIMARY-PRIMARY 且 accountServicerBic=UBSWCHZH80A；currency=CHF；snapshotHash 等於受控 snapshot。SttlmMtd=INDA 時 instructedAgent 須等於該 Nostro 之 accountServicerBic。</t>
  </si>
  <si>
    <t>qa/reports/evidence/v15.2/PROV-06.json</t>
  </si>
  <si>
    <t>ASSERTION-SET-PROV-06</t>
  </si>
  <si>
    <t>ab45ec6b-4321-4e8e-87ee-28d65f96876f</t>
  </si>
  <si>
    <t>PROV-06-f5578c05-8237-4d57-b0ca-35f6c1a7c7b3</t>
  </si>
  <si>
    <t>D079EE16D2F88D80FC636EB4557C93DE610874F3540689166C6B54C02CCF85BE</t>
  </si>
  <si>
    <t>彙總（自動計算）</t>
  </si>
  <si>
    <t>新增案例總數</t>
  </si>
  <si>
    <t>BLOCKED — IMPLEMENTATION</t>
  </si>
  <si>
    <t>BLOCKED — 待 BA 核准</t>
  </si>
  <si>
    <t>連結 OPEN-009 之案數</t>
  </si>
  <si>
    <t>Evidence = PLANNED</t>
  </si>
  <si>
    <t>Evidence = IN_PROGRESS</t>
  </si>
  <si>
    <t>Evidence = DELIVERED</t>
  </si>
  <si>
    <t>Evidence 小計（P+IP+D）</t>
  </si>
  <si>
    <t>Evidence 未分類差額（須為 0）</t>
  </si>
  <si>
    <t>案例狀態小計</t>
  </si>
  <si>
    <t>案例狀態未分類差額（須為 0）</t>
  </si>
  <si>
    <t>納入 v15.2 新增案執行分母</t>
  </si>
  <si>
    <t>實際 PASS</t>
  </si>
  <si>
    <t>實際 FAIL</t>
  </si>
  <si>
    <t>證據 INCOMPLETE 案數</t>
  </si>
  <si>
    <t>證據完整性 OK 案數</t>
  </si>
  <si>
    <t>未執行案數</t>
  </si>
  <si>
    <t>完整性小計（OK+INC+未執行）</t>
  </si>
  <si>
    <t>完整性未分類差額（須為 0）</t>
  </si>
  <si>
    <t>SHA 格式 VALID / INVALID</t>
  </si>
  <si>
    <t>未決項清單 — v15.2_DRAFT_R10 單一事實來源</t>
  </si>
  <si>
    <t>OPEN-001～010 皆已關閉；R10 仍為待 BA／QA 簽核的受控 DRAFT，不自動等同 production release。</t>
  </si>
  <si>
    <t>標題</t>
  </si>
  <si>
    <t>類型</t>
  </si>
  <si>
    <t>裁決者</t>
  </si>
  <si>
    <t>內容／證據</t>
  </si>
  <si>
    <t>受影響列</t>
  </si>
  <si>
    <t>OPEN-001</t>
  </si>
  <si>
    <t>BOOK-01～05 定義與 API shape</t>
  </si>
  <si>
    <t>裁決</t>
  </si>
  <si>
    <t>BA</t>
  </si>
  <si>
    <t>案例切分與正向／負向 shape 均已裁定並落入 BOOK-01～05。</t>
  </si>
  <si>
    <t>BOOK-01～05</t>
  </si>
  <si>
    <t>OPEN-005</t>
  </si>
  <si>
    <t>BOOK_TRANSFER 跨幣別</t>
  </si>
  <si>
    <t>已轉為 BOOK-02：422 / OPTION_CONSTRAINT_VIOLATION / OWN_ACCOUNT_CURRENCY_MISMATCH。</t>
  </si>
  <si>
    <t>OPEN-007</t>
  </si>
  <si>
    <t>SCENARIO_INPUT_NOT_BOUND</t>
  </si>
  <si>
    <t>實作阻擋</t>
  </si>
  <si>
    <t>工程</t>
  </si>
  <si>
    <t>CLOSED：UI/API 已綁定 scenarioCode、pinned debit/credit nostroId+version 與 receiverBankServiceId；BOOK-01～05 browser/API evidence PASS。</t>
  </si>
  <si>
    <t>BOOK-01～05；SCN-202-01／02</t>
  </si>
  <si>
    <t>OPEN-002</t>
  </si>
  <si>
    <t>新增 20 案之核准</t>
  </si>
  <si>
    <t>BA 已接受 20 案之業務預期，正式關閉。關閉依據：預期值由 post-migration snapshot（52A58C19901F1FBD6A3EE964968A14164EDA89DF22B284282C88D05C3D5CEEF6）、SR2026 Cat2 MRG（p.52／p.54）與 bank-service.current.json 導出並經逐輪覆核。關閉後 20 案之阻擋改為實作面：15 案待 OPEN-008；BOOK-01～05 待 OPEN-007＋OPEN-008。本項關閉不代表任何案件已執行或通過。</t>
  </si>
  <si>
    <t>全部 20 案（狀態已由 BLOCKED — 待 BA 核准 轉為 BLOCKED — IMPLEMENTATION）</t>
  </si>
  <si>
    <t>OPEN-003</t>
  </si>
  <si>
    <t>DEF-001 最終處置</t>
  </si>
  <si>
    <t>缺陷</t>
  </si>
  <si>
    <t>QA／工程</t>
  </si>
  <si>
    <t>CLOSED：GEN-202-02 與 PROV 證據證明 instructedAgent=CITIUS33（actualReceiverBic）；Cdtr=CHASUS33（REQUEST_PASS_THROUGH）。</t>
  </si>
  <si>
    <t>PROV-00～06；GEN-202-02</t>
  </si>
  <si>
    <t>48/48 報告引用範圍</t>
  </si>
  <si>
    <t>治理</t>
  </si>
  <si>
    <t>BA／QA</t>
  </si>
  <si>
    <t>CLOSED：舊 48/48 報告已由 scope addendum 限縮，補登 baseline snapshot 52A58C…CEEF6；addendum SHA-256=5B79D2722A319C8E060CF35F6BC428EAE5299F713F77A9FDF68AB86AB3F13B07。</t>
  </si>
  <si>
    <t>證據與範圍；最終報告</t>
  </si>
  <si>
    <t>明示 57A 之 fixture</t>
  </si>
  <si>
    <t>資料</t>
  </si>
  <si>
    <t>CLOSED：QA-only 明示 57A control PASS；overlay manifest SHA-256=52A3A9CAFE3ECBDAD8A9B05F5429BF500D00D85FEB978B6FBEE28BACF8AD7D4C；48-case drift=0。</t>
  </si>
  <si>
    <t>OPEN-008</t>
  </si>
  <si>
    <t>Evidence registry 與 schema</t>
  </si>
  <si>
    <t>CLOSED：evidence schema v1.0、20-case assertion registry、atomic raw-byte SHA runner 已實作；20/20 evidence 驗證通過。</t>
  </si>
  <si>
    <t>全部 20 案之 Evidence 欄；ASSERT-EVIDENCE-HASH</t>
  </si>
  <si>
    <t>MT202 BOOK_TRANSFER 報文契約</t>
  </si>
  <si>
    <t>產品／報文阻擋</t>
  </si>
  <si>
    <t>工程／QA</t>
  </si>
  <si>
    <t>CLOSED：BOOK-01～05 已驗 53B option B／58A 前導斜線／rendered account collision fail-closed／MT-MX 一致；API 與 Browser 皆 PASS。BA 映射：DbtrAcct+SttlmAcct=debit，CdtrAcct=credit。</t>
  </si>
  <si>
    <t>BOOK-01～05；ASSERT-MT202-53B-PRESENT；ASSERT-MT202-58A-PARTYID-FORMAT</t>
  </si>
  <si>
    <t>證據阻擋</t>
  </si>
  <si>
    <t>CLOSED：WAL-aware logical snapshot identity、schema v1.0、全域唯一 registry、raw-byte SHA 與獨立 verifier 全數通過；verifier SHA-256=46234AC5FE301257B6CA05B6155EC3D7B465834EB145513CF6881C2A1559DD63。</t>
  </si>
  <si>
    <t>全部 20 案；snapshotHash；assertion registry；evidence JSON</t>
  </si>
  <si>
    <t>v15.2_DRAFT_R5 → R6 變更說明</t>
  </si>
  <si>
    <t>48 案 A5:AD52 逐格未動。以下對應 BA 之五項阻擋。</t>
  </si>
  <si>
    <t>BA 阻擋</t>
  </si>
  <si>
    <t>R3 內容</t>
  </si>
  <si>
    <t>R4 修訂</t>
  </si>
  <si>
    <t>查證</t>
  </si>
  <si>
    <t>1</t>
  </si>
  <si>
    <t>Evidence SHA 可被繞過</t>
  </si>
  <si>
    <t>AT 僅檢查 AV 非空，填入單一字元 x 亦可得 OK</t>
  </si>
  <si>
    <t>新增 AW「Evidence SHA 格式」公式欄（置於最末，AP–AT 位置不變）：檢查 LEN(AV)=64 且以 16 層 SUBSTITUTE 剝除 0-9A-F 後長度為 0，回傳 VALID／INVALID；AT 追加條件 AW="VALID"</t>
  </si>
  <si>
    <t>工作表無法實算 SHA-256，故格式檢查落在表內、實算比對落在 runner</t>
  </si>
  <si>
    <t>1b</t>
  </si>
  <si>
    <t>實算比對</t>
  </si>
  <si>
    <t>無</t>
  </si>
  <si>
    <t>OPEN-008 關閉條件加入固定斷言 ASSERT-EVIDENCE-HASH：runner 實算 AG 所指 JSON 之 SHA-256 並比對 AV，不一致即 FAIL；未通過者 AF 不得標 DELIVERED</t>
  </si>
  <si>
    <t>依 BA 指示納入 OPEN-008 並給定固定 assertion ID</t>
  </si>
  <si>
    <t>2</t>
  </si>
  <si>
    <t>Evidence 帳本不守恆</t>
  </si>
  <si>
    <t>AF 允許三種值，彙總卻只數 PLANNED 與 DELIVERED，一旦開始執行即不再等於 20</t>
  </si>
  <si>
    <t>彙總新增 IN_PROGRESS 案數、Evidence 小計（P+IP+D）、Evidence 未分類差額（須恆為 0）</t>
  </si>
  <si>
    <t>reconciliation 恆等式：總數 = P + IP + D</t>
  </si>
  <si>
    <t>2b</t>
  </si>
  <si>
    <t>案例狀態帳本</t>
  </si>
  <si>
    <t>僅分列 BLOCKED 兩類，核准後 APPROVED／CLOSED 不計入</t>
  </si>
  <si>
    <t>新增案例狀態小計（BLOCKED-IMPL + BLOCKED-BA + APPROVED + CLOSED）與案例狀態未分類差額（須恆為 0）</t>
  </si>
  <si>
    <t>避免核准後帳本失真</t>
  </si>
  <si>
    <t>2c</t>
  </si>
  <si>
    <t>完整性帳本</t>
  </si>
  <si>
    <t>OK／INCOMPLETE／未執行 三者未做守恆</t>
  </si>
  <si>
    <t>新增完整性小計與完整性未分類差額（須恆為 0），並新增 SHA 格式 VALID／INVALID 計數</t>
  </si>
  <si>
    <t>三張帳本全部可自我核對</t>
  </si>
  <si>
    <t>3</t>
  </si>
  <si>
    <t>證據與範圍第 35 列</t>
  </si>
  <si>
    <t>僅泛稱 Tester／Date／Correlation 與 DELIVERED</t>
  </si>
  <si>
    <t>改寫為四組條件並明列三項 Evidence gate：AG JSON Path、AH Assertion ID、AV Evidence SHA-256，加上 AW 格式 VALID；並載明 runner 端 ASSERT-EVIDENCE-HASH 之責任分工</t>
  </si>
  <si>
    <t>依 BA 指示同步</t>
  </si>
  <si>
    <t>v15.2_DRAFT_R6 → R7 變更說明</t>
  </si>
  <si>
    <t>僅治理狀態更新。48 案 A5:AD52 與 20 案之全部預期值、斷言、fixture、Evidence 欄位皆未改動。</t>
  </si>
  <si>
    <t>#</t>
  </si>
  <si>
    <t>R6</t>
  </si>
  <si>
    <t>R7</t>
  </si>
  <si>
    <t>理由 / 保護</t>
  </si>
  <si>
    <t>OPEN — 待 BA 核准 20 案</t>
  </si>
  <si>
    <t>CLOSED —「BA 已接受 20 案業務預期」，並註明關閉依據與不代表已執行</t>
  </si>
  <si>
    <t>BA 裁決</t>
  </si>
  <si>
    <t>15 案狀態</t>
  </si>
  <si>
    <t>阻擋性質由業務核准轉為實作面</t>
  </si>
  <si>
    <t>15 案未決項</t>
  </si>
  <si>
    <t>OPEN-002／OPEN-002／OPEN-003</t>
  </si>
  <si>
    <t>OPEN-002 已關閉；剩餘阻擋為 Evidence 基礎設施</t>
  </si>
  <si>
    <t>BOOK-01～05 狀態</t>
  </si>
  <si>
    <t>BLOCKED — IMPLEMENTATION（未變）</t>
  </si>
  <si>
    <t>維持</t>
  </si>
  <si>
    <t>BOOK-01～05 未決項</t>
  </si>
  <si>
    <t>OPEN-002／OPEN-007</t>
  </si>
  <si>
    <t>OPEN-007／OPEN-008</t>
  </si>
  <si>
    <t>OPEN-002 關閉；改列兩項實作阻擋</t>
  </si>
  <si>
    <t>OPEN 編號寫法</t>
  </si>
  <si>
    <t>一律只寫入『未決項』欄，狀態欄維持四個受控值</t>
  </si>
  <si>
    <t>若將 OPEN 編號併入狀態欄（如 BLOCKED — IMPLEMENTATION / OPEN-008），案例狀態帳本之 COUNTIF 精確比對將不命中，未分類差額會靜默變為非 0</t>
  </si>
  <si>
    <t>證據與範圍</t>
  </si>
  <si>
    <t>追加 11 列：R7 狀態、R6 SHA、變更範圍、OPEN 編號承載規則、已採納實作提案基準 A–F、R7 不代表之事</t>
  </si>
  <si>
    <t>證據鏈與範圍界定</t>
  </si>
  <si>
    <t>未改動</t>
  </si>
  <si>
    <t>48 案 A5:AD52、20 案之預期值／斷言／MRG 錨點／fixture／Evidence 欄位、全部公式與 Data Validation</t>
  </si>
  <si>
    <t>R7 僅治理狀態</t>
  </si>
  <si>
    <t>v15.2_DRAFT_R7 → R8 執行與結案說明</t>
  </si>
  <si>
    <t>R7 保留不覆寫；R8 回填真實 UAT evidence 並關閉 OPEN-003／004／006／007／008。</t>
  </si>
  <si>
    <t>R8</t>
  </si>
  <si>
    <t>證據 / 保護</t>
  </si>
  <si>
    <t>新增 20 案</t>
  </si>
  <si>
    <t>BLOCKED / PLANNED</t>
  </si>
  <si>
    <t>CLOSED / DELIVERED / PASS 20</t>
  </si>
  <si>
    <t>API report SHA ECB3F7D3A4E9CB5DD61CB2986A53CCF895D6E78F10474160382CFC9B8F6EF282</t>
  </si>
  <si>
    <t>Browser UAT</t>
  </si>
  <si>
    <t>未執行</t>
  </si>
  <si>
    <t>20/20 PASS</t>
  </si>
  <si>
    <t>Browser report SHA 509FEAAC2C57182DA9B6F7BB112608B91937ADCB8AC1E65CB048593B0C8D5970</t>
  </si>
  <si>
    <t>OPEN-007／008</t>
  </si>
  <si>
    <t>OPEN</t>
  </si>
  <si>
    <t>request binding + evidence infrastructure verified</t>
  </si>
  <si>
    <t>GEN-202-02 + PROV raw JSON</t>
  </si>
  <si>
    <t>48-case scope addendum + snapshot identity</t>
  </si>
  <si>
    <t>explicit 57A control PASS + 48-case zero drift</t>
  </si>
  <si>
    <t>原 48 案</t>
  </si>
  <si>
    <t>v15.1 controlled matrix</t>
  </si>
  <si>
    <t>逐案未改；overlay regression drift=0</t>
  </si>
  <si>
    <t>44 RESOLVED + 4 AMBIGUOUS cross-check</t>
  </si>
  <si>
    <t>v15.2_DRAFT_R8（REJECTED）→ R9 修正候選</t>
  </si>
  <si>
    <t>R8 保留不覆寫；R9 寫好後暫停，未執行瀏覽器 UAT，未關閉 OPEN-009／OPEN-010。</t>
  </si>
  <si>
    <t>R8 問題</t>
  </si>
  <si>
    <t>R9 處理</t>
  </si>
  <si>
    <t>驗收閘門</t>
  </si>
  <si>
    <t>版本與狀態</t>
  </si>
  <si>
    <t>檔名 R8、內容仍自稱 R7</t>
  </si>
  <si>
    <t>全表改為 R9 DRAFT；R8 明列 REJECTED</t>
  </si>
  <si>
    <t>不得出現 R7 現行敘述</t>
  </si>
  <si>
    <t>20 案 evidence</t>
  </si>
  <si>
    <t>PASS／DELIVERED 與未執行敘述互斥</t>
  </si>
  <si>
    <t>全退回 BLOCKED／PLANNED，actual 與 PASS 清空</t>
  </si>
  <si>
    <t>重跑前不得判 PASS</t>
  </si>
  <si>
    <t>MT202 53B／58A</t>
  </si>
  <si>
    <t>BOOK 路徑漏 53B；58A 帳號缺 /</t>
  </si>
  <si>
    <t>新增 53B option B 與 58A Party Identifier 格式</t>
  </si>
  <si>
    <t>帳戶與 MT/MX</t>
  </si>
  <si>
    <t>未擋相同渲染帳號；無跨格式一致性斷言</t>
  </si>
  <si>
    <t>debitReference=creditReference 即 422；貸方 MX 欄位待 BA 裁示</t>
  </si>
  <si>
    <t>Evidence 信任</t>
  </si>
  <si>
    <t>snapshot 可覆寫／未含 WAL；系統自證；JSON key/provenance 不完整</t>
  </si>
  <si>
    <t>隔離舊 evidence，新增獨立 verifier、canonicalRoles 與 beneficiary provenance 關閉條件</t>
  </si>
  <si>
    <t>Assertion ID</t>
  </si>
  <si>
    <t>省略號／全形斜線，不可註冊</t>
  </si>
  <si>
    <t>改用明確唯一 assertionSetId／assertionIds</t>
  </si>
  <si>
    <t>registry 查重</t>
  </si>
  <si>
    <t>Snapshot 與 drift</t>
  </si>
  <si>
    <t>三種 hash 未說明；只列 44+4</t>
  </si>
  <si>
    <t>登錄 baseline／overlay／live；逐案 diff 路徑與 SHA</t>
  </si>
  <si>
    <t>逐案差異須為 0</t>
  </si>
  <si>
    <t>格式</t>
  </si>
  <si>
    <t>Calibri、失效標籤、硬編分母</t>
  </si>
  <si>
    <t>Times New Roman 11；標籤改 OPEN-009；分母改公式</t>
  </si>
  <si>
    <t>字型與公式掃描</t>
  </si>
  <si>
    <t>v15.2_DRAFT_R9（ACCEPTED CONTROLLED DRAFT）→ R10 執行證據候選</t>
  </si>
  <si>
    <t>R9 保留不覆寫；R10 僅回填實際 API／Browser UAT evidence、BA mapping 與 OPEN closure。</t>
  </si>
  <si>
    <t>R9</t>
  </si>
  <si>
    <t>R10</t>
  </si>
  <si>
    <t>BLOCKED / PLANNED / 未執行</t>
  </si>
  <si>
    <t>API SHA A448848571C5C0EC296554B50EE6E39BB2504CDCCC07D115A6297A437184B7A3</t>
  </si>
  <si>
    <t>待 OPEN-009/010</t>
  </si>
  <si>
    <t>Browser SHA 0236DE0AEDC81C0FA4A0A308340556121D83638E231E02E6A8F9309B414DC992</t>
  </si>
  <si>
    <t>BOOK message contract API+browser evidence</t>
  </si>
  <si>
    <t>independent evidence trust boundary</t>
  </si>
  <si>
    <t>OPEN-003/006</t>
  </si>
  <si>
    <t>OPEN/controlled</t>
  </si>
  <si>
    <t>DEF-001 provenance + explicit 57A control</t>
  </si>
  <si>
    <t>BA MX mapping</t>
  </si>
  <si>
    <t>CLOSED — BA CONFIRMED</t>
  </si>
  <si>
    <t>DbtrAcct/SttlmAcct=debit; CdtrAcct=credit</t>
  </si>
  <si>
    <t>A5:AD52 不變；overlay drift=0</t>
  </si>
  <si>
    <t>Regression SHA 60E94223EC1BE703415FDC8667E04539CD5EAEAE2314C40CDA112AAA80C105BE</t>
  </si>
  <si>
    <t>假資料隔離</t>
  </si>
  <si>
    <t>OPEN-006 fixture pending</t>
  </si>
  <si>
    <t>Manifest SHA 52A3A9CAFE3ECBDAD8A9B05F5429BF500D00D85FEB978B6FBEE28BACF8AD7D4C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</si>
</sst>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8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1"/>
      <color rgb="FF1F3864"/>
      <name val="Times New Roman"/>
    </font>
    <font>
      <sz val="11"/>
      <color theme="1"/>
      <name val="Times New Roman"/>
    </font>
    <font>
      <i/>
      <sz val="11"/>
      <color rgb="FF595959"/>
      <name val="Times New Roman"/>
    </font>
    <font>
      <b/>
      <sz val="11"/>
      <color rgb="FFFFFFFF"/>
      <name val="Times New Roman"/>
    </font>
    <font>
      <sz val="11"/>
      <name val="Times New Roman"/>
    </font>
    <font>
      <b/>
      <sz val="11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CE4EC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E4DFEC"/>
      </patternFill>
    </fill>
    <fill>
      <patternFill patternType="solid">
        <fgColor rgb="FFE4DFEC"/>
        <bgColor rgb="FFDDEBF7"/>
      </patternFill>
    </fill>
    <fill>
      <patternFill patternType="solid">
        <fgColor rgb="FFEDEDED"/>
        <bgColor rgb="FFF2F2F2"/>
      </patternFill>
    </fill>
    <fill>
      <patternFill patternType="solid">
        <fgColor rgb="FFC6E0B4"/>
        <bgColor rgb="FFE2EFDA"/>
      </patternFill>
    </fill>
    <fill>
      <patternFill patternType="solid">
        <fgColor rgb="FFDDEBF7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/>
    <xf numFmtId="0" fontId="6" fillId="0" borderId="0" xfId="0" applyFont="1"/>
    <xf numFmtId="0" fontId="7" fillId="6" borderId="0" xfId="0" applyFont="1" applyFill="1"/>
    <xf numFmtId="164" fontId="7" fillId="6" borderId="0" xfId="0" applyNumberFormat="1" applyFont="1" applyFill="1"/>
    <xf numFmtId="0" fontId="6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8" borderId="0" xfId="0" applyFont="1" applyFill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vertical="top" wrapText="1"/>
    </xf>
    <xf numFmtId="0" fontId="6" fillId="12" borderId="1" xfId="0" applyFont="1" applyFill="1" applyBorder="1" applyAlignment="1">
      <alignment horizontal="center" vertical="center" wrapText="1"/>
    </xf>
    <xf numFmtId="165" fontId="6" fillId="12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10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DED"/>
      <rgbColor rgb="FFC6E0B4"/>
      <rgbColor rgb="FFFCE4E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1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5" sqref="E5"/>
    </sheetView>
  </sheetViews>
  <sheetFormatPr defaultColWidth="8.64453125" defaultRowHeight="14.35" x14ac:dyDescent="0.5"/>
  <cols>
    <col min="1" max="1" width="13" customWidth="1"/>
    <col min="2" max="2" width="8" customWidth="1"/>
    <col min="3" max="3" width="22" customWidth="1"/>
    <col min="4" max="4" width="12" customWidth="1"/>
    <col min="5" max="5" width="24" customWidth="1"/>
    <col min="6" max="7" width="9" customWidth="1"/>
    <col min="8" max="8" width="11" customWidth="1"/>
    <col min="9" max="9" width="17" customWidth="1"/>
    <col min="10" max="10" width="20" customWidth="1"/>
    <col min="11" max="11" width="10" customWidth="1"/>
    <col min="12" max="12" width="22" customWidth="1"/>
    <col min="13" max="13" width="16" customWidth="1"/>
    <col min="14" max="14" width="7" customWidth="1"/>
    <col min="15" max="15" width="18" customWidth="1"/>
    <col min="16" max="16" width="46" customWidth="1"/>
    <col min="17" max="30" width="23" customWidth="1"/>
  </cols>
  <sheetData>
    <row r="1" spans="1:30" ht="17.25" customHeight="1" x14ac:dyDescent="0.5">
      <c r="A1" s="2" t="s">
        <v>160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6.5" customHeight="1" x14ac:dyDescent="0.5">
      <c r="A2" s="4" t="s">
        <v>161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4.25" customHeight="1" x14ac:dyDescent="0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6.25" customHeight="1" x14ac:dyDescent="0.5">
      <c r="A4" s="5" t="s">
        <v>162</v>
      </c>
      <c r="B4" s="5" t="s">
        <v>163</v>
      </c>
      <c r="C4" s="5" t="s">
        <v>164</v>
      </c>
      <c r="D4" s="5" t="s">
        <v>165</v>
      </c>
      <c r="E4" s="5" t="s">
        <v>166</v>
      </c>
      <c r="F4" s="5" t="s">
        <v>167</v>
      </c>
      <c r="G4" s="5" t="s">
        <v>168</v>
      </c>
      <c r="H4" s="5" t="s">
        <v>169</v>
      </c>
      <c r="I4" s="5" t="s">
        <v>170</v>
      </c>
      <c r="J4" s="5" t="s">
        <v>171</v>
      </c>
      <c r="K4" s="5" t="s">
        <v>172</v>
      </c>
      <c r="L4" s="5" t="s">
        <v>173</v>
      </c>
      <c r="M4" s="5" t="s">
        <v>174</v>
      </c>
      <c r="N4" s="5" t="s">
        <v>175</v>
      </c>
      <c r="O4" s="5" t="s">
        <v>176</v>
      </c>
      <c r="P4" s="5" t="s">
        <v>177</v>
      </c>
      <c r="Q4" s="3" t="s">
        <v>178</v>
      </c>
      <c r="R4" s="3" t="s">
        <v>179</v>
      </c>
      <c r="S4" s="3" t="s">
        <v>180</v>
      </c>
      <c r="T4" s="3" t="s">
        <v>181</v>
      </c>
      <c r="U4" s="3" t="s">
        <v>182</v>
      </c>
      <c r="V4" s="3" t="s">
        <v>183</v>
      </c>
      <c r="W4" s="3" t="s">
        <v>184</v>
      </c>
      <c r="X4" s="3" t="s">
        <v>185</v>
      </c>
      <c r="Y4" s="3" t="s">
        <v>186</v>
      </c>
      <c r="Z4" s="3" t="s">
        <v>187</v>
      </c>
      <c r="AA4" s="3" t="s">
        <v>188</v>
      </c>
      <c r="AB4" s="3" t="s">
        <v>189</v>
      </c>
      <c r="AC4" s="3" t="s">
        <v>190</v>
      </c>
      <c r="AD4" s="3" t="s">
        <v>191</v>
      </c>
    </row>
    <row r="5" spans="1:30" ht="48" customHeight="1" x14ac:dyDescent="0.5">
      <c r="A5" s="6" t="s">
        <v>192</v>
      </c>
      <c r="B5" s="7">
        <v>1</v>
      </c>
      <c r="C5" s="8" t="s">
        <v>193</v>
      </c>
      <c r="D5" s="6" t="s">
        <v>194</v>
      </c>
      <c r="E5" s="6" t="s">
        <v>195</v>
      </c>
      <c r="F5" s="7" t="s">
        <v>196</v>
      </c>
      <c r="G5" s="7" t="s">
        <v>197</v>
      </c>
      <c r="H5" s="6" t="s">
        <v>198</v>
      </c>
      <c r="I5" s="6" t="s">
        <v>199</v>
      </c>
      <c r="J5" s="6" t="s">
        <v>200</v>
      </c>
      <c r="K5" s="7">
        <v>200</v>
      </c>
      <c r="L5" s="6" t="s">
        <v>201</v>
      </c>
      <c r="M5" s="6" t="s">
        <v>202</v>
      </c>
      <c r="N5" s="7">
        <v>2</v>
      </c>
      <c r="O5" s="6" t="s">
        <v>203</v>
      </c>
      <c r="P5" s="6" t="s">
        <v>204</v>
      </c>
      <c r="Q5" s="3" t="s">
        <v>205</v>
      </c>
      <c r="R5" s="3" t="s">
        <v>206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48" customHeight="1" x14ac:dyDescent="0.5">
      <c r="A6" s="6" t="s">
        <v>207</v>
      </c>
      <c r="B6" s="7">
        <v>1</v>
      </c>
      <c r="C6" s="8" t="s">
        <v>193</v>
      </c>
      <c r="D6" s="6" t="s">
        <v>194</v>
      </c>
      <c r="E6" s="6" t="s">
        <v>195</v>
      </c>
      <c r="F6" s="7" t="s">
        <v>196</v>
      </c>
      <c r="G6" s="7" t="s">
        <v>197</v>
      </c>
      <c r="H6" s="6" t="s">
        <v>208</v>
      </c>
      <c r="I6" s="6" t="s">
        <v>199</v>
      </c>
      <c r="J6" s="6" t="s">
        <v>200</v>
      </c>
      <c r="K6" s="7">
        <v>200</v>
      </c>
      <c r="L6" s="6" t="s">
        <v>201</v>
      </c>
      <c r="M6" s="6" t="s">
        <v>202</v>
      </c>
      <c r="N6" s="7">
        <v>2</v>
      </c>
      <c r="O6" s="6" t="s">
        <v>203</v>
      </c>
      <c r="P6" s="6" t="s">
        <v>204</v>
      </c>
      <c r="Q6" s="3" t="s">
        <v>209</v>
      </c>
      <c r="R6" s="3" t="s">
        <v>206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48" customHeight="1" x14ac:dyDescent="0.5">
      <c r="A7" s="6" t="s">
        <v>210</v>
      </c>
      <c r="B7" s="7">
        <v>1</v>
      </c>
      <c r="C7" s="8" t="s">
        <v>193</v>
      </c>
      <c r="D7" s="6" t="s">
        <v>194</v>
      </c>
      <c r="E7" s="6" t="s">
        <v>195</v>
      </c>
      <c r="F7" s="7" t="s">
        <v>196</v>
      </c>
      <c r="G7" s="7" t="s">
        <v>197</v>
      </c>
      <c r="H7" s="6" t="s">
        <v>211</v>
      </c>
      <c r="I7" s="6" t="s">
        <v>199</v>
      </c>
      <c r="J7" s="6" t="s">
        <v>212</v>
      </c>
      <c r="K7" s="7">
        <v>200</v>
      </c>
      <c r="L7" s="6" t="s">
        <v>201</v>
      </c>
      <c r="M7" s="6" t="s">
        <v>202</v>
      </c>
      <c r="N7" s="7">
        <v>2</v>
      </c>
      <c r="O7" s="6" t="s">
        <v>203</v>
      </c>
      <c r="P7" s="6" t="s">
        <v>204</v>
      </c>
      <c r="Q7" s="3" t="s">
        <v>213</v>
      </c>
      <c r="R7" s="3" t="s">
        <v>206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48" customHeight="1" x14ac:dyDescent="0.5">
      <c r="A8" s="6" t="s">
        <v>214</v>
      </c>
      <c r="B8" s="7">
        <v>1</v>
      </c>
      <c r="C8" s="8" t="s">
        <v>193</v>
      </c>
      <c r="D8" s="6" t="s">
        <v>194</v>
      </c>
      <c r="E8" s="6" t="s">
        <v>195</v>
      </c>
      <c r="F8" s="7" t="s">
        <v>196</v>
      </c>
      <c r="G8" s="7" t="s">
        <v>197</v>
      </c>
      <c r="H8" s="6" t="s">
        <v>215</v>
      </c>
      <c r="I8" s="6" t="s">
        <v>199</v>
      </c>
      <c r="J8" s="6" t="s">
        <v>212</v>
      </c>
      <c r="K8" s="7">
        <v>200</v>
      </c>
      <c r="L8" s="6" t="s">
        <v>201</v>
      </c>
      <c r="M8" s="6" t="s">
        <v>202</v>
      </c>
      <c r="N8" s="7">
        <v>2</v>
      </c>
      <c r="O8" s="6" t="s">
        <v>203</v>
      </c>
      <c r="P8" s="6" t="s">
        <v>204</v>
      </c>
      <c r="Q8" s="3" t="s">
        <v>216</v>
      </c>
      <c r="R8" s="3" t="s">
        <v>206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91.5" customHeight="1" x14ac:dyDescent="0.5">
      <c r="A9" s="6" t="s">
        <v>217</v>
      </c>
      <c r="B9" s="7">
        <v>2</v>
      </c>
      <c r="C9" s="8" t="s">
        <v>193</v>
      </c>
      <c r="D9" s="6" t="s">
        <v>218</v>
      </c>
      <c r="E9" s="6" t="s">
        <v>219</v>
      </c>
      <c r="F9" s="7" t="s">
        <v>220</v>
      </c>
      <c r="G9" s="7" t="s">
        <v>197</v>
      </c>
      <c r="H9" s="6" t="s">
        <v>198</v>
      </c>
      <c r="I9" s="6" t="s">
        <v>199</v>
      </c>
      <c r="J9" s="6" t="s">
        <v>200</v>
      </c>
      <c r="K9" s="7">
        <v>422</v>
      </c>
      <c r="L9" s="6" t="s">
        <v>221</v>
      </c>
      <c r="M9" s="6" t="s">
        <v>222</v>
      </c>
      <c r="N9" s="7">
        <v>3</v>
      </c>
      <c r="O9" s="6" t="s">
        <v>203</v>
      </c>
      <c r="P9" s="6" t="s">
        <v>223</v>
      </c>
      <c r="Q9" s="3" t="s">
        <v>205</v>
      </c>
      <c r="R9" s="3" t="s">
        <v>224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91.5" customHeight="1" x14ac:dyDescent="0.5">
      <c r="A10" s="6" t="s">
        <v>225</v>
      </c>
      <c r="B10" s="7">
        <v>2</v>
      </c>
      <c r="C10" s="8" t="s">
        <v>193</v>
      </c>
      <c r="D10" s="6" t="s">
        <v>218</v>
      </c>
      <c r="E10" s="6" t="s">
        <v>219</v>
      </c>
      <c r="F10" s="7" t="s">
        <v>220</v>
      </c>
      <c r="G10" s="7" t="s">
        <v>197</v>
      </c>
      <c r="H10" s="6" t="s">
        <v>208</v>
      </c>
      <c r="I10" s="6" t="s">
        <v>199</v>
      </c>
      <c r="J10" s="6" t="s">
        <v>200</v>
      </c>
      <c r="K10" s="7">
        <v>422</v>
      </c>
      <c r="L10" s="6" t="s">
        <v>221</v>
      </c>
      <c r="M10" s="6" t="s">
        <v>222</v>
      </c>
      <c r="N10" s="7">
        <v>3</v>
      </c>
      <c r="O10" s="6" t="s">
        <v>203</v>
      </c>
      <c r="P10" s="6" t="s">
        <v>223</v>
      </c>
      <c r="Q10" s="3" t="s">
        <v>209</v>
      </c>
      <c r="R10" s="3" t="s">
        <v>224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91.5" customHeight="1" x14ac:dyDescent="0.5">
      <c r="A11" s="6" t="s">
        <v>226</v>
      </c>
      <c r="B11" s="7">
        <v>2</v>
      </c>
      <c r="C11" s="8" t="s">
        <v>193</v>
      </c>
      <c r="D11" s="6" t="s">
        <v>218</v>
      </c>
      <c r="E11" s="6" t="s">
        <v>219</v>
      </c>
      <c r="F11" s="7" t="s">
        <v>220</v>
      </c>
      <c r="G11" s="7" t="s">
        <v>197</v>
      </c>
      <c r="H11" s="6" t="s">
        <v>211</v>
      </c>
      <c r="I11" s="6" t="s">
        <v>199</v>
      </c>
      <c r="J11" s="6" t="s">
        <v>212</v>
      </c>
      <c r="K11" s="7">
        <v>422</v>
      </c>
      <c r="L11" s="6" t="s">
        <v>221</v>
      </c>
      <c r="M11" s="6" t="s">
        <v>222</v>
      </c>
      <c r="N11" s="7">
        <v>3</v>
      </c>
      <c r="O11" s="6" t="s">
        <v>203</v>
      </c>
      <c r="P11" s="6" t="s">
        <v>223</v>
      </c>
      <c r="Q11" s="3" t="s">
        <v>213</v>
      </c>
      <c r="R11" s="3" t="s">
        <v>224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91.5" customHeight="1" x14ac:dyDescent="0.5">
      <c r="A12" s="6" t="s">
        <v>227</v>
      </c>
      <c r="B12" s="7">
        <v>2</v>
      </c>
      <c r="C12" s="8" t="s">
        <v>193</v>
      </c>
      <c r="D12" s="6" t="s">
        <v>218</v>
      </c>
      <c r="E12" s="6" t="s">
        <v>219</v>
      </c>
      <c r="F12" s="7" t="s">
        <v>220</v>
      </c>
      <c r="G12" s="7" t="s">
        <v>197</v>
      </c>
      <c r="H12" s="6" t="s">
        <v>215</v>
      </c>
      <c r="I12" s="6" t="s">
        <v>199</v>
      </c>
      <c r="J12" s="6" t="s">
        <v>212</v>
      </c>
      <c r="K12" s="7">
        <v>422</v>
      </c>
      <c r="L12" s="6" t="s">
        <v>221</v>
      </c>
      <c r="M12" s="6" t="s">
        <v>222</v>
      </c>
      <c r="N12" s="7">
        <v>3</v>
      </c>
      <c r="O12" s="6" t="s">
        <v>203</v>
      </c>
      <c r="P12" s="6" t="s">
        <v>223</v>
      </c>
      <c r="Q12" s="3" t="s">
        <v>216</v>
      </c>
      <c r="R12" s="3" t="s">
        <v>224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48" customHeight="1" x14ac:dyDescent="0.5">
      <c r="A13" s="6" t="s">
        <v>228</v>
      </c>
      <c r="B13" s="7">
        <v>3</v>
      </c>
      <c r="C13" s="8" t="s">
        <v>193</v>
      </c>
      <c r="D13" s="6" t="s">
        <v>218</v>
      </c>
      <c r="E13" s="6" t="s">
        <v>219</v>
      </c>
      <c r="F13" s="7" t="s">
        <v>196</v>
      </c>
      <c r="G13" s="7" t="s">
        <v>197</v>
      </c>
      <c r="H13" s="6" t="s">
        <v>198</v>
      </c>
      <c r="I13" s="6" t="s">
        <v>199</v>
      </c>
      <c r="J13" s="6" t="s">
        <v>200</v>
      </c>
      <c r="K13" s="7">
        <v>200</v>
      </c>
      <c r="L13" s="6" t="s">
        <v>201</v>
      </c>
      <c r="M13" s="6" t="s">
        <v>229</v>
      </c>
      <c r="N13" s="7">
        <v>1</v>
      </c>
      <c r="O13" s="6" t="s">
        <v>203</v>
      </c>
      <c r="P13" s="6" t="s">
        <v>230</v>
      </c>
      <c r="Q13" s="3" t="s">
        <v>205</v>
      </c>
      <c r="R13" s="3" t="s">
        <v>224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48" customHeight="1" x14ac:dyDescent="0.5">
      <c r="A14" s="6" t="s">
        <v>231</v>
      </c>
      <c r="B14" s="7">
        <v>3</v>
      </c>
      <c r="C14" s="8" t="s">
        <v>193</v>
      </c>
      <c r="D14" s="6" t="s">
        <v>218</v>
      </c>
      <c r="E14" s="6" t="s">
        <v>219</v>
      </c>
      <c r="F14" s="7" t="s">
        <v>196</v>
      </c>
      <c r="G14" s="7" t="s">
        <v>197</v>
      </c>
      <c r="H14" s="6" t="s">
        <v>208</v>
      </c>
      <c r="I14" s="6" t="s">
        <v>199</v>
      </c>
      <c r="J14" s="6" t="s">
        <v>200</v>
      </c>
      <c r="K14" s="7">
        <v>200</v>
      </c>
      <c r="L14" s="6" t="s">
        <v>201</v>
      </c>
      <c r="M14" s="6" t="s">
        <v>229</v>
      </c>
      <c r="N14" s="7">
        <v>1</v>
      </c>
      <c r="O14" s="6" t="s">
        <v>203</v>
      </c>
      <c r="P14" s="6" t="s">
        <v>230</v>
      </c>
      <c r="Q14" s="3" t="s">
        <v>209</v>
      </c>
      <c r="R14" s="3" t="s">
        <v>224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48" customHeight="1" x14ac:dyDescent="0.5">
      <c r="A15" s="6" t="s">
        <v>232</v>
      </c>
      <c r="B15" s="7">
        <v>3</v>
      </c>
      <c r="C15" s="8" t="s">
        <v>193</v>
      </c>
      <c r="D15" s="6" t="s">
        <v>218</v>
      </c>
      <c r="E15" s="6" t="s">
        <v>219</v>
      </c>
      <c r="F15" s="7" t="s">
        <v>196</v>
      </c>
      <c r="G15" s="7" t="s">
        <v>197</v>
      </c>
      <c r="H15" s="6" t="s">
        <v>211</v>
      </c>
      <c r="I15" s="6" t="s">
        <v>199</v>
      </c>
      <c r="J15" s="6" t="s">
        <v>212</v>
      </c>
      <c r="K15" s="7">
        <v>200</v>
      </c>
      <c r="L15" s="6" t="s">
        <v>201</v>
      </c>
      <c r="M15" s="6" t="s">
        <v>229</v>
      </c>
      <c r="N15" s="7">
        <v>1</v>
      </c>
      <c r="O15" s="6" t="s">
        <v>203</v>
      </c>
      <c r="P15" s="6" t="s">
        <v>230</v>
      </c>
      <c r="Q15" s="3" t="s">
        <v>213</v>
      </c>
      <c r="R15" s="3" t="s">
        <v>224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48" customHeight="1" x14ac:dyDescent="0.5">
      <c r="A16" s="6" t="s">
        <v>233</v>
      </c>
      <c r="B16" s="7">
        <v>3</v>
      </c>
      <c r="C16" s="8" t="s">
        <v>193</v>
      </c>
      <c r="D16" s="6" t="s">
        <v>218</v>
      </c>
      <c r="E16" s="6" t="s">
        <v>219</v>
      </c>
      <c r="F16" s="7" t="s">
        <v>196</v>
      </c>
      <c r="G16" s="7" t="s">
        <v>197</v>
      </c>
      <c r="H16" s="6" t="s">
        <v>215</v>
      </c>
      <c r="I16" s="6" t="s">
        <v>199</v>
      </c>
      <c r="J16" s="6" t="s">
        <v>212</v>
      </c>
      <c r="K16" s="7">
        <v>200</v>
      </c>
      <c r="L16" s="6" t="s">
        <v>201</v>
      </c>
      <c r="M16" s="6" t="s">
        <v>229</v>
      </c>
      <c r="N16" s="7">
        <v>1</v>
      </c>
      <c r="O16" s="6" t="s">
        <v>203</v>
      </c>
      <c r="P16" s="6" t="s">
        <v>230</v>
      </c>
      <c r="Q16" s="3" t="s">
        <v>216</v>
      </c>
      <c r="R16" s="3" t="s">
        <v>224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48" customHeight="1" x14ac:dyDescent="0.5">
      <c r="A17" s="6" t="s">
        <v>234</v>
      </c>
      <c r="B17" s="7">
        <v>4</v>
      </c>
      <c r="C17" s="8" t="s">
        <v>193</v>
      </c>
      <c r="D17" s="6" t="s">
        <v>235</v>
      </c>
      <c r="E17" s="6" t="s">
        <v>236</v>
      </c>
      <c r="F17" s="7" t="s">
        <v>237</v>
      </c>
      <c r="G17" s="7" t="s">
        <v>197</v>
      </c>
      <c r="H17" s="6" t="s">
        <v>198</v>
      </c>
      <c r="I17" s="6" t="s">
        <v>199</v>
      </c>
      <c r="J17" s="6" t="s">
        <v>200</v>
      </c>
      <c r="K17" s="7">
        <v>200</v>
      </c>
      <c r="L17" s="6" t="s">
        <v>201</v>
      </c>
      <c r="M17" s="6" t="s">
        <v>238</v>
      </c>
      <c r="N17" s="7">
        <v>3</v>
      </c>
      <c r="O17" s="6" t="s">
        <v>203</v>
      </c>
      <c r="P17" s="6" t="s">
        <v>239</v>
      </c>
      <c r="Q17" s="3" t="s">
        <v>205</v>
      </c>
      <c r="R17" s="3" t="s">
        <v>240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48" customHeight="1" x14ac:dyDescent="0.5">
      <c r="A18" s="6" t="s">
        <v>241</v>
      </c>
      <c r="B18" s="7">
        <v>4</v>
      </c>
      <c r="C18" s="8" t="s">
        <v>193</v>
      </c>
      <c r="D18" s="6" t="s">
        <v>235</v>
      </c>
      <c r="E18" s="6" t="s">
        <v>236</v>
      </c>
      <c r="F18" s="7" t="s">
        <v>237</v>
      </c>
      <c r="G18" s="7" t="s">
        <v>197</v>
      </c>
      <c r="H18" s="6" t="s">
        <v>208</v>
      </c>
      <c r="I18" s="6" t="s">
        <v>199</v>
      </c>
      <c r="J18" s="6" t="s">
        <v>200</v>
      </c>
      <c r="K18" s="7">
        <v>200</v>
      </c>
      <c r="L18" s="6" t="s">
        <v>201</v>
      </c>
      <c r="M18" s="6" t="s">
        <v>238</v>
      </c>
      <c r="N18" s="7">
        <v>3</v>
      </c>
      <c r="O18" s="6" t="s">
        <v>203</v>
      </c>
      <c r="P18" s="6" t="s">
        <v>239</v>
      </c>
      <c r="Q18" s="3" t="s">
        <v>209</v>
      </c>
      <c r="R18" s="3" t="s">
        <v>240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48" customHeight="1" x14ac:dyDescent="0.5">
      <c r="A19" s="6" t="s">
        <v>242</v>
      </c>
      <c r="B19" s="7">
        <v>4</v>
      </c>
      <c r="C19" s="8" t="s">
        <v>193</v>
      </c>
      <c r="D19" s="6" t="s">
        <v>235</v>
      </c>
      <c r="E19" s="6" t="s">
        <v>236</v>
      </c>
      <c r="F19" s="7" t="s">
        <v>237</v>
      </c>
      <c r="G19" s="7" t="s">
        <v>197</v>
      </c>
      <c r="H19" s="6" t="s">
        <v>211</v>
      </c>
      <c r="I19" s="6" t="s">
        <v>199</v>
      </c>
      <c r="J19" s="6" t="s">
        <v>212</v>
      </c>
      <c r="K19" s="7">
        <v>200</v>
      </c>
      <c r="L19" s="6" t="s">
        <v>201</v>
      </c>
      <c r="M19" s="6" t="s">
        <v>238</v>
      </c>
      <c r="N19" s="7">
        <v>3</v>
      </c>
      <c r="O19" s="6" t="s">
        <v>203</v>
      </c>
      <c r="P19" s="6" t="s">
        <v>239</v>
      </c>
      <c r="Q19" s="3" t="s">
        <v>213</v>
      </c>
      <c r="R19" s="3" t="s">
        <v>240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48" customHeight="1" x14ac:dyDescent="0.5">
      <c r="A20" s="6" t="s">
        <v>243</v>
      </c>
      <c r="B20" s="7">
        <v>4</v>
      </c>
      <c r="C20" s="8" t="s">
        <v>193</v>
      </c>
      <c r="D20" s="6" t="s">
        <v>235</v>
      </c>
      <c r="E20" s="6" t="s">
        <v>236</v>
      </c>
      <c r="F20" s="7" t="s">
        <v>237</v>
      </c>
      <c r="G20" s="7" t="s">
        <v>197</v>
      </c>
      <c r="H20" s="6" t="s">
        <v>215</v>
      </c>
      <c r="I20" s="6" t="s">
        <v>199</v>
      </c>
      <c r="J20" s="6" t="s">
        <v>212</v>
      </c>
      <c r="K20" s="7">
        <v>200</v>
      </c>
      <c r="L20" s="6" t="s">
        <v>201</v>
      </c>
      <c r="M20" s="6" t="s">
        <v>238</v>
      </c>
      <c r="N20" s="7">
        <v>3</v>
      </c>
      <c r="O20" s="6" t="s">
        <v>203</v>
      </c>
      <c r="P20" s="6" t="s">
        <v>239</v>
      </c>
      <c r="Q20" s="3" t="s">
        <v>216</v>
      </c>
      <c r="R20" s="3" t="s">
        <v>240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48" customHeight="1" x14ac:dyDescent="0.5">
      <c r="A21" s="6" t="s">
        <v>244</v>
      </c>
      <c r="B21" s="7">
        <v>5</v>
      </c>
      <c r="C21" s="8" t="s">
        <v>193</v>
      </c>
      <c r="D21" s="6" t="s">
        <v>245</v>
      </c>
      <c r="E21" s="6" t="s">
        <v>246</v>
      </c>
      <c r="F21" s="7" t="s">
        <v>247</v>
      </c>
      <c r="G21" s="7" t="s">
        <v>197</v>
      </c>
      <c r="H21" s="6" t="s">
        <v>198</v>
      </c>
      <c r="I21" s="6" t="s">
        <v>199</v>
      </c>
      <c r="J21" s="6" t="s">
        <v>200</v>
      </c>
      <c r="K21" s="7">
        <v>200</v>
      </c>
      <c r="L21" s="6" t="s">
        <v>201</v>
      </c>
      <c r="M21" s="6" t="s">
        <v>248</v>
      </c>
      <c r="N21" s="7">
        <v>2</v>
      </c>
      <c r="O21" s="6" t="s">
        <v>203</v>
      </c>
      <c r="P21" s="6" t="s">
        <v>249</v>
      </c>
      <c r="Q21" s="3" t="s">
        <v>205</v>
      </c>
      <c r="R21" s="3" t="s">
        <v>250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48" customHeight="1" x14ac:dyDescent="0.5">
      <c r="A22" s="6" t="s">
        <v>251</v>
      </c>
      <c r="B22" s="7">
        <v>5</v>
      </c>
      <c r="C22" s="8" t="s">
        <v>193</v>
      </c>
      <c r="D22" s="6" t="s">
        <v>245</v>
      </c>
      <c r="E22" s="6" t="s">
        <v>246</v>
      </c>
      <c r="F22" s="7" t="s">
        <v>247</v>
      </c>
      <c r="G22" s="7" t="s">
        <v>197</v>
      </c>
      <c r="H22" s="6" t="s">
        <v>208</v>
      </c>
      <c r="I22" s="6" t="s">
        <v>199</v>
      </c>
      <c r="J22" s="6" t="s">
        <v>200</v>
      </c>
      <c r="K22" s="7">
        <v>200</v>
      </c>
      <c r="L22" s="6" t="s">
        <v>201</v>
      </c>
      <c r="M22" s="6" t="s">
        <v>248</v>
      </c>
      <c r="N22" s="7">
        <v>2</v>
      </c>
      <c r="O22" s="6" t="s">
        <v>203</v>
      </c>
      <c r="P22" s="6" t="s">
        <v>249</v>
      </c>
      <c r="Q22" s="3" t="s">
        <v>209</v>
      </c>
      <c r="R22" s="3" t="s">
        <v>250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48" customHeight="1" x14ac:dyDescent="0.5">
      <c r="A23" s="6" t="s">
        <v>252</v>
      </c>
      <c r="B23" s="7">
        <v>5</v>
      </c>
      <c r="C23" s="8" t="s">
        <v>193</v>
      </c>
      <c r="D23" s="6" t="s">
        <v>245</v>
      </c>
      <c r="E23" s="6" t="s">
        <v>246</v>
      </c>
      <c r="F23" s="7" t="s">
        <v>247</v>
      </c>
      <c r="G23" s="7" t="s">
        <v>197</v>
      </c>
      <c r="H23" s="6" t="s">
        <v>211</v>
      </c>
      <c r="I23" s="6" t="s">
        <v>199</v>
      </c>
      <c r="J23" s="6" t="s">
        <v>212</v>
      </c>
      <c r="K23" s="7">
        <v>200</v>
      </c>
      <c r="L23" s="6" t="s">
        <v>201</v>
      </c>
      <c r="M23" s="6" t="s">
        <v>248</v>
      </c>
      <c r="N23" s="7">
        <v>2</v>
      </c>
      <c r="O23" s="6" t="s">
        <v>203</v>
      </c>
      <c r="P23" s="6" t="s">
        <v>249</v>
      </c>
      <c r="Q23" s="3" t="s">
        <v>213</v>
      </c>
      <c r="R23" s="3" t="s">
        <v>250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48" customHeight="1" x14ac:dyDescent="0.5">
      <c r="A24" s="6" t="s">
        <v>253</v>
      </c>
      <c r="B24" s="7">
        <v>5</v>
      </c>
      <c r="C24" s="8" t="s">
        <v>193</v>
      </c>
      <c r="D24" s="6" t="s">
        <v>245</v>
      </c>
      <c r="E24" s="6" t="s">
        <v>246</v>
      </c>
      <c r="F24" s="7" t="s">
        <v>247</v>
      </c>
      <c r="G24" s="7" t="s">
        <v>197</v>
      </c>
      <c r="H24" s="6" t="s">
        <v>215</v>
      </c>
      <c r="I24" s="6" t="s">
        <v>199</v>
      </c>
      <c r="J24" s="6" t="s">
        <v>212</v>
      </c>
      <c r="K24" s="7">
        <v>200</v>
      </c>
      <c r="L24" s="6" t="s">
        <v>201</v>
      </c>
      <c r="M24" s="6" t="s">
        <v>248</v>
      </c>
      <c r="N24" s="7">
        <v>2</v>
      </c>
      <c r="O24" s="6" t="s">
        <v>203</v>
      </c>
      <c r="P24" s="6" t="s">
        <v>249</v>
      </c>
      <c r="Q24" s="3" t="s">
        <v>216</v>
      </c>
      <c r="R24" s="3" t="s">
        <v>250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48" customHeight="1" x14ac:dyDescent="0.5">
      <c r="A25" s="6" t="s">
        <v>254</v>
      </c>
      <c r="B25" s="7">
        <v>6</v>
      </c>
      <c r="C25" s="8" t="s">
        <v>193</v>
      </c>
      <c r="D25" s="6" t="s">
        <v>255</v>
      </c>
      <c r="E25" s="6" t="s">
        <v>256</v>
      </c>
      <c r="F25" s="7" t="s">
        <v>257</v>
      </c>
      <c r="G25" s="7" t="s">
        <v>197</v>
      </c>
      <c r="H25" s="6" t="s">
        <v>198</v>
      </c>
      <c r="I25" s="6" t="s">
        <v>199</v>
      </c>
      <c r="J25" s="6" t="s">
        <v>200</v>
      </c>
      <c r="K25" s="7">
        <v>200</v>
      </c>
      <c r="L25" s="6" t="s">
        <v>201</v>
      </c>
      <c r="M25" s="6" t="s">
        <v>258</v>
      </c>
      <c r="N25" s="7">
        <v>2</v>
      </c>
      <c r="O25" s="6" t="s">
        <v>203</v>
      </c>
      <c r="P25" s="6" t="s">
        <v>259</v>
      </c>
      <c r="Q25" s="3" t="s">
        <v>205</v>
      </c>
      <c r="R25" s="3" t="s">
        <v>260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48" customHeight="1" x14ac:dyDescent="0.5">
      <c r="A26" s="6" t="s">
        <v>261</v>
      </c>
      <c r="B26" s="7">
        <v>6</v>
      </c>
      <c r="C26" s="8" t="s">
        <v>193</v>
      </c>
      <c r="D26" s="6" t="s">
        <v>255</v>
      </c>
      <c r="E26" s="6" t="s">
        <v>256</v>
      </c>
      <c r="F26" s="7" t="s">
        <v>257</v>
      </c>
      <c r="G26" s="7" t="s">
        <v>197</v>
      </c>
      <c r="H26" s="6" t="s">
        <v>208</v>
      </c>
      <c r="I26" s="6" t="s">
        <v>199</v>
      </c>
      <c r="J26" s="6" t="s">
        <v>200</v>
      </c>
      <c r="K26" s="7">
        <v>200</v>
      </c>
      <c r="L26" s="6" t="s">
        <v>201</v>
      </c>
      <c r="M26" s="6" t="s">
        <v>258</v>
      </c>
      <c r="N26" s="7">
        <v>2</v>
      </c>
      <c r="O26" s="6" t="s">
        <v>203</v>
      </c>
      <c r="P26" s="6" t="s">
        <v>259</v>
      </c>
      <c r="Q26" s="3" t="s">
        <v>209</v>
      </c>
      <c r="R26" s="3" t="s">
        <v>260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48" customHeight="1" x14ac:dyDescent="0.5">
      <c r="A27" s="6" t="s">
        <v>262</v>
      </c>
      <c r="B27" s="7">
        <v>6</v>
      </c>
      <c r="C27" s="8" t="s">
        <v>193</v>
      </c>
      <c r="D27" s="6" t="s">
        <v>255</v>
      </c>
      <c r="E27" s="6" t="s">
        <v>256</v>
      </c>
      <c r="F27" s="7" t="s">
        <v>257</v>
      </c>
      <c r="G27" s="7" t="s">
        <v>197</v>
      </c>
      <c r="H27" s="6" t="s">
        <v>211</v>
      </c>
      <c r="I27" s="6" t="s">
        <v>199</v>
      </c>
      <c r="J27" s="6" t="s">
        <v>212</v>
      </c>
      <c r="K27" s="7">
        <v>200</v>
      </c>
      <c r="L27" s="6" t="s">
        <v>201</v>
      </c>
      <c r="M27" s="6" t="s">
        <v>258</v>
      </c>
      <c r="N27" s="7">
        <v>2</v>
      </c>
      <c r="O27" s="6" t="s">
        <v>203</v>
      </c>
      <c r="P27" s="6" t="s">
        <v>259</v>
      </c>
      <c r="Q27" s="3" t="s">
        <v>213</v>
      </c>
      <c r="R27" s="3" t="s">
        <v>260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48" customHeight="1" x14ac:dyDescent="0.5">
      <c r="A28" s="6" t="s">
        <v>263</v>
      </c>
      <c r="B28" s="7">
        <v>6</v>
      </c>
      <c r="C28" s="8" t="s">
        <v>193</v>
      </c>
      <c r="D28" s="6" t="s">
        <v>255</v>
      </c>
      <c r="E28" s="6" t="s">
        <v>256</v>
      </c>
      <c r="F28" s="7" t="s">
        <v>257</v>
      </c>
      <c r="G28" s="7" t="s">
        <v>197</v>
      </c>
      <c r="H28" s="6" t="s">
        <v>215</v>
      </c>
      <c r="I28" s="6" t="s">
        <v>199</v>
      </c>
      <c r="J28" s="6" t="s">
        <v>212</v>
      </c>
      <c r="K28" s="7">
        <v>200</v>
      </c>
      <c r="L28" s="6" t="s">
        <v>201</v>
      </c>
      <c r="M28" s="6" t="s">
        <v>258</v>
      </c>
      <c r="N28" s="7">
        <v>2</v>
      </c>
      <c r="O28" s="6" t="s">
        <v>203</v>
      </c>
      <c r="P28" s="6" t="s">
        <v>259</v>
      </c>
      <c r="Q28" s="3" t="s">
        <v>216</v>
      </c>
      <c r="R28" s="3" t="s">
        <v>260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48" customHeight="1" x14ac:dyDescent="0.5">
      <c r="A29" s="6" t="s">
        <v>264</v>
      </c>
      <c r="B29" s="7">
        <v>7</v>
      </c>
      <c r="C29" s="8" t="s">
        <v>193</v>
      </c>
      <c r="D29" s="6" t="s">
        <v>265</v>
      </c>
      <c r="E29" s="6" t="s">
        <v>266</v>
      </c>
      <c r="F29" s="7" t="s">
        <v>267</v>
      </c>
      <c r="G29" s="7" t="s">
        <v>197</v>
      </c>
      <c r="H29" s="6" t="s">
        <v>198</v>
      </c>
      <c r="I29" s="6" t="s">
        <v>199</v>
      </c>
      <c r="J29" s="6" t="s">
        <v>200</v>
      </c>
      <c r="K29" s="7">
        <v>200</v>
      </c>
      <c r="L29" s="6" t="s">
        <v>201</v>
      </c>
      <c r="M29" s="6" t="s">
        <v>268</v>
      </c>
      <c r="N29" s="7">
        <v>2</v>
      </c>
      <c r="O29" s="6" t="s">
        <v>203</v>
      </c>
      <c r="P29" s="6" t="s">
        <v>269</v>
      </c>
      <c r="Q29" s="3" t="s">
        <v>205</v>
      </c>
      <c r="R29" s="3" t="s">
        <v>270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48" customHeight="1" x14ac:dyDescent="0.5">
      <c r="A30" s="6" t="s">
        <v>271</v>
      </c>
      <c r="B30" s="7">
        <v>7</v>
      </c>
      <c r="C30" s="8" t="s">
        <v>193</v>
      </c>
      <c r="D30" s="6" t="s">
        <v>265</v>
      </c>
      <c r="E30" s="6" t="s">
        <v>266</v>
      </c>
      <c r="F30" s="7" t="s">
        <v>267</v>
      </c>
      <c r="G30" s="7" t="s">
        <v>197</v>
      </c>
      <c r="H30" s="6" t="s">
        <v>208</v>
      </c>
      <c r="I30" s="6" t="s">
        <v>199</v>
      </c>
      <c r="J30" s="6" t="s">
        <v>200</v>
      </c>
      <c r="K30" s="7">
        <v>200</v>
      </c>
      <c r="L30" s="6" t="s">
        <v>201</v>
      </c>
      <c r="M30" s="6" t="s">
        <v>268</v>
      </c>
      <c r="N30" s="7">
        <v>2</v>
      </c>
      <c r="O30" s="6" t="s">
        <v>203</v>
      </c>
      <c r="P30" s="6" t="s">
        <v>269</v>
      </c>
      <c r="Q30" s="3" t="s">
        <v>209</v>
      </c>
      <c r="R30" s="3" t="s">
        <v>270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48" customHeight="1" x14ac:dyDescent="0.5">
      <c r="A31" s="6" t="s">
        <v>272</v>
      </c>
      <c r="B31" s="7">
        <v>7</v>
      </c>
      <c r="C31" s="8" t="s">
        <v>193</v>
      </c>
      <c r="D31" s="6" t="s">
        <v>265</v>
      </c>
      <c r="E31" s="6" t="s">
        <v>266</v>
      </c>
      <c r="F31" s="7" t="s">
        <v>267</v>
      </c>
      <c r="G31" s="7" t="s">
        <v>197</v>
      </c>
      <c r="H31" s="6" t="s">
        <v>211</v>
      </c>
      <c r="I31" s="6" t="s">
        <v>199</v>
      </c>
      <c r="J31" s="6" t="s">
        <v>212</v>
      </c>
      <c r="K31" s="7">
        <v>200</v>
      </c>
      <c r="L31" s="6" t="s">
        <v>201</v>
      </c>
      <c r="M31" s="6" t="s">
        <v>268</v>
      </c>
      <c r="N31" s="7">
        <v>2</v>
      </c>
      <c r="O31" s="6" t="s">
        <v>203</v>
      </c>
      <c r="P31" s="6" t="s">
        <v>269</v>
      </c>
      <c r="Q31" s="3" t="s">
        <v>213</v>
      </c>
      <c r="R31" s="3" t="s">
        <v>270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48" customHeight="1" x14ac:dyDescent="0.5">
      <c r="A32" s="6" t="s">
        <v>273</v>
      </c>
      <c r="B32" s="7">
        <v>7</v>
      </c>
      <c r="C32" s="8" t="s">
        <v>193</v>
      </c>
      <c r="D32" s="6" t="s">
        <v>265</v>
      </c>
      <c r="E32" s="6" t="s">
        <v>266</v>
      </c>
      <c r="F32" s="7" t="s">
        <v>267</v>
      </c>
      <c r="G32" s="7" t="s">
        <v>197</v>
      </c>
      <c r="H32" s="6" t="s">
        <v>215</v>
      </c>
      <c r="I32" s="6" t="s">
        <v>199</v>
      </c>
      <c r="J32" s="6" t="s">
        <v>212</v>
      </c>
      <c r="K32" s="7">
        <v>200</v>
      </c>
      <c r="L32" s="6" t="s">
        <v>201</v>
      </c>
      <c r="M32" s="6" t="s">
        <v>268</v>
      </c>
      <c r="N32" s="7">
        <v>2</v>
      </c>
      <c r="O32" s="6" t="s">
        <v>203</v>
      </c>
      <c r="P32" s="6" t="s">
        <v>269</v>
      </c>
      <c r="Q32" s="3" t="s">
        <v>216</v>
      </c>
      <c r="R32" s="3" t="s">
        <v>270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48" customHeight="1" x14ac:dyDescent="0.5">
      <c r="A33" s="6" t="s">
        <v>274</v>
      </c>
      <c r="B33" s="7">
        <v>8</v>
      </c>
      <c r="C33" s="8" t="s">
        <v>193</v>
      </c>
      <c r="D33" s="6" t="s">
        <v>275</v>
      </c>
      <c r="E33" s="6" t="s">
        <v>276</v>
      </c>
      <c r="F33" s="7" t="s">
        <v>277</v>
      </c>
      <c r="G33" s="7" t="s">
        <v>197</v>
      </c>
      <c r="H33" s="6" t="s">
        <v>198</v>
      </c>
      <c r="I33" s="6" t="s">
        <v>199</v>
      </c>
      <c r="J33" s="6" t="s">
        <v>200</v>
      </c>
      <c r="K33" s="7">
        <v>200</v>
      </c>
      <c r="L33" s="6" t="s">
        <v>201</v>
      </c>
      <c r="M33" s="6" t="s">
        <v>278</v>
      </c>
      <c r="N33" s="7">
        <v>2</v>
      </c>
      <c r="O33" s="6" t="s">
        <v>203</v>
      </c>
      <c r="P33" s="6" t="s">
        <v>279</v>
      </c>
      <c r="Q33" s="3" t="s">
        <v>205</v>
      </c>
      <c r="R33" s="3" t="s">
        <v>280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48" customHeight="1" x14ac:dyDescent="0.5">
      <c r="A34" s="6" t="s">
        <v>281</v>
      </c>
      <c r="B34" s="7">
        <v>8</v>
      </c>
      <c r="C34" s="8" t="s">
        <v>193</v>
      </c>
      <c r="D34" s="6" t="s">
        <v>275</v>
      </c>
      <c r="E34" s="6" t="s">
        <v>276</v>
      </c>
      <c r="F34" s="7" t="s">
        <v>277</v>
      </c>
      <c r="G34" s="7" t="s">
        <v>197</v>
      </c>
      <c r="H34" s="6" t="s">
        <v>208</v>
      </c>
      <c r="I34" s="6" t="s">
        <v>199</v>
      </c>
      <c r="J34" s="6" t="s">
        <v>200</v>
      </c>
      <c r="K34" s="7">
        <v>200</v>
      </c>
      <c r="L34" s="6" t="s">
        <v>201</v>
      </c>
      <c r="M34" s="6" t="s">
        <v>278</v>
      </c>
      <c r="N34" s="7">
        <v>2</v>
      </c>
      <c r="O34" s="6" t="s">
        <v>203</v>
      </c>
      <c r="P34" s="6" t="s">
        <v>279</v>
      </c>
      <c r="Q34" s="3" t="s">
        <v>209</v>
      </c>
      <c r="R34" s="3" t="s">
        <v>280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48" customHeight="1" x14ac:dyDescent="0.5">
      <c r="A35" s="6" t="s">
        <v>282</v>
      </c>
      <c r="B35" s="7">
        <v>8</v>
      </c>
      <c r="C35" s="8" t="s">
        <v>193</v>
      </c>
      <c r="D35" s="6" t="s">
        <v>275</v>
      </c>
      <c r="E35" s="6" t="s">
        <v>276</v>
      </c>
      <c r="F35" s="7" t="s">
        <v>277</v>
      </c>
      <c r="G35" s="7" t="s">
        <v>197</v>
      </c>
      <c r="H35" s="6" t="s">
        <v>211</v>
      </c>
      <c r="I35" s="6" t="s">
        <v>199</v>
      </c>
      <c r="J35" s="6" t="s">
        <v>212</v>
      </c>
      <c r="K35" s="7">
        <v>200</v>
      </c>
      <c r="L35" s="6" t="s">
        <v>201</v>
      </c>
      <c r="M35" s="6" t="s">
        <v>278</v>
      </c>
      <c r="N35" s="7">
        <v>2</v>
      </c>
      <c r="O35" s="6" t="s">
        <v>203</v>
      </c>
      <c r="P35" s="6" t="s">
        <v>279</v>
      </c>
      <c r="Q35" s="3" t="s">
        <v>213</v>
      </c>
      <c r="R35" s="3" t="s">
        <v>280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48" customHeight="1" x14ac:dyDescent="0.5">
      <c r="A36" s="6" t="s">
        <v>283</v>
      </c>
      <c r="B36" s="7">
        <v>8</v>
      </c>
      <c r="C36" s="8" t="s">
        <v>193</v>
      </c>
      <c r="D36" s="6" t="s">
        <v>275</v>
      </c>
      <c r="E36" s="6" t="s">
        <v>276</v>
      </c>
      <c r="F36" s="7" t="s">
        <v>277</v>
      </c>
      <c r="G36" s="7" t="s">
        <v>197</v>
      </c>
      <c r="H36" s="6" t="s">
        <v>215</v>
      </c>
      <c r="I36" s="6" t="s">
        <v>199</v>
      </c>
      <c r="J36" s="6" t="s">
        <v>212</v>
      </c>
      <c r="K36" s="7">
        <v>200</v>
      </c>
      <c r="L36" s="6" t="s">
        <v>201</v>
      </c>
      <c r="M36" s="6" t="s">
        <v>278</v>
      </c>
      <c r="N36" s="7">
        <v>2</v>
      </c>
      <c r="O36" s="6" t="s">
        <v>203</v>
      </c>
      <c r="P36" s="6" t="s">
        <v>279</v>
      </c>
      <c r="Q36" s="3" t="s">
        <v>216</v>
      </c>
      <c r="R36" s="3" t="s">
        <v>280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48" customHeight="1" x14ac:dyDescent="0.5">
      <c r="A37" s="6" t="s">
        <v>284</v>
      </c>
      <c r="B37" s="7">
        <v>9</v>
      </c>
      <c r="C37" s="8" t="s">
        <v>193</v>
      </c>
      <c r="D37" s="6" t="s">
        <v>285</v>
      </c>
      <c r="E37" s="6" t="s">
        <v>286</v>
      </c>
      <c r="F37" s="7" t="s">
        <v>287</v>
      </c>
      <c r="G37" s="7" t="s">
        <v>197</v>
      </c>
      <c r="H37" s="6" t="s">
        <v>198</v>
      </c>
      <c r="I37" s="6" t="s">
        <v>199</v>
      </c>
      <c r="J37" s="6" t="s">
        <v>200</v>
      </c>
      <c r="K37" s="7">
        <v>200</v>
      </c>
      <c r="L37" s="6" t="s">
        <v>201</v>
      </c>
      <c r="M37" s="6" t="s">
        <v>288</v>
      </c>
      <c r="N37" s="7">
        <v>2</v>
      </c>
      <c r="O37" s="6" t="s">
        <v>203</v>
      </c>
      <c r="P37" s="6" t="s">
        <v>289</v>
      </c>
      <c r="Q37" s="3" t="s">
        <v>205</v>
      </c>
      <c r="R37" s="3" t="s">
        <v>290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48" customHeight="1" x14ac:dyDescent="0.5">
      <c r="A38" s="6" t="s">
        <v>291</v>
      </c>
      <c r="B38" s="7">
        <v>9</v>
      </c>
      <c r="C38" s="8" t="s">
        <v>193</v>
      </c>
      <c r="D38" s="6" t="s">
        <v>285</v>
      </c>
      <c r="E38" s="6" t="s">
        <v>286</v>
      </c>
      <c r="F38" s="7" t="s">
        <v>287</v>
      </c>
      <c r="G38" s="7" t="s">
        <v>197</v>
      </c>
      <c r="H38" s="6" t="s">
        <v>208</v>
      </c>
      <c r="I38" s="6" t="s">
        <v>199</v>
      </c>
      <c r="J38" s="6" t="s">
        <v>200</v>
      </c>
      <c r="K38" s="7">
        <v>200</v>
      </c>
      <c r="L38" s="6" t="s">
        <v>201</v>
      </c>
      <c r="M38" s="6" t="s">
        <v>288</v>
      </c>
      <c r="N38" s="7">
        <v>2</v>
      </c>
      <c r="O38" s="6" t="s">
        <v>203</v>
      </c>
      <c r="P38" s="6" t="s">
        <v>289</v>
      </c>
      <c r="Q38" s="3" t="s">
        <v>209</v>
      </c>
      <c r="R38" s="3" t="s">
        <v>290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48" customHeight="1" x14ac:dyDescent="0.5">
      <c r="A39" s="6" t="s">
        <v>292</v>
      </c>
      <c r="B39" s="7">
        <v>9</v>
      </c>
      <c r="C39" s="8" t="s">
        <v>193</v>
      </c>
      <c r="D39" s="6" t="s">
        <v>285</v>
      </c>
      <c r="E39" s="6" t="s">
        <v>286</v>
      </c>
      <c r="F39" s="7" t="s">
        <v>287</v>
      </c>
      <c r="G39" s="7" t="s">
        <v>197</v>
      </c>
      <c r="H39" s="6" t="s">
        <v>211</v>
      </c>
      <c r="I39" s="6" t="s">
        <v>199</v>
      </c>
      <c r="J39" s="6" t="s">
        <v>212</v>
      </c>
      <c r="K39" s="7">
        <v>200</v>
      </c>
      <c r="L39" s="6" t="s">
        <v>201</v>
      </c>
      <c r="M39" s="6" t="s">
        <v>288</v>
      </c>
      <c r="N39" s="7">
        <v>2</v>
      </c>
      <c r="O39" s="6" t="s">
        <v>203</v>
      </c>
      <c r="P39" s="6" t="s">
        <v>289</v>
      </c>
      <c r="Q39" s="3" t="s">
        <v>213</v>
      </c>
      <c r="R39" s="3" t="s">
        <v>290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48" customHeight="1" x14ac:dyDescent="0.5">
      <c r="A40" s="6" t="s">
        <v>293</v>
      </c>
      <c r="B40" s="7">
        <v>9</v>
      </c>
      <c r="C40" s="8" t="s">
        <v>193</v>
      </c>
      <c r="D40" s="6" t="s">
        <v>285</v>
      </c>
      <c r="E40" s="6" t="s">
        <v>286</v>
      </c>
      <c r="F40" s="7" t="s">
        <v>287</v>
      </c>
      <c r="G40" s="7" t="s">
        <v>197</v>
      </c>
      <c r="H40" s="6" t="s">
        <v>215</v>
      </c>
      <c r="I40" s="6" t="s">
        <v>199</v>
      </c>
      <c r="J40" s="6" t="s">
        <v>212</v>
      </c>
      <c r="K40" s="7">
        <v>200</v>
      </c>
      <c r="L40" s="6" t="s">
        <v>201</v>
      </c>
      <c r="M40" s="6" t="s">
        <v>288</v>
      </c>
      <c r="N40" s="7">
        <v>2</v>
      </c>
      <c r="O40" s="6" t="s">
        <v>203</v>
      </c>
      <c r="P40" s="6" t="s">
        <v>289</v>
      </c>
      <c r="Q40" s="3" t="s">
        <v>216</v>
      </c>
      <c r="R40" s="3" t="s">
        <v>290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48" customHeight="1" x14ac:dyDescent="0.5">
      <c r="A41" s="6" t="s">
        <v>294</v>
      </c>
      <c r="B41" s="7">
        <v>10</v>
      </c>
      <c r="C41" s="8" t="s">
        <v>193</v>
      </c>
      <c r="D41" s="6" t="s">
        <v>285</v>
      </c>
      <c r="E41" s="6" t="s">
        <v>286</v>
      </c>
      <c r="F41" s="7" t="s">
        <v>196</v>
      </c>
      <c r="G41" s="7" t="s">
        <v>197</v>
      </c>
      <c r="H41" s="6" t="s">
        <v>198</v>
      </c>
      <c r="I41" s="6" t="s">
        <v>199</v>
      </c>
      <c r="J41" s="6" t="s">
        <v>200</v>
      </c>
      <c r="K41" s="7">
        <v>200</v>
      </c>
      <c r="L41" s="6" t="s">
        <v>201</v>
      </c>
      <c r="M41" s="6" t="s">
        <v>295</v>
      </c>
      <c r="N41" s="7">
        <v>1</v>
      </c>
      <c r="O41" s="6" t="s">
        <v>203</v>
      </c>
      <c r="P41" s="6" t="s">
        <v>230</v>
      </c>
      <c r="Q41" s="3" t="s">
        <v>205</v>
      </c>
      <c r="R41" s="3" t="s">
        <v>290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48" customHeight="1" x14ac:dyDescent="0.5">
      <c r="A42" s="6" t="s">
        <v>296</v>
      </c>
      <c r="B42" s="7">
        <v>10</v>
      </c>
      <c r="C42" s="8" t="s">
        <v>193</v>
      </c>
      <c r="D42" s="6" t="s">
        <v>285</v>
      </c>
      <c r="E42" s="6" t="s">
        <v>286</v>
      </c>
      <c r="F42" s="7" t="s">
        <v>196</v>
      </c>
      <c r="G42" s="7" t="s">
        <v>197</v>
      </c>
      <c r="H42" s="6" t="s">
        <v>208</v>
      </c>
      <c r="I42" s="6" t="s">
        <v>199</v>
      </c>
      <c r="J42" s="6" t="s">
        <v>200</v>
      </c>
      <c r="K42" s="7">
        <v>200</v>
      </c>
      <c r="L42" s="6" t="s">
        <v>201</v>
      </c>
      <c r="M42" s="6" t="s">
        <v>295</v>
      </c>
      <c r="N42" s="7">
        <v>1</v>
      </c>
      <c r="O42" s="6" t="s">
        <v>203</v>
      </c>
      <c r="P42" s="6" t="s">
        <v>230</v>
      </c>
      <c r="Q42" s="3" t="s">
        <v>209</v>
      </c>
      <c r="R42" s="3" t="s">
        <v>290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48" customHeight="1" x14ac:dyDescent="0.5">
      <c r="A43" s="6" t="s">
        <v>297</v>
      </c>
      <c r="B43" s="7">
        <v>10</v>
      </c>
      <c r="C43" s="8" t="s">
        <v>193</v>
      </c>
      <c r="D43" s="6" t="s">
        <v>285</v>
      </c>
      <c r="E43" s="6" t="s">
        <v>286</v>
      </c>
      <c r="F43" s="7" t="s">
        <v>196</v>
      </c>
      <c r="G43" s="7" t="s">
        <v>197</v>
      </c>
      <c r="H43" s="6" t="s">
        <v>211</v>
      </c>
      <c r="I43" s="6" t="s">
        <v>199</v>
      </c>
      <c r="J43" s="6" t="s">
        <v>212</v>
      </c>
      <c r="K43" s="7">
        <v>200</v>
      </c>
      <c r="L43" s="6" t="s">
        <v>201</v>
      </c>
      <c r="M43" s="6" t="s">
        <v>295</v>
      </c>
      <c r="N43" s="7">
        <v>1</v>
      </c>
      <c r="O43" s="6" t="s">
        <v>203</v>
      </c>
      <c r="P43" s="6" t="s">
        <v>230</v>
      </c>
      <c r="Q43" s="3" t="s">
        <v>213</v>
      </c>
      <c r="R43" s="3" t="s">
        <v>290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48" customHeight="1" x14ac:dyDescent="0.5">
      <c r="A44" s="6" t="s">
        <v>298</v>
      </c>
      <c r="B44" s="7">
        <v>10</v>
      </c>
      <c r="C44" s="8" t="s">
        <v>193</v>
      </c>
      <c r="D44" s="6" t="s">
        <v>285</v>
      </c>
      <c r="E44" s="6" t="s">
        <v>286</v>
      </c>
      <c r="F44" s="7" t="s">
        <v>196</v>
      </c>
      <c r="G44" s="7" t="s">
        <v>197</v>
      </c>
      <c r="H44" s="6" t="s">
        <v>215</v>
      </c>
      <c r="I44" s="6" t="s">
        <v>199</v>
      </c>
      <c r="J44" s="6" t="s">
        <v>212</v>
      </c>
      <c r="K44" s="7">
        <v>200</v>
      </c>
      <c r="L44" s="6" t="s">
        <v>201</v>
      </c>
      <c r="M44" s="6" t="s">
        <v>295</v>
      </c>
      <c r="N44" s="7">
        <v>1</v>
      </c>
      <c r="O44" s="6" t="s">
        <v>203</v>
      </c>
      <c r="P44" s="6" t="s">
        <v>230</v>
      </c>
      <c r="Q44" s="3" t="s">
        <v>216</v>
      </c>
      <c r="R44" s="3" t="s">
        <v>290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48" customHeight="1" x14ac:dyDescent="0.5">
      <c r="A45" s="6" t="s">
        <v>299</v>
      </c>
      <c r="B45" s="7">
        <v>11</v>
      </c>
      <c r="C45" s="8" t="s">
        <v>193</v>
      </c>
      <c r="D45" s="6" t="s">
        <v>300</v>
      </c>
      <c r="E45" s="6" t="s">
        <v>301</v>
      </c>
      <c r="F45" s="7" t="s">
        <v>302</v>
      </c>
      <c r="G45" s="7" t="s">
        <v>197</v>
      </c>
      <c r="H45" s="6" t="s">
        <v>198</v>
      </c>
      <c r="I45" s="6" t="s">
        <v>199</v>
      </c>
      <c r="J45" s="6" t="s">
        <v>200</v>
      </c>
      <c r="K45" s="7">
        <v>200</v>
      </c>
      <c r="L45" s="6" t="s">
        <v>201</v>
      </c>
      <c r="M45" s="6" t="s">
        <v>303</v>
      </c>
      <c r="N45" s="7">
        <v>2</v>
      </c>
      <c r="O45" s="6" t="s">
        <v>203</v>
      </c>
      <c r="P45" s="6" t="s">
        <v>304</v>
      </c>
      <c r="Q45" s="3" t="s">
        <v>205</v>
      </c>
      <c r="R45" s="3" t="s">
        <v>305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48" customHeight="1" x14ac:dyDescent="0.5">
      <c r="A46" s="6" t="s">
        <v>306</v>
      </c>
      <c r="B46" s="7">
        <v>11</v>
      </c>
      <c r="C46" s="8" t="s">
        <v>193</v>
      </c>
      <c r="D46" s="6" t="s">
        <v>300</v>
      </c>
      <c r="E46" s="6" t="s">
        <v>301</v>
      </c>
      <c r="F46" s="7" t="s">
        <v>302</v>
      </c>
      <c r="G46" s="7" t="s">
        <v>197</v>
      </c>
      <c r="H46" s="6" t="s">
        <v>208</v>
      </c>
      <c r="I46" s="6" t="s">
        <v>199</v>
      </c>
      <c r="J46" s="6" t="s">
        <v>200</v>
      </c>
      <c r="K46" s="7">
        <v>200</v>
      </c>
      <c r="L46" s="6" t="s">
        <v>201</v>
      </c>
      <c r="M46" s="6" t="s">
        <v>303</v>
      </c>
      <c r="N46" s="7">
        <v>2</v>
      </c>
      <c r="O46" s="6" t="s">
        <v>203</v>
      </c>
      <c r="P46" s="6" t="s">
        <v>304</v>
      </c>
      <c r="Q46" s="3" t="s">
        <v>209</v>
      </c>
      <c r="R46" s="3" t="s">
        <v>305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48" customHeight="1" x14ac:dyDescent="0.5">
      <c r="A47" s="6" t="s">
        <v>307</v>
      </c>
      <c r="B47" s="7">
        <v>11</v>
      </c>
      <c r="C47" s="8" t="s">
        <v>193</v>
      </c>
      <c r="D47" s="6" t="s">
        <v>300</v>
      </c>
      <c r="E47" s="6" t="s">
        <v>301</v>
      </c>
      <c r="F47" s="7" t="s">
        <v>302</v>
      </c>
      <c r="G47" s="7" t="s">
        <v>197</v>
      </c>
      <c r="H47" s="6" t="s">
        <v>211</v>
      </c>
      <c r="I47" s="6" t="s">
        <v>199</v>
      </c>
      <c r="J47" s="6" t="s">
        <v>212</v>
      </c>
      <c r="K47" s="7">
        <v>200</v>
      </c>
      <c r="L47" s="6" t="s">
        <v>201</v>
      </c>
      <c r="M47" s="6" t="s">
        <v>303</v>
      </c>
      <c r="N47" s="7">
        <v>2</v>
      </c>
      <c r="O47" s="6" t="s">
        <v>203</v>
      </c>
      <c r="P47" s="6" t="s">
        <v>304</v>
      </c>
      <c r="Q47" s="3" t="s">
        <v>213</v>
      </c>
      <c r="R47" s="3" t="s">
        <v>305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48" customHeight="1" x14ac:dyDescent="0.5">
      <c r="A48" s="6" t="s">
        <v>308</v>
      </c>
      <c r="B48" s="7">
        <v>11</v>
      </c>
      <c r="C48" s="8" t="s">
        <v>193</v>
      </c>
      <c r="D48" s="6" t="s">
        <v>300</v>
      </c>
      <c r="E48" s="6" t="s">
        <v>301</v>
      </c>
      <c r="F48" s="7" t="s">
        <v>302</v>
      </c>
      <c r="G48" s="7" t="s">
        <v>197</v>
      </c>
      <c r="H48" s="6" t="s">
        <v>215</v>
      </c>
      <c r="I48" s="6" t="s">
        <v>199</v>
      </c>
      <c r="J48" s="6" t="s">
        <v>212</v>
      </c>
      <c r="K48" s="7">
        <v>200</v>
      </c>
      <c r="L48" s="6" t="s">
        <v>201</v>
      </c>
      <c r="M48" s="6" t="s">
        <v>303</v>
      </c>
      <c r="N48" s="7">
        <v>2</v>
      </c>
      <c r="O48" s="6" t="s">
        <v>203</v>
      </c>
      <c r="P48" s="6" t="s">
        <v>304</v>
      </c>
      <c r="Q48" s="3" t="s">
        <v>216</v>
      </c>
      <c r="R48" s="3" t="s">
        <v>305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48" customHeight="1" x14ac:dyDescent="0.5">
      <c r="A49" s="6" t="s">
        <v>309</v>
      </c>
      <c r="B49" s="7">
        <v>12</v>
      </c>
      <c r="C49" s="8" t="s">
        <v>193</v>
      </c>
      <c r="D49" s="6" t="s">
        <v>310</v>
      </c>
      <c r="E49" s="6" t="s">
        <v>311</v>
      </c>
      <c r="F49" s="7" t="s">
        <v>312</v>
      </c>
      <c r="G49" s="7" t="s">
        <v>197</v>
      </c>
      <c r="H49" s="6" t="s">
        <v>198</v>
      </c>
      <c r="I49" s="6" t="s">
        <v>199</v>
      </c>
      <c r="J49" s="6" t="s">
        <v>200</v>
      </c>
      <c r="K49" s="7">
        <v>200</v>
      </c>
      <c r="L49" s="6" t="s">
        <v>201</v>
      </c>
      <c r="M49" s="6" t="s">
        <v>313</v>
      </c>
      <c r="N49" s="7">
        <v>2</v>
      </c>
      <c r="O49" s="6" t="s">
        <v>203</v>
      </c>
      <c r="P49" s="6" t="s">
        <v>314</v>
      </c>
      <c r="Q49" s="3" t="s">
        <v>205</v>
      </c>
      <c r="R49" s="3" t="s">
        <v>315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48" customHeight="1" x14ac:dyDescent="0.5">
      <c r="A50" s="6" t="s">
        <v>316</v>
      </c>
      <c r="B50" s="7">
        <v>12</v>
      </c>
      <c r="C50" s="8" t="s">
        <v>193</v>
      </c>
      <c r="D50" s="6" t="s">
        <v>310</v>
      </c>
      <c r="E50" s="6" t="s">
        <v>311</v>
      </c>
      <c r="F50" s="7" t="s">
        <v>312</v>
      </c>
      <c r="G50" s="7" t="s">
        <v>197</v>
      </c>
      <c r="H50" s="6" t="s">
        <v>208</v>
      </c>
      <c r="I50" s="6" t="s">
        <v>199</v>
      </c>
      <c r="J50" s="6" t="s">
        <v>200</v>
      </c>
      <c r="K50" s="7">
        <v>200</v>
      </c>
      <c r="L50" s="6" t="s">
        <v>201</v>
      </c>
      <c r="M50" s="6" t="s">
        <v>313</v>
      </c>
      <c r="N50" s="7">
        <v>2</v>
      </c>
      <c r="O50" s="6" t="s">
        <v>203</v>
      </c>
      <c r="P50" s="6" t="s">
        <v>314</v>
      </c>
      <c r="Q50" s="3" t="s">
        <v>209</v>
      </c>
      <c r="R50" s="3" t="s">
        <v>315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48" customHeight="1" x14ac:dyDescent="0.5">
      <c r="A51" s="6" t="s">
        <v>317</v>
      </c>
      <c r="B51" s="7">
        <v>12</v>
      </c>
      <c r="C51" s="8" t="s">
        <v>193</v>
      </c>
      <c r="D51" s="6" t="s">
        <v>310</v>
      </c>
      <c r="E51" s="6" t="s">
        <v>311</v>
      </c>
      <c r="F51" s="7" t="s">
        <v>312</v>
      </c>
      <c r="G51" s="7" t="s">
        <v>197</v>
      </c>
      <c r="H51" s="6" t="s">
        <v>211</v>
      </c>
      <c r="I51" s="6" t="s">
        <v>199</v>
      </c>
      <c r="J51" s="6" t="s">
        <v>212</v>
      </c>
      <c r="K51" s="7">
        <v>200</v>
      </c>
      <c r="L51" s="6" t="s">
        <v>201</v>
      </c>
      <c r="M51" s="6" t="s">
        <v>313</v>
      </c>
      <c r="N51" s="7">
        <v>2</v>
      </c>
      <c r="O51" s="6" t="s">
        <v>203</v>
      </c>
      <c r="P51" s="6" t="s">
        <v>314</v>
      </c>
      <c r="Q51" s="3" t="s">
        <v>213</v>
      </c>
      <c r="R51" s="3" t="s">
        <v>315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48" customHeight="1" x14ac:dyDescent="0.5">
      <c r="A52" s="6" t="s">
        <v>318</v>
      </c>
      <c r="B52" s="7">
        <v>12</v>
      </c>
      <c r="C52" s="8" t="s">
        <v>193</v>
      </c>
      <c r="D52" s="6" t="s">
        <v>310</v>
      </c>
      <c r="E52" s="6" t="s">
        <v>311</v>
      </c>
      <c r="F52" s="7" t="s">
        <v>312</v>
      </c>
      <c r="G52" s="7" t="s">
        <v>197</v>
      </c>
      <c r="H52" s="6" t="s">
        <v>215</v>
      </c>
      <c r="I52" s="6" t="s">
        <v>199</v>
      </c>
      <c r="J52" s="6" t="s">
        <v>212</v>
      </c>
      <c r="K52" s="7">
        <v>200</v>
      </c>
      <c r="L52" s="6" t="s">
        <v>201</v>
      </c>
      <c r="M52" s="6" t="s">
        <v>313</v>
      </c>
      <c r="N52" s="7">
        <v>2</v>
      </c>
      <c r="O52" s="6" t="s">
        <v>203</v>
      </c>
      <c r="P52" s="6" t="s">
        <v>314</v>
      </c>
      <c r="Q52" s="3" t="s">
        <v>216</v>
      </c>
      <c r="R52" s="3" t="s">
        <v>315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52.5" customHeight="1" x14ac:dyDescent="0.5">
      <c r="A53" s="6"/>
      <c r="B53" s="7"/>
      <c r="C53" s="9"/>
      <c r="D53" s="6"/>
      <c r="E53" s="6"/>
      <c r="F53" s="7"/>
      <c r="G53" s="7"/>
      <c r="H53" s="6"/>
      <c r="I53" s="6"/>
      <c r="J53" s="6"/>
      <c r="K53" s="7"/>
      <c r="L53" s="6"/>
      <c r="M53" s="6"/>
      <c r="N53" s="7"/>
      <c r="O53" s="6"/>
      <c r="P53" s="6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52.5" customHeight="1" x14ac:dyDescent="0.5">
      <c r="A54" s="6"/>
      <c r="B54" s="7"/>
      <c r="C54" s="9"/>
      <c r="D54" s="6"/>
      <c r="E54" s="6"/>
      <c r="F54" s="7"/>
      <c r="G54" s="7"/>
      <c r="H54" s="6"/>
      <c r="I54" s="6"/>
      <c r="J54" s="6"/>
      <c r="K54" s="7"/>
      <c r="L54" s="6"/>
      <c r="M54" s="6"/>
      <c r="N54" s="7"/>
      <c r="O54" s="6"/>
      <c r="P54" s="6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52.5" customHeight="1" x14ac:dyDescent="0.5">
      <c r="A55" s="6"/>
      <c r="B55" s="7"/>
      <c r="C55" s="9"/>
      <c r="D55" s="6"/>
      <c r="E55" s="6"/>
      <c r="F55" s="7"/>
      <c r="G55" s="7"/>
      <c r="H55" s="6"/>
      <c r="I55" s="6"/>
      <c r="J55" s="6"/>
      <c r="K55" s="7"/>
      <c r="L55" s="6"/>
      <c r="M55" s="6"/>
      <c r="N55" s="7"/>
      <c r="O55" s="6"/>
      <c r="P55" s="6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52.5" customHeight="1" x14ac:dyDescent="0.5">
      <c r="A56" s="6"/>
      <c r="B56" s="7"/>
      <c r="C56" s="9"/>
      <c r="D56" s="6"/>
      <c r="E56" s="6"/>
      <c r="F56" s="7"/>
      <c r="G56" s="7"/>
      <c r="H56" s="6"/>
      <c r="I56" s="6"/>
      <c r="J56" s="6"/>
      <c r="K56" s="7"/>
      <c r="L56" s="6"/>
      <c r="M56" s="6"/>
      <c r="N56" s="7"/>
      <c r="O56" s="6"/>
      <c r="P56" s="6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52.5" customHeight="1" x14ac:dyDescent="0.5">
      <c r="A57" s="6"/>
      <c r="B57" s="7"/>
      <c r="C57" s="9"/>
      <c r="D57" s="6"/>
      <c r="E57" s="6"/>
      <c r="F57" s="7"/>
      <c r="G57" s="7"/>
      <c r="H57" s="6"/>
      <c r="I57" s="6"/>
      <c r="J57" s="6"/>
      <c r="K57" s="7"/>
      <c r="L57" s="6"/>
      <c r="M57" s="6"/>
      <c r="N57" s="7"/>
      <c r="O57" s="6"/>
      <c r="P57" s="6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66" customHeight="1" x14ac:dyDescent="0.5">
      <c r="A58" s="6"/>
      <c r="B58" s="10"/>
      <c r="C58" s="9"/>
      <c r="D58" s="6"/>
      <c r="E58" s="6"/>
      <c r="F58" s="7"/>
      <c r="G58" s="7"/>
      <c r="H58" s="6"/>
      <c r="I58" s="6"/>
      <c r="J58" s="6"/>
      <c r="K58" s="7"/>
      <c r="L58" s="6"/>
      <c r="M58" s="6"/>
      <c r="N58" s="7"/>
      <c r="O58" s="6"/>
      <c r="P58" s="6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66" customHeight="1" x14ac:dyDescent="0.5">
      <c r="A59" s="6"/>
      <c r="B59" s="10"/>
      <c r="C59" s="9"/>
      <c r="D59" s="6"/>
      <c r="E59" s="6"/>
      <c r="F59" s="7"/>
      <c r="G59" s="7"/>
      <c r="H59" s="6"/>
      <c r="I59" s="6"/>
      <c r="J59" s="6"/>
      <c r="K59" s="7"/>
      <c r="L59" s="6"/>
      <c r="M59" s="6"/>
      <c r="N59" s="7"/>
      <c r="O59" s="6"/>
      <c r="P59" s="6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52.5" customHeight="1" x14ac:dyDescent="0.5">
      <c r="A60" s="6"/>
      <c r="B60" s="7"/>
      <c r="C60" s="9"/>
      <c r="D60" s="6"/>
      <c r="E60" s="6"/>
      <c r="F60" s="7"/>
      <c r="G60" s="7"/>
      <c r="H60" s="6"/>
      <c r="I60" s="6"/>
      <c r="J60" s="6"/>
      <c r="K60" s="7"/>
      <c r="L60" s="6"/>
      <c r="M60" s="6"/>
      <c r="N60" s="7"/>
      <c r="O60" s="6"/>
      <c r="P60" s="6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4.25" customHeigh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4.25" customHeight="1" x14ac:dyDescent="0.5">
      <c r="A62" s="11" t="s">
        <v>319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4.25" customHeight="1" x14ac:dyDescent="0.5">
      <c r="A63" s="12" t="s">
        <v>320</v>
      </c>
      <c r="B63" s="13">
        <v>48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4.25" customHeight="1" x14ac:dyDescent="0.5">
      <c r="A64" s="12" t="s">
        <v>193</v>
      </c>
      <c r="B64" s="13">
        <v>48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4.25" customHeight="1" x14ac:dyDescent="0.5">
      <c r="A65" s="12" t="s">
        <v>321</v>
      </c>
      <c r="B65" s="13">
        <v>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6.5" customHeight="1" x14ac:dyDescent="0.5">
      <c r="A66" s="12" t="s">
        <v>322</v>
      </c>
      <c r="B66" s="13">
        <v>44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6.5" customHeight="1" x14ac:dyDescent="0.5">
      <c r="A67" s="12" t="s">
        <v>323</v>
      </c>
      <c r="B67" s="13">
        <v>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6.5" customHeight="1" x14ac:dyDescent="0.5">
      <c r="A68" s="12" t="s">
        <v>324</v>
      </c>
      <c r="B68" s="13">
        <v>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6.5" customHeight="1" x14ac:dyDescent="0.5">
      <c r="A69" s="12" t="s">
        <v>325</v>
      </c>
      <c r="B69" s="14">
        <v>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4.2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6.5" customHeight="1" x14ac:dyDescent="0.5">
      <c r="A71" s="4" t="s">
        <v>326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</sheetData>
  <autoFilter ref="A4:AD52" xr:uid="{00000000-0009-0000-0000-000000000000}">
    <sortState xmlns:xlrd2="http://schemas.microsoft.com/office/spreadsheetml/2017/richdata2" ref="A5:AD52">
      <sortCondition ref="A5:A52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7"/>
  <sheetViews>
    <sheetView zoomScaleNormal="100" workbookViewId="0">
      <pane ySplit="4" topLeftCell="A5" activePane="bottomLeft" state="frozen"/>
      <selection pane="bottomLeft"/>
    </sheetView>
  </sheetViews>
  <sheetFormatPr defaultColWidth="28" defaultRowHeight="14" x14ac:dyDescent="0.45"/>
  <cols>
    <col min="1" max="1" width="14" style="1" customWidth="1"/>
    <col min="2" max="2" width="38" style="1" customWidth="1"/>
    <col min="3" max="3" width="6" style="1" customWidth="1"/>
    <col min="4" max="4" width="12" style="1" customWidth="1"/>
    <col min="5" max="5" width="9" style="1" customWidth="1"/>
    <col min="6" max="7" width="8" style="1" customWidth="1"/>
    <col min="8" max="9" width="14" style="1" customWidth="1"/>
    <col min="10" max="10" width="40" style="1" customWidth="1"/>
    <col min="11" max="11" width="28" style="1" customWidth="1"/>
    <col min="12" max="12" width="15" style="1" customWidth="1"/>
    <col min="13" max="13" width="21" style="1" customWidth="1"/>
    <col min="14" max="14" width="13" style="1" customWidth="1"/>
    <col min="15" max="15" width="30" style="1" customWidth="1"/>
    <col min="16" max="16" width="34" style="1" customWidth="1"/>
    <col min="17" max="18" width="14" style="1" customWidth="1"/>
    <col min="19" max="19" width="16" style="1" customWidth="1"/>
    <col min="20" max="20" width="14" style="1" customWidth="1"/>
    <col min="21" max="21" width="32" style="1" customWidth="1"/>
    <col min="22" max="22" width="22" style="1" customWidth="1"/>
    <col min="23" max="23" width="52" style="1" customWidth="1"/>
    <col min="24" max="26" width="28" style="1" customWidth="1"/>
    <col min="27" max="16384" width="28" style="1"/>
  </cols>
  <sheetData>
    <row r="1" spans="1:25" ht="16.5" customHeight="1" x14ac:dyDescent="0.45">
      <c r="A1" s="2" t="s">
        <v>327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6.5" customHeight="1" x14ac:dyDescent="0.45">
      <c r="A2" s="4" t="s">
        <v>328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3.5" customHeight="1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7" customHeight="1" x14ac:dyDescent="0.45">
      <c r="A4" s="5" t="s">
        <v>329</v>
      </c>
      <c r="B4" s="5" t="s">
        <v>330</v>
      </c>
      <c r="C4" s="5" t="s">
        <v>331</v>
      </c>
      <c r="D4" s="5" t="s">
        <v>165</v>
      </c>
      <c r="E4" s="5" t="s">
        <v>167</v>
      </c>
      <c r="F4" s="5" t="s">
        <v>168</v>
      </c>
      <c r="G4" s="5" t="s">
        <v>332</v>
      </c>
      <c r="H4" s="5" t="s">
        <v>333</v>
      </c>
      <c r="I4" s="5" t="s">
        <v>334</v>
      </c>
      <c r="J4" s="5" t="s">
        <v>335</v>
      </c>
      <c r="K4" s="5" t="s">
        <v>336</v>
      </c>
      <c r="L4" s="5" t="s">
        <v>337</v>
      </c>
      <c r="M4" s="5" t="s">
        <v>338</v>
      </c>
      <c r="N4" s="5" t="s">
        <v>339</v>
      </c>
      <c r="O4" s="5" t="s">
        <v>340</v>
      </c>
      <c r="P4" s="5" t="s">
        <v>341</v>
      </c>
      <c r="Q4" s="5" t="s">
        <v>342</v>
      </c>
      <c r="R4" s="5" t="s">
        <v>343</v>
      </c>
      <c r="S4" s="5" t="s">
        <v>344</v>
      </c>
      <c r="T4" s="5" t="s">
        <v>345</v>
      </c>
      <c r="U4" s="5" t="s">
        <v>346</v>
      </c>
      <c r="V4" s="5" t="s">
        <v>347</v>
      </c>
      <c r="W4" s="5" t="s">
        <v>348</v>
      </c>
      <c r="X4" s="3" t="s">
        <v>171</v>
      </c>
      <c r="Y4" s="3" t="s">
        <v>349</v>
      </c>
    </row>
    <row r="5" spans="1:25" ht="41.25" customHeight="1" x14ac:dyDescent="0.45">
      <c r="A5" s="6" t="s">
        <v>202</v>
      </c>
      <c r="B5" s="6" t="s">
        <v>350</v>
      </c>
      <c r="C5" s="7">
        <v>44</v>
      </c>
      <c r="D5" s="6" t="s">
        <v>194</v>
      </c>
      <c r="E5" s="7" t="s">
        <v>196</v>
      </c>
      <c r="F5" s="7" t="s">
        <v>197</v>
      </c>
      <c r="G5" s="7">
        <v>10</v>
      </c>
      <c r="H5" s="6" t="s">
        <v>351</v>
      </c>
      <c r="I5" s="8" t="s">
        <v>352</v>
      </c>
      <c r="J5" s="6" t="s">
        <v>353</v>
      </c>
      <c r="K5" s="6" t="s">
        <v>354</v>
      </c>
      <c r="L5" s="7" t="s">
        <v>355</v>
      </c>
      <c r="M5" s="6" t="s">
        <v>356</v>
      </c>
      <c r="N5" s="7" t="s">
        <v>357</v>
      </c>
      <c r="O5" s="6" t="s">
        <v>358</v>
      </c>
      <c r="P5" s="6" t="s">
        <v>359</v>
      </c>
      <c r="Q5" s="6" t="s">
        <v>194</v>
      </c>
      <c r="R5" s="6" t="s">
        <v>194</v>
      </c>
      <c r="S5" s="6" t="s">
        <v>194</v>
      </c>
      <c r="T5" s="6" t="s">
        <v>194</v>
      </c>
      <c r="U5" s="6" t="s">
        <v>360</v>
      </c>
      <c r="V5" s="6" t="s">
        <v>361</v>
      </c>
      <c r="W5" s="6" t="s">
        <v>362</v>
      </c>
      <c r="X5" s="3" t="s">
        <v>363</v>
      </c>
      <c r="Y5" s="3" t="s">
        <v>364</v>
      </c>
    </row>
    <row r="6" spans="1:25" ht="41.25" customHeight="1" x14ac:dyDescent="0.45">
      <c r="A6" s="6" t="s">
        <v>365</v>
      </c>
      <c r="B6" s="6" t="s">
        <v>366</v>
      </c>
      <c r="C6" s="7">
        <v>39</v>
      </c>
      <c r="D6" s="6" t="s">
        <v>194</v>
      </c>
      <c r="E6" s="7" t="s">
        <v>196</v>
      </c>
      <c r="F6" s="7" t="s">
        <v>197</v>
      </c>
      <c r="G6" s="7">
        <v>20</v>
      </c>
      <c r="H6" s="6" t="s">
        <v>367</v>
      </c>
      <c r="I6" s="15" t="s">
        <v>368</v>
      </c>
      <c r="J6" s="6" t="s">
        <v>353</v>
      </c>
      <c r="K6" s="6" t="s">
        <v>369</v>
      </c>
      <c r="L6" s="7" t="s">
        <v>370</v>
      </c>
      <c r="M6" s="6" t="s">
        <v>371</v>
      </c>
      <c r="N6" s="7" t="s">
        <v>372</v>
      </c>
      <c r="O6" s="6" t="s">
        <v>373</v>
      </c>
      <c r="P6" s="6" t="s">
        <v>374</v>
      </c>
      <c r="Q6" s="6" t="s">
        <v>265</v>
      </c>
      <c r="R6" s="6" t="s">
        <v>265</v>
      </c>
      <c r="S6" s="6" t="s">
        <v>265</v>
      </c>
      <c r="T6" s="6" t="s">
        <v>194</v>
      </c>
      <c r="U6" s="6" t="s">
        <v>360</v>
      </c>
      <c r="V6" s="6" t="s">
        <v>361</v>
      </c>
      <c r="W6" s="6" t="s">
        <v>375</v>
      </c>
      <c r="X6" s="3" t="s">
        <v>363</v>
      </c>
      <c r="Y6" s="3" t="s">
        <v>364</v>
      </c>
    </row>
    <row r="7" spans="1:25" ht="41.25" customHeight="1" x14ac:dyDescent="0.45">
      <c r="A7" s="6" t="s">
        <v>376</v>
      </c>
      <c r="B7" s="6" t="s">
        <v>377</v>
      </c>
      <c r="C7" s="7">
        <v>44</v>
      </c>
      <c r="D7" s="6" t="s">
        <v>218</v>
      </c>
      <c r="E7" s="7" t="s">
        <v>220</v>
      </c>
      <c r="F7" s="7" t="s">
        <v>197</v>
      </c>
      <c r="G7" s="7">
        <v>10</v>
      </c>
      <c r="H7" s="6" t="s">
        <v>351</v>
      </c>
      <c r="I7" s="16" t="s">
        <v>378</v>
      </c>
      <c r="J7" s="6" t="s">
        <v>379</v>
      </c>
      <c r="K7" s="6" t="s">
        <v>380</v>
      </c>
      <c r="L7" s="7" t="s">
        <v>381</v>
      </c>
      <c r="M7" s="6" t="s">
        <v>382</v>
      </c>
      <c r="N7" s="7" t="s">
        <v>383</v>
      </c>
      <c r="O7" s="6" t="s">
        <v>384</v>
      </c>
      <c r="P7" s="6" t="s">
        <v>385</v>
      </c>
      <c r="Q7" s="6" t="s">
        <v>218</v>
      </c>
      <c r="R7" s="6" t="s">
        <v>218</v>
      </c>
      <c r="S7" s="6" t="s">
        <v>218</v>
      </c>
      <c r="T7" s="6" t="s">
        <v>218</v>
      </c>
      <c r="U7" s="6" t="s">
        <v>360</v>
      </c>
      <c r="V7" s="6" t="s">
        <v>361</v>
      </c>
      <c r="W7" s="6" t="s">
        <v>386</v>
      </c>
      <c r="X7" s="3" t="s">
        <v>363</v>
      </c>
      <c r="Y7" s="3" t="s">
        <v>364</v>
      </c>
    </row>
    <row r="8" spans="1:25" ht="27" customHeight="1" x14ac:dyDescent="0.45">
      <c r="A8" s="6" t="s">
        <v>387</v>
      </c>
      <c r="B8" s="6" t="s">
        <v>388</v>
      </c>
      <c r="C8" s="7">
        <v>39</v>
      </c>
      <c r="D8" s="6" t="s">
        <v>218</v>
      </c>
      <c r="E8" s="7" t="s">
        <v>220</v>
      </c>
      <c r="F8" s="7" t="s">
        <v>197</v>
      </c>
      <c r="G8" s="7">
        <v>10</v>
      </c>
      <c r="H8" s="6" t="s">
        <v>351</v>
      </c>
      <c r="I8" s="16" t="s">
        <v>378</v>
      </c>
      <c r="J8" s="6" t="s">
        <v>389</v>
      </c>
      <c r="K8" s="6" t="s">
        <v>380</v>
      </c>
      <c r="L8" s="7" t="s">
        <v>381</v>
      </c>
      <c r="M8" s="6" t="s">
        <v>382</v>
      </c>
      <c r="N8" s="7" t="s">
        <v>383</v>
      </c>
      <c r="O8" s="6" t="s">
        <v>390</v>
      </c>
      <c r="P8" s="6" t="s">
        <v>391</v>
      </c>
      <c r="Q8" s="6" t="s">
        <v>218</v>
      </c>
      <c r="R8" s="6" t="s">
        <v>218</v>
      </c>
      <c r="S8" s="6" t="s">
        <v>218</v>
      </c>
      <c r="T8" s="6" t="s">
        <v>218</v>
      </c>
      <c r="U8" s="6" t="s">
        <v>392</v>
      </c>
      <c r="V8" s="6" t="s">
        <v>361</v>
      </c>
      <c r="W8" s="6" t="s">
        <v>393</v>
      </c>
      <c r="X8" s="3" t="s">
        <v>363</v>
      </c>
      <c r="Y8" s="3" t="s">
        <v>364</v>
      </c>
    </row>
    <row r="9" spans="1:25" ht="41.25" customHeight="1" x14ac:dyDescent="0.45">
      <c r="A9" s="6" t="s">
        <v>394</v>
      </c>
      <c r="B9" s="6" t="s">
        <v>395</v>
      </c>
      <c r="C9" s="7">
        <v>44</v>
      </c>
      <c r="D9" s="6" t="s">
        <v>218</v>
      </c>
      <c r="E9" s="7" t="s">
        <v>220</v>
      </c>
      <c r="F9" s="7" t="s">
        <v>197</v>
      </c>
      <c r="G9" s="7">
        <v>20</v>
      </c>
      <c r="H9" s="6" t="s">
        <v>367</v>
      </c>
      <c r="I9" s="16" t="s">
        <v>396</v>
      </c>
      <c r="J9" s="6" t="s">
        <v>379</v>
      </c>
      <c r="K9" s="6" t="s">
        <v>397</v>
      </c>
      <c r="L9" s="7" t="s">
        <v>381</v>
      </c>
      <c r="M9" s="6" t="s">
        <v>382</v>
      </c>
      <c r="N9" s="7" t="s">
        <v>383</v>
      </c>
      <c r="O9" s="6" t="s">
        <v>398</v>
      </c>
      <c r="P9" s="6" t="s">
        <v>399</v>
      </c>
      <c r="Q9" s="6" t="s">
        <v>300</v>
      </c>
      <c r="R9" s="6" t="s">
        <v>300</v>
      </c>
      <c r="S9" s="6" t="s">
        <v>300</v>
      </c>
      <c r="T9" s="6" t="s">
        <v>218</v>
      </c>
      <c r="U9" s="6" t="s">
        <v>360</v>
      </c>
      <c r="V9" s="6" t="s">
        <v>361</v>
      </c>
      <c r="W9" s="6" t="s">
        <v>400</v>
      </c>
      <c r="X9" s="3" t="s">
        <v>363</v>
      </c>
      <c r="Y9" s="3" t="s">
        <v>364</v>
      </c>
    </row>
    <row r="10" spans="1:25" ht="27" customHeight="1" x14ac:dyDescent="0.45">
      <c r="A10" s="6" t="s">
        <v>229</v>
      </c>
      <c r="B10" s="6" t="s">
        <v>401</v>
      </c>
      <c r="C10" s="7">
        <v>19</v>
      </c>
      <c r="D10" s="6" t="s">
        <v>218</v>
      </c>
      <c r="E10" s="7" t="s">
        <v>196</v>
      </c>
      <c r="F10" s="7" t="s">
        <v>197</v>
      </c>
      <c r="G10" s="7">
        <v>10</v>
      </c>
      <c r="H10" s="6" t="s">
        <v>351</v>
      </c>
      <c r="I10" s="8" t="s">
        <v>352</v>
      </c>
      <c r="J10" s="6" t="s">
        <v>402</v>
      </c>
      <c r="K10" s="6" t="s">
        <v>403</v>
      </c>
      <c r="L10" s="7" t="s">
        <v>355</v>
      </c>
      <c r="M10" s="6" t="s">
        <v>356</v>
      </c>
      <c r="N10" s="7" t="s">
        <v>357</v>
      </c>
      <c r="O10" s="6" t="s">
        <v>404</v>
      </c>
      <c r="P10" s="6" t="s">
        <v>405</v>
      </c>
      <c r="Q10" s="6" t="s">
        <v>194</v>
      </c>
      <c r="R10" s="6" t="s">
        <v>194</v>
      </c>
      <c r="S10" s="6" t="s">
        <v>194</v>
      </c>
      <c r="T10" s="6" t="s">
        <v>218</v>
      </c>
      <c r="U10" s="6" t="s">
        <v>406</v>
      </c>
      <c r="V10" s="6" t="s">
        <v>361</v>
      </c>
      <c r="W10" s="6" t="s">
        <v>407</v>
      </c>
      <c r="X10" s="3" t="s">
        <v>363</v>
      </c>
      <c r="Y10" s="3" t="s">
        <v>364</v>
      </c>
    </row>
    <row r="11" spans="1:25" ht="27" customHeight="1" x14ac:dyDescent="0.45">
      <c r="A11" s="6" t="s">
        <v>238</v>
      </c>
      <c r="B11" s="6" t="s">
        <v>408</v>
      </c>
      <c r="C11" s="7">
        <v>39</v>
      </c>
      <c r="D11" s="6" t="s">
        <v>235</v>
      </c>
      <c r="E11" s="7" t="s">
        <v>237</v>
      </c>
      <c r="F11" s="7" t="s">
        <v>197</v>
      </c>
      <c r="G11" s="7">
        <v>10</v>
      </c>
      <c r="H11" s="6" t="s">
        <v>351</v>
      </c>
      <c r="I11" s="8" t="s">
        <v>352</v>
      </c>
      <c r="J11" s="6" t="s">
        <v>409</v>
      </c>
      <c r="K11" s="6" t="s">
        <v>410</v>
      </c>
      <c r="L11" s="7" t="s">
        <v>411</v>
      </c>
      <c r="M11" s="6" t="s">
        <v>412</v>
      </c>
      <c r="N11" s="7" t="s">
        <v>413</v>
      </c>
      <c r="O11" s="6" t="s">
        <v>414</v>
      </c>
      <c r="P11" s="6" t="s">
        <v>415</v>
      </c>
      <c r="Q11" s="6" t="s">
        <v>235</v>
      </c>
      <c r="R11" s="6" t="s">
        <v>235</v>
      </c>
      <c r="S11" s="6" t="s">
        <v>235</v>
      </c>
      <c r="T11" s="6" t="s">
        <v>235</v>
      </c>
      <c r="U11" s="6" t="s">
        <v>360</v>
      </c>
      <c r="V11" s="6" t="s">
        <v>361</v>
      </c>
      <c r="W11" s="6" t="s">
        <v>416</v>
      </c>
      <c r="X11" s="3" t="s">
        <v>363</v>
      </c>
      <c r="Y11" s="3" t="s">
        <v>364</v>
      </c>
    </row>
    <row r="12" spans="1:25" ht="27" customHeight="1" x14ac:dyDescent="0.45">
      <c r="A12" s="6" t="s">
        <v>417</v>
      </c>
      <c r="B12" s="6" t="s">
        <v>418</v>
      </c>
      <c r="C12" s="7">
        <v>39</v>
      </c>
      <c r="D12" s="6" t="s">
        <v>235</v>
      </c>
      <c r="E12" s="7" t="s">
        <v>237</v>
      </c>
      <c r="F12" s="7" t="s">
        <v>197</v>
      </c>
      <c r="G12" s="7">
        <v>20</v>
      </c>
      <c r="H12" s="6" t="s">
        <v>367</v>
      </c>
      <c r="I12" s="15" t="s">
        <v>368</v>
      </c>
      <c r="J12" s="6" t="s">
        <v>409</v>
      </c>
      <c r="K12" s="6" t="s">
        <v>419</v>
      </c>
      <c r="L12" s="7" t="s">
        <v>370</v>
      </c>
      <c r="M12" s="6" t="s">
        <v>420</v>
      </c>
      <c r="N12" s="7" t="s">
        <v>421</v>
      </c>
      <c r="O12" s="6" t="s">
        <v>422</v>
      </c>
      <c r="P12" s="6" t="s">
        <v>423</v>
      </c>
      <c r="Q12" s="6" t="s">
        <v>265</v>
      </c>
      <c r="R12" s="6" t="s">
        <v>265</v>
      </c>
      <c r="S12" s="6" t="s">
        <v>265</v>
      </c>
      <c r="T12" s="6" t="s">
        <v>235</v>
      </c>
      <c r="U12" s="6" t="s">
        <v>360</v>
      </c>
      <c r="V12" s="6" t="s">
        <v>361</v>
      </c>
      <c r="W12" s="6" t="s">
        <v>424</v>
      </c>
      <c r="X12" s="3" t="s">
        <v>363</v>
      </c>
      <c r="Y12" s="3" t="s">
        <v>364</v>
      </c>
    </row>
    <row r="13" spans="1:25" ht="27" customHeight="1" x14ac:dyDescent="0.45">
      <c r="A13" s="6" t="s">
        <v>425</v>
      </c>
      <c r="B13" s="6" t="s">
        <v>426</v>
      </c>
      <c r="C13" s="7">
        <v>14</v>
      </c>
      <c r="D13" s="6" t="s">
        <v>235</v>
      </c>
      <c r="E13" s="7" t="s">
        <v>237</v>
      </c>
      <c r="F13" s="7" t="s">
        <v>197</v>
      </c>
      <c r="G13" s="7">
        <v>20</v>
      </c>
      <c r="H13" s="6" t="s">
        <v>367</v>
      </c>
      <c r="I13" s="15" t="s">
        <v>368</v>
      </c>
      <c r="J13" s="6" t="s">
        <v>427</v>
      </c>
      <c r="K13" s="6" t="s">
        <v>428</v>
      </c>
      <c r="L13" s="7" t="s">
        <v>411</v>
      </c>
      <c r="M13" s="6" t="s">
        <v>412</v>
      </c>
      <c r="N13" s="7" t="s">
        <v>429</v>
      </c>
      <c r="O13" s="6" t="s">
        <v>430</v>
      </c>
      <c r="P13" s="6" t="s">
        <v>431</v>
      </c>
      <c r="Q13" s="6" t="s">
        <v>235</v>
      </c>
      <c r="R13" s="6" t="s">
        <v>235</v>
      </c>
      <c r="S13" s="6" t="s">
        <v>235</v>
      </c>
      <c r="T13" s="6" t="s">
        <v>235</v>
      </c>
      <c r="U13" s="6" t="s">
        <v>406</v>
      </c>
      <c r="V13" s="6" t="s">
        <v>361</v>
      </c>
      <c r="W13" s="6" t="s">
        <v>432</v>
      </c>
      <c r="X13" s="3" t="s">
        <v>363</v>
      </c>
      <c r="Y13" s="3" t="s">
        <v>364</v>
      </c>
    </row>
    <row r="14" spans="1:25" ht="41.25" customHeight="1" x14ac:dyDescent="0.45">
      <c r="A14" s="6" t="s">
        <v>248</v>
      </c>
      <c r="B14" s="6" t="s">
        <v>433</v>
      </c>
      <c r="C14" s="7">
        <v>44</v>
      </c>
      <c r="D14" s="6" t="s">
        <v>245</v>
      </c>
      <c r="E14" s="7" t="s">
        <v>247</v>
      </c>
      <c r="F14" s="7" t="s">
        <v>197</v>
      </c>
      <c r="G14" s="7">
        <v>10</v>
      </c>
      <c r="H14" s="6" t="s">
        <v>351</v>
      </c>
      <c r="I14" s="8" t="s">
        <v>352</v>
      </c>
      <c r="J14" s="6" t="s">
        <v>434</v>
      </c>
      <c r="K14" s="6" t="s">
        <v>435</v>
      </c>
      <c r="L14" s="7" t="s">
        <v>436</v>
      </c>
      <c r="M14" s="6" t="s">
        <v>437</v>
      </c>
      <c r="N14" s="7" t="s">
        <v>438</v>
      </c>
      <c r="O14" s="6" t="s">
        <v>439</v>
      </c>
      <c r="P14" s="6" t="s">
        <v>440</v>
      </c>
      <c r="Q14" s="6" t="s">
        <v>245</v>
      </c>
      <c r="R14" s="6" t="s">
        <v>245</v>
      </c>
      <c r="S14" s="6" t="s">
        <v>245</v>
      </c>
      <c r="T14" s="6" t="s">
        <v>245</v>
      </c>
      <c r="U14" s="6" t="s">
        <v>360</v>
      </c>
      <c r="V14" s="6" t="s">
        <v>361</v>
      </c>
      <c r="W14" s="6" t="s">
        <v>441</v>
      </c>
      <c r="X14" s="3" t="s">
        <v>363</v>
      </c>
      <c r="Y14" s="3" t="s">
        <v>364</v>
      </c>
    </row>
    <row r="15" spans="1:25" ht="41.25" customHeight="1" x14ac:dyDescent="0.45">
      <c r="A15" s="6" t="s">
        <v>442</v>
      </c>
      <c r="B15" s="6" t="s">
        <v>443</v>
      </c>
      <c r="C15" s="7">
        <v>44</v>
      </c>
      <c r="D15" s="6" t="s">
        <v>245</v>
      </c>
      <c r="E15" s="7" t="s">
        <v>247</v>
      </c>
      <c r="F15" s="7" t="s">
        <v>197</v>
      </c>
      <c r="G15" s="7">
        <v>20</v>
      </c>
      <c r="H15" s="6" t="s">
        <v>367</v>
      </c>
      <c r="I15" s="15" t="s">
        <v>368</v>
      </c>
      <c r="J15" s="6" t="s">
        <v>434</v>
      </c>
      <c r="K15" s="6" t="s">
        <v>444</v>
      </c>
      <c r="L15" s="7" t="s">
        <v>436</v>
      </c>
      <c r="M15" s="6" t="s">
        <v>437</v>
      </c>
      <c r="N15" s="7" t="s">
        <v>438</v>
      </c>
      <c r="O15" s="6" t="s">
        <v>445</v>
      </c>
      <c r="P15" s="6" t="s">
        <v>446</v>
      </c>
      <c r="Q15" s="6" t="s">
        <v>447</v>
      </c>
      <c r="R15" s="6" t="s">
        <v>447</v>
      </c>
      <c r="S15" s="6" t="s">
        <v>447</v>
      </c>
      <c r="T15" s="6" t="s">
        <v>245</v>
      </c>
      <c r="U15" s="6" t="s">
        <v>360</v>
      </c>
      <c r="V15" s="6" t="s">
        <v>361</v>
      </c>
      <c r="W15" s="6" t="s">
        <v>448</v>
      </c>
      <c r="X15" s="3" t="s">
        <v>363</v>
      </c>
      <c r="Y15" s="3" t="s">
        <v>364</v>
      </c>
    </row>
    <row r="16" spans="1:25" ht="27" customHeight="1" x14ac:dyDescent="0.45">
      <c r="A16" s="6" t="s">
        <v>258</v>
      </c>
      <c r="B16" s="6" t="s">
        <v>449</v>
      </c>
      <c r="C16" s="7">
        <v>39</v>
      </c>
      <c r="D16" s="6" t="s">
        <v>255</v>
      </c>
      <c r="E16" s="7" t="s">
        <v>257</v>
      </c>
      <c r="F16" s="7" t="s">
        <v>197</v>
      </c>
      <c r="G16" s="7">
        <v>10</v>
      </c>
      <c r="H16" s="6" t="s">
        <v>351</v>
      </c>
      <c r="I16" s="8" t="s">
        <v>352</v>
      </c>
      <c r="J16" s="6" t="s">
        <v>450</v>
      </c>
      <c r="K16" s="6" t="s">
        <v>451</v>
      </c>
      <c r="L16" s="7" t="s">
        <v>452</v>
      </c>
      <c r="M16" s="6" t="s">
        <v>453</v>
      </c>
      <c r="N16" s="7" t="s">
        <v>454</v>
      </c>
      <c r="O16" s="6" t="s">
        <v>455</v>
      </c>
      <c r="P16" s="6" t="s">
        <v>456</v>
      </c>
      <c r="Q16" s="6" t="s">
        <v>255</v>
      </c>
      <c r="R16" s="6" t="s">
        <v>255</v>
      </c>
      <c r="S16" s="6" t="s">
        <v>255</v>
      </c>
      <c r="T16" s="6" t="s">
        <v>255</v>
      </c>
      <c r="U16" s="6" t="s">
        <v>457</v>
      </c>
      <c r="V16" s="6" t="s">
        <v>361</v>
      </c>
      <c r="W16" s="6" t="s">
        <v>458</v>
      </c>
      <c r="X16" s="3" t="s">
        <v>363</v>
      </c>
      <c r="Y16" s="3" t="s">
        <v>364</v>
      </c>
    </row>
    <row r="17" spans="1:25" ht="27" customHeight="1" x14ac:dyDescent="0.45">
      <c r="A17" s="6" t="s">
        <v>459</v>
      </c>
      <c r="B17" s="6" t="s">
        <v>460</v>
      </c>
      <c r="C17" s="7">
        <v>39</v>
      </c>
      <c r="D17" s="6" t="s">
        <v>255</v>
      </c>
      <c r="E17" s="7" t="s">
        <v>257</v>
      </c>
      <c r="F17" s="7" t="s">
        <v>197</v>
      </c>
      <c r="G17" s="7">
        <v>20</v>
      </c>
      <c r="H17" s="6" t="s">
        <v>367</v>
      </c>
      <c r="I17" s="15" t="s">
        <v>368</v>
      </c>
      <c r="J17" s="6" t="s">
        <v>450</v>
      </c>
      <c r="K17" s="6" t="s">
        <v>461</v>
      </c>
      <c r="L17" s="7" t="s">
        <v>452</v>
      </c>
      <c r="M17" s="6" t="s">
        <v>453</v>
      </c>
      <c r="N17" s="7" t="s">
        <v>454</v>
      </c>
      <c r="O17" s="6" t="s">
        <v>462</v>
      </c>
      <c r="P17" s="6" t="s">
        <v>463</v>
      </c>
      <c r="Q17" s="6" t="s">
        <v>464</v>
      </c>
      <c r="R17" s="6" t="s">
        <v>464</v>
      </c>
      <c r="S17" s="6" t="s">
        <v>464</v>
      </c>
      <c r="T17" s="6" t="s">
        <v>255</v>
      </c>
      <c r="U17" s="6" t="s">
        <v>457</v>
      </c>
      <c r="V17" s="6" t="s">
        <v>361</v>
      </c>
      <c r="W17" s="6" t="s">
        <v>465</v>
      </c>
      <c r="X17" s="3" t="s">
        <v>363</v>
      </c>
      <c r="Y17" s="3" t="s">
        <v>364</v>
      </c>
    </row>
    <row r="18" spans="1:25" ht="41.25" customHeight="1" x14ac:dyDescent="0.45">
      <c r="A18" s="6" t="s">
        <v>268</v>
      </c>
      <c r="B18" s="6" t="s">
        <v>466</v>
      </c>
      <c r="C18" s="7">
        <v>39</v>
      </c>
      <c r="D18" s="6" t="s">
        <v>265</v>
      </c>
      <c r="E18" s="7" t="s">
        <v>267</v>
      </c>
      <c r="F18" s="7" t="s">
        <v>197</v>
      </c>
      <c r="G18" s="7">
        <v>10</v>
      </c>
      <c r="H18" s="6" t="s">
        <v>351</v>
      </c>
      <c r="I18" s="8" t="s">
        <v>352</v>
      </c>
      <c r="J18" s="6" t="s">
        <v>467</v>
      </c>
      <c r="K18" s="6" t="s">
        <v>468</v>
      </c>
      <c r="L18" s="7" t="s">
        <v>370</v>
      </c>
      <c r="M18" s="6" t="s">
        <v>469</v>
      </c>
      <c r="N18" s="7" t="s">
        <v>470</v>
      </c>
      <c r="O18" s="6" t="s">
        <v>471</v>
      </c>
      <c r="P18" s="6" t="s">
        <v>472</v>
      </c>
      <c r="Q18" s="6" t="s">
        <v>265</v>
      </c>
      <c r="R18" s="6" t="s">
        <v>265</v>
      </c>
      <c r="S18" s="6" t="s">
        <v>265</v>
      </c>
      <c r="T18" s="6" t="s">
        <v>265</v>
      </c>
      <c r="U18" s="6" t="s">
        <v>457</v>
      </c>
      <c r="V18" s="6" t="s">
        <v>361</v>
      </c>
      <c r="W18" s="6" t="s">
        <v>473</v>
      </c>
      <c r="X18" s="3" t="s">
        <v>363</v>
      </c>
      <c r="Y18" s="3" t="s">
        <v>364</v>
      </c>
    </row>
    <row r="19" spans="1:25" ht="41.25" customHeight="1" x14ac:dyDescent="0.45">
      <c r="A19" s="6" t="s">
        <v>474</v>
      </c>
      <c r="B19" s="6" t="s">
        <v>475</v>
      </c>
      <c r="C19" s="7">
        <v>39</v>
      </c>
      <c r="D19" s="6" t="s">
        <v>265</v>
      </c>
      <c r="E19" s="7" t="s">
        <v>267</v>
      </c>
      <c r="F19" s="7" t="s">
        <v>197</v>
      </c>
      <c r="G19" s="7">
        <v>20</v>
      </c>
      <c r="H19" s="6" t="s">
        <v>367</v>
      </c>
      <c r="I19" s="15" t="s">
        <v>368</v>
      </c>
      <c r="J19" s="6" t="s">
        <v>467</v>
      </c>
      <c r="K19" s="6" t="s">
        <v>476</v>
      </c>
      <c r="L19" s="7" t="s">
        <v>370</v>
      </c>
      <c r="M19" s="6" t="s">
        <v>469</v>
      </c>
      <c r="N19" s="7" t="s">
        <v>470</v>
      </c>
      <c r="O19" s="6" t="s">
        <v>477</v>
      </c>
      <c r="P19" s="6" t="s">
        <v>478</v>
      </c>
      <c r="Q19" s="6" t="s">
        <v>479</v>
      </c>
      <c r="R19" s="6" t="s">
        <v>479</v>
      </c>
      <c r="S19" s="6" t="s">
        <v>479</v>
      </c>
      <c r="T19" s="6" t="s">
        <v>265</v>
      </c>
      <c r="U19" s="6" t="s">
        <v>457</v>
      </c>
      <c r="V19" s="6" t="s">
        <v>361</v>
      </c>
      <c r="W19" s="6" t="s">
        <v>480</v>
      </c>
      <c r="X19" s="3" t="s">
        <v>363</v>
      </c>
      <c r="Y19" s="3" t="s">
        <v>364</v>
      </c>
    </row>
    <row r="20" spans="1:25" ht="41.25" customHeight="1" x14ac:dyDescent="0.45">
      <c r="A20" s="6" t="s">
        <v>278</v>
      </c>
      <c r="B20" s="6" t="s">
        <v>481</v>
      </c>
      <c r="C20" s="7">
        <v>39</v>
      </c>
      <c r="D20" s="6" t="s">
        <v>275</v>
      </c>
      <c r="E20" s="7" t="s">
        <v>277</v>
      </c>
      <c r="F20" s="7" t="s">
        <v>197</v>
      </c>
      <c r="G20" s="7">
        <v>10</v>
      </c>
      <c r="H20" s="6" t="s">
        <v>351</v>
      </c>
      <c r="I20" s="8" t="s">
        <v>352</v>
      </c>
      <c r="J20" s="6" t="s">
        <v>482</v>
      </c>
      <c r="K20" s="6" t="s">
        <v>483</v>
      </c>
      <c r="L20" s="7" t="s">
        <v>484</v>
      </c>
      <c r="M20" s="6" t="s">
        <v>485</v>
      </c>
      <c r="N20" s="7" t="s">
        <v>486</v>
      </c>
      <c r="O20" s="6" t="s">
        <v>487</v>
      </c>
      <c r="P20" s="6" t="s">
        <v>488</v>
      </c>
      <c r="Q20" s="6" t="s">
        <v>489</v>
      </c>
      <c r="R20" s="6" t="s">
        <v>489</v>
      </c>
      <c r="S20" s="6" t="s">
        <v>489</v>
      </c>
      <c r="T20" s="6" t="s">
        <v>275</v>
      </c>
      <c r="U20" s="6" t="s">
        <v>360</v>
      </c>
      <c r="V20" s="6" t="s">
        <v>361</v>
      </c>
      <c r="W20" s="6" t="s">
        <v>490</v>
      </c>
      <c r="X20" s="3" t="s">
        <v>363</v>
      </c>
      <c r="Y20" s="3" t="s">
        <v>364</v>
      </c>
    </row>
    <row r="21" spans="1:25" ht="41.25" customHeight="1" x14ac:dyDescent="0.45">
      <c r="A21" s="6" t="s">
        <v>491</v>
      </c>
      <c r="B21" s="6" t="s">
        <v>492</v>
      </c>
      <c r="C21" s="7">
        <v>39</v>
      </c>
      <c r="D21" s="6" t="s">
        <v>275</v>
      </c>
      <c r="E21" s="7" t="s">
        <v>277</v>
      </c>
      <c r="F21" s="7" t="s">
        <v>197</v>
      </c>
      <c r="G21" s="7">
        <v>20</v>
      </c>
      <c r="H21" s="6" t="s">
        <v>367</v>
      </c>
      <c r="I21" s="15" t="s">
        <v>368</v>
      </c>
      <c r="J21" s="6" t="s">
        <v>482</v>
      </c>
      <c r="K21" s="6" t="s">
        <v>493</v>
      </c>
      <c r="L21" s="7" t="s">
        <v>484</v>
      </c>
      <c r="M21" s="6" t="s">
        <v>485</v>
      </c>
      <c r="N21" s="7" t="s">
        <v>486</v>
      </c>
      <c r="O21" s="6" t="s">
        <v>494</v>
      </c>
      <c r="P21" s="6" t="s">
        <v>495</v>
      </c>
      <c r="Q21" s="6" t="s">
        <v>496</v>
      </c>
      <c r="R21" s="6" t="s">
        <v>496</v>
      </c>
      <c r="S21" s="6" t="s">
        <v>496</v>
      </c>
      <c r="T21" s="6" t="s">
        <v>275</v>
      </c>
      <c r="U21" s="6" t="s">
        <v>360</v>
      </c>
      <c r="V21" s="6" t="s">
        <v>361</v>
      </c>
      <c r="W21" s="6" t="s">
        <v>497</v>
      </c>
      <c r="X21" s="3" t="s">
        <v>363</v>
      </c>
      <c r="Y21" s="3" t="s">
        <v>364</v>
      </c>
    </row>
    <row r="22" spans="1:25" ht="27" customHeight="1" x14ac:dyDescent="0.45">
      <c r="A22" s="6" t="s">
        <v>288</v>
      </c>
      <c r="B22" s="6" t="s">
        <v>498</v>
      </c>
      <c r="C22" s="7">
        <v>39</v>
      </c>
      <c r="D22" s="6" t="s">
        <v>285</v>
      </c>
      <c r="E22" s="7" t="s">
        <v>287</v>
      </c>
      <c r="F22" s="7" t="s">
        <v>197</v>
      </c>
      <c r="G22" s="7">
        <v>10</v>
      </c>
      <c r="H22" s="6" t="s">
        <v>351</v>
      </c>
      <c r="I22" s="8" t="s">
        <v>352</v>
      </c>
      <c r="J22" s="6" t="s">
        <v>499</v>
      </c>
      <c r="K22" s="6" t="s">
        <v>500</v>
      </c>
      <c r="L22" s="7" t="s">
        <v>501</v>
      </c>
      <c r="M22" s="6" t="s">
        <v>502</v>
      </c>
      <c r="N22" s="7" t="s">
        <v>503</v>
      </c>
      <c r="O22" s="6" t="s">
        <v>504</v>
      </c>
      <c r="P22" s="6" t="s">
        <v>505</v>
      </c>
      <c r="Q22" s="6" t="s">
        <v>506</v>
      </c>
      <c r="R22" s="6" t="s">
        <v>506</v>
      </c>
      <c r="S22" s="6" t="s">
        <v>506</v>
      </c>
      <c r="T22" s="6" t="s">
        <v>285</v>
      </c>
      <c r="U22" s="6" t="s">
        <v>507</v>
      </c>
      <c r="V22" s="6" t="s">
        <v>361</v>
      </c>
      <c r="W22" s="6" t="s">
        <v>508</v>
      </c>
      <c r="X22" s="3" t="s">
        <v>363</v>
      </c>
      <c r="Y22" s="3" t="s">
        <v>364</v>
      </c>
    </row>
    <row r="23" spans="1:25" ht="27" customHeight="1" x14ac:dyDescent="0.45">
      <c r="A23" s="6" t="s">
        <v>509</v>
      </c>
      <c r="B23" s="6" t="s">
        <v>510</v>
      </c>
      <c r="C23" s="7">
        <v>39</v>
      </c>
      <c r="D23" s="6" t="s">
        <v>285</v>
      </c>
      <c r="E23" s="7" t="s">
        <v>287</v>
      </c>
      <c r="F23" s="7" t="s">
        <v>197</v>
      </c>
      <c r="G23" s="7">
        <v>20</v>
      </c>
      <c r="H23" s="6" t="s">
        <v>367</v>
      </c>
      <c r="I23" s="15" t="s">
        <v>368</v>
      </c>
      <c r="J23" s="6" t="s">
        <v>499</v>
      </c>
      <c r="K23" s="6" t="s">
        <v>511</v>
      </c>
      <c r="L23" s="7" t="s">
        <v>501</v>
      </c>
      <c r="M23" s="6" t="s">
        <v>502</v>
      </c>
      <c r="N23" s="7" t="s">
        <v>503</v>
      </c>
      <c r="O23" s="6" t="s">
        <v>512</v>
      </c>
      <c r="P23" s="6" t="s">
        <v>513</v>
      </c>
      <c r="Q23" s="6" t="s">
        <v>514</v>
      </c>
      <c r="R23" s="6" t="s">
        <v>514</v>
      </c>
      <c r="S23" s="6" t="s">
        <v>514</v>
      </c>
      <c r="T23" s="6" t="s">
        <v>285</v>
      </c>
      <c r="U23" s="6" t="s">
        <v>507</v>
      </c>
      <c r="V23" s="6" t="s">
        <v>361</v>
      </c>
      <c r="W23" s="6" t="s">
        <v>515</v>
      </c>
      <c r="X23" s="3" t="s">
        <v>363</v>
      </c>
      <c r="Y23" s="3" t="s">
        <v>364</v>
      </c>
    </row>
    <row r="24" spans="1:25" ht="41.25" customHeight="1" x14ac:dyDescent="0.45">
      <c r="A24" s="6" t="s">
        <v>295</v>
      </c>
      <c r="B24" s="6" t="s">
        <v>516</v>
      </c>
      <c r="C24" s="7">
        <v>39</v>
      </c>
      <c r="D24" s="6" t="s">
        <v>285</v>
      </c>
      <c r="E24" s="7" t="s">
        <v>196</v>
      </c>
      <c r="F24" s="7" t="s">
        <v>197</v>
      </c>
      <c r="G24" s="7">
        <v>10</v>
      </c>
      <c r="H24" s="6" t="s">
        <v>351</v>
      </c>
      <c r="I24" s="8" t="s">
        <v>352</v>
      </c>
      <c r="J24" s="6" t="s">
        <v>517</v>
      </c>
      <c r="K24" s="6" t="s">
        <v>354</v>
      </c>
      <c r="L24" s="7" t="s">
        <v>355</v>
      </c>
      <c r="M24" s="6" t="s">
        <v>356</v>
      </c>
      <c r="N24" s="7" t="s">
        <v>357</v>
      </c>
      <c r="O24" s="6" t="s">
        <v>518</v>
      </c>
      <c r="P24" s="6" t="s">
        <v>519</v>
      </c>
      <c r="Q24" s="6" t="s">
        <v>194</v>
      </c>
      <c r="R24" s="6" t="s">
        <v>194</v>
      </c>
      <c r="S24" s="6" t="s">
        <v>194</v>
      </c>
      <c r="T24" s="6" t="s">
        <v>285</v>
      </c>
      <c r="U24" s="6" t="s">
        <v>392</v>
      </c>
      <c r="V24" s="6" t="s">
        <v>361</v>
      </c>
      <c r="W24" s="6" t="s">
        <v>520</v>
      </c>
      <c r="X24" s="3" t="s">
        <v>363</v>
      </c>
      <c r="Y24" s="3" t="s">
        <v>364</v>
      </c>
    </row>
    <row r="25" spans="1:25" ht="27" customHeight="1" x14ac:dyDescent="0.45">
      <c r="A25" s="6" t="s">
        <v>303</v>
      </c>
      <c r="B25" s="6" t="s">
        <v>521</v>
      </c>
      <c r="C25" s="7">
        <v>39</v>
      </c>
      <c r="D25" s="6" t="s">
        <v>300</v>
      </c>
      <c r="E25" s="7" t="s">
        <v>302</v>
      </c>
      <c r="F25" s="7" t="s">
        <v>197</v>
      </c>
      <c r="G25" s="7">
        <v>10</v>
      </c>
      <c r="H25" s="6" t="s">
        <v>351</v>
      </c>
      <c r="I25" s="8" t="s">
        <v>352</v>
      </c>
      <c r="J25" s="6" t="s">
        <v>522</v>
      </c>
      <c r="K25" s="6" t="s">
        <v>523</v>
      </c>
      <c r="L25" s="7" t="s">
        <v>524</v>
      </c>
      <c r="M25" s="6" t="s">
        <v>525</v>
      </c>
      <c r="N25" s="7" t="s">
        <v>526</v>
      </c>
      <c r="O25" s="6" t="s">
        <v>527</v>
      </c>
      <c r="P25" s="6" t="s">
        <v>528</v>
      </c>
      <c r="Q25" s="6" t="s">
        <v>529</v>
      </c>
      <c r="R25" s="6" t="s">
        <v>529</v>
      </c>
      <c r="S25" s="6" t="s">
        <v>529</v>
      </c>
      <c r="T25" s="6" t="s">
        <v>300</v>
      </c>
      <c r="U25" s="6" t="s">
        <v>507</v>
      </c>
      <c r="V25" s="6" t="s">
        <v>361</v>
      </c>
      <c r="W25" s="6" t="s">
        <v>530</v>
      </c>
      <c r="X25" s="3" t="s">
        <v>363</v>
      </c>
      <c r="Y25" s="3" t="s">
        <v>364</v>
      </c>
    </row>
    <row r="26" spans="1:25" ht="27" customHeight="1" x14ac:dyDescent="0.45">
      <c r="A26" s="6" t="s">
        <v>531</v>
      </c>
      <c r="B26" s="6" t="s">
        <v>532</v>
      </c>
      <c r="C26" s="7">
        <v>39</v>
      </c>
      <c r="D26" s="6" t="s">
        <v>300</v>
      </c>
      <c r="E26" s="7" t="s">
        <v>302</v>
      </c>
      <c r="F26" s="7" t="s">
        <v>197</v>
      </c>
      <c r="G26" s="7">
        <v>20</v>
      </c>
      <c r="H26" s="6" t="s">
        <v>367</v>
      </c>
      <c r="I26" s="15" t="s">
        <v>368</v>
      </c>
      <c r="J26" s="6" t="s">
        <v>522</v>
      </c>
      <c r="K26" s="6" t="s">
        <v>533</v>
      </c>
      <c r="L26" s="7" t="s">
        <v>524</v>
      </c>
      <c r="M26" s="6" t="s">
        <v>525</v>
      </c>
      <c r="N26" s="7" t="s">
        <v>526</v>
      </c>
      <c r="O26" s="6" t="s">
        <v>534</v>
      </c>
      <c r="P26" s="6" t="s">
        <v>535</v>
      </c>
      <c r="Q26" s="6" t="s">
        <v>536</v>
      </c>
      <c r="R26" s="6" t="s">
        <v>536</v>
      </c>
      <c r="S26" s="6" t="s">
        <v>536</v>
      </c>
      <c r="T26" s="6" t="s">
        <v>300</v>
      </c>
      <c r="U26" s="6" t="s">
        <v>507</v>
      </c>
      <c r="V26" s="6" t="s">
        <v>361</v>
      </c>
      <c r="W26" s="6" t="s">
        <v>537</v>
      </c>
      <c r="X26" s="3" t="s">
        <v>363</v>
      </c>
      <c r="Y26" s="3" t="s">
        <v>364</v>
      </c>
    </row>
    <row r="27" spans="1:25" ht="27" customHeight="1" x14ac:dyDescent="0.45">
      <c r="A27" s="6" t="s">
        <v>313</v>
      </c>
      <c r="B27" s="6" t="s">
        <v>538</v>
      </c>
      <c r="C27" s="7">
        <v>44</v>
      </c>
      <c r="D27" s="6" t="s">
        <v>310</v>
      </c>
      <c r="E27" s="7" t="s">
        <v>312</v>
      </c>
      <c r="F27" s="7" t="s">
        <v>197</v>
      </c>
      <c r="G27" s="7">
        <v>10</v>
      </c>
      <c r="H27" s="6" t="s">
        <v>351</v>
      </c>
      <c r="I27" s="8" t="s">
        <v>352</v>
      </c>
      <c r="J27" s="6" t="s">
        <v>539</v>
      </c>
      <c r="K27" s="6" t="s">
        <v>540</v>
      </c>
      <c r="L27" s="7" t="s">
        <v>541</v>
      </c>
      <c r="M27" s="6" t="s">
        <v>542</v>
      </c>
      <c r="N27" s="7" t="s">
        <v>543</v>
      </c>
      <c r="O27" s="6" t="s">
        <v>544</v>
      </c>
      <c r="P27" s="6" t="s">
        <v>545</v>
      </c>
      <c r="Q27" s="6" t="s">
        <v>546</v>
      </c>
      <c r="R27" s="6" t="s">
        <v>546</v>
      </c>
      <c r="S27" s="6" t="s">
        <v>546</v>
      </c>
      <c r="T27" s="6" t="s">
        <v>310</v>
      </c>
      <c r="U27" s="6" t="s">
        <v>547</v>
      </c>
      <c r="V27" s="6" t="s">
        <v>361</v>
      </c>
      <c r="W27" s="6" t="s">
        <v>548</v>
      </c>
      <c r="X27" s="3" t="s">
        <v>363</v>
      </c>
      <c r="Y27" s="3" t="s">
        <v>364</v>
      </c>
    </row>
    <row r="28" spans="1:25" ht="27" customHeight="1" x14ac:dyDescent="0.45">
      <c r="A28" s="6" t="s">
        <v>549</v>
      </c>
      <c r="B28" s="6" t="s">
        <v>550</v>
      </c>
      <c r="C28" s="7">
        <v>44</v>
      </c>
      <c r="D28" s="6" t="s">
        <v>310</v>
      </c>
      <c r="E28" s="7" t="s">
        <v>312</v>
      </c>
      <c r="F28" s="7" t="s">
        <v>197</v>
      </c>
      <c r="G28" s="7">
        <v>20</v>
      </c>
      <c r="H28" s="6" t="s">
        <v>367</v>
      </c>
      <c r="I28" s="15" t="s">
        <v>368</v>
      </c>
      <c r="J28" s="6" t="s">
        <v>539</v>
      </c>
      <c r="K28" s="6" t="s">
        <v>551</v>
      </c>
      <c r="L28" s="7" t="s">
        <v>370</v>
      </c>
      <c r="M28" s="6" t="s">
        <v>552</v>
      </c>
      <c r="N28" s="7" t="s">
        <v>553</v>
      </c>
      <c r="O28" s="6" t="s">
        <v>554</v>
      </c>
      <c r="P28" s="6" t="s">
        <v>555</v>
      </c>
      <c r="Q28" s="6" t="s">
        <v>265</v>
      </c>
      <c r="R28" s="6" t="s">
        <v>265</v>
      </c>
      <c r="S28" s="6" t="s">
        <v>265</v>
      </c>
      <c r="T28" s="6" t="s">
        <v>310</v>
      </c>
      <c r="U28" s="6" t="s">
        <v>547</v>
      </c>
      <c r="V28" s="6" t="s">
        <v>361</v>
      </c>
      <c r="W28" s="6" t="s">
        <v>556</v>
      </c>
      <c r="X28" s="3" t="s">
        <v>363</v>
      </c>
      <c r="Y28" s="3" t="s">
        <v>364</v>
      </c>
    </row>
    <row r="29" spans="1:25" ht="27" customHeight="1" x14ac:dyDescent="0.45">
      <c r="A29" s="6" t="s">
        <v>557</v>
      </c>
      <c r="B29" s="6" t="s">
        <v>558</v>
      </c>
      <c r="C29" s="7">
        <v>14</v>
      </c>
      <c r="D29" s="6" t="s">
        <v>559</v>
      </c>
      <c r="E29" s="7" t="s">
        <v>196</v>
      </c>
      <c r="F29" s="7" t="s">
        <v>197</v>
      </c>
      <c r="G29" s="7">
        <v>10</v>
      </c>
      <c r="H29" s="6" t="s">
        <v>351</v>
      </c>
      <c r="I29" s="8" t="s">
        <v>560</v>
      </c>
      <c r="J29" s="6" t="s">
        <v>561</v>
      </c>
      <c r="K29" s="6" t="s">
        <v>562</v>
      </c>
      <c r="L29" s="7" t="s">
        <v>355</v>
      </c>
      <c r="M29" s="6" t="s">
        <v>356</v>
      </c>
      <c r="N29" s="7" t="s">
        <v>357</v>
      </c>
      <c r="O29" s="6" t="s">
        <v>563</v>
      </c>
      <c r="P29" s="6" t="s">
        <v>564</v>
      </c>
      <c r="Q29" s="6" t="s">
        <v>194</v>
      </c>
      <c r="R29" s="6" t="s">
        <v>194</v>
      </c>
      <c r="S29" s="6" t="s">
        <v>194</v>
      </c>
      <c r="T29" s="6" t="s">
        <v>559</v>
      </c>
      <c r="U29" s="6" t="s">
        <v>406</v>
      </c>
      <c r="V29" s="6" t="s">
        <v>565</v>
      </c>
      <c r="W29" s="6" t="s">
        <v>566</v>
      </c>
      <c r="X29" s="3" t="s">
        <v>200</v>
      </c>
      <c r="Y29" s="3" t="s">
        <v>567</v>
      </c>
    </row>
    <row r="30" spans="1:25" ht="27" customHeight="1" x14ac:dyDescent="0.45">
      <c r="A30" s="6" t="s">
        <v>568</v>
      </c>
      <c r="B30" s="6" t="s">
        <v>569</v>
      </c>
      <c r="C30" s="7">
        <v>14</v>
      </c>
      <c r="D30" s="6" t="s">
        <v>559</v>
      </c>
      <c r="E30" s="7" t="s">
        <v>220</v>
      </c>
      <c r="F30" s="7" t="s">
        <v>197</v>
      </c>
      <c r="G30" s="7">
        <v>10</v>
      </c>
      <c r="H30" s="6" t="s">
        <v>351</v>
      </c>
      <c r="I30" s="8" t="s">
        <v>560</v>
      </c>
      <c r="J30" s="6" t="s">
        <v>570</v>
      </c>
      <c r="K30" s="6" t="s">
        <v>571</v>
      </c>
      <c r="L30" s="7" t="s">
        <v>381</v>
      </c>
      <c r="M30" s="6" t="s">
        <v>382</v>
      </c>
      <c r="N30" s="7" t="s">
        <v>383</v>
      </c>
      <c r="O30" s="6" t="s">
        <v>572</v>
      </c>
      <c r="P30" s="6" t="s">
        <v>573</v>
      </c>
      <c r="Q30" s="6" t="s">
        <v>218</v>
      </c>
      <c r="R30" s="6" t="s">
        <v>218</v>
      </c>
      <c r="S30" s="6" t="s">
        <v>218</v>
      </c>
      <c r="T30" s="6" t="s">
        <v>559</v>
      </c>
      <c r="U30" s="6" t="s">
        <v>406</v>
      </c>
      <c r="V30" s="6" t="s">
        <v>565</v>
      </c>
      <c r="W30" s="6" t="s">
        <v>574</v>
      </c>
      <c r="X30" s="3" t="s">
        <v>200</v>
      </c>
      <c r="Y30" s="3" t="s">
        <v>567</v>
      </c>
    </row>
    <row r="31" spans="1:25" ht="13.5" customHeight="1" x14ac:dyDescent="0.4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3.5" customHeight="1" x14ac:dyDescent="0.45">
      <c r="A32" s="11" t="s">
        <v>575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32.25" customHeight="1" x14ac:dyDescent="0.45">
      <c r="A33" s="35" t="s">
        <v>576</v>
      </c>
      <c r="B33" s="36"/>
      <c r="C33" s="36"/>
      <c r="D33" s="36"/>
      <c r="E33" s="36"/>
      <c r="F33" s="36"/>
      <c r="G33" s="36"/>
      <c r="H33" s="36"/>
      <c r="I33" s="36"/>
      <c r="J33" s="36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6.5" customHeight="1" x14ac:dyDescent="0.45">
      <c r="A34" s="35" t="s">
        <v>577</v>
      </c>
      <c r="B34" s="36"/>
      <c r="C34" s="36"/>
      <c r="D34" s="36"/>
      <c r="E34" s="36"/>
      <c r="F34" s="36"/>
      <c r="G34" s="36"/>
      <c r="H34" s="36"/>
      <c r="I34" s="36"/>
      <c r="J34" s="36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6.5" customHeight="1" x14ac:dyDescent="0.45">
      <c r="A35" s="35" t="s">
        <v>578</v>
      </c>
      <c r="B35" s="36"/>
      <c r="C35" s="36"/>
      <c r="D35" s="36"/>
      <c r="E35" s="36"/>
      <c r="F35" s="36"/>
      <c r="G35" s="36"/>
      <c r="H35" s="36"/>
      <c r="I35" s="36"/>
      <c r="J35" s="36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6.5" customHeight="1" x14ac:dyDescent="0.45">
      <c r="A36" s="35" t="s">
        <v>579</v>
      </c>
      <c r="B36" s="36"/>
      <c r="C36" s="36"/>
      <c r="D36" s="36"/>
      <c r="E36" s="36"/>
      <c r="F36" s="36"/>
      <c r="G36" s="36"/>
      <c r="H36" s="36"/>
      <c r="I36" s="36"/>
      <c r="J36" s="36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6.5" customHeight="1" x14ac:dyDescent="0.45">
      <c r="A37" s="35" t="s">
        <v>580</v>
      </c>
      <c r="B37" s="36"/>
      <c r="C37" s="36"/>
      <c r="D37" s="36"/>
      <c r="E37" s="36"/>
      <c r="F37" s="36"/>
      <c r="G37" s="36"/>
      <c r="H37" s="36"/>
      <c r="I37" s="36"/>
      <c r="J37" s="3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5">
    <mergeCell ref="A37:J37"/>
    <mergeCell ref="A36:J36"/>
    <mergeCell ref="A34:J34"/>
    <mergeCell ref="A35:J35"/>
    <mergeCell ref="A33:J3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zoomScaleNormal="100" workbookViewId="0">
      <pane ySplit="4" topLeftCell="A5" activePane="bottomLeft" state="frozen"/>
      <selection pane="bottomLeft"/>
    </sheetView>
  </sheetViews>
  <sheetFormatPr defaultColWidth="8.64453125" defaultRowHeight="14" x14ac:dyDescent="0.45"/>
  <cols>
    <col min="1" max="1" width="22" style="1" customWidth="1"/>
    <col min="2" max="2" width="30" style="1" customWidth="1"/>
    <col min="3" max="3" width="86" style="1" customWidth="1"/>
    <col min="4" max="6" width="8.64453125" style="1" customWidth="1"/>
    <col min="7" max="16384" width="8.64453125" style="1"/>
  </cols>
  <sheetData>
    <row r="1" spans="1:3" ht="16.5" customHeight="1" x14ac:dyDescent="0.45">
      <c r="A1" s="2" t="s">
        <v>581</v>
      </c>
      <c r="B1" s="3"/>
      <c r="C1" s="3"/>
    </row>
    <row r="2" spans="1:3" ht="16.5" customHeight="1" x14ac:dyDescent="0.45">
      <c r="A2" s="4" t="s">
        <v>582</v>
      </c>
      <c r="B2" s="3"/>
      <c r="C2" s="3"/>
    </row>
    <row r="3" spans="1:3" ht="13.5" customHeight="1" x14ac:dyDescent="0.45">
      <c r="A3" s="3"/>
      <c r="B3" s="3"/>
      <c r="C3" s="3"/>
    </row>
    <row r="4" spans="1:3" ht="16.5" customHeight="1" x14ac:dyDescent="0.45">
      <c r="A4" s="5" t="s">
        <v>583</v>
      </c>
      <c r="B4" s="5" t="s">
        <v>584</v>
      </c>
      <c r="C4" s="5" t="s">
        <v>585</v>
      </c>
    </row>
    <row r="5" spans="1:3" ht="27" customHeight="1" x14ac:dyDescent="0.45">
      <c r="A5" s="6" t="s">
        <v>586</v>
      </c>
      <c r="B5" s="6" t="s">
        <v>587</v>
      </c>
      <c r="C5" s="6" t="s">
        <v>588</v>
      </c>
    </row>
    <row r="6" spans="1:3" ht="27" customHeight="1" x14ac:dyDescent="0.45">
      <c r="A6" s="6" t="s">
        <v>165</v>
      </c>
      <c r="B6" s="6" t="s">
        <v>589</v>
      </c>
      <c r="C6" s="6" t="s">
        <v>590</v>
      </c>
    </row>
    <row r="7" spans="1:3" ht="27" customHeight="1" x14ac:dyDescent="0.45">
      <c r="A7" s="6" t="s">
        <v>167</v>
      </c>
      <c r="B7" s="6" t="s">
        <v>589</v>
      </c>
      <c r="C7" s="6" t="s">
        <v>591</v>
      </c>
    </row>
    <row r="8" spans="1:3" ht="16.5" customHeight="1" x14ac:dyDescent="0.45">
      <c r="A8" s="6" t="s">
        <v>592</v>
      </c>
      <c r="B8" s="6" t="s">
        <v>593</v>
      </c>
      <c r="C8" s="6" t="s">
        <v>594</v>
      </c>
    </row>
    <row r="9" spans="1:3" ht="41.25" customHeight="1" x14ac:dyDescent="0.45">
      <c r="A9" s="17" t="s">
        <v>595</v>
      </c>
      <c r="B9" s="17" t="s">
        <v>596</v>
      </c>
      <c r="C9" s="6" t="s">
        <v>597</v>
      </c>
    </row>
    <row r="10" spans="1:3" ht="16.5" customHeight="1" x14ac:dyDescent="0.45">
      <c r="A10" s="17" t="s">
        <v>598</v>
      </c>
      <c r="B10" s="17" t="s">
        <v>596</v>
      </c>
      <c r="C10" s="6" t="s">
        <v>599</v>
      </c>
    </row>
    <row r="11" spans="1:3" ht="16.5" customHeight="1" x14ac:dyDescent="0.45">
      <c r="A11" s="17" t="s">
        <v>600</v>
      </c>
      <c r="B11" s="17" t="s">
        <v>601</v>
      </c>
      <c r="C11" s="6" t="s">
        <v>602</v>
      </c>
    </row>
    <row r="12" spans="1:3" ht="16.5" customHeight="1" x14ac:dyDescent="0.45">
      <c r="A12" s="6" t="s">
        <v>603</v>
      </c>
      <c r="B12" s="6" t="s">
        <v>604</v>
      </c>
      <c r="C12" s="6" t="s">
        <v>605</v>
      </c>
    </row>
    <row r="13" spans="1:3" ht="16.5" customHeight="1" x14ac:dyDescent="0.45">
      <c r="A13" s="6" t="s">
        <v>606</v>
      </c>
      <c r="B13" s="6" t="s">
        <v>607</v>
      </c>
      <c r="C13" s="6" t="s">
        <v>608</v>
      </c>
    </row>
    <row r="14" spans="1:3" ht="16.5" customHeight="1" x14ac:dyDescent="0.45">
      <c r="A14" s="6" t="s">
        <v>609</v>
      </c>
      <c r="B14" s="6" t="s">
        <v>610</v>
      </c>
      <c r="C14" s="6" t="s">
        <v>611</v>
      </c>
    </row>
    <row r="15" spans="1:3" ht="13.5" customHeight="1" x14ac:dyDescent="0.45">
      <c r="A15" s="3"/>
      <c r="B15" s="3"/>
      <c r="C15" s="3"/>
    </row>
    <row r="16" spans="1:3" ht="16.5" customHeight="1" x14ac:dyDescent="0.45">
      <c r="A16" s="11" t="s">
        <v>612</v>
      </c>
      <c r="B16" s="3"/>
      <c r="C16" s="3"/>
    </row>
    <row r="17" spans="1:3" ht="32.25" customHeight="1" x14ac:dyDescent="0.45">
      <c r="A17" s="11" t="s">
        <v>613</v>
      </c>
      <c r="B17" s="35" t="s">
        <v>614</v>
      </c>
      <c r="C17" s="36"/>
    </row>
    <row r="18" spans="1:3" ht="16.5" customHeight="1" x14ac:dyDescent="0.45">
      <c r="A18" s="11" t="s">
        <v>615</v>
      </c>
      <c r="B18" s="35" t="s">
        <v>616</v>
      </c>
      <c r="C18" s="36"/>
    </row>
    <row r="19" spans="1:3" ht="32.25" customHeight="1" x14ac:dyDescent="0.45">
      <c r="A19" s="11" t="s">
        <v>617</v>
      </c>
      <c r="B19" s="35" t="s">
        <v>618</v>
      </c>
      <c r="C19" s="36"/>
    </row>
    <row r="20" spans="1:3" ht="16.5" customHeight="1" x14ac:dyDescent="0.45">
      <c r="A20" s="11" t="s">
        <v>619</v>
      </c>
      <c r="B20" s="35" t="s">
        <v>620</v>
      </c>
      <c r="C20" s="36"/>
    </row>
    <row r="21" spans="1:3" ht="32.25" customHeight="1" x14ac:dyDescent="0.45">
      <c r="A21" s="11" t="s">
        <v>621</v>
      </c>
      <c r="B21" s="35" t="s">
        <v>622</v>
      </c>
      <c r="C21" s="36"/>
    </row>
  </sheetData>
  <mergeCells count="5">
    <mergeCell ref="B21:C21"/>
    <mergeCell ref="B19:C19"/>
    <mergeCell ref="B20:C20"/>
    <mergeCell ref="B17:C17"/>
    <mergeCell ref="B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zoomScaleNormal="100" workbookViewId="0">
      <pane ySplit="4" topLeftCell="A5" activePane="bottomLeft" state="frozen"/>
      <selection pane="bottomLeft" activeCell="B5" sqref="B5"/>
    </sheetView>
  </sheetViews>
  <sheetFormatPr defaultColWidth="8.64453125" defaultRowHeight="14" x14ac:dyDescent="0.45"/>
  <cols>
    <col min="1" max="1" width="12" style="1" customWidth="1"/>
    <col min="2" max="2" width="34" style="1" customWidth="1"/>
    <col min="3" max="3" width="18" style="1" customWidth="1"/>
    <col min="4" max="4" width="20" style="1" customWidth="1"/>
    <col min="5" max="5" width="34" style="1" customWidth="1"/>
    <col min="6" max="6" width="64" style="1" customWidth="1"/>
    <col min="7" max="9" width="8.64453125" style="1" customWidth="1"/>
    <col min="10" max="16384" width="8.64453125" style="1"/>
  </cols>
  <sheetData>
    <row r="1" spans="1:6" ht="16.5" customHeight="1" x14ac:dyDescent="0.45">
      <c r="A1" s="2" t="s">
        <v>623</v>
      </c>
      <c r="B1" s="3"/>
      <c r="C1" s="3"/>
      <c r="D1" s="3"/>
      <c r="E1" s="3"/>
      <c r="F1" s="3"/>
    </row>
    <row r="2" spans="1:6" ht="16.5" customHeight="1" x14ac:dyDescent="0.45">
      <c r="A2" s="4" t="s">
        <v>624</v>
      </c>
      <c r="B2" s="3"/>
      <c r="C2" s="3"/>
      <c r="D2" s="3"/>
      <c r="E2" s="3"/>
      <c r="F2" s="3"/>
    </row>
    <row r="3" spans="1:6" ht="13.5" customHeight="1" x14ac:dyDescent="0.45">
      <c r="A3" s="3"/>
      <c r="B3" s="3"/>
      <c r="C3" s="3"/>
      <c r="D3" s="3"/>
      <c r="E3" s="3"/>
      <c r="F3" s="3"/>
    </row>
    <row r="4" spans="1:6" ht="30" customHeight="1" x14ac:dyDescent="0.45">
      <c r="A4" s="5" t="s">
        <v>169</v>
      </c>
      <c r="B4" s="5" t="s">
        <v>625</v>
      </c>
      <c r="C4" s="5" t="s">
        <v>626</v>
      </c>
      <c r="D4" s="5" t="s">
        <v>171</v>
      </c>
      <c r="E4" s="5" t="s">
        <v>627</v>
      </c>
      <c r="F4" s="5" t="s">
        <v>628</v>
      </c>
    </row>
    <row r="5" spans="1:6" ht="41.25" customHeight="1" x14ac:dyDescent="0.45">
      <c r="A5" s="6" t="s">
        <v>198</v>
      </c>
      <c r="B5" s="6" t="s">
        <v>629</v>
      </c>
      <c r="C5" s="6" t="s">
        <v>199</v>
      </c>
      <c r="D5" s="6" t="s">
        <v>200</v>
      </c>
      <c r="E5" s="6" t="s">
        <v>630</v>
      </c>
      <c r="F5" s="18" t="s">
        <v>631</v>
      </c>
    </row>
    <row r="6" spans="1:6" ht="57.75" customHeight="1" x14ac:dyDescent="0.45">
      <c r="A6" s="6" t="s">
        <v>198</v>
      </c>
      <c r="B6" s="6" t="s">
        <v>632</v>
      </c>
      <c r="C6" s="6" t="s">
        <v>199</v>
      </c>
      <c r="D6" s="6" t="s">
        <v>200</v>
      </c>
      <c r="E6" s="6" t="s">
        <v>633</v>
      </c>
      <c r="F6" s="18" t="s">
        <v>634</v>
      </c>
    </row>
    <row r="7" spans="1:6" ht="57.75" customHeight="1" x14ac:dyDescent="0.45">
      <c r="A7" s="6" t="s">
        <v>208</v>
      </c>
      <c r="B7" s="6" t="s">
        <v>635</v>
      </c>
      <c r="C7" s="6" t="s">
        <v>199</v>
      </c>
      <c r="D7" s="6" t="s">
        <v>200</v>
      </c>
      <c r="E7" s="6" t="s">
        <v>636</v>
      </c>
      <c r="F7" s="6" t="s">
        <v>637</v>
      </c>
    </row>
    <row r="8" spans="1:6" ht="57.75" customHeight="1" x14ac:dyDescent="0.45">
      <c r="A8" s="6" t="s">
        <v>215</v>
      </c>
      <c r="B8" s="6" t="s">
        <v>638</v>
      </c>
      <c r="C8" s="6" t="s">
        <v>199</v>
      </c>
      <c r="D8" s="6" t="s">
        <v>212</v>
      </c>
      <c r="E8" s="6" t="s">
        <v>639</v>
      </c>
      <c r="F8" s="6" t="s">
        <v>640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5"/>
  <sheetViews>
    <sheetView tabSelected="1" zoomScaleNormal="100" workbookViewId="0">
      <pane ySplit="4" topLeftCell="A5" activePane="bottomLeft" state="frozen"/>
      <selection pane="bottomLeft" activeCell="B8" sqref="B8"/>
    </sheetView>
  </sheetViews>
  <sheetFormatPr defaultColWidth="8.64453125" defaultRowHeight="14" x14ac:dyDescent="0.45"/>
  <cols>
    <col min="1" max="1" width="30" style="1" customWidth="1"/>
    <col min="2" max="2" width="118" style="1" customWidth="1"/>
    <col min="3" max="5" width="8.64453125" style="1" customWidth="1"/>
    <col min="6" max="16384" width="8.64453125" style="1"/>
  </cols>
  <sheetData>
    <row r="1" spans="1:5" ht="13.5" customHeight="1" x14ac:dyDescent="0.45">
      <c r="A1" s="2" t="s">
        <v>0</v>
      </c>
      <c r="B1" s="3"/>
      <c r="C1" s="3"/>
      <c r="D1" s="3"/>
      <c r="E1" s="3"/>
    </row>
    <row r="2" spans="1:5" ht="16.5" customHeight="1" x14ac:dyDescent="0.45">
      <c r="A2" s="4" t="s">
        <v>1</v>
      </c>
      <c r="B2" s="3"/>
      <c r="C2" s="3"/>
      <c r="D2" s="3"/>
      <c r="E2" s="3"/>
    </row>
    <row r="3" spans="1:5" ht="13.5" customHeight="1" x14ac:dyDescent="0.45">
      <c r="A3" s="3"/>
      <c r="B3" s="3"/>
      <c r="C3" s="3"/>
      <c r="D3" s="3"/>
      <c r="E3" s="3"/>
    </row>
    <row r="4" spans="1:5" ht="30" customHeight="1" x14ac:dyDescent="0.45">
      <c r="A4" s="5" t="s">
        <v>2</v>
      </c>
      <c r="B4" s="5" t="s">
        <v>3</v>
      </c>
      <c r="C4" s="3"/>
      <c r="D4" s="3"/>
      <c r="E4" s="3"/>
    </row>
    <row r="5" spans="1:5" ht="25.5" customHeight="1" x14ac:dyDescent="0.45">
      <c r="A5" s="19" t="s">
        <v>4</v>
      </c>
      <c r="B5" s="6" t="s">
        <v>5</v>
      </c>
      <c r="C5" s="3"/>
      <c r="D5" s="3"/>
      <c r="E5" s="3"/>
    </row>
    <row r="6" spans="1:5" ht="25.5" customHeight="1" x14ac:dyDescent="0.45">
      <c r="A6" s="19" t="s">
        <v>6</v>
      </c>
      <c r="B6" s="6" t="s">
        <v>7</v>
      </c>
      <c r="C6" s="3"/>
      <c r="D6" s="3"/>
      <c r="E6" s="3"/>
    </row>
    <row r="7" spans="1:5" ht="25.5" customHeight="1" x14ac:dyDescent="0.45">
      <c r="A7" s="19" t="s">
        <v>8</v>
      </c>
      <c r="B7" s="6">
        <v>10350592</v>
      </c>
      <c r="C7" s="3"/>
      <c r="D7" s="3"/>
      <c r="E7" s="3"/>
    </row>
    <row r="8" spans="1:5" ht="25.5" customHeight="1" x14ac:dyDescent="0.45">
      <c r="A8" s="19" t="s">
        <v>9</v>
      </c>
      <c r="B8" s="6" t="s">
        <v>10</v>
      </c>
      <c r="C8" s="3"/>
      <c r="D8" s="3"/>
      <c r="E8" s="3"/>
    </row>
    <row r="9" spans="1:5" ht="25.5" customHeight="1" x14ac:dyDescent="0.45">
      <c r="A9" s="19" t="s">
        <v>11</v>
      </c>
      <c r="B9" s="6" t="s">
        <v>12</v>
      </c>
      <c r="C9" s="3"/>
      <c r="D9" s="3"/>
      <c r="E9" s="3"/>
    </row>
    <row r="10" spans="1:5" ht="45.75" customHeight="1" x14ac:dyDescent="0.45">
      <c r="A10" s="19" t="s">
        <v>13</v>
      </c>
      <c r="B10" s="6" t="s">
        <v>14</v>
      </c>
      <c r="C10" s="3"/>
      <c r="D10" s="3"/>
      <c r="E10" s="3"/>
    </row>
    <row r="11" spans="1:5" ht="27" customHeight="1" x14ac:dyDescent="0.45">
      <c r="A11" s="19" t="s">
        <v>15</v>
      </c>
      <c r="B11" s="6" t="s">
        <v>16</v>
      </c>
      <c r="C11" s="3"/>
      <c r="D11" s="3"/>
      <c r="E11" s="3"/>
    </row>
    <row r="12" spans="1:5" ht="45.75" customHeight="1" x14ac:dyDescent="0.45">
      <c r="A12" s="19" t="s">
        <v>17</v>
      </c>
      <c r="B12" s="6" t="s">
        <v>18</v>
      </c>
      <c r="C12" s="3"/>
      <c r="D12" s="3"/>
      <c r="E12" s="3"/>
    </row>
    <row r="13" spans="1:5" ht="25.5" customHeight="1" x14ac:dyDescent="0.45">
      <c r="A13" s="19" t="s">
        <v>19</v>
      </c>
      <c r="B13" s="6" t="s">
        <v>20</v>
      </c>
      <c r="C13" s="3"/>
      <c r="D13" s="3"/>
      <c r="E13" s="3"/>
    </row>
    <row r="14" spans="1:5" ht="45.75" customHeight="1" x14ac:dyDescent="0.45">
      <c r="A14" s="19" t="s">
        <v>21</v>
      </c>
      <c r="B14" s="6" t="s">
        <v>22</v>
      </c>
      <c r="C14" s="3"/>
      <c r="D14" s="3"/>
      <c r="E14" s="3"/>
    </row>
    <row r="15" spans="1:5" ht="45.75" customHeight="1" x14ac:dyDescent="0.45">
      <c r="A15" s="19" t="s">
        <v>23</v>
      </c>
      <c r="B15" s="6" t="s">
        <v>24</v>
      </c>
      <c r="C15" s="3"/>
      <c r="D15" s="3"/>
      <c r="E15" s="3"/>
    </row>
    <row r="16" spans="1:5" ht="45.75" customHeight="1" x14ac:dyDescent="0.45">
      <c r="A16" s="19" t="s">
        <v>25</v>
      </c>
      <c r="B16" s="6" t="s">
        <v>26</v>
      </c>
      <c r="C16" s="3"/>
      <c r="D16" s="3"/>
      <c r="E16" s="3"/>
    </row>
    <row r="17" spans="1:5" ht="45.75" customHeight="1" x14ac:dyDescent="0.45">
      <c r="A17" s="19" t="s">
        <v>27</v>
      </c>
      <c r="B17" s="6" t="s">
        <v>28</v>
      </c>
      <c r="C17" s="3"/>
      <c r="D17" s="3"/>
      <c r="E17" s="3"/>
    </row>
    <row r="18" spans="1:5" ht="45.75" customHeight="1" x14ac:dyDescent="0.45">
      <c r="A18" s="19" t="s">
        <v>29</v>
      </c>
      <c r="B18" s="6" t="s">
        <v>30</v>
      </c>
      <c r="C18" s="3"/>
      <c r="D18" s="3"/>
      <c r="E18" s="3"/>
    </row>
    <row r="19" spans="1:5" ht="16.5" customHeight="1" x14ac:dyDescent="0.45">
      <c r="A19" s="3" t="s">
        <v>31</v>
      </c>
      <c r="B19" s="3" t="s">
        <v>32</v>
      </c>
      <c r="C19" s="3"/>
      <c r="D19" s="3"/>
      <c r="E19" s="3"/>
    </row>
    <row r="20" spans="1:5" ht="16.5" customHeight="1" x14ac:dyDescent="0.45">
      <c r="A20" s="3" t="s">
        <v>33</v>
      </c>
      <c r="B20" s="3" t="s">
        <v>34</v>
      </c>
      <c r="C20" s="3"/>
      <c r="D20" s="3"/>
      <c r="E20" s="3"/>
    </row>
    <row r="21" spans="1:5" ht="25.5" customHeight="1" x14ac:dyDescent="0.45">
      <c r="A21" s="19" t="s">
        <v>35</v>
      </c>
      <c r="B21" s="6" t="s">
        <v>36</v>
      </c>
      <c r="C21" s="3"/>
      <c r="D21" s="3"/>
      <c r="E21" s="3"/>
    </row>
    <row r="22" spans="1:5" ht="25.5" customHeight="1" x14ac:dyDescent="0.45">
      <c r="A22" s="19" t="s">
        <v>37</v>
      </c>
      <c r="B22" s="6" t="s">
        <v>38</v>
      </c>
      <c r="C22" s="3"/>
      <c r="D22" s="3"/>
      <c r="E22" s="3"/>
    </row>
    <row r="23" spans="1:5" ht="25.5" customHeight="1" x14ac:dyDescent="0.45">
      <c r="A23" s="19" t="s">
        <v>39</v>
      </c>
      <c r="B23" s="6" t="s">
        <v>40</v>
      </c>
      <c r="C23" s="3"/>
      <c r="D23" s="3"/>
      <c r="E23" s="3"/>
    </row>
    <row r="24" spans="1:5" ht="25.5" customHeight="1" x14ac:dyDescent="0.45">
      <c r="A24" s="19" t="s">
        <v>41</v>
      </c>
      <c r="B24" s="6" t="s">
        <v>42</v>
      </c>
      <c r="C24" s="3"/>
      <c r="D24" s="3"/>
      <c r="E24" s="3"/>
    </row>
    <row r="25" spans="1:5" ht="25.5" customHeight="1" x14ac:dyDescent="0.45">
      <c r="A25" s="19" t="s">
        <v>43</v>
      </c>
      <c r="B25" s="6" t="s">
        <v>44</v>
      </c>
      <c r="C25" s="3"/>
      <c r="D25" s="3"/>
      <c r="E25" s="3"/>
    </row>
    <row r="26" spans="1:5" ht="25.5" customHeight="1" x14ac:dyDescent="0.45">
      <c r="A26" s="19" t="s">
        <v>45</v>
      </c>
      <c r="B26" s="6" t="s">
        <v>46</v>
      </c>
      <c r="C26" s="3"/>
      <c r="D26" s="3"/>
      <c r="E26" s="3"/>
    </row>
    <row r="27" spans="1:5" ht="25.5" customHeight="1" x14ac:dyDescent="0.45">
      <c r="A27" s="19" t="s">
        <v>47</v>
      </c>
      <c r="B27" s="6" t="s">
        <v>48</v>
      </c>
      <c r="C27" s="3"/>
      <c r="D27" s="3"/>
      <c r="E27" s="3"/>
    </row>
    <row r="28" spans="1:5" ht="25.5" customHeight="1" x14ac:dyDescent="0.45">
      <c r="A28" s="19" t="s">
        <v>49</v>
      </c>
      <c r="B28" s="6" t="s">
        <v>50</v>
      </c>
      <c r="C28" s="3"/>
      <c r="D28" s="3"/>
      <c r="E28" s="3"/>
    </row>
    <row r="29" spans="1:5" ht="55.5" customHeight="1" x14ac:dyDescent="0.45">
      <c r="A29" s="19" t="s">
        <v>51</v>
      </c>
      <c r="B29" s="6" t="s">
        <v>52</v>
      </c>
      <c r="C29" s="3"/>
      <c r="D29" s="3"/>
      <c r="E29" s="3"/>
    </row>
    <row r="30" spans="1:5" ht="55.5" customHeight="1" x14ac:dyDescent="0.45">
      <c r="A30" s="19" t="s">
        <v>53</v>
      </c>
      <c r="B30" s="6" t="s">
        <v>54</v>
      </c>
      <c r="C30" s="3"/>
      <c r="D30" s="3"/>
      <c r="E30" s="3"/>
    </row>
    <row r="31" spans="1:5" ht="55.5" customHeight="1" x14ac:dyDescent="0.45">
      <c r="A31" s="19" t="s">
        <v>55</v>
      </c>
      <c r="B31" s="6" t="s">
        <v>56</v>
      </c>
      <c r="C31" s="3"/>
      <c r="D31" s="3"/>
      <c r="E31" s="3"/>
    </row>
    <row r="32" spans="1:5" ht="25.5" customHeight="1" x14ac:dyDescent="0.45">
      <c r="A32" s="19" t="s">
        <v>57</v>
      </c>
      <c r="B32" s="6" t="s">
        <v>58</v>
      </c>
      <c r="C32" s="3"/>
      <c r="D32" s="3"/>
      <c r="E32" s="3"/>
    </row>
    <row r="33" spans="1:5" ht="55.5" customHeight="1" x14ac:dyDescent="0.45">
      <c r="A33" s="19" t="s">
        <v>59</v>
      </c>
      <c r="B33" s="6" t="s">
        <v>60</v>
      </c>
      <c r="C33" s="3"/>
      <c r="D33" s="3"/>
      <c r="E33" s="3"/>
    </row>
    <row r="34" spans="1:5" ht="55.5" customHeight="1" x14ac:dyDescent="0.45">
      <c r="A34" s="19" t="s">
        <v>61</v>
      </c>
      <c r="B34" s="6" t="s">
        <v>62</v>
      </c>
      <c r="C34" s="3"/>
      <c r="D34" s="3"/>
      <c r="E34" s="3"/>
    </row>
    <row r="35" spans="1:5" ht="55.5" customHeight="1" x14ac:dyDescent="0.45">
      <c r="A35" s="19" t="s">
        <v>63</v>
      </c>
      <c r="B35" s="6" t="s">
        <v>64</v>
      </c>
      <c r="C35" s="3"/>
      <c r="D35" s="3"/>
      <c r="E35" s="3"/>
    </row>
    <row r="36" spans="1:5" ht="55.5" customHeight="1" x14ac:dyDescent="0.45">
      <c r="A36" s="19" t="s">
        <v>65</v>
      </c>
      <c r="B36" s="6" t="s">
        <v>66</v>
      </c>
      <c r="C36" s="3"/>
      <c r="D36" s="3"/>
      <c r="E36" s="3"/>
    </row>
    <row r="37" spans="1:5" ht="55.5" customHeight="1" x14ac:dyDescent="0.45">
      <c r="A37" s="19" t="s">
        <v>67</v>
      </c>
      <c r="B37" s="6" t="s">
        <v>68</v>
      </c>
      <c r="C37" s="3"/>
      <c r="D37" s="3"/>
      <c r="E37" s="3"/>
    </row>
    <row r="38" spans="1:5" ht="25.5" customHeight="1" x14ac:dyDescent="0.45">
      <c r="A38" s="19" t="s">
        <v>69</v>
      </c>
      <c r="B38" s="6" t="s">
        <v>70</v>
      </c>
      <c r="C38" s="3"/>
      <c r="D38" s="3"/>
      <c r="E38" s="3"/>
    </row>
    <row r="39" spans="1:5" ht="25.5" customHeight="1" x14ac:dyDescent="0.45">
      <c r="A39" s="19" t="s">
        <v>71</v>
      </c>
      <c r="B39" s="6" t="s">
        <v>72</v>
      </c>
      <c r="C39" s="3"/>
      <c r="D39" s="3"/>
      <c r="E39" s="3"/>
    </row>
    <row r="40" spans="1:5" ht="25.5" customHeight="1" x14ac:dyDescent="0.45">
      <c r="A40" s="19" t="s">
        <v>73</v>
      </c>
      <c r="B40" s="6" t="s">
        <v>74</v>
      </c>
      <c r="C40" s="3"/>
      <c r="D40" s="3"/>
      <c r="E40" s="3"/>
    </row>
    <row r="41" spans="1:5" ht="25.5" customHeight="1" x14ac:dyDescent="0.45">
      <c r="A41" s="19" t="s">
        <v>75</v>
      </c>
      <c r="B41" s="6" t="s">
        <v>76</v>
      </c>
      <c r="C41" s="3"/>
      <c r="D41" s="3"/>
      <c r="E41" s="3"/>
    </row>
    <row r="42" spans="1:5" ht="55.5" customHeight="1" x14ac:dyDescent="0.45">
      <c r="A42" s="19" t="s">
        <v>77</v>
      </c>
      <c r="B42" s="6" t="s">
        <v>78</v>
      </c>
      <c r="C42" s="3"/>
      <c r="D42" s="3"/>
      <c r="E42" s="3"/>
    </row>
    <row r="43" spans="1:5" ht="55.5" customHeight="1" x14ac:dyDescent="0.45">
      <c r="A43" s="19" t="s">
        <v>79</v>
      </c>
      <c r="B43" s="6" t="s">
        <v>80</v>
      </c>
      <c r="C43" s="3"/>
      <c r="D43" s="3"/>
      <c r="E43" s="3"/>
    </row>
    <row r="44" spans="1:5" ht="55.5" customHeight="1" x14ac:dyDescent="0.45">
      <c r="A44" s="19" t="s">
        <v>81</v>
      </c>
      <c r="B44" s="6" t="s">
        <v>82</v>
      </c>
      <c r="C44" s="3"/>
      <c r="D44" s="3"/>
      <c r="E44" s="3"/>
    </row>
    <row r="45" spans="1:5" ht="55.5" customHeight="1" x14ac:dyDescent="0.45">
      <c r="A45" s="19" t="s">
        <v>83</v>
      </c>
      <c r="B45" s="6" t="s">
        <v>84</v>
      </c>
      <c r="C45" s="3"/>
      <c r="D45" s="3"/>
      <c r="E45" s="3"/>
    </row>
    <row r="46" spans="1:5" ht="25.5" customHeight="1" x14ac:dyDescent="0.45">
      <c r="A46" s="19" t="s">
        <v>85</v>
      </c>
      <c r="B46" s="6" t="s">
        <v>86</v>
      </c>
      <c r="C46" s="3"/>
      <c r="D46" s="3"/>
      <c r="E46" s="3"/>
    </row>
    <row r="47" spans="1:5" ht="55.5" customHeight="1" x14ac:dyDescent="0.45">
      <c r="A47" s="19" t="s">
        <v>87</v>
      </c>
      <c r="B47" s="6" t="s">
        <v>88</v>
      </c>
      <c r="C47" s="3"/>
      <c r="D47" s="3"/>
      <c r="E47" s="3"/>
    </row>
    <row r="48" spans="1:5" ht="55.5" customHeight="1" x14ac:dyDescent="0.45">
      <c r="A48" s="19" t="s">
        <v>89</v>
      </c>
      <c r="B48" s="6" t="s">
        <v>90</v>
      </c>
      <c r="C48" s="3"/>
      <c r="D48" s="3"/>
      <c r="E48" s="3"/>
    </row>
    <row r="49" spans="1:5" ht="55.5" customHeight="1" x14ac:dyDescent="0.45">
      <c r="A49" s="19" t="s">
        <v>91</v>
      </c>
      <c r="B49" s="6" t="s">
        <v>92</v>
      </c>
      <c r="C49" s="3"/>
      <c r="D49" s="3"/>
      <c r="E49" s="3"/>
    </row>
    <row r="50" spans="1:5" ht="55.5" customHeight="1" x14ac:dyDescent="0.45">
      <c r="A50" s="19" t="s">
        <v>93</v>
      </c>
      <c r="B50" s="6" t="s">
        <v>94</v>
      </c>
      <c r="C50" s="3"/>
      <c r="D50" s="3"/>
      <c r="E50" s="3"/>
    </row>
    <row r="51" spans="1:5" ht="55.5" customHeight="1" x14ac:dyDescent="0.45">
      <c r="A51" s="19" t="s">
        <v>95</v>
      </c>
      <c r="B51" s="6" t="s">
        <v>96</v>
      </c>
      <c r="C51" s="3" t="s">
        <v>97</v>
      </c>
      <c r="D51" s="3" t="s">
        <v>98</v>
      </c>
      <c r="E51" s="3" t="s">
        <v>99</v>
      </c>
    </row>
    <row r="52" spans="1:5" ht="55.5" customHeight="1" x14ac:dyDescent="0.45">
      <c r="A52" s="19" t="s">
        <v>100</v>
      </c>
      <c r="B52" s="6" t="s">
        <v>101</v>
      </c>
      <c r="C52" s="3" t="s">
        <v>102</v>
      </c>
      <c r="D52" s="3" t="s">
        <v>103</v>
      </c>
      <c r="E52" s="3" t="s">
        <v>104</v>
      </c>
    </row>
    <row r="53" spans="1:5" ht="55.5" customHeight="1" x14ac:dyDescent="0.45">
      <c r="A53" s="19" t="s">
        <v>105</v>
      </c>
      <c r="B53" s="6" t="s">
        <v>106</v>
      </c>
      <c r="C53" s="3" t="s">
        <v>107</v>
      </c>
      <c r="D53" s="3" t="s">
        <v>108</v>
      </c>
      <c r="E53" s="3" t="s">
        <v>109</v>
      </c>
    </row>
    <row r="54" spans="1:5" ht="55.5" customHeight="1" x14ac:dyDescent="0.45">
      <c r="A54" s="19" t="s">
        <v>110</v>
      </c>
      <c r="B54" s="6" t="s">
        <v>111</v>
      </c>
      <c r="C54" s="3" t="s">
        <v>112</v>
      </c>
      <c r="D54" s="3" t="s">
        <v>113</v>
      </c>
      <c r="E54" s="3" t="s">
        <v>114</v>
      </c>
    </row>
    <row r="55" spans="1:5" ht="55.5" customHeight="1" x14ac:dyDescent="0.45">
      <c r="A55" s="19" t="s">
        <v>115</v>
      </c>
      <c r="B55" s="6" t="s">
        <v>116</v>
      </c>
      <c r="C55" s="3" t="s">
        <v>117</v>
      </c>
      <c r="D55" s="3" t="s">
        <v>118</v>
      </c>
      <c r="E55" s="3" t="s">
        <v>119</v>
      </c>
    </row>
    <row r="56" spans="1:5" ht="55.5" customHeight="1" x14ac:dyDescent="0.45">
      <c r="A56" s="19" t="s">
        <v>120</v>
      </c>
      <c r="B56" s="6" t="s">
        <v>121</v>
      </c>
      <c r="C56" s="3" t="s">
        <v>122</v>
      </c>
      <c r="D56" s="3" t="s">
        <v>108</v>
      </c>
      <c r="E56" s="3" t="s">
        <v>109</v>
      </c>
    </row>
    <row r="57" spans="1:5" ht="55.5" customHeight="1" x14ac:dyDescent="0.45">
      <c r="A57" s="19" t="s">
        <v>123</v>
      </c>
      <c r="B57" s="6" t="s">
        <v>124</v>
      </c>
      <c r="C57" s="3" t="s">
        <v>125</v>
      </c>
      <c r="D57" s="3" t="s">
        <v>126</v>
      </c>
      <c r="E57" s="3" t="s">
        <v>127</v>
      </c>
    </row>
    <row r="58" spans="1:5" ht="55.5" customHeight="1" x14ac:dyDescent="0.45">
      <c r="A58" s="19" t="s">
        <v>128</v>
      </c>
      <c r="B58" s="6" t="s">
        <v>129</v>
      </c>
      <c r="C58" s="3" t="s">
        <v>130</v>
      </c>
      <c r="D58" s="3" t="s">
        <v>131</v>
      </c>
      <c r="E58" s="3" t="s">
        <v>132</v>
      </c>
    </row>
    <row r="59" spans="1:5" ht="55.5" customHeight="1" x14ac:dyDescent="0.45">
      <c r="A59" s="19" t="s">
        <v>133</v>
      </c>
      <c r="B59" s="6" t="s">
        <v>134</v>
      </c>
      <c r="C59" s="3" t="s">
        <v>135</v>
      </c>
      <c r="D59" s="3" t="s">
        <v>136</v>
      </c>
      <c r="E59" s="3" t="s">
        <v>137</v>
      </c>
    </row>
    <row r="60" spans="1:5" ht="55.5" customHeight="1" x14ac:dyDescent="0.45">
      <c r="A60" s="19" t="s">
        <v>138</v>
      </c>
      <c r="B60" s="6" t="s">
        <v>139</v>
      </c>
      <c r="C60" s="3" t="s">
        <v>140</v>
      </c>
      <c r="D60" s="3" t="s">
        <v>141</v>
      </c>
      <c r="E60" s="3" t="s">
        <v>142</v>
      </c>
    </row>
    <row r="61" spans="1:5" ht="55.5" customHeight="1" x14ac:dyDescent="0.45">
      <c r="A61" s="19" t="s">
        <v>143</v>
      </c>
      <c r="B61" s="6" t="s">
        <v>101</v>
      </c>
      <c r="C61" s="3" t="s">
        <v>144</v>
      </c>
      <c r="D61" s="3" t="s">
        <v>145</v>
      </c>
      <c r="E61" s="3" t="s">
        <v>146</v>
      </c>
    </row>
    <row r="62" spans="1:5" ht="55.5" customHeight="1" x14ac:dyDescent="0.45">
      <c r="A62" s="19" t="s">
        <v>147</v>
      </c>
      <c r="B62" s="6" t="s">
        <v>148</v>
      </c>
      <c r="C62" s="3" t="s">
        <v>149</v>
      </c>
      <c r="D62" s="3" t="s">
        <v>118</v>
      </c>
      <c r="E62" s="3" t="s">
        <v>119</v>
      </c>
    </row>
    <row r="63" spans="1:5" ht="55.5" customHeight="1" x14ac:dyDescent="0.45">
      <c r="A63" s="19" t="s">
        <v>150</v>
      </c>
      <c r="B63" s="6" t="s">
        <v>151</v>
      </c>
      <c r="C63" s="3" t="s">
        <v>152</v>
      </c>
      <c r="D63" s="3" t="s">
        <v>153</v>
      </c>
      <c r="E63" s="3" t="s">
        <v>154</v>
      </c>
    </row>
    <row r="64" spans="1:5" ht="55.5" customHeight="1" x14ac:dyDescent="0.45">
      <c r="A64" s="19" t="s">
        <v>155</v>
      </c>
      <c r="B64" s="6" t="s">
        <v>156</v>
      </c>
      <c r="C64" s="3" t="s">
        <v>157</v>
      </c>
      <c r="D64" s="3" t="s">
        <v>131</v>
      </c>
      <c r="E64" s="3" t="s">
        <v>132</v>
      </c>
    </row>
    <row r="65" spans="1:5" ht="55.5" customHeight="1" x14ac:dyDescent="0.45">
      <c r="A65" s="19" t="s">
        <v>133</v>
      </c>
      <c r="B65" s="6" t="s">
        <v>158</v>
      </c>
      <c r="C65" s="3" t="s">
        <v>159</v>
      </c>
      <c r="D65" s="3" t="s">
        <v>136</v>
      </c>
      <c r="E65" s="3" t="s">
        <v>142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zoomScaleNormal="100" workbookViewId="0">
      <pane ySplit="1" topLeftCell="A2" activePane="bottomLeft" state="frozen"/>
      <selection pane="bottomLeft"/>
    </sheetView>
  </sheetViews>
  <sheetFormatPr defaultColWidth="8.64453125" defaultRowHeight="14.35" x14ac:dyDescent="0.5"/>
  <cols>
    <col min="1" max="1" width="18" customWidth="1"/>
    <col min="2" max="2" width="32" customWidth="1"/>
    <col min="3" max="3" width="40" customWidth="1"/>
    <col min="4" max="4" width="56" customWidth="1"/>
    <col min="5" max="5" width="38" customWidth="1"/>
    <col min="6" max="6" width="28" customWidth="1"/>
  </cols>
  <sheetData>
    <row r="1" spans="1:6" ht="15" customHeight="1" x14ac:dyDescent="0.5">
      <c r="A1" s="20" t="s">
        <v>641</v>
      </c>
      <c r="B1" s="20" t="s">
        <v>642</v>
      </c>
      <c r="C1" s="20" t="s">
        <v>643</v>
      </c>
      <c r="D1" s="20" t="s">
        <v>644</v>
      </c>
      <c r="E1" s="20" t="s">
        <v>645</v>
      </c>
      <c r="F1" s="20" t="s">
        <v>646</v>
      </c>
    </row>
    <row r="2" spans="1:6" ht="32.25" customHeight="1" x14ac:dyDescent="0.5">
      <c r="A2" s="21" t="s">
        <v>647</v>
      </c>
      <c r="B2" s="21" t="s">
        <v>648</v>
      </c>
      <c r="C2" s="21" t="s">
        <v>649</v>
      </c>
      <c r="D2" s="21" t="s">
        <v>650</v>
      </c>
      <c r="E2" s="21" t="s">
        <v>651</v>
      </c>
      <c r="F2" s="21"/>
    </row>
    <row r="3" spans="1:6" ht="32.25" customHeight="1" x14ac:dyDescent="0.5">
      <c r="A3" s="21" t="s">
        <v>652</v>
      </c>
      <c r="B3" s="21" t="s">
        <v>653</v>
      </c>
      <c r="C3" s="21" t="s">
        <v>654</v>
      </c>
      <c r="D3" s="21" t="s">
        <v>655</v>
      </c>
      <c r="E3" s="21" t="s">
        <v>656</v>
      </c>
      <c r="F3" s="21"/>
    </row>
    <row r="4" spans="1:6" ht="32.25" customHeight="1" x14ac:dyDescent="0.5">
      <c r="A4" s="21" t="s">
        <v>657</v>
      </c>
      <c r="B4" s="21" t="s">
        <v>658</v>
      </c>
      <c r="C4" s="21" t="s">
        <v>659</v>
      </c>
      <c r="D4" s="21" t="s">
        <v>660</v>
      </c>
      <c r="E4" s="21" t="s">
        <v>661</v>
      </c>
      <c r="F4" s="21"/>
    </row>
    <row r="5" spans="1:6" ht="32.25" customHeight="1" x14ac:dyDescent="0.5">
      <c r="A5" s="21" t="s">
        <v>662</v>
      </c>
      <c r="B5" s="21" t="s">
        <v>663</v>
      </c>
      <c r="C5" s="21" t="s">
        <v>664</v>
      </c>
      <c r="D5" s="21" t="s">
        <v>665</v>
      </c>
      <c r="E5" s="21" t="s">
        <v>666</v>
      </c>
      <c r="F5" s="21"/>
    </row>
  </sheetData>
  <autoFilter ref="A1:F5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zoomScaleNormal="100" workbookViewId="0">
      <pane ySplit="1" topLeftCell="A2" activePane="bottomLeft" state="frozen"/>
      <selection pane="bottomLeft"/>
    </sheetView>
  </sheetViews>
  <sheetFormatPr defaultColWidth="8.64453125" defaultRowHeight="14.35" x14ac:dyDescent="0.5"/>
  <cols>
    <col min="1" max="1" width="20" customWidth="1"/>
    <col min="2" max="2" width="14" customWidth="1"/>
    <col min="3" max="3" width="40" customWidth="1"/>
    <col min="4" max="4" width="68" customWidth="1"/>
    <col min="5" max="5" width="24" customWidth="1"/>
  </cols>
  <sheetData>
    <row r="1" spans="1:5" ht="24.75" customHeight="1" x14ac:dyDescent="0.5">
      <c r="A1" s="20" t="s">
        <v>641</v>
      </c>
      <c r="B1" s="20" t="s">
        <v>169</v>
      </c>
      <c r="C1" s="20" t="s">
        <v>667</v>
      </c>
      <c r="D1" s="20" t="s">
        <v>668</v>
      </c>
      <c r="E1" s="20" t="s">
        <v>669</v>
      </c>
    </row>
    <row r="2" spans="1:5" ht="63.75" customHeight="1" x14ac:dyDescent="0.5">
      <c r="A2" s="21" t="s">
        <v>670</v>
      </c>
      <c r="B2" s="21" t="s">
        <v>198</v>
      </c>
      <c r="C2" s="21" t="s">
        <v>630</v>
      </c>
      <c r="D2" s="22" t="s">
        <v>671</v>
      </c>
      <c r="E2" s="21" t="s">
        <v>672</v>
      </c>
    </row>
    <row r="3" spans="1:5" ht="63.75" customHeight="1" x14ac:dyDescent="0.5">
      <c r="A3" s="21" t="s">
        <v>673</v>
      </c>
      <c r="B3" s="21" t="s">
        <v>198</v>
      </c>
      <c r="C3" s="21" t="s">
        <v>633</v>
      </c>
      <c r="D3" s="22" t="s">
        <v>674</v>
      </c>
      <c r="E3" s="21" t="s">
        <v>672</v>
      </c>
    </row>
    <row r="4" spans="1:5" ht="32.25" customHeight="1" x14ac:dyDescent="0.5">
      <c r="A4" s="21" t="s">
        <v>675</v>
      </c>
      <c r="B4" s="21" t="s">
        <v>208</v>
      </c>
      <c r="C4" s="21" t="s">
        <v>636</v>
      </c>
      <c r="D4" s="21" t="s">
        <v>676</v>
      </c>
      <c r="E4" s="21" t="s">
        <v>672</v>
      </c>
    </row>
    <row r="5" spans="1:5" ht="16.5" customHeight="1" x14ac:dyDescent="0.5">
      <c r="A5" s="21" t="s">
        <v>677</v>
      </c>
      <c r="B5" s="21" t="s">
        <v>215</v>
      </c>
      <c r="C5" s="21" t="s">
        <v>639</v>
      </c>
      <c r="D5" s="21" t="s">
        <v>678</v>
      </c>
      <c r="E5" s="21" t="s">
        <v>672</v>
      </c>
    </row>
    <row r="6" spans="1:5" ht="16.5" customHeight="1" x14ac:dyDescent="0.5">
      <c r="A6" s="21" t="s">
        <v>679</v>
      </c>
      <c r="B6" s="21" t="s">
        <v>211</v>
      </c>
      <c r="C6" s="21" t="s">
        <v>680</v>
      </c>
      <c r="D6" s="21" t="s">
        <v>681</v>
      </c>
      <c r="E6" s="21" t="s">
        <v>672</v>
      </c>
    </row>
    <row r="7" spans="1:5" ht="15" customHeight="1" x14ac:dyDescent="0.5">
      <c r="A7" s="21"/>
      <c r="B7" s="21"/>
      <c r="C7" s="21"/>
      <c r="D7" s="21"/>
      <c r="E7" s="21"/>
    </row>
    <row r="8" spans="1:5" ht="135" customHeight="1" x14ac:dyDescent="0.5">
      <c r="A8" s="21" t="s">
        <v>585</v>
      </c>
      <c r="B8" s="21" t="s">
        <v>682</v>
      </c>
      <c r="C8" s="21"/>
      <c r="D8" s="21"/>
      <c r="E8" s="21"/>
    </row>
  </sheetData>
  <autoFilter ref="A1:E8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46"/>
  <sheetViews>
    <sheetView zoomScaleNormal="100" workbookViewId="0">
      <pane ySplit="4" topLeftCell="A5" activePane="bottomLeft" state="frozen"/>
      <selection pane="bottomLeft"/>
    </sheetView>
  </sheetViews>
  <sheetFormatPr defaultColWidth="8.64453125" defaultRowHeight="14.35" x14ac:dyDescent="0.5"/>
  <cols>
    <col min="1" max="1" width="13" customWidth="1"/>
    <col min="2" max="2" width="22" customWidth="1"/>
    <col min="3" max="3" width="24" customWidth="1"/>
    <col min="4" max="4" width="18" customWidth="1"/>
    <col min="5" max="5" width="9" customWidth="1"/>
    <col min="6" max="6" width="26" customWidth="1"/>
    <col min="7" max="7" width="14" customWidth="1"/>
    <col min="8" max="8" width="9" customWidth="1"/>
    <col min="9" max="10" width="25" customWidth="1"/>
    <col min="11" max="11" width="8" customWidth="1"/>
    <col min="12" max="13" width="25" customWidth="1"/>
    <col min="14" max="14" width="8" customWidth="1"/>
    <col min="15" max="15" width="16" customWidth="1"/>
    <col min="16" max="16" width="20" customWidth="1"/>
    <col min="17" max="17" width="11" customWidth="1"/>
    <col min="18" max="18" width="10" customWidth="1"/>
    <col min="19" max="19" width="13" customWidth="1"/>
    <col min="20" max="20" width="8" customWidth="1"/>
    <col min="21" max="21" width="9" customWidth="1"/>
    <col min="22" max="22" width="19" customWidth="1"/>
    <col min="23" max="23" width="16" customWidth="1"/>
    <col min="24" max="24" width="11" customWidth="1"/>
    <col min="25" max="25" width="24" customWidth="1"/>
    <col min="26" max="26" width="28" customWidth="1"/>
    <col min="27" max="27" width="11" customWidth="1"/>
    <col min="28" max="28" width="10" customWidth="1"/>
    <col min="29" max="29" width="74" customWidth="1"/>
    <col min="30" max="30" width="16" customWidth="1"/>
    <col min="31" max="31" width="34" customWidth="1"/>
    <col min="32" max="32" width="13" customWidth="1"/>
    <col min="33" max="33" width="32" customWidth="1"/>
    <col min="34" max="34" width="24" customWidth="1"/>
    <col min="35" max="35" width="9" customWidth="1"/>
    <col min="36" max="36" width="13" customWidth="1"/>
    <col min="37" max="37" width="14" customWidth="1"/>
    <col min="38" max="38" width="15" customWidth="1"/>
    <col min="39" max="39" width="13" customWidth="1"/>
    <col min="40" max="41" width="14" customWidth="1"/>
    <col min="42" max="42" width="15" customWidth="1"/>
    <col min="43" max="43" width="11" customWidth="1"/>
    <col min="44" max="44" width="12" customWidth="1"/>
    <col min="45" max="45" width="10" customWidth="1"/>
    <col min="46" max="46" width="30" customWidth="1"/>
    <col min="47" max="47" width="14" customWidth="1"/>
    <col min="48" max="48" width="18" customWidth="1"/>
    <col min="49" max="49" width="34" customWidth="1"/>
  </cols>
  <sheetData>
    <row r="1" spans="1:49" ht="22.5" customHeight="1" x14ac:dyDescent="0.5">
      <c r="A1" s="2" t="s">
        <v>683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49" ht="16.5" customHeight="1" x14ac:dyDescent="0.5">
      <c r="A2" s="4" t="s">
        <v>684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ht="15" customHeight="1" x14ac:dyDescent="0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37.5" customHeight="1" x14ac:dyDescent="0.5">
      <c r="A4" s="5" t="s">
        <v>162</v>
      </c>
      <c r="B4" s="5" t="s">
        <v>685</v>
      </c>
      <c r="C4" s="5" t="s">
        <v>686</v>
      </c>
      <c r="D4" s="5" t="s">
        <v>687</v>
      </c>
      <c r="E4" s="5" t="s">
        <v>169</v>
      </c>
      <c r="F4" s="5" t="s">
        <v>688</v>
      </c>
      <c r="G4" s="5" t="s">
        <v>689</v>
      </c>
      <c r="H4" s="5" t="s">
        <v>690</v>
      </c>
      <c r="I4" s="5" t="s">
        <v>691</v>
      </c>
      <c r="J4" s="5" t="s">
        <v>692</v>
      </c>
      <c r="K4" s="5" t="s">
        <v>693</v>
      </c>
      <c r="L4" s="5" t="s">
        <v>694</v>
      </c>
      <c r="M4" s="5" t="s">
        <v>695</v>
      </c>
      <c r="N4" s="5" t="s">
        <v>696</v>
      </c>
      <c r="O4" s="5" t="s">
        <v>697</v>
      </c>
      <c r="P4" s="5" t="s">
        <v>698</v>
      </c>
      <c r="Q4" s="5" t="s">
        <v>699</v>
      </c>
      <c r="R4" s="5" t="s">
        <v>700</v>
      </c>
      <c r="S4" s="5" t="s">
        <v>701</v>
      </c>
      <c r="T4" s="5" t="s">
        <v>702</v>
      </c>
      <c r="U4" s="5" t="s">
        <v>703</v>
      </c>
      <c r="V4" s="5" t="s">
        <v>704</v>
      </c>
      <c r="W4" s="5" t="s">
        <v>705</v>
      </c>
      <c r="X4" s="5" t="s">
        <v>172</v>
      </c>
      <c r="Y4" s="5" t="s">
        <v>706</v>
      </c>
      <c r="Z4" s="5" t="s">
        <v>707</v>
      </c>
      <c r="AA4" s="5" t="s">
        <v>708</v>
      </c>
      <c r="AB4" s="5" t="s">
        <v>709</v>
      </c>
      <c r="AC4" s="5" t="s">
        <v>710</v>
      </c>
      <c r="AD4" s="5" t="s">
        <v>711</v>
      </c>
      <c r="AE4" s="5" t="s">
        <v>712</v>
      </c>
      <c r="AF4" s="5" t="s">
        <v>713</v>
      </c>
      <c r="AG4" s="5" t="s">
        <v>714</v>
      </c>
      <c r="AH4" s="5" t="s">
        <v>715</v>
      </c>
      <c r="AI4" s="5" t="s">
        <v>180</v>
      </c>
      <c r="AJ4" s="5" t="s">
        <v>181</v>
      </c>
      <c r="AK4" s="5" t="s">
        <v>716</v>
      </c>
      <c r="AL4" s="5" t="s">
        <v>717</v>
      </c>
      <c r="AM4" s="5" t="s">
        <v>183</v>
      </c>
      <c r="AN4" s="5" t="s">
        <v>184</v>
      </c>
      <c r="AO4" s="5" t="s">
        <v>185</v>
      </c>
      <c r="AP4" s="5" t="s">
        <v>186</v>
      </c>
      <c r="AQ4" s="5" t="s">
        <v>187</v>
      </c>
      <c r="AR4" s="5" t="s">
        <v>188</v>
      </c>
      <c r="AS4" s="5" t="s">
        <v>189</v>
      </c>
      <c r="AT4" s="5" t="s">
        <v>718</v>
      </c>
      <c r="AU4" s="5" t="s">
        <v>191</v>
      </c>
      <c r="AV4" s="5" t="s">
        <v>719</v>
      </c>
      <c r="AW4" s="5" t="s">
        <v>720</v>
      </c>
    </row>
    <row r="5" spans="1:49" ht="109.5" customHeight="1" x14ac:dyDescent="0.5">
      <c r="A5" s="6" t="s">
        <v>721</v>
      </c>
      <c r="B5" s="6" t="s">
        <v>722</v>
      </c>
      <c r="C5" s="18" t="s">
        <v>723</v>
      </c>
      <c r="D5" s="6" t="s">
        <v>724</v>
      </c>
      <c r="E5" s="23" t="s">
        <v>198</v>
      </c>
      <c r="F5" s="6" t="s">
        <v>725</v>
      </c>
      <c r="G5" s="6" t="s">
        <v>726</v>
      </c>
      <c r="H5" s="23" t="s">
        <v>196</v>
      </c>
      <c r="I5" s="6" t="s">
        <v>358</v>
      </c>
      <c r="J5" s="24" t="s">
        <v>727</v>
      </c>
      <c r="K5" s="23">
        <v>4</v>
      </c>
      <c r="L5" s="6" t="s">
        <v>518</v>
      </c>
      <c r="M5" s="24" t="s">
        <v>728</v>
      </c>
      <c r="N5" s="23">
        <v>4</v>
      </c>
      <c r="O5" s="6" t="s">
        <v>194</v>
      </c>
      <c r="P5" s="6" t="s">
        <v>206</v>
      </c>
      <c r="Q5" s="23" t="s">
        <v>729</v>
      </c>
      <c r="R5" s="23" t="s">
        <v>197</v>
      </c>
      <c r="S5" s="6" t="s">
        <v>730</v>
      </c>
      <c r="T5" s="23" t="s">
        <v>731</v>
      </c>
      <c r="U5" s="25" t="s">
        <v>732</v>
      </c>
      <c r="V5" s="26" t="s">
        <v>733</v>
      </c>
      <c r="W5" s="23" t="s">
        <v>734</v>
      </c>
      <c r="X5" s="23">
        <v>200</v>
      </c>
      <c r="Y5" s="6" t="s">
        <v>735</v>
      </c>
      <c r="Z5" s="6" t="s">
        <v>736</v>
      </c>
      <c r="AA5" s="23" t="s">
        <v>737</v>
      </c>
      <c r="AB5" s="23" t="s">
        <v>738</v>
      </c>
      <c r="AC5" s="6" t="s">
        <v>739</v>
      </c>
      <c r="AD5" s="23" t="s">
        <v>740</v>
      </c>
      <c r="AE5" s="6" t="s">
        <v>741</v>
      </c>
      <c r="AF5" s="27" t="s">
        <v>742</v>
      </c>
      <c r="AG5" s="17" t="s">
        <v>743</v>
      </c>
      <c r="AH5" s="17" t="s">
        <v>744</v>
      </c>
      <c r="AI5" s="23">
        <v>200</v>
      </c>
      <c r="AJ5" s="28" t="s">
        <v>735</v>
      </c>
      <c r="AK5" s="28" t="s">
        <v>731</v>
      </c>
      <c r="AL5" s="28" t="s">
        <v>737</v>
      </c>
      <c r="AM5" s="28" t="s">
        <v>738</v>
      </c>
      <c r="AN5" s="28" t="s">
        <v>745</v>
      </c>
      <c r="AO5" s="28" t="s">
        <v>746</v>
      </c>
      <c r="AP5" s="29" t="s">
        <v>747</v>
      </c>
      <c r="AQ5" s="29" t="s">
        <v>748</v>
      </c>
      <c r="AR5" s="30">
        <v>46276</v>
      </c>
      <c r="AS5" s="28" t="s">
        <v>749</v>
      </c>
      <c r="AT5" s="31" t="str">
        <f t="shared" ref="AT5:AT24" si="0">IF(OR($AS5="PASS",$AS5="FAIL"),IF(AND(COUNTA($AP5,$AQ5,$AR5)=3,$AF5="DELIVERED",COUNTA($AG5,$AH5,$AV5)=3,$AW5="VALID"),"OK","INCOMPLETE — 需 Correlation／Tester／Date 齊備、Evidence=DELIVERED、JSON 路徑／Assertion ID／SHA 均有值，且 SHA 格式 VALID"),"—（未執行）")</f>
        <v>OK</v>
      </c>
      <c r="AU5" s="28" t="s">
        <v>145</v>
      </c>
      <c r="AV5" s="28" t="s">
        <v>750</v>
      </c>
      <c r="AW5" s="31" t="str">
        <f t="shared" ref="AW5:AW24" si="1">IF(AV5="","—",IF(AND(LEN(AV5)=64,LEN(SUBSTITUTE(SUBSTITUTE(SUBSTITUTE(SUBSTITUTE(SUBSTITUTE(SUBSTITUTE(SUBSTITUTE(SUBSTITUTE(SUBSTITUTE(SUBSTITUTE(SUBSTITUTE(SUBSTITUTE(SUBSTITUTE(SUBSTITUTE(SUBSTITUTE(SUBSTITUTE(UPPER(AV5),"0",""),"1",""),"2",""),"3",""),"4",""),"5",""),"6",""),"7",""),"8",""),"9",""),"A",""),"B",""),"C",""),"D",""),"E",""),"F",""))=0),"VALID","INVALID — 須為 64 字元十六進位 SHA-256"))</f>
        <v>VALID</v>
      </c>
    </row>
    <row r="6" spans="1:49" ht="109.5" customHeight="1" x14ac:dyDescent="0.5">
      <c r="A6" s="6" t="s">
        <v>751</v>
      </c>
      <c r="B6" s="6" t="s">
        <v>752</v>
      </c>
      <c r="C6" s="18" t="s">
        <v>723</v>
      </c>
      <c r="D6" s="6" t="s">
        <v>724</v>
      </c>
      <c r="E6" s="23" t="s">
        <v>198</v>
      </c>
      <c r="F6" s="6" t="s">
        <v>753</v>
      </c>
      <c r="G6" s="6" t="s">
        <v>754</v>
      </c>
      <c r="H6" s="23" t="s">
        <v>755</v>
      </c>
      <c r="I6" s="6" t="s">
        <v>471</v>
      </c>
      <c r="J6" s="24" t="s">
        <v>756</v>
      </c>
      <c r="K6" s="23">
        <v>9</v>
      </c>
      <c r="L6" s="6" t="s">
        <v>373</v>
      </c>
      <c r="M6" s="24" t="s">
        <v>757</v>
      </c>
      <c r="N6" s="23">
        <v>4</v>
      </c>
      <c r="O6" s="6" t="s">
        <v>265</v>
      </c>
      <c r="P6" s="6" t="s">
        <v>270</v>
      </c>
      <c r="Q6" s="23" t="s">
        <v>729</v>
      </c>
      <c r="R6" s="23" t="s">
        <v>197</v>
      </c>
      <c r="S6" s="6" t="s">
        <v>730</v>
      </c>
      <c r="T6" s="23" t="s">
        <v>731</v>
      </c>
      <c r="U6" s="25" t="s">
        <v>732</v>
      </c>
      <c r="V6" s="26" t="s">
        <v>733</v>
      </c>
      <c r="W6" s="23" t="s">
        <v>734</v>
      </c>
      <c r="X6" s="23">
        <v>422</v>
      </c>
      <c r="Y6" s="6" t="s">
        <v>758</v>
      </c>
      <c r="Z6" s="18" t="s">
        <v>759</v>
      </c>
      <c r="AA6" s="23" t="s">
        <v>737</v>
      </c>
      <c r="AB6" s="23" t="s">
        <v>738</v>
      </c>
      <c r="AC6" s="6" t="s">
        <v>760</v>
      </c>
      <c r="AD6" s="23" t="s">
        <v>761</v>
      </c>
      <c r="AE6" s="6" t="s">
        <v>762</v>
      </c>
      <c r="AF6" s="27" t="s">
        <v>742</v>
      </c>
      <c r="AG6" s="17" t="s">
        <v>763</v>
      </c>
      <c r="AH6" s="17" t="s">
        <v>764</v>
      </c>
      <c r="AI6" s="23">
        <v>422</v>
      </c>
      <c r="AJ6" s="28" t="s">
        <v>758</v>
      </c>
      <c r="AK6" s="28" t="s">
        <v>759</v>
      </c>
      <c r="AL6" s="28" t="s">
        <v>737</v>
      </c>
      <c r="AM6" s="28" t="s">
        <v>738</v>
      </c>
      <c r="AN6" s="28" t="s">
        <v>745</v>
      </c>
      <c r="AO6" s="28" t="s">
        <v>765</v>
      </c>
      <c r="AP6" s="29" t="s">
        <v>766</v>
      </c>
      <c r="AQ6" s="29" t="s">
        <v>748</v>
      </c>
      <c r="AR6" s="30">
        <v>46276</v>
      </c>
      <c r="AS6" s="28" t="s">
        <v>749</v>
      </c>
      <c r="AT6" s="31" t="str">
        <f t="shared" si="0"/>
        <v>OK</v>
      </c>
      <c r="AU6" s="28" t="s">
        <v>145</v>
      </c>
      <c r="AV6" s="28" t="s">
        <v>767</v>
      </c>
      <c r="AW6" s="31" t="str">
        <f t="shared" si="1"/>
        <v>VALID</v>
      </c>
    </row>
    <row r="7" spans="1:49" ht="109.5" customHeight="1" x14ac:dyDescent="0.5">
      <c r="A7" s="6" t="s">
        <v>768</v>
      </c>
      <c r="B7" s="6" t="s">
        <v>769</v>
      </c>
      <c r="C7" s="18" t="s">
        <v>723</v>
      </c>
      <c r="D7" s="6" t="s">
        <v>724</v>
      </c>
      <c r="E7" s="23" t="s">
        <v>198</v>
      </c>
      <c r="F7" s="6" t="s">
        <v>770</v>
      </c>
      <c r="G7" s="6" t="s">
        <v>771</v>
      </c>
      <c r="H7" s="23" t="s">
        <v>196</v>
      </c>
      <c r="I7" s="6" t="s">
        <v>358</v>
      </c>
      <c r="J7" s="24" t="s">
        <v>727</v>
      </c>
      <c r="K7" s="23">
        <v>4</v>
      </c>
      <c r="L7" s="6" t="s">
        <v>373</v>
      </c>
      <c r="M7" s="24" t="s">
        <v>757</v>
      </c>
      <c r="N7" s="23">
        <v>4</v>
      </c>
      <c r="O7" s="6" t="s">
        <v>772</v>
      </c>
      <c r="P7" s="6" t="s">
        <v>206</v>
      </c>
      <c r="Q7" s="23" t="s">
        <v>729</v>
      </c>
      <c r="R7" s="23" t="s">
        <v>197</v>
      </c>
      <c r="S7" s="6" t="s">
        <v>730</v>
      </c>
      <c r="T7" s="23" t="s">
        <v>731</v>
      </c>
      <c r="U7" s="25" t="s">
        <v>732</v>
      </c>
      <c r="V7" s="26" t="s">
        <v>733</v>
      </c>
      <c r="W7" s="23" t="s">
        <v>734</v>
      </c>
      <c r="X7" s="23">
        <v>422</v>
      </c>
      <c r="Y7" s="6" t="s">
        <v>758</v>
      </c>
      <c r="Z7" s="18" t="s">
        <v>773</v>
      </c>
      <c r="AA7" s="23" t="s">
        <v>737</v>
      </c>
      <c r="AB7" s="23" t="s">
        <v>738</v>
      </c>
      <c r="AC7" s="6" t="s">
        <v>774</v>
      </c>
      <c r="AD7" s="23" t="s">
        <v>761</v>
      </c>
      <c r="AE7" s="6" t="s">
        <v>775</v>
      </c>
      <c r="AF7" s="27" t="s">
        <v>742</v>
      </c>
      <c r="AG7" s="17" t="s">
        <v>776</v>
      </c>
      <c r="AH7" s="17" t="s">
        <v>777</v>
      </c>
      <c r="AI7" s="23">
        <v>422</v>
      </c>
      <c r="AJ7" s="28" t="s">
        <v>758</v>
      </c>
      <c r="AK7" s="28" t="s">
        <v>773</v>
      </c>
      <c r="AL7" s="28" t="s">
        <v>737</v>
      </c>
      <c r="AM7" s="28" t="s">
        <v>738</v>
      </c>
      <c r="AN7" s="28" t="s">
        <v>745</v>
      </c>
      <c r="AO7" s="28" t="s">
        <v>765</v>
      </c>
      <c r="AP7" s="29" t="s">
        <v>778</v>
      </c>
      <c r="AQ7" s="29" t="s">
        <v>748</v>
      </c>
      <c r="AR7" s="30">
        <v>46276</v>
      </c>
      <c r="AS7" s="28" t="s">
        <v>749</v>
      </c>
      <c r="AT7" s="31" t="str">
        <f t="shared" si="0"/>
        <v>OK</v>
      </c>
      <c r="AU7" s="28" t="s">
        <v>145</v>
      </c>
      <c r="AV7" s="28" t="s">
        <v>779</v>
      </c>
      <c r="AW7" s="31" t="str">
        <f t="shared" si="1"/>
        <v>VALID</v>
      </c>
    </row>
    <row r="8" spans="1:49" ht="109.5" customHeight="1" x14ac:dyDescent="0.5">
      <c r="A8" s="6" t="s">
        <v>780</v>
      </c>
      <c r="B8" s="6" t="s">
        <v>781</v>
      </c>
      <c r="C8" s="18" t="s">
        <v>723</v>
      </c>
      <c r="D8" s="6" t="s">
        <v>724</v>
      </c>
      <c r="E8" s="23" t="s">
        <v>198</v>
      </c>
      <c r="F8" s="6" t="s">
        <v>782</v>
      </c>
      <c r="G8" s="6" t="s">
        <v>726</v>
      </c>
      <c r="H8" s="23" t="s">
        <v>196</v>
      </c>
      <c r="I8" s="6" t="s">
        <v>358</v>
      </c>
      <c r="J8" s="24" t="s">
        <v>727</v>
      </c>
      <c r="K8" s="23">
        <v>4</v>
      </c>
      <c r="L8" s="6" t="s">
        <v>518</v>
      </c>
      <c r="M8" s="24" t="s">
        <v>728</v>
      </c>
      <c r="N8" s="23">
        <v>4</v>
      </c>
      <c r="O8" s="6" t="s">
        <v>194</v>
      </c>
      <c r="P8" s="6" t="s">
        <v>206</v>
      </c>
      <c r="Q8" s="23" t="s">
        <v>729</v>
      </c>
      <c r="R8" s="23" t="s">
        <v>197</v>
      </c>
      <c r="S8" s="6" t="s">
        <v>730</v>
      </c>
      <c r="T8" s="23" t="s">
        <v>731</v>
      </c>
      <c r="U8" s="25" t="s">
        <v>732</v>
      </c>
      <c r="V8" s="26" t="s">
        <v>733</v>
      </c>
      <c r="W8" s="23" t="s">
        <v>734</v>
      </c>
      <c r="X8" s="23">
        <v>200</v>
      </c>
      <c r="Y8" s="6" t="s">
        <v>735</v>
      </c>
      <c r="Z8" s="6" t="s">
        <v>731</v>
      </c>
      <c r="AA8" s="23" t="s">
        <v>737</v>
      </c>
      <c r="AB8" s="23" t="s">
        <v>738</v>
      </c>
      <c r="AC8" s="6" t="s">
        <v>783</v>
      </c>
      <c r="AD8" s="23" t="s">
        <v>761</v>
      </c>
      <c r="AE8" s="6" t="s">
        <v>784</v>
      </c>
      <c r="AF8" s="27" t="s">
        <v>742</v>
      </c>
      <c r="AG8" s="17" t="s">
        <v>785</v>
      </c>
      <c r="AH8" s="17" t="s">
        <v>786</v>
      </c>
      <c r="AI8" s="23">
        <v>200</v>
      </c>
      <c r="AJ8" s="28" t="s">
        <v>735</v>
      </c>
      <c r="AK8" s="28" t="s">
        <v>731</v>
      </c>
      <c r="AL8" s="28" t="s">
        <v>737</v>
      </c>
      <c r="AM8" s="28" t="s">
        <v>738</v>
      </c>
      <c r="AN8" s="28" t="s">
        <v>745</v>
      </c>
      <c r="AO8" s="28" t="s">
        <v>787</v>
      </c>
      <c r="AP8" s="29" t="s">
        <v>788</v>
      </c>
      <c r="AQ8" s="29" t="s">
        <v>748</v>
      </c>
      <c r="AR8" s="30">
        <v>46276</v>
      </c>
      <c r="AS8" s="28" t="s">
        <v>749</v>
      </c>
      <c r="AT8" s="31" t="str">
        <f t="shared" si="0"/>
        <v>OK</v>
      </c>
      <c r="AU8" s="28" t="s">
        <v>145</v>
      </c>
      <c r="AV8" s="28" t="s">
        <v>789</v>
      </c>
      <c r="AW8" s="31" t="str">
        <f t="shared" si="1"/>
        <v>VALID</v>
      </c>
    </row>
    <row r="9" spans="1:49" ht="109.5" customHeight="1" x14ac:dyDescent="0.5">
      <c r="A9" s="6" t="s">
        <v>790</v>
      </c>
      <c r="B9" s="6" t="s">
        <v>791</v>
      </c>
      <c r="C9" s="18" t="s">
        <v>723</v>
      </c>
      <c r="D9" s="6" t="s">
        <v>724</v>
      </c>
      <c r="E9" s="23" t="s">
        <v>198</v>
      </c>
      <c r="F9" s="6" t="s">
        <v>792</v>
      </c>
      <c r="G9" s="6" t="s">
        <v>793</v>
      </c>
      <c r="H9" s="23" t="s">
        <v>196</v>
      </c>
      <c r="I9" s="6" t="s">
        <v>358</v>
      </c>
      <c r="J9" s="24" t="s">
        <v>727</v>
      </c>
      <c r="K9" s="23">
        <v>4</v>
      </c>
      <c r="L9" s="6" t="s">
        <v>518</v>
      </c>
      <c r="M9" s="24" t="s">
        <v>728</v>
      </c>
      <c r="N9" s="23">
        <v>4</v>
      </c>
      <c r="O9" s="6" t="s">
        <v>793</v>
      </c>
      <c r="P9" s="6" t="s">
        <v>206</v>
      </c>
      <c r="Q9" s="23" t="s">
        <v>729</v>
      </c>
      <c r="R9" s="23" t="s">
        <v>197</v>
      </c>
      <c r="S9" s="6" t="s">
        <v>730</v>
      </c>
      <c r="T9" s="23" t="s">
        <v>731</v>
      </c>
      <c r="U9" s="25" t="s">
        <v>732</v>
      </c>
      <c r="V9" s="26" t="s">
        <v>733</v>
      </c>
      <c r="W9" s="23" t="s">
        <v>734</v>
      </c>
      <c r="X9" s="23" t="s">
        <v>794</v>
      </c>
      <c r="Y9" s="6" t="s">
        <v>794</v>
      </c>
      <c r="Z9" s="6" t="s">
        <v>731</v>
      </c>
      <c r="AA9" s="23" t="s">
        <v>737</v>
      </c>
      <c r="AB9" s="23" t="s">
        <v>738</v>
      </c>
      <c r="AC9" s="6" t="s">
        <v>795</v>
      </c>
      <c r="AD9" s="23" t="s">
        <v>796</v>
      </c>
      <c r="AE9" s="6" t="s">
        <v>797</v>
      </c>
      <c r="AF9" s="27" t="s">
        <v>742</v>
      </c>
      <c r="AG9" s="17" t="s">
        <v>798</v>
      </c>
      <c r="AH9" s="17" t="s">
        <v>799</v>
      </c>
      <c r="AI9" s="23" t="s">
        <v>794</v>
      </c>
      <c r="AJ9" s="28" t="s">
        <v>794</v>
      </c>
      <c r="AK9" s="28" t="s">
        <v>731</v>
      </c>
      <c r="AL9" s="28" t="s">
        <v>737</v>
      </c>
      <c r="AM9" s="28" t="s">
        <v>738</v>
      </c>
      <c r="AN9" s="28" t="s">
        <v>745</v>
      </c>
      <c r="AO9" s="28" t="s">
        <v>800</v>
      </c>
      <c r="AP9" s="29" t="s">
        <v>801</v>
      </c>
      <c r="AQ9" s="29" t="s">
        <v>802</v>
      </c>
      <c r="AR9" s="30">
        <v>46276</v>
      </c>
      <c r="AS9" s="28" t="s">
        <v>749</v>
      </c>
      <c r="AT9" s="31" t="str">
        <f t="shared" si="0"/>
        <v>OK</v>
      </c>
      <c r="AU9" s="28" t="s">
        <v>145</v>
      </c>
      <c r="AV9" s="28" t="s">
        <v>803</v>
      </c>
      <c r="AW9" s="31" t="str">
        <f t="shared" si="1"/>
        <v>VALID</v>
      </c>
    </row>
    <row r="10" spans="1:49" ht="109.5" customHeight="1" x14ac:dyDescent="0.5">
      <c r="A10" s="6" t="s">
        <v>804</v>
      </c>
      <c r="B10" s="6" t="s">
        <v>805</v>
      </c>
      <c r="C10" s="18" t="s">
        <v>723</v>
      </c>
      <c r="D10" s="6" t="s">
        <v>724</v>
      </c>
      <c r="E10" s="23" t="s">
        <v>198</v>
      </c>
      <c r="F10" s="6" t="s">
        <v>806</v>
      </c>
      <c r="G10" s="6" t="s">
        <v>194</v>
      </c>
      <c r="H10" s="23" t="s">
        <v>196</v>
      </c>
      <c r="I10" s="6" t="s">
        <v>731</v>
      </c>
      <c r="J10" s="24" t="s">
        <v>731</v>
      </c>
      <c r="K10" s="23" t="s">
        <v>731</v>
      </c>
      <c r="L10" s="6" t="s">
        <v>731</v>
      </c>
      <c r="M10" s="24" t="s">
        <v>731</v>
      </c>
      <c r="N10" s="23" t="s">
        <v>731</v>
      </c>
      <c r="O10" s="6" t="s">
        <v>807</v>
      </c>
      <c r="P10" s="6" t="s">
        <v>206</v>
      </c>
      <c r="Q10" s="23" t="s">
        <v>729</v>
      </c>
      <c r="R10" s="23" t="s">
        <v>197</v>
      </c>
      <c r="S10" s="6" t="s">
        <v>202</v>
      </c>
      <c r="T10" s="23">
        <v>44</v>
      </c>
      <c r="U10" s="32" t="s">
        <v>808</v>
      </c>
      <c r="V10" s="28" t="s">
        <v>809</v>
      </c>
      <c r="W10" s="23" t="s">
        <v>735</v>
      </c>
      <c r="X10" s="23">
        <v>200</v>
      </c>
      <c r="Y10" s="6" t="s">
        <v>201</v>
      </c>
      <c r="Z10" s="6" t="s">
        <v>731</v>
      </c>
      <c r="AA10" s="23" t="s">
        <v>810</v>
      </c>
      <c r="AB10" s="23" t="s">
        <v>811</v>
      </c>
      <c r="AC10" s="6" t="s">
        <v>812</v>
      </c>
      <c r="AD10" s="23" t="s">
        <v>731</v>
      </c>
      <c r="AE10" s="6" t="s">
        <v>813</v>
      </c>
      <c r="AF10" s="27" t="s">
        <v>742</v>
      </c>
      <c r="AG10" s="17" t="s">
        <v>814</v>
      </c>
      <c r="AH10" s="17" t="s">
        <v>815</v>
      </c>
      <c r="AI10" s="23">
        <v>200</v>
      </c>
      <c r="AJ10" s="28" t="s">
        <v>201</v>
      </c>
      <c r="AK10" s="28" t="s">
        <v>731</v>
      </c>
      <c r="AL10" s="28" t="s">
        <v>816</v>
      </c>
      <c r="AM10" s="28" t="s">
        <v>738</v>
      </c>
      <c r="AN10" s="28" t="s">
        <v>745</v>
      </c>
      <c r="AO10" s="28" t="s">
        <v>817</v>
      </c>
      <c r="AP10" s="29" t="s">
        <v>818</v>
      </c>
      <c r="AQ10" s="29" t="s">
        <v>748</v>
      </c>
      <c r="AR10" s="30">
        <v>46276</v>
      </c>
      <c r="AS10" s="28" t="s">
        <v>749</v>
      </c>
      <c r="AT10" s="31" t="str">
        <f t="shared" si="0"/>
        <v>OK</v>
      </c>
      <c r="AU10" s="28" t="s">
        <v>145</v>
      </c>
      <c r="AV10" s="28" t="s">
        <v>819</v>
      </c>
      <c r="AW10" s="31" t="str">
        <f t="shared" si="1"/>
        <v>VALID</v>
      </c>
    </row>
    <row r="11" spans="1:49" ht="109.5" customHeight="1" x14ac:dyDescent="0.5">
      <c r="A11" s="6" t="s">
        <v>820</v>
      </c>
      <c r="B11" s="6" t="s">
        <v>821</v>
      </c>
      <c r="C11" s="18" t="s">
        <v>723</v>
      </c>
      <c r="D11" s="6" t="s">
        <v>724</v>
      </c>
      <c r="E11" s="23" t="s">
        <v>198</v>
      </c>
      <c r="F11" s="6" t="s">
        <v>806</v>
      </c>
      <c r="G11" s="6" t="s">
        <v>285</v>
      </c>
      <c r="H11" s="23" t="s">
        <v>196</v>
      </c>
      <c r="I11" s="6" t="s">
        <v>731</v>
      </c>
      <c r="J11" s="24" t="s">
        <v>731</v>
      </c>
      <c r="K11" s="23" t="s">
        <v>731</v>
      </c>
      <c r="L11" s="6" t="s">
        <v>731</v>
      </c>
      <c r="M11" s="24" t="s">
        <v>731</v>
      </c>
      <c r="N11" s="23" t="s">
        <v>731</v>
      </c>
      <c r="O11" s="6" t="s">
        <v>807</v>
      </c>
      <c r="P11" s="6" t="s">
        <v>206</v>
      </c>
      <c r="Q11" s="23" t="s">
        <v>729</v>
      </c>
      <c r="R11" s="23" t="s">
        <v>197</v>
      </c>
      <c r="S11" s="6" t="s">
        <v>295</v>
      </c>
      <c r="T11" s="23">
        <v>39</v>
      </c>
      <c r="U11" s="33" t="s">
        <v>822</v>
      </c>
      <c r="V11" s="28" t="s">
        <v>809</v>
      </c>
      <c r="W11" s="23" t="s">
        <v>735</v>
      </c>
      <c r="X11" s="23">
        <v>200</v>
      </c>
      <c r="Y11" s="6" t="s">
        <v>201</v>
      </c>
      <c r="Z11" s="6" t="s">
        <v>731</v>
      </c>
      <c r="AA11" s="23" t="s">
        <v>810</v>
      </c>
      <c r="AB11" s="23" t="s">
        <v>811</v>
      </c>
      <c r="AC11" s="6" t="s">
        <v>823</v>
      </c>
      <c r="AD11" s="23" t="s">
        <v>731</v>
      </c>
      <c r="AE11" s="6" t="s">
        <v>813</v>
      </c>
      <c r="AF11" s="27" t="s">
        <v>742</v>
      </c>
      <c r="AG11" s="17" t="s">
        <v>824</v>
      </c>
      <c r="AH11" s="17" t="s">
        <v>825</v>
      </c>
      <c r="AI11" s="23">
        <v>200</v>
      </c>
      <c r="AJ11" s="28" t="s">
        <v>201</v>
      </c>
      <c r="AK11" s="28" t="s">
        <v>731</v>
      </c>
      <c r="AL11" s="28" t="s">
        <v>826</v>
      </c>
      <c r="AM11" s="28" t="s">
        <v>738</v>
      </c>
      <c r="AN11" s="28" t="s">
        <v>745</v>
      </c>
      <c r="AO11" s="28" t="s">
        <v>827</v>
      </c>
      <c r="AP11" s="29" t="s">
        <v>828</v>
      </c>
      <c r="AQ11" s="29" t="s">
        <v>748</v>
      </c>
      <c r="AR11" s="30">
        <v>46276</v>
      </c>
      <c r="AS11" s="28" t="s">
        <v>749</v>
      </c>
      <c r="AT11" s="31" t="str">
        <f t="shared" si="0"/>
        <v>OK</v>
      </c>
      <c r="AU11" s="28" t="s">
        <v>829</v>
      </c>
      <c r="AV11" s="28" t="s">
        <v>830</v>
      </c>
      <c r="AW11" s="31" t="str">
        <f t="shared" si="1"/>
        <v>VALID</v>
      </c>
    </row>
    <row r="12" spans="1:49" ht="109.5" customHeight="1" x14ac:dyDescent="0.5">
      <c r="A12" s="6" t="s">
        <v>831</v>
      </c>
      <c r="B12" s="6" t="s">
        <v>832</v>
      </c>
      <c r="C12" s="18" t="s">
        <v>723</v>
      </c>
      <c r="D12" s="6" t="s">
        <v>724</v>
      </c>
      <c r="E12" s="23" t="s">
        <v>198</v>
      </c>
      <c r="F12" s="6" t="s">
        <v>833</v>
      </c>
      <c r="G12" s="6" t="s">
        <v>218</v>
      </c>
      <c r="H12" s="23" t="s">
        <v>196</v>
      </c>
      <c r="I12" s="6" t="s">
        <v>731</v>
      </c>
      <c r="J12" s="24" t="s">
        <v>731</v>
      </c>
      <c r="K12" s="23" t="s">
        <v>731</v>
      </c>
      <c r="L12" s="6" t="s">
        <v>731</v>
      </c>
      <c r="M12" s="24" t="s">
        <v>731</v>
      </c>
      <c r="N12" s="23" t="s">
        <v>731</v>
      </c>
      <c r="O12" s="6" t="s">
        <v>807</v>
      </c>
      <c r="P12" s="6" t="s">
        <v>206</v>
      </c>
      <c r="Q12" s="23" t="s">
        <v>729</v>
      </c>
      <c r="R12" s="23" t="s">
        <v>197</v>
      </c>
      <c r="S12" s="6" t="s">
        <v>229</v>
      </c>
      <c r="T12" s="23">
        <v>19</v>
      </c>
      <c r="U12" s="33" t="s">
        <v>822</v>
      </c>
      <c r="V12" s="28" t="s">
        <v>809</v>
      </c>
      <c r="W12" s="23" t="s">
        <v>735</v>
      </c>
      <c r="X12" s="23">
        <v>200</v>
      </c>
      <c r="Y12" s="6" t="s">
        <v>201</v>
      </c>
      <c r="Z12" s="6" t="s">
        <v>731</v>
      </c>
      <c r="AA12" s="23" t="s">
        <v>810</v>
      </c>
      <c r="AB12" s="23" t="s">
        <v>811</v>
      </c>
      <c r="AC12" s="6" t="s">
        <v>834</v>
      </c>
      <c r="AD12" s="23" t="s">
        <v>835</v>
      </c>
      <c r="AE12" s="6" t="s">
        <v>836</v>
      </c>
      <c r="AF12" s="27" t="s">
        <v>742</v>
      </c>
      <c r="AG12" s="17" t="s">
        <v>837</v>
      </c>
      <c r="AH12" s="17" t="s">
        <v>838</v>
      </c>
      <c r="AI12" s="23">
        <v>200</v>
      </c>
      <c r="AJ12" s="28" t="s">
        <v>201</v>
      </c>
      <c r="AK12" s="28" t="s">
        <v>731</v>
      </c>
      <c r="AL12" s="28" t="s">
        <v>839</v>
      </c>
      <c r="AM12" s="28" t="s">
        <v>738</v>
      </c>
      <c r="AN12" s="28" t="s">
        <v>745</v>
      </c>
      <c r="AO12" s="28" t="s">
        <v>840</v>
      </c>
      <c r="AP12" s="29" t="s">
        <v>841</v>
      </c>
      <c r="AQ12" s="29" t="s">
        <v>748</v>
      </c>
      <c r="AR12" s="30">
        <v>46276</v>
      </c>
      <c r="AS12" s="28" t="s">
        <v>749</v>
      </c>
      <c r="AT12" s="31" t="str">
        <f t="shared" si="0"/>
        <v>OK</v>
      </c>
      <c r="AU12" s="28" t="s">
        <v>145</v>
      </c>
      <c r="AV12" s="28" t="s">
        <v>842</v>
      </c>
      <c r="AW12" s="31" t="str">
        <f t="shared" si="1"/>
        <v>VALID</v>
      </c>
    </row>
    <row r="13" spans="1:49" ht="109.5" customHeight="1" x14ac:dyDescent="0.5">
      <c r="A13" s="6" t="s">
        <v>843</v>
      </c>
      <c r="B13" s="6" t="s">
        <v>832</v>
      </c>
      <c r="C13" s="18" t="s">
        <v>723</v>
      </c>
      <c r="D13" s="6" t="s">
        <v>724</v>
      </c>
      <c r="E13" s="23" t="s">
        <v>198</v>
      </c>
      <c r="F13" s="6" t="s">
        <v>833</v>
      </c>
      <c r="G13" s="6" t="s">
        <v>310</v>
      </c>
      <c r="H13" s="23" t="s">
        <v>312</v>
      </c>
      <c r="I13" s="6" t="s">
        <v>731</v>
      </c>
      <c r="J13" s="24" t="s">
        <v>731</v>
      </c>
      <c r="K13" s="23" t="s">
        <v>731</v>
      </c>
      <c r="L13" s="6" t="s">
        <v>731</v>
      </c>
      <c r="M13" s="24" t="s">
        <v>731</v>
      </c>
      <c r="N13" s="23" t="s">
        <v>731</v>
      </c>
      <c r="O13" s="6" t="s">
        <v>844</v>
      </c>
      <c r="P13" s="6" t="s">
        <v>845</v>
      </c>
      <c r="Q13" s="23" t="s">
        <v>729</v>
      </c>
      <c r="R13" s="23" t="s">
        <v>197</v>
      </c>
      <c r="S13" s="6" t="s">
        <v>313</v>
      </c>
      <c r="T13" s="23">
        <v>44</v>
      </c>
      <c r="U13" s="33" t="s">
        <v>822</v>
      </c>
      <c r="V13" s="28" t="s">
        <v>809</v>
      </c>
      <c r="W13" s="23" t="s">
        <v>735</v>
      </c>
      <c r="X13" s="23">
        <v>200</v>
      </c>
      <c r="Y13" s="6" t="s">
        <v>201</v>
      </c>
      <c r="Z13" s="6" t="s">
        <v>731</v>
      </c>
      <c r="AA13" s="23" t="s">
        <v>810</v>
      </c>
      <c r="AB13" s="23" t="s">
        <v>811</v>
      </c>
      <c r="AC13" s="6" t="s">
        <v>846</v>
      </c>
      <c r="AD13" s="23" t="s">
        <v>835</v>
      </c>
      <c r="AE13" s="6" t="s">
        <v>836</v>
      </c>
      <c r="AF13" s="27" t="s">
        <v>742</v>
      </c>
      <c r="AG13" s="17" t="s">
        <v>847</v>
      </c>
      <c r="AH13" s="17" t="s">
        <v>848</v>
      </c>
      <c r="AI13" s="23">
        <v>200</v>
      </c>
      <c r="AJ13" s="28" t="s">
        <v>201</v>
      </c>
      <c r="AK13" s="28" t="s">
        <v>731</v>
      </c>
      <c r="AL13" s="28" t="s">
        <v>849</v>
      </c>
      <c r="AM13" s="28" t="s">
        <v>738</v>
      </c>
      <c r="AN13" s="28" t="s">
        <v>745</v>
      </c>
      <c r="AO13" s="28" t="s">
        <v>850</v>
      </c>
      <c r="AP13" s="29" t="s">
        <v>851</v>
      </c>
      <c r="AQ13" s="29" t="s">
        <v>748</v>
      </c>
      <c r="AR13" s="30">
        <v>46276</v>
      </c>
      <c r="AS13" s="28" t="s">
        <v>749</v>
      </c>
      <c r="AT13" s="31" t="str">
        <f t="shared" si="0"/>
        <v>OK</v>
      </c>
      <c r="AU13" s="28" t="s">
        <v>145</v>
      </c>
      <c r="AV13" s="28" t="s">
        <v>852</v>
      </c>
      <c r="AW13" s="31" t="str">
        <f t="shared" si="1"/>
        <v>VALID</v>
      </c>
    </row>
    <row r="14" spans="1:49" ht="109.5" customHeight="1" x14ac:dyDescent="0.5">
      <c r="A14" s="6" t="s">
        <v>853</v>
      </c>
      <c r="B14" s="6" t="s">
        <v>832</v>
      </c>
      <c r="C14" s="18" t="s">
        <v>723</v>
      </c>
      <c r="D14" s="6" t="s">
        <v>724</v>
      </c>
      <c r="E14" s="23" t="s">
        <v>198</v>
      </c>
      <c r="F14" s="6" t="s">
        <v>833</v>
      </c>
      <c r="G14" s="6" t="s">
        <v>275</v>
      </c>
      <c r="H14" s="23" t="s">
        <v>277</v>
      </c>
      <c r="I14" s="6" t="s">
        <v>731</v>
      </c>
      <c r="J14" s="24" t="s">
        <v>731</v>
      </c>
      <c r="K14" s="23" t="s">
        <v>731</v>
      </c>
      <c r="L14" s="6" t="s">
        <v>731</v>
      </c>
      <c r="M14" s="24" t="s">
        <v>731</v>
      </c>
      <c r="N14" s="23" t="s">
        <v>731</v>
      </c>
      <c r="O14" s="6" t="s">
        <v>854</v>
      </c>
      <c r="P14" s="6" t="s">
        <v>855</v>
      </c>
      <c r="Q14" s="23" t="s">
        <v>729</v>
      </c>
      <c r="R14" s="23" t="s">
        <v>197</v>
      </c>
      <c r="S14" s="6" t="s">
        <v>278</v>
      </c>
      <c r="T14" s="23">
        <v>39</v>
      </c>
      <c r="U14" s="33" t="s">
        <v>822</v>
      </c>
      <c r="V14" s="28" t="s">
        <v>809</v>
      </c>
      <c r="W14" s="23" t="s">
        <v>735</v>
      </c>
      <c r="X14" s="23">
        <v>200</v>
      </c>
      <c r="Y14" s="6" t="s">
        <v>201</v>
      </c>
      <c r="Z14" s="6" t="s">
        <v>731</v>
      </c>
      <c r="AA14" s="23" t="s">
        <v>810</v>
      </c>
      <c r="AB14" s="23" t="s">
        <v>811</v>
      </c>
      <c r="AC14" s="6" t="s">
        <v>856</v>
      </c>
      <c r="AD14" s="23" t="s">
        <v>835</v>
      </c>
      <c r="AE14" s="6" t="s">
        <v>836</v>
      </c>
      <c r="AF14" s="27" t="s">
        <v>742</v>
      </c>
      <c r="AG14" s="17" t="s">
        <v>857</v>
      </c>
      <c r="AH14" s="17" t="s">
        <v>858</v>
      </c>
      <c r="AI14" s="23">
        <v>200</v>
      </c>
      <c r="AJ14" s="28" t="s">
        <v>201</v>
      </c>
      <c r="AK14" s="28" t="s">
        <v>731</v>
      </c>
      <c r="AL14" s="28" t="s">
        <v>859</v>
      </c>
      <c r="AM14" s="28" t="s">
        <v>738</v>
      </c>
      <c r="AN14" s="28" t="s">
        <v>745</v>
      </c>
      <c r="AO14" s="28" t="s">
        <v>860</v>
      </c>
      <c r="AP14" s="29" t="s">
        <v>861</v>
      </c>
      <c r="AQ14" s="29" t="s">
        <v>748</v>
      </c>
      <c r="AR14" s="30">
        <v>46276</v>
      </c>
      <c r="AS14" s="28" t="s">
        <v>749</v>
      </c>
      <c r="AT14" s="31" t="str">
        <f t="shared" si="0"/>
        <v>OK</v>
      </c>
      <c r="AU14" s="28" t="s">
        <v>145</v>
      </c>
      <c r="AV14" s="28" t="s">
        <v>862</v>
      </c>
      <c r="AW14" s="31" t="str">
        <f t="shared" si="1"/>
        <v>VALID</v>
      </c>
    </row>
    <row r="15" spans="1:49" ht="109.5" customHeight="1" x14ac:dyDescent="0.5">
      <c r="A15" s="6" t="s">
        <v>863</v>
      </c>
      <c r="B15" s="6" t="s">
        <v>832</v>
      </c>
      <c r="C15" s="18" t="s">
        <v>723</v>
      </c>
      <c r="D15" s="6" t="s">
        <v>724</v>
      </c>
      <c r="E15" s="23" t="s">
        <v>198</v>
      </c>
      <c r="F15" s="6" t="s">
        <v>833</v>
      </c>
      <c r="G15" s="6" t="s">
        <v>285</v>
      </c>
      <c r="H15" s="23" t="s">
        <v>287</v>
      </c>
      <c r="I15" s="6" t="s">
        <v>731</v>
      </c>
      <c r="J15" s="24" t="s">
        <v>731</v>
      </c>
      <c r="K15" s="23" t="s">
        <v>731</v>
      </c>
      <c r="L15" s="6" t="s">
        <v>731</v>
      </c>
      <c r="M15" s="24" t="s">
        <v>731</v>
      </c>
      <c r="N15" s="23" t="s">
        <v>731</v>
      </c>
      <c r="O15" s="6" t="s">
        <v>864</v>
      </c>
      <c r="P15" s="6" t="s">
        <v>865</v>
      </c>
      <c r="Q15" s="23" t="s">
        <v>729</v>
      </c>
      <c r="R15" s="23" t="s">
        <v>197</v>
      </c>
      <c r="S15" s="6" t="s">
        <v>288</v>
      </c>
      <c r="T15" s="23">
        <v>39</v>
      </c>
      <c r="U15" s="33" t="s">
        <v>822</v>
      </c>
      <c r="V15" s="28" t="s">
        <v>809</v>
      </c>
      <c r="W15" s="23" t="s">
        <v>735</v>
      </c>
      <c r="X15" s="23">
        <v>200</v>
      </c>
      <c r="Y15" s="6" t="s">
        <v>201</v>
      </c>
      <c r="Z15" s="6" t="s">
        <v>731</v>
      </c>
      <c r="AA15" s="23" t="s">
        <v>810</v>
      </c>
      <c r="AB15" s="23" t="s">
        <v>811</v>
      </c>
      <c r="AC15" s="6" t="s">
        <v>866</v>
      </c>
      <c r="AD15" s="23" t="s">
        <v>835</v>
      </c>
      <c r="AE15" s="6" t="s">
        <v>836</v>
      </c>
      <c r="AF15" s="27" t="s">
        <v>742</v>
      </c>
      <c r="AG15" s="17" t="s">
        <v>867</v>
      </c>
      <c r="AH15" s="17" t="s">
        <v>868</v>
      </c>
      <c r="AI15" s="23">
        <v>200</v>
      </c>
      <c r="AJ15" s="28" t="s">
        <v>201</v>
      </c>
      <c r="AK15" s="28" t="s">
        <v>731</v>
      </c>
      <c r="AL15" s="28" t="s">
        <v>869</v>
      </c>
      <c r="AM15" s="28" t="s">
        <v>738</v>
      </c>
      <c r="AN15" s="28" t="s">
        <v>745</v>
      </c>
      <c r="AO15" s="28" t="s">
        <v>870</v>
      </c>
      <c r="AP15" s="29" t="s">
        <v>871</v>
      </c>
      <c r="AQ15" s="29" t="s">
        <v>748</v>
      </c>
      <c r="AR15" s="30">
        <v>46276</v>
      </c>
      <c r="AS15" s="28" t="s">
        <v>749</v>
      </c>
      <c r="AT15" s="31" t="str">
        <f t="shared" si="0"/>
        <v>OK</v>
      </c>
      <c r="AU15" s="28" t="s">
        <v>145</v>
      </c>
      <c r="AV15" s="28" t="s">
        <v>872</v>
      </c>
      <c r="AW15" s="31" t="str">
        <f t="shared" si="1"/>
        <v>VALID</v>
      </c>
    </row>
    <row r="16" spans="1:49" ht="109.5" customHeight="1" x14ac:dyDescent="0.5">
      <c r="A16" s="6" t="s">
        <v>873</v>
      </c>
      <c r="B16" s="6" t="s">
        <v>832</v>
      </c>
      <c r="C16" s="18" t="s">
        <v>723</v>
      </c>
      <c r="D16" s="6" t="s">
        <v>724</v>
      </c>
      <c r="E16" s="23" t="s">
        <v>198</v>
      </c>
      <c r="F16" s="6" t="s">
        <v>833</v>
      </c>
      <c r="G16" s="6" t="s">
        <v>285</v>
      </c>
      <c r="H16" s="23" t="s">
        <v>196</v>
      </c>
      <c r="I16" s="6" t="s">
        <v>731</v>
      </c>
      <c r="J16" s="24" t="s">
        <v>731</v>
      </c>
      <c r="K16" s="23" t="s">
        <v>731</v>
      </c>
      <c r="L16" s="6" t="s">
        <v>731</v>
      </c>
      <c r="M16" s="24" t="s">
        <v>731</v>
      </c>
      <c r="N16" s="23" t="s">
        <v>731</v>
      </c>
      <c r="O16" s="6" t="s">
        <v>807</v>
      </c>
      <c r="P16" s="6" t="s">
        <v>206</v>
      </c>
      <c r="Q16" s="23" t="s">
        <v>729</v>
      </c>
      <c r="R16" s="23" t="s">
        <v>197</v>
      </c>
      <c r="S16" s="6" t="s">
        <v>295</v>
      </c>
      <c r="T16" s="23">
        <v>39</v>
      </c>
      <c r="U16" s="33" t="s">
        <v>822</v>
      </c>
      <c r="V16" s="28" t="s">
        <v>809</v>
      </c>
      <c r="W16" s="23" t="s">
        <v>735</v>
      </c>
      <c r="X16" s="23">
        <v>200</v>
      </c>
      <c r="Y16" s="6" t="s">
        <v>201</v>
      </c>
      <c r="Z16" s="6" t="s">
        <v>731</v>
      </c>
      <c r="AA16" s="23" t="s">
        <v>810</v>
      </c>
      <c r="AB16" s="23" t="s">
        <v>811</v>
      </c>
      <c r="AC16" s="6" t="s">
        <v>834</v>
      </c>
      <c r="AD16" s="23" t="s">
        <v>835</v>
      </c>
      <c r="AE16" s="6" t="s">
        <v>836</v>
      </c>
      <c r="AF16" s="27" t="s">
        <v>742</v>
      </c>
      <c r="AG16" s="17" t="s">
        <v>874</v>
      </c>
      <c r="AH16" s="17" t="s">
        <v>875</v>
      </c>
      <c r="AI16" s="23">
        <v>200</v>
      </c>
      <c r="AJ16" s="28" t="s">
        <v>201</v>
      </c>
      <c r="AK16" s="28" t="s">
        <v>731</v>
      </c>
      <c r="AL16" s="28" t="s">
        <v>826</v>
      </c>
      <c r="AM16" s="28" t="s">
        <v>738</v>
      </c>
      <c r="AN16" s="28" t="s">
        <v>745</v>
      </c>
      <c r="AO16" s="28" t="s">
        <v>876</v>
      </c>
      <c r="AP16" s="29" t="s">
        <v>877</v>
      </c>
      <c r="AQ16" s="29" t="s">
        <v>748</v>
      </c>
      <c r="AR16" s="30">
        <v>46276</v>
      </c>
      <c r="AS16" s="28" t="s">
        <v>749</v>
      </c>
      <c r="AT16" s="31" t="str">
        <f t="shared" si="0"/>
        <v>OK</v>
      </c>
      <c r="AU16" s="28" t="s">
        <v>145</v>
      </c>
      <c r="AV16" s="28" t="s">
        <v>878</v>
      </c>
      <c r="AW16" s="31" t="str">
        <f t="shared" si="1"/>
        <v>VALID</v>
      </c>
    </row>
    <row r="17" spans="1:49" ht="109.5" customHeight="1" x14ac:dyDescent="0.5">
      <c r="A17" s="6" t="s">
        <v>879</v>
      </c>
      <c r="B17" s="6" t="s">
        <v>832</v>
      </c>
      <c r="C17" s="18" t="s">
        <v>723</v>
      </c>
      <c r="D17" s="6" t="s">
        <v>724</v>
      </c>
      <c r="E17" s="23" t="s">
        <v>198</v>
      </c>
      <c r="F17" s="6" t="s">
        <v>833</v>
      </c>
      <c r="G17" s="6" t="s">
        <v>300</v>
      </c>
      <c r="H17" s="23" t="s">
        <v>302</v>
      </c>
      <c r="I17" s="6" t="s">
        <v>731</v>
      </c>
      <c r="J17" s="24" t="s">
        <v>731</v>
      </c>
      <c r="K17" s="23" t="s">
        <v>731</v>
      </c>
      <c r="L17" s="6" t="s">
        <v>731</v>
      </c>
      <c r="M17" s="24" t="s">
        <v>731</v>
      </c>
      <c r="N17" s="23" t="s">
        <v>731</v>
      </c>
      <c r="O17" s="6" t="s">
        <v>880</v>
      </c>
      <c r="P17" s="6" t="s">
        <v>881</v>
      </c>
      <c r="Q17" s="23" t="s">
        <v>729</v>
      </c>
      <c r="R17" s="23" t="s">
        <v>197</v>
      </c>
      <c r="S17" s="6" t="s">
        <v>303</v>
      </c>
      <c r="T17" s="23">
        <v>39</v>
      </c>
      <c r="U17" s="33" t="s">
        <v>822</v>
      </c>
      <c r="V17" s="28" t="s">
        <v>809</v>
      </c>
      <c r="W17" s="23" t="s">
        <v>735</v>
      </c>
      <c r="X17" s="23">
        <v>200</v>
      </c>
      <c r="Y17" s="6" t="s">
        <v>201</v>
      </c>
      <c r="Z17" s="6" t="s">
        <v>731</v>
      </c>
      <c r="AA17" s="23" t="s">
        <v>810</v>
      </c>
      <c r="AB17" s="23" t="s">
        <v>811</v>
      </c>
      <c r="AC17" s="6" t="s">
        <v>882</v>
      </c>
      <c r="AD17" s="23" t="s">
        <v>835</v>
      </c>
      <c r="AE17" s="6" t="s">
        <v>836</v>
      </c>
      <c r="AF17" s="27" t="s">
        <v>742</v>
      </c>
      <c r="AG17" s="17" t="s">
        <v>883</v>
      </c>
      <c r="AH17" s="17" t="s">
        <v>884</v>
      </c>
      <c r="AI17" s="23">
        <v>200</v>
      </c>
      <c r="AJ17" s="28" t="s">
        <v>201</v>
      </c>
      <c r="AK17" s="28" t="s">
        <v>731</v>
      </c>
      <c r="AL17" s="28" t="s">
        <v>885</v>
      </c>
      <c r="AM17" s="28" t="s">
        <v>738</v>
      </c>
      <c r="AN17" s="28" t="s">
        <v>745</v>
      </c>
      <c r="AO17" s="28" t="s">
        <v>886</v>
      </c>
      <c r="AP17" s="29" t="s">
        <v>887</v>
      </c>
      <c r="AQ17" s="29" t="s">
        <v>748</v>
      </c>
      <c r="AR17" s="30">
        <v>46276</v>
      </c>
      <c r="AS17" s="28" t="s">
        <v>749</v>
      </c>
      <c r="AT17" s="31" t="str">
        <f t="shared" si="0"/>
        <v>OK</v>
      </c>
      <c r="AU17" s="28" t="s">
        <v>145</v>
      </c>
      <c r="AV17" s="28" t="s">
        <v>888</v>
      </c>
      <c r="AW17" s="31" t="str">
        <f t="shared" si="1"/>
        <v>VALID</v>
      </c>
    </row>
    <row r="18" spans="1:49" ht="109.5" customHeight="1" x14ac:dyDescent="0.5">
      <c r="A18" s="6" t="s">
        <v>889</v>
      </c>
      <c r="B18" s="6" t="s">
        <v>890</v>
      </c>
      <c r="C18" s="18" t="s">
        <v>723</v>
      </c>
      <c r="D18" s="6" t="s">
        <v>724</v>
      </c>
      <c r="E18" s="23" t="s">
        <v>198</v>
      </c>
      <c r="F18" s="6" t="s">
        <v>891</v>
      </c>
      <c r="G18" s="6" t="s">
        <v>194</v>
      </c>
      <c r="H18" s="23" t="s">
        <v>196</v>
      </c>
      <c r="I18" s="6" t="s">
        <v>731</v>
      </c>
      <c r="J18" s="24" t="s">
        <v>731</v>
      </c>
      <c r="K18" s="23" t="s">
        <v>731</v>
      </c>
      <c r="L18" s="6" t="s">
        <v>731</v>
      </c>
      <c r="M18" s="24" t="s">
        <v>731</v>
      </c>
      <c r="N18" s="23" t="s">
        <v>731</v>
      </c>
      <c r="O18" s="6" t="s">
        <v>807</v>
      </c>
      <c r="P18" s="6" t="s">
        <v>206</v>
      </c>
      <c r="Q18" s="23" t="s">
        <v>729</v>
      </c>
      <c r="R18" s="23" t="s">
        <v>197</v>
      </c>
      <c r="S18" s="6" t="s">
        <v>202</v>
      </c>
      <c r="T18" s="23">
        <v>44</v>
      </c>
      <c r="U18" s="32" t="s">
        <v>808</v>
      </c>
      <c r="V18" s="28" t="s">
        <v>809</v>
      </c>
      <c r="W18" s="23" t="s">
        <v>735</v>
      </c>
      <c r="X18" s="23">
        <v>200</v>
      </c>
      <c r="Y18" s="6" t="s">
        <v>201</v>
      </c>
      <c r="Z18" s="6" t="s">
        <v>731</v>
      </c>
      <c r="AA18" s="23" t="s">
        <v>810</v>
      </c>
      <c r="AB18" s="23" t="s">
        <v>811</v>
      </c>
      <c r="AC18" s="6" t="s">
        <v>892</v>
      </c>
      <c r="AD18" s="23" t="s">
        <v>731</v>
      </c>
      <c r="AE18" s="6" t="s">
        <v>893</v>
      </c>
      <c r="AF18" s="27" t="s">
        <v>742</v>
      </c>
      <c r="AG18" s="17" t="s">
        <v>894</v>
      </c>
      <c r="AH18" s="17" t="s">
        <v>895</v>
      </c>
      <c r="AI18" s="23">
        <v>200</v>
      </c>
      <c r="AJ18" s="28" t="s">
        <v>201</v>
      </c>
      <c r="AK18" s="28" t="s">
        <v>731</v>
      </c>
      <c r="AL18" s="28" t="s">
        <v>816</v>
      </c>
      <c r="AM18" s="28" t="s">
        <v>738</v>
      </c>
      <c r="AN18" s="28" t="s">
        <v>745</v>
      </c>
      <c r="AO18" s="28" t="s">
        <v>896</v>
      </c>
      <c r="AP18" s="29" t="s">
        <v>897</v>
      </c>
      <c r="AQ18" s="29" t="s">
        <v>748</v>
      </c>
      <c r="AR18" s="30">
        <v>46276</v>
      </c>
      <c r="AS18" s="28" t="s">
        <v>749</v>
      </c>
      <c r="AT18" s="31" t="str">
        <f t="shared" si="0"/>
        <v>OK</v>
      </c>
      <c r="AU18" s="28" t="s">
        <v>145</v>
      </c>
      <c r="AV18" s="28" t="s">
        <v>898</v>
      </c>
      <c r="AW18" s="31" t="str">
        <f t="shared" si="1"/>
        <v>VALID</v>
      </c>
    </row>
    <row r="19" spans="1:49" ht="109.5" customHeight="1" x14ac:dyDescent="0.5">
      <c r="A19" s="6" t="s">
        <v>899</v>
      </c>
      <c r="B19" s="6" t="s">
        <v>900</v>
      </c>
      <c r="C19" s="18" t="s">
        <v>723</v>
      </c>
      <c r="D19" s="6" t="s">
        <v>724</v>
      </c>
      <c r="E19" s="23" t="s">
        <v>198</v>
      </c>
      <c r="F19" s="6" t="s">
        <v>891</v>
      </c>
      <c r="G19" s="6" t="s">
        <v>218</v>
      </c>
      <c r="H19" s="23" t="s">
        <v>196</v>
      </c>
      <c r="I19" s="6" t="s">
        <v>731</v>
      </c>
      <c r="J19" s="24" t="s">
        <v>731</v>
      </c>
      <c r="K19" s="23" t="s">
        <v>731</v>
      </c>
      <c r="L19" s="6" t="s">
        <v>731</v>
      </c>
      <c r="M19" s="24" t="s">
        <v>731</v>
      </c>
      <c r="N19" s="23" t="s">
        <v>731</v>
      </c>
      <c r="O19" s="6" t="s">
        <v>807</v>
      </c>
      <c r="P19" s="6" t="s">
        <v>206</v>
      </c>
      <c r="Q19" s="23" t="s">
        <v>729</v>
      </c>
      <c r="R19" s="23" t="s">
        <v>197</v>
      </c>
      <c r="S19" s="6" t="s">
        <v>229</v>
      </c>
      <c r="T19" s="23">
        <v>19</v>
      </c>
      <c r="U19" s="33" t="s">
        <v>822</v>
      </c>
      <c r="V19" s="28" t="s">
        <v>809</v>
      </c>
      <c r="W19" s="23" t="s">
        <v>735</v>
      </c>
      <c r="X19" s="23">
        <v>200</v>
      </c>
      <c r="Y19" s="6" t="s">
        <v>201</v>
      </c>
      <c r="Z19" s="6" t="s">
        <v>731</v>
      </c>
      <c r="AA19" s="23" t="s">
        <v>810</v>
      </c>
      <c r="AB19" s="23" t="s">
        <v>811</v>
      </c>
      <c r="AC19" s="6" t="s">
        <v>901</v>
      </c>
      <c r="AD19" s="23" t="s">
        <v>731</v>
      </c>
      <c r="AE19" s="6" t="s">
        <v>902</v>
      </c>
      <c r="AF19" s="27" t="s">
        <v>742</v>
      </c>
      <c r="AG19" s="17" t="s">
        <v>903</v>
      </c>
      <c r="AH19" s="17" t="s">
        <v>904</v>
      </c>
      <c r="AI19" s="23">
        <v>200</v>
      </c>
      <c r="AJ19" s="28" t="s">
        <v>201</v>
      </c>
      <c r="AK19" s="28" t="s">
        <v>731</v>
      </c>
      <c r="AL19" s="28" t="s">
        <v>839</v>
      </c>
      <c r="AM19" s="28" t="s">
        <v>738</v>
      </c>
      <c r="AN19" s="28" t="s">
        <v>745</v>
      </c>
      <c r="AO19" s="28" t="s">
        <v>905</v>
      </c>
      <c r="AP19" s="29" t="s">
        <v>906</v>
      </c>
      <c r="AQ19" s="29" t="s">
        <v>748</v>
      </c>
      <c r="AR19" s="30">
        <v>46276</v>
      </c>
      <c r="AS19" s="28" t="s">
        <v>749</v>
      </c>
      <c r="AT19" s="31" t="str">
        <f t="shared" si="0"/>
        <v>OK</v>
      </c>
      <c r="AU19" s="28" t="s">
        <v>145</v>
      </c>
      <c r="AV19" s="28" t="s">
        <v>907</v>
      </c>
      <c r="AW19" s="31" t="str">
        <f t="shared" si="1"/>
        <v>VALID</v>
      </c>
    </row>
    <row r="20" spans="1:49" ht="109.5" customHeight="1" x14ac:dyDescent="0.5">
      <c r="A20" s="6" t="s">
        <v>908</v>
      </c>
      <c r="B20" s="6" t="s">
        <v>900</v>
      </c>
      <c r="C20" s="18" t="s">
        <v>723</v>
      </c>
      <c r="D20" s="6" t="s">
        <v>724</v>
      </c>
      <c r="E20" s="23" t="s">
        <v>198</v>
      </c>
      <c r="F20" s="6" t="s">
        <v>891</v>
      </c>
      <c r="G20" s="6" t="s">
        <v>310</v>
      </c>
      <c r="H20" s="23" t="s">
        <v>312</v>
      </c>
      <c r="I20" s="6" t="s">
        <v>731</v>
      </c>
      <c r="J20" s="24" t="s">
        <v>731</v>
      </c>
      <c r="K20" s="23" t="s">
        <v>731</v>
      </c>
      <c r="L20" s="6" t="s">
        <v>731</v>
      </c>
      <c r="M20" s="24" t="s">
        <v>731</v>
      </c>
      <c r="N20" s="23" t="s">
        <v>731</v>
      </c>
      <c r="O20" s="6" t="s">
        <v>844</v>
      </c>
      <c r="P20" s="6" t="s">
        <v>845</v>
      </c>
      <c r="Q20" s="23" t="s">
        <v>729</v>
      </c>
      <c r="R20" s="23" t="s">
        <v>197</v>
      </c>
      <c r="S20" s="6" t="s">
        <v>313</v>
      </c>
      <c r="T20" s="23">
        <v>44</v>
      </c>
      <c r="U20" s="33" t="s">
        <v>822</v>
      </c>
      <c r="V20" s="28" t="s">
        <v>809</v>
      </c>
      <c r="W20" s="23" t="s">
        <v>735</v>
      </c>
      <c r="X20" s="23">
        <v>200</v>
      </c>
      <c r="Y20" s="6" t="s">
        <v>201</v>
      </c>
      <c r="Z20" s="6" t="s">
        <v>731</v>
      </c>
      <c r="AA20" s="23" t="s">
        <v>810</v>
      </c>
      <c r="AB20" s="23" t="s">
        <v>811</v>
      </c>
      <c r="AC20" s="6" t="s">
        <v>909</v>
      </c>
      <c r="AD20" s="23" t="s">
        <v>731</v>
      </c>
      <c r="AE20" s="6" t="s">
        <v>902</v>
      </c>
      <c r="AF20" s="27" t="s">
        <v>742</v>
      </c>
      <c r="AG20" s="17" t="s">
        <v>910</v>
      </c>
      <c r="AH20" s="17" t="s">
        <v>911</v>
      </c>
      <c r="AI20" s="23">
        <v>200</v>
      </c>
      <c r="AJ20" s="28" t="s">
        <v>201</v>
      </c>
      <c r="AK20" s="28" t="s">
        <v>731</v>
      </c>
      <c r="AL20" s="28" t="s">
        <v>849</v>
      </c>
      <c r="AM20" s="28" t="s">
        <v>738</v>
      </c>
      <c r="AN20" s="28" t="s">
        <v>745</v>
      </c>
      <c r="AO20" s="28" t="s">
        <v>912</v>
      </c>
      <c r="AP20" s="29" t="s">
        <v>913</v>
      </c>
      <c r="AQ20" s="29" t="s">
        <v>748</v>
      </c>
      <c r="AR20" s="30">
        <v>46276</v>
      </c>
      <c r="AS20" s="28" t="s">
        <v>749</v>
      </c>
      <c r="AT20" s="31" t="str">
        <f t="shared" si="0"/>
        <v>OK</v>
      </c>
      <c r="AU20" s="28" t="s">
        <v>145</v>
      </c>
      <c r="AV20" s="28" t="s">
        <v>914</v>
      </c>
      <c r="AW20" s="31" t="str">
        <f t="shared" si="1"/>
        <v>VALID</v>
      </c>
    </row>
    <row r="21" spans="1:49" ht="109.5" customHeight="1" x14ac:dyDescent="0.5">
      <c r="A21" s="6" t="s">
        <v>915</v>
      </c>
      <c r="B21" s="6" t="s">
        <v>900</v>
      </c>
      <c r="C21" s="18" t="s">
        <v>723</v>
      </c>
      <c r="D21" s="6" t="s">
        <v>724</v>
      </c>
      <c r="E21" s="23" t="s">
        <v>198</v>
      </c>
      <c r="F21" s="6" t="s">
        <v>891</v>
      </c>
      <c r="G21" s="6" t="s">
        <v>275</v>
      </c>
      <c r="H21" s="23" t="s">
        <v>277</v>
      </c>
      <c r="I21" s="6" t="s">
        <v>731</v>
      </c>
      <c r="J21" s="24" t="s">
        <v>731</v>
      </c>
      <c r="K21" s="23" t="s">
        <v>731</v>
      </c>
      <c r="L21" s="6" t="s">
        <v>731</v>
      </c>
      <c r="M21" s="24" t="s">
        <v>731</v>
      </c>
      <c r="N21" s="23" t="s">
        <v>731</v>
      </c>
      <c r="O21" s="6" t="s">
        <v>854</v>
      </c>
      <c r="P21" s="6" t="s">
        <v>855</v>
      </c>
      <c r="Q21" s="23" t="s">
        <v>729</v>
      </c>
      <c r="R21" s="23" t="s">
        <v>197</v>
      </c>
      <c r="S21" s="6" t="s">
        <v>278</v>
      </c>
      <c r="T21" s="23">
        <v>39</v>
      </c>
      <c r="U21" s="33" t="s">
        <v>822</v>
      </c>
      <c r="V21" s="28" t="s">
        <v>809</v>
      </c>
      <c r="W21" s="23" t="s">
        <v>735</v>
      </c>
      <c r="X21" s="23">
        <v>200</v>
      </c>
      <c r="Y21" s="6" t="s">
        <v>201</v>
      </c>
      <c r="Z21" s="6" t="s">
        <v>731</v>
      </c>
      <c r="AA21" s="23" t="s">
        <v>810</v>
      </c>
      <c r="AB21" s="23" t="s">
        <v>811</v>
      </c>
      <c r="AC21" s="6" t="s">
        <v>916</v>
      </c>
      <c r="AD21" s="23" t="s">
        <v>731</v>
      </c>
      <c r="AE21" s="6" t="s">
        <v>902</v>
      </c>
      <c r="AF21" s="27" t="s">
        <v>742</v>
      </c>
      <c r="AG21" s="17" t="s">
        <v>917</v>
      </c>
      <c r="AH21" s="17" t="s">
        <v>918</v>
      </c>
      <c r="AI21" s="23">
        <v>200</v>
      </c>
      <c r="AJ21" s="28" t="s">
        <v>201</v>
      </c>
      <c r="AK21" s="28" t="s">
        <v>731</v>
      </c>
      <c r="AL21" s="28" t="s">
        <v>859</v>
      </c>
      <c r="AM21" s="28" t="s">
        <v>738</v>
      </c>
      <c r="AN21" s="28" t="s">
        <v>745</v>
      </c>
      <c r="AO21" s="28" t="s">
        <v>919</v>
      </c>
      <c r="AP21" s="29" t="s">
        <v>920</v>
      </c>
      <c r="AQ21" s="29" t="s">
        <v>748</v>
      </c>
      <c r="AR21" s="30">
        <v>46276</v>
      </c>
      <c r="AS21" s="28" t="s">
        <v>749</v>
      </c>
      <c r="AT21" s="31" t="str">
        <f t="shared" si="0"/>
        <v>OK</v>
      </c>
      <c r="AU21" s="28" t="s">
        <v>145</v>
      </c>
      <c r="AV21" s="28" t="s">
        <v>921</v>
      </c>
      <c r="AW21" s="31" t="str">
        <f t="shared" si="1"/>
        <v>VALID</v>
      </c>
    </row>
    <row r="22" spans="1:49" ht="109.5" customHeight="1" x14ac:dyDescent="0.5">
      <c r="A22" s="6" t="s">
        <v>922</v>
      </c>
      <c r="B22" s="6" t="s">
        <v>900</v>
      </c>
      <c r="C22" s="18" t="s">
        <v>723</v>
      </c>
      <c r="D22" s="6" t="s">
        <v>724</v>
      </c>
      <c r="E22" s="23" t="s">
        <v>198</v>
      </c>
      <c r="F22" s="6" t="s">
        <v>891</v>
      </c>
      <c r="G22" s="6" t="s">
        <v>285</v>
      </c>
      <c r="H22" s="23" t="s">
        <v>287</v>
      </c>
      <c r="I22" s="6" t="s">
        <v>731</v>
      </c>
      <c r="J22" s="24" t="s">
        <v>731</v>
      </c>
      <c r="K22" s="23" t="s">
        <v>731</v>
      </c>
      <c r="L22" s="6" t="s">
        <v>731</v>
      </c>
      <c r="M22" s="24" t="s">
        <v>731</v>
      </c>
      <c r="N22" s="23" t="s">
        <v>731</v>
      </c>
      <c r="O22" s="6" t="s">
        <v>864</v>
      </c>
      <c r="P22" s="6" t="s">
        <v>865</v>
      </c>
      <c r="Q22" s="23" t="s">
        <v>729</v>
      </c>
      <c r="R22" s="23" t="s">
        <v>197</v>
      </c>
      <c r="S22" s="6" t="s">
        <v>288</v>
      </c>
      <c r="T22" s="23">
        <v>39</v>
      </c>
      <c r="U22" s="33" t="s">
        <v>822</v>
      </c>
      <c r="V22" s="28" t="s">
        <v>809</v>
      </c>
      <c r="W22" s="23" t="s">
        <v>735</v>
      </c>
      <c r="X22" s="23">
        <v>200</v>
      </c>
      <c r="Y22" s="6" t="s">
        <v>201</v>
      </c>
      <c r="Z22" s="6" t="s">
        <v>731</v>
      </c>
      <c r="AA22" s="23" t="s">
        <v>810</v>
      </c>
      <c r="AB22" s="23" t="s">
        <v>811</v>
      </c>
      <c r="AC22" s="6" t="s">
        <v>923</v>
      </c>
      <c r="AD22" s="23" t="s">
        <v>731</v>
      </c>
      <c r="AE22" s="6" t="s">
        <v>902</v>
      </c>
      <c r="AF22" s="27" t="s">
        <v>742</v>
      </c>
      <c r="AG22" s="17" t="s">
        <v>924</v>
      </c>
      <c r="AH22" s="17" t="s">
        <v>925</v>
      </c>
      <c r="AI22" s="23">
        <v>200</v>
      </c>
      <c r="AJ22" s="28" t="s">
        <v>201</v>
      </c>
      <c r="AK22" s="28" t="s">
        <v>731</v>
      </c>
      <c r="AL22" s="28" t="s">
        <v>869</v>
      </c>
      <c r="AM22" s="28" t="s">
        <v>738</v>
      </c>
      <c r="AN22" s="28" t="s">
        <v>745</v>
      </c>
      <c r="AO22" s="28" t="s">
        <v>926</v>
      </c>
      <c r="AP22" s="29" t="s">
        <v>927</v>
      </c>
      <c r="AQ22" s="29" t="s">
        <v>748</v>
      </c>
      <c r="AR22" s="30">
        <v>46276</v>
      </c>
      <c r="AS22" s="28" t="s">
        <v>749</v>
      </c>
      <c r="AT22" s="31" t="str">
        <f t="shared" si="0"/>
        <v>OK</v>
      </c>
      <c r="AU22" s="28" t="s">
        <v>145</v>
      </c>
      <c r="AV22" s="28" t="s">
        <v>928</v>
      </c>
      <c r="AW22" s="31" t="str">
        <f t="shared" si="1"/>
        <v>VALID</v>
      </c>
    </row>
    <row r="23" spans="1:49" ht="109.5" customHeight="1" x14ac:dyDescent="0.5">
      <c r="A23" s="6" t="s">
        <v>929</v>
      </c>
      <c r="B23" s="6" t="s">
        <v>900</v>
      </c>
      <c r="C23" s="18" t="s">
        <v>723</v>
      </c>
      <c r="D23" s="6" t="s">
        <v>724</v>
      </c>
      <c r="E23" s="23" t="s">
        <v>198</v>
      </c>
      <c r="F23" s="6" t="s">
        <v>891</v>
      </c>
      <c r="G23" s="6" t="s">
        <v>285</v>
      </c>
      <c r="H23" s="23" t="s">
        <v>196</v>
      </c>
      <c r="I23" s="6" t="s">
        <v>731</v>
      </c>
      <c r="J23" s="24" t="s">
        <v>731</v>
      </c>
      <c r="K23" s="23" t="s">
        <v>731</v>
      </c>
      <c r="L23" s="6" t="s">
        <v>731</v>
      </c>
      <c r="M23" s="24" t="s">
        <v>731</v>
      </c>
      <c r="N23" s="23" t="s">
        <v>731</v>
      </c>
      <c r="O23" s="6" t="s">
        <v>807</v>
      </c>
      <c r="P23" s="6" t="s">
        <v>206</v>
      </c>
      <c r="Q23" s="23" t="s">
        <v>729</v>
      </c>
      <c r="R23" s="23" t="s">
        <v>197</v>
      </c>
      <c r="S23" s="6" t="s">
        <v>295</v>
      </c>
      <c r="T23" s="23">
        <v>39</v>
      </c>
      <c r="U23" s="33" t="s">
        <v>822</v>
      </c>
      <c r="V23" s="28" t="s">
        <v>809</v>
      </c>
      <c r="W23" s="23" t="s">
        <v>735</v>
      </c>
      <c r="X23" s="23">
        <v>200</v>
      </c>
      <c r="Y23" s="6" t="s">
        <v>201</v>
      </c>
      <c r="Z23" s="6" t="s">
        <v>731</v>
      </c>
      <c r="AA23" s="23" t="s">
        <v>810</v>
      </c>
      <c r="AB23" s="23" t="s">
        <v>811</v>
      </c>
      <c r="AC23" s="6" t="s">
        <v>930</v>
      </c>
      <c r="AD23" s="23" t="s">
        <v>731</v>
      </c>
      <c r="AE23" s="6" t="s">
        <v>902</v>
      </c>
      <c r="AF23" s="27" t="s">
        <v>742</v>
      </c>
      <c r="AG23" s="17" t="s">
        <v>931</v>
      </c>
      <c r="AH23" s="17" t="s">
        <v>932</v>
      </c>
      <c r="AI23" s="23">
        <v>200</v>
      </c>
      <c r="AJ23" s="28" t="s">
        <v>201</v>
      </c>
      <c r="AK23" s="28" t="s">
        <v>731</v>
      </c>
      <c r="AL23" s="28" t="s">
        <v>826</v>
      </c>
      <c r="AM23" s="28" t="s">
        <v>738</v>
      </c>
      <c r="AN23" s="28" t="s">
        <v>745</v>
      </c>
      <c r="AO23" s="28" t="s">
        <v>933</v>
      </c>
      <c r="AP23" s="29" t="s">
        <v>934</v>
      </c>
      <c r="AQ23" s="29" t="s">
        <v>748</v>
      </c>
      <c r="AR23" s="30">
        <v>46276</v>
      </c>
      <c r="AS23" s="28" t="s">
        <v>749</v>
      </c>
      <c r="AT23" s="31" t="str">
        <f t="shared" si="0"/>
        <v>OK</v>
      </c>
      <c r="AU23" s="28" t="s">
        <v>145</v>
      </c>
      <c r="AV23" s="28" t="s">
        <v>935</v>
      </c>
      <c r="AW23" s="31" t="str">
        <f t="shared" si="1"/>
        <v>VALID</v>
      </c>
    </row>
    <row r="24" spans="1:49" ht="109.5" customHeight="1" x14ac:dyDescent="0.5">
      <c r="A24" s="6" t="s">
        <v>936</v>
      </c>
      <c r="B24" s="6" t="s">
        <v>900</v>
      </c>
      <c r="C24" s="18" t="s">
        <v>723</v>
      </c>
      <c r="D24" s="6" t="s">
        <v>724</v>
      </c>
      <c r="E24" s="23" t="s">
        <v>198</v>
      </c>
      <c r="F24" s="6" t="s">
        <v>891</v>
      </c>
      <c r="G24" s="6" t="s">
        <v>300</v>
      </c>
      <c r="H24" s="23" t="s">
        <v>302</v>
      </c>
      <c r="I24" s="6" t="s">
        <v>731</v>
      </c>
      <c r="J24" s="24" t="s">
        <v>731</v>
      </c>
      <c r="K24" s="23" t="s">
        <v>731</v>
      </c>
      <c r="L24" s="6" t="s">
        <v>731</v>
      </c>
      <c r="M24" s="24" t="s">
        <v>731</v>
      </c>
      <c r="N24" s="23" t="s">
        <v>731</v>
      </c>
      <c r="O24" s="6" t="s">
        <v>880</v>
      </c>
      <c r="P24" s="6" t="s">
        <v>881</v>
      </c>
      <c r="Q24" s="23" t="s">
        <v>729</v>
      </c>
      <c r="R24" s="23" t="s">
        <v>197</v>
      </c>
      <c r="S24" s="6" t="s">
        <v>303</v>
      </c>
      <c r="T24" s="23">
        <v>39</v>
      </c>
      <c r="U24" s="33" t="s">
        <v>822</v>
      </c>
      <c r="V24" s="28" t="s">
        <v>809</v>
      </c>
      <c r="W24" s="23" t="s">
        <v>735</v>
      </c>
      <c r="X24" s="23">
        <v>200</v>
      </c>
      <c r="Y24" s="6" t="s">
        <v>201</v>
      </c>
      <c r="Z24" s="6" t="s">
        <v>731</v>
      </c>
      <c r="AA24" s="23" t="s">
        <v>810</v>
      </c>
      <c r="AB24" s="23" t="s">
        <v>811</v>
      </c>
      <c r="AC24" s="6" t="s">
        <v>937</v>
      </c>
      <c r="AD24" s="23" t="s">
        <v>731</v>
      </c>
      <c r="AE24" s="6" t="s">
        <v>902</v>
      </c>
      <c r="AF24" s="27" t="s">
        <v>742</v>
      </c>
      <c r="AG24" s="17" t="s">
        <v>938</v>
      </c>
      <c r="AH24" s="17" t="s">
        <v>939</v>
      </c>
      <c r="AI24" s="23">
        <v>200</v>
      </c>
      <c r="AJ24" s="28" t="s">
        <v>201</v>
      </c>
      <c r="AK24" s="28" t="s">
        <v>731</v>
      </c>
      <c r="AL24" s="28" t="s">
        <v>885</v>
      </c>
      <c r="AM24" s="28" t="s">
        <v>738</v>
      </c>
      <c r="AN24" s="28" t="s">
        <v>745</v>
      </c>
      <c r="AO24" s="28" t="s">
        <v>940</v>
      </c>
      <c r="AP24" s="29" t="s">
        <v>941</v>
      </c>
      <c r="AQ24" s="29" t="s">
        <v>748</v>
      </c>
      <c r="AR24" s="30">
        <v>46276</v>
      </c>
      <c r="AS24" s="28" t="s">
        <v>749</v>
      </c>
      <c r="AT24" s="31" t="str">
        <f t="shared" si="0"/>
        <v>OK</v>
      </c>
      <c r="AU24" s="28" t="s">
        <v>145</v>
      </c>
      <c r="AV24" s="28" t="s">
        <v>942</v>
      </c>
      <c r="AW24" s="31" t="str">
        <f t="shared" si="1"/>
        <v>VALID</v>
      </c>
    </row>
    <row r="25" spans="1:49" ht="15" customHeight="1" x14ac:dyDescent="0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 ht="15" customHeight="1" x14ac:dyDescent="0.5">
      <c r="A26" s="11" t="s">
        <v>943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1:49" ht="15" customHeight="1" x14ac:dyDescent="0.5">
      <c r="A27" s="12" t="s">
        <v>944</v>
      </c>
      <c r="B27" s="34">
        <f>COUNTA($A$5:$A24)</f>
        <v>20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1:49" ht="15" customHeight="1" x14ac:dyDescent="0.5">
      <c r="A28" s="12" t="s">
        <v>945</v>
      </c>
      <c r="B28" s="34">
        <f>COUNTIF($C$5:$C24,"BLOCKED — IMPLEMENTATION")</f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1:49" ht="16.5" customHeight="1" x14ac:dyDescent="0.5">
      <c r="A29" s="12" t="s">
        <v>946</v>
      </c>
      <c r="B29" s="34">
        <f>COUNTIF($C$5:$C24,"BLOCKED — 待*")</f>
        <v>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1:49" ht="16.5" customHeight="1" x14ac:dyDescent="0.5">
      <c r="A30" s="12" t="s">
        <v>947</v>
      </c>
      <c r="B30" s="34">
        <f>COUNTIF($D$5:$D24,"*OPEN-009*")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 ht="15" customHeight="1" x14ac:dyDescent="0.5">
      <c r="A31" s="12" t="s">
        <v>948</v>
      </c>
      <c r="B31" s="34">
        <f>COUNTIF($AF$5:$AF24,"PLANNED")</f>
        <v>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 ht="15" customHeight="1" x14ac:dyDescent="0.5">
      <c r="A32" s="12" t="s">
        <v>949</v>
      </c>
      <c r="B32" s="34">
        <f>COUNTIF($AF$5:$AF24,"IN_PROGRESS")</f>
        <v>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1:49" ht="15" customHeight="1" x14ac:dyDescent="0.5">
      <c r="A33" s="12" t="s">
        <v>950</v>
      </c>
      <c r="B33" s="34">
        <f>COUNTIF($AF$5:$AF24,"DELIVERED")</f>
        <v>20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1:49" ht="16.5" customHeight="1" x14ac:dyDescent="0.5">
      <c r="A34" s="12" t="s">
        <v>951</v>
      </c>
      <c r="B34" s="34">
        <f>COUNTIF($AF$5:$AF24,"PLANNED")+COUNTIF($AF$5:$AF24,"IN_PROGRESS")+COUNTIF($AF$5:$AF24,"DELIVERED")</f>
        <v>20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1:49" ht="16.5" customHeight="1" x14ac:dyDescent="0.5">
      <c r="A35" s="12" t="s">
        <v>952</v>
      </c>
      <c r="B35" s="34">
        <f>COUNTA($A$5:$A24)-(COUNTIF($AF$5:$AF24,"PLANNED")+COUNTIF($AF$5:$AF24,"IN_PROGRESS")+COUNTIF($AF$5:$AF24,"DELIVERED"))</f>
        <v>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1:49" ht="15" customHeight="1" x14ac:dyDescent="0.5">
      <c r="A36" s="12" t="s">
        <v>953</v>
      </c>
      <c r="B36" s="34">
        <f>COUNTIF($C$5:$C24,"BLOCKED — IMPLEMENTATION")+COUNTIF($C$5:$C24,"BLOCKED — 待*")+COUNTIF($C$5:$C24,"APPROVED*")+COUNTIF($C$5:$C24,"CLOSED")</f>
        <v>20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1:49" ht="16.5" customHeight="1" x14ac:dyDescent="0.5">
      <c r="A37" s="12" t="s">
        <v>954</v>
      </c>
      <c r="B37" s="34">
        <f>COUNTA($A$5:$A24)-(COUNTIF($C$5:$C24,"BLOCKED — IMPLEMENTATION")+COUNTIF($C$5:$C24,"BLOCKED — 待*")+COUNTIF($C$5:$C24,"APPROVED*")+COUNTIF($C$5:$C24,"CLOSED"))</f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1:49" ht="16.5" customHeight="1" x14ac:dyDescent="0.5">
      <c r="A38" s="12" t="s">
        <v>955</v>
      </c>
      <c r="B38" s="34">
        <f>COUNTIF($C$5:$C24,"APPROVED*")+COUNTIF($C$5:$C24,"CLOSED")</f>
        <v>20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1:49" ht="16.5" customHeight="1" x14ac:dyDescent="0.5">
      <c r="A39" s="12" t="s">
        <v>956</v>
      </c>
      <c r="B39" s="34">
        <f>COUNTIF($AS$5:$AS24,"PASS")</f>
        <v>20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1:49" ht="16.5" customHeight="1" x14ac:dyDescent="0.5">
      <c r="A40" s="12" t="s">
        <v>957</v>
      </c>
      <c r="B40" s="34">
        <f>COUNTIF($AS$5:$AS24,"FAIL")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49" ht="16.5" customHeight="1" x14ac:dyDescent="0.5">
      <c r="A41" s="12" t="s">
        <v>958</v>
      </c>
      <c r="B41" s="34">
        <f>COUNTIF($AT$5:$AT24,"INCOMPLETE*")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1:49" ht="16.5" customHeight="1" x14ac:dyDescent="0.5">
      <c r="A42" s="12" t="s">
        <v>959</v>
      </c>
      <c r="B42" s="34">
        <f>COUNTIF($AT$5:$AT24,"OK")</f>
        <v>20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 ht="15" customHeight="1" x14ac:dyDescent="0.5">
      <c r="A43" s="12" t="s">
        <v>960</v>
      </c>
      <c r="B43" s="34">
        <f>COUNTIF($AT$5:$AT24,"—（未執行）")</f>
        <v>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1:49" ht="16.5" customHeight="1" x14ac:dyDescent="0.5">
      <c r="A44" s="12" t="s">
        <v>961</v>
      </c>
      <c r="B44" s="34">
        <f>COUNTIF($AT$5:$AT24,"OK")+COUNTIF($AT$5:$AT24,"INCOMPLETE*")+COUNTIF($AT$5:$AT24,"—（未執行）")</f>
        <v>20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1:49" ht="16.5" customHeight="1" x14ac:dyDescent="0.5">
      <c r="A45" s="12" t="s">
        <v>962</v>
      </c>
      <c r="B45" s="34">
        <f>COUNTA($A$5:$A24)-(COUNTIF($AT$5:$AT24,"OK")+COUNTIF($AT$5:$AT24,"INCOMPLETE*")+COUNTIF($AT$5:$AT24,"—（未執行）"))</f>
        <v>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49" ht="16.5" customHeight="1" x14ac:dyDescent="0.5">
      <c r="A46" s="12" t="s">
        <v>963</v>
      </c>
      <c r="B46" s="34" t="str">
        <f>COUNTIF($AW$5:$AW24,"VALID")&amp;" / "&amp;COUNTIF($AW$5:$AW24,"INVALID*")</f>
        <v>20 / 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</sheetData>
  <autoFilter ref="A4:AW24" xr:uid="{00000000-0009-0000-0000-000007000000}"/>
  <dataValidations count="5">
    <dataValidation type="list" allowBlank="1" sqref="AS5:AS24" xr:uid="{00000000-0002-0000-0700-000000000000}">
      <formula1>"PASS,FAIL,BLOCKED,N/A"</formula1>
      <formula2>0</formula2>
    </dataValidation>
    <dataValidation type="list" allowBlank="1" sqref="C5:C24" xr:uid="{00000000-0002-0000-0700-000001000000}">
      <formula1>"BLOCKED — IMPLEMENTATION,BLOCKED — 待 BA 核准,APPROVED — 可執行,CLOSED"</formula1>
      <formula2>0</formula2>
    </dataValidation>
    <dataValidation type="list" sqref="AF5:AF24" xr:uid="{00000000-0002-0000-0700-000002000000}">
      <formula1>"PLANNED,IN_PROGRESS,DELIVERED"</formula1>
      <formula2>0</formula2>
    </dataValidation>
    <dataValidation type="textLength" operator="greaterThan" showErrorMessage="1" errorTitle="Tester 必填" error="結果為 PASS／FAIL 時必須填入執行人。" sqref="AQ5:AQ24" xr:uid="{00000000-0002-0000-0700-000003000000}">
      <formula1>0</formula1>
      <formula2>0</formula2>
    </dataValidation>
    <dataValidation type="date" allowBlank="1" showErrorMessage="1" errorTitle="Execution Date" error="須為 2026-09-01 至 2027-12-31 之有效日期；PASS／FAIL 時不得留空（見證據完整性欄）。" sqref="AR5:AR24" xr:uid="{00000000-0002-0000-0700-000004000000}">
      <formula1>DATE(2026,9,1)</formula1>
      <formula2>DATE(2027,12,31)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zoomScaleNormal="100" workbookViewId="0">
      <pane ySplit="4" topLeftCell="A5" activePane="bottomLeft" state="frozen"/>
      <selection pane="bottomLeft"/>
    </sheetView>
  </sheetViews>
  <sheetFormatPr defaultColWidth="8.64453125" defaultRowHeight="14.35" x14ac:dyDescent="0.5"/>
  <cols>
    <col min="1" max="1" width="11" customWidth="1"/>
    <col min="2" max="2" width="30" customWidth="1"/>
    <col min="3" max="3" width="12" customWidth="1"/>
    <col min="4" max="4" width="14" customWidth="1"/>
    <col min="5" max="5" width="11" customWidth="1"/>
    <col min="6" max="6" width="70" customWidth="1"/>
    <col min="7" max="7" width="26" customWidth="1"/>
  </cols>
  <sheetData>
    <row r="1" spans="1:7" ht="22.5" customHeight="1" x14ac:dyDescent="0.5">
      <c r="A1" s="2" t="s">
        <v>964</v>
      </c>
      <c r="B1" s="3"/>
      <c r="C1" s="3"/>
      <c r="D1" s="3"/>
      <c r="E1" s="3"/>
      <c r="F1" s="3"/>
      <c r="G1" s="3"/>
    </row>
    <row r="2" spans="1:7" ht="16.5" customHeight="1" x14ac:dyDescent="0.5">
      <c r="A2" s="4" t="s">
        <v>965</v>
      </c>
      <c r="B2" s="3"/>
      <c r="C2" s="3"/>
      <c r="D2" s="3"/>
      <c r="E2" s="3"/>
      <c r="F2" s="3"/>
      <c r="G2" s="3"/>
    </row>
    <row r="3" spans="1:7" ht="15" customHeight="1" x14ac:dyDescent="0.5">
      <c r="A3" s="3"/>
      <c r="B3" s="3"/>
      <c r="C3" s="3"/>
      <c r="D3" s="3"/>
      <c r="E3" s="3"/>
      <c r="F3" s="3"/>
      <c r="G3" s="3"/>
    </row>
    <row r="4" spans="1:7" ht="37.5" customHeight="1" x14ac:dyDescent="0.5">
      <c r="A4" s="5" t="s">
        <v>687</v>
      </c>
      <c r="B4" s="5" t="s">
        <v>966</v>
      </c>
      <c r="C4" s="5" t="s">
        <v>686</v>
      </c>
      <c r="D4" s="5" t="s">
        <v>967</v>
      </c>
      <c r="E4" s="5" t="s">
        <v>968</v>
      </c>
      <c r="F4" s="5" t="s">
        <v>969</v>
      </c>
      <c r="G4" s="5" t="s">
        <v>970</v>
      </c>
    </row>
    <row r="5" spans="1:7" ht="91.5" customHeight="1" x14ac:dyDescent="0.5">
      <c r="A5" s="6" t="s">
        <v>971</v>
      </c>
      <c r="B5" s="6" t="s">
        <v>972</v>
      </c>
      <c r="C5" s="32" t="s">
        <v>723</v>
      </c>
      <c r="D5" s="23" t="s">
        <v>973</v>
      </c>
      <c r="E5" s="23" t="s">
        <v>974</v>
      </c>
      <c r="F5" s="6" t="s">
        <v>975</v>
      </c>
      <c r="G5" s="6" t="s">
        <v>976</v>
      </c>
    </row>
    <row r="6" spans="1:7" ht="91.5" customHeight="1" x14ac:dyDescent="0.5">
      <c r="A6" s="6" t="s">
        <v>977</v>
      </c>
      <c r="B6" s="6" t="s">
        <v>978</v>
      </c>
      <c r="C6" s="32" t="s">
        <v>723</v>
      </c>
      <c r="D6" s="23" t="s">
        <v>973</v>
      </c>
      <c r="E6" s="23" t="s">
        <v>974</v>
      </c>
      <c r="F6" s="6" t="s">
        <v>979</v>
      </c>
      <c r="G6" s="6" t="s">
        <v>751</v>
      </c>
    </row>
    <row r="7" spans="1:7" ht="91.5" customHeight="1" x14ac:dyDescent="0.5">
      <c r="A7" s="6" t="s">
        <v>980</v>
      </c>
      <c r="B7" s="6" t="s">
        <v>981</v>
      </c>
      <c r="C7" s="33" t="s">
        <v>723</v>
      </c>
      <c r="D7" s="23" t="s">
        <v>982</v>
      </c>
      <c r="E7" s="23" t="s">
        <v>983</v>
      </c>
      <c r="F7" s="6" t="s">
        <v>984</v>
      </c>
      <c r="G7" s="6" t="s">
        <v>985</v>
      </c>
    </row>
    <row r="8" spans="1:7" ht="91.5" customHeight="1" x14ac:dyDescent="0.5">
      <c r="A8" s="6" t="s">
        <v>986</v>
      </c>
      <c r="B8" s="6" t="s">
        <v>987</v>
      </c>
      <c r="C8" s="32" t="s">
        <v>723</v>
      </c>
      <c r="D8" s="23" t="s">
        <v>973</v>
      </c>
      <c r="E8" s="23" t="s">
        <v>974</v>
      </c>
      <c r="F8" s="6" t="s">
        <v>988</v>
      </c>
      <c r="G8" s="6" t="s">
        <v>989</v>
      </c>
    </row>
    <row r="9" spans="1:7" ht="91.5" customHeight="1" x14ac:dyDescent="0.5">
      <c r="A9" s="6" t="s">
        <v>990</v>
      </c>
      <c r="B9" s="6" t="s">
        <v>991</v>
      </c>
      <c r="C9" s="33" t="s">
        <v>723</v>
      </c>
      <c r="D9" s="23" t="s">
        <v>992</v>
      </c>
      <c r="E9" s="23" t="s">
        <v>993</v>
      </c>
      <c r="F9" s="6" t="s">
        <v>994</v>
      </c>
      <c r="G9" s="6" t="s">
        <v>995</v>
      </c>
    </row>
    <row r="10" spans="1:7" ht="91.5" customHeight="1" x14ac:dyDescent="0.5">
      <c r="A10" s="6" t="s">
        <v>110</v>
      </c>
      <c r="B10" s="6" t="s">
        <v>996</v>
      </c>
      <c r="C10" s="33" t="s">
        <v>723</v>
      </c>
      <c r="D10" s="23" t="s">
        <v>997</v>
      </c>
      <c r="E10" s="23" t="s">
        <v>998</v>
      </c>
      <c r="F10" s="6" t="s">
        <v>999</v>
      </c>
      <c r="G10" s="6" t="s">
        <v>1000</v>
      </c>
    </row>
    <row r="11" spans="1:7" ht="91.5" customHeight="1" x14ac:dyDescent="0.5">
      <c r="A11" s="6" t="s">
        <v>105</v>
      </c>
      <c r="B11" s="6" t="s">
        <v>1001</v>
      </c>
      <c r="C11" s="33" t="s">
        <v>723</v>
      </c>
      <c r="D11" s="23" t="s">
        <v>1002</v>
      </c>
      <c r="E11" s="23" t="s">
        <v>998</v>
      </c>
      <c r="F11" s="6" t="s">
        <v>1003</v>
      </c>
      <c r="G11" s="6" t="s">
        <v>673</v>
      </c>
    </row>
    <row r="12" spans="1:7" ht="91.5" customHeight="1" x14ac:dyDescent="0.5">
      <c r="A12" s="6" t="s">
        <v>1004</v>
      </c>
      <c r="B12" s="6" t="s">
        <v>1005</v>
      </c>
      <c r="C12" s="33" t="s">
        <v>723</v>
      </c>
      <c r="D12" s="23" t="s">
        <v>982</v>
      </c>
      <c r="E12" s="23" t="s">
        <v>993</v>
      </c>
      <c r="F12" s="6" t="s">
        <v>1006</v>
      </c>
      <c r="G12" s="6" t="s">
        <v>1007</v>
      </c>
    </row>
    <row r="13" spans="1:7" ht="91.5" customHeight="1" x14ac:dyDescent="0.5">
      <c r="A13" s="6" t="s">
        <v>123</v>
      </c>
      <c r="B13" s="6" t="s">
        <v>1008</v>
      </c>
      <c r="C13" s="33" t="s">
        <v>723</v>
      </c>
      <c r="D13" s="23" t="s">
        <v>1009</v>
      </c>
      <c r="E13" s="23" t="s">
        <v>1010</v>
      </c>
      <c r="F13" s="6" t="s">
        <v>1011</v>
      </c>
      <c r="G13" s="6" t="s">
        <v>1012</v>
      </c>
    </row>
    <row r="14" spans="1:7" ht="91.5" customHeight="1" x14ac:dyDescent="0.5">
      <c r="A14" s="6" t="s">
        <v>128</v>
      </c>
      <c r="B14" s="6" t="s">
        <v>129</v>
      </c>
      <c r="C14" s="33" t="s">
        <v>723</v>
      </c>
      <c r="D14" s="23" t="s">
        <v>1013</v>
      </c>
      <c r="E14" s="23" t="s">
        <v>993</v>
      </c>
      <c r="F14" s="6" t="s">
        <v>1014</v>
      </c>
      <c r="G14" s="6" t="s">
        <v>1015</v>
      </c>
    </row>
  </sheetData>
  <autoFilter ref="A4:G12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zoomScaleNormal="100" workbookViewId="0">
      <pane ySplit="4" topLeftCell="A5" activePane="bottomLeft" state="frozen"/>
      <selection pane="bottomLeft"/>
    </sheetView>
  </sheetViews>
  <sheetFormatPr defaultColWidth="8.64453125" defaultRowHeight="14.35" x14ac:dyDescent="0.5"/>
  <cols>
    <col min="1" max="1" width="8" customWidth="1"/>
    <col min="2" max="2" width="24" customWidth="1"/>
    <col min="3" max="3" width="44" customWidth="1"/>
    <col min="4" max="4" width="64" customWidth="1"/>
    <col min="5" max="5" width="34" customWidth="1"/>
  </cols>
  <sheetData>
    <row r="1" spans="1:5" ht="22.5" customHeight="1" x14ac:dyDescent="0.5">
      <c r="A1" s="2" t="s">
        <v>1016</v>
      </c>
      <c r="B1" s="3"/>
      <c r="C1" s="3"/>
      <c r="D1" s="3"/>
      <c r="E1" s="3"/>
    </row>
    <row r="2" spans="1:5" ht="16.5" customHeight="1" x14ac:dyDescent="0.5">
      <c r="A2" s="4" t="s">
        <v>1017</v>
      </c>
      <c r="B2" s="3"/>
      <c r="C2" s="3"/>
      <c r="D2" s="3"/>
      <c r="E2" s="3"/>
    </row>
    <row r="3" spans="1:5" ht="15" customHeight="1" x14ac:dyDescent="0.5">
      <c r="A3" s="3"/>
      <c r="B3" s="3"/>
      <c r="C3" s="3"/>
      <c r="D3" s="3"/>
      <c r="E3" s="3"/>
    </row>
    <row r="4" spans="1:5" ht="37.5" customHeight="1" x14ac:dyDescent="0.5">
      <c r="A4" s="5" t="s">
        <v>1018</v>
      </c>
      <c r="B4" s="5" t="s">
        <v>2</v>
      </c>
      <c r="C4" s="5" t="s">
        <v>1019</v>
      </c>
      <c r="D4" s="5" t="s">
        <v>1020</v>
      </c>
      <c r="E4" s="5" t="s">
        <v>1021</v>
      </c>
    </row>
    <row r="5" spans="1:5" ht="87.75" customHeight="1" x14ac:dyDescent="0.5">
      <c r="A5" s="32" t="s">
        <v>1022</v>
      </c>
      <c r="B5" s="6" t="s">
        <v>1023</v>
      </c>
      <c r="C5" s="6" t="s">
        <v>1024</v>
      </c>
      <c r="D5" s="6" t="s">
        <v>1025</v>
      </c>
      <c r="E5" s="6" t="s">
        <v>1026</v>
      </c>
    </row>
    <row r="6" spans="1:5" ht="87.75" customHeight="1" x14ac:dyDescent="0.5">
      <c r="A6" s="32" t="s">
        <v>1027</v>
      </c>
      <c r="B6" s="6" t="s">
        <v>1028</v>
      </c>
      <c r="C6" s="6" t="s">
        <v>1029</v>
      </c>
      <c r="D6" s="6" t="s">
        <v>1030</v>
      </c>
      <c r="E6" s="6" t="s">
        <v>1031</v>
      </c>
    </row>
    <row r="7" spans="1:5" ht="87.75" customHeight="1" x14ac:dyDescent="0.5">
      <c r="A7" s="32" t="s">
        <v>1032</v>
      </c>
      <c r="B7" s="6" t="s">
        <v>1033</v>
      </c>
      <c r="C7" s="6" t="s">
        <v>1034</v>
      </c>
      <c r="D7" s="6" t="s">
        <v>1035</v>
      </c>
      <c r="E7" s="6" t="s">
        <v>1036</v>
      </c>
    </row>
    <row r="8" spans="1:5" ht="87.75" customHeight="1" x14ac:dyDescent="0.5">
      <c r="A8" s="32" t="s">
        <v>1037</v>
      </c>
      <c r="B8" s="6" t="s">
        <v>1038</v>
      </c>
      <c r="C8" s="6" t="s">
        <v>1039</v>
      </c>
      <c r="D8" s="6" t="s">
        <v>1040</v>
      </c>
      <c r="E8" s="6" t="s">
        <v>1041</v>
      </c>
    </row>
    <row r="9" spans="1:5" ht="87.75" customHeight="1" x14ac:dyDescent="0.5">
      <c r="A9" s="32" t="s">
        <v>1042</v>
      </c>
      <c r="B9" s="6" t="s">
        <v>1043</v>
      </c>
      <c r="C9" s="6" t="s">
        <v>1044</v>
      </c>
      <c r="D9" s="6" t="s">
        <v>1045</v>
      </c>
      <c r="E9" s="6" t="s">
        <v>1046</v>
      </c>
    </row>
    <row r="10" spans="1:5" ht="87.75" customHeight="1" x14ac:dyDescent="0.5">
      <c r="A10" s="32" t="s">
        <v>1047</v>
      </c>
      <c r="B10" s="6" t="s">
        <v>1048</v>
      </c>
      <c r="C10" s="6" t="s">
        <v>1049</v>
      </c>
      <c r="D10" s="6" t="s">
        <v>1050</v>
      </c>
      <c r="E10" s="6" t="s">
        <v>1051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zoomScaleNormal="100" workbookViewId="0">
      <pane ySplit="4" topLeftCell="A5" activePane="bottomLeft" state="frozen"/>
      <selection pane="bottomLeft"/>
    </sheetView>
  </sheetViews>
  <sheetFormatPr defaultColWidth="8.64453125" defaultRowHeight="14.35" x14ac:dyDescent="0.5"/>
  <cols>
    <col min="1" max="1" width="4" customWidth="1"/>
    <col min="2" max="2" width="24" customWidth="1"/>
    <col min="3" max="3" width="34" customWidth="1"/>
    <col min="4" max="4" width="40" customWidth="1"/>
    <col min="5" max="5" width="50" customWidth="1"/>
  </cols>
  <sheetData>
    <row r="1" spans="1:5" ht="23.1" customHeight="1" x14ac:dyDescent="0.5">
      <c r="A1" s="2" t="s">
        <v>1052</v>
      </c>
      <c r="B1" s="3"/>
      <c r="C1" s="3"/>
      <c r="D1" s="3"/>
      <c r="E1" s="3"/>
    </row>
    <row r="2" spans="1:5" ht="17.100000000000001" customHeight="1" x14ac:dyDescent="0.5">
      <c r="A2" s="4" t="s">
        <v>1053</v>
      </c>
      <c r="B2" s="3"/>
      <c r="C2" s="3"/>
      <c r="D2" s="3"/>
      <c r="E2" s="3"/>
    </row>
    <row r="3" spans="1:5" ht="15" customHeight="1" x14ac:dyDescent="0.5">
      <c r="A3" s="3"/>
      <c r="B3" s="3"/>
      <c r="C3" s="3"/>
      <c r="D3" s="3"/>
      <c r="E3" s="3"/>
    </row>
    <row r="4" spans="1:5" ht="17.100000000000001" customHeight="1" x14ac:dyDescent="0.5">
      <c r="A4" s="5" t="s">
        <v>1054</v>
      </c>
      <c r="B4" s="5" t="s">
        <v>2</v>
      </c>
      <c r="C4" s="5" t="s">
        <v>1055</v>
      </c>
      <c r="D4" s="5" t="s">
        <v>1056</v>
      </c>
      <c r="E4" s="5" t="s">
        <v>1057</v>
      </c>
    </row>
    <row r="5" spans="1:5" ht="55.5" customHeight="1" x14ac:dyDescent="0.5">
      <c r="A5" s="23">
        <v>1</v>
      </c>
      <c r="B5" s="6" t="s">
        <v>986</v>
      </c>
      <c r="C5" s="6" t="s">
        <v>1058</v>
      </c>
      <c r="D5" s="6" t="s">
        <v>1059</v>
      </c>
      <c r="E5" s="6" t="s">
        <v>1060</v>
      </c>
    </row>
    <row r="6" spans="1:5" ht="55.5" customHeight="1" x14ac:dyDescent="0.5">
      <c r="A6" s="23">
        <v>2</v>
      </c>
      <c r="B6" s="6" t="s">
        <v>1061</v>
      </c>
      <c r="C6" s="6" t="s">
        <v>946</v>
      </c>
      <c r="D6" s="6" t="s">
        <v>945</v>
      </c>
      <c r="E6" s="6" t="s">
        <v>1062</v>
      </c>
    </row>
    <row r="7" spans="1:5" ht="55.5" customHeight="1" x14ac:dyDescent="0.5">
      <c r="A7" s="23">
        <v>3</v>
      </c>
      <c r="B7" s="6" t="s">
        <v>1063</v>
      </c>
      <c r="C7" s="6" t="s">
        <v>1064</v>
      </c>
      <c r="D7" s="6" t="s">
        <v>1004</v>
      </c>
      <c r="E7" s="6" t="s">
        <v>1065</v>
      </c>
    </row>
    <row r="8" spans="1:5" ht="55.5" customHeight="1" x14ac:dyDescent="0.5">
      <c r="A8" s="23">
        <v>4</v>
      </c>
      <c r="B8" s="6" t="s">
        <v>1066</v>
      </c>
      <c r="C8" s="6" t="s">
        <v>1067</v>
      </c>
      <c r="D8" s="6" t="s">
        <v>945</v>
      </c>
      <c r="E8" s="6" t="s">
        <v>1068</v>
      </c>
    </row>
    <row r="9" spans="1:5" ht="55.5" customHeight="1" x14ac:dyDescent="0.5">
      <c r="A9" s="23">
        <v>5</v>
      </c>
      <c r="B9" s="6" t="s">
        <v>1069</v>
      </c>
      <c r="C9" s="6" t="s">
        <v>1070</v>
      </c>
      <c r="D9" s="6" t="s">
        <v>1071</v>
      </c>
      <c r="E9" s="6" t="s">
        <v>1072</v>
      </c>
    </row>
    <row r="10" spans="1:5" ht="55.5" customHeight="1" x14ac:dyDescent="0.5">
      <c r="A10" s="23">
        <v>6</v>
      </c>
      <c r="B10" s="6" t="s">
        <v>1073</v>
      </c>
      <c r="C10" s="6" t="s">
        <v>731</v>
      </c>
      <c r="D10" s="6" t="s">
        <v>1074</v>
      </c>
      <c r="E10" s="6" t="s">
        <v>1075</v>
      </c>
    </row>
    <row r="11" spans="1:5" ht="55.5" customHeight="1" x14ac:dyDescent="0.5">
      <c r="A11" s="23">
        <v>7</v>
      </c>
      <c r="B11" s="6" t="s">
        <v>1076</v>
      </c>
      <c r="C11" s="6" t="s">
        <v>731</v>
      </c>
      <c r="D11" s="6" t="s">
        <v>1077</v>
      </c>
      <c r="E11" s="6" t="s">
        <v>1078</v>
      </c>
    </row>
    <row r="12" spans="1:5" ht="55.5" customHeight="1" x14ac:dyDescent="0.5">
      <c r="A12" s="23">
        <v>8</v>
      </c>
      <c r="B12" s="6" t="s">
        <v>1079</v>
      </c>
      <c r="C12" s="6" t="s">
        <v>731</v>
      </c>
      <c r="D12" s="6" t="s">
        <v>1080</v>
      </c>
      <c r="E12" s="6" t="s">
        <v>1081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2"/>
  <sheetViews>
    <sheetView workbookViewId="0"/>
  </sheetViews>
  <sheetFormatPr defaultColWidth="8.64453125" defaultRowHeight="14.35" x14ac:dyDescent="0.5"/>
  <cols>
    <col min="1" max="1" width="4" customWidth="1"/>
    <col min="2" max="2" width="24" customWidth="1"/>
    <col min="3" max="3" width="34" customWidth="1"/>
    <col min="4" max="4" width="40" customWidth="1"/>
    <col min="5" max="5" width="50" customWidth="1"/>
  </cols>
  <sheetData>
    <row r="1" spans="1:5" ht="23.1" customHeight="1" x14ac:dyDescent="0.5">
      <c r="A1" s="2" t="s">
        <v>1082</v>
      </c>
      <c r="B1" s="3"/>
      <c r="C1" s="3"/>
      <c r="D1" s="3"/>
      <c r="E1" s="3"/>
    </row>
    <row r="2" spans="1:5" ht="17.100000000000001" customHeight="1" x14ac:dyDescent="0.5">
      <c r="A2" s="4" t="s">
        <v>1083</v>
      </c>
      <c r="B2" s="3"/>
      <c r="C2" s="3"/>
      <c r="D2" s="3"/>
      <c r="E2" s="3"/>
    </row>
    <row r="3" spans="1:5" ht="15" customHeight="1" x14ac:dyDescent="0.5">
      <c r="A3" s="3"/>
      <c r="B3" s="3"/>
      <c r="C3" s="3"/>
      <c r="D3" s="3"/>
      <c r="E3" s="3"/>
    </row>
    <row r="4" spans="1:5" ht="17.100000000000001" customHeight="1" x14ac:dyDescent="0.5">
      <c r="A4" s="5" t="s">
        <v>1054</v>
      </c>
      <c r="B4" s="5" t="s">
        <v>2</v>
      </c>
      <c r="C4" s="5" t="s">
        <v>1056</v>
      </c>
      <c r="D4" s="5" t="s">
        <v>1084</v>
      </c>
      <c r="E4" s="5" t="s">
        <v>1085</v>
      </c>
    </row>
    <row r="5" spans="1:5" ht="55.5" customHeight="1" x14ac:dyDescent="0.5">
      <c r="A5" s="23">
        <v>1</v>
      </c>
      <c r="B5" s="6" t="s">
        <v>1086</v>
      </c>
      <c r="C5" s="6" t="s">
        <v>1087</v>
      </c>
      <c r="D5" s="6" t="s">
        <v>1088</v>
      </c>
      <c r="E5" s="6" t="s">
        <v>1089</v>
      </c>
    </row>
    <row r="6" spans="1:5" ht="55.5" customHeight="1" x14ac:dyDescent="0.5">
      <c r="A6" s="23">
        <v>2</v>
      </c>
      <c r="B6" s="6" t="s">
        <v>1090</v>
      </c>
      <c r="C6" s="6" t="s">
        <v>1091</v>
      </c>
      <c r="D6" s="6" t="s">
        <v>1092</v>
      </c>
      <c r="E6" s="6" t="s">
        <v>1093</v>
      </c>
    </row>
    <row r="7" spans="1:5" ht="55.5" customHeight="1" x14ac:dyDescent="0.5">
      <c r="A7" s="23">
        <v>3</v>
      </c>
      <c r="B7" s="6" t="s">
        <v>1094</v>
      </c>
      <c r="C7" s="6" t="s">
        <v>1095</v>
      </c>
      <c r="D7" s="6" t="s">
        <v>723</v>
      </c>
      <c r="E7" s="6" t="s">
        <v>1096</v>
      </c>
    </row>
    <row r="8" spans="1:5" ht="55.5" customHeight="1" x14ac:dyDescent="0.5">
      <c r="A8" s="23">
        <v>4</v>
      </c>
      <c r="B8" s="6" t="s">
        <v>990</v>
      </c>
      <c r="C8" s="6" t="s">
        <v>1095</v>
      </c>
      <c r="D8" s="6" t="s">
        <v>723</v>
      </c>
      <c r="E8" s="6" t="s">
        <v>1097</v>
      </c>
    </row>
    <row r="9" spans="1:5" ht="55.5" customHeight="1" x14ac:dyDescent="0.5">
      <c r="A9" s="23">
        <v>5</v>
      </c>
      <c r="B9" s="6" t="s">
        <v>110</v>
      </c>
      <c r="C9" s="6" t="s">
        <v>1095</v>
      </c>
      <c r="D9" s="6" t="s">
        <v>723</v>
      </c>
      <c r="E9" s="6" t="s">
        <v>1098</v>
      </c>
    </row>
    <row r="10" spans="1:5" ht="55.5" customHeight="1" x14ac:dyDescent="0.5">
      <c r="A10" s="23">
        <v>6</v>
      </c>
      <c r="B10" s="6" t="s">
        <v>105</v>
      </c>
      <c r="C10" s="6" t="s">
        <v>1095</v>
      </c>
      <c r="D10" s="6" t="s">
        <v>723</v>
      </c>
      <c r="E10" s="6" t="s">
        <v>1099</v>
      </c>
    </row>
    <row r="11" spans="1:5" ht="55.5" customHeight="1" x14ac:dyDescent="0.5">
      <c r="A11" s="23">
        <v>7</v>
      </c>
      <c r="B11" s="6" t="s">
        <v>1100</v>
      </c>
      <c r="C11" s="6" t="s">
        <v>1101</v>
      </c>
      <c r="D11" s="6" t="s">
        <v>1102</v>
      </c>
      <c r="E11" s="6" t="s">
        <v>1103</v>
      </c>
    </row>
    <row r="12" spans="1:5" ht="55.5" customHeight="1" x14ac:dyDescent="0.5">
      <c r="A12" s="23"/>
      <c r="B12" s="6"/>
      <c r="C12" s="6"/>
      <c r="D12" s="6"/>
      <c r="E12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>
      <pane ySplit="4" topLeftCell="A5" activePane="bottomLeft" state="frozen"/>
      <selection pane="bottomLeft"/>
    </sheetView>
  </sheetViews>
  <sheetFormatPr defaultColWidth="8.64453125" defaultRowHeight="14.35" x14ac:dyDescent="0.5"/>
  <cols>
    <col min="1" max="1" width="4" customWidth="1"/>
    <col min="2" max="2" width="24" customWidth="1"/>
    <col min="3" max="3" width="34" customWidth="1"/>
    <col min="4" max="4" width="40" customWidth="1"/>
    <col min="5" max="5" width="50" customWidth="1"/>
  </cols>
  <sheetData>
    <row r="1" spans="1:5" ht="23.1" customHeight="1" x14ac:dyDescent="0.5">
      <c r="A1" s="2" t="s">
        <v>1104</v>
      </c>
      <c r="B1" s="3"/>
      <c r="C1" s="3"/>
      <c r="D1" s="3"/>
      <c r="E1" s="3"/>
    </row>
    <row r="2" spans="1:5" ht="17.100000000000001" customHeight="1" x14ac:dyDescent="0.5">
      <c r="A2" s="4" t="s">
        <v>1105</v>
      </c>
      <c r="B2" s="3"/>
      <c r="C2" s="3"/>
      <c r="D2" s="3"/>
      <c r="E2" s="3"/>
    </row>
    <row r="3" spans="1:5" ht="15" customHeight="1" x14ac:dyDescent="0.5">
      <c r="A3" s="3"/>
      <c r="B3" s="3"/>
      <c r="C3" s="3"/>
      <c r="D3" s="3"/>
      <c r="E3" s="3"/>
    </row>
    <row r="4" spans="1:5" ht="17.100000000000001" customHeight="1" x14ac:dyDescent="0.5">
      <c r="A4" s="5" t="s">
        <v>1054</v>
      </c>
      <c r="B4" s="5" t="s">
        <v>2</v>
      </c>
      <c r="C4" s="5" t="s">
        <v>1106</v>
      </c>
      <c r="D4" s="5" t="s">
        <v>1107</v>
      </c>
      <c r="E4" s="5" t="s">
        <v>1108</v>
      </c>
    </row>
    <row r="5" spans="1:5" ht="55.5" customHeight="1" x14ac:dyDescent="0.5">
      <c r="A5" s="23">
        <v>1</v>
      </c>
      <c r="B5" s="6" t="s">
        <v>1109</v>
      </c>
      <c r="C5" s="6" t="s">
        <v>1110</v>
      </c>
      <c r="D5" s="6" t="s">
        <v>1111</v>
      </c>
      <c r="E5" s="6" t="s">
        <v>1112</v>
      </c>
    </row>
    <row r="6" spans="1:5" ht="55.5" customHeight="1" x14ac:dyDescent="0.5">
      <c r="A6" s="23">
        <v>2</v>
      </c>
      <c r="B6" s="6" t="s">
        <v>1113</v>
      </c>
      <c r="C6" s="6" t="s">
        <v>1114</v>
      </c>
      <c r="D6" s="6" t="s">
        <v>1115</v>
      </c>
      <c r="E6" s="6" t="s">
        <v>1116</v>
      </c>
    </row>
    <row r="7" spans="1:5" ht="55.5" customHeight="1" x14ac:dyDescent="0.5">
      <c r="A7" s="23">
        <v>3</v>
      </c>
      <c r="B7" s="6" t="s">
        <v>1117</v>
      </c>
      <c r="C7" s="6" t="s">
        <v>1118</v>
      </c>
      <c r="D7" s="6" t="s">
        <v>1119</v>
      </c>
      <c r="E7" s="6" t="s">
        <v>123</v>
      </c>
    </row>
    <row r="8" spans="1:5" ht="55.5" customHeight="1" x14ac:dyDescent="0.5">
      <c r="A8" s="23">
        <v>4</v>
      </c>
      <c r="B8" s="6" t="s">
        <v>1120</v>
      </c>
      <c r="C8" s="6" t="s">
        <v>1121</v>
      </c>
      <c r="D8" s="6" t="s">
        <v>1122</v>
      </c>
      <c r="E8" s="6" t="s">
        <v>123</v>
      </c>
    </row>
    <row r="9" spans="1:5" ht="55.5" customHeight="1" x14ac:dyDescent="0.5">
      <c r="A9" s="23">
        <v>5</v>
      </c>
      <c r="B9" s="6" t="s">
        <v>1123</v>
      </c>
      <c r="C9" s="6" t="s">
        <v>1124</v>
      </c>
      <c r="D9" s="6" t="s">
        <v>1125</v>
      </c>
      <c r="E9" s="6" t="s">
        <v>128</v>
      </c>
    </row>
    <row r="10" spans="1:5" ht="55.5" customHeight="1" x14ac:dyDescent="0.5">
      <c r="A10" s="23">
        <v>6</v>
      </c>
      <c r="B10" s="6" t="s">
        <v>1126</v>
      </c>
      <c r="C10" s="6" t="s">
        <v>1127</v>
      </c>
      <c r="D10" s="6" t="s">
        <v>1128</v>
      </c>
      <c r="E10" s="6" t="s">
        <v>1129</v>
      </c>
    </row>
    <row r="11" spans="1:5" ht="55.5" customHeight="1" x14ac:dyDescent="0.5">
      <c r="A11" s="23">
        <v>7</v>
      </c>
      <c r="B11" s="6" t="s">
        <v>1130</v>
      </c>
      <c r="C11" s="6" t="s">
        <v>1131</v>
      </c>
      <c r="D11" s="6" t="s">
        <v>1132</v>
      </c>
      <c r="E11" s="6" t="s">
        <v>1133</v>
      </c>
    </row>
    <row r="12" spans="1:5" ht="55.5" customHeight="1" x14ac:dyDescent="0.5">
      <c r="A12" s="23">
        <v>8</v>
      </c>
      <c r="B12" s="6" t="s">
        <v>1134</v>
      </c>
      <c r="C12" s="6" t="s">
        <v>1135</v>
      </c>
      <c r="D12" s="6" t="s">
        <v>1136</v>
      </c>
      <c r="E12" s="6" t="s">
        <v>1137</v>
      </c>
    </row>
  </sheetData>
  <autoFilter ref="A4:E12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2"/>
  <sheetViews>
    <sheetView workbookViewId="0">
      <pane ySplit="4" topLeftCell="A5" activePane="bottomLeft" state="frozen"/>
      <selection pane="bottomLeft"/>
    </sheetView>
  </sheetViews>
  <sheetFormatPr defaultColWidth="8.64453125" defaultRowHeight="14.35" x14ac:dyDescent="0.5"/>
  <cols>
    <col min="1" max="1" width="4" customWidth="1"/>
    <col min="2" max="2" width="24" customWidth="1"/>
    <col min="3" max="3" width="34" customWidth="1"/>
    <col min="4" max="4" width="40" customWidth="1"/>
    <col min="5" max="5" width="50" customWidth="1"/>
  </cols>
  <sheetData>
    <row r="1" spans="1:5" ht="23.1" customHeight="1" x14ac:dyDescent="0.5">
      <c r="A1" s="2" t="s">
        <v>1138</v>
      </c>
      <c r="B1" s="3"/>
      <c r="C1" s="3"/>
      <c r="D1" s="3"/>
      <c r="E1" s="3"/>
    </row>
    <row r="2" spans="1:5" ht="17.100000000000001" customHeight="1" x14ac:dyDescent="0.5">
      <c r="A2" s="4" t="s">
        <v>1139</v>
      </c>
      <c r="B2" s="3"/>
      <c r="C2" s="3"/>
      <c r="D2" s="3"/>
      <c r="E2" s="3"/>
    </row>
    <row r="3" spans="1:5" ht="15" customHeight="1" x14ac:dyDescent="0.5">
      <c r="A3" s="3"/>
      <c r="B3" s="3"/>
      <c r="C3" s="3"/>
      <c r="D3" s="3"/>
      <c r="E3" s="3"/>
    </row>
    <row r="4" spans="1:5" ht="17.100000000000001" customHeight="1" x14ac:dyDescent="0.5">
      <c r="A4" s="5" t="s">
        <v>1054</v>
      </c>
      <c r="B4" s="5" t="s">
        <v>2</v>
      </c>
      <c r="C4" s="5" t="s">
        <v>1140</v>
      </c>
      <c r="D4" s="5" t="s">
        <v>1141</v>
      </c>
      <c r="E4" s="5" t="s">
        <v>1085</v>
      </c>
    </row>
    <row r="5" spans="1:5" ht="55.5" customHeight="1" x14ac:dyDescent="0.5">
      <c r="A5" s="23">
        <v>1</v>
      </c>
      <c r="B5" s="6" t="s">
        <v>1086</v>
      </c>
      <c r="C5" s="6" t="s">
        <v>1142</v>
      </c>
      <c r="D5" s="6" t="s">
        <v>1088</v>
      </c>
      <c r="E5" s="6" t="s">
        <v>1143</v>
      </c>
    </row>
    <row r="6" spans="1:5" ht="55.5" customHeight="1" x14ac:dyDescent="0.5">
      <c r="A6" s="23">
        <v>2</v>
      </c>
      <c r="B6" s="6" t="s">
        <v>1090</v>
      </c>
      <c r="C6" s="6" t="s">
        <v>1144</v>
      </c>
      <c r="D6" s="6" t="s">
        <v>1092</v>
      </c>
      <c r="E6" s="6" t="s">
        <v>1145</v>
      </c>
    </row>
    <row r="7" spans="1:5" ht="55.5" customHeight="1" x14ac:dyDescent="0.5">
      <c r="A7" s="23">
        <v>3</v>
      </c>
      <c r="B7" s="6" t="s">
        <v>123</v>
      </c>
      <c r="C7" s="6" t="s">
        <v>1095</v>
      </c>
      <c r="D7" s="6" t="s">
        <v>723</v>
      </c>
      <c r="E7" s="6" t="s">
        <v>1146</v>
      </c>
    </row>
    <row r="8" spans="1:5" ht="55.5" customHeight="1" x14ac:dyDescent="0.5">
      <c r="A8" s="23">
        <v>4</v>
      </c>
      <c r="B8" s="6" t="s">
        <v>128</v>
      </c>
      <c r="C8" s="6" t="s">
        <v>1095</v>
      </c>
      <c r="D8" s="6" t="s">
        <v>723</v>
      </c>
      <c r="E8" s="6" t="s">
        <v>1147</v>
      </c>
    </row>
    <row r="9" spans="1:5" ht="55.5" customHeight="1" x14ac:dyDescent="0.5">
      <c r="A9" s="23">
        <v>5</v>
      </c>
      <c r="B9" s="6" t="s">
        <v>1148</v>
      </c>
      <c r="C9" s="6" t="s">
        <v>1149</v>
      </c>
      <c r="D9" s="6" t="s">
        <v>723</v>
      </c>
      <c r="E9" s="6" t="s">
        <v>1150</v>
      </c>
    </row>
    <row r="10" spans="1:5" ht="55.5" customHeight="1" x14ac:dyDescent="0.5">
      <c r="A10" s="23">
        <v>6</v>
      </c>
      <c r="B10" s="6" t="s">
        <v>1151</v>
      </c>
      <c r="C10" s="6" t="s">
        <v>1095</v>
      </c>
      <c r="D10" s="6" t="s">
        <v>1152</v>
      </c>
      <c r="E10" s="6" t="s">
        <v>1153</v>
      </c>
    </row>
    <row r="11" spans="1:5" ht="55.5" customHeight="1" x14ac:dyDescent="0.5">
      <c r="A11" s="23">
        <v>7</v>
      </c>
      <c r="B11" s="6" t="s">
        <v>1100</v>
      </c>
      <c r="C11" s="6" t="s">
        <v>1101</v>
      </c>
      <c r="D11" s="6" t="s">
        <v>1154</v>
      </c>
      <c r="E11" s="6" t="s">
        <v>1155</v>
      </c>
    </row>
    <row r="12" spans="1:5" ht="55.5" customHeight="1" x14ac:dyDescent="0.5">
      <c r="A12" s="23">
        <v>8</v>
      </c>
      <c r="B12" s="6" t="s">
        <v>1156</v>
      </c>
      <c r="C12" s="6" t="s">
        <v>1157</v>
      </c>
      <c r="D12" s="6" t="s">
        <v>148</v>
      </c>
      <c r="E12" s="6" t="s">
        <v>1158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UAT 執行清單</vt:lpstr>
      <vt:lpstr>SSI 候選明細</vt:lpstr>
      <vt:lpstr>輸入指引</vt:lpstr>
      <vt:lpstr>情境對照</vt:lpstr>
      <vt:lpstr>證據與範圍</vt:lpstr>
      <vt:lpstr>UI Fail-Closed</vt:lpstr>
      <vt:lpstr>Scenario Behavior</vt:lpstr>
      <vt:lpstr>v15.2 新增案例</vt:lpstr>
      <vt:lpstr>未決項清單</vt:lpstr>
      <vt:lpstr>變更說明 R6</vt:lpstr>
      <vt:lpstr>變更說明 R7</vt:lpstr>
      <vt:lpstr>變更說明 R8</vt:lpstr>
      <vt:lpstr>變更說明 R9</vt:lpstr>
      <vt:lpstr>變更說明 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Tseng</cp:lastModifiedBy>
  <cp:revision>0</cp:revision>
  <dcterms:created xsi:type="dcterms:W3CDTF">2026-09-11T06:02:34Z</dcterms:created>
  <dcterms:modified xsi:type="dcterms:W3CDTF">2026-09-11T15:30:36Z</dcterms:modified>
  <dc:language>en-US</dc:language>
</cp:coreProperties>
</file>