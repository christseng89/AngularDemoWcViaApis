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Control" sheetId="1" state="visible" ns1:id="rId1"/>
    <sheet name="BA Ruling" sheetId="2" state="visible" ns1:id="rId2"/>
    <sheet name="Scope" sheetId="3" state="visible" ns1:id="rId3"/>
    <sheet name="Field Matrix" sheetId="4" state="visible" ns1:id="rId4"/>
    <sheet name="NVR Semantics" sheetId="5" state="visible" ns1:id="rId5"/>
    <sheet name="MT-MX Mapping" sheetId="6" state="visible" ns1:id="rId6"/>
    <sheet name="BA Open Decisions" sheetId="7" state="visible" ns1:id="rId7"/>
    <sheet name="TDD Cases" sheetId="8" state="visible" ns1:id="rId8"/>
    <sheet name="Scenario Registry" sheetId="9" state="visible" ns1:id="rId9"/>
    <sheet name="Fixture Manifest" sheetId="10" state="visible" ns1:id="rId10"/>
    <sheet name="Evidence Controls" sheetId="11" state="visible" ns1:id="rId11"/>
    <sheet name="Source Register" sheetId="12" state="visible" ns1:id="rId12"/>
    <sheet name="Coverage Ledger" sheetId="13" state="visible" ns1:id="rId13"/>
    <sheet name="Change Log" sheetId="14" state="visible" ns1:id="rId14"/>
  </sheets>
  <definedNames>
    <definedName name="_xlnm._FilterDatabase" localSheetId="1" hidden="1">'BA Ruling'!$A$1:$D$7</definedName>
    <definedName name="_xlnm._FilterDatabase" localSheetId="2" hidden="1">'Scope'!$A$1:$F$11</definedName>
    <definedName name="_xlnm._FilterDatabase" localSheetId="3" hidden="1">'Field Matrix'!$A$1:$H$25</definedName>
    <definedName name="_xlnm._FilterDatabase" localSheetId="4" hidden="1">'NVR Semantics'!$A$1:$F$8</definedName>
    <definedName name="_xlnm._FilterDatabase" localSheetId="5" hidden="1">'MT-MX Mapping'!$A$1:$E$9</definedName>
    <definedName name="_xlnm._FilterDatabase" localSheetId="6" hidden="1">'BA Open Decisions'!$A$1:$F$6</definedName>
    <definedName name="_xlnm._FilterDatabase" localSheetId="7" hidden="1">'TDD Cases'!$A$1:$T$75</definedName>
    <definedName name="_xlnm._FilterDatabase" localSheetId="8" hidden="1">'Scenario Registry'!$A$1:$G$75</definedName>
    <definedName name="_xlnm._FilterDatabase" localSheetId="9" hidden="1">'Fixture Manifest'!$A$1:$K$75</definedName>
    <definedName name="_xlnm._FilterDatabase" localSheetId="10" hidden="1">'Evidence Controls'!$A$1:$E$9</definedName>
    <definedName name="_xlnm._FilterDatabase" localSheetId="11" hidden="1">'Source Register'!$A$1:$E$7</definedName>
    <definedName name="_xlnm._FilterDatabase" localSheetId="12" hidden="1">'Coverage Ledger'!$A$1:$E$15</definedName>
    <definedName name="_xlnm._FilterDatabase" localSheetId="13" hidden="1">'Change Log'!$A$1:$E$4</definedName>
  </definedNames>
  <calcPr calcId="191029" calcMode="auto" calcCompleted="1" calcOnSave="0"/>
</workbook>
</file>

<file path=xl/calcChain.xml><?xml version="1.0" encoding="utf-8"?>
<calcChain xmlns="http://schemas.openxmlformats.org/spreadsheetml/2006/main">
  <c r="B2" i="13" l="1"/>
  <c r="D2"/>
  <c r="B3"/>
  <c r="D3"/>
  <c r="B4"/>
  <c r="D4"/>
  <c r="B5"/>
  <c r="D5"/>
  <c r="B6"/>
  <c r="D6"/>
  <c r="B7"/>
  <c r="D7"/>
  <c r="B8"/>
  <c r="D8"/>
  <c r="B9"/>
  <c r="D9"/>
  <c r="B10"/>
  <c r="D10"/>
  <c r="B11"/>
  <c r="D11"/>
  <c r="B12"/>
  <c r="D12"/>
  <c r="B13"/>
  <c r="D13"/>
  <c r="B14"/>
  <c r="D14"/>
  <c r="B15"/>
  <c r="D15"/>
</calcChain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sz val="11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worksheet" Target="/xl/worksheets/sheet13.xml" Id="rId13" /><ns0:Relationship Type="http://schemas.openxmlformats.org/officeDocument/2006/relationships/worksheet" Target="/xl/worksheets/sheet14.xml" Id="rId14" /><ns0:Relationship Type="http://schemas.openxmlformats.org/officeDocument/2006/relationships/styles" Target="styles.xml" Id="rId15" /><ns0:Relationship Type="http://schemas.openxmlformats.org/officeDocument/2006/relationships/theme" Target="theme/theme1.xml" Id="rId16" /><ns0:Relationship Id="rId17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MT1 / pacs.008 SR2026 Standard SSI — Controlled TDD v1</t>
        </is>
      </c>
    </row>
    <row r="2"/>
    <row r="3">
      <c r="A3" s="2" t="inlineStr">
        <is>
          <t>Status</t>
        </is>
      </c>
      <c r="B3" s="3" t="inlineStr">
        <is>
          <t>CONTROLLED DRAFT — BA/QA SIGN-OFF PENDING</t>
        </is>
      </c>
    </row>
    <row r="4">
      <c r="A4" s="2" t="inlineStr">
        <is>
          <t>Prepared</t>
        </is>
      </c>
      <c r="B4" s="4" t="inlineStr">
        <is>
          <t>2026-09-13</t>
        </is>
      </c>
    </row>
    <row r="5">
      <c r="A5" s="2" t="inlineStr">
        <is>
          <t>Architecture</t>
        </is>
      </c>
      <c r="B5" s="4" t="inlineStr">
        <is>
          <t>Configuration / DB -&gt; API -&gt; Page parameter model -&gt; Generic UI</t>
        </is>
      </c>
    </row>
    <row r="6">
      <c r="A6" s="2" t="inlineStr">
        <is>
          <t>Scope</t>
        </is>
      </c>
      <c r="B6" s="4" t="inlineStr">
        <is>
          <t>MT1 standard SSI and SR2026 pacs.008 plain/STP</t>
        </is>
      </c>
    </row>
    <row r="7">
      <c r="A7" s="2" t="inlineStr">
        <is>
          <t>Font</t>
        </is>
      </c>
      <c r="B7" s="4" t="inlineStr">
        <is>
          <t>Times New Roman 11</t>
        </is>
      </c>
    </row>
    <row r="8">
      <c r="A8" s="2" t="inlineStr">
        <is>
          <t>Evidence rule</t>
        </is>
      </c>
      <c r="B8" s="4" t="inlineStr">
        <is>
          <t>File name + SHA-256 + page; raw JSON; full key tree first</t>
        </is>
      </c>
    </row>
    <row r="9">
      <c r="A9" s="2" t="inlineStr">
        <is>
          <t>Execution rule</t>
        </is>
      </c>
      <c r="B9" s="4" t="inlineStr">
        <is>
          <t>All cases start NOT_EXECUTED; no inferred PASS</t>
        </is>
      </c>
    </row>
    <row r="10">
      <c r="A10" s="2" t="inlineStr">
        <is>
          <t>Source conflict</t>
        </is>
      </c>
      <c r="B10" s="4" t="inlineStr">
        <is>
          <t>Earlier internal workbook excludes all MT1; proposed scope requires BA sign-off</t>
        </is>
      </c>
    </row>
    <row r="11">
      <c r="A11" s="2" t="inlineStr">
        <is>
          <t>Version conflict</t>
        </is>
      </c>
      <c r="B11" s="4" t="inlineStr">
        <is>
          <t>Official supplied UG=.001.08; repository observation=.001.12</t>
        </is>
      </c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2" customWidth="1" min="3" max="3"/>
    <col width="28" customWidth="1" min="4" max="4"/>
  </cols>
  <sheetData>
    <row r="1" ht="30" customHeight="1">
      <c r="A1" s="5" t="inlineStr">
        <is>
          <t>Item</t>
        </is>
      </c>
      <c r="B1" s="5" t="inlineStr">
        <is>
          <t>Proposed ruling</t>
        </is>
      </c>
      <c r="C1" s="5" t="inlineStr">
        <is>
          <t>Authority</t>
        </is>
      </c>
      <c r="D1" s="5" t="inlineStr">
        <is>
          <t>Status</t>
        </is>
      </c>
    </row>
    <row r="2" ht="42" customHeight="1">
      <c r="A2" s="6" t="inlineStr">
        <is>
          <t>MT103 family</t>
        </is>
      </c>
      <c r="B2" s="6" t="inlineStr">
        <is>
          <t>Include MT103/REMIT/STP as proposed standard-SSI customer-credit profiles</t>
        </is>
      </c>
      <c r="C2" s="6" t="inlineStr">
        <is>
          <t>MRG + pacs.008 UGs + BA</t>
        </is>
      </c>
      <c r="D2" s="7" t="inlineStr">
        <is>
          <t>PENDING_BA</t>
        </is>
      </c>
    </row>
    <row r="3" ht="42" customHeight="1">
      <c r="A3" s="6" t="inlineStr">
        <is>
          <t>MT101</t>
        </is>
      </c>
      <c r="B3" s="6" t="inlineStr">
        <is>
          <t>Reference-only until execution boundary is approved</t>
        </is>
      </c>
      <c r="C3" s="6" t="inlineStr">
        <is>
          <t>MRG mapping + BA</t>
        </is>
      </c>
      <c r="D3" s="7" t="inlineStr">
        <is>
          <t>PENDING_BA</t>
        </is>
      </c>
    </row>
    <row r="4" ht="42" customHeight="1">
      <c r="A4" s="6" t="inlineStr">
        <is>
          <t>MT102 family</t>
        </is>
      </c>
      <c r="B4" s="6" t="inlineStr">
        <is>
          <t>Do not execute until split/atomicity model is approved</t>
        </is>
      </c>
      <c r="C4" s="6" t="inlineStr">
        <is>
          <t>MRG + BA</t>
        </is>
      </c>
      <c r="D4" s="7" t="inlineStr">
        <is>
          <t>PENDING_BA</t>
        </is>
      </c>
    </row>
    <row r="5" ht="42" customHeight="1">
      <c r="A5" s="6" t="inlineStr">
        <is>
          <t>MT104/107</t>
        </is>
      </c>
      <c r="B5" s="6" t="inlineStr">
        <is>
          <t>Exclude from pacs.008; no fallback</t>
        </is>
      </c>
      <c r="C5" s="6" t="inlineStr">
        <is>
          <t>MRG scope</t>
        </is>
      </c>
      <c r="D5" s="6" t="inlineStr">
        <is>
          <t>CONFIRMED_SOURCE_BOUNDARY</t>
        </is>
      </c>
    </row>
    <row r="6" ht="42" customHeight="1">
      <c r="A6" s="6" t="inlineStr">
        <is>
          <t>Profile routing</t>
        </is>
      </c>
      <c r="B6" s="6" t="inlineStr">
        <is>
          <t>Use business scenario + BizSvc; never MsgDefIdr alone</t>
        </is>
      </c>
      <c r="C6" s="6" t="inlineStr">
        <is>
          <t>plain/STP UG p.10</t>
        </is>
      </c>
      <c r="D6" s="6" t="inlineStr">
        <is>
          <t>CONFIRMED_SOURCE</t>
        </is>
      </c>
    </row>
    <row r="7" ht="42" customHeight="1">
      <c r="A7" s="6" t="inlineStr">
        <is>
          <t>Version</t>
        </is>
      </c>
      <c r="B7" s="6" t="inlineStr">
        <is>
          <t>Do not equate .001.08 and repository .001.12 without evidence</t>
        </is>
      </c>
      <c r="C7" s="6" t="inlineStr">
        <is>
          <t>Source register</t>
        </is>
      </c>
      <c r="D7" s="7" t="inlineStr">
        <is>
          <t>OPEN</t>
        </is>
      </c>
    </row>
  </sheetData>
  <autoFilter ref="A1:D7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2" customWidth="1" min="3" max="3"/>
    <col width="34" customWidth="1" min="4" max="4"/>
    <col width="38" customWidth="1" min="5" max="5"/>
    <col width="58" customWidth="1" min="6" max="6"/>
  </cols>
  <sheetData>
    <row r="1" ht="30" customHeight="1">
      <c r="A1" s="5" t="inlineStr">
        <is>
          <t>Message/Profile</t>
        </is>
      </c>
      <c r="B1" s="5" t="inlineStr">
        <is>
          <t>Description</t>
        </is>
      </c>
      <c r="C1" s="5" t="inlineStr">
        <is>
          <t>Classification</t>
        </is>
      </c>
      <c r="D1" s="5" t="inlineStr">
        <is>
          <t>SSI-related roles</t>
        </is>
      </c>
      <c r="E1" s="5" t="inlineStr">
        <is>
          <t>Source</t>
        </is>
      </c>
      <c r="F1" s="5" t="inlineStr">
        <is>
          <t>Control note</t>
        </is>
      </c>
    </row>
    <row r="2" ht="42" customHeight="1">
      <c r="A2" s="6" t="inlineStr">
        <is>
          <t>MT101</t>
        </is>
      </c>
      <c r="B2" s="6" t="inlineStr">
        <is>
          <t>Request for Transfer</t>
        </is>
      </c>
      <c r="C2" s="7" t="inlineStr">
        <is>
          <t>REFERENCE_ONLY_PENDING_BA</t>
        </is>
      </c>
      <c r="D2" s="6" t="inlineStr">
        <is>
          <t>52a,56a,57a</t>
        </is>
      </c>
      <c r="E2" s="6" t="inlineStr">
        <is>
          <t>us1m pp.14–18, 26–45, 51–64</t>
        </is>
      </c>
      <c r="F2" s="6" t="inlineStr">
        <is>
          <t>Request/execution boundary must be explicit</t>
        </is>
      </c>
    </row>
    <row r="3" ht="42" customHeight="1">
      <c r="A3" s="6" t="inlineStr">
        <is>
          <t>MT102</t>
        </is>
      </c>
      <c r="B3" s="6" t="inlineStr">
        <is>
          <t>Multiple Customer Credit Transfer</t>
        </is>
      </c>
      <c r="C3" s="7" t="inlineStr">
        <is>
          <t>PENDING_BA_SCOPE</t>
        </is>
      </c>
      <c r="D3" s="6" t="inlineStr">
        <is>
          <t>52a,53a,57a</t>
        </is>
      </c>
      <c r="E3" s="6" t="inlineStr">
        <is>
          <t>us1m pp.71–77, 89–113</t>
        </is>
      </c>
      <c r="F3" s="6" t="inlineStr">
        <is>
          <t>Decide message-level versus per-transaction resolution</t>
        </is>
      </c>
    </row>
    <row r="4" ht="42" customHeight="1">
      <c r="A4" s="6" t="inlineStr">
        <is>
          <t>MT102STP</t>
        </is>
      </c>
      <c r="B4" s="6" t="inlineStr">
        <is>
          <t>Multiple Customer Credit Transfer STP</t>
        </is>
      </c>
      <c r="C4" s="7" t="inlineStr">
        <is>
          <t>PENDING_BA_SCOPE</t>
        </is>
      </c>
      <c r="D4" s="6" t="inlineStr">
        <is>
          <t>52a,53a,57a</t>
        </is>
      </c>
      <c r="E4" s="6" t="inlineStr">
        <is>
          <t>us1m pp.124–160</t>
        </is>
      </c>
      <c r="F4" s="6" t="inlineStr">
        <is>
          <t>Separate strict profile</t>
        </is>
      </c>
    </row>
    <row r="5" ht="42" customHeight="1">
      <c r="A5" s="6" t="inlineStr">
        <is>
          <t>MT103</t>
        </is>
      </c>
      <c r="B5" s="6" t="inlineStr">
        <is>
          <t>Single Customer Credit Transfer</t>
        </is>
      </c>
      <c r="C5" s="6" t="inlineStr">
        <is>
          <t>IN_SCOPE_PROPOSED</t>
        </is>
      </c>
      <c r="D5" s="6" t="inlineStr">
        <is>
          <t>52a–57a</t>
        </is>
      </c>
      <c r="E5" s="6" t="inlineStr">
        <is>
          <t>us1m pp.171–181,193–203</t>
        </is>
      </c>
      <c r="F5" s="6" t="inlineStr">
        <is>
          <t>Formal BA sign-off required</t>
        </is>
      </c>
    </row>
    <row r="6" ht="42" customHeight="1">
      <c r="A6" s="6" t="inlineStr">
        <is>
          <t>MT103REMIT</t>
        </is>
      </c>
      <c r="B6" s="6" t="inlineStr">
        <is>
          <t>Single Customer Credit Transfer REMIT</t>
        </is>
      </c>
      <c r="C6" s="6" t="inlineStr">
        <is>
          <t>IN_SCOPE_PROPOSED</t>
        </is>
      </c>
      <c r="D6" s="6" t="inlineStr">
        <is>
          <t>52a–57a</t>
        </is>
      </c>
      <c r="E6" s="6" t="inlineStr">
        <is>
          <t>us1m pp.255–287</t>
        </is>
      </c>
      <c r="F6" s="6" t="inlineStr">
        <is>
          <t>Separate NVR set</t>
        </is>
      </c>
    </row>
    <row r="7" ht="42" customHeight="1">
      <c r="A7" s="6" t="inlineStr">
        <is>
          <t>MT103STP</t>
        </is>
      </c>
      <c r="B7" s="6" t="inlineStr">
        <is>
          <t>Single Customer Credit Transfer STP</t>
        </is>
      </c>
      <c r="C7" s="6" t="inlineStr">
        <is>
          <t>IN_SCOPE_PROPOSED</t>
        </is>
      </c>
      <c r="D7" s="6" t="inlineStr">
        <is>
          <t>52a–57a</t>
        </is>
      </c>
      <c r="E7" s="6" t="inlineStr">
        <is>
          <t>us1m pp.297–318+</t>
        </is>
      </c>
      <c r="F7" s="6" t="inlineStr">
        <is>
          <t>Separate strict profile</t>
        </is>
      </c>
    </row>
    <row r="8" ht="42" customHeight="1">
      <c r="A8" s="6" t="inlineStr">
        <is>
          <t>MT104</t>
        </is>
      </c>
      <c r="B8" s="6" t="inlineStr">
        <is>
          <t>Direct Debit / Request for Debit Transfer</t>
        </is>
      </c>
      <c r="C8" s="6" t="inlineStr">
        <is>
          <t>OUT_OF_PACS008_SCOPE</t>
        </is>
      </c>
      <c r="D8" s="6" t="inlineStr">
        <is>
          <t>direct-debit roles</t>
        </is>
      </c>
      <c r="E8" s="6" t="inlineStr">
        <is>
          <t>us1m p.356</t>
        </is>
      </c>
      <c r="F8" s="6" t="inlineStr">
        <is>
          <t>No pacs.008 fallback</t>
        </is>
      </c>
    </row>
    <row r="9" ht="42" customHeight="1">
      <c r="A9" s="6" t="inlineStr">
        <is>
          <t>MT107</t>
        </is>
      </c>
      <c r="B9" s="6" t="inlineStr">
        <is>
          <t>General Direct Debit</t>
        </is>
      </c>
      <c r="C9" s="6" t="inlineStr">
        <is>
          <t>OUT_OF_PACS008_SCOPE</t>
        </is>
      </c>
      <c r="D9" s="6" t="inlineStr">
        <is>
          <t>direct-debit roles</t>
        </is>
      </c>
      <c r="E9" s="6" t="inlineStr">
        <is>
          <t>us1m p.394</t>
        </is>
      </c>
      <c r="F9" s="6" t="inlineStr">
        <is>
          <t>No pacs.008 fallback</t>
        </is>
      </c>
    </row>
    <row r="10" ht="42" customHeight="1">
      <c r="A10" s="6" t="inlineStr">
        <is>
          <t>pacs.008.001.08 plain</t>
        </is>
      </c>
      <c r="B10" s="6" t="inlineStr">
        <is>
          <t>FIToFI Customer Credit Transfer</t>
        </is>
      </c>
      <c r="C10" s="6" t="inlineStr">
        <is>
          <t>IN_SCOPE_PROPOSED</t>
        </is>
      </c>
      <c r="D10" s="6" t="inlineStr">
        <is>
          <t>settlement/reimbursement/agent chain</t>
        </is>
      </c>
      <c r="E10" s="6" t="inlineStr">
        <is>
          <t>plain UG p.10 onward</t>
        </is>
      </c>
      <c r="F10" s="6" t="inlineStr">
        <is>
          <t>BizSvc swift.cbprplus.04</t>
        </is>
      </c>
    </row>
    <row r="11" ht="42" customHeight="1">
      <c r="A11" s="6" t="inlineStr">
        <is>
          <t>pacs.008.001.08 STP</t>
        </is>
      </c>
      <c r="B11" s="6" t="inlineStr">
        <is>
          <t>FIToFI Customer Credit Transfer STP</t>
        </is>
      </c>
      <c r="C11" s="6" t="inlineStr">
        <is>
          <t>IN_SCOPE_PROPOSED</t>
        </is>
      </c>
      <c r="D11" s="6" t="inlineStr">
        <is>
          <t>settlement/reimbursement/agent chain</t>
        </is>
      </c>
      <c r="E11" s="6" t="inlineStr">
        <is>
          <t>STP UG p.10 onward</t>
        </is>
      </c>
      <c r="F11" s="6" t="inlineStr">
        <is>
          <t>BizSvc swift.cbprplus.stp.04</t>
        </is>
      </c>
    </row>
  </sheetData>
  <autoFilter ref="A1:F11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36" customWidth="1" min="4" max="4"/>
    <col width="26" customWidth="1" min="5" max="5"/>
    <col width="28" customWidth="1" min="6" max="6"/>
    <col width="46" customWidth="1" min="7" max="7"/>
    <col width="36" customWidth="1" min="8" max="8"/>
  </cols>
  <sheetData>
    <row r="1" ht="30" customHeight="1">
      <c r="A1" s="5" t="inlineStr">
        <is>
          <t>Message/Profile</t>
        </is>
      </c>
      <c r="B1" s="5" t="inlineStr">
        <is>
          <t>Sequence</t>
        </is>
      </c>
      <c r="C1" s="5" t="inlineStr">
        <is>
          <t>Tag</t>
        </is>
      </c>
      <c r="D1" s="5" t="inlineStr">
        <is>
          <t>Official role</t>
        </is>
      </c>
      <c r="E1" s="5" t="inlineStr">
        <is>
          <t>Options</t>
        </is>
      </c>
      <c r="F1" s="5" t="inlineStr">
        <is>
          <t>Data owner</t>
        </is>
      </c>
      <c r="G1" s="5" t="inlineStr">
        <is>
          <t>Key rule</t>
        </is>
      </c>
      <c r="H1" s="5" t="inlineStr">
        <is>
          <t>Evidence</t>
        </is>
      </c>
    </row>
    <row r="2" ht="42" customHeight="1">
      <c r="A2" s="6" t="inlineStr">
        <is>
          <t>MT101</t>
        </is>
      </c>
      <c r="B2" s="6" t="inlineStr">
        <is>
          <t>A/B</t>
        </is>
      </c>
      <c r="C2" s="6" t="inlineStr">
        <is>
          <t>52a</t>
        </is>
      </c>
      <c r="D2" s="6" t="inlineStr">
        <is>
          <t>Account Servicing Institution</t>
        </is>
      </c>
      <c r="E2" s="6" t="inlineStr">
        <is>
          <t>A,C</t>
        </is>
      </c>
      <c r="F2" s="6" t="inlineStr">
        <is>
          <t>UPSTREAM/REFERENCE</t>
        </is>
      </c>
      <c r="G2" s="6" t="inlineStr">
        <is>
          <t>C6 sequence-exclusive</t>
        </is>
      </c>
      <c r="H2" s="6" t="inlineStr">
        <is>
          <t>us1m pp.17,26–28,37–39</t>
        </is>
      </c>
    </row>
    <row r="3" ht="42" customHeight="1">
      <c r="A3" s="6" t="inlineStr">
        <is>
          <t>MT101</t>
        </is>
      </c>
      <c r="B3" s="6" t="inlineStr">
        <is>
          <t>B</t>
        </is>
      </c>
      <c r="C3" s="6" t="inlineStr">
        <is>
          <t>56a</t>
        </is>
      </c>
      <c r="D3" s="6" t="inlineStr">
        <is>
          <t>Intermediary</t>
        </is>
      </c>
      <c r="E3" s="6" t="inlineStr">
        <is>
          <t>A,C,D</t>
        </is>
      </c>
      <c r="F3" s="6" t="inlineStr">
        <is>
          <t>UPSTREAM/REFERENCE</t>
        </is>
      </c>
      <c r="G3" s="6" t="inlineStr">
        <is>
          <t>C7 requires 57a</t>
        </is>
      </c>
      <c r="H3" s="6" t="inlineStr">
        <is>
          <t>us1m pp.18,39–42</t>
        </is>
      </c>
    </row>
    <row r="4" ht="42" customHeight="1">
      <c r="A4" s="6" t="inlineStr">
        <is>
          <t>MT101</t>
        </is>
      </c>
      <c r="B4" s="6" t="inlineStr">
        <is>
          <t>B</t>
        </is>
      </c>
      <c r="C4" s="6" t="inlineStr">
        <is>
          <t>57a</t>
        </is>
      </c>
      <c r="D4" s="6" t="inlineStr">
        <is>
          <t>Account With Institution</t>
        </is>
      </c>
      <c r="E4" s="6" t="inlineStr">
        <is>
          <t>A,C,D</t>
        </is>
      </c>
      <c r="F4" s="6" t="inlineStr">
        <is>
          <t>UPSTREAM/REFERENCE</t>
        </is>
      </c>
      <c r="G4" s="6" t="inlineStr">
        <is>
          <t>absence=Receiver is AWI</t>
        </is>
      </c>
      <c r="H4" s="6" t="inlineStr">
        <is>
          <t>us1m pp.42–45</t>
        </is>
      </c>
    </row>
    <row r="5" ht="42" customHeight="1">
      <c r="A5" s="6" t="inlineStr">
        <is>
          <t>MT102</t>
        </is>
      </c>
      <c r="B5" s="6" t="inlineStr">
        <is>
          <t>A/B</t>
        </is>
      </c>
      <c r="C5" s="6" t="inlineStr">
        <is>
          <t>52a</t>
        </is>
      </c>
      <c r="D5" s="6" t="inlineStr">
        <is>
          <t>Ordering Institution</t>
        </is>
      </c>
      <c r="E5" s="6" t="inlineStr">
        <is>
          <t>A,B,C,D by exact sequence</t>
        </is>
      </c>
      <c r="F5" s="7" t="inlineStr">
        <is>
          <t>PENDING_BA</t>
        </is>
      </c>
      <c r="G5" s="6" t="inlineStr">
        <is>
          <t>sequence-exclusive</t>
        </is>
      </c>
      <c r="H5" s="6" t="inlineStr">
        <is>
          <t>us1m pp.73–77,89,98</t>
        </is>
      </c>
    </row>
    <row r="6" ht="42" customHeight="1">
      <c r="A6" s="6" t="inlineStr">
        <is>
          <t>MT102</t>
        </is>
      </c>
      <c r="B6" s="6" t="inlineStr">
        <is>
          <t>B</t>
        </is>
      </c>
      <c r="C6" s="6" t="inlineStr">
        <is>
          <t>57a</t>
        </is>
      </c>
      <c r="D6" s="6" t="inlineStr">
        <is>
          <t>Account With Institution</t>
        </is>
      </c>
      <c r="E6" s="6" t="inlineStr">
        <is>
          <t>A,C,D</t>
        </is>
      </c>
      <c r="F6" s="7" t="inlineStr">
        <is>
          <t>PENDING_BA</t>
        </is>
      </c>
      <c r="G6" s="6" t="inlineStr">
        <is>
          <t>absence=Receiver is AWI</t>
        </is>
      </c>
      <c r="H6" s="6" t="inlineStr">
        <is>
          <t>us1m pp.100–103</t>
        </is>
      </c>
    </row>
    <row r="7" ht="42" customHeight="1">
      <c r="A7" s="6" t="inlineStr">
        <is>
          <t>MT102</t>
        </is>
      </c>
      <c r="B7" s="6" t="inlineStr">
        <is>
          <t>C</t>
        </is>
      </c>
      <c r="C7" s="6" t="inlineStr">
        <is>
          <t>53a</t>
        </is>
      </c>
      <c r="D7" s="6" t="inlineStr">
        <is>
          <t>Sender's Correspondent</t>
        </is>
      </c>
      <c r="E7" s="6" t="inlineStr">
        <is>
          <t>profile-specific</t>
        </is>
      </c>
      <c r="F7" s="7" t="inlineStr">
        <is>
          <t>PENDING_BA</t>
        </is>
      </c>
      <c r="G7" s="6" t="inlineStr">
        <is>
          <t>multiplicity/no-direct relationship</t>
        </is>
      </c>
      <c r="H7" s="6" t="inlineStr">
        <is>
          <t>us1m pp.111–113</t>
        </is>
      </c>
    </row>
    <row r="8" ht="42" customHeight="1">
      <c r="A8" s="6" t="inlineStr">
        <is>
          <t>MT103</t>
        </is>
      </c>
      <c r="B8" s="6" t="inlineStr">
        <is>
          <t>BASE</t>
        </is>
      </c>
      <c r="C8" s="6" t="inlineStr">
        <is>
          <t>52a</t>
        </is>
      </c>
      <c r="D8" s="6" t="inlineStr">
        <is>
          <t>Ordering Institution</t>
        </is>
      </c>
      <c r="E8" s="6" t="inlineStr">
        <is>
          <t>per exact profile</t>
        </is>
      </c>
      <c r="F8" s="6" t="inlineStr">
        <is>
          <t>TRANSACTION/UPSTREAM</t>
        </is>
      </c>
      <c r="G8" s="6" t="inlineStr">
        <is>
          <t>Do not share permissive option set</t>
        </is>
      </c>
      <c r="H8" s="6" t="inlineStr">
        <is>
          <t>us1m pp.193–203</t>
        </is>
      </c>
    </row>
    <row r="9" ht="42" customHeight="1">
      <c r="A9" s="6" t="inlineStr">
        <is>
          <t>MT103</t>
        </is>
      </c>
      <c r="B9" s="6" t="inlineStr">
        <is>
          <t>BASE</t>
        </is>
      </c>
      <c r="C9" s="6" t="inlineStr">
        <is>
          <t>53a</t>
        </is>
      </c>
      <c r="D9" s="6" t="inlineStr">
        <is>
          <t>Sender's Correspondent</t>
        </is>
      </c>
      <c r="E9" s="6" t="inlineStr">
        <is>
          <t>per exact profile</t>
        </is>
      </c>
      <c r="F9" s="6" t="inlineStr">
        <is>
          <t>OWN_SSI/NOSTRO</t>
        </is>
      </c>
      <c r="G9" s="6" t="inlineStr">
        <is>
          <t>Do not share permissive option set</t>
        </is>
      </c>
      <c r="H9" s="6" t="inlineStr">
        <is>
          <t>us1m pp.193–203</t>
        </is>
      </c>
    </row>
    <row r="10" ht="42" customHeight="1">
      <c r="A10" s="6" t="inlineStr">
        <is>
          <t>MT103</t>
        </is>
      </c>
      <c r="B10" s="6" t="inlineStr">
        <is>
          <t>BASE</t>
        </is>
      </c>
      <c r="C10" s="6" t="inlineStr">
        <is>
          <t>54a</t>
        </is>
      </c>
      <c r="D10" s="6" t="inlineStr">
        <is>
          <t>Receiver's Correspondent</t>
        </is>
      </c>
      <c r="E10" s="6" t="inlineStr">
        <is>
          <t>per exact profile</t>
        </is>
      </c>
      <c r="F10" s="6" t="inlineStr">
        <is>
          <t>COUNTERPARTY_SSI</t>
        </is>
      </c>
      <c r="G10" s="6" t="inlineStr">
        <is>
          <t>Do not share permissive option set</t>
        </is>
      </c>
      <c r="H10" s="6" t="inlineStr">
        <is>
          <t>us1m pp.193–203</t>
        </is>
      </c>
    </row>
    <row r="11" ht="42" customHeight="1">
      <c r="A11" s="6" t="inlineStr">
        <is>
          <t>MT103</t>
        </is>
      </c>
      <c r="B11" s="6" t="inlineStr">
        <is>
          <t>BASE</t>
        </is>
      </c>
      <c r="C11" s="6" t="inlineStr">
        <is>
          <t>55a</t>
        </is>
      </c>
      <c r="D11" s="6" t="inlineStr">
        <is>
          <t>Third Reimbursement Institution</t>
        </is>
      </c>
      <c r="E11" s="6" t="inlineStr">
        <is>
          <t>per exact profile</t>
        </is>
      </c>
      <c r="F11" s="6" t="inlineStr">
        <is>
          <t>COUNTERPARTY_SSI</t>
        </is>
      </c>
      <c r="G11" s="6" t="inlineStr">
        <is>
          <t>Do not share permissive option set</t>
        </is>
      </c>
      <c r="H11" s="6" t="inlineStr">
        <is>
          <t>us1m pp.193–203</t>
        </is>
      </c>
    </row>
    <row r="12" ht="42" customHeight="1">
      <c r="A12" s="6" t="inlineStr">
        <is>
          <t>MT103</t>
        </is>
      </c>
      <c r="B12" s="6" t="inlineStr">
        <is>
          <t>BASE</t>
        </is>
      </c>
      <c r="C12" s="6" t="inlineStr">
        <is>
          <t>56a</t>
        </is>
      </c>
      <c r="D12" s="6" t="inlineStr">
        <is>
          <t>Intermediary Institution</t>
        </is>
      </c>
      <c r="E12" s="6" t="inlineStr">
        <is>
          <t>per exact profile</t>
        </is>
      </c>
      <c r="F12" s="6" t="inlineStr">
        <is>
          <t>COUNTERPARTY_SSI</t>
        </is>
      </c>
      <c r="G12" s="6" t="inlineStr">
        <is>
          <t>Do not share permissive option set</t>
        </is>
      </c>
      <c r="H12" s="6" t="inlineStr">
        <is>
          <t>us1m pp.193–203</t>
        </is>
      </c>
    </row>
    <row r="13" ht="42" customHeight="1">
      <c r="A13" s="6" t="inlineStr">
        <is>
          <t>MT103</t>
        </is>
      </c>
      <c r="B13" s="6" t="inlineStr">
        <is>
          <t>BASE</t>
        </is>
      </c>
      <c r="C13" s="6" t="inlineStr">
        <is>
          <t>57a</t>
        </is>
      </c>
      <c r="D13" s="6" t="inlineStr">
        <is>
          <t>Account With Institution</t>
        </is>
      </c>
      <c r="E13" s="6" t="inlineStr">
        <is>
          <t>per exact profile</t>
        </is>
      </c>
      <c r="F13" s="6" t="inlineStr">
        <is>
          <t>COUNTERPARTY_SSI</t>
        </is>
      </c>
      <c r="G13" s="6" t="inlineStr">
        <is>
          <t>Do not share permissive option set</t>
        </is>
      </c>
      <c r="H13" s="6" t="inlineStr">
        <is>
          <t>us1m pp.193–203</t>
        </is>
      </c>
    </row>
    <row r="14" ht="42" customHeight="1">
      <c r="A14" s="6" t="inlineStr">
        <is>
          <t>MT103REMIT</t>
        </is>
      </c>
      <c r="B14" s="6" t="inlineStr">
        <is>
          <t>BASE</t>
        </is>
      </c>
      <c r="C14" s="6" t="inlineStr">
        <is>
          <t>52a</t>
        </is>
      </c>
      <c r="D14" s="6" t="inlineStr">
        <is>
          <t>Ordering Institution</t>
        </is>
      </c>
      <c r="E14" s="6" t="inlineStr">
        <is>
          <t>per exact profile</t>
        </is>
      </c>
      <c r="F14" s="6" t="inlineStr">
        <is>
          <t>TRANSACTION/UPSTREAM</t>
        </is>
      </c>
      <c r="G14" s="6" t="inlineStr">
        <is>
          <t>Do not share permissive option set</t>
        </is>
      </c>
      <c r="H14" s="6" t="inlineStr">
        <is>
          <t>us1m pp.277–287</t>
        </is>
      </c>
    </row>
    <row r="15" ht="42" customHeight="1">
      <c r="A15" s="6" t="inlineStr">
        <is>
          <t>MT103REMIT</t>
        </is>
      </c>
      <c r="B15" s="6" t="inlineStr">
        <is>
          <t>BASE</t>
        </is>
      </c>
      <c r="C15" s="6" t="inlineStr">
        <is>
          <t>53a</t>
        </is>
      </c>
      <c r="D15" s="6" t="inlineStr">
        <is>
          <t>Sender's Correspondent</t>
        </is>
      </c>
      <c r="E15" s="6" t="inlineStr">
        <is>
          <t>per exact profile</t>
        </is>
      </c>
      <c r="F15" s="6" t="inlineStr">
        <is>
          <t>OWN_SSI/NOSTRO</t>
        </is>
      </c>
      <c r="G15" s="6" t="inlineStr">
        <is>
          <t>Do not share permissive option set</t>
        </is>
      </c>
      <c r="H15" s="6" t="inlineStr">
        <is>
          <t>us1m pp.277–287</t>
        </is>
      </c>
    </row>
    <row r="16" ht="42" customHeight="1">
      <c r="A16" s="6" t="inlineStr">
        <is>
          <t>MT103REMIT</t>
        </is>
      </c>
      <c r="B16" s="6" t="inlineStr">
        <is>
          <t>BASE</t>
        </is>
      </c>
      <c r="C16" s="6" t="inlineStr">
        <is>
          <t>54a</t>
        </is>
      </c>
      <c r="D16" s="6" t="inlineStr">
        <is>
          <t>Receiver's Correspondent</t>
        </is>
      </c>
      <c r="E16" s="6" t="inlineStr">
        <is>
          <t>per exact profile</t>
        </is>
      </c>
      <c r="F16" s="6" t="inlineStr">
        <is>
          <t>COUNTERPARTY_SSI</t>
        </is>
      </c>
      <c r="G16" s="6" t="inlineStr">
        <is>
          <t>Do not share permissive option set</t>
        </is>
      </c>
      <c r="H16" s="6" t="inlineStr">
        <is>
          <t>us1m pp.277–287</t>
        </is>
      </c>
    </row>
    <row r="17" ht="42" customHeight="1">
      <c r="A17" s="6" t="inlineStr">
        <is>
          <t>MT103REMIT</t>
        </is>
      </c>
      <c r="B17" s="6" t="inlineStr">
        <is>
          <t>BASE</t>
        </is>
      </c>
      <c r="C17" s="6" t="inlineStr">
        <is>
          <t>55a</t>
        </is>
      </c>
      <c r="D17" s="6" t="inlineStr">
        <is>
          <t>Third Reimbursement Institution</t>
        </is>
      </c>
      <c r="E17" s="6" t="inlineStr">
        <is>
          <t>per exact profile</t>
        </is>
      </c>
      <c r="F17" s="6" t="inlineStr">
        <is>
          <t>COUNTERPARTY_SSI</t>
        </is>
      </c>
      <c r="G17" s="6" t="inlineStr">
        <is>
          <t>Do not share permissive option set</t>
        </is>
      </c>
      <c r="H17" s="6" t="inlineStr">
        <is>
          <t>us1m pp.277–287</t>
        </is>
      </c>
    </row>
    <row r="18" ht="42" customHeight="1">
      <c r="A18" s="6" t="inlineStr">
        <is>
          <t>MT103REMIT</t>
        </is>
      </c>
      <c r="B18" s="6" t="inlineStr">
        <is>
          <t>BASE</t>
        </is>
      </c>
      <c r="C18" s="6" t="inlineStr">
        <is>
          <t>56a</t>
        </is>
      </c>
      <c r="D18" s="6" t="inlineStr">
        <is>
          <t>Intermediary Institution</t>
        </is>
      </c>
      <c r="E18" s="6" t="inlineStr">
        <is>
          <t>per exact profile</t>
        </is>
      </c>
      <c r="F18" s="6" t="inlineStr">
        <is>
          <t>COUNTERPARTY_SSI</t>
        </is>
      </c>
      <c r="G18" s="6" t="inlineStr">
        <is>
          <t>Do not share permissive option set</t>
        </is>
      </c>
      <c r="H18" s="6" t="inlineStr">
        <is>
          <t>us1m pp.277–287</t>
        </is>
      </c>
    </row>
    <row r="19" ht="42" customHeight="1">
      <c r="A19" s="6" t="inlineStr">
        <is>
          <t>MT103REMIT</t>
        </is>
      </c>
      <c r="B19" s="6" t="inlineStr">
        <is>
          <t>BASE</t>
        </is>
      </c>
      <c r="C19" s="6" t="inlineStr">
        <is>
          <t>57a</t>
        </is>
      </c>
      <c r="D19" s="6" t="inlineStr">
        <is>
          <t>Account With Institution</t>
        </is>
      </c>
      <c r="E19" s="6" t="inlineStr">
        <is>
          <t>per exact profile</t>
        </is>
      </c>
      <c r="F19" s="6" t="inlineStr">
        <is>
          <t>COUNTERPARTY_SSI</t>
        </is>
      </c>
      <c r="G19" s="6" t="inlineStr">
        <is>
          <t>Do not share permissive option set</t>
        </is>
      </c>
      <c r="H19" s="6" t="inlineStr">
        <is>
          <t>us1m pp.277–287</t>
        </is>
      </c>
    </row>
    <row r="20" ht="42" customHeight="1">
      <c r="A20" s="6" t="inlineStr">
        <is>
          <t>MT103STP</t>
        </is>
      </c>
      <c r="B20" s="6" t="inlineStr">
        <is>
          <t>BASE</t>
        </is>
      </c>
      <c r="C20" s="6" t="inlineStr">
        <is>
          <t>52a</t>
        </is>
      </c>
      <c r="D20" s="6" t="inlineStr">
        <is>
          <t>Ordering Institution</t>
        </is>
      </c>
      <c r="E20" s="6" t="inlineStr">
        <is>
          <t>per exact profile</t>
        </is>
      </c>
      <c r="F20" s="6" t="inlineStr">
        <is>
          <t>TRANSACTION/UPSTREAM</t>
        </is>
      </c>
      <c r="G20" s="6" t="inlineStr">
        <is>
          <t>Do not share permissive option set</t>
        </is>
      </c>
      <c r="H20" s="6" t="inlineStr">
        <is>
          <t>us1m p.318 onward</t>
        </is>
      </c>
    </row>
    <row r="21" ht="42" customHeight="1">
      <c r="A21" s="6" t="inlineStr">
        <is>
          <t>MT103STP</t>
        </is>
      </c>
      <c r="B21" s="6" t="inlineStr">
        <is>
          <t>BASE</t>
        </is>
      </c>
      <c r="C21" s="6" t="inlineStr">
        <is>
          <t>53a</t>
        </is>
      </c>
      <c r="D21" s="6" t="inlineStr">
        <is>
          <t>Sender's Correspondent</t>
        </is>
      </c>
      <c r="E21" s="6" t="inlineStr">
        <is>
          <t>per exact profile</t>
        </is>
      </c>
      <c r="F21" s="6" t="inlineStr">
        <is>
          <t>OWN_SSI/NOSTRO</t>
        </is>
      </c>
      <c r="G21" s="6" t="inlineStr">
        <is>
          <t>Do not share permissive option set</t>
        </is>
      </c>
      <c r="H21" s="6" t="inlineStr">
        <is>
          <t>us1m p.318 onward</t>
        </is>
      </c>
    </row>
    <row r="22" ht="42" customHeight="1">
      <c r="A22" s="6" t="inlineStr">
        <is>
          <t>MT103STP</t>
        </is>
      </c>
      <c r="B22" s="6" t="inlineStr">
        <is>
          <t>BASE</t>
        </is>
      </c>
      <c r="C22" s="6" t="inlineStr">
        <is>
          <t>54a</t>
        </is>
      </c>
      <c r="D22" s="6" t="inlineStr">
        <is>
          <t>Receiver's Correspondent</t>
        </is>
      </c>
      <c r="E22" s="6" t="inlineStr">
        <is>
          <t>per exact profile</t>
        </is>
      </c>
      <c r="F22" s="6" t="inlineStr">
        <is>
          <t>COUNTERPARTY_SSI</t>
        </is>
      </c>
      <c r="G22" s="6" t="inlineStr">
        <is>
          <t>Do not share permissive option set</t>
        </is>
      </c>
      <c r="H22" s="6" t="inlineStr">
        <is>
          <t>us1m p.318 onward</t>
        </is>
      </c>
    </row>
    <row r="23" ht="42" customHeight="1">
      <c r="A23" s="6" t="inlineStr">
        <is>
          <t>MT103STP</t>
        </is>
      </c>
      <c r="B23" s="6" t="inlineStr">
        <is>
          <t>BASE</t>
        </is>
      </c>
      <c r="C23" s="6" t="inlineStr">
        <is>
          <t>55a</t>
        </is>
      </c>
      <c r="D23" s="6" t="inlineStr">
        <is>
          <t>Third Reimbursement Institution</t>
        </is>
      </c>
      <c r="E23" s="6" t="inlineStr">
        <is>
          <t>per exact profile</t>
        </is>
      </c>
      <c r="F23" s="6" t="inlineStr">
        <is>
          <t>COUNTERPARTY_SSI</t>
        </is>
      </c>
      <c r="G23" s="6" t="inlineStr">
        <is>
          <t>Do not share permissive option set</t>
        </is>
      </c>
      <c r="H23" s="6" t="inlineStr">
        <is>
          <t>us1m p.318 onward</t>
        </is>
      </c>
    </row>
    <row r="24" ht="42" customHeight="1">
      <c r="A24" s="6" t="inlineStr">
        <is>
          <t>MT103STP</t>
        </is>
      </c>
      <c r="B24" s="6" t="inlineStr">
        <is>
          <t>BASE</t>
        </is>
      </c>
      <c r="C24" s="6" t="inlineStr">
        <is>
          <t>56a</t>
        </is>
      </c>
      <c r="D24" s="6" t="inlineStr">
        <is>
          <t>Intermediary Institution</t>
        </is>
      </c>
      <c r="E24" s="6" t="inlineStr">
        <is>
          <t>per exact profile</t>
        </is>
      </c>
      <c r="F24" s="6" t="inlineStr">
        <is>
          <t>COUNTERPARTY_SSI</t>
        </is>
      </c>
      <c r="G24" s="6" t="inlineStr">
        <is>
          <t>Do not share permissive option set</t>
        </is>
      </c>
      <c r="H24" s="6" t="inlineStr">
        <is>
          <t>us1m p.318 onward</t>
        </is>
      </c>
    </row>
    <row r="25" ht="42" customHeight="1">
      <c r="A25" s="6" t="inlineStr">
        <is>
          <t>MT103STP</t>
        </is>
      </c>
      <c r="B25" s="6" t="inlineStr">
        <is>
          <t>BASE</t>
        </is>
      </c>
      <c r="C25" s="6" t="inlineStr">
        <is>
          <t>57a</t>
        </is>
      </c>
      <c r="D25" s="6" t="inlineStr">
        <is>
          <t>Account With Institution</t>
        </is>
      </c>
      <c r="E25" s="6" t="inlineStr">
        <is>
          <t>per exact profile</t>
        </is>
      </c>
      <c r="F25" s="6" t="inlineStr">
        <is>
          <t>COUNTERPARTY_SSI</t>
        </is>
      </c>
      <c r="G25" s="6" t="inlineStr">
        <is>
          <t>Do not share permissive option set</t>
        </is>
      </c>
      <c r="H25" s="6" t="inlineStr">
        <is>
          <t>us1m p.318 onward</t>
        </is>
      </c>
    </row>
  </sheetData>
  <autoFilter ref="A1:H2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8" customWidth="1" min="3" max="3"/>
    <col width="30" customWidth="1" min="4" max="4"/>
    <col width="22" customWidth="1" min="5" max="5"/>
    <col width="14" customWidth="1" min="6" max="6"/>
  </cols>
  <sheetData>
    <row r="1" ht="30" customHeight="1">
      <c r="A1" s="5" t="inlineStr">
        <is>
          <t>Message/Profile</t>
        </is>
      </c>
      <c r="B1" s="5" t="inlineStr">
        <is>
          <t>Rule</t>
        </is>
      </c>
      <c r="C1" s="5" t="inlineStr">
        <is>
          <t>Semantic</t>
        </is>
      </c>
      <c r="D1" s="5" t="inlineStr">
        <is>
          <t>Validation owner</t>
        </is>
      </c>
      <c r="E1" s="5" t="inlineStr">
        <is>
          <t>Expected code</t>
        </is>
      </c>
      <c r="F1" s="5" t="inlineStr">
        <is>
          <t>Polarity</t>
        </is>
      </c>
    </row>
    <row r="2" ht="42" customHeight="1">
      <c r="A2" s="6" t="inlineStr">
        <is>
          <t>MT101</t>
        </is>
      </c>
      <c r="B2" s="6" t="inlineStr">
        <is>
          <t>C6</t>
        </is>
      </c>
      <c r="C2" s="6" t="inlineStr">
        <is>
          <t>52a in A excludes 52a in B</t>
        </is>
      </c>
      <c r="D2" s="6" t="inlineStr">
        <is>
          <t>UPSTREAM_FIN_VALIDATOR</t>
        </is>
      </c>
      <c r="E2" s="6" t="inlineStr">
        <is>
          <t>D64</t>
        </is>
      </c>
      <c r="F2" s="6" t="inlineStr">
        <is>
          <t>Negative</t>
        </is>
      </c>
    </row>
    <row r="3" ht="42" customHeight="1">
      <c r="A3" s="6" t="inlineStr">
        <is>
          <t>MT101</t>
        </is>
      </c>
      <c r="B3" s="6" t="inlineStr">
        <is>
          <t>C7</t>
        </is>
      </c>
      <c r="C3" s="6" t="inlineStr">
        <is>
          <t>56a requires 57a</t>
        </is>
      </c>
      <c r="D3" s="6" t="inlineStr">
        <is>
          <t>UPSTREAM_FIN_VALIDATOR</t>
        </is>
      </c>
      <c r="E3" s="6" t="inlineStr">
        <is>
          <t>D65</t>
        </is>
      </c>
      <c r="F3" s="6" t="inlineStr">
        <is>
          <t>Negative</t>
        </is>
      </c>
    </row>
    <row r="4" ht="42" customHeight="1">
      <c r="A4" s="6" t="inlineStr">
        <is>
          <t>MT102</t>
        </is>
      </c>
      <c r="B4" s="6" t="inlineStr">
        <is>
          <t>C5</t>
        </is>
      </c>
      <c r="C4" s="6" t="inlineStr">
        <is>
          <t>52a placement is sequence-exclusive</t>
        </is>
      </c>
      <c r="D4" s="6" t="inlineStr">
        <is>
          <t>UPSTREAM_FIN_VALIDATOR</t>
        </is>
      </c>
      <c r="E4" s="6" t="inlineStr">
        <is>
          <t>D18</t>
        </is>
      </c>
      <c r="F4" s="6" t="inlineStr">
        <is>
          <t>Negative</t>
        </is>
      </c>
    </row>
    <row r="5" ht="42" customHeight="1">
      <c r="A5" s="6" t="inlineStr">
        <is>
          <t>MT103 family</t>
        </is>
      </c>
      <c r="B5" s="6" t="inlineStr">
        <is>
          <t>C7</t>
        </is>
      </c>
      <c r="C5" s="6" t="inlineStr">
        <is>
          <t>55a requires both 53a and 54a</t>
        </is>
      </c>
      <c r="D5" s="6" t="inlineStr">
        <is>
          <t>UPSTREAM_FIN_VALIDATOR</t>
        </is>
      </c>
      <c r="E5" s="6" t="inlineStr">
        <is>
          <t>profile-specific</t>
        </is>
      </c>
      <c r="F5" s="6" t="inlineStr">
        <is>
          <t>Negative</t>
        </is>
      </c>
    </row>
    <row r="6" ht="42" customHeight="1">
      <c r="A6" s="6" t="inlineStr">
        <is>
          <t>MT103 family</t>
        </is>
      </c>
      <c r="B6" s="6" t="inlineStr">
        <is>
          <t>C9</t>
        </is>
      </c>
      <c r="C6" s="6" t="inlineStr">
        <is>
          <t>56a requires 57a</t>
        </is>
      </c>
      <c r="D6" s="6" t="inlineStr">
        <is>
          <t>UPSTREAM_FIN_VALIDATOR</t>
        </is>
      </c>
      <c r="E6" s="6" t="inlineStr">
        <is>
          <t>C81</t>
        </is>
      </c>
      <c r="F6" s="6" t="inlineStr">
        <is>
          <t>Negative</t>
        </is>
      </c>
    </row>
    <row r="7" ht="42" customHeight="1">
      <c r="A7" s="6" t="inlineStr">
        <is>
          <t>MT103 STP</t>
        </is>
      </c>
      <c r="B7" s="6" t="inlineStr">
        <is>
          <t>Profile</t>
        </is>
      </c>
      <c r="C7" s="6" t="inlineStr">
        <is>
          <t>Only STP-permitted options/instruction values</t>
        </is>
      </c>
      <c r="D7" s="6" t="inlineStr">
        <is>
          <t>UPSTREAM_FIN_VALIDATOR</t>
        </is>
      </c>
      <c r="E7" s="6" t="inlineStr">
        <is>
          <t>profile-specific</t>
        </is>
      </c>
      <c r="F7" s="6" t="inlineStr">
        <is>
          <t>Negative</t>
        </is>
      </c>
    </row>
    <row r="8" ht="42" customHeight="1">
      <c r="A8" s="6" t="inlineStr">
        <is>
          <t>pacs.008</t>
        </is>
      </c>
      <c r="B8" s="6" t="inlineStr">
        <is>
          <t>BAH</t>
        </is>
      </c>
      <c r="C8" s="6" t="inlineStr">
        <is>
          <t>From=InstgAgt and To=InstdAgt under applicable copy rules</t>
        </is>
      </c>
      <c r="D8" s="6" t="inlineStr">
        <is>
          <t>UPSTREAM_MX_VALIDATOR</t>
        </is>
      </c>
      <c r="E8" s="6" t="inlineStr">
        <is>
          <t>R rules</t>
        </is>
      </c>
      <c r="F8" s="6" t="inlineStr">
        <is>
          <t>Negative</t>
        </is>
      </c>
    </row>
  </sheetData>
  <autoFilter ref="A1:F8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5" customWidth="1" min="3" max="3"/>
    <col width="46" customWidth="1" min="4" max="4"/>
    <col width="32" customWidth="1" min="5" max="5"/>
  </cols>
  <sheetData>
    <row r="1" ht="30" customHeight="1">
      <c r="A1" s="5" t="inlineStr">
        <is>
          <t>MT field</t>
        </is>
      </c>
      <c r="B1" s="5" t="inlineStr">
        <is>
          <t>MT role</t>
        </is>
      </c>
      <c r="C1" s="5" t="inlineStr">
        <is>
          <t>pacs.008 target</t>
        </is>
      </c>
      <c r="D1" s="5" t="inlineStr">
        <is>
          <t>Invariant</t>
        </is>
      </c>
      <c r="E1" s="5" t="inlineStr">
        <is>
          <t>Evidence</t>
        </is>
      </c>
    </row>
    <row r="2" ht="42" customHeight="1">
      <c r="A2" s="6" t="inlineStr">
        <is>
          <t>53B</t>
        </is>
      </c>
      <c r="B2" s="6" t="inlineStr">
        <is>
          <t>Sender's Correspondent account</t>
        </is>
      </c>
      <c r="C2" s="6" t="inlineStr">
        <is>
          <t>GrpHdr/SttlmInf/SttlmAcct</t>
        </is>
      </c>
      <c r="D2" s="6" t="inlineStr">
        <is>
          <t>Exact active accountReference</t>
        </is>
      </c>
      <c r="E2" s="6" t="inlineStr">
        <is>
          <t>Both UGs p.13</t>
        </is>
      </c>
    </row>
    <row r="3" ht="42" customHeight="1">
      <c r="A3" s="6" t="inlineStr">
        <is>
          <t>53a</t>
        </is>
      </c>
      <c r="B3" s="6" t="inlineStr">
        <is>
          <t>Sender's Correspondent</t>
        </is>
      </c>
      <c r="C3" s="6" t="inlineStr">
        <is>
          <t>InstgRmbrsmntAgt</t>
        </is>
      </c>
      <c r="D3" s="6" t="inlineStr">
        <is>
          <t>Preserve institution/account role</t>
        </is>
      </c>
      <c r="E3" s="6" t="inlineStr">
        <is>
          <t>plain UG pp.14–17</t>
        </is>
      </c>
    </row>
    <row r="4" ht="42" customHeight="1">
      <c r="A4" s="6" t="inlineStr">
        <is>
          <t>54a</t>
        </is>
      </c>
      <c r="B4" s="6" t="inlineStr">
        <is>
          <t>Receiver's Correspondent</t>
        </is>
      </c>
      <c r="C4" s="6" t="inlineStr">
        <is>
          <t>InstdRmbrsmntAgt</t>
        </is>
      </c>
      <c r="D4" s="6" t="inlineStr">
        <is>
          <t>Preserve institution/account role</t>
        </is>
      </c>
      <c r="E4" s="6" t="inlineStr">
        <is>
          <t>plain UG pp.17–20</t>
        </is>
      </c>
    </row>
    <row r="5" ht="42" customHeight="1">
      <c r="A5" s="6" t="inlineStr">
        <is>
          <t>55a</t>
        </is>
      </c>
      <c r="B5" s="6" t="inlineStr">
        <is>
          <t>Third Reimbursement Institution</t>
        </is>
      </c>
      <c r="C5" s="6" t="inlineStr">
        <is>
          <t>ThrdRmbrsmntAgt</t>
        </is>
      </c>
      <c r="D5" s="6" t="inlineStr">
        <is>
          <t>Preserve institution/account role</t>
        </is>
      </c>
      <c r="E5" s="6" t="inlineStr">
        <is>
          <t>plain UG pp.20–23</t>
        </is>
      </c>
    </row>
    <row r="6" ht="42" customHeight="1">
      <c r="A6" s="6" t="inlineStr">
        <is>
          <t>56a</t>
        </is>
      </c>
      <c r="B6" s="6" t="inlineStr">
        <is>
          <t>Intermediary Institution</t>
        </is>
      </c>
      <c r="C6" s="6" t="inlineStr">
        <is>
          <t>IntrmyAgt1..3</t>
        </is>
      </c>
      <c r="D6" s="6" t="inlineStr">
        <is>
          <t>Ordered chain; no collapse</t>
        </is>
      </c>
      <c r="E6" s="6" t="inlineStr">
        <is>
          <t>plain UG pp.37–45</t>
        </is>
      </c>
    </row>
    <row r="7" ht="42" customHeight="1">
      <c r="A7" s="6" t="inlineStr">
        <is>
          <t>57a</t>
        </is>
      </c>
      <c r="B7" s="6" t="inlineStr">
        <is>
          <t>Account With Institution</t>
        </is>
      </c>
      <c r="C7" s="6" t="inlineStr">
        <is>
          <t>CdtrAgt or governed chain destination</t>
        </is>
      </c>
      <c r="D7" s="6" t="inlineStr">
        <is>
          <t>Context-sensitive mapping</t>
        </is>
      </c>
      <c r="E7" s="6" t="inlineStr">
        <is>
          <t>plain UG pp.57–59</t>
        </is>
      </c>
    </row>
    <row r="8" ht="42" customHeight="1">
      <c r="A8" s="6" t="inlineStr">
        <is>
          <t>BAH From</t>
        </is>
      </c>
      <c r="B8" s="6" t="inlineStr">
        <is>
          <t>Sender</t>
        </is>
      </c>
      <c r="C8" s="6" t="inlineStr">
        <is>
          <t>InstgAgt</t>
        </is>
      </c>
      <c r="D8" s="6" t="inlineStr">
        <is>
          <t>Formal consistency</t>
        </is>
      </c>
      <c r="E8" s="6" t="inlineStr">
        <is>
          <t>plain UG p.91;STP p.53</t>
        </is>
      </c>
    </row>
    <row r="9" ht="42" customHeight="1">
      <c r="A9" s="6" t="inlineStr">
        <is>
          <t>BAH To</t>
        </is>
      </c>
      <c r="B9" s="6" t="inlineStr">
        <is>
          <t>Receiver</t>
        </is>
      </c>
      <c r="C9" s="6" t="inlineStr">
        <is>
          <t>InstdAgt</t>
        </is>
      </c>
      <c r="D9" s="6" t="inlineStr">
        <is>
          <t>Formal consistency</t>
        </is>
      </c>
      <c r="E9" s="6" t="inlineStr">
        <is>
          <t>plain UG p.90;STP p.52–53</t>
        </is>
      </c>
    </row>
  </sheetData>
  <autoFilter ref="A1:E9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70" customWidth="1" min="3" max="3"/>
    <col width="22" customWidth="1" min="4" max="4"/>
    <col width="30" customWidth="1" min="5" max="5"/>
    <col width="14" customWidth="1" min="6" max="6"/>
  </cols>
  <sheetData>
    <row r="1" ht="30" customHeight="1">
      <c r="A1" s="5" t="inlineStr">
        <is>
          <t>ID</t>
        </is>
      </c>
      <c r="B1" s="5" t="inlineStr">
        <is>
          <t>Area</t>
        </is>
      </c>
      <c r="C1" s="5" t="inlineStr">
        <is>
          <t>Decision required</t>
        </is>
      </c>
      <c r="D1" s="5" t="inlineStr">
        <is>
          <t>Owner</t>
        </is>
      </c>
      <c r="E1" s="5" t="inlineStr">
        <is>
          <t>Impact</t>
        </is>
      </c>
      <c r="F1" s="5" t="inlineStr">
        <is>
          <t>Status</t>
        </is>
      </c>
    </row>
    <row r="2" ht="42" customHeight="1">
      <c r="A2" s="7" t="inlineStr">
        <is>
          <t>OPEN-MT1-001</t>
        </is>
      </c>
      <c r="B2" s="6" t="inlineStr">
        <is>
          <t>Scope</t>
        </is>
      </c>
      <c r="C2" s="6" t="inlineStr">
        <is>
          <t>Confirm MT103/REMIT/STP inclusion versus source workbook's earlier all-MT1 exclusion</t>
        </is>
      </c>
      <c r="D2" s="6" t="inlineStr">
        <is>
          <t>BA</t>
        </is>
      </c>
      <c r="E2" s="6" t="inlineStr">
        <is>
          <t>BLOCKS FINAL ACCEPTANCE</t>
        </is>
      </c>
      <c r="F2" s="7" t="inlineStr">
        <is>
          <t>OPEN</t>
        </is>
      </c>
    </row>
    <row r="3" ht="42" customHeight="1">
      <c r="A3" s="7" t="inlineStr">
        <is>
          <t>OPEN-MT1-002</t>
        </is>
      </c>
      <c r="B3" s="6" t="inlineStr">
        <is>
          <t>Scope</t>
        </is>
      </c>
      <c r="C3" s="6" t="inlineStr">
        <is>
          <t>Confirm MT101 reference-only or define pre-execution SSI resolution</t>
        </is>
      </c>
      <c r="D3" s="6" t="inlineStr">
        <is>
          <t>BA</t>
        </is>
      </c>
      <c r="E3" s="6" t="inlineStr">
        <is>
          <t>BLOCKS MT101 EXECUTION</t>
        </is>
      </c>
      <c r="F3" s="7" t="inlineStr">
        <is>
          <t>OPEN</t>
        </is>
      </c>
    </row>
    <row r="4" ht="42" customHeight="1">
      <c r="A4" s="7" t="inlineStr">
        <is>
          <t>OPEN-MT1-003</t>
        </is>
      </c>
      <c r="B4" s="6" t="inlineStr">
        <is>
          <t>Scope</t>
        </is>
      </c>
      <c r="C4" s="6" t="inlineStr">
        <is>
          <t>Decide MT102/102 STP message-level versus per-transaction resolution/atomicity</t>
        </is>
      </c>
      <c r="D4" s="6" t="inlineStr">
        <is>
          <t>BA</t>
        </is>
      </c>
      <c r="E4" s="6" t="inlineStr">
        <is>
          <t>BLOCKS MT102 EXECUTION</t>
        </is>
      </c>
      <c r="F4" s="7" t="inlineStr">
        <is>
          <t>OPEN</t>
        </is>
      </c>
    </row>
    <row r="5" ht="42" customHeight="1">
      <c r="A5" s="7" t="inlineStr">
        <is>
          <t>OPEN-MT1-004</t>
        </is>
      </c>
      <c r="B5" s="6" t="inlineStr">
        <is>
          <t>Version</t>
        </is>
      </c>
      <c r="C5" s="6" t="inlineStr">
        <is>
          <t>Official SR2026 UGs are pacs.008.001.08 while repository currently models .001.12</t>
        </is>
      </c>
      <c r="D5" s="6" t="inlineStr">
        <is>
          <t>BA/Architecture</t>
        </is>
      </c>
      <c r="E5" s="6" t="inlineStr">
        <is>
          <t>BLOCKS MX ACCEPTANCE</t>
        </is>
      </c>
      <c r="F5" s="7" t="inlineStr">
        <is>
          <t>OPEN</t>
        </is>
      </c>
    </row>
    <row r="6" ht="42" customHeight="1">
      <c r="A6" s="7" t="inlineStr">
        <is>
          <t>OPEN-MT1-005</t>
        </is>
      </c>
      <c r="B6" s="6" t="inlineStr">
        <is>
          <t>Profile</t>
        </is>
      </c>
      <c r="C6" s="6" t="inlineStr">
        <is>
          <t>Confirm plain/STP share canonical route snapshot but retain separate validation profiles</t>
        </is>
      </c>
      <c r="D6" s="6" t="inlineStr">
        <is>
          <t>BA/QA</t>
        </is>
      </c>
      <c r="E6" s="6" t="inlineStr">
        <is>
          <t>BLOCKS PROFILE SIGN-OFF</t>
        </is>
      </c>
      <c r="F6" s="7" t="inlineStr">
        <is>
          <t>OPEN</t>
        </is>
      </c>
    </row>
  </sheetData>
  <autoFilter ref="A1:F6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38" customWidth="1" min="4" max="4"/>
    <col width="46" customWidth="1" min="5" max="5"/>
    <col width="28" customWidth="1" min="6" max="6"/>
    <col width="46" customWidth="1" min="7" max="7"/>
    <col width="52" customWidth="1" min="8" max="8"/>
    <col width="32" customWidth="1" min="9" max="9"/>
    <col width="42" customWidth="1" min="10" max="10"/>
    <col width="26" customWidth="1" min="11" max="11"/>
    <col width="14" customWidth="1" min="12" max="12"/>
    <col width="28" customWidth="1" min="13" max="13"/>
    <col width="26" customWidth="1" min="14" max="14"/>
    <col width="26" customWidth="1" min="15" max="15"/>
    <col width="48" customWidth="1" min="16" max="16"/>
    <col width="30" customWidth="1" min="17" max="17"/>
    <col width="20" customWidth="1" min="18" max="18"/>
    <col width="30" customWidth="1" min="19" max="19"/>
    <col width="58" customWidth="1" min="20" max="20"/>
  </cols>
  <sheetData>
    <row r="1" ht="30" customHeight="1">
      <c r="A1" s="5" t="inlineStr">
        <is>
          <t>Case ID</t>
        </is>
      </c>
      <c r="B1" s="5" t="inlineStr">
        <is>
          <t>Message/Profile</t>
        </is>
      </c>
      <c r="C1" s="5" t="inlineStr">
        <is>
          <t>Sequence</t>
        </is>
      </c>
      <c r="D1" s="5" t="inlineStr">
        <is>
          <t>Scenario</t>
        </is>
      </c>
      <c r="E1" s="5" t="inlineStr">
        <is>
          <t>Input</t>
        </is>
      </c>
      <c r="F1" s="5" t="inlineStr">
        <is>
          <t>Data ownership</t>
        </is>
      </c>
      <c r="G1" s="5" t="inlineStr">
        <is>
          <t>Expected MT</t>
        </is>
      </c>
      <c r="H1" s="5" t="inlineStr">
        <is>
          <t>Expected MX</t>
        </is>
      </c>
      <c r="I1" s="5" t="inlineStr">
        <is>
          <t>Expected resolution</t>
        </is>
      </c>
      <c r="J1" s="5" t="inlineStr">
        <is>
          <t>Source evidence</t>
        </is>
      </c>
      <c r="K1" s="5" t="inlineStr">
        <is>
          <t>Design status</t>
        </is>
      </c>
      <c r="L1" s="5" t="inlineStr">
        <is>
          <t>Polarity</t>
        </is>
      </c>
      <c r="M1" s="5" t="inlineStr">
        <is>
          <t>Fixture class</t>
        </is>
      </c>
      <c r="N1" s="5" t="inlineStr">
        <is>
          <t>Fixture binding</t>
        </is>
      </c>
      <c r="O1" s="5" t="inlineStr">
        <is>
          <t>Expected HTTP</t>
        </is>
      </c>
      <c r="P1" s="5" t="inlineStr">
        <is>
          <t>Defect rule</t>
        </is>
      </c>
      <c r="Q1" s="5" t="inlineStr">
        <is>
          <t>TDD state</t>
        </is>
      </c>
      <c r="R1" s="5" t="inlineStr">
        <is>
          <t>Execution status</t>
        </is>
      </c>
      <c r="S1" s="5" t="inlineStr">
        <is>
          <t>Validation owner</t>
        </is>
      </c>
      <c r="T1" s="5" t="inlineStr">
        <is>
          <t>Required evidence</t>
        </is>
      </c>
    </row>
    <row r="2" ht="42" customHeight="1">
      <c r="A2" s="6" t="inlineStr">
        <is>
          <t>MT103-001</t>
        </is>
      </c>
      <c r="B2" s="6" t="inlineStr">
        <is>
          <t>MT103</t>
        </is>
      </c>
      <c r="C2" s="6" t="inlineStr">
        <is>
          <t>BASE</t>
        </is>
      </c>
      <c r="D2" s="6" t="inlineStr">
        <is>
          <t>Unique direct Sender/Receiver account</t>
        </is>
      </c>
      <c r="E2" s="6" t="inlineStr">
        <is>
          <t>currency=USD; one active direct account; Receiver=CdtrAgt</t>
        </is>
      </c>
      <c r="F2" s="6" t="inlineStr">
        <is>
          <t>OWN_SSI + TRANSACTION</t>
        </is>
      </c>
      <c r="G2" s="6" t="inlineStr">
        <is>
          <t>53a/54a/56a/57a omitted by rule; 52A from transaction if applicable</t>
        </is>
      </c>
      <c r="H2" s="6" t="inlineStr">
        <is>
          <t>MsgDefIdr=pacs.008.001.08; BizSvc=swift.cbprplus.04; SttlmAcct omitted unless 53B applies</t>
        </is>
      </c>
      <c r="I2" s="6" t="inlineStr">
        <is>
          <t>RESOLVED + explicit omission decisions</t>
        </is>
      </c>
      <c r="J2" s="6" t="inlineStr">
        <is>
          <t>us1m_20260717.pdf SHA 54002BDF...E90E70 pp.171–181, 193–203</t>
        </is>
      </c>
      <c r="K2" s="6" t="inlineStr">
        <is>
          <t>PROPOSED_IN_SCOPE</t>
        </is>
      </c>
      <c r="L2" s="8" t="inlineStr">
        <is>
          <t>POSITIVE</t>
        </is>
      </c>
      <c r="M2" s="8" t="inlineStr">
        <is>
          <t>MT1-CANONICAL-POSITIVE</t>
        </is>
      </c>
      <c r="N2" s="6" t="inlineStr">
        <is>
          <t>FIX-MT103-001@v1</t>
        </is>
      </c>
      <c r="O2" s="6" t="inlineStr">
        <is>
          <t>200</t>
        </is>
      </c>
      <c r="P2" s="6" t="inlineStr">
        <is>
          <t>PRODUCT DEFECT if route/omission differs</t>
        </is>
      </c>
      <c r="Q2" s="6" t="inlineStr">
        <is>
          <t>RED — SPECIFIED, NOT EXECUTED</t>
        </is>
      </c>
      <c r="R2" s="6" t="inlineStr">
        <is>
          <t>NOT_EXECUTED</t>
        </is>
      </c>
      <c r="S2" s="6" t="inlineStr">
        <is>
          <t>SSI_FIELD_RESOLUTION_API</t>
        </is>
      </c>
      <c r="T2" s="6" t="inlineStr">
        <is>
          <t>Raw JSON key tree + MT/MX + rendering decisions + snapshot identity</t>
        </is>
      </c>
    </row>
    <row r="3" ht="42" customHeight="1">
      <c r="A3" s="6" t="inlineStr">
        <is>
          <t>MT103-002</t>
        </is>
      </c>
      <c r="B3" s="6" t="inlineStr">
        <is>
          <t>MT103</t>
        </is>
      </c>
      <c r="C3" s="6" t="inlineStr">
        <is>
          <t>BASE</t>
        </is>
      </c>
      <c r="D3" s="6" t="inlineStr">
        <is>
          <t>Multiple direct reimbursement accounts</t>
        </is>
      </c>
      <c r="E3" s="6" t="inlineStr">
        <is>
          <t>two distinct active accountReference values; selectedAccount pin</t>
        </is>
      </c>
      <c r="F3" s="6" t="inlineStr">
        <is>
          <t>OWN_SSI/NOSTRO</t>
        </is>
      </c>
      <c r="G3" s="6" t="inlineStr">
        <is>
          <t>53B=/&lt;selected accountReference&gt;; Party Identifier only</t>
        </is>
      </c>
      <c r="H3" s="6" t="inlineStr">
        <is>
          <t>GrpHdr.SttlmInf.SttlmAcct.Id.Othr.Id=&lt;selected accountReference&gt;; BizSvc=swift.cbprplus.04</t>
        </is>
      </c>
      <c r="I3" s="6" t="inlineStr">
        <is>
          <t>RESOLVED</t>
        </is>
      </c>
      <c r="J3" s="6" t="inlineStr">
        <is>
          <t>us1m_20260717.pdf SHA 54002BDF...E90E70 pp.171–181, 193–203</t>
        </is>
      </c>
      <c r="K3" s="6" t="inlineStr">
        <is>
          <t>PROPOSED_IN_SCOPE</t>
        </is>
      </c>
      <c r="L3" s="8" t="inlineStr">
        <is>
          <t>POSITIVE</t>
        </is>
      </c>
      <c r="M3" s="8" t="inlineStr">
        <is>
          <t>MT1-CANONICAL-POSITIVE</t>
        </is>
      </c>
      <c r="N3" s="6" t="inlineStr">
        <is>
          <t>FIX-MT103-002@v1</t>
        </is>
      </c>
      <c r="O3" s="6" t="inlineStr">
        <is>
          <t>200</t>
        </is>
      </c>
      <c r="P3" s="6" t="inlineStr">
        <is>
          <t>PRODUCT DEFECT if maskedAccountRef used or 53B omitted</t>
        </is>
      </c>
      <c r="Q3" s="6" t="inlineStr">
        <is>
          <t>RED — SPECIFIED, NOT EXECUTED</t>
        </is>
      </c>
      <c r="R3" s="6" t="inlineStr">
        <is>
          <t>NOT_EXECUTED</t>
        </is>
      </c>
      <c r="S3" s="6" t="inlineStr">
        <is>
          <t>SSI_FIELD_RESOLUTION_API</t>
        </is>
      </c>
      <c r="T3" s="6" t="inlineStr">
        <is>
          <t>Selected SSI/Nostro IDs and exact accountReference</t>
        </is>
      </c>
    </row>
    <row r="4" ht="42" customHeight="1">
      <c r="A4" s="6" t="inlineStr">
        <is>
          <t>MT103-003</t>
        </is>
      </c>
      <c r="B4" s="6" t="inlineStr">
        <is>
          <t>MT103</t>
        </is>
      </c>
      <c r="C4" s="6" t="inlineStr">
        <is>
          <t>BASE</t>
        </is>
      </c>
      <c r="D4" s="6" t="inlineStr">
        <is>
          <t>No direct reimbursement relationship</t>
        </is>
      </c>
      <c r="E4" s="6" t="inlineStr">
        <is>
          <t>directRelationshipCount=0; governed correspondent SSI exists</t>
        </is>
      </c>
      <c r="F4" s="6" t="inlineStr">
        <is>
          <t>COUNTERPARTY_SSI</t>
        </is>
      </c>
      <c r="G4" s="6" t="inlineStr">
        <is>
          <t>53A=&lt;Sender correspondent BIC&gt;</t>
        </is>
      </c>
      <c r="H4" s="6" t="inlineStr">
        <is>
          <t>InstgRmbrsmntAgt=&lt;same governed institution&gt;</t>
        </is>
      </c>
      <c r="I4" s="6" t="inlineStr">
        <is>
          <t>RESOLVED</t>
        </is>
      </c>
      <c r="J4" s="6" t="inlineStr">
        <is>
          <t>us1m_20260717.pdf SHA 54002BDF...E90E70 pp.171–181, 193–203</t>
        </is>
      </c>
      <c r="K4" s="6" t="inlineStr">
        <is>
          <t>PROPOSED_IN_SCOPE</t>
        </is>
      </c>
      <c r="L4" s="8" t="inlineStr">
        <is>
          <t>POSITIVE</t>
        </is>
      </c>
      <c r="M4" s="8" t="inlineStr">
        <is>
          <t>MT1-CANONICAL-POSITIVE</t>
        </is>
      </c>
      <c r="N4" s="6" t="inlineStr">
        <is>
          <t>FIX-MT103-003@v1</t>
        </is>
      </c>
      <c r="O4" s="6" t="inlineStr">
        <is>
          <t>200</t>
        </is>
      </c>
      <c r="P4" s="6" t="inlineStr">
        <is>
          <t>PRODUCT DEFECT if 53a absent</t>
        </is>
      </c>
      <c r="Q4" s="6" t="inlineStr">
        <is>
          <t>RED — SPECIFIED, NOT EXECUTED</t>
        </is>
      </c>
      <c r="R4" s="6" t="inlineStr">
        <is>
          <t>NOT_EXECUTED</t>
        </is>
      </c>
      <c r="S4" s="6" t="inlineStr">
        <is>
          <t>SSI_FIELD_RESOLUTION_API</t>
        </is>
      </c>
      <c r="T4" s="6" t="inlineStr">
        <is>
          <t>Candidate ranking + chosen route + MT/MX role identity</t>
        </is>
      </c>
    </row>
    <row r="5" ht="42" customHeight="1">
      <c r="A5" s="6" t="inlineStr">
        <is>
          <t>MT103-004</t>
        </is>
      </c>
      <c r="B5" s="6" t="inlineStr">
        <is>
          <t>MT103</t>
        </is>
      </c>
      <c r="C5" s="6" t="inlineStr">
        <is>
          <t>BASE</t>
        </is>
      </c>
      <c r="D5" s="6" t="inlineStr">
        <is>
          <t>Reimbursement chain</t>
        </is>
      </c>
      <c r="E5" s="6" t="inlineStr">
        <is>
          <t>53a,54a,55a governed roles present and distinct</t>
        </is>
      </c>
      <c r="F5" s="6" t="inlineStr">
        <is>
          <t>COUNTERPARTY_SSI</t>
        </is>
      </c>
      <c r="G5" s="6" t="inlineStr">
        <is>
          <t>53A,54A,55A rendered in correct roles</t>
        </is>
      </c>
      <c r="H5" s="6" t="inlineStr">
        <is>
          <t>InstgRmbrsmntAgt/InstdRmbrsmntAgt/ThrdRmbrsmntAgt preserved</t>
        </is>
      </c>
      <c r="I5" s="6" t="inlineStr">
        <is>
          <t>RESOLVED</t>
        </is>
      </c>
      <c r="J5" s="6" t="inlineStr">
        <is>
          <t>us1m_20260717.pdf SHA 54002BDF...E90E70 pp.171–181, 193–203</t>
        </is>
      </c>
      <c r="K5" s="6" t="inlineStr">
        <is>
          <t>PROPOSED_IN_SCOPE</t>
        </is>
      </c>
      <c r="L5" s="8" t="inlineStr">
        <is>
          <t>POSITIVE</t>
        </is>
      </c>
      <c r="M5" s="8" t="inlineStr">
        <is>
          <t>MT1-CANONICAL-POSITIVE</t>
        </is>
      </c>
      <c r="N5" s="6" t="inlineStr">
        <is>
          <t>FIX-MT103-004@v1</t>
        </is>
      </c>
      <c r="O5" s="6" t="inlineStr">
        <is>
          <t>200</t>
        </is>
      </c>
      <c r="P5" s="6" t="inlineStr">
        <is>
          <t>PRODUCT DEFECT on role collapse or swap</t>
        </is>
      </c>
      <c r="Q5" s="6" t="inlineStr">
        <is>
          <t>RED — SPECIFIED, NOT EXECUTED</t>
        </is>
      </c>
      <c r="R5" s="6" t="inlineStr">
        <is>
          <t>NOT_EXECUTED</t>
        </is>
      </c>
      <c r="S5" s="6" t="inlineStr">
        <is>
          <t>SSI_FIELD_RESOLUTION_API</t>
        </is>
      </c>
      <c r="T5" s="6" t="inlineStr">
        <is>
          <t>Role-by-role provenance and equality oracle</t>
        </is>
      </c>
    </row>
    <row r="6" ht="42" customHeight="1">
      <c r="A6" s="6" t="inlineStr">
        <is>
          <t>MT103-005</t>
        </is>
      </c>
      <c r="B6" s="6" t="inlineStr">
        <is>
          <t>MT103</t>
        </is>
      </c>
      <c r="C6" s="6" t="inlineStr">
        <is>
          <t>BASE</t>
        </is>
      </c>
      <c r="D6" s="6" t="inlineStr">
        <is>
          <t>Intermediary route</t>
        </is>
      </c>
      <c r="E6" s="6" t="inlineStr">
        <is>
          <t>56A and 57A governed roles present; role BICs distinct</t>
        </is>
      </c>
      <c r="F6" s="6" t="inlineStr">
        <is>
          <t>COUNTERPARTY_SSI</t>
        </is>
      </c>
      <c r="G6" s="6" t="inlineStr">
        <is>
          <t>56A=&lt;intermediary&gt;;57A=&lt;account-with institution&gt;</t>
        </is>
      </c>
      <c r="H6" s="6" t="inlineStr">
        <is>
          <t>IntrmyAgt1 and CdtrAgt retain ordered roles</t>
        </is>
      </c>
      <c r="I6" s="6" t="inlineStr">
        <is>
          <t>RESOLVED</t>
        </is>
      </c>
      <c r="J6" s="6" t="inlineStr">
        <is>
          <t>us1m_20260717.pdf SHA 54002BDF...E90E70 pp.171–181, 193–203</t>
        </is>
      </c>
      <c r="K6" s="6" t="inlineStr">
        <is>
          <t>PROPOSED_IN_SCOPE</t>
        </is>
      </c>
      <c r="L6" s="8" t="inlineStr">
        <is>
          <t>POSITIVE</t>
        </is>
      </c>
      <c r="M6" s="8" t="inlineStr">
        <is>
          <t>MT1-CANONICAL-POSITIVE</t>
        </is>
      </c>
      <c r="N6" s="6" t="inlineStr">
        <is>
          <t>FIX-MT103-005@v1</t>
        </is>
      </c>
      <c r="O6" s="6" t="inlineStr">
        <is>
          <t>200</t>
        </is>
      </c>
      <c r="P6" s="6" t="inlineStr">
        <is>
          <t>PRODUCT DEFECT on role collapse or swap</t>
        </is>
      </c>
      <c r="Q6" s="6" t="inlineStr">
        <is>
          <t>RED — SPECIFIED, NOT EXECUTED</t>
        </is>
      </c>
      <c r="R6" s="6" t="inlineStr">
        <is>
          <t>NOT_EXECUTED</t>
        </is>
      </c>
      <c r="S6" s="6" t="inlineStr">
        <is>
          <t>SSI_FIELD_RESOLUTION_API</t>
        </is>
      </c>
      <c r="T6" s="6" t="inlineStr">
        <is>
          <t>Role provenance + ordered agent-chain oracle</t>
        </is>
      </c>
    </row>
    <row r="7" ht="42" customHeight="1">
      <c r="A7" s="6" t="inlineStr">
        <is>
          <t>MT103-006</t>
        </is>
      </c>
      <c r="B7" s="6" t="inlineStr">
        <is>
          <t>MT103</t>
        </is>
      </c>
      <c r="C7" s="6" t="inlineStr">
        <is>
          <t>BASE</t>
        </is>
      </c>
      <c r="D7" s="6" t="inlineStr">
        <is>
          <t>NVR 56a requires 57a</t>
        </is>
      </c>
      <c r="E7" s="6" t="inlineStr">
        <is>
          <t>56a present;57a absent</t>
        </is>
      </c>
      <c r="F7" s="6" t="inlineStr">
        <is>
          <t>UPSTREAM_MESSAGE</t>
        </is>
      </c>
      <c r="G7" s="6" t="inlineStr">
        <is>
          <t>No FIN output; reject dependency violation</t>
        </is>
      </c>
      <c r="H7" s="6" t="inlineStr">
        <is>
          <t>No MX output</t>
        </is>
      </c>
      <c r="I7" s="6" t="inlineStr">
        <is>
          <t>NVR_REJECTED</t>
        </is>
      </c>
      <c r="J7" s="6" t="inlineStr">
        <is>
          <t>us1m_20260717.pdf SHA 54002BDF...E90E70 pp.171–181, 193–203</t>
        </is>
      </c>
      <c r="K7" s="6" t="inlineStr">
        <is>
          <t>CONFIRMED_NVR</t>
        </is>
      </c>
      <c r="L7" s="9" t="inlineStr">
        <is>
          <t>NEGATIVE</t>
        </is>
      </c>
      <c r="M7" s="9" t="inlineStr">
        <is>
          <t>MT1-NVR-NEGATIVE</t>
        </is>
      </c>
      <c r="N7" s="6" t="inlineStr">
        <is>
          <t>FIX-MT103-006@v1</t>
        </is>
      </c>
      <c r="O7" s="6" t="inlineStr">
        <is>
          <t>UPSTREAM_REJECT</t>
        </is>
      </c>
      <c r="P7" s="6" t="inlineStr">
        <is>
          <t>Do not claim PASS without real FIN validator</t>
        </is>
      </c>
      <c r="Q7" s="6" t="inlineStr">
        <is>
          <t>RED — SPECIFIED, NOT EXECUTED</t>
        </is>
      </c>
      <c r="R7" s="6" t="inlineStr">
        <is>
          <t>NOT_EXECUTED</t>
        </is>
      </c>
      <c r="S7" s="6" t="inlineStr">
        <is>
          <t>UPSTREAM_FIN_VALIDATOR</t>
        </is>
      </c>
      <c r="T7" s="6" t="inlineStr">
        <is>
          <t>Native validator response/error code</t>
        </is>
      </c>
    </row>
    <row r="8" ht="42" customHeight="1">
      <c r="A8" s="6" t="inlineStr">
        <is>
          <t>MT103-007</t>
        </is>
      </c>
      <c r="B8" s="6" t="inlineStr">
        <is>
          <t>MT103</t>
        </is>
      </c>
      <c r="C8" s="6" t="inlineStr">
        <is>
          <t>BASE</t>
        </is>
      </c>
      <c r="D8" s="6" t="inlineStr">
        <is>
          <t>NVR 55a requires 53a and 54a</t>
        </is>
      </c>
      <c r="E8" s="6" t="inlineStr">
        <is>
          <t>55a present;53a or54a absent</t>
        </is>
      </c>
      <c r="F8" s="6" t="inlineStr">
        <is>
          <t>UPSTREAM_MESSAGE</t>
        </is>
      </c>
      <c r="G8" s="6" t="inlineStr">
        <is>
          <t>No FIN output; reject dependency violation</t>
        </is>
      </c>
      <c r="H8" s="6" t="inlineStr">
        <is>
          <t>No MX output</t>
        </is>
      </c>
      <c r="I8" s="6" t="inlineStr">
        <is>
          <t>NVR_REJECTED</t>
        </is>
      </c>
      <c r="J8" s="6" t="inlineStr">
        <is>
          <t>us1m_20260717.pdf SHA 54002BDF...E90E70 pp.171–181, 193–203</t>
        </is>
      </c>
      <c r="K8" s="6" t="inlineStr">
        <is>
          <t>CONFIRMED_NVR</t>
        </is>
      </c>
      <c r="L8" s="9" t="inlineStr">
        <is>
          <t>NEGATIVE</t>
        </is>
      </c>
      <c r="M8" s="9" t="inlineStr">
        <is>
          <t>MT1-NVR-NEGATIVE</t>
        </is>
      </c>
      <c r="N8" s="6" t="inlineStr">
        <is>
          <t>FIX-MT103-007@v1</t>
        </is>
      </c>
      <c r="O8" s="6" t="inlineStr">
        <is>
          <t>UPSTREAM_REJECT</t>
        </is>
      </c>
      <c r="P8" s="6" t="inlineStr">
        <is>
          <t>Do not claim PASS without real FIN validator</t>
        </is>
      </c>
      <c r="Q8" s="6" t="inlineStr">
        <is>
          <t>RED — SPECIFIED, NOT EXECUTED</t>
        </is>
      </c>
      <c r="R8" s="6" t="inlineStr">
        <is>
          <t>NOT_EXECUTED</t>
        </is>
      </c>
      <c r="S8" s="6" t="inlineStr">
        <is>
          <t>UPSTREAM_FIN_VALIDATOR</t>
        </is>
      </c>
      <c r="T8" s="6" t="inlineStr">
        <is>
          <t>Native validator response/error code</t>
        </is>
      </c>
    </row>
    <row r="9" ht="42" customHeight="1">
      <c r="A9" s="6" t="inlineStr">
        <is>
          <t>MT103-008</t>
        </is>
      </c>
      <c r="B9" s="6" t="inlineStr">
        <is>
          <t>MT103</t>
        </is>
      </c>
      <c r="C9" s="6" t="inlineStr">
        <is>
          <t>BASE</t>
        </is>
      </c>
      <c r="D9" s="6" t="inlineStr">
        <is>
          <t>Mandatory route SSI not found</t>
        </is>
      </c>
      <c r="E9" s="6" t="inlineStr">
        <is>
          <t>no eligible active SSI for mandatory role</t>
        </is>
      </c>
      <c r="F9" s="6" t="inlineStr">
        <is>
          <t>COUNTERPARTY_SSI</t>
        </is>
      </c>
      <c r="G9" s="6" t="inlineStr">
        <is>
          <t>No MT payload</t>
        </is>
      </c>
      <c r="H9" s="6" t="inlineStr">
        <is>
          <t>No MX payload</t>
        </is>
      </c>
      <c r="I9" s="6" t="inlineStr">
        <is>
          <t>SSI_NOT_FOUND / fail closed</t>
        </is>
      </c>
      <c r="J9" s="6" t="inlineStr">
        <is>
          <t>us1m_20260717.pdf SHA 54002BDF...E90E70 pp.171–181, 193–203</t>
        </is>
      </c>
      <c r="K9" s="6" t="inlineStr">
        <is>
          <t>PROPOSED_IN_SCOPE</t>
        </is>
      </c>
      <c r="L9" s="9" t="inlineStr">
        <is>
          <t>NEGATIVE</t>
        </is>
      </c>
      <c r="M9" s="9" t="inlineStr">
        <is>
          <t>MT1-DQ-NEGATIVE</t>
        </is>
      </c>
      <c r="N9" s="6" t="inlineStr">
        <is>
          <t>FIX-MT103-008@v1</t>
        </is>
      </c>
      <c r="O9" s="6" t="inlineStr">
        <is>
          <t>409 DEV/DEMO;500 non-DEV</t>
        </is>
      </c>
      <c r="P9" s="6" t="inlineStr">
        <is>
          <t>PRODUCT DEFECT if payload or Repair Queue created</t>
        </is>
      </c>
      <c r="Q9" s="6" t="inlineStr">
        <is>
          <t>RED — SPECIFIED, NOT EXECUTED</t>
        </is>
      </c>
      <c r="R9" s="6" t="inlineStr">
        <is>
          <t>NOT_EXECUTED</t>
        </is>
      </c>
      <c r="S9" s="6" t="inlineStr">
        <is>
          <t>SSI_FIELD_RESOLUTION_API</t>
        </is>
      </c>
      <c r="T9" s="6" t="inlineStr">
        <is>
          <t>HTTP/code/remediation + side-effect assertions</t>
        </is>
      </c>
    </row>
    <row r="10" ht="42" customHeight="1">
      <c r="A10" s="6" t="inlineStr">
        <is>
          <t>MT103-009</t>
        </is>
      </c>
      <c r="B10" s="6" t="inlineStr">
        <is>
          <t>MT103</t>
        </is>
      </c>
      <c r="C10" s="6" t="inlineStr">
        <is>
          <t>BASE</t>
        </is>
      </c>
      <c r="D10" s="6" t="inlineStr">
        <is>
          <t>Ambiguous route SSI</t>
        </is>
      </c>
      <c r="E10" s="6" t="inlineStr">
        <is>
          <t>two equally ranked eligible SSI candidates</t>
        </is>
      </c>
      <c r="F10" s="6" t="inlineStr">
        <is>
          <t>COUNTERPARTY_SSI</t>
        </is>
      </c>
      <c r="G10" s="6" t="inlineStr">
        <is>
          <t>No MT payload</t>
        </is>
      </c>
      <c r="H10" s="6" t="inlineStr">
        <is>
          <t>No MX payload</t>
        </is>
      </c>
      <c r="I10" s="6" t="inlineStr">
        <is>
          <t>SSI_AMBIGUOUS / fail closed</t>
        </is>
      </c>
      <c r="J10" s="6" t="inlineStr">
        <is>
          <t>us1m_20260717.pdf SHA 54002BDF...E90E70 pp.171–181, 193–203</t>
        </is>
      </c>
      <c r="K10" s="6" t="inlineStr">
        <is>
          <t>PROPOSED_IN_SCOPE</t>
        </is>
      </c>
      <c r="L10" s="9" t="inlineStr">
        <is>
          <t>NEGATIVE</t>
        </is>
      </c>
      <c r="M10" s="9" t="inlineStr">
        <is>
          <t>MT1-DQ-NEGATIVE</t>
        </is>
      </c>
      <c r="N10" s="6" t="inlineStr">
        <is>
          <t>FIX-MT103-009@v1</t>
        </is>
      </c>
      <c r="O10" s="6" t="inlineStr">
        <is>
          <t>409 DEV/DEMO;500 non-DEV</t>
        </is>
      </c>
      <c r="P10" s="6" t="inlineStr">
        <is>
          <t>PRODUCT DEFECT if arbitrary winner selected</t>
        </is>
      </c>
      <c r="Q10" s="6" t="inlineStr">
        <is>
          <t>RED — SPECIFIED, NOT EXECUTED</t>
        </is>
      </c>
      <c r="R10" s="6" t="inlineStr">
        <is>
          <t>NOT_EXECUTED</t>
        </is>
      </c>
      <c r="S10" s="6" t="inlineStr">
        <is>
          <t>SSI_FIELD_RESOLUTION_API</t>
        </is>
      </c>
      <c r="T10" s="6" t="inlineStr">
        <is>
          <t>Alternatives/excludedCandidates + no-payload evidence</t>
        </is>
      </c>
    </row>
    <row r="11" ht="42" customHeight="1">
      <c r="A11" s="6" t="inlineStr">
        <is>
          <t>MT103-010</t>
        </is>
      </c>
      <c r="B11" s="6" t="inlineStr">
        <is>
          <t>MT103</t>
        </is>
      </c>
      <c r="C11" s="6" t="inlineStr">
        <is>
          <t>BASE</t>
        </is>
      </c>
      <c r="D11" s="6" t="inlineStr">
        <is>
          <t>Selected accountReference missing</t>
        </is>
      </c>
      <c r="E11" s="6" t="inlineStr">
        <is>
          <t>chosen reimbursement accountReference=NULL/blank</t>
        </is>
      </c>
      <c r="F11" s="6" t="inlineStr">
        <is>
          <t>OWN_SSI/NOSTRO</t>
        </is>
      </c>
      <c r="G11" s="6" t="inlineStr">
        <is>
          <t>No MT payload; maskedAccountRef forbidden</t>
        </is>
      </c>
      <c r="H11" s="6" t="inlineStr">
        <is>
          <t>No MX payload</t>
        </is>
      </c>
      <c r="I11" s="6" t="inlineStr">
        <is>
          <t>INCORRECT_SSI_CONFIGURATION</t>
        </is>
      </c>
      <c r="J11" s="6" t="inlineStr">
        <is>
          <t>us1m_20260717.pdf SHA 54002BDF...E90E70 pp.171–181, 193–203</t>
        </is>
      </c>
      <c r="K11" s="6" t="inlineStr">
        <is>
          <t>PRODUCT_POLICY</t>
        </is>
      </c>
      <c r="L11" s="9" t="inlineStr">
        <is>
          <t>NEGATIVE</t>
        </is>
      </c>
      <c r="M11" s="9" t="inlineStr">
        <is>
          <t>MT1-DQ-NEGATIVE</t>
        </is>
      </c>
      <c r="N11" s="6" t="inlineStr">
        <is>
          <t>FIX-MT103-010@v1</t>
        </is>
      </c>
      <c r="O11" s="6" t="inlineStr">
        <is>
          <t>409 DEV/DEMO;500 non-DEV</t>
        </is>
      </c>
      <c r="P11" s="6" t="inlineStr">
        <is>
          <t>PRODUCT DEFECT if maskedAccountRef substituted</t>
        </is>
      </c>
      <c r="Q11" s="6" t="inlineStr">
        <is>
          <t>RED — SPECIFIED, NOT EXECUTED</t>
        </is>
      </c>
      <c r="R11" s="6" t="inlineStr">
        <is>
          <t>NOT_EXECUTED</t>
        </is>
      </c>
      <c r="S11" s="6" t="inlineStr">
        <is>
          <t>SSI_FIELD_RESOLUTION_API</t>
        </is>
      </c>
      <c r="T11" s="6" t="inlineStr">
        <is>
          <t>DB row identity + structured remediation</t>
        </is>
      </c>
    </row>
    <row r="12" ht="42" customHeight="1">
      <c r="A12" s="6" t="inlineStr">
        <is>
          <t>MT103-011</t>
        </is>
      </c>
      <c r="B12" s="6" t="inlineStr">
        <is>
          <t>MT103</t>
        </is>
      </c>
      <c r="C12" s="6" t="inlineStr">
        <is>
          <t>BASE</t>
        </is>
      </c>
      <c r="D12" s="6" t="inlineStr">
        <is>
          <t>Invalid option for profile</t>
        </is>
      </c>
      <c r="E12" s="6" t="inlineStr">
        <is>
          <t>request option Z or profile-disallowed option</t>
        </is>
      </c>
      <c r="F12" s="6" t="inlineStr">
        <is>
          <t>UPSTREAM_MESSAGE</t>
        </is>
      </c>
      <c r="G12" s="6" t="inlineStr">
        <is>
          <t>No MT payload</t>
        </is>
      </c>
      <c r="H12" s="6" t="inlineStr">
        <is>
          <t>No MX payload</t>
        </is>
      </c>
      <c r="I12" s="6" t="inlineStr">
        <is>
          <t>OPTION_CONSTRAINT_VIOLATION</t>
        </is>
      </c>
      <c r="J12" s="6" t="inlineStr">
        <is>
          <t>us1m_20260717.pdf SHA 54002BDF...E90E70 pp.171–181, 193–203</t>
        </is>
      </c>
      <c r="K12" s="6" t="inlineStr">
        <is>
          <t>CONFIRMED_PROFILE_RULE</t>
        </is>
      </c>
      <c r="L12" s="9" t="inlineStr">
        <is>
          <t>NEGATIVE</t>
        </is>
      </c>
      <c r="M12" s="9" t="inlineStr">
        <is>
          <t>MT1-NVR-NEGATIVE</t>
        </is>
      </c>
      <c r="N12" s="6" t="inlineStr">
        <is>
          <t>FIX-MT103-011@v1</t>
        </is>
      </c>
      <c r="O12" s="6" t="inlineStr">
        <is>
          <t>422</t>
        </is>
      </c>
      <c r="P12" s="6" t="inlineStr">
        <is>
          <t>PRODUCT DEFECT if invalid option accepted</t>
        </is>
      </c>
      <c r="Q12" s="6" t="inlineStr">
        <is>
          <t>RED — SPECIFIED, NOT EXECUTED</t>
        </is>
      </c>
      <c r="R12" s="6" t="inlineStr">
        <is>
          <t>NOT_EXECUTED</t>
        </is>
      </c>
      <c r="S12" s="6" t="inlineStr">
        <is>
          <t>SSI_FIELD_RESOLUTION_API</t>
        </is>
      </c>
      <c r="T12" s="6" t="inlineStr">
        <is>
          <t>Allowed option set + error contract</t>
        </is>
      </c>
    </row>
    <row r="13" ht="42" customHeight="1">
      <c r="A13" s="6" t="inlineStr">
        <is>
          <t>MT103-012</t>
        </is>
      </c>
      <c r="B13" s="6" t="inlineStr">
        <is>
          <t>MT103</t>
        </is>
      </c>
      <c r="C13" s="6" t="inlineStr">
        <is>
          <t>BASE</t>
        </is>
      </c>
      <c r="D13" s="6" t="inlineStr">
        <is>
          <t>Profile selected by BizSvc</t>
        </is>
      </c>
      <c r="E13" s="6" t="inlineStr">
        <is>
          <t>same MsgDefIdr; BizSvc=swift.cbprplus.04; controlled scenario</t>
        </is>
      </c>
      <c r="F13" s="6" t="inlineStr">
        <is>
          <t>PROFILE_ROUTING</t>
        </is>
      </c>
      <c r="G13" s="6" t="inlineStr">
        <is>
          <t>Correct MT variant rules</t>
        </is>
      </c>
      <c r="H13" s="6" t="inlineStr">
        <is>
          <t>pacs.008.001.08 + swift.cbprplus.04</t>
        </is>
      </c>
      <c r="I13" s="6" t="inlineStr">
        <is>
          <t>PROFILE_VERIFIED</t>
        </is>
      </c>
      <c r="J13" s="6" t="inlineStr">
        <is>
          <t>pacs.008 plain/STP UGs p.10</t>
        </is>
      </c>
      <c r="K13" s="6" t="inlineStr">
        <is>
          <t>CONFIRMED_UG</t>
        </is>
      </c>
      <c r="L13" s="8" t="inlineStr">
        <is>
          <t>POSITIVE</t>
        </is>
      </c>
      <c r="M13" s="8" t="inlineStr">
        <is>
          <t>MT1-CANONICAL-POSITIVE</t>
        </is>
      </c>
      <c r="N13" s="6" t="inlineStr">
        <is>
          <t>FIX-MT103-012@v1</t>
        </is>
      </c>
      <c r="O13" s="6" t="inlineStr">
        <is>
          <t>200</t>
        </is>
      </c>
      <c r="P13" s="6" t="inlineStr">
        <is>
          <t>PRODUCT DEFECT if MsgDefIdr alone selects profile</t>
        </is>
      </c>
      <c r="Q13" s="6" t="inlineStr">
        <is>
          <t>RED — SPECIFIED, NOT EXECUTED</t>
        </is>
      </c>
      <c r="R13" s="6" t="inlineStr">
        <is>
          <t>NOT_EXECUTED</t>
        </is>
      </c>
      <c r="S13" s="6" t="inlineStr">
        <is>
          <t>CONVERTER_PROFILE_MAPPER</t>
        </is>
      </c>
      <c r="T13" s="6" t="inlineStr">
        <is>
          <t>BAH + scenario + selected profile identity</t>
        </is>
      </c>
    </row>
    <row r="14" ht="42" customHeight="1">
      <c r="A14" s="6" t="inlineStr">
        <is>
          <t>MT103REMIT-001</t>
        </is>
      </c>
      <c r="B14" s="6" t="inlineStr">
        <is>
          <t>MT103REMIT</t>
        </is>
      </c>
      <c r="C14" s="6" t="inlineStr">
        <is>
          <t>BASE</t>
        </is>
      </c>
      <c r="D14" s="6" t="inlineStr">
        <is>
          <t>Unique direct Sender/Receiver account</t>
        </is>
      </c>
      <c r="E14" s="6" t="inlineStr">
        <is>
          <t>currency=USD; one active direct account; Receiver=CdtrAgt</t>
        </is>
      </c>
      <c r="F14" s="6" t="inlineStr">
        <is>
          <t>OWN_SSI + TRANSACTION</t>
        </is>
      </c>
      <c r="G14" s="6" t="inlineStr">
        <is>
          <t>53a/54a/56a/57a omitted by rule; 52A from transaction if applicable</t>
        </is>
      </c>
      <c r="H14" s="6" t="inlineStr">
        <is>
          <t>MsgDefIdr=pacs.008.001.08; BizSvc=swift.cbprplus.04; SttlmAcct omitted unless 53B applies</t>
        </is>
      </c>
      <c r="I14" s="6" t="inlineStr">
        <is>
          <t>RESOLVED + explicit omission decisions</t>
        </is>
      </c>
      <c r="J14" s="6" t="inlineStr">
        <is>
          <t>us1m_20260717.pdf SHA 54002BDF...E90E70 pp.255–265, 277–287</t>
        </is>
      </c>
      <c r="K14" s="6" t="inlineStr">
        <is>
          <t>PROPOSED_IN_SCOPE</t>
        </is>
      </c>
      <c r="L14" s="8" t="inlineStr">
        <is>
          <t>POSITIVE</t>
        </is>
      </c>
      <c r="M14" s="8" t="inlineStr">
        <is>
          <t>MT1-CANONICAL-POSITIVE</t>
        </is>
      </c>
      <c r="N14" s="6" t="inlineStr">
        <is>
          <t>FIX-MT103REMIT-001@v1</t>
        </is>
      </c>
      <c r="O14" s="6" t="inlineStr">
        <is>
          <t>200</t>
        </is>
      </c>
      <c r="P14" s="6" t="inlineStr">
        <is>
          <t>PRODUCT DEFECT if route/omission differs</t>
        </is>
      </c>
      <c r="Q14" s="6" t="inlineStr">
        <is>
          <t>RED — SPECIFIED, NOT EXECUTED</t>
        </is>
      </c>
      <c r="R14" s="6" t="inlineStr">
        <is>
          <t>NOT_EXECUTED</t>
        </is>
      </c>
      <c r="S14" s="6" t="inlineStr">
        <is>
          <t>SSI_FIELD_RESOLUTION_API</t>
        </is>
      </c>
      <c r="T14" s="6" t="inlineStr">
        <is>
          <t>Raw JSON key tree + MT/MX + rendering decisions + snapshot identity</t>
        </is>
      </c>
    </row>
    <row r="15" ht="42" customHeight="1">
      <c r="A15" s="6" t="inlineStr">
        <is>
          <t>MT103REMIT-002</t>
        </is>
      </c>
      <c r="B15" s="6" t="inlineStr">
        <is>
          <t>MT103REMIT</t>
        </is>
      </c>
      <c r="C15" s="6" t="inlineStr">
        <is>
          <t>BASE</t>
        </is>
      </c>
      <c r="D15" s="6" t="inlineStr">
        <is>
          <t>Multiple direct reimbursement accounts</t>
        </is>
      </c>
      <c r="E15" s="6" t="inlineStr">
        <is>
          <t>two distinct active accountReference values; selectedAccount pin</t>
        </is>
      </c>
      <c r="F15" s="6" t="inlineStr">
        <is>
          <t>OWN_SSI/NOSTRO</t>
        </is>
      </c>
      <c r="G15" s="6" t="inlineStr">
        <is>
          <t>53B=/&lt;selected accountReference&gt;; Party Identifier only</t>
        </is>
      </c>
      <c r="H15" s="6" t="inlineStr">
        <is>
          <t>GrpHdr.SttlmInf.SttlmAcct.Id.Othr.Id=&lt;selected accountReference&gt;; BizSvc=swift.cbprplus.04</t>
        </is>
      </c>
      <c r="I15" s="6" t="inlineStr">
        <is>
          <t>RESOLVED</t>
        </is>
      </c>
      <c r="J15" s="6" t="inlineStr">
        <is>
          <t>us1m_20260717.pdf SHA 54002BDF...E90E70 pp.255–265, 277–287</t>
        </is>
      </c>
      <c r="K15" s="6" t="inlineStr">
        <is>
          <t>PROPOSED_IN_SCOPE</t>
        </is>
      </c>
      <c r="L15" s="8" t="inlineStr">
        <is>
          <t>POSITIVE</t>
        </is>
      </c>
      <c r="M15" s="8" t="inlineStr">
        <is>
          <t>MT1-CANONICAL-POSITIVE</t>
        </is>
      </c>
      <c r="N15" s="6" t="inlineStr">
        <is>
          <t>FIX-MT103REMIT-002@v1</t>
        </is>
      </c>
      <c r="O15" s="6" t="inlineStr">
        <is>
          <t>200</t>
        </is>
      </c>
      <c r="P15" s="6" t="inlineStr">
        <is>
          <t>PRODUCT DEFECT if maskedAccountRef used or 53B omitted</t>
        </is>
      </c>
      <c r="Q15" s="6" t="inlineStr">
        <is>
          <t>RED — SPECIFIED, NOT EXECUTED</t>
        </is>
      </c>
      <c r="R15" s="6" t="inlineStr">
        <is>
          <t>NOT_EXECUTED</t>
        </is>
      </c>
      <c r="S15" s="6" t="inlineStr">
        <is>
          <t>SSI_FIELD_RESOLUTION_API</t>
        </is>
      </c>
      <c r="T15" s="6" t="inlineStr">
        <is>
          <t>Selected SSI/Nostro IDs and exact accountReference</t>
        </is>
      </c>
    </row>
    <row r="16" ht="42" customHeight="1">
      <c r="A16" s="6" t="inlineStr">
        <is>
          <t>MT103REMIT-003</t>
        </is>
      </c>
      <c r="B16" s="6" t="inlineStr">
        <is>
          <t>MT103REMIT</t>
        </is>
      </c>
      <c r="C16" s="6" t="inlineStr">
        <is>
          <t>BASE</t>
        </is>
      </c>
      <c r="D16" s="6" t="inlineStr">
        <is>
          <t>No direct reimbursement relationship</t>
        </is>
      </c>
      <c r="E16" s="6" t="inlineStr">
        <is>
          <t>directRelationshipCount=0; governed correspondent SSI exists</t>
        </is>
      </c>
      <c r="F16" s="6" t="inlineStr">
        <is>
          <t>COUNTERPARTY_SSI</t>
        </is>
      </c>
      <c r="G16" s="6" t="inlineStr">
        <is>
          <t>53A=&lt;Sender correspondent BIC&gt;</t>
        </is>
      </c>
      <c r="H16" s="6" t="inlineStr">
        <is>
          <t>InstgRmbrsmntAgt=&lt;same governed institution&gt;</t>
        </is>
      </c>
      <c r="I16" s="6" t="inlineStr">
        <is>
          <t>RESOLVED</t>
        </is>
      </c>
      <c r="J16" s="6" t="inlineStr">
        <is>
          <t>us1m_20260717.pdf SHA 54002BDF...E90E70 pp.255–265, 277–287</t>
        </is>
      </c>
      <c r="K16" s="6" t="inlineStr">
        <is>
          <t>PROPOSED_IN_SCOPE</t>
        </is>
      </c>
      <c r="L16" s="8" t="inlineStr">
        <is>
          <t>POSITIVE</t>
        </is>
      </c>
      <c r="M16" s="8" t="inlineStr">
        <is>
          <t>MT1-CANONICAL-POSITIVE</t>
        </is>
      </c>
      <c r="N16" s="6" t="inlineStr">
        <is>
          <t>FIX-MT103REMIT-003@v1</t>
        </is>
      </c>
      <c r="O16" s="6" t="inlineStr">
        <is>
          <t>200</t>
        </is>
      </c>
      <c r="P16" s="6" t="inlineStr">
        <is>
          <t>PRODUCT DEFECT if 53a absent</t>
        </is>
      </c>
      <c r="Q16" s="6" t="inlineStr">
        <is>
          <t>RED — SPECIFIED, NOT EXECUTED</t>
        </is>
      </c>
      <c r="R16" s="6" t="inlineStr">
        <is>
          <t>NOT_EXECUTED</t>
        </is>
      </c>
      <c r="S16" s="6" t="inlineStr">
        <is>
          <t>SSI_FIELD_RESOLUTION_API</t>
        </is>
      </c>
      <c r="T16" s="6" t="inlineStr">
        <is>
          <t>Candidate ranking + chosen route + MT/MX role identity</t>
        </is>
      </c>
    </row>
    <row r="17" ht="42" customHeight="1">
      <c r="A17" s="6" t="inlineStr">
        <is>
          <t>MT103REMIT-004</t>
        </is>
      </c>
      <c r="B17" s="6" t="inlineStr">
        <is>
          <t>MT103REMIT</t>
        </is>
      </c>
      <c r="C17" s="6" t="inlineStr">
        <is>
          <t>BASE</t>
        </is>
      </c>
      <c r="D17" s="6" t="inlineStr">
        <is>
          <t>Reimbursement chain</t>
        </is>
      </c>
      <c r="E17" s="6" t="inlineStr">
        <is>
          <t>53a,54a,55a governed roles present and distinct</t>
        </is>
      </c>
      <c r="F17" s="6" t="inlineStr">
        <is>
          <t>COUNTERPARTY_SSI</t>
        </is>
      </c>
      <c r="G17" s="6" t="inlineStr">
        <is>
          <t>53A,54A,55A rendered in correct roles</t>
        </is>
      </c>
      <c r="H17" s="6" t="inlineStr">
        <is>
          <t>InstgRmbrsmntAgt/InstdRmbrsmntAgt/ThrdRmbrsmntAgt preserved</t>
        </is>
      </c>
      <c r="I17" s="6" t="inlineStr">
        <is>
          <t>RESOLVED</t>
        </is>
      </c>
      <c r="J17" s="6" t="inlineStr">
        <is>
          <t>us1m_20260717.pdf SHA 54002BDF...E90E70 pp.255–265, 277–287</t>
        </is>
      </c>
      <c r="K17" s="6" t="inlineStr">
        <is>
          <t>PROPOSED_IN_SCOPE</t>
        </is>
      </c>
      <c r="L17" s="8" t="inlineStr">
        <is>
          <t>POSITIVE</t>
        </is>
      </c>
      <c r="M17" s="8" t="inlineStr">
        <is>
          <t>MT1-CANONICAL-POSITIVE</t>
        </is>
      </c>
      <c r="N17" s="6" t="inlineStr">
        <is>
          <t>FIX-MT103REMIT-004@v1</t>
        </is>
      </c>
      <c r="O17" s="6" t="inlineStr">
        <is>
          <t>200</t>
        </is>
      </c>
      <c r="P17" s="6" t="inlineStr">
        <is>
          <t>PRODUCT DEFECT on role collapse or swap</t>
        </is>
      </c>
      <c r="Q17" s="6" t="inlineStr">
        <is>
          <t>RED — SPECIFIED, NOT EXECUTED</t>
        </is>
      </c>
      <c r="R17" s="6" t="inlineStr">
        <is>
          <t>NOT_EXECUTED</t>
        </is>
      </c>
      <c r="S17" s="6" t="inlineStr">
        <is>
          <t>SSI_FIELD_RESOLUTION_API</t>
        </is>
      </c>
      <c r="T17" s="6" t="inlineStr">
        <is>
          <t>Role-by-role provenance and equality oracle</t>
        </is>
      </c>
    </row>
    <row r="18" ht="42" customHeight="1">
      <c r="A18" s="6" t="inlineStr">
        <is>
          <t>MT103REMIT-005</t>
        </is>
      </c>
      <c r="B18" s="6" t="inlineStr">
        <is>
          <t>MT103REMIT</t>
        </is>
      </c>
      <c r="C18" s="6" t="inlineStr">
        <is>
          <t>BASE</t>
        </is>
      </c>
      <c r="D18" s="6" t="inlineStr">
        <is>
          <t>Intermediary route</t>
        </is>
      </c>
      <c r="E18" s="6" t="inlineStr">
        <is>
          <t>56A and 57A governed roles present; role BICs distinct</t>
        </is>
      </c>
      <c r="F18" s="6" t="inlineStr">
        <is>
          <t>COUNTERPARTY_SSI</t>
        </is>
      </c>
      <c r="G18" s="6" t="inlineStr">
        <is>
          <t>56A=&lt;intermediary&gt;;57A=&lt;account-with institution&gt;</t>
        </is>
      </c>
      <c r="H18" s="6" t="inlineStr">
        <is>
          <t>IntrmyAgt1 and CdtrAgt retain ordered roles</t>
        </is>
      </c>
      <c r="I18" s="6" t="inlineStr">
        <is>
          <t>RESOLVED</t>
        </is>
      </c>
      <c r="J18" s="6" t="inlineStr">
        <is>
          <t>us1m_20260717.pdf SHA 54002BDF...E90E70 pp.255–265, 277–287</t>
        </is>
      </c>
      <c r="K18" s="6" t="inlineStr">
        <is>
          <t>PROPOSED_IN_SCOPE</t>
        </is>
      </c>
      <c r="L18" s="8" t="inlineStr">
        <is>
          <t>POSITIVE</t>
        </is>
      </c>
      <c r="M18" s="8" t="inlineStr">
        <is>
          <t>MT1-CANONICAL-POSITIVE</t>
        </is>
      </c>
      <c r="N18" s="6" t="inlineStr">
        <is>
          <t>FIX-MT103REMIT-005@v1</t>
        </is>
      </c>
      <c r="O18" s="6" t="inlineStr">
        <is>
          <t>200</t>
        </is>
      </c>
      <c r="P18" s="6" t="inlineStr">
        <is>
          <t>PRODUCT DEFECT on role collapse or swap</t>
        </is>
      </c>
      <c r="Q18" s="6" t="inlineStr">
        <is>
          <t>RED — SPECIFIED, NOT EXECUTED</t>
        </is>
      </c>
      <c r="R18" s="6" t="inlineStr">
        <is>
          <t>NOT_EXECUTED</t>
        </is>
      </c>
      <c r="S18" s="6" t="inlineStr">
        <is>
          <t>SSI_FIELD_RESOLUTION_API</t>
        </is>
      </c>
      <c r="T18" s="6" t="inlineStr">
        <is>
          <t>Role provenance + ordered agent-chain oracle</t>
        </is>
      </c>
    </row>
    <row r="19" ht="42" customHeight="1">
      <c r="A19" s="6" t="inlineStr">
        <is>
          <t>MT103REMIT-006</t>
        </is>
      </c>
      <c r="B19" s="6" t="inlineStr">
        <is>
          <t>MT103REMIT</t>
        </is>
      </c>
      <c r="C19" s="6" t="inlineStr">
        <is>
          <t>BASE</t>
        </is>
      </c>
      <c r="D19" s="6" t="inlineStr">
        <is>
          <t>NVR 56a requires 57a</t>
        </is>
      </c>
      <c r="E19" s="6" t="inlineStr">
        <is>
          <t>56a present;57a absent</t>
        </is>
      </c>
      <c r="F19" s="6" t="inlineStr">
        <is>
          <t>UPSTREAM_MESSAGE</t>
        </is>
      </c>
      <c r="G19" s="6" t="inlineStr">
        <is>
          <t>No FIN output; reject dependency violation</t>
        </is>
      </c>
      <c r="H19" s="6" t="inlineStr">
        <is>
          <t>No MX output</t>
        </is>
      </c>
      <c r="I19" s="6" t="inlineStr">
        <is>
          <t>NVR_REJECTED</t>
        </is>
      </c>
      <c r="J19" s="6" t="inlineStr">
        <is>
          <t>us1m_20260717.pdf SHA 54002BDF...E90E70 pp.255–265, 277–287</t>
        </is>
      </c>
      <c r="K19" s="6" t="inlineStr">
        <is>
          <t>CONFIRMED_NVR</t>
        </is>
      </c>
      <c r="L19" s="9" t="inlineStr">
        <is>
          <t>NEGATIVE</t>
        </is>
      </c>
      <c r="M19" s="9" t="inlineStr">
        <is>
          <t>MT1-NVR-NEGATIVE</t>
        </is>
      </c>
      <c r="N19" s="6" t="inlineStr">
        <is>
          <t>FIX-MT103REMIT-006@v1</t>
        </is>
      </c>
      <c r="O19" s="6" t="inlineStr">
        <is>
          <t>UPSTREAM_REJECT</t>
        </is>
      </c>
      <c r="P19" s="6" t="inlineStr">
        <is>
          <t>Do not claim PASS without real FIN validator</t>
        </is>
      </c>
      <c r="Q19" s="6" t="inlineStr">
        <is>
          <t>RED — SPECIFIED, NOT EXECUTED</t>
        </is>
      </c>
      <c r="R19" s="6" t="inlineStr">
        <is>
          <t>NOT_EXECUTED</t>
        </is>
      </c>
      <c r="S19" s="6" t="inlineStr">
        <is>
          <t>UPSTREAM_FIN_VALIDATOR</t>
        </is>
      </c>
      <c r="T19" s="6" t="inlineStr">
        <is>
          <t>Native validator response/error code</t>
        </is>
      </c>
    </row>
    <row r="20" ht="42" customHeight="1">
      <c r="A20" s="6" t="inlineStr">
        <is>
          <t>MT103REMIT-007</t>
        </is>
      </c>
      <c r="B20" s="6" t="inlineStr">
        <is>
          <t>MT103REMIT</t>
        </is>
      </c>
      <c r="C20" s="6" t="inlineStr">
        <is>
          <t>BASE</t>
        </is>
      </c>
      <c r="D20" s="6" t="inlineStr">
        <is>
          <t>NVR 55a requires 53a and 54a</t>
        </is>
      </c>
      <c r="E20" s="6" t="inlineStr">
        <is>
          <t>55a present;53a or54a absent</t>
        </is>
      </c>
      <c r="F20" s="6" t="inlineStr">
        <is>
          <t>UPSTREAM_MESSAGE</t>
        </is>
      </c>
      <c r="G20" s="6" t="inlineStr">
        <is>
          <t>No FIN output; reject dependency violation</t>
        </is>
      </c>
      <c r="H20" s="6" t="inlineStr">
        <is>
          <t>No MX output</t>
        </is>
      </c>
      <c r="I20" s="6" t="inlineStr">
        <is>
          <t>NVR_REJECTED</t>
        </is>
      </c>
      <c r="J20" s="6" t="inlineStr">
        <is>
          <t>us1m_20260717.pdf SHA 54002BDF...E90E70 pp.255–265, 277–287</t>
        </is>
      </c>
      <c r="K20" s="6" t="inlineStr">
        <is>
          <t>CONFIRMED_NVR</t>
        </is>
      </c>
      <c r="L20" s="9" t="inlineStr">
        <is>
          <t>NEGATIVE</t>
        </is>
      </c>
      <c r="M20" s="9" t="inlineStr">
        <is>
          <t>MT1-NVR-NEGATIVE</t>
        </is>
      </c>
      <c r="N20" s="6" t="inlineStr">
        <is>
          <t>FIX-MT103REMIT-007@v1</t>
        </is>
      </c>
      <c r="O20" s="6" t="inlineStr">
        <is>
          <t>UPSTREAM_REJECT</t>
        </is>
      </c>
      <c r="P20" s="6" t="inlineStr">
        <is>
          <t>Do not claim PASS without real FIN validator</t>
        </is>
      </c>
      <c r="Q20" s="6" t="inlineStr">
        <is>
          <t>RED — SPECIFIED, NOT EXECUTED</t>
        </is>
      </c>
      <c r="R20" s="6" t="inlineStr">
        <is>
          <t>NOT_EXECUTED</t>
        </is>
      </c>
      <c r="S20" s="6" t="inlineStr">
        <is>
          <t>UPSTREAM_FIN_VALIDATOR</t>
        </is>
      </c>
      <c r="T20" s="6" t="inlineStr">
        <is>
          <t>Native validator response/error code</t>
        </is>
      </c>
    </row>
    <row r="21" ht="42" customHeight="1">
      <c r="A21" s="6" t="inlineStr">
        <is>
          <t>MT103REMIT-008</t>
        </is>
      </c>
      <c r="B21" s="6" t="inlineStr">
        <is>
          <t>MT103REMIT</t>
        </is>
      </c>
      <c r="C21" s="6" t="inlineStr">
        <is>
          <t>BASE</t>
        </is>
      </c>
      <c r="D21" s="6" t="inlineStr">
        <is>
          <t>Mandatory route SSI not found</t>
        </is>
      </c>
      <c r="E21" s="6" t="inlineStr">
        <is>
          <t>no eligible active SSI for mandatory role</t>
        </is>
      </c>
      <c r="F21" s="6" t="inlineStr">
        <is>
          <t>COUNTERPARTY_SSI</t>
        </is>
      </c>
      <c r="G21" s="6" t="inlineStr">
        <is>
          <t>No MT payload</t>
        </is>
      </c>
      <c r="H21" s="6" t="inlineStr">
        <is>
          <t>No MX payload</t>
        </is>
      </c>
      <c r="I21" s="6" t="inlineStr">
        <is>
          <t>SSI_NOT_FOUND / fail closed</t>
        </is>
      </c>
      <c r="J21" s="6" t="inlineStr">
        <is>
          <t>us1m_20260717.pdf SHA 54002BDF...E90E70 pp.255–265, 277–287</t>
        </is>
      </c>
      <c r="K21" s="6" t="inlineStr">
        <is>
          <t>PROPOSED_IN_SCOPE</t>
        </is>
      </c>
      <c r="L21" s="9" t="inlineStr">
        <is>
          <t>NEGATIVE</t>
        </is>
      </c>
      <c r="M21" s="9" t="inlineStr">
        <is>
          <t>MT1-DQ-NEGATIVE</t>
        </is>
      </c>
      <c r="N21" s="6" t="inlineStr">
        <is>
          <t>FIX-MT103REMIT-008@v1</t>
        </is>
      </c>
      <c r="O21" s="6" t="inlineStr">
        <is>
          <t>409 DEV/DEMO;500 non-DEV</t>
        </is>
      </c>
      <c r="P21" s="6" t="inlineStr">
        <is>
          <t>PRODUCT DEFECT if payload or Repair Queue created</t>
        </is>
      </c>
      <c r="Q21" s="6" t="inlineStr">
        <is>
          <t>RED — SPECIFIED, NOT EXECUTED</t>
        </is>
      </c>
      <c r="R21" s="6" t="inlineStr">
        <is>
          <t>NOT_EXECUTED</t>
        </is>
      </c>
      <c r="S21" s="6" t="inlineStr">
        <is>
          <t>SSI_FIELD_RESOLUTION_API</t>
        </is>
      </c>
      <c r="T21" s="6" t="inlineStr">
        <is>
          <t>HTTP/code/remediation + side-effect assertions</t>
        </is>
      </c>
    </row>
    <row r="22" ht="42" customHeight="1">
      <c r="A22" s="6" t="inlineStr">
        <is>
          <t>MT103REMIT-009</t>
        </is>
      </c>
      <c r="B22" s="6" t="inlineStr">
        <is>
          <t>MT103REMIT</t>
        </is>
      </c>
      <c r="C22" s="6" t="inlineStr">
        <is>
          <t>BASE</t>
        </is>
      </c>
      <c r="D22" s="6" t="inlineStr">
        <is>
          <t>Ambiguous route SSI</t>
        </is>
      </c>
      <c r="E22" s="6" t="inlineStr">
        <is>
          <t>two equally ranked eligible SSI candidates</t>
        </is>
      </c>
      <c r="F22" s="6" t="inlineStr">
        <is>
          <t>COUNTERPARTY_SSI</t>
        </is>
      </c>
      <c r="G22" s="6" t="inlineStr">
        <is>
          <t>No MT payload</t>
        </is>
      </c>
      <c r="H22" s="6" t="inlineStr">
        <is>
          <t>No MX payload</t>
        </is>
      </c>
      <c r="I22" s="6" t="inlineStr">
        <is>
          <t>SSI_AMBIGUOUS / fail closed</t>
        </is>
      </c>
      <c r="J22" s="6" t="inlineStr">
        <is>
          <t>us1m_20260717.pdf SHA 54002BDF...E90E70 pp.255–265, 277–287</t>
        </is>
      </c>
      <c r="K22" s="6" t="inlineStr">
        <is>
          <t>PROPOSED_IN_SCOPE</t>
        </is>
      </c>
      <c r="L22" s="9" t="inlineStr">
        <is>
          <t>NEGATIVE</t>
        </is>
      </c>
      <c r="M22" s="9" t="inlineStr">
        <is>
          <t>MT1-DQ-NEGATIVE</t>
        </is>
      </c>
      <c r="N22" s="6" t="inlineStr">
        <is>
          <t>FIX-MT103REMIT-009@v1</t>
        </is>
      </c>
      <c r="O22" s="6" t="inlineStr">
        <is>
          <t>409 DEV/DEMO;500 non-DEV</t>
        </is>
      </c>
      <c r="P22" s="6" t="inlineStr">
        <is>
          <t>PRODUCT DEFECT if arbitrary winner selected</t>
        </is>
      </c>
      <c r="Q22" s="6" t="inlineStr">
        <is>
          <t>RED — SPECIFIED, NOT EXECUTED</t>
        </is>
      </c>
      <c r="R22" s="6" t="inlineStr">
        <is>
          <t>NOT_EXECUTED</t>
        </is>
      </c>
      <c r="S22" s="6" t="inlineStr">
        <is>
          <t>SSI_FIELD_RESOLUTION_API</t>
        </is>
      </c>
      <c r="T22" s="6" t="inlineStr">
        <is>
          <t>Alternatives/excludedCandidates + no-payload evidence</t>
        </is>
      </c>
    </row>
    <row r="23" ht="42" customHeight="1">
      <c r="A23" s="6" t="inlineStr">
        <is>
          <t>MT103REMIT-010</t>
        </is>
      </c>
      <c r="B23" s="6" t="inlineStr">
        <is>
          <t>MT103REMIT</t>
        </is>
      </c>
      <c r="C23" s="6" t="inlineStr">
        <is>
          <t>BASE</t>
        </is>
      </c>
      <c r="D23" s="6" t="inlineStr">
        <is>
          <t>Selected accountReference missing</t>
        </is>
      </c>
      <c r="E23" s="6" t="inlineStr">
        <is>
          <t>chosen reimbursement accountReference=NULL/blank</t>
        </is>
      </c>
      <c r="F23" s="6" t="inlineStr">
        <is>
          <t>OWN_SSI/NOSTRO</t>
        </is>
      </c>
      <c r="G23" s="6" t="inlineStr">
        <is>
          <t>No MT payload; maskedAccountRef forbidden</t>
        </is>
      </c>
      <c r="H23" s="6" t="inlineStr">
        <is>
          <t>No MX payload</t>
        </is>
      </c>
      <c r="I23" s="6" t="inlineStr">
        <is>
          <t>INCORRECT_SSI_CONFIGURATION</t>
        </is>
      </c>
      <c r="J23" s="6" t="inlineStr">
        <is>
          <t>us1m_20260717.pdf SHA 54002BDF...E90E70 pp.255–265, 277–287</t>
        </is>
      </c>
      <c r="K23" s="6" t="inlineStr">
        <is>
          <t>PRODUCT_POLICY</t>
        </is>
      </c>
      <c r="L23" s="9" t="inlineStr">
        <is>
          <t>NEGATIVE</t>
        </is>
      </c>
      <c r="M23" s="9" t="inlineStr">
        <is>
          <t>MT1-DQ-NEGATIVE</t>
        </is>
      </c>
      <c r="N23" s="6" t="inlineStr">
        <is>
          <t>FIX-MT103REMIT-010@v1</t>
        </is>
      </c>
      <c r="O23" s="6" t="inlineStr">
        <is>
          <t>409 DEV/DEMO;500 non-DEV</t>
        </is>
      </c>
      <c r="P23" s="6" t="inlineStr">
        <is>
          <t>PRODUCT DEFECT if maskedAccountRef substituted</t>
        </is>
      </c>
      <c r="Q23" s="6" t="inlineStr">
        <is>
          <t>RED — SPECIFIED, NOT EXECUTED</t>
        </is>
      </c>
      <c r="R23" s="6" t="inlineStr">
        <is>
          <t>NOT_EXECUTED</t>
        </is>
      </c>
      <c r="S23" s="6" t="inlineStr">
        <is>
          <t>SSI_FIELD_RESOLUTION_API</t>
        </is>
      </c>
      <c r="T23" s="6" t="inlineStr">
        <is>
          <t>DB row identity + structured remediation</t>
        </is>
      </c>
    </row>
    <row r="24" ht="42" customHeight="1">
      <c r="A24" s="6" t="inlineStr">
        <is>
          <t>MT103REMIT-011</t>
        </is>
      </c>
      <c r="B24" s="6" t="inlineStr">
        <is>
          <t>MT103REMIT</t>
        </is>
      </c>
      <c r="C24" s="6" t="inlineStr">
        <is>
          <t>BASE</t>
        </is>
      </c>
      <c r="D24" s="6" t="inlineStr">
        <is>
          <t>Invalid option for profile</t>
        </is>
      </c>
      <c r="E24" s="6" t="inlineStr">
        <is>
          <t>request option Z or profile-disallowed option</t>
        </is>
      </c>
      <c r="F24" s="6" t="inlineStr">
        <is>
          <t>UPSTREAM_MESSAGE</t>
        </is>
      </c>
      <c r="G24" s="6" t="inlineStr">
        <is>
          <t>No MT payload</t>
        </is>
      </c>
      <c r="H24" s="6" t="inlineStr">
        <is>
          <t>No MX payload</t>
        </is>
      </c>
      <c r="I24" s="6" t="inlineStr">
        <is>
          <t>OPTION_CONSTRAINT_VIOLATION</t>
        </is>
      </c>
      <c r="J24" s="6" t="inlineStr">
        <is>
          <t>us1m_20260717.pdf SHA 54002BDF...E90E70 pp.255–265, 277–287</t>
        </is>
      </c>
      <c r="K24" s="6" t="inlineStr">
        <is>
          <t>CONFIRMED_PROFILE_RULE</t>
        </is>
      </c>
      <c r="L24" s="9" t="inlineStr">
        <is>
          <t>NEGATIVE</t>
        </is>
      </c>
      <c r="M24" s="9" t="inlineStr">
        <is>
          <t>MT1-NVR-NEGATIVE</t>
        </is>
      </c>
      <c r="N24" s="6" t="inlineStr">
        <is>
          <t>FIX-MT103REMIT-011@v1</t>
        </is>
      </c>
      <c r="O24" s="6" t="inlineStr">
        <is>
          <t>422</t>
        </is>
      </c>
      <c r="P24" s="6" t="inlineStr">
        <is>
          <t>PRODUCT DEFECT if invalid option accepted</t>
        </is>
      </c>
      <c r="Q24" s="6" t="inlineStr">
        <is>
          <t>RED — SPECIFIED, NOT EXECUTED</t>
        </is>
      </c>
      <c r="R24" s="6" t="inlineStr">
        <is>
          <t>NOT_EXECUTED</t>
        </is>
      </c>
      <c r="S24" s="6" t="inlineStr">
        <is>
          <t>SSI_FIELD_RESOLUTION_API</t>
        </is>
      </c>
      <c r="T24" s="6" t="inlineStr">
        <is>
          <t>Allowed option set + error contract</t>
        </is>
      </c>
    </row>
    <row r="25" ht="42" customHeight="1">
      <c r="A25" s="6" t="inlineStr">
        <is>
          <t>MT103REMIT-012</t>
        </is>
      </c>
      <c r="B25" s="6" t="inlineStr">
        <is>
          <t>MT103REMIT</t>
        </is>
      </c>
      <c r="C25" s="6" t="inlineStr">
        <is>
          <t>BASE</t>
        </is>
      </c>
      <c r="D25" s="6" t="inlineStr">
        <is>
          <t>Profile selected by BizSvc</t>
        </is>
      </c>
      <c r="E25" s="6" t="inlineStr">
        <is>
          <t>same MsgDefIdr; BizSvc=swift.cbprplus.04; controlled scenario</t>
        </is>
      </c>
      <c r="F25" s="6" t="inlineStr">
        <is>
          <t>PROFILE_ROUTING</t>
        </is>
      </c>
      <c r="G25" s="6" t="inlineStr">
        <is>
          <t>Correct MT variant rules</t>
        </is>
      </c>
      <c r="H25" s="6" t="inlineStr">
        <is>
          <t>pacs.008.001.08 + swift.cbprplus.04</t>
        </is>
      </c>
      <c r="I25" s="6" t="inlineStr">
        <is>
          <t>PROFILE_VERIFIED</t>
        </is>
      </c>
      <c r="J25" s="6" t="inlineStr">
        <is>
          <t>pacs.008 plain/STP UGs p.10</t>
        </is>
      </c>
      <c r="K25" s="6" t="inlineStr">
        <is>
          <t>CONFIRMED_UG</t>
        </is>
      </c>
      <c r="L25" s="8" t="inlineStr">
        <is>
          <t>POSITIVE</t>
        </is>
      </c>
      <c r="M25" s="8" t="inlineStr">
        <is>
          <t>MT1-CANONICAL-POSITIVE</t>
        </is>
      </c>
      <c r="N25" s="6" t="inlineStr">
        <is>
          <t>FIX-MT103REMIT-012@v1</t>
        </is>
      </c>
      <c r="O25" s="6" t="inlineStr">
        <is>
          <t>200</t>
        </is>
      </c>
      <c r="P25" s="6" t="inlineStr">
        <is>
          <t>PRODUCT DEFECT if MsgDefIdr alone selects profile</t>
        </is>
      </c>
      <c r="Q25" s="6" t="inlineStr">
        <is>
          <t>RED — SPECIFIED, NOT EXECUTED</t>
        </is>
      </c>
      <c r="R25" s="6" t="inlineStr">
        <is>
          <t>NOT_EXECUTED</t>
        </is>
      </c>
      <c r="S25" s="6" t="inlineStr">
        <is>
          <t>CONVERTER_PROFILE_MAPPER</t>
        </is>
      </c>
      <c r="T25" s="6" t="inlineStr">
        <is>
          <t>BAH + scenario + selected profile identity</t>
        </is>
      </c>
    </row>
    <row r="26" ht="42" customHeight="1">
      <c r="A26" s="6" t="inlineStr">
        <is>
          <t>MT103STP-001</t>
        </is>
      </c>
      <c r="B26" s="6" t="inlineStr">
        <is>
          <t>MT103STP</t>
        </is>
      </c>
      <c r="C26" s="6" t="inlineStr">
        <is>
          <t>BASE</t>
        </is>
      </c>
      <c r="D26" s="6" t="inlineStr">
        <is>
          <t>Unique direct Sender/Receiver account</t>
        </is>
      </c>
      <c r="E26" s="6" t="inlineStr">
        <is>
          <t>currency=USD; one active direct account; Receiver=CdtrAgt</t>
        </is>
      </c>
      <c r="F26" s="6" t="inlineStr">
        <is>
          <t>OWN_SSI + TRANSACTION</t>
        </is>
      </c>
      <c r="G26" s="6" t="inlineStr">
        <is>
          <t>53a/54a/56a/57a omitted by rule; 52A from transaction if applicable</t>
        </is>
      </c>
      <c r="H26" s="6" t="inlineStr">
        <is>
          <t>MsgDefIdr=pacs.008.001.08; BizSvc=swift.cbprplus.stp.04; SttlmAcct omitted unless 53B applies</t>
        </is>
      </c>
      <c r="I26" s="6" t="inlineStr">
        <is>
          <t>RESOLVED + explicit omission decisions</t>
        </is>
      </c>
      <c r="J26" s="6" t="inlineStr">
        <is>
          <t>us1m_20260717.pdf SHA 54002BDF...E90E70 pp.297–307, field specifications</t>
        </is>
      </c>
      <c r="K26" s="6" t="inlineStr">
        <is>
          <t>PROPOSED_IN_SCOPE</t>
        </is>
      </c>
      <c r="L26" s="8" t="inlineStr">
        <is>
          <t>POSITIVE</t>
        </is>
      </c>
      <c r="M26" s="8" t="inlineStr">
        <is>
          <t>MT1-CANONICAL-POSITIVE</t>
        </is>
      </c>
      <c r="N26" s="6" t="inlineStr">
        <is>
          <t>FIX-MT103STP-001@v1</t>
        </is>
      </c>
      <c r="O26" s="6" t="inlineStr">
        <is>
          <t>200</t>
        </is>
      </c>
      <c r="P26" s="6" t="inlineStr">
        <is>
          <t>PRODUCT DEFECT if route/omission differs</t>
        </is>
      </c>
      <c r="Q26" s="6" t="inlineStr">
        <is>
          <t>RED — SPECIFIED, NOT EXECUTED</t>
        </is>
      </c>
      <c r="R26" s="6" t="inlineStr">
        <is>
          <t>NOT_EXECUTED</t>
        </is>
      </c>
      <c r="S26" s="6" t="inlineStr">
        <is>
          <t>SSI_FIELD_RESOLUTION_API</t>
        </is>
      </c>
      <c r="T26" s="6" t="inlineStr">
        <is>
          <t>Raw JSON key tree + MT/MX + rendering decisions + snapshot identity</t>
        </is>
      </c>
    </row>
    <row r="27" ht="42" customHeight="1">
      <c r="A27" s="6" t="inlineStr">
        <is>
          <t>MT103STP-002</t>
        </is>
      </c>
      <c r="B27" s="6" t="inlineStr">
        <is>
          <t>MT103STP</t>
        </is>
      </c>
      <c r="C27" s="6" t="inlineStr">
        <is>
          <t>BASE</t>
        </is>
      </c>
      <c r="D27" s="6" t="inlineStr">
        <is>
          <t>Multiple direct reimbursement accounts</t>
        </is>
      </c>
      <c r="E27" s="6" t="inlineStr">
        <is>
          <t>two distinct active accountReference values; selectedAccount pin</t>
        </is>
      </c>
      <c r="F27" s="6" t="inlineStr">
        <is>
          <t>OWN_SSI/NOSTRO</t>
        </is>
      </c>
      <c r="G27" s="6" t="inlineStr">
        <is>
          <t>53B=/&lt;selected accountReference&gt;; Party Identifier only</t>
        </is>
      </c>
      <c r="H27" s="6" t="inlineStr">
        <is>
          <t>GrpHdr.SttlmInf.SttlmAcct.Id.Othr.Id=&lt;selected accountReference&gt;; BizSvc=swift.cbprplus.stp.04</t>
        </is>
      </c>
      <c r="I27" s="6" t="inlineStr">
        <is>
          <t>RESOLVED</t>
        </is>
      </c>
      <c r="J27" s="6" t="inlineStr">
        <is>
          <t>us1m_20260717.pdf SHA 54002BDF...E90E70 pp.297–307, field specifications</t>
        </is>
      </c>
      <c r="K27" s="6" t="inlineStr">
        <is>
          <t>PROPOSED_IN_SCOPE</t>
        </is>
      </c>
      <c r="L27" s="8" t="inlineStr">
        <is>
          <t>POSITIVE</t>
        </is>
      </c>
      <c r="M27" s="8" t="inlineStr">
        <is>
          <t>MT1-CANONICAL-POSITIVE</t>
        </is>
      </c>
      <c r="N27" s="6" t="inlineStr">
        <is>
          <t>FIX-MT103STP-002@v1</t>
        </is>
      </c>
      <c r="O27" s="6" t="inlineStr">
        <is>
          <t>200</t>
        </is>
      </c>
      <c r="P27" s="6" t="inlineStr">
        <is>
          <t>PRODUCT DEFECT if maskedAccountRef used or 53B omitted</t>
        </is>
      </c>
      <c r="Q27" s="6" t="inlineStr">
        <is>
          <t>RED — SPECIFIED, NOT EXECUTED</t>
        </is>
      </c>
      <c r="R27" s="6" t="inlineStr">
        <is>
          <t>NOT_EXECUTED</t>
        </is>
      </c>
      <c r="S27" s="6" t="inlineStr">
        <is>
          <t>SSI_FIELD_RESOLUTION_API</t>
        </is>
      </c>
      <c r="T27" s="6" t="inlineStr">
        <is>
          <t>Selected SSI/Nostro IDs and exact accountReference</t>
        </is>
      </c>
    </row>
    <row r="28" ht="42" customHeight="1">
      <c r="A28" s="6" t="inlineStr">
        <is>
          <t>MT103STP-003</t>
        </is>
      </c>
      <c r="B28" s="6" t="inlineStr">
        <is>
          <t>MT103STP</t>
        </is>
      </c>
      <c r="C28" s="6" t="inlineStr">
        <is>
          <t>BASE</t>
        </is>
      </c>
      <c r="D28" s="6" t="inlineStr">
        <is>
          <t>No direct reimbursement relationship</t>
        </is>
      </c>
      <c r="E28" s="6" t="inlineStr">
        <is>
          <t>directRelationshipCount=0; governed correspondent SSI exists</t>
        </is>
      </c>
      <c r="F28" s="6" t="inlineStr">
        <is>
          <t>COUNTERPARTY_SSI</t>
        </is>
      </c>
      <c r="G28" s="6" t="inlineStr">
        <is>
          <t>53A=&lt;Sender correspondent BIC&gt;</t>
        </is>
      </c>
      <c r="H28" s="6" t="inlineStr">
        <is>
          <t>InstgRmbrsmntAgt=&lt;same governed institution&gt;</t>
        </is>
      </c>
      <c r="I28" s="6" t="inlineStr">
        <is>
          <t>RESOLVED</t>
        </is>
      </c>
      <c r="J28" s="6" t="inlineStr">
        <is>
          <t>us1m_20260717.pdf SHA 54002BDF...E90E70 pp.297–307, field specifications</t>
        </is>
      </c>
      <c r="K28" s="6" t="inlineStr">
        <is>
          <t>PROPOSED_IN_SCOPE</t>
        </is>
      </c>
      <c r="L28" s="8" t="inlineStr">
        <is>
          <t>POSITIVE</t>
        </is>
      </c>
      <c r="M28" s="8" t="inlineStr">
        <is>
          <t>MT1-CANONICAL-POSITIVE</t>
        </is>
      </c>
      <c r="N28" s="6" t="inlineStr">
        <is>
          <t>FIX-MT103STP-003@v1</t>
        </is>
      </c>
      <c r="O28" s="6" t="inlineStr">
        <is>
          <t>200</t>
        </is>
      </c>
      <c r="P28" s="6" t="inlineStr">
        <is>
          <t>PRODUCT DEFECT if 53a absent</t>
        </is>
      </c>
      <c r="Q28" s="6" t="inlineStr">
        <is>
          <t>RED — SPECIFIED, NOT EXECUTED</t>
        </is>
      </c>
      <c r="R28" s="6" t="inlineStr">
        <is>
          <t>NOT_EXECUTED</t>
        </is>
      </c>
      <c r="S28" s="6" t="inlineStr">
        <is>
          <t>SSI_FIELD_RESOLUTION_API</t>
        </is>
      </c>
      <c r="T28" s="6" t="inlineStr">
        <is>
          <t>Candidate ranking + chosen route + MT/MX role identity</t>
        </is>
      </c>
    </row>
    <row r="29" ht="42" customHeight="1">
      <c r="A29" s="6" t="inlineStr">
        <is>
          <t>MT103STP-004</t>
        </is>
      </c>
      <c r="B29" s="6" t="inlineStr">
        <is>
          <t>MT103STP</t>
        </is>
      </c>
      <c r="C29" s="6" t="inlineStr">
        <is>
          <t>BASE</t>
        </is>
      </c>
      <c r="D29" s="6" t="inlineStr">
        <is>
          <t>Reimbursement chain</t>
        </is>
      </c>
      <c r="E29" s="6" t="inlineStr">
        <is>
          <t>53a,54a,55a governed roles present and distinct</t>
        </is>
      </c>
      <c r="F29" s="6" t="inlineStr">
        <is>
          <t>COUNTERPARTY_SSI</t>
        </is>
      </c>
      <c r="G29" s="6" t="inlineStr">
        <is>
          <t>53A,54A,55A rendered in correct roles</t>
        </is>
      </c>
      <c r="H29" s="6" t="inlineStr">
        <is>
          <t>InstgRmbrsmntAgt/InstdRmbrsmntAgt/ThrdRmbrsmntAgt preserved</t>
        </is>
      </c>
      <c r="I29" s="6" t="inlineStr">
        <is>
          <t>RESOLVED</t>
        </is>
      </c>
      <c r="J29" s="6" t="inlineStr">
        <is>
          <t>us1m_20260717.pdf SHA 54002BDF...E90E70 pp.297–307, field specifications</t>
        </is>
      </c>
      <c r="K29" s="6" t="inlineStr">
        <is>
          <t>PROPOSED_IN_SCOPE</t>
        </is>
      </c>
      <c r="L29" s="8" t="inlineStr">
        <is>
          <t>POSITIVE</t>
        </is>
      </c>
      <c r="M29" s="8" t="inlineStr">
        <is>
          <t>MT1-CANONICAL-POSITIVE</t>
        </is>
      </c>
      <c r="N29" s="6" t="inlineStr">
        <is>
          <t>FIX-MT103STP-004@v1</t>
        </is>
      </c>
      <c r="O29" s="6" t="inlineStr">
        <is>
          <t>200</t>
        </is>
      </c>
      <c r="P29" s="6" t="inlineStr">
        <is>
          <t>PRODUCT DEFECT on role collapse or swap</t>
        </is>
      </c>
      <c r="Q29" s="6" t="inlineStr">
        <is>
          <t>RED — SPECIFIED, NOT EXECUTED</t>
        </is>
      </c>
      <c r="R29" s="6" t="inlineStr">
        <is>
          <t>NOT_EXECUTED</t>
        </is>
      </c>
      <c r="S29" s="6" t="inlineStr">
        <is>
          <t>SSI_FIELD_RESOLUTION_API</t>
        </is>
      </c>
      <c r="T29" s="6" t="inlineStr">
        <is>
          <t>Role-by-role provenance and equality oracle</t>
        </is>
      </c>
    </row>
    <row r="30" ht="42" customHeight="1">
      <c r="A30" s="6" t="inlineStr">
        <is>
          <t>MT103STP-005</t>
        </is>
      </c>
      <c r="B30" s="6" t="inlineStr">
        <is>
          <t>MT103STP</t>
        </is>
      </c>
      <c r="C30" s="6" t="inlineStr">
        <is>
          <t>BASE</t>
        </is>
      </c>
      <c r="D30" s="6" t="inlineStr">
        <is>
          <t>Intermediary route</t>
        </is>
      </c>
      <c r="E30" s="6" t="inlineStr">
        <is>
          <t>56A and 57A governed roles present; role BICs distinct</t>
        </is>
      </c>
      <c r="F30" s="6" t="inlineStr">
        <is>
          <t>COUNTERPARTY_SSI</t>
        </is>
      </c>
      <c r="G30" s="6" t="inlineStr">
        <is>
          <t>56A=&lt;intermediary&gt;;57A=&lt;account-with institution&gt;</t>
        </is>
      </c>
      <c r="H30" s="6" t="inlineStr">
        <is>
          <t>IntrmyAgt1 and CdtrAgt retain ordered roles</t>
        </is>
      </c>
      <c r="I30" s="6" t="inlineStr">
        <is>
          <t>RESOLVED</t>
        </is>
      </c>
      <c r="J30" s="6" t="inlineStr">
        <is>
          <t>us1m_20260717.pdf SHA 54002BDF...E90E70 pp.297–307, field specifications</t>
        </is>
      </c>
      <c r="K30" s="6" t="inlineStr">
        <is>
          <t>PROPOSED_IN_SCOPE</t>
        </is>
      </c>
      <c r="L30" s="8" t="inlineStr">
        <is>
          <t>POSITIVE</t>
        </is>
      </c>
      <c r="M30" s="8" t="inlineStr">
        <is>
          <t>MT1-CANONICAL-POSITIVE</t>
        </is>
      </c>
      <c r="N30" s="6" t="inlineStr">
        <is>
          <t>FIX-MT103STP-005@v1</t>
        </is>
      </c>
      <c r="O30" s="6" t="inlineStr">
        <is>
          <t>200</t>
        </is>
      </c>
      <c r="P30" s="6" t="inlineStr">
        <is>
          <t>PRODUCT DEFECT on role collapse or swap</t>
        </is>
      </c>
      <c r="Q30" s="6" t="inlineStr">
        <is>
          <t>RED — SPECIFIED, NOT EXECUTED</t>
        </is>
      </c>
      <c r="R30" s="6" t="inlineStr">
        <is>
          <t>NOT_EXECUTED</t>
        </is>
      </c>
      <c r="S30" s="6" t="inlineStr">
        <is>
          <t>SSI_FIELD_RESOLUTION_API</t>
        </is>
      </c>
      <c r="T30" s="6" t="inlineStr">
        <is>
          <t>Role provenance + ordered agent-chain oracle</t>
        </is>
      </c>
    </row>
    <row r="31" ht="42" customHeight="1">
      <c r="A31" s="6" t="inlineStr">
        <is>
          <t>MT103STP-006</t>
        </is>
      </c>
      <c r="B31" s="6" t="inlineStr">
        <is>
          <t>MT103STP</t>
        </is>
      </c>
      <c r="C31" s="6" t="inlineStr">
        <is>
          <t>BASE</t>
        </is>
      </c>
      <c r="D31" s="6" t="inlineStr">
        <is>
          <t>NVR 56a requires 57a</t>
        </is>
      </c>
      <c r="E31" s="6" t="inlineStr">
        <is>
          <t>56a present;57a absent</t>
        </is>
      </c>
      <c r="F31" s="6" t="inlineStr">
        <is>
          <t>UPSTREAM_MESSAGE</t>
        </is>
      </c>
      <c r="G31" s="6" t="inlineStr">
        <is>
          <t>No FIN output; reject dependency violation</t>
        </is>
      </c>
      <c r="H31" s="6" t="inlineStr">
        <is>
          <t>No MX output</t>
        </is>
      </c>
      <c r="I31" s="6" t="inlineStr">
        <is>
          <t>NVR_REJECTED</t>
        </is>
      </c>
      <c r="J31" s="6" t="inlineStr">
        <is>
          <t>us1m_20260717.pdf SHA 54002BDF...E90E70 pp.297–307, field specifications</t>
        </is>
      </c>
      <c r="K31" s="6" t="inlineStr">
        <is>
          <t>CONFIRMED_NVR</t>
        </is>
      </c>
      <c r="L31" s="9" t="inlineStr">
        <is>
          <t>NEGATIVE</t>
        </is>
      </c>
      <c r="M31" s="9" t="inlineStr">
        <is>
          <t>MT1-NVR-NEGATIVE</t>
        </is>
      </c>
      <c r="N31" s="6" t="inlineStr">
        <is>
          <t>FIX-MT103STP-006@v1</t>
        </is>
      </c>
      <c r="O31" s="6" t="inlineStr">
        <is>
          <t>UPSTREAM_REJECT</t>
        </is>
      </c>
      <c r="P31" s="6" t="inlineStr">
        <is>
          <t>Do not claim PASS without real FIN validator</t>
        </is>
      </c>
      <c r="Q31" s="6" t="inlineStr">
        <is>
          <t>RED — SPECIFIED, NOT EXECUTED</t>
        </is>
      </c>
      <c r="R31" s="6" t="inlineStr">
        <is>
          <t>NOT_EXECUTED</t>
        </is>
      </c>
      <c r="S31" s="6" t="inlineStr">
        <is>
          <t>UPSTREAM_FIN_VALIDATOR</t>
        </is>
      </c>
      <c r="T31" s="6" t="inlineStr">
        <is>
          <t>Native validator response/error code</t>
        </is>
      </c>
    </row>
    <row r="32" ht="42" customHeight="1">
      <c r="A32" s="6" t="inlineStr">
        <is>
          <t>MT103STP-007</t>
        </is>
      </c>
      <c r="B32" s="6" t="inlineStr">
        <is>
          <t>MT103STP</t>
        </is>
      </c>
      <c r="C32" s="6" t="inlineStr">
        <is>
          <t>BASE</t>
        </is>
      </c>
      <c r="D32" s="6" t="inlineStr">
        <is>
          <t>NVR 55a requires 53a and 54a</t>
        </is>
      </c>
      <c r="E32" s="6" t="inlineStr">
        <is>
          <t>55a present;53a or54a absent</t>
        </is>
      </c>
      <c r="F32" s="6" t="inlineStr">
        <is>
          <t>UPSTREAM_MESSAGE</t>
        </is>
      </c>
      <c r="G32" s="6" t="inlineStr">
        <is>
          <t>No FIN output; reject dependency violation</t>
        </is>
      </c>
      <c r="H32" s="6" t="inlineStr">
        <is>
          <t>No MX output</t>
        </is>
      </c>
      <c r="I32" s="6" t="inlineStr">
        <is>
          <t>NVR_REJECTED</t>
        </is>
      </c>
      <c r="J32" s="6" t="inlineStr">
        <is>
          <t>us1m_20260717.pdf SHA 54002BDF...E90E70 pp.297–307, field specifications</t>
        </is>
      </c>
      <c r="K32" s="6" t="inlineStr">
        <is>
          <t>CONFIRMED_NVR</t>
        </is>
      </c>
      <c r="L32" s="9" t="inlineStr">
        <is>
          <t>NEGATIVE</t>
        </is>
      </c>
      <c r="M32" s="9" t="inlineStr">
        <is>
          <t>MT1-NVR-NEGATIVE</t>
        </is>
      </c>
      <c r="N32" s="6" t="inlineStr">
        <is>
          <t>FIX-MT103STP-007@v1</t>
        </is>
      </c>
      <c r="O32" s="6" t="inlineStr">
        <is>
          <t>UPSTREAM_REJECT</t>
        </is>
      </c>
      <c r="P32" s="6" t="inlineStr">
        <is>
          <t>Do not claim PASS without real FIN validator</t>
        </is>
      </c>
      <c r="Q32" s="6" t="inlineStr">
        <is>
          <t>RED — SPECIFIED, NOT EXECUTED</t>
        </is>
      </c>
      <c r="R32" s="6" t="inlineStr">
        <is>
          <t>NOT_EXECUTED</t>
        </is>
      </c>
      <c r="S32" s="6" t="inlineStr">
        <is>
          <t>UPSTREAM_FIN_VALIDATOR</t>
        </is>
      </c>
      <c r="T32" s="6" t="inlineStr">
        <is>
          <t>Native validator response/error code</t>
        </is>
      </c>
    </row>
    <row r="33" ht="42" customHeight="1">
      <c r="A33" s="6" t="inlineStr">
        <is>
          <t>MT103STP-008</t>
        </is>
      </c>
      <c r="B33" s="6" t="inlineStr">
        <is>
          <t>MT103STP</t>
        </is>
      </c>
      <c r="C33" s="6" t="inlineStr">
        <is>
          <t>BASE</t>
        </is>
      </c>
      <c r="D33" s="6" t="inlineStr">
        <is>
          <t>Mandatory route SSI not found</t>
        </is>
      </c>
      <c r="E33" s="6" t="inlineStr">
        <is>
          <t>no eligible active SSI for mandatory role</t>
        </is>
      </c>
      <c r="F33" s="6" t="inlineStr">
        <is>
          <t>COUNTERPARTY_SSI</t>
        </is>
      </c>
      <c r="G33" s="6" t="inlineStr">
        <is>
          <t>No MT payload</t>
        </is>
      </c>
      <c r="H33" s="6" t="inlineStr">
        <is>
          <t>No MX payload</t>
        </is>
      </c>
      <c r="I33" s="6" t="inlineStr">
        <is>
          <t>SSI_NOT_FOUND / fail closed</t>
        </is>
      </c>
      <c r="J33" s="6" t="inlineStr">
        <is>
          <t>us1m_20260717.pdf SHA 54002BDF...E90E70 pp.297–307, field specifications</t>
        </is>
      </c>
      <c r="K33" s="6" t="inlineStr">
        <is>
          <t>PROPOSED_IN_SCOPE</t>
        </is>
      </c>
      <c r="L33" s="9" t="inlineStr">
        <is>
          <t>NEGATIVE</t>
        </is>
      </c>
      <c r="M33" s="9" t="inlineStr">
        <is>
          <t>MT1-DQ-NEGATIVE</t>
        </is>
      </c>
      <c r="N33" s="6" t="inlineStr">
        <is>
          <t>FIX-MT103STP-008@v1</t>
        </is>
      </c>
      <c r="O33" s="6" t="inlineStr">
        <is>
          <t>409 DEV/DEMO;500 non-DEV</t>
        </is>
      </c>
      <c r="P33" s="6" t="inlineStr">
        <is>
          <t>PRODUCT DEFECT if payload or Repair Queue created</t>
        </is>
      </c>
      <c r="Q33" s="6" t="inlineStr">
        <is>
          <t>RED — SPECIFIED, NOT EXECUTED</t>
        </is>
      </c>
      <c r="R33" s="6" t="inlineStr">
        <is>
          <t>NOT_EXECUTED</t>
        </is>
      </c>
      <c r="S33" s="6" t="inlineStr">
        <is>
          <t>SSI_FIELD_RESOLUTION_API</t>
        </is>
      </c>
      <c r="T33" s="6" t="inlineStr">
        <is>
          <t>HTTP/code/remediation + side-effect assertions</t>
        </is>
      </c>
    </row>
    <row r="34" ht="42" customHeight="1">
      <c r="A34" s="6" t="inlineStr">
        <is>
          <t>MT103STP-009</t>
        </is>
      </c>
      <c r="B34" s="6" t="inlineStr">
        <is>
          <t>MT103STP</t>
        </is>
      </c>
      <c r="C34" s="6" t="inlineStr">
        <is>
          <t>BASE</t>
        </is>
      </c>
      <c r="D34" s="6" t="inlineStr">
        <is>
          <t>Ambiguous route SSI</t>
        </is>
      </c>
      <c r="E34" s="6" t="inlineStr">
        <is>
          <t>two equally ranked eligible SSI candidates</t>
        </is>
      </c>
      <c r="F34" s="6" t="inlineStr">
        <is>
          <t>COUNTERPARTY_SSI</t>
        </is>
      </c>
      <c r="G34" s="6" t="inlineStr">
        <is>
          <t>No MT payload</t>
        </is>
      </c>
      <c r="H34" s="6" t="inlineStr">
        <is>
          <t>No MX payload</t>
        </is>
      </c>
      <c r="I34" s="6" t="inlineStr">
        <is>
          <t>SSI_AMBIGUOUS / fail closed</t>
        </is>
      </c>
      <c r="J34" s="6" t="inlineStr">
        <is>
          <t>us1m_20260717.pdf SHA 54002BDF...E90E70 pp.297–307, field specifications</t>
        </is>
      </c>
      <c r="K34" s="6" t="inlineStr">
        <is>
          <t>PROPOSED_IN_SCOPE</t>
        </is>
      </c>
      <c r="L34" s="9" t="inlineStr">
        <is>
          <t>NEGATIVE</t>
        </is>
      </c>
      <c r="M34" s="9" t="inlineStr">
        <is>
          <t>MT1-DQ-NEGATIVE</t>
        </is>
      </c>
      <c r="N34" s="6" t="inlineStr">
        <is>
          <t>FIX-MT103STP-009@v1</t>
        </is>
      </c>
      <c r="O34" s="6" t="inlineStr">
        <is>
          <t>409 DEV/DEMO;500 non-DEV</t>
        </is>
      </c>
      <c r="P34" s="6" t="inlineStr">
        <is>
          <t>PRODUCT DEFECT if arbitrary winner selected</t>
        </is>
      </c>
      <c r="Q34" s="6" t="inlineStr">
        <is>
          <t>RED — SPECIFIED, NOT EXECUTED</t>
        </is>
      </c>
      <c r="R34" s="6" t="inlineStr">
        <is>
          <t>NOT_EXECUTED</t>
        </is>
      </c>
      <c r="S34" s="6" t="inlineStr">
        <is>
          <t>SSI_FIELD_RESOLUTION_API</t>
        </is>
      </c>
      <c r="T34" s="6" t="inlineStr">
        <is>
          <t>Alternatives/excludedCandidates + no-payload evidence</t>
        </is>
      </c>
    </row>
    <row r="35" ht="42" customHeight="1">
      <c r="A35" s="6" t="inlineStr">
        <is>
          <t>MT103STP-010</t>
        </is>
      </c>
      <c r="B35" s="6" t="inlineStr">
        <is>
          <t>MT103STP</t>
        </is>
      </c>
      <c r="C35" s="6" t="inlineStr">
        <is>
          <t>BASE</t>
        </is>
      </c>
      <c r="D35" s="6" t="inlineStr">
        <is>
          <t>Selected accountReference missing</t>
        </is>
      </c>
      <c r="E35" s="6" t="inlineStr">
        <is>
          <t>chosen reimbursement accountReference=NULL/blank</t>
        </is>
      </c>
      <c r="F35" s="6" t="inlineStr">
        <is>
          <t>OWN_SSI/NOSTRO</t>
        </is>
      </c>
      <c r="G35" s="6" t="inlineStr">
        <is>
          <t>No MT payload; maskedAccountRef forbidden</t>
        </is>
      </c>
      <c r="H35" s="6" t="inlineStr">
        <is>
          <t>No MX payload</t>
        </is>
      </c>
      <c r="I35" s="6" t="inlineStr">
        <is>
          <t>INCORRECT_SSI_CONFIGURATION</t>
        </is>
      </c>
      <c r="J35" s="6" t="inlineStr">
        <is>
          <t>us1m_20260717.pdf SHA 54002BDF...E90E70 pp.297–307, field specifications</t>
        </is>
      </c>
      <c r="K35" s="6" t="inlineStr">
        <is>
          <t>PRODUCT_POLICY</t>
        </is>
      </c>
      <c r="L35" s="9" t="inlineStr">
        <is>
          <t>NEGATIVE</t>
        </is>
      </c>
      <c r="M35" s="9" t="inlineStr">
        <is>
          <t>MT1-DQ-NEGATIVE</t>
        </is>
      </c>
      <c r="N35" s="6" t="inlineStr">
        <is>
          <t>FIX-MT103STP-010@v1</t>
        </is>
      </c>
      <c r="O35" s="6" t="inlineStr">
        <is>
          <t>409 DEV/DEMO;500 non-DEV</t>
        </is>
      </c>
      <c r="P35" s="6" t="inlineStr">
        <is>
          <t>PRODUCT DEFECT if maskedAccountRef substituted</t>
        </is>
      </c>
      <c r="Q35" s="6" t="inlineStr">
        <is>
          <t>RED — SPECIFIED, NOT EXECUTED</t>
        </is>
      </c>
      <c r="R35" s="6" t="inlineStr">
        <is>
          <t>NOT_EXECUTED</t>
        </is>
      </c>
      <c r="S35" s="6" t="inlineStr">
        <is>
          <t>SSI_FIELD_RESOLUTION_API</t>
        </is>
      </c>
      <c r="T35" s="6" t="inlineStr">
        <is>
          <t>DB row identity + structured remediation</t>
        </is>
      </c>
    </row>
    <row r="36" ht="42" customHeight="1">
      <c r="A36" s="6" t="inlineStr">
        <is>
          <t>MT103STP-011</t>
        </is>
      </c>
      <c r="B36" s="6" t="inlineStr">
        <is>
          <t>MT103STP</t>
        </is>
      </c>
      <c r="C36" s="6" t="inlineStr">
        <is>
          <t>BASE</t>
        </is>
      </c>
      <c r="D36" s="6" t="inlineStr">
        <is>
          <t>Invalid option for profile</t>
        </is>
      </c>
      <c r="E36" s="6" t="inlineStr">
        <is>
          <t>request option Z or profile-disallowed option</t>
        </is>
      </c>
      <c r="F36" s="6" t="inlineStr">
        <is>
          <t>UPSTREAM_MESSAGE</t>
        </is>
      </c>
      <c r="G36" s="6" t="inlineStr">
        <is>
          <t>No MT payload</t>
        </is>
      </c>
      <c r="H36" s="6" t="inlineStr">
        <is>
          <t>No MX payload</t>
        </is>
      </c>
      <c r="I36" s="6" t="inlineStr">
        <is>
          <t>OPTION_CONSTRAINT_VIOLATION</t>
        </is>
      </c>
      <c r="J36" s="6" t="inlineStr">
        <is>
          <t>us1m_20260717.pdf SHA 54002BDF...E90E70 pp.297–307, field specifications</t>
        </is>
      </c>
      <c r="K36" s="6" t="inlineStr">
        <is>
          <t>CONFIRMED_PROFILE_RULE</t>
        </is>
      </c>
      <c r="L36" s="9" t="inlineStr">
        <is>
          <t>NEGATIVE</t>
        </is>
      </c>
      <c r="M36" s="9" t="inlineStr">
        <is>
          <t>MT1-NVR-NEGATIVE</t>
        </is>
      </c>
      <c r="N36" s="6" t="inlineStr">
        <is>
          <t>FIX-MT103STP-011@v1</t>
        </is>
      </c>
      <c r="O36" s="6" t="inlineStr">
        <is>
          <t>422</t>
        </is>
      </c>
      <c r="P36" s="6" t="inlineStr">
        <is>
          <t>PRODUCT DEFECT if invalid option accepted</t>
        </is>
      </c>
      <c r="Q36" s="6" t="inlineStr">
        <is>
          <t>RED — SPECIFIED, NOT EXECUTED</t>
        </is>
      </c>
      <c r="R36" s="6" t="inlineStr">
        <is>
          <t>NOT_EXECUTED</t>
        </is>
      </c>
      <c r="S36" s="6" t="inlineStr">
        <is>
          <t>SSI_FIELD_RESOLUTION_API</t>
        </is>
      </c>
      <c r="T36" s="6" t="inlineStr">
        <is>
          <t>Allowed option set + error contract</t>
        </is>
      </c>
    </row>
    <row r="37" ht="42" customHeight="1">
      <c r="A37" s="6" t="inlineStr">
        <is>
          <t>MT103STP-012</t>
        </is>
      </c>
      <c r="B37" s="6" t="inlineStr">
        <is>
          <t>MT103STP</t>
        </is>
      </c>
      <c r="C37" s="6" t="inlineStr">
        <is>
          <t>BASE</t>
        </is>
      </c>
      <c r="D37" s="6" t="inlineStr">
        <is>
          <t>Profile selected by BizSvc</t>
        </is>
      </c>
      <c r="E37" s="6" t="inlineStr">
        <is>
          <t>same MsgDefIdr; BizSvc=swift.cbprplus.stp.04; controlled scenario</t>
        </is>
      </c>
      <c r="F37" s="6" t="inlineStr">
        <is>
          <t>PROFILE_ROUTING</t>
        </is>
      </c>
      <c r="G37" s="6" t="inlineStr">
        <is>
          <t>Correct MT variant rules</t>
        </is>
      </c>
      <c r="H37" s="6" t="inlineStr">
        <is>
          <t>pacs.008.001.08 + swift.cbprplus.stp.04</t>
        </is>
      </c>
      <c r="I37" s="6" t="inlineStr">
        <is>
          <t>PROFILE_VERIFIED</t>
        </is>
      </c>
      <c r="J37" s="6" t="inlineStr">
        <is>
          <t>pacs.008 plain/STP UGs p.10</t>
        </is>
      </c>
      <c r="K37" s="6" t="inlineStr">
        <is>
          <t>CONFIRMED_UG</t>
        </is>
      </c>
      <c r="L37" s="8" t="inlineStr">
        <is>
          <t>POSITIVE</t>
        </is>
      </c>
      <c r="M37" s="8" t="inlineStr">
        <is>
          <t>MT1-CANONICAL-POSITIVE</t>
        </is>
      </c>
      <c r="N37" s="6" t="inlineStr">
        <is>
          <t>FIX-MT103STP-012@v1</t>
        </is>
      </c>
      <c r="O37" s="6" t="inlineStr">
        <is>
          <t>200</t>
        </is>
      </c>
      <c r="P37" s="6" t="inlineStr">
        <is>
          <t>PRODUCT DEFECT if MsgDefIdr alone selects profile</t>
        </is>
      </c>
      <c r="Q37" s="6" t="inlineStr">
        <is>
          <t>RED — SPECIFIED, NOT EXECUTED</t>
        </is>
      </c>
      <c r="R37" s="6" t="inlineStr">
        <is>
          <t>NOT_EXECUTED</t>
        </is>
      </c>
      <c r="S37" s="6" t="inlineStr">
        <is>
          <t>CONVERTER_PROFILE_MAPPER</t>
        </is>
      </c>
      <c r="T37" s="6" t="inlineStr">
        <is>
          <t>BAH + scenario + selected profile identity</t>
        </is>
      </c>
    </row>
    <row r="38" ht="42" customHeight="1">
      <c r="A38" s="6" t="inlineStr">
        <is>
          <t>MT101-001</t>
        </is>
      </c>
      <c r="B38" s="6" t="inlineStr">
        <is>
          <t>MT101</t>
        </is>
      </c>
      <c r="C38" s="6" t="inlineStr">
        <is>
          <t>A/B</t>
        </is>
      </c>
      <c r="D38" s="6" t="inlineStr">
        <is>
          <t>Reference-only request accepted without SSI mutation</t>
        </is>
      </c>
      <c r="E38" s="6" t="inlineStr">
        <is>
          <t>valid request-for-transfer</t>
        </is>
      </c>
      <c r="F38" s="6" t="inlineStr">
        <is>
          <t>UPSTREAM_MESSAGE</t>
        </is>
      </c>
      <c r="G38" s="6" t="inlineStr">
        <is>
          <t>MT101 remains request; no SSI-owned rewrite</t>
        </is>
      </c>
      <c r="H38" s="6" t="inlineStr">
        <is>
          <t>Conversion occurs only in existing execution engine</t>
        </is>
      </c>
      <c r="I38" s="6" t="inlineStr">
        <is>
          <t>NOT_REQUIRED</t>
        </is>
      </c>
      <c r="J38" s="6" t="inlineStr">
        <is>
          <t>us1m_20260717.pdf SHA 54002BDF...E90E70 pp.14–18, 26–28, 39–45, 51–64</t>
        </is>
      </c>
      <c r="K38" s="7" t="inlineStr">
        <is>
          <t>PENDING_BA</t>
        </is>
      </c>
      <c r="L38" s="6" t="inlineStr">
        <is>
          <t>BOUNDARY</t>
        </is>
      </c>
      <c r="M38" s="6" t="inlineStr">
        <is>
          <t>MT1-BOUNDARY</t>
        </is>
      </c>
      <c r="N38" s="6" t="inlineStr">
        <is>
          <t>FIX-MT101-001@v1</t>
        </is>
      </c>
      <c r="O38" s="6" t="inlineStr">
        <is>
          <t>200</t>
        </is>
      </c>
      <c r="P38" s="6" t="inlineStr">
        <is>
          <t>PRODUCT DEFECT if SSI master data mutated</t>
        </is>
      </c>
      <c r="Q38" s="6" t="inlineStr">
        <is>
          <t>RED — SPECIFIED, NOT EXECUTED</t>
        </is>
      </c>
      <c r="R38" s="6" t="inlineStr">
        <is>
          <t>NOT_EXECUTED</t>
        </is>
      </c>
      <c r="S38" s="6" t="inlineStr">
        <is>
          <t>UPSTREAM_PAYMENT_ENGINE</t>
        </is>
      </c>
      <c r="T38" s="6" t="inlineStr">
        <is>
          <t>No SSI write/no Repair Queue</t>
        </is>
      </c>
    </row>
    <row r="39" ht="42" customHeight="1">
      <c r="A39" s="6" t="inlineStr">
        <is>
          <t>MT101-002</t>
        </is>
      </c>
      <c r="B39" s="6" t="inlineStr">
        <is>
          <t>MT101</t>
        </is>
      </c>
      <c r="C39" s="6" t="inlineStr">
        <is>
          <t>A/B</t>
        </is>
      </c>
      <c r="D39" s="6" t="inlineStr">
        <is>
          <t>C6 52a sequence exclusivity</t>
        </is>
      </c>
      <c r="E39" s="6" t="inlineStr">
        <is>
          <t>52a present in A and B</t>
        </is>
      </c>
      <c r="F39" s="6" t="inlineStr">
        <is>
          <t>UPSTREAM_MESSAGE</t>
        </is>
      </c>
      <c r="G39" s="6" t="inlineStr">
        <is>
          <t>Reject D64</t>
        </is>
      </c>
      <c r="H39" s="6" t="inlineStr">
        <is>
          <t>No MX output</t>
        </is>
      </c>
      <c r="I39" s="6" t="inlineStr">
        <is>
          <t>NVR_REJECTED</t>
        </is>
      </c>
      <c r="J39" s="6" t="inlineStr">
        <is>
          <t>us1m_20260717.pdf SHA 54002BDF...E90E70 pp.14–18, 26–28, 39–45, 51–64</t>
        </is>
      </c>
      <c r="K39" s="6" t="inlineStr">
        <is>
          <t>CONFIRMED_NVR</t>
        </is>
      </c>
      <c r="L39" s="9" t="inlineStr">
        <is>
          <t>NEGATIVE</t>
        </is>
      </c>
      <c r="M39" s="9" t="inlineStr">
        <is>
          <t>MT1-NVR-NEGATIVE</t>
        </is>
      </c>
      <c r="N39" s="6" t="inlineStr">
        <is>
          <t>FIX-MT101-002@v1</t>
        </is>
      </c>
      <c r="O39" s="6" t="inlineStr">
        <is>
          <t>UPSTREAM_REJECT</t>
        </is>
      </c>
      <c r="P39" s="6" t="inlineStr">
        <is>
          <t>No simulated PASS</t>
        </is>
      </c>
      <c r="Q39" s="6" t="inlineStr">
        <is>
          <t>RED — SPECIFIED, NOT EXECUTED</t>
        </is>
      </c>
      <c r="R39" s="6" t="inlineStr">
        <is>
          <t>NOT_EXECUTED</t>
        </is>
      </c>
      <c r="S39" s="6" t="inlineStr">
        <is>
          <t>UPSTREAM_FIN_VALIDATOR</t>
        </is>
      </c>
      <c r="T39" s="6" t="inlineStr">
        <is>
          <t>Native D64 evidence</t>
        </is>
      </c>
    </row>
    <row r="40" ht="42" customHeight="1">
      <c r="A40" s="6" t="inlineStr">
        <is>
          <t>MT101-003</t>
        </is>
      </c>
      <c r="B40" s="6" t="inlineStr">
        <is>
          <t>MT101</t>
        </is>
      </c>
      <c r="C40" s="6" t="inlineStr">
        <is>
          <t>B</t>
        </is>
      </c>
      <c r="D40" s="6" t="inlineStr">
        <is>
          <t>C7 56a implies 57a</t>
        </is>
      </c>
      <c r="E40" s="6" t="inlineStr">
        <is>
          <t>56a present;57a absent</t>
        </is>
      </c>
      <c r="F40" s="6" t="inlineStr">
        <is>
          <t>UPSTREAM_MESSAGE</t>
        </is>
      </c>
      <c r="G40" s="6" t="inlineStr">
        <is>
          <t>Reject D65</t>
        </is>
      </c>
      <c r="H40" s="6" t="inlineStr">
        <is>
          <t>No MX output</t>
        </is>
      </c>
      <c r="I40" s="6" t="inlineStr">
        <is>
          <t>NVR_REJECTED</t>
        </is>
      </c>
      <c r="J40" s="6" t="inlineStr">
        <is>
          <t>us1m_20260717.pdf SHA 54002BDF...E90E70 pp.14–18, 26–28, 39–45, 51–64</t>
        </is>
      </c>
      <c r="K40" s="6" t="inlineStr">
        <is>
          <t>CONFIRMED_NVR</t>
        </is>
      </c>
      <c r="L40" s="9" t="inlineStr">
        <is>
          <t>NEGATIVE</t>
        </is>
      </c>
      <c r="M40" s="9" t="inlineStr">
        <is>
          <t>MT1-NVR-NEGATIVE</t>
        </is>
      </c>
      <c r="N40" s="6" t="inlineStr">
        <is>
          <t>FIX-MT101-003@v1</t>
        </is>
      </c>
      <c r="O40" s="6" t="inlineStr">
        <is>
          <t>UPSTREAM_REJECT</t>
        </is>
      </c>
      <c r="P40" s="6" t="inlineStr">
        <is>
          <t>No simulated PASS</t>
        </is>
      </c>
      <c r="Q40" s="6" t="inlineStr">
        <is>
          <t>RED — SPECIFIED, NOT EXECUTED</t>
        </is>
      </c>
      <c r="R40" s="6" t="inlineStr">
        <is>
          <t>NOT_EXECUTED</t>
        </is>
      </c>
      <c r="S40" s="6" t="inlineStr">
        <is>
          <t>UPSTREAM_FIN_VALIDATOR</t>
        </is>
      </c>
      <c r="T40" s="6" t="inlineStr">
        <is>
          <t>Native D65 evidence</t>
        </is>
      </c>
    </row>
    <row r="41" ht="42" customHeight="1">
      <c r="A41" s="6" t="inlineStr">
        <is>
          <t>MT101-004</t>
        </is>
      </c>
      <c r="B41" s="6" t="inlineStr">
        <is>
          <t>MT101</t>
        </is>
      </c>
      <c r="C41" s="6" t="inlineStr">
        <is>
          <t>B</t>
        </is>
      </c>
      <c r="D41" s="6" t="inlineStr">
        <is>
          <t>56a+57a execution mapping</t>
        </is>
      </c>
      <c r="E41" s="6" t="inlineStr">
        <is>
          <t>both fields present</t>
        </is>
      </c>
      <c r="F41" s="6" t="inlineStr">
        <is>
          <t>UPSTREAM_MESSAGE</t>
        </is>
      </c>
      <c r="G41" s="6" t="inlineStr">
        <is>
          <t>Preserve MT101 roles</t>
        </is>
      </c>
      <c r="H41" s="6" t="inlineStr">
        <is>
          <t>Executing engine maps 56a to downstream receiver and 57a to downstream 57a per MRG</t>
        </is>
      </c>
      <c r="I41" s="6" t="inlineStr">
        <is>
          <t>REFERENCE_ONLY</t>
        </is>
      </c>
      <c r="J41" s="6" t="inlineStr">
        <is>
          <t>us1m_20260717.pdf SHA 54002BDF...E90E70 pp.14–18, 26–28, 39–45, 51–64</t>
        </is>
      </c>
      <c r="K41" s="7" t="inlineStr">
        <is>
          <t>PENDING_BA</t>
        </is>
      </c>
      <c r="L41" s="8" t="inlineStr">
        <is>
          <t>POSITIVE</t>
        </is>
      </c>
      <c r="M41" s="8" t="inlineStr">
        <is>
          <t>MT1-CANONICAL-POSITIVE</t>
        </is>
      </c>
      <c r="N41" s="6" t="inlineStr">
        <is>
          <t>FIX-MT101-004@v1</t>
        </is>
      </c>
      <c r="O41" s="6" t="inlineStr">
        <is>
          <t>200</t>
        </is>
      </c>
      <c r="P41" s="6" t="inlineStr">
        <is>
          <t>PRODUCT DEFECT if source roles swapped</t>
        </is>
      </c>
      <c r="Q41" s="6" t="inlineStr">
        <is>
          <t>RED — SPECIFIED, NOT EXECUTED</t>
        </is>
      </c>
      <c r="R41" s="6" t="inlineStr">
        <is>
          <t>NOT_EXECUTED</t>
        </is>
      </c>
      <c r="S41" s="6" t="inlineStr">
        <is>
          <t>UPSTREAM_PAYMENT_ENGINE</t>
        </is>
      </c>
      <c r="T41" s="6" t="inlineStr">
        <is>
          <t>Downstream MT103/pacs.008 conversion trace</t>
        </is>
      </c>
    </row>
    <row r="42" ht="42" customHeight="1">
      <c r="A42" s="6" t="inlineStr">
        <is>
          <t>MT101-005</t>
        </is>
      </c>
      <c r="B42" s="6" t="inlineStr">
        <is>
          <t>MT101</t>
        </is>
      </c>
      <c r="C42" s="6" t="inlineStr">
        <is>
          <t>B</t>
        </is>
      </c>
      <c r="D42" s="6" t="inlineStr">
        <is>
          <t>57a-only execution mapping</t>
        </is>
      </c>
      <c r="E42" s="6" t="inlineStr">
        <is>
          <t>57a present;56a absent</t>
        </is>
      </c>
      <c r="F42" s="6" t="inlineStr">
        <is>
          <t>UPSTREAM_MESSAGE</t>
        </is>
      </c>
      <c r="G42" s="6" t="inlineStr">
        <is>
          <t>Preserve MT101 57a</t>
        </is>
      </c>
      <c r="H42" s="6" t="inlineStr">
        <is>
          <t>Executing engine may derive downstream receiver from 57a</t>
        </is>
      </c>
      <c r="I42" s="6" t="inlineStr">
        <is>
          <t>REFERENCE_ONLY</t>
        </is>
      </c>
      <c r="J42" s="6" t="inlineStr">
        <is>
          <t>us1m_20260717.pdf SHA 54002BDF...E90E70 pp.14–18, 26–28, 39–45, 51–64</t>
        </is>
      </c>
      <c r="K42" s="7" t="inlineStr">
        <is>
          <t>PENDING_BA</t>
        </is>
      </c>
      <c r="L42" s="8" t="inlineStr">
        <is>
          <t>POSITIVE</t>
        </is>
      </c>
      <c r="M42" s="8" t="inlineStr">
        <is>
          <t>MT1-CANONICAL-POSITIVE</t>
        </is>
      </c>
      <c r="N42" s="6" t="inlineStr">
        <is>
          <t>FIX-MT101-005@v1</t>
        </is>
      </c>
      <c r="O42" s="6" t="inlineStr">
        <is>
          <t>200</t>
        </is>
      </c>
      <c r="P42" s="6" t="inlineStr">
        <is>
          <t>PRODUCT DEFECT if blind 57a copy is claimed</t>
        </is>
      </c>
      <c r="Q42" s="6" t="inlineStr">
        <is>
          <t>RED — SPECIFIED, NOT EXECUTED</t>
        </is>
      </c>
      <c r="R42" s="6" t="inlineStr">
        <is>
          <t>NOT_EXECUTED</t>
        </is>
      </c>
      <c r="S42" s="6" t="inlineStr">
        <is>
          <t>UPSTREAM_PAYMENT_ENGINE</t>
        </is>
      </c>
      <c r="T42" s="6" t="inlineStr">
        <is>
          <t>Downstream conversion trace</t>
        </is>
      </c>
    </row>
    <row r="43" ht="42" customHeight="1">
      <c r="A43" s="6" t="inlineStr">
        <is>
          <t>MT101-006</t>
        </is>
      </c>
      <c r="B43" s="6" t="inlineStr">
        <is>
          <t>MT101</t>
        </is>
      </c>
      <c r="C43" s="6" t="inlineStr">
        <is>
          <t>B</t>
        </is>
      </c>
      <c r="D43" s="6" t="inlineStr">
        <is>
          <t>57a absence semantics</t>
        </is>
      </c>
      <c r="E43" s="6" t="inlineStr">
        <is>
          <t>56a absent;57a absent</t>
        </is>
      </c>
      <c r="F43" s="6" t="inlineStr">
        <is>
          <t>UPSTREAM_MESSAGE</t>
        </is>
      </c>
      <c r="G43" s="6" t="inlineStr">
        <is>
          <t>Receiver is account-with institution</t>
        </is>
      </c>
      <c r="H43" s="6" t="inlineStr">
        <is>
          <t>No separate CdtrAgt override solely from missing data</t>
        </is>
      </c>
      <c r="I43" s="6" t="inlineStr">
        <is>
          <t>OMITTED_BY_RULE</t>
        </is>
      </c>
      <c r="J43" s="6" t="inlineStr">
        <is>
          <t>us1m_20260717.pdf SHA 54002BDF...E90E70 pp.14–18, 26–28, 39–45, 51–64</t>
        </is>
      </c>
      <c r="K43" s="6" t="inlineStr">
        <is>
          <t>CONFIRMED_MRG</t>
        </is>
      </c>
      <c r="L43" s="8" t="inlineStr">
        <is>
          <t>POSITIVE</t>
        </is>
      </c>
      <c r="M43" s="8" t="inlineStr">
        <is>
          <t>MT1-CANONICAL-POSITIVE</t>
        </is>
      </c>
      <c r="N43" s="6" t="inlineStr">
        <is>
          <t>FIX-MT101-006@v1</t>
        </is>
      </c>
      <c r="O43" s="6" t="inlineStr">
        <is>
          <t>200</t>
        </is>
      </c>
      <c r="P43" s="6" t="inlineStr">
        <is>
          <t>PRODUCT DEFECT if treated SSI_NOT_FOUND</t>
        </is>
      </c>
      <c r="Q43" s="6" t="inlineStr">
        <is>
          <t>RED — SPECIFIED, NOT EXECUTED</t>
        </is>
      </c>
      <c r="R43" s="6" t="inlineStr">
        <is>
          <t>NOT_EXECUTED</t>
        </is>
      </c>
      <c r="S43" s="6" t="inlineStr">
        <is>
          <t>UPSTREAM_PAYMENT_ENGINE</t>
        </is>
      </c>
      <c r="T43" s="6" t="inlineStr">
        <is>
          <t>Omission reason</t>
        </is>
      </c>
    </row>
    <row r="44" ht="42" customHeight="1">
      <c r="A44" s="6" t="inlineStr">
        <is>
          <t>MT101-007</t>
        </is>
      </c>
      <c r="B44" s="6" t="inlineStr">
        <is>
          <t>MT101</t>
        </is>
      </c>
      <c r="C44" s="6" t="inlineStr">
        <is>
          <t>A/B</t>
        </is>
      </c>
      <c r="D44" s="6" t="inlineStr">
        <is>
          <t>Account-servicer option constraint</t>
        </is>
      </c>
      <c r="E44" s="6" t="inlineStr">
        <is>
          <t>52Z requested</t>
        </is>
      </c>
      <c r="F44" s="6" t="inlineStr">
        <is>
          <t>UPSTREAM_MESSAGE</t>
        </is>
      </c>
      <c r="G44" s="6" t="inlineStr">
        <is>
          <t>Reject invalid 52 option</t>
        </is>
      </c>
      <c r="H44" s="6" t="inlineStr">
        <is>
          <t>No MX output</t>
        </is>
      </c>
      <c r="I44" s="6" t="inlineStr">
        <is>
          <t>OPTION_CONSTRAINT_VIOLATION</t>
        </is>
      </c>
      <c r="J44" s="6" t="inlineStr">
        <is>
          <t>us1m_20260717.pdf SHA 54002BDF...E90E70 pp.14–18, 26–28, 39–45, 51–64</t>
        </is>
      </c>
      <c r="K44" s="6" t="inlineStr">
        <is>
          <t>CONFIRMED_MRG</t>
        </is>
      </c>
      <c r="L44" s="9" t="inlineStr">
        <is>
          <t>NEGATIVE</t>
        </is>
      </c>
      <c r="M44" s="9" t="inlineStr">
        <is>
          <t>MT1-NVR-NEGATIVE</t>
        </is>
      </c>
      <c r="N44" s="6" t="inlineStr">
        <is>
          <t>FIX-MT101-007@v1</t>
        </is>
      </c>
      <c r="O44" s="6" t="inlineStr">
        <is>
          <t>422</t>
        </is>
      </c>
      <c r="P44" s="6" t="inlineStr">
        <is>
          <t>PRODUCT DEFECT if accepted</t>
        </is>
      </c>
      <c r="Q44" s="6" t="inlineStr">
        <is>
          <t>RED — SPECIFIED, NOT EXECUTED</t>
        </is>
      </c>
      <c r="R44" s="6" t="inlineStr">
        <is>
          <t>NOT_EXECUTED</t>
        </is>
      </c>
      <c r="S44" s="6" t="inlineStr">
        <is>
          <t>UPSTREAM_FIN_VALIDATOR</t>
        </is>
      </c>
      <c r="T44" s="6" t="inlineStr">
        <is>
          <t>Native validator or exact pre-validation</t>
        </is>
      </c>
    </row>
    <row r="45" ht="42" customHeight="1">
      <c r="A45" s="6" t="inlineStr">
        <is>
          <t>MT101-008</t>
        </is>
      </c>
      <c r="B45" s="6" t="inlineStr">
        <is>
          <t>MT101</t>
        </is>
      </c>
      <c r="C45" s="6" t="inlineStr">
        <is>
          <t>B</t>
        </is>
      </c>
      <c r="D45" s="6" t="inlineStr">
        <is>
          <t>Clearing code appears once in first 56a/57a</t>
        </is>
      </c>
      <c r="E45" s="6" t="inlineStr">
        <is>
          <t>same //FW in both fields</t>
        </is>
      </c>
      <c r="F45" s="6" t="inlineStr">
        <is>
          <t>UPSTREAM_MESSAGE</t>
        </is>
      </c>
      <c r="G45" s="6" t="inlineStr">
        <is>
          <t>Reject/remove duplicate according to governed agent-chain pass</t>
        </is>
      </c>
      <c r="H45" s="6" t="inlineStr">
        <is>
          <t>Agent chain contains one clearing identifier</t>
        </is>
      </c>
      <c r="I45" s="6" t="inlineStr">
        <is>
          <t>NVR_REJECTED</t>
        </is>
      </c>
      <c r="J45" s="6" t="inlineStr">
        <is>
          <t>us1m_20260717.pdf SHA 54002BDF...E90E70 pp.14–18, 26–28, 39–45, 51–64</t>
        </is>
      </c>
      <c r="K45" s="6" t="inlineStr">
        <is>
          <t>CONFIRMED_MRG</t>
        </is>
      </c>
      <c r="L45" s="9" t="inlineStr">
        <is>
          <t>NEGATIVE</t>
        </is>
      </c>
      <c r="M45" s="9" t="inlineStr">
        <is>
          <t>MT1-NVR-NEGATIVE</t>
        </is>
      </c>
      <c r="N45" s="6" t="inlineStr">
        <is>
          <t>FIX-MT101-008@v1</t>
        </is>
      </c>
      <c r="O45" s="6" t="inlineStr">
        <is>
          <t>UPSTREAM_REJECT</t>
        </is>
      </c>
      <c r="P45" s="6" t="inlineStr">
        <is>
          <t>No simulated PASS</t>
        </is>
      </c>
      <c r="Q45" s="6" t="inlineStr">
        <is>
          <t>RED — SPECIFIED, NOT EXECUTED</t>
        </is>
      </c>
      <c r="R45" s="6" t="inlineStr">
        <is>
          <t>NOT_EXECUTED</t>
        </is>
      </c>
      <c r="S45" s="6" t="inlineStr">
        <is>
          <t>UPSTREAM_FIN_VALIDATOR</t>
        </is>
      </c>
      <c r="T45" s="6" t="inlineStr">
        <is>
          <t>Native validator + composed FIN</t>
        </is>
      </c>
    </row>
    <row r="46" ht="42" customHeight="1">
      <c r="A46" s="6" t="inlineStr">
        <is>
          <t>MT102-001</t>
        </is>
      </c>
      <c r="B46" s="6" t="inlineStr">
        <is>
          <t>MT102</t>
        </is>
      </c>
      <c r="C46" s="6" t="inlineStr">
        <is>
          <t>A/B/C</t>
        </is>
      </c>
      <c r="D46" s="6" t="inlineStr">
        <is>
          <t>Scope decision guard</t>
        </is>
      </c>
      <c r="E46" s="6" t="inlineStr">
        <is>
          <t>valid multiple-transfer instruction</t>
        </is>
      </c>
      <c r="F46" s="6" t="inlineStr">
        <is>
          <t>PROFILE_ROUTING</t>
        </is>
      </c>
      <c r="G46" s="6" t="inlineStr">
        <is>
          <t>No SSI resolution until BA chooses message-level vs per-transaction</t>
        </is>
      </c>
      <c r="H46" s="6" t="inlineStr">
        <is>
          <t>No pacs.008 claim until split policy is fixed</t>
        </is>
      </c>
      <c r="I46" s="7" t="inlineStr">
        <is>
          <t>PENDING_BA</t>
        </is>
      </c>
      <c r="J46" s="6" t="inlineStr">
        <is>
          <t>us1m_20260717.pdf SHA 54002BDF...E90E70 pp.71–77, 89–113</t>
        </is>
      </c>
      <c r="K46" s="7" t="inlineStr">
        <is>
          <t>PENDING_BA</t>
        </is>
      </c>
      <c r="L46" s="6" t="inlineStr">
        <is>
          <t>BOUNDARY</t>
        </is>
      </c>
      <c r="M46" s="6" t="inlineStr">
        <is>
          <t>MT1-BOUNDARY</t>
        </is>
      </c>
      <c r="N46" s="6" t="inlineStr">
        <is>
          <t>FIX-MT102-001@v1</t>
        </is>
      </c>
      <c r="O46" s="6" t="inlineStr">
        <is>
          <t>NO_EXECUTION</t>
        </is>
      </c>
      <c r="P46" s="6" t="inlineStr">
        <is>
          <t>BLOCK if service resolves arbitrarily</t>
        </is>
      </c>
      <c r="Q46" s="6" t="inlineStr">
        <is>
          <t>RED — SPECIFIED, NOT EXECUTED</t>
        </is>
      </c>
      <c r="R46" s="6" t="inlineStr">
        <is>
          <t>NOT_EXECUTED</t>
        </is>
      </c>
      <c r="S46" s="6" t="inlineStr">
        <is>
          <t>BA_RULING</t>
        </is>
      </c>
      <c r="T46" s="6" t="inlineStr">
        <is>
          <t>Signed scope and split-policy decision</t>
        </is>
      </c>
    </row>
    <row r="47" ht="42" customHeight="1">
      <c r="A47" s="6" t="inlineStr">
        <is>
          <t>MT102-002</t>
        </is>
      </c>
      <c r="B47" s="6" t="inlineStr">
        <is>
          <t>MT102</t>
        </is>
      </c>
      <c r="C47" s="6" t="inlineStr">
        <is>
          <t>C</t>
        </is>
      </c>
      <c r="D47" s="6" t="inlineStr">
        <is>
          <t>Unique bilateral settlement account</t>
        </is>
      </c>
      <c r="E47" s="6" t="inlineStr">
        <is>
          <t>one direct account</t>
        </is>
      </c>
      <c r="F47" s="6" t="inlineStr">
        <is>
          <t>OWN_SSI/NOSTRO</t>
        </is>
      </c>
      <c r="G47" s="6" t="inlineStr">
        <is>
          <t>53a omitted by rule</t>
        </is>
      </c>
      <c r="H47" s="6" t="inlineStr">
        <is>
          <t>SttlmAcct omitted unless account must be specified</t>
        </is>
      </c>
      <c r="I47" s="6" t="inlineStr">
        <is>
          <t>OMITTED_BY_RULE</t>
        </is>
      </c>
      <c r="J47" s="6" t="inlineStr">
        <is>
          <t>us1m_20260717.pdf SHA 54002BDF...E90E70 pp.71–77, 89–113</t>
        </is>
      </c>
      <c r="K47" s="7" t="inlineStr">
        <is>
          <t>PENDING_BA</t>
        </is>
      </c>
      <c r="L47" s="8" t="inlineStr">
        <is>
          <t>POSITIVE</t>
        </is>
      </c>
      <c r="M47" s="8" t="inlineStr">
        <is>
          <t>MT1-CANONICAL-POSITIVE</t>
        </is>
      </c>
      <c r="N47" s="6" t="inlineStr">
        <is>
          <t>FIX-MT102-002@v1</t>
        </is>
      </c>
      <c r="O47" s="6" t="inlineStr">
        <is>
          <t>200</t>
        </is>
      </c>
      <c r="P47" s="6" t="inlineStr">
        <is>
          <t>Applies only after scope approval</t>
        </is>
      </c>
      <c r="Q47" s="6" t="inlineStr">
        <is>
          <t>RED — SPECIFIED, NOT EXECUTED</t>
        </is>
      </c>
      <c r="R47" s="6" t="inlineStr">
        <is>
          <t>NOT_EXECUTED</t>
        </is>
      </c>
      <c r="S47" s="6" t="inlineStr">
        <is>
          <t>SSI_FIELD_RESOLUTION_API</t>
        </is>
      </c>
      <c r="T47" s="6" t="inlineStr">
        <is>
          <t>Message/split-level fixture identity</t>
        </is>
      </c>
    </row>
    <row r="48" ht="42" customHeight="1">
      <c r="A48" s="6" t="inlineStr">
        <is>
          <t>MT102-003</t>
        </is>
      </c>
      <c r="B48" s="6" t="inlineStr">
        <is>
          <t>MT102</t>
        </is>
      </c>
      <c r="C48" s="6" t="inlineStr">
        <is>
          <t>C</t>
        </is>
      </c>
      <c r="D48" s="6" t="inlineStr">
        <is>
          <t>Multiple direct accounts</t>
        </is>
      </c>
      <c r="E48" s="6" t="inlineStr">
        <is>
          <t>selected accountReference among multiple</t>
        </is>
      </c>
      <c r="F48" s="6" t="inlineStr">
        <is>
          <t>OWN_SSI/NOSTRO</t>
        </is>
      </c>
      <c r="G48" s="6" t="inlineStr">
        <is>
          <t>53B=/&lt;accountReference&gt;</t>
        </is>
      </c>
      <c r="H48" s="6" t="inlineStr">
        <is>
          <t>SttlmAcct=&lt;accountReference&gt;</t>
        </is>
      </c>
      <c r="I48" s="6" t="inlineStr">
        <is>
          <t>RESOLVED</t>
        </is>
      </c>
      <c r="J48" s="6" t="inlineStr">
        <is>
          <t>us1m_20260717.pdf SHA 54002BDF...E90E70 pp.71–77, 89–113</t>
        </is>
      </c>
      <c r="K48" s="7" t="inlineStr">
        <is>
          <t>PENDING_BA</t>
        </is>
      </c>
      <c r="L48" s="8" t="inlineStr">
        <is>
          <t>POSITIVE</t>
        </is>
      </c>
      <c r="M48" s="8" t="inlineStr">
        <is>
          <t>MT1-CANONICAL-POSITIVE</t>
        </is>
      </c>
      <c r="N48" s="6" t="inlineStr">
        <is>
          <t>FIX-MT102-003@v1</t>
        </is>
      </c>
      <c r="O48" s="6" t="inlineStr">
        <is>
          <t>200</t>
        </is>
      </c>
      <c r="P48" s="6" t="inlineStr">
        <is>
          <t>maskedAccountRef forbidden</t>
        </is>
      </c>
      <c r="Q48" s="6" t="inlineStr">
        <is>
          <t>RED — SPECIFIED, NOT EXECUTED</t>
        </is>
      </c>
      <c r="R48" s="6" t="inlineStr">
        <is>
          <t>NOT_EXECUTED</t>
        </is>
      </c>
      <c r="S48" s="6" t="inlineStr">
        <is>
          <t>SSI_FIELD_RESOLUTION_API</t>
        </is>
      </c>
      <c r="T48" s="6" t="inlineStr">
        <is>
          <t>Selected account identity</t>
        </is>
      </c>
    </row>
    <row r="49" ht="42" customHeight="1">
      <c r="A49" s="6" t="inlineStr">
        <is>
          <t>MT102-004</t>
        </is>
      </c>
      <c r="B49" s="6" t="inlineStr">
        <is>
          <t>MT102</t>
        </is>
      </c>
      <c r="C49" s="6" t="inlineStr">
        <is>
          <t>B</t>
        </is>
      </c>
      <c r="D49" s="6" t="inlineStr">
        <is>
          <t>57a absence semantics</t>
        </is>
      </c>
      <c r="E49" s="6" t="inlineStr">
        <is>
          <t>57a absent</t>
        </is>
      </c>
      <c r="F49" s="6" t="inlineStr">
        <is>
          <t>COUNTERPARTY_SSI</t>
        </is>
      </c>
      <c r="G49" s="6" t="inlineStr">
        <is>
          <t>Receiver is account-with institution</t>
        </is>
      </c>
      <c r="H49" s="6" t="inlineStr">
        <is>
          <t>CdtrAgt consistent with receiver</t>
        </is>
      </c>
      <c r="I49" s="6" t="inlineStr">
        <is>
          <t>OMITTED_BY_RULE</t>
        </is>
      </c>
      <c r="J49" s="6" t="inlineStr">
        <is>
          <t>us1m_20260717.pdf SHA 54002BDF...E90E70 pp.71–77, 89–113</t>
        </is>
      </c>
      <c r="K49" s="7" t="inlineStr">
        <is>
          <t>PENDING_BA</t>
        </is>
      </c>
      <c r="L49" s="8" t="inlineStr">
        <is>
          <t>POSITIVE</t>
        </is>
      </c>
      <c r="M49" s="8" t="inlineStr">
        <is>
          <t>MT1-CANONICAL-POSITIVE</t>
        </is>
      </c>
      <c r="N49" s="6" t="inlineStr">
        <is>
          <t>FIX-MT102-004@v1</t>
        </is>
      </c>
      <c r="O49" s="6" t="inlineStr">
        <is>
          <t>200</t>
        </is>
      </c>
      <c r="P49" s="6" t="inlineStr">
        <is>
          <t>Do not convert omission to missing SSI</t>
        </is>
      </c>
      <c r="Q49" s="6" t="inlineStr">
        <is>
          <t>RED — SPECIFIED, NOT EXECUTED</t>
        </is>
      </c>
      <c r="R49" s="6" t="inlineStr">
        <is>
          <t>NOT_EXECUTED</t>
        </is>
      </c>
      <c r="S49" s="6" t="inlineStr">
        <is>
          <t>SSI_FIELD_RESOLUTION_API</t>
        </is>
      </c>
      <c r="T49" s="6" t="inlineStr">
        <is>
          <t>Omission decision</t>
        </is>
      </c>
    </row>
    <row r="50" ht="42" customHeight="1">
      <c r="A50" s="6" t="inlineStr">
        <is>
          <t>MT102-005</t>
        </is>
      </c>
      <c r="B50" s="6" t="inlineStr">
        <is>
          <t>MT102</t>
        </is>
      </c>
      <c r="C50" s="6" t="inlineStr">
        <is>
          <t>A/B</t>
        </is>
      </c>
      <c r="D50" s="6" t="inlineStr">
        <is>
          <t>52a sequence exclusivity</t>
        </is>
      </c>
      <c r="E50" s="6" t="inlineStr">
        <is>
          <t>52a present in common and transaction sequence</t>
        </is>
      </c>
      <c r="F50" s="6" t="inlineStr">
        <is>
          <t>UPSTREAM_MESSAGE</t>
        </is>
      </c>
      <c r="G50" s="6" t="inlineStr">
        <is>
          <t>Reject NVR</t>
        </is>
      </c>
      <c r="H50" s="6" t="inlineStr">
        <is>
          <t>No MX output</t>
        </is>
      </c>
      <c r="I50" s="6" t="inlineStr">
        <is>
          <t>NVR_REJECTED</t>
        </is>
      </c>
      <c r="J50" s="6" t="inlineStr">
        <is>
          <t>us1m_20260717.pdf SHA 54002BDF...E90E70 pp.71–77, 89–113</t>
        </is>
      </c>
      <c r="K50" s="6" t="inlineStr">
        <is>
          <t>CONFIRMED_NVR</t>
        </is>
      </c>
      <c r="L50" s="9" t="inlineStr">
        <is>
          <t>NEGATIVE</t>
        </is>
      </c>
      <c r="M50" s="9" t="inlineStr">
        <is>
          <t>MT1-NVR-NEGATIVE</t>
        </is>
      </c>
      <c r="N50" s="6" t="inlineStr">
        <is>
          <t>FIX-MT102-005@v1</t>
        </is>
      </c>
      <c r="O50" s="6" t="inlineStr">
        <is>
          <t>UPSTREAM_REJECT</t>
        </is>
      </c>
      <c r="P50" s="6" t="inlineStr">
        <is>
          <t>No simulated PASS</t>
        </is>
      </c>
      <c r="Q50" s="6" t="inlineStr">
        <is>
          <t>RED — SPECIFIED, NOT EXECUTED</t>
        </is>
      </c>
      <c r="R50" s="6" t="inlineStr">
        <is>
          <t>NOT_EXECUTED</t>
        </is>
      </c>
      <c r="S50" s="6" t="inlineStr">
        <is>
          <t>UPSTREAM_FIN_VALIDATOR</t>
        </is>
      </c>
      <c r="T50" s="6" t="inlineStr">
        <is>
          <t>Native validator error</t>
        </is>
      </c>
    </row>
    <row r="51" ht="42" customHeight="1">
      <c r="A51" s="6" t="inlineStr">
        <is>
          <t>MT102-006</t>
        </is>
      </c>
      <c r="B51" s="6" t="inlineStr">
        <is>
          <t>MT102</t>
        </is>
      </c>
      <c r="C51" s="6" t="inlineStr">
        <is>
          <t>B</t>
        </is>
      </c>
      <c r="D51" s="6" t="inlineStr">
        <is>
          <t>Missing mandatory per-transaction route</t>
        </is>
      </c>
      <c r="E51" s="6" t="inlineStr">
        <is>
          <t>required 57a unresolved for one transaction</t>
        </is>
      </c>
      <c r="F51" s="6" t="inlineStr">
        <is>
          <t>COUNTERPARTY_SSI</t>
        </is>
      </c>
      <c r="G51" s="6" t="inlineStr">
        <is>
          <t>No partial message output</t>
        </is>
      </c>
      <c r="H51" s="6" t="inlineStr">
        <is>
          <t>No partial batch conversion</t>
        </is>
      </c>
      <c r="I51" s="6" t="inlineStr">
        <is>
          <t>SSI_NOT_FOUND / fail closed</t>
        </is>
      </c>
      <c r="J51" s="6" t="inlineStr">
        <is>
          <t>us1m_20260717.pdf SHA 54002BDF...E90E70 pp.71–77, 89–113</t>
        </is>
      </c>
      <c r="K51" s="7" t="inlineStr">
        <is>
          <t>PENDING_BA</t>
        </is>
      </c>
      <c r="L51" s="9" t="inlineStr">
        <is>
          <t>NEGATIVE</t>
        </is>
      </c>
      <c r="M51" s="9" t="inlineStr">
        <is>
          <t>MT1-DQ-NEGATIVE</t>
        </is>
      </c>
      <c r="N51" s="6" t="inlineStr">
        <is>
          <t>FIX-MT102-006@v1</t>
        </is>
      </c>
      <c r="O51" s="6" t="inlineStr">
        <is>
          <t>409 DEV/DEMO;500 non-DEV</t>
        </is>
      </c>
      <c r="P51" s="6" t="inlineStr">
        <is>
          <t>Whole-message vs per-transaction rollback must be decided</t>
        </is>
      </c>
      <c r="Q51" s="6" t="inlineStr">
        <is>
          <t>RED — SPECIFIED, NOT EXECUTED</t>
        </is>
      </c>
      <c r="R51" s="6" t="inlineStr">
        <is>
          <t>NOT_EXECUTED</t>
        </is>
      </c>
      <c r="S51" s="6" t="inlineStr">
        <is>
          <t>SSI_FIELD_RESOLUTION_API</t>
        </is>
      </c>
      <c r="T51" s="6" t="inlineStr">
        <is>
          <t>Atomicity and no-side-effect evidence</t>
        </is>
      </c>
    </row>
    <row r="52" ht="42" customHeight="1">
      <c r="A52" s="6" t="inlineStr">
        <is>
          <t>MT102-007</t>
        </is>
      </c>
      <c r="B52" s="6" t="inlineStr">
        <is>
          <t>MT102</t>
        </is>
      </c>
      <c r="C52" s="6" t="inlineStr">
        <is>
          <t>C</t>
        </is>
      </c>
      <c r="D52" s="6" t="inlineStr">
        <is>
          <t>Ambiguous reimbursement account</t>
        </is>
      </c>
      <c r="E52" s="6" t="inlineStr">
        <is>
          <t>two equally ranked accounts</t>
        </is>
      </c>
      <c r="F52" s="6" t="inlineStr">
        <is>
          <t>OWN_SSI/NOSTRO</t>
        </is>
      </c>
      <c r="G52" s="6" t="inlineStr">
        <is>
          <t>No output</t>
        </is>
      </c>
      <c r="H52" s="6" t="inlineStr">
        <is>
          <t>No output</t>
        </is>
      </c>
      <c r="I52" s="6" t="inlineStr">
        <is>
          <t>SSI_AMBIGUOUS</t>
        </is>
      </c>
      <c r="J52" s="6" t="inlineStr">
        <is>
          <t>us1m_20260717.pdf SHA 54002BDF...E90E70 pp.71–77, 89–113</t>
        </is>
      </c>
      <c r="K52" s="7" t="inlineStr">
        <is>
          <t>PENDING_BA</t>
        </is>
      </c>
      <c r="L52" s="9" t="inlineStr">
        <is>
          <t>NEGATIVE</t>
        </is>
      </c>
      <c r="M52" s="9" t="inlineStr">
        <is>
          <t>MT1-DQ-NEGATIVE</t>
        </is>
      </c>
      <c r="N52" s="6" t="inlineStr">
        <is>
          <t>FIX-MT102-007@v1</t>
        </is>
      </c>
      <c r="O52" s="6" t="inlineStr">
        <is>
          <t>409 DEV/DEMO;500 non-DEV</t>
        </is>
      </c>
      <c r="P52" s="6" t="inlineStr">
        <is>
          <t>No arbitrary winner</t>
        </is>
      </c>
      <c r="Q52" s="6" t="inlineStr">
        <is>
          <t>RED — SPECIFIED, NOT EXECUTED</t>
        </is>
      </c>
      <c r="R52" s="6" t="inlineStr">
        <is>
          <t>NOT_EXECUTED</t>
        </is>
      </c>
      <c r="S52" s="6" t="inlineStr">
        <is>
          <t>SSI_FIELD_RESOLUTION_API</t>
        </is>
      </c>
      <c r="T52" s="6" t="inlineStr">
        <is>
          <t>Candidate evidence and no payload</t>
        </is>
      </c>
    </row>
    <row r="53" ht="42" customHeight="1">
      <c r="A53" s="6" t="inlineStr">
        <is>
          <t>MT102-008</t>
        </is>
      </c>
      <c r="B53" s="6" t="inlineStr">
        <is>
          <t>MT102</t>
        </is>
      </c>
      <c r="C53" s="6" t="inlineStr">
        <is>
          <t>PROFILE</t>
        </is>
      </c>
      <c r="D53" s="6" t="inlineStr">
        <is>
          <t>Base/STP option leakage</t>
        </is>
      </c>
      <c r="E53" s="6" t="inlineStr">
        <is>
          <t>option valid in base but disallowed in STP or inverse</t>
        </is>
      </c>
      <c r="F53" s="6" t="inlineStr">
        <is>
          <t>PROFILE_ROUTING</t>
        </is>
      </c>
      <c r="G53" s="6" t="inlineStr">
        <is>
          <t>Apply exact selected profile</t>
        </is>
      </c>
      <c r="H53" s="6" t="inlineStr">
        <is>
          <t>Apply BizSvc-selected UG</t>
        </is>
      </c>
      <c r="I53" s="6" t="inlineStr">
        <is>
          <t>OPTION_CONSTRAINT_VIOLATION</t>
        </is>
      </c>
      <c r="J53" s="6" t="inlineStr">
        <is>
          <t>us1m_20260717.pdf SHA 54002BDF...E90E70 pp.71–77, 89–113</t>
        </is>
      </c>
      <c r="K53" s="6" t="inlineStr">
        <is>
          <t>CONFIRMED_PROFILE_RULE</t>
        </is>
      </c>
      <c r="L53" s="9" t="inlineStr">
        <is>
          <t>NEGATIVE</t>
        </is>
      </c>
      <c r="M53" s="9" t="inlineStr">
        <is>
          <t>MT1-NVR-NEGATIVE</t>
        </is>
      </c>
      <c r="N53" s="6" t="inlineStr">
        <is>
          <t>FIX-MT102-008@v1</t>
        </is>
      </c>
      <c r="O53" s="6" t="inlineStr">
        <is>
          <t>422</t>
        </is>
      </c>
      <c r="P53" s="6" t="inlineStr">
        <is>
          <t>No shared permissive option set</t>
        </is>
      </c>
      <c r="Q53" s="6" t="inlineStr">
        <is>
          <t>RED — SPECIFIED, NOT EXECUTED</t>
        </is>
      </c>
      <c r="R53" s="6" t="inlineStr">
        <is>
          <t>NOT_EXECUTED</t>
        </is>
      </c>
      <c r="S53" s="6" t="inlineStr">
        <is>
          <t>CONVERTER_PROFILE_MAPPER</t>
        </is>
      </c>
      <c r="T53" s="6" t="inlineStr">
        <is>
          <t>Profile identity + allowed options</t>
        </is>
      </c>
    </row>
    <row r="54" ht="42" customHeight="1">
      <c r="A54" s="6" t="inlineStr">
        <is>
          <t>MT102STP-001</t>
        </is>
      </c>
      <c r="B54" s="6" t="inlineStr">
        <is>
          <t>MT102STP</t>
        </is>
      </c>
      <c r="C54" s="6" t="inlineStr">
        <is>
          <t>A/B/C</t>
        </is>
      </c>
      <c r="D54" s="6" t="inlineStr">
        <is>
          <t>Scope decision guard</t>
        </is>
      </c>
      <c r="E54" s="6" t="inlineStr">
        <is>
          <t>valid multiple-transfer instruction</t>
        </is>
      </c>
      <c r="F54" s="6" t="inlineStr">
        <is>
          <t>PROFILE_ROUTING</t>
        </is>
      </c>
      <c r="G54" s="6" t="inlineStr">
        <is>
          <t>No SSI resolution until BA chooses message-level vs per-transaction</t>
        </is>
      </c>
      <c r="H54" s="6" t="inlineStr">
        <is>
          <t>No pacs.008 claim until split policy is fixed</t>
        </is>
      </c>
      <c r="I54" s="7" t="inlineStr">
        <is>
          <t>PENDING_BA</t>
        </is>
      </c>
      <c r="J54" s="6" t="inlineStr">
        <is>
          <t>us1m_20260717.pdf SHA 54002BDF...E90E70 pp.124–132, field specifications through p.160</t>
        </is>
      </c>
      <c r="K54" s="7" t="inlineStr">
        <is>
          <t>PENDING_BA</t>
        </is>
      </c>
      <c r="L54" s="6" t="inlineStr">
        <is>
          <t>BOUNDARY</t>
        </is>
      </c>
      <c r="M54" s="6" t="inlineStr">
        <is>
          <t>MT1-BOUNDARY</t>
        </is>
      </c>
      <c r="N54" s="6" t="inlineStr">
        <is>
          <t>FIX-MT102STP-001@v1</t>
        </is>
      </c>
      <c r="O54" s="6" t="inlineStr">
        <is>
          <t>NO_EXECUTION</t>
        </is>
      </c>
      <c r="P54" s="6" t="inlineStr">
        <is>
          <t>BLOCK if service resolves arbitrarily</t>
        </is>
      </c>
      <c r="Q54" s="6" t="inlineStr">
        <is>
          <t>RED — SPECIFIED, NOT EXECUTED</t>
        </is>
      </c>
      <c r="R54" s="6" t="inlineStr">
        <is>
          <t>NOT_EXECUTED</t>
        </is>
      </c>
      <c r="S54" s="6" t="inlineStr">
        <is>
          <t>BA_RULING</t>
        </is>
      </c>
      <c r="T54" s="6" t="inlineStr">
        <is>
          <t>Signed scope and split-policy decision</t>
        </is>
      </c>
    </row>
    <row r="55" ht="42" customHeight="1">
      <c r="A55" s="6" t="inlineStr">
        <is>
          <t>MT102STP-002</t>
        </is>
      </c>
      <c r="B55" s="6" t="inlineStr">
        <is>
          <t>MT102STP</t>
        </is>
      </c>
      <c r="C55" s="6" t="inlineStr">
        <is>
          <t>C</t>
        </is>
      </c>
      <c r="D55" s="6" t="inlineStr">
        <is>
          <t>Unique bilateral settlement account</t>
        </is>
      </c>
      <c r="E55" s="6" t="inlineStr">
        <is>
          <t>one direct account</t>
        </is>
      </c>
      <c r="F55" s="6" t="inlineStr">
        <is>
          <t>OWN_SSI/NOSTRO</t>
        </is>
      </c>
      <c r="G55" s="6" t="inlineStr">
        <is>
          <t>53a omitted by rule</t>
        </is>
      </c>
      <c r="H55" s="6" t="inlineStr">
        <is>
          <t>SttlmAcct omitted unless account must be specified</t>
        </is>
      </c>
      <c r="I55" s="6" t="inlineStr">
        <is>
          <t>OMITTED_BY_RULE</t>
        </is>
      </c>
      <c r="J55" s="6" t="inlineStr">
        <is>
          <t>us1m_20260717.pdf SHA 54002BDF...E90E70 pp.124–132, field specifications through p.160</t>
        </is>
      </c>
      <c r="K55" s="7" t="inlineStr">
        <is>
          <t>PENDING_BA</t>
        </is>
      </c>
      <c r="L55" s="8" t="inlineStr">
        <is>
          <t>POSITIVE</t>
        </is>
      </c>
      <c r="M55" s="8" t="inlineStr">
        <is>
          <t>MT1-CANONICAL-POSITIVE</t>
        </is>
      </c>
      <c r="N55" s="6" t="inlineStr">
        <is>
          <t>FIX-MT102STP-002@v1</t>
        </is>
      </c>
      <c r="O55" s="6" t="inlineStr">
        <is>
          <t>200</t>
        </is>
      </c>
      <c r="P55" s="6" t="inlineStr">
        <is>
          <t>Applies only after scope approval</t>
        </is>
      </c>
      <c r="Q55" s="6" t="inlineStr">
        <is>
          <t>RED — SPECIFIED, NOT EXECUTED</t>
        </is>
      </c>
      <c r="R55" s="6" t="inlineStr">
        <is>
          <t>NOT_EXECUTED</t>
        </is>
      </c>
      <c r="S55" s="6" t="inlineStr">
        <is>
          <t>SSI_FIELD_RESOLUTION_API</t>
        </is>
      </c>
      <c r="T55" s="6" t="inlineStr">
        <is>
          <t>Message/split-level fixture identity</t>
        </is>
      </c>
    </row>
    <row r="56" ht="42" customHeight="1">
      <c r="A56" s="6" t="inlineStr">
        <is>
          <t>MT102STP-003</t>
        </is>
      </c>
      <c r="B56" s="6" t="inlineStr">
        <is>
          <t>MT102STP</t>
        </is>
      </c>
      <c r="C56" s="6" t="inlineStr">
        <is>
          <t>C</t>
        </is>
      </c>
      <c r="D56" s="6" t="inlineStr">
        <is>
          <t>Multiple direct accounts</t>
        </is>
      </c>
      <c r="E56" s="6" t="inlineStr">
        <is>
          <t>selected accountReference among multiple</t>
        </is>
      </c>
      <c r="F56" s="6" t="inlineStr">
        <is>
          <t>OWN_SSI/NOSTRO</t>
        </is>
      </c>
      <c r="G56" s="6" t="inlineStr">
        <is>
          <t>53B=/&lt;accountReference&gt;</t>
        </is>
      </c>
      <c r="H56" s="6" t="inlineStr">
        <is>
          <t>SttlmAcct=&lt;accountReference&gt;</t>
        </is>
      </c>
      <c r="I56" s="6" t="inlineStr">
        <is>
          <t>RESOLVED</t>
        </is>
      </c>
      <c r="J56" s="6" t="inlineStr">
        <is>
          <t>us1m_20260717.pdf SHA 54002BDF...E90E70 pp.124–132, field specifications through p.160</t>
        </is>
      </c>
      <c r="K56" s="7" t="inlineStr">
        <is>
          <t>PENDING_BA</t>
        </is>
      </c>
      <c r="L56" s="8" t="inlineStr">
        <is>
          <t>POSITIVE</t>
        </is>
      </c>
      <c r="M56" s="8" t="inlineStr">
        <is>
          <t>MT1-CANONICAL-POSITIVE</t>
        </is>
      </c>
      <c r="N56" s="6" t="inlineStr">
        <is>
          <t>FIX-MT102STP-003@v1</t>
        </is>
      </c>
      <c r="O56" s="6" t="inlineStr">
        <is>
          <t>200</t>
        </is>
      </c>
      <c r="P56" s="6" t="inlineStr">
        <is>
          <t>maskedAccountRef forbidden</t>
        </is>
      </c>
      <c r="Q56" s="6" t="inlineStr">
        <is>
          <t>RED — SPECIFIED, NOT EXECUTED</t>
        </is>
      </c>
      <c r="R56" s="6" t="inlineStr">
        <is>
          <t>NOT_EXECUTED</t>
        </is>
      </c>
      <c r="S56" s="6" t="inlineStr">
        <is>
          <t>SSI_FIELD_RESOLUTION_API</t>
        </is>
      </c>
      <c r="T56" s="6" t="inlineStr">
        <is>
          <t>Selected account identity</t>
        </is>
      </c>
    </row>
    <row r="57" ht="42" customHeight="1">
      <c r="A57" s="6" t="inlineStr">
        <is>
          <t>MT102STP-004</t>
        </is>
      </c>
      <c r="B57" s="6" t="inlineStr">
        <is>
          <t>MT102STP</t>
        </is>
      </c>
      <c r="C57" s="6" t="inlineStr">
        <is>
          <t>B</t>
        </is>
      </c>
      <c r="D57" s="6" t="inlineStr">
        <is>
          <t>57a absence semantics</t>
        </is>
      </c>
      <c r="E57" s="6" t="inlineStr">
        <is>
          <t>57a absent</t>
        </is>
      </c>
      <c r="F57" s="6" t="inlineStr">
        <is>
          <t>COUNTERPARTY_SSI</t>
        </is>
      </c>
      <c r="G57" s="6" t="inlineStr">
        <is>
          <t>Receiver is account-with institution</t>
        </is>
      </c>
      <c r="H57" s="6" t="inlineStr">
        <is>
          <t>CdtrAgt consistent with receiver</t>
        </is>
      </c>
      <c r="I57" s="6" t="inlineStr">
        <is>
          <t>OMITTED_BY_RULE</t>
        </is>
      </c>
      <c r="J57" s="6" t="inlineStr">
        <is>
          <t>us1m_20260717.pdf SHA 54002BDF...E90E70 pp.124–132, field specifications through p.160</t>
        </is>
      </c>
      <c r="K57" s="7" t="inlineStr">
        <is>
          <t>PENDING_BA</t>
        </is>
      </c>
      <c r="L57" s="8" t="inlineStr">
        <is>
          <t>POSITIVE</t>
        </is>
      </c>
      <c r="M57" s="8" t="inlineStr">
        <is>
          <t>MT1-CANONICAL-POSITIVE</t>
        </is>
      </c>
      <c r="N57" s="6" t="inlineStr">
        <is>
          <t>FIX-MT102STP-004@v1</t>
        </is>
      </c>
      <c r="O57" s="6" t="inlineStr">
        <is>
          <t>200</t>
        </is>
      </c>
      <c r="P57" s="6" t="inlineStr">
        <is>
          <t>Do not convert omission to missing SSI</t>
        </is>
      </c>
      <c r="Q57" s="6" t="inlineStr">
        <is>
          <t>RED — SPECIFIED, NOT EXECUTED</t>
        </is>
      </c>
      <c r="R57" s="6" t="inlineStr">
        <is>
          <t>NOT_EXECUTED</t>
        </is>
      </c>
      <c r="S57" s="6" t="inlineStr">
        <is>
          <t>SSI_FIELD_RESOLUTION_API</t>
        </is>
      </c>
      <c r="T57" s="6" t="inlineStr">
        <is>
          <t>Omission decision</t>
        </is>
      </c>
    </row>
    <row r="58" ht="42" customHeight="1">
      <c r="A58" s="6" t="inlineStr">
        <is>
          <t>MT102STP-005</t>
        </is>
      </c>
      <c r="B58" s="6" t="inlineStr">
        <is>
          <t>MT102STP</t>
        </is>
      </c>
      <c r="C58" s="6" t="inlineStr">
        <is>
          <t>A/B</t>
        </is>
      </c>
      <c r="D58" s="6" t="inlineStr">
        <is>
          <t>52a sequence exclusivity</t>
        </is>
      </c>
      <c r="E58" s="6" t="inlineStr">
        <is>
          <t>52a present in common and transaction sequence</t>
        </is>
      </c>
      <c r="F58" s="6" t="inlineStr">
        <is>
          <t>UPSTREAM_MESSAGE</t>
        </is>
      </c>
      <c r="G58" s="6" t="inlineStr">
        <is>
          <t>Reject NVR</t>
        </is>
      </c>
      <c r="H58" s="6" t="inlineStr">
        <is>
          <t>No MX output</t>
        </is>
      </c>
      <c r="I58" s="6" t="inlineStr">
        <is>
          <t>NVR_REJECTED</t>
        </is>
      </c>
      <c r="J58" s="6" t="inlineStr">
        <is>
          <t>us1m_20260717.pdf SHA 54002BDF...E90E70 pp.124–132, field specifications through p.160</t>
        </is>
      </c>
      <c r="K58" s="6" t="inlineStr">
        <is>
          <t>CONFIRMED_NVR</t>
        </is>
      </c>
      <c r="L58" s="9" t="inlineStr">
        <is>
          <t>NEGATIVE</t>
        </is>
      </c>
      <c r="M58" s="9" t="inlineStr">
        <is>
          <t>MT1-NVR-NEGATIVE</t>
        </is>
      </c>
      <c r="N58" s="6" t="inlineStr">
        <is>
          <t>FIX-MT102STP-005@v1</t>
        </is>
      </c>
      <c r="O58" s="6" t="inlineStr">
        <is>
          <t>UPSTREAM_REJECT</t>
        </is>
      </c>
      <c r="P58" s="6" t="inlineStr">
        <is>
          <t>No simulated PASS</t>
        </is>
      </c>
      <c r="Q58" s="6" t="inlineStr">
        <is>
          <t>RED — SPECIFIED, NOT EXECUTED</t>
        </is>
      </c>
      <c r="R58" s="6" t="inlineStr">
        <is>
          <t>NOT_EXECUTED</t>
        </is>
      </c>
      <c r="S58" s="6" t="inlineStr">
        <is>
          <t>UPSTREAM_FIN_VALIDATOR</t>
        </is>
      </c>
      <c r="T58" s="6" t="inlineStr">
        <is>
          <t>Native validator error</t>
        </is>
      </c>
    </row>
    <row r="59" ht="42" customHeight="1">
      <c r="A59" s="6" t="inlineStr">
        <is>
          <t>MT102STP-006</t>
        </is>
      </c>
      <c r="B59" s="6" t="inlineStr">
        <is>
          <t>MT102STP</t>
        </is>
      </c>
      <c r="C59" s="6" t="inlineStr">
        <is>
          <t>B</t>
        </is>
      </c>
      <c r="D59" s="6" t="inlineStr">
        <is>
          <t>Missing mandatory per-transaction route</t>
        </is>
      </c>
      <c r="E59" s="6" t="inlineStr">
        <is>
          <t>required 57a unresolved for one transaction</t>
        </is>
      </c>
      <c r="F59" s="6" t="inlineStr">
        <is>
          <t>COUNTERPARTY_SSI</t>
        </is>
      </c>
      <c r="G59" s="6" t="inlineStr">
        <is>
          <t>No partial message output</t>
        </is>
      </c>
      <c r="H59" s="6" t="inlineStr">
        <is>
          <t>No partial batch conversion</t>
        </is>
      </c>
      <c r="I59" s="6" t="inlineStr">
        <is>
          <t>SSI_NOT_FOUND / fail closed</t>
        </is>
      </c>
      <c r="J59" s="6" t="inlineStr">
        <is>
          <t>us1m_20260717.pdf SHA 54002BDF...E90E70 pp.124–132, field specifications through p.160</t>
        </is>
      </c>
      <c r="K59" s="7" t="inlineStr">
        <is>
          <t>PENDING_BA</t>
        </is>
      </c>
      <c r="L59" s="9" t="inlineStr">
        <is>
          <t>NEGATIVE</t>
        </is>
      </c>
      <c r="M59" s="9" t="inlineStr">
        <is>
          <t>MT1-DQ-NEGATIVE</t>
        </is>
      </c>
      <c r="N59" s="6" t="inlineStr">
        <is>
          <t>FIX-MT102STP-006@v1</t>
        </is>
      </c>
      <c r="O59" s="6" t="inlineStr">
        <is>
          <t>409 DEV/DEMO;500 non-DEV</t>
        </is>
      </c>
      <c r="P59" s="6" t="inlineStr">
        <is>
          <t>Whole-message vs per-transaction rollback must be decided</t>
        </is>
      </c>
      <c r="Q59" s="6" t="inlineStr">
        <is>
          <t>RED — SPECIFIED, NOT EXECUTED</t>
        </is>
      </c>
      <c r="R59" s="6" t="inlineStr">
        <is>
          <t>NOT_EXECUTED</t>
        </is>
      </c>
      <c r="S59" s="6" t="inlineStr">
        <is>
          <t>SSI_FIELD_RESOLUTION_API</t>
        </is>
      </c>
      <c r="T59" s="6" t="inlineStr">
        <is>
          <t>Atomicity and no-side-effect evidence</t>
        </is>
      </c>
    </row>
    <row r="60" ht="42" customHeight="1">
      <c r="A60" s="6" t="inlineStr">
        <is>
          <t>MT102STP-007</t>
        </is>
      </c>
      <c r="B60" s="6" t="inlineStr">
        <is>
          <t>MT102STP</t>
        </is>
      </c>
      <c r="C60" s="6" t="inlineStr">
        <is>
          <t>C</t>
        </is>
      </c>
      <c r="D60" s="6" t="inlineStr">
        <is>
          <t>Ambiguous reimbursement account</t>
        </is>
      </c>
      <c r="E60" s="6" t="inlineStr">
        <is>
          <t>two equally ranked accounts</t>
        </is>
      </c>
      <c r="F60" s="6" t="inlineStr">
        <is>
          <t>OWN_SSI/NOSTRO</t>
        </is>
      </c>
      <c r="G60" s="6" t="inlineStr">
        <is>
          <t>No output</t>
        </is>
      </c>
      <c r="H60" s="6" t="inlineStr">
        <is>
          <t>No output</t>
        </is>
      </c>
      <c r="I60" s="6" t="inlineStr">
        <is>
          <t>SSI_AMBIGUOUS</t>
        </is>
      </c>
      <c r="J60" s="6" t="inlineStr">
        <is>
          <t>us1m_20260717.pdf SHA 54002BDF...E90E70 pp.124–132, field specifications through p.160</t>
        </is>
      </c>
      <c r="K60" s="7" t="inlineStr">
        <is>
          <t>PENDING_BA</t>
        </is>
      </c>
      <c r="L60" s="9" t="inlineStr">
        <is>
          <t>NEGATIVE</t>
        </is>
      </c>
      <c r="M60" s="9" t="inlineStr">
        <is>
          <t>MT1-DQ-NEGATIVE</t>
        </is>
      </c>
      <c r="N60" s="6" t="inlineStr">
        <is>
          <t>FIX-MT102STP-007@v1</t>
        </is>
      </c>
      <c r="O60" s="6" t="inlineStr">
        <is>
          <t>409 DEV/DEMO;500 non-DEV</t>
        </is>
      </c>
      <c r="P60" s="6" t="inlineStr">
        <is>
          <t>No arbitrary winner</t>
        </is>
      </c>
      <c r="Q60" s="6" t="inlineStr">
        <is>
          <t>RED — SPECIFIED, NOT EXECUTED</t>
        </is>
      </c>
      <c r="R60" s="6" t="inlineStr">
        <is>
          <t>NOT_EXECUTED</t>
        </is>
      </c>
      <c r="S60" s="6" t="inlineStr">
        <is>
          <t>SSI_FIELD_RESOLUTION_API</t>
        </is>
      </c>
      <c r="T60" s="6" t="inlineStr">
        <is>
          <t>Candidate evidence and no payload</t>
        </is>
      </c>
    </row>
    <row r="61" ht="42" customHeight="1">
      <c r="A61" s="6" t="inlineStr">
        <is>
          <t>MT102STP-008</t>
        </is>
      </c>
      <c r="B61" s="6" t="inlineStr">
        <is>
          <t>MT102STP</t>
        </is>
      </c>
      <c r="C61" s="6" t="inlineStr">
        <is>
          <t>PROFILE</t>
        </is>
      </c>
      <c r="D61" s="6" t="inlineStr">
        <is>
          <t>Base/STP option leakage</t>
        </is>
      </c>
      <c r="E61" s="6" t="inlineStr">
        <is>
          <t>option valid in base but disallowed in STP or inverse</t>
        </is>
      </c>
      <c r="F61" s="6" t="inlineStr">
        <is>
          <t>PROFILE_ROUTING</t>
        </is>
      </c>
      <c r="G61" s="6" t="inlineStr">
        <is>
          <t>Apply exact selected profile</t>
        </is>
      </c>
      <c r="H61" s="6" t="inlineStr">
        <is>
          <t>Apply BizSvc-selected UG</t>
        </is>
      </c>
      <c r="I61" s="6" t="inlineStr">
        <is>
          <t>OPTION_CONSTRAINT_VIOLATION</t>
        </is>
      </c>
      <c r="J61" s="6" t="inlineStr">
        <is>
          <t>us1m_20260717.pdf SHA 54002BDF...E90E70 pp.124–132, field specifications through p.160</t>
        </is>
      </c>
      <c r="K61" s="6" t="inlineStr">
        <is>
          <t>CONFIRMED_PROFILE_RULE</t>
        </is>
      </c>
      <c r="L61" s="9" t="inlineStr">
        <is>
          <t>NEGATIVE</t>
        </is>
      </c>
      <c r="M61" s="9" t="inlineStr">
        <is>
          <t>MT1-NVR-NEGATIVE</t>
        </is>
      </c>
      <c r="N61" s="6" t="inlineStr">
        <is>
          <t>FIX-MT102STP-008@v1</t>
        </is>
      </c>
      <c r="O61" s="6" t="inlineStr">
        <is>
          <t>422</t>
        </is>
      </c>
      <c r="P61" s="6" t="inlineStr">
        <is>
          <t>No shared permissive option set</t>
        </is>
      </c>
      <c r="Q61" s="6" t="inlineStr">
        <is>
          <t>RED — SPECIFIED, NOT EXECUTED</t>
        </is>
      </c>
      <c r="R61" s="6" t="inlineStr">
        <is>
          <t>NOT_EXECUTED</t>
        </is>
      </c>
      <c r="S61" s="6" t="inlineStr">
        <is>
          <t>CONVERTER_PROFILE_MAPPER</t>
        </is>
      </c>
      <c r="T61" s="6" t="inlineStr">
        <is>
          <t>Profile identity + allowed options</t>
        </is>
      </c>
    </row>
    <row r="62" ht="42" customHeight="1">
      <c r="A62" s="6" t="inlineStr">
        <is>
          <t>PACS008-001</t>
        </is>
      </c>
      <c r="B62" s="6" t="inlineStr">
        <is>
          <t>pacs.008 plain</t>
        </is>
      </c>
      <c r="C62" s="6" t="inlineStr">
        <is>
          <t>BAH/GrpHdr</t>
        </is>
      </c>
      <c r="D62" s="6" t="inlineStr">
        <is>
          <t>Plain profile selection</t>
        </is>
      </c>
      <c r="E62" s="6" t="inlineStr">
        <is>
          <t>MsgDefIdr=.001.08;BizSvc=swift.cbprplus.04</t>
        </is>
      </c>
      <c r="F62" s="6" t="inlineStr">
        <is>
          <t>PROFILE_ROUTING</t>
        </is>
      </c>
      <c r="G62" s="6" t="inlineStr">
        <is>
          <t>N/A</t>
        </is>
      </c>
      <c r="H62" s="6" t="inlineStr">
        <is>
          <t>plain schema/profile</t>
        </is>
      </c>
      <c r="I62" s="6" t="inlineStr">
        <is>
          <t>PROFILE_VERIFIED</t>
        </is>
      </c>
      <c r="J62" s="6" t="inlineStr">
        <is>
          <t>pacs.008 plain SHA F563E347...566B3; STP SHA D9807C95...23F6 p.10</t>
        </is>
      </c>
      <c r="K62" s="6" t="inlineStr">
        <is>
          <t>CONFIRMED_UG</t>
        </is>
      </c>
      <c r="L62" s="8" t="inlineStr">
        <is>
          <t>POSITIVE</t>
        </is>
      </c>
      <c r="M62" s="8" t="inlineStr">
        <is>
          <t>MT1-CANONICAL-POSITIVE</t>
        </is>
      </c>
      <c r="N62" s="6" t="inlineStr">
        <is>
          <t>FIX-PACS008-001@v1</t>
        </is>
      </c>
      <c r="O62" s="6" t="inlineStr">
        <is>
          <t>200</t>
        </is>
      </c>
      <c r="P62" s="6" t="inlineStr">
        <is>
          <t>PRODUCT DEFECT if STP selected</t>
        </is>
      </c>
      <c r="Q62" s="6" t="inlineStr">
        <is>
          <t>RED — SPECIFIED, NOT EXECUTED</t>
        </is>
      </c>
      <c r="R62" s="6" t="inlineStr">
        <is>
          <t>NOT_EXECUTED</t>
        </is>
      </c>
      <c r="S62" s="6" t="inlineStr">
        <is>
          <t>CONVERTER_PROFILE_MAPPER</t>
        </is>
      </c>
      <c r="T62" s="6" t="inlineStr">
        <is>
          <t>BAH and selected profile</t>
        </is>
      </c>
    </row>
    <row r="63" ht="42" customHeight="1">
      <c r="A63" s="6" t="inlineStr">
        <is>
          <t>PACS008-002</t>
        </is>
      </c>
      <c r="B63" s="6" t="inlineStr">
        <is>
          <t>pacs.008 STP</t>
        </is>
      </c>
      <c r="C63" s="6" t="inlineStr">
        <is>
          <t>BAH/GrpHdr</t>
        </is>
      </c>
      <c r="D63" s="6" t="inlineStr">
        <is>
          <t>STP profile selection</t>
        </is>
      </c>
      <c r="E63" s="6" t="inlineStr">
        <is>
          <t>MsgDefIdr=.001.08;BizSvc=swift.cbprplus.stp.04</t>
        </is>
      </c>
      <c r="F63" s="6" t="inlineStr">
        <is>
          <t>PROFILE_ROUTING</t>
        </is>
      </c>
      <c r="G63" s="6" t="inlineStr">
        <is>
          <t>N/A</t>
        </is>
      </c>
      <c r="H63" s="6" t="inlineStr">
        <is>
          <t>STP schema/profile</t>
        </is>
      </c>
      <c r="I63" s="6" t="inlineStr">
        <is>
          <t>PROFILE_VERIFIED</t>
        </is>
      </c>
      <c r="J63" s="6" t="inlineStr">
        <is>
          <t>pacs.008 plain SHA F563E347...566B3; STP SHA D9807C95...23F6 p.10</t>
        </is>
      </c>
      <c r="K63" s="6" t="inlineStr">
        <is>
          <t>CONFIRMED_UG</t>
        </is>
      </c>
      <c r="L63" s="8" t="inlineStr">
        <is>
          <t>POSITIVE</t>
        </is>
      </c>
      <c r="M63" s="8" t="inlineStr">
        <is>
          <t>MT1-CANONICAL-POSITIVE</t>
        </is>
      </c>
      <c r="N63" s="6" t="inlineStr">
        <is>
          <t>FIX-PACS008-002@v1</t>
        </is>
      </c>
      <c r="O63" s="6" t="inlineStr">
        <is>
          <t>200</t>
        </is>
      </c>
      <c r="P63" s="6" t="inlineStr">
        <is>
          <t>PRODUCT DEFECT if plain selected</t>
        </is>
      </c>
      <c r="Q63" s="6" t="inlineStr">
        <is>
          <t>RED — SPECIFIED, NOT EXECUTED</t>
        </is>
      </c>
      <c r="R63" s="6" t="inlineStr">
        <is>
          <t>NOT_EXECUTED</t>
        </is>
      </c>
      <c r="S63" s="6" t="inlineStr">
        <is>
          <t>CONVERTER_PROFILE_MAPPER</t>
        </is>
      </c>
      <c r="T63" s="6" t="inlineStr">
        <is>
          <t>BAH and selected profile</t>
        </is>
      </c>
    </row>
    <row r="64" ht="42" customHeight="1">
      <c r="A64" s="6" t="inlineStr">
        <is>
          <t>PACS008-003</t>
        </is>
      </c>
      <c r="B64" s="6" t="inlineStr">
        <is>
          <t>pacs.008</t>
        </is>
      </c>
      <c r="C64" s="6" t="inlineStr">
        <is>
          <t>BAH</t>
        </is>
      </c>
      <c r="D64" s="6" t="inlineStr">
        <is>
          <t>MsgDefIdr alone is ambiguous</t>
        </is>
      </c>
      <c r="E64" s="6" t="inlineStr">
        <is>
          <t>same MsgDefIdr;BizSvc missing</t>
        </is>
      </c>
      <c r="F64" s="6" t="inlineStr">
        <is>
          <t>PROFILE_ROUTING</t>
        </is>
      </c>
      <c r="G64" s="6" t="inlineStr">
        <is>
          <t>No MT output</t>
        </is>
      </c>
      <c r="H64" s="6" t="inlineStr">
        <is>
          <t>No MX output</t>
        </is>
      </c>
      <c r="I64" s="6" t="inlineStr">
        <is>
          <t>PROFILE_INCOMPLETE</t>
        </is>
      </c>
      <c r="J64" s="6" t="inlineStr">
        <is>
          <t>pacs.008 plain SHA F563E347...566B3; STP SHA D9807C95...23F6 p.10</t>
        </is>
      </c>
      <c r="K64" s="6" t="inlineStr">
        <is>
          <t>CONFIRMED_UG</t>
        </is>
      </c>
      <c r="L64" s="9" t="inlineStr">
        <is>
          <t>NEGATIVE</t>
        </is>
      </c>
      <c r="M64" s="9" t="inlineStr">
        <is>
          <t>MT1-NVR-NEGATIVE</t>
        </is>
      </c>
      <c r="N64" s="6" t="inlineStr">
        <is>
          <t>FIX-PACS008-003@v1</t>
        </is>
      </c>
      <c r="O64" s="6" t="inlineStr">
        <is>
          <t>422</t>
        </is>
      </c>
      <c r="P64" s="6" t="inlineStr">
        <is>
          <t>Must fail closed</t>
        </is>
      </c>
      <c r="Q64" s="6" t="inlineStr">
        <is>
          <t>RED — SPECIFIED, NOT EXECUTED</t>
        </is>
      </c>
      <c r="R64" s="6" t="inlineStr">
        <is>
          <t>NOT_EXECUTED</t>
        </is>
      </c>
      <c r="S64" s="6" t="inlineStr">
        <is>
          <t>CONVERTER_PROFILE_MAPPER</t>
        </is>
      </c>
      <c r="T64" s="6" t="inlineStr">
        <is>
          <t>Error code and no payload</t>
        </is>
      </c>
    </row>
    <row r="65" ht="42" customHeight="1">
      <c r="A65" s="6" t="inlineStr">
        <is>
          <t>PACS008-004</t>
        </is>
      </c>
      <c r="B65" s="6" t="inlineStr">
        <is>
          <t>pacs.008</t>
        </is>
      </c>
      <c r="C65" s="6" t="inlineStr">
        <is>
          <t>GrpHdr.SttlmInf</t>
        </is>
      </c>
      <c r="D65" s="6" t="inlineStr">
        <is>
          <t>53B settlement account mapping</t>
        </is>
      </c>
      <c r="E65" s="6" t="inlineStr">
        <is>
          <t>selected accountReference</t>
        </is>
      </c>
      <c r="F65" s="6" t="inlineStr">
        <is>
          <t>OWN_SSI/NOSTRO</t>
        </is>
      </c>
      <c r="G65" s="6" t="inlineStr">
        <is>
          <t>53B=/&lt;accountReference&gt;</t>
        </is>
      </c>
      <c r="H65" s="6" t="inlineStr">
        <is>
          <t>SttlmAcct=&lt;same accountReference&gt;</t>
        </is>
      </c>
      <c r="I65" s="6" t="inlineStr">
        <is>
          <t>RESOLVED</t>
        </is>
      </c>
      <c r="J65" s="6" t="inlineStr">
        <is>
          <t>pacs.008 plain SHA F563E347...566B3; STP SHA D9807C95...23F6 p.13</t>
        </is>
      </c>
      <c r="K65" s="6" t="inlineStr">
        <is>
          <t>CONFIRMED_UG</t>
        </is>
      </c>
      <c r="L65" s="8" t="inlineStr">
        <is>
          <t>POSITIVE</t>
        </is>
      </c>
      <c r="M65" s="8" t="inlineStr">
        <is>
          <t>MT1-CANONICAL-POSITIVE</t>
        </is>
      </c>
      <c r="N65" s="6" t="inlineStr">
        <is>
          <t>FIX-PACS008-004@v1</t>
        </is>
      </c>
      <c r="O65" s="6" t="inlineStr">
        <is>
          <t>200</t>
        </is>
      </c>
      <c r="P65" s="6" t="inlineStr">
        <is>
          <t>Exact account identity required</t>
        </is>
      </c>
      <c r="Q65" s="6" t="inlineStr">
        <is>
          <t>RED — SPECIFIED, NOT EXECUTED</t>
        </is>
      </c>
      <c r="R65" s="6" t="inlineStr">
        <is>
          <t>NOT_EXECUTED</t>
        </is>
      </c>
      <c r="S65" s="6" t="inlineStr">
        <is>
          <t>CONVERTER_PROFILE_MAPPER</t>
        </is>
      </c>
      <c r="T65" s="6" t="inlineStr">
        <is>
          <t>MT/MX equality oracle</t>
        </is>
      </c>
    </row>
    <row r="66" ht="42" customHeight="1">
      <c r="A66" s="6" t="inlineStr">
        <is>
          <t>PACS008-005</t>
        </is>
      </c>
      <c r="B66" s="6" t="inlineStr">
        <is>
          <t>pacs.008</t>
        </is>
      </c>
      <c r="C66" s="6" t="inlineStr">
        <is>
          <t>GrpHdr.SttlmInf</t>
        </is>
      </c>
      <c r="D66" s="6" t="inlineStr">
        <is>
          <t>Reimbursement role mapping</t>
        </is>
      </c>
      <c r="E66" s="6" t="inlineStr">
        <is>
          <t>53a/54a/55a all distinct</t>
        </is>
      </c>
      <c r="F66" s="6" t="inlineStr">
        <is>
          <t>COUNTERPARTY_SSI</t>
        </is>
      </c>
      <c r="G66" s="6" t="inlineStr">
        <is>
          <t>53A/54A/55A</t>
        </is>
      </c>
      <c r="H66" s="6" t="inlineStr">
        <is>
          <t>Instg/Instd/Third reimbursement agents</t>
        </is>
      </c>
      <c r="I66" s="6" t="inlineStr">
        <is>
          <t>RESOLVED</t>
        </is>
      </c>
      <c r="J66" s="6" t="inlineStr">
        <is>
          <t>pacs.008 plain SHA F563E347...566B3; STP SHA D9807C95...23F6 plain pp.14–23;STP pp.14–19</t>
        </is>
      </c>
      <c r="K66" s="6" t="inlineStr">
        <is>
          <t>CONFIRMED_UG</t>
        </is>
      </c>
      <c r="L66" s="8" t="inlineStr">
        <is>
          <t>POSITIVE</t>
        </is>
      </c>
      <c r="M66" s="8" t="inlineStr">
        <is>
          <t>MT1-CANONICAL-POSITIVE</t>
        </is>
      </c>
      <c r="N66" s="6" t="inlineStr">
        <is>
          <t>FIX-PACS008-005@v1</t>
        </is>
      </c>
      <c r="O66" s="6" t="inlineStr">
        <is>
          <t>200</t>
        </is>
      </c>
      <c r="P66" s="6" t="inlineStr">
        <is>
          <t>No role collapse</t>
        </is>
      </c>
      <c r="Q66" s="6" t="inlineStr">
        <is>
          <t>RED — SPECIFIED, NOT EXECUTED</t>
        </is>
      </c>
      <c r="R66" s="6" t="inlineStr">
        <is>
          <t>NOT_EXECUTED</t>
        </is>
      </c>
      <c r="S66" s="6" t="inlineStr">
        <is>
          <t>CONVERTER_PROFILE_MAPPER</t>
        </is>
      </c>
      <c r="T66" s="6" t="inlineStr">
        <is>
          <t>Role-by-role equality oracle</t>
        </is>
      </c>
    </row>
    <row r="67" ht="42" customHeight="1">
      <c r="A67" s="6" t="inlineStr">
        <is>
          <t>PACS008-006</t>
        </is>
      </c>
      <c r="B67" s="6" t="inlineStr">
        <is>
          <t>pacs.008</t>
        </is>
      </c>
      <c r="C67" s="6" t="inlineStr">
        <is>
          <t>CdtTrfTxInf</t>
        </is>
      </c>
      <c r="D67" s="6" t="inlineStr">
        <is>
          <t>Ordered agent-chain mapping</t>
        </is>
      </c>
      <c r="E67" s="6" t="inlineStr">
        <is>
          <t>56a/57a and BAH agents</t>
        </is>
      </c>
      <c r="F67" s="6" t="inlineStr">
        <is>
          <t>COUNTERPARTY_SSI + HEADER</t>
        </is>
      </c>
      <c r="G67" s="6" t="inlineStr">
        <is>
          <t>56A/57A</t>
        </is>
      </c>
      <c r="H67" s="6" t="inlineStr">
        <is>
          <t>IntrmyAgt1..3/DbtrAgt/CdtrAgt ordered</t>
        </is>
      </c>
      <c r="I67" s="6" t="inlineStr">
        <is>
          <t>RESOLVED</t>
        </is>
      </c>
      <c r="J67" s="6" t="inlineStr">
        <is>
          <t>pacs.008 plain SHA F563E347...566B3; STP SHA D9807C95...23F6 plain pp.28–59;STP pp.22–43</t>
        </is>
      </c>
      <c r="K67" s="6" t="inlineStr">
        <is>
          <t>CONFIRMED_UG</t>
        </is>
      </c>
      <c r="L67" s="8" t="inlineStr">
        <is>
          <t>POSITIVE</t>
        </is>
      </c>
      <c r="M67" s="8" t="inlineStr">
        <is>
          <t>MT1-CANONICAL-POSITIVE</t>
        </is>
      </c>
      <c r="N67" s="6" t="inlineStr">
        <is>
          <t>FIX-PACS008-006@v1</t>
        </is>
      </c>
      <c r="O67" s="6" t="inlineStr">
        <is>
          <t>200</t>
        </is>
      </c>
      <c r="P67" s="6" t="inlineStr">
        <is>
          <t>No reorder or identity loss</t>
        </is>
      </c>
      <c r="Q67" s="6" t="inlineStr">
        <is>
          <t>RED — SPECIFIED, NOT EXECUTED</t>
        </is>
      </c>
      <c r="R67" s="6" t="inlineStr">
        <is>
          <t>NOT_EXECUTED</t>
        </is>
      </c>
      <c r="S67" s="6" t="inlineStr">
        <is>
          <t>CONVERTER_PROFILE_MAPPER</t>
        </is>
      </c>
      <c r="T67" s="6" t="inlineStr">
        <is>
          <t>Agent-chain oracle</t>
        </is>
      </c>
    </row>
    <row r="68" ht="42" customHeight="1">
      <c r="A68" s="6" t="inlineStr">
        <is>
          <t>PACS008-007</t>
        </is>
      </c>
      <c r="B68" s="6" t="inlineStr">
        <is>
          <t>pacs.008</t>
        </is>
      </c>
      <c r="C68" s="6" t="inlineStr">
        <is>
          <t>BAH/CdtTrfTxInf</t>
        </is>
      </c>
      <c r="D68" s="6" t="inlineStr">
        <is>
          <t>BAH From/To consistency</t>
        </is>
      </c>
      <c r="E68" s="6" t="inlineStr">
        <is>
          <t>From!=InstgAgt or To!=InstdAgt</t>
        </is>
      </c>
      <c r="F68" s="6" t="inlineStr">
        <is>
          <t>HEADER</t>
        </is>
      </c>
      <c r="G68" s="6" t="inlineStr">
        <is>
          <t>No MT output</t>
        </is>
      </c>
      <c r="H68" s="6" t="inlineStr">
        <is>
          <t>Reject formal rule</t>
        </is>
      </c>
      <c r="I68" s="6" t="inlineStr">
        <is>
          <t>NVR_REJECTED</t>
        </is>
      </c>
      <c r="J68" s="6" t="inlineStr">
        <is>
          <t>pacs.008 plain SHA F563E347...566B3; STP SHA D9807C95...23F6 plain pp.90–91;STP pp.52–53</t>
        </is>
      </c>
      <c r="K68" s="6" t="inlineStr">
        <is>
          <t>CONFIRMED_UG</t>
        </is>
      </c>
      <c r="L68" s="9" t="inlineStr">
        <is>
          <t>NEGATIVE</t>
        </is>
      </c>
      <c r="M68" s="9" t="inlineStr">
        <is>
          <t>MT1-NVR-NEGATIVE</t>
        </is>
      </c>
      <c r="N68" s="6" t="inlineStr">
        <is>
          <t>FIX-PACS008-007@v1</t>
        </is>
      </c>
      <c r="O68" s="6" t="inlineStr">
        <is>
          <t>UPSTREAM_REJECT</t>
        </is>
      </c>
      <c r="P68" s="6" t="inlineStr">
        <is>
          <t>No simulated PASS</t>
        </is>
      </c>
      <c r="Q68" s="6" t="inlineStr">
        <is>
          <t>RED — SPECIFIED, NOT EXECUTED</t>
        </is>
      </c>
      <c r="R68" s="6" t="inlineStr">
        <is>
          <t>NOT_EXECUTED</t>
        </is>
      </c>
      <c r="S68" s="6" t="inlineStr">
        <is>
          <t>UPSTREAM_MX_VALIDATOR</t>
        </is>
      </c>
      <c r="T68" s="6" t="inlineStr">
        <is>
          <t>Native CBPR+ validator evidence</t>
        </is>
      </c>
    </row>
    <row r="69" ht="42" customHeight="1">
      <c r="A69" s="6" t="inlineStr">
        <is>
          <t>PACS008-008</t>
        </is>
      </c>
      <c r="B69" s="6" t="inlineStr">
        <is>
          <t>pacs.008</t>
        </is>
      </c>
      <c r="C69" s="6" t="inlineStr">
        <is>
          <t>Profile</t>
        </is>
      </c>
      <c r="D69" s="6" t="inlineStr">
        <is>
          <t>Unsupported repository .001.12 claim</t>
        </is>
      </c>
      <c r="E69" s="6" t="inlineStr">
        <is>
          <t>product requests pacs.008.001.12 using only .001.08 evidence</t>
        </is>
      </c>
      <c r="F69" s="6" t="inlineStr">
        <is>
          <t>PROFILE_GOVERNANCE</t>
        </is>
      </c>
      <c r="G69" s="6" t="inlineStr">
        <is>
          <t>No MT output</t>
        </is>
      </c>
      <c r="H69" s="6" t="inlineStr">
        <is>
          <t>No normative acceptance</t>
        </is>
      </c>
      <c r="I69" s="6" t="inlineStr">
        <is>
          <t>VERSION_GAP</t>
        </is>
      </c>
      <c r="J69" s="6" t="inlineStr">
        <is>
          <t>pacs.008 plain SHA F563E347...566B3; STP SHA D9807C95...23F6 p.10; repository observation</t>
        </is>
      </c>
      <c r="K69" s="7" t="inlineStr">
        <is>
          <t>OPEN</t>
        </is>
      </c>
      <c r="L69" s="6" t="inlineStr">
        <is>
          <t>BOUNDARY</t>
        </is>
      </c>
      <c r="M69" s="6" t="inlineStr">
        <is>
          <t>MT1-BOUNDARY</t>
        </is>
      </c>
      <c r="N69" s="6" t="inlineStr">
        <is>
          <t>FIX-PACS008-008@v1</t>
        </is>
      </c>
      <c r="O69" s="7" t="inlineStr">
        <is>
          <t>BLOCKED_PENDING_BA</t>
        </is>
      </c>
      <c r="P69" s="6" t="inlineStr">
        <is>
          <t>Do not cite .001.08 as proof of .001.12</t>
        </is>
      </c>
      <c r="Q69" s="6" t="inlineStr">
        <is>
          <t>RED — SPECIFIED, NOT EXECUTED</t>
        </is>
      </c>
      <c r="R69" s="6" t="inlineStr">
        <is>
          <t>NOT_EXECUTED</t>
        </is>
      </c>
      <c r="S69" s="6" t="inlineStr">
        <is>
          <t>BA_RULING</t>
        </is>
      </c>
      <c r="T69" s="6" t="inlineStr">
        <is>
          <t>Official .001.12 UG or approved compatibility evidence</t>
        </is>
      </c>
    </row>
    <row r="70" ht="42" customHeight="1">
      <c r="A70" s="6" t="inlineStr">
        <is>
          <t>PACS008-009</t>
        </is>
      </c>
      <c r="B70" s="6" t="inlineStr">
        <is>
          <t>pacs.008</t>
        </is>
      </c>
      <c r="C70" s="6" t="inlineStr">
        <is>
          <t>CdtTrfTxInf</t>
        </is>
      </c>
      <c r="D70" s="6" t="inlineStr">
        <is>
          <t>Customer data is not standing SSI</t>
        </is>
      </c>
      <c r="E70" s="6" t="inlineStr">
        <is>
          <t>Debtor/Creditor/account values</t>
        </is>
      </c>
      <c r="F70" s="6" t="inlineStr">
        <is>
          <t>TRANSACTION</t>
        </is>
      </c>
      <c r="G70" s="6" t="inlineStr">
        <is>
          <t>50a/59a from transaction</t>
        </is>
      </c>
      <c r="H70" s="6" t="inlineStr">
        <is>
          <t>Dbtr/Cdtr and accounts from transaction</t>
        </is>
      </c>
      <c r="I70" s="6" t="inlineStr">
        <is>
          <t>NOT_REQUIRED</t>
        </is>
      </c>
      <c r="J70" s="6" t="inlineStr">
        <is>
          <t>pacs.008 plain SHA F563E347...566B3; STP SHA D9807C95...23F6</t>
        </is>
      </c>
      <c r="K70" s="6" t="inlineStr">
        <is>
          <t>QA_INVARIANT</t>
        </is>
      </c>
      <c r="L70" s="8" t="inlineStr">
        <is>
          <t>POSITIVE</t>
        </is>
      </c>
      <c r="M70" s="8" t="inlineStr">
        <is>
          <t>MT1-CANONICAL-POSITIVE</t>
        </is>
      </c>
      <c r="N70" s="6" t="inlineStr">
        <is>
          <t>FIX-PACS008-009@v1</t>
        </is>
      </c>
      <c r="O70" s="6" t="inlineStr">
        <is>
          <t>200</t>
        </is>
      </c>
      <c r="P70" s="6" t="inlineStr">
        <is>
          <t>PRODUCT DEFECT if customer party read from SSI</t>
        </is>
      </c>
      <c r="Q70" s="6" t="inlineStr">
        <is>
          <t>RED — SPECIFIED, NOT EXECUTED</t>
        </is>
      </c>
      <c r="R70" s="6" t="inlineStr">
        <is>
          <t>NOT_EXECUTED</t>
        </is>
      </c>
      <c r="S70" s="6" t="inlineStr">
        <is>
          <t>CONVERTER_PROFILE_MAPPER</t>
        </is>
      </c>
      <c r="T70" s="6" t="inlineStr">
        <is>
          <t>Field provenance</t>
        </is>
      </c>
    </row>
    <row r="71" ht="42" customHeight="1">
      <c r="A71" s="6" t="inlineStr">
        <is>
          <t>PACS008-010</t>
        </is>
      </c>
      <c r="B71" s="6" t="inlineStr">
        <is>
          <t>pacs.008</t>
        </is>
      </c>
      <c r="C71" s="6" t="inlineStr">
        <is>
          <t>Profile</t>
        </is>
      </c>
      <c r="D71" s="6" t="inlineStr">
        <is>
          <t>Unknown future profile remains data-driven</t>
        </is>
      </c>
      <c r="E71" s="6" t="inlineStr">
        <is>
          <t>MSG-X/Q9/79Z-like unknown fields from API definition</t>
        </is>
      </c>
      <c r="F71" s="6" t="inlineStr">
        <is>
          <t>PAGE_PARAMETER_API</t>
        </is>
      </c>
      <c r="G71" s="6" t="inlineStr">
        <is>
          <t>No hard-coded MT branch</t>
        </is>
      </c>
      <c r="H71" s="6" t="inlineStr">
        <is>
          <t>Generic rendering</t>
        </is>
      </c>
      <c r="I71" s="6" t="inlineStr">
        <is>
          <t>PROFILE_VERIFIED</t>
        </is>
      </c>
      <c r="J71" s="6" t="inlineStr">
        <is>
          <t>ADR-001-api-driven-ui.md</t>
        </is>
      </c>
      <c r="K71" s="6" t="inlineStr">
        <is>
          <t>PRODUCT_POLICY</t>
        </is>
      </c>
      <c r="L71" s="8" t="inlineStr">
        <is>
          <t>POSITIVE</t>
        </is>
      </c>
      <c r="M71" s="8" t="inlineStr">
        <is>
          <t>MT1-CANONICAL-POSITIVE</t>
        </is>
      </c>
      <c r="N71" s="6" t="inlineStr">
        <is>
          <t>FIX-PACS008-010@v1</t>
        </is>
      </c>
      <c r="O71" s="6" t="inlineStr">
        <is>
          <t>200</t>
        </is>
      </c>
      <c r="P71" s="6" t="inlineStr">
        <is>
          <t>Architecture gate must reject UI hardcode</t>
        </is>
      </c>
      <c r="Q71" s="6" t="inlineStr">
        <is>
          <t>RED — SPECIFIED, NOT EXECUTED</t>
        </is>
      </c>
      <c r="R71" s="6" t="inlineStr">
        <is>
          <t>NOT_EXECUTED</t>
        </is>
      </c>
      <c r="S71" s="6" t="inlineStr">
        <is>
          <t>GENERIC_UI</t>
        </is>
      </c>
      <c r="T71" s="6" t="inlineStr">
        <is>
          <t>API→page model→UI lossless trace</t>
        </is>
      </c>
    </row>
    <row r="72" ht="42" customHeight="1">
      <c r="A72" s="6" t="inlineStr">
        <is>
          <t>MT104-001</t>
        </is>
      </c>
      <c r="B72" s="6" t="inlineStr">
        <is>
          <t>MT104</t>
        </is>
      </c>
      <c r="C72" s="6" t="inlineStr">
        <is>
          <t>MESSAGE</t>
        </is>
      </c>
      <c r="D72" s="6" t="inlineStr">
        <is>
          <t>Direct-debit exclusion</t>
        </is>
      </c>
      <c r="E72" s="6" t="inlineStr">
        <is>
          <t>valid direct-debit message</t>
        </is>
      </c>
      <c r="F72" s="6" t="inlineStr">
        <is>
          <t>UPSTREAM_MESSAGE</t>
        </is>
      </c>
      <c r="G72" s="6" t="inlineStr">
        <is>
          <t>No SSI service call</t>
        </is>
      </c>
      <c r="H72" s="6" t="inlineStr">
        <is>
          <t>No pacs.008 conversion</t>
        </is>
      </c>
      <c r="I72" s="6" t="inlineStr">
        <is>
          <t>OUT_OF_PACS008_SCOPE</t>
        </is>
      </c>
      <c r="J72" s="6" t="inlineStr">
        <is>
          <t>us1m_20260717.pdf SHA 54002BDF...E90E70 p.356</t>
        </is>
      </c>
      <c r="K72" s="6" t="inlineStr">
        <is>
          <t>CONFIRMED_MRG_BOUNDARY</t>
        </is>
      </c>
      <c r="L72" s="6" t="inlineStr">
        <is>
          <t>BOUNDARY</t>
        </is>
      </c>
      <c r="M72" s="6" t="inlineStr">
        <is>
          <t>MT1-BOUNDARY</t>
        </is>
      </c>
      <c r="N72" s="6" t="inlineStr">
        <is>
          <t>FIX-MT104-001@v1</t>
        </is>
      </c>
      <c r="O72" s="6" t="inlineStr">
        <is>
          <t>200/NOT_APPLICABLE</t>
        </is>
      </c>
      <c r="P72" s="6" t="inlineStr">
        <is>
          <t>PRODUCT DEFECT if routed to pacs.008</t>
        </is>
      </c>
      <c r="Q72" s="6" t="inlineStr">
        <is>
          <t>RED — SPECIFIED, NOT EXECUTED</t>
        </is>
      </c>
      <c r="R72" s="6" t="inlineStr">
        <is>
          <t>NOT_EXECUTED</t>
        </is>
      </c>
      <c r="S72" s="6" t="inlineStr">
        <is>
          <t>UPSTREAM_PAYMENT_ENGINE</t>
        </is>
      </c>
      <c r="T72" s="6" t="inlineStr">
        <is>
          <t>No-call trace</t>
        </is>
      </c>
    </row>
    <row r="73" ht="42" customHeight="1">
      <c r="A73" s="6" t="inlineStr">
        <is>
          <t>MT104-002</t>
        </is>
      </c>
      <c r="B73" s="6" t="inlineStr">
        <is>
          <t>MT104</t>
        </is>
      </c>
      <c r="C73" s="6" t="inlineStr">
        <is>
          <t>MESSAGE</t>
        </is>
      </c>
      <c r="D73" s="6" t="inlineStr">
        <is>
          <t>No cross-family fallback</t>
        </is>
      </c>
      <c r="E73" s="6" t="inlineStr">
        <is>
          <t>missing direct-debit route data</t>
        </is>
      </c>
      <c r="F73" s="6" t="inlineStr">
        <is>
          <t>UPSTREAM_MESSAGE</t>
        </is>
      </c>
      <c r="G73" s="6" t="inlineStr">
        <is>
          <t>No pacs.008 SSI fallback</t>
        </is>
      </c>
      <c r="H73" s="6" t="inlineStr">
        <is>
          <t>No pacs.008 payload</t>
        </is>
      </c>
      <c r="I73" s="6" t="inlineStr">
        <is>
          <t>OUT_OF_PACS008_SCOPE</t>
        </is>
      </c>
      <c r="J73" s="6" t="inlineStr">
        <is>
          <t>us1m_20260717.pdf SHA 54002BDF...E90E70 p.356</t>
        </is>
      </c>
      <c r="K73" s="6" t="inlineStr">
        <is>
          <t>CONFIRMED_MRG_BOUNDARY</t>
        </is>
      </c>
      <c r="L73" s="9" t="inlineStr">
        <is>
          <t>NEGATIVE</t>
        </is>
      </c>
      <c r="M73" s="6" t="inlineStr">
        <is>
          <t>MT1-BOUNDARY</t>
        </is>
      </c>
      <c r="N73" s="6" t="inlineStr">
        <is>
          <t>FIX-MT104-002@v1</t>
        </is>
      </c>
      <c r="O73" s="6" t="inlineStr">
        <is>
          <t>NOT_APPLICABLE</t>
        </is>
      </c>
      <c r="P73" s="6" t="inlineStr">
        <is>
          <t>PRODUCT DEFECT if customer-credit fixture reused</t>
        </is>
      </c>
      <c r="Q73" s="6" t="inlineStr">
        <is>
          <t>RED — SPECIFIED, NOT EXECUTED</t>
        </is>
      </c>
      <c r="R73" s="6" t="inlineStr">
        <is>
          <t>NOT_EXECUTED</t>
        </is>
      </c>
      <c r="S73" s="6" t="inlineStr">
        <is>
          <t>UPSTREAM_PAYMENT_ENGINE</t>
        </is>
      </c>
      <c r="T73" s="6" t="inlineStr">
        <is>
          <t>No-call/no-write evidence</t>
        </is>
      </c>
    </row>
    <row r="74" ht="42" customHeight="1">
      <c r="A74" s="6" t="inlineStr">
        <is>
          <t>MT107-001</t>
        </is>
      </c>
      <c r="B74" s="6" t="inlineStr">
        <is>
          <t>MT107</t>
        </is>
      </c>
      <c r="C74" s="6" t="inlineStr">
        <is>
          <t>MESSAGE</t>
        </is>
      </c>
      <c r="D74" s="6" t="inlineStr">
        <is>
          <t>Direct-debit exclusion</t>
        </is>
      </c>
      <c r="E74" s="6" t="inlineStr">
        <is>
          <t>valid direct-debit message</t>
        </is>
      </c>
      <c r="F74" s="6" t="inlineStr">
        <is>
          <t>UPSTREAM_MESSAGE</t>
        </is>
      </c>
      <c r="G74" s="6" t="inlineStr">
        <is>
          <t>No SSI service call</t>
        </is>
      </c>
      <c r="H74" s="6" t="inlineStr">
        <is>
          <t>No pacs.008 conversion</t>
        </is>
      </c>
      <c r="I74" s="6" t="inlineStr">
        <is>
          <t>OUT_OF_PACS008_SCOPE</t>
        </is>
      </c>
      <c r="J74" s="6" t="inlineStr">
        <is>
          <t>us1m_20260717.pdf SHA 54002BDF...E90E70 p.394</t>
        </is>
      </c>
      <c r="K74" s="6" t="inlineStr">
        <is>
          <t>CONFIRMED_MRG_BOUNDARY</t>
        </is>
      </c>
      <c r="L74" s="6" t="inlineStr">
        <is>
          <t>BOUNDARY</t>
        </is>
      </c>
      <c r="M74" s="6" t="inlineStr">
        <is>
          <t>MT1-BOUNDARY</t>
        </is>
      </c>
      <c r="N74" s="6" t="inlineStr">
        <is>
          <t>FIX-MT107-001@v1</t>
        </is>
      </c>
      <c r="O74" s="6" t="inlineStr">
        <is>
          <t>200/NOT_APPLICABLE</t>
        </is>
      </c>
      <c r="P74" s="6" t="inlineStr">
        <is>
          <t>PRODUCT DEFECT if routed to pacs.008</t>
        </is>
      </c>
      <c r="Q74" s="6" t="inlineStr">
        <is>
          <t>RED — SPECIFIED, NOT EXECUTED</t>
        </is>
      </c>
      <c r="R74" s="6" t="inlineStr">
        <is>
          <t>NOT_EXECUTED</t>
        </is>
      </c>
      <c r="S74" s="6" t="inlineStr">
        <is>
          <t>UPSTREAM_PAYMENT_ENGINE</t>
        </is>
      </c>
      <c r="T74" s="6" t="inlineStr">
        <is>
          <t>No-call trace</t>
        </is>
      </c>
    </row>
    <row r="75" ht="42" customHeight="1">
      <c r="A75" s="6" t="inlineStr">
        <is>
          <t>MT107-002</t>
        </is>
      </c>
      <c r="B75" s="6" t="inlineStr">
        <is>
          <t>MT107</t>
        </is>
      </c>
      <c r="C75" s="6" t="inlineStr">
        <is>
          <t>MESSAGE</t>
        </is>
      </c>
      <c r="D75" s="6" t="inlineStr">
        <is>
          <t>No cross-family fallback</t>
        </is>
      </c>
      <c r="E75" s="6" t="inlineStr">
        <is>
          <t>missing direct-debit route data</t>
        </is>
      </c>
      <c r="F75" s="6" t="inlineStr">
        <is>
          <t>UPSTREAM_MESSAGE</t>
        </is>
      </c>
      <c r="G75" s="6" t="inlineStr">
        <is>
          <t>No pacs.008 SSI fallback</t>
        </is>
      </c>
      <c r="H75" s="6" t="inlineStr">
        <is>
          <t>No pacs.008 payload</t>
        </is>
      </c>
      <c r="I75" s="6" t="inlineStr">
        <is>
          <t>OUT_OF_PACS008_SCOPE</t>
        </is>
      </c>
      <c r="J75" s="6" t="inlineStr">
        <is>
          <t>us1m_20260717.pdf SHA 54002BDF...E90E70 p.394</t>
        </is>
      </c>
      <c r="K75" s="6" t="inlineStr">
        <is>
          <t>CONFIRMED_MRG_BOUNDARY</t>
        </is>
      </c>
      <c r="L75" s="9" t="inlineStr">
        <is>
          <t>NEGATIVE</t>
        </is>
      </c>
      <c r="M75" s="6" t="inlineStr">
        <is>
          <t>MT1-BOUNDARY</t>
        </is>
      </c>
      <c r="N75" s="6" t="inlineStr">
        <is>
          <t>FIX-MT107-002@v1</t>
        </is>
      </c>
      <c r="O75" s="6" t="inlineStr">
        <is>
          <t>NOT_APPLICABLE</t>
        </is>
      </c>
      <c r="P75" s="6" t="inlineStr">
        <is>
          <t>PRODUCT DEFECT if customer-credit fixture reused</t>
        </is>
      </c>
      <c r="Q75" s="6" t="inlineStr">
        <is>
          <t>RED — SPECIFIED, NOT EXECUTED</t>
        </is>
      </c>
      <c r="R75" s="6" t="inlineStr">
        <is>
          <t>NOT_EXECUTED</t>
        </is>
      </c>
      <c r="S75" s="6" t="inlineStr">
        <is>
          <t>UPSTREAM_PAYMENT_ENGINE</t>
        </is>
      </c>
      <c r="T75" s="6" t="inlineStr">
        <is>
          <t>No-call/no-write evidence</t>
        </is>
      </c>
    </row>
  </sheetData>
  <autoFilter ref="A1:T75"/>
  <dataValidations count="2">
    <dataValidation sqref="L2:L75" showDropDown="0" showInputMessage="0" showErrorMessage="0" allowBlank="0" type="list">
      <formula1>"POSITIVE,NEGATIVE,BOUNDARY"</formula1>
    </dataValidation>
    <dataValidation sqref="R2:R75" showDropDown="0" showInputMessage="0" showErrorMessage="0" allowBlank="0" type="list">
      <formula1>"NOT_EXECUTED,PASS,FAIL,BLOCKED"</formula1>
    </dataValidation>
  </dataValidation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55" customWidth="1" min="4" max="4"/>
    <col width="26" customWidth="1" min="5" max="5"/>
    <col width="30" customWidth="1" min="6" max="6"/>
    <col width="45" customWidth="1" min="7" max="7"/>
  </cols>
  <sheetData>
    <row r="1" ht="30" customHeight="1">
      <c r="A1" s="5" t="inlineStr">
        <is>
          <t>Scenario ID</t>
        </is>
      </c>
      <c r="B1" s="5" t="inlineStr">
        <is>
          <t>Message/Profile</t>
        </is>
      </c>
      <c r="C1" s="5" t="inlineStr">
        <is>
          <t>Sequence</t>
        </is>
      </c>
      <c r="D1" s="5" t="inlineStr">
        <is>
          <t>Scenario</t>
        </is>
      </c>
      <c r="E1" s="5" t="inlineStr">
        <is>
          <t>Design status</t>
        </is>
      </c>
      <c r="F1" s="5" t="inlineStr">
        <is>
          <t>Validation owner</t>
        </is>
      </c>
      <c r="G1" s="5" t="inlineStr">
        <is>
          <t>Evidence</t>
        </is>
      </c>
    </row>
    <row r="2" ht="42" customHeight="1">
      <c r="A2" s="6" t="inlineStr">
        <is>
          <t>SCN-001</t>
        </is>
      </c>
      <c r="B2" s="6" t="inlineStr">
        <is>
          <t>MT103</t>
        </is>
      </c>
      <c r="C2" s="6" t="inlineStr">
        <is>
          <t>BASE</t>
        </is>
      </c>
      <c r="D2" s="6" t="inlineStr">
        <is>
          <t>Unique direct Sender/Receiver account</t>
        </is>
      </c>
      <c r="E2" s="6" t="inlineStr">
        <is>
          <t>PROPOSED_IN_SCOPE</t>
        </is>
      </c>
      <c r="F2" s="6" t="inlineStr">
        <is>
          <t>SSI_FIELD_RESOLUTION_API</t>
        </is>
      </c>
      <c r="G2" s="6" t="inlineStr">
        <is>
          <t>us1m_20260717.pdf SHA 54002BDF...E90E70 pp.171–181, 193–203</t>
        </is>
      </c>
    </row>
    <row r="3" ht="42" customHeight="1">
      <c r="A3" s="6" t="inlineStr">
        <is>
          <t>SCN-002</t>
        </is>
      </c>
      <c r="B3" s="6" t="inlineStr">
        <is>
          <t>MT103</t>
        </is>
      </c>
      <c r="C3" s="6" t="inlineStr">
        <is>
          <t>BASE</t>
        </is>
      </c>
      <c r="D3" s="6" t="inlineStr">
        <is>
          <t>Multiple direct reimbursement accounts</t>
        </is>
      </c>
      <c r="E3" s="6" t="inlineStr">
        <is>
          <t>PROPOSED_IN_SCOPE</t>
        </is>
      </c>
      <c r="F3" s="6" t="inlineStr">
        <is>
          <t>SSI_FIELD_RESOLUTION_API</t>
        </is>
      </c>
      <c r="G3" s="6" t="inlineStr">
        <is>
          <t>us1m_20260717.pdf SHA 54002BDF...E90E70 pp.171–181, 193–203</t>
        </is>
      </c>
    </row>
    <row r="4" ht="42" customHeight="1">
      <c r="A4" s="6" t="inlineStr">
        <is>
          <t>SCN-003</t>
        </is>
      </c>
      <c r="B4" s="6" t="inlineStr">
        <is>
          <t>MT103</t>
        </is>
      </c>
      <c r="C4" s="6" t="inlineStr">
        <is>
          <t>BASE</t>
        </is>
      </c>
      <c r="D4" s="6" t="inlineStr">
        <is>
          <t>No direct reimbursement relationship</t>
        </is>
      </c>
      <c r="E4" s="6" t="inlineStr">
        <is>
          <t>PROPOSED_IN_SCOPE</t>
        </is>
      </c>
      <c r="F4" s="6" t="inlineStr">
        <is>
          <t>SSI_FIELD_RESOLUTION_API</t>
        </is>
      </c>
      <c r="G4" s="6" t="inlineStr">
        <is>
          <t>us1m_20260717.pdf SHA 54002BDF...E90E70 pp.171–181, 193–203</t>
        </is>
      </c>
    </row>
    <row r="5" ht="42" customHeight="1">
      <c r="A5" s="6" t="inlineStr">
        <is>
          <t>SCN-004</t>
        </is>
      </c>
      <c r="B5" s="6" t="inlineStr">
        <is>
          <t>MT103</t>
        </is>
      </c>
      <c r="C5" s="6" t="inlineStr">
        <is>
          <t>BASE</t>
        </is>
      </c>
      <c r="D5" s="6" t="inlineStr">
        <is>
          <t>Reimbursement chain</t>
        </is>
      </c>
      <c r="E5" s="6" t="inlineStr">
        <is>
          <t>PROPOSED_IN_SCOPE</t>
        </is>
      </c>
      <c r="F5" s="6" t="inlineStr">
        <is>
          <t>SSI_FIELD_RESOLUTION_API</t>
        </is>
      </c>
      <c r="G5" s="6" t="inlineStr">
        <is>
          <t>us1m_20260717.pdf SHA 54002BDF...E90E70 pp.171–181, 193–203</t>
        </is>
      </c>
    </row>
    <row r="6" ht="42" customHeight="1">
      <c r="A6" s="6" t="inlineStr">
        <is>
          <t>SCN-005</t>
        </is>
      </c>
      <c r="B6" s="6" t="inlineStr">
        <is>
          <t>MT103</t>
        </is>
      </c>
      <c r="C6" s="6" t="inlineStr">
        <is>
          <t>BASE</t>
        </is>
      </c>
      <c r="D6" s="6" t="inlineStr">
        <is>
          <t>Intermediary route</t>
        </is>
      </c>
      <c r="E6" s="6" t="inlineStr">
        <is>
          <t>PROPOSED_IN_SCOPE</t>
        </is>
      </c>
      <c r="F6" s="6" t="inlineStr">
        <is>
          <t>SSI_FIELD_RESOLUTION_API</t>
        </is>
      </c>
      <c r="G6" s="6" t="inlineStr">
        <is>
          <t>us1m_20260717.pdf SHA 54002BDF...E90E70 pp.171–181, 193–203</t>
        </is>
      </c>
    </row>
    <row r="7" ht="42" customHeight="1">
      <c r="A7" s="6" t="inlineStr">
        <is>
          <t>SCN-006</t>
        </is>
      </c>
      <c r="B7" s="6" t="inlineStr">
        <is>
          <t>MT103</t>
        </is>
      </c>
      <c r="C7" s="6" t="inlineStr">
        <is>
          <t>BASE</t>
        </is>
      </c>
      <c r="D7" s="6" t="inlineStr">
        <is>
          <t>NVR 56a requires 57a</t>
        </is>
      </c>
      <c r="E7" s="6" t="inlineStr">
        <is>
          <t>CONFIRMED_NVR</t>
        </is>
      </c>
      <c r="F7" s="6" t="inlineStr">
        <is>
          <t>UPSTREAM_FIN_VALIDATOR</t>
        </is>
      </c>
      <c r="G7" s="6" t="inlineStr">
        <is>
          <t>us1m_20260717.pdf SHA 54002BDF...E90E70 pp.171–181, 193–203</t>
        </is>
      </c>
    </row>
    <row r="8" ht="42" customHeight="1">
      <c r="A8" s="6" t="inlineStr">
        <is>
          <t>SCN-007</t>
        </is>
      </c>
      <c r="B8" s="6" t="inlineStr">
        <is>
          <t>MT103</t>
        </is>
      </c>
      <c r="C8" s="6" t="inlineStr">
        <is>
          <t>BASE</t>
        </is>
      </c>
      <c r="D8" s="6" t="inlineStr">
        <is>
          <t>NVR 55a requires 53a and 54a</t>
        </is>
      </c>
      <c r="E8" s="6" t="inlineStr">
        <is>
          <t>CONFIRMED_NVR</t>
        </is>
      </c>
      <c r="F8" s="6" t="inlineStr">
        <is>
          <t>UPSTREAM_FIN_VALIDATOR</t>
        </is>
      </c>
      <c r="G8" s="6" t="inlineStr">
        <is>
          <t>us1m_20260717.pdf SHA 54002BDF...E90E70 pp.171–181, 193–203</t>
        </is>
      </c>
    </row>
    <row r="9" ht="42" customHeight="1">
      <c r="A9" s="6" t="inlineStr">
        <is>
          <t>SCN-008</t>
        </is>
      </c>
      <c r="B9" s="6" t="inlineStr">
        <is>
          <t>MT103</t>
        </is>
      </c>
      <c r="C9" s="6" t="inlineStr">
        <is>
          <t>BASE</t>
        </is>
      </c>
      <c r="D9" s="6" t="inlineStr">
        <is>
          <t>Mandatory route SSI not found</t>
        </is>
      </c>
      <c r="E9" s="6" t="inlineStr">
        <is>
          <t>PROPOSED_IN_SCOPE</t>
        </is>
      </c>
      <c r="F9" s="6" t="inlineStr">
        <is>
          <t>SSI_FIELD_RESOLUTION_API</t>
        </is>
      </c>
      <c r="G9" s="6" t="inlineStr">
        <is>
          <t>us1m_20260717.pdf SHA 54002BDF...E90E70 pp.171–181, 193–203</t>
        </is>
      </c>
    </row>
    <row r="10" ht="42" customHeight="1">
      <c r="A10" s="6" t="inlineStr">
        <is>
          <t>SCN-009</t>
        </is>
      </c>
      <c r="B10" s="6" t="inlineStr">
        <is>
          <t>MT103</t>
        </is>
      </c>
      <c r="C10" s="6" t="inlineStr">
        <is>
          <t>BASE</t>
        </is>
      </c>
      <c r="D10" s="6" t="inlineStr">
        <is>
          <t>Ambiguous route SSI</t>
        </is>
      </c>
      <c r="E10" s="6" t="inlineStr">
        <is>
          <t>PROPOSED_IN_SCOPE</t>
        </is>
      </c>
      <c r="F10" s="6" t="inlineStr">
        <is>
          <t>SSI_FIELD_RESOLUTION_API</t>
        </is>
      </c>
      <c r="G10" s="6" t="inlineStr">
        <is>
          <t>us1m_20260717.pdf SHA 54002BDF...E90E70 pp.171–181, 193–203</t>
        </is>
      </c>
    </row>
    <row r="11" ht="42" customHeight="1">
      <c r="A11" s="6" t="inlineStr">
        <is>
          <t>SCN-010</t>
        </is>
      </c>
      <c r="B11" s="6" t="inlineStr">
        <is>
          <t>MT103</t>
        </is>
      </c>
      <c r="C11" s="6" t="inlineStr">
        <is>
          <t>BASE</t>
        </is>
      </c>
      <c r="D11" s="6" t="inlineStr">
        <is>
          <t>Selected accountReference missing</t>
        </is>
      </c>
      <c r="E11" s="6" t="inlineStr">
        <is>
          <t>PRODUCT_POLICY</t>
        </is>
      </c>
      <c r="F11" s="6" t="inlineStr">
        <is>
          <t>SSI_FIELD_RESOLUTION_API</t>
        </is>
      </c>
      <c r="G11" s="6" t="inlineStr">
        <is>
          <t>us1m_20260717.pdf SHA 54002BDF...E90E70 pp.171–181, 193–203</t>
        </is>
      </c>
    </row>
    <row r="12" ht="42" customHeight="1">
      <c r="A12" s="6" t="inlineStr">
        <is>
          <t>SCN-011</t>
        </is>
      </c>
      <c r="B12" s="6" t="inlineStr">
        <is>
          <t>MT103</t>
        </is>
      </c>
      <c r="C12" s="6" t="inlineStr">
        <is>
          <t>BASE</t>
        </is>
      </c>
      <c r="D12" s="6" t="inlineStr">
        <is>
          <t>Invalid option for profile</t>
        </is>
      </c>
      <c r="E12" s="6" t="inlineStr">
        <is>
          <t>CONFIRMED_PROFILE_RULE</t>
        </is>
      </c>
      <c r="F12" s="6" t="inlineStr">
        <is>
          <t>SSI_FIELD_RESOLUTION_API</t>
        </is>
      </c>
      <c r="G12" s="6" t="inlineStr">
        <is>
          <t>us1m_20260717.pdf SHA 54002BDF...E90E70 pp.171–181, 193–203</t>
        </is>
      </c>
    </row>
    <row r="13" ht="42" customHeight="1">
      <c r="A13" s="6" t="inlineStr">
        <is>
          <t>SCN-012</t>
        </is>
      </c>
      <c r="B13" s="6" t="inlineStr">
        <is>
          <t>MT103</t>
        </is>
      </c>
      <c r="C13" s="6" t="inlineStr">
        <is>
          <t>BASE</t>
        </is>
      </c>
      <c r="D13" s="6" t="inlineStr">
        <is>
          <t>Profile selected by BizSvc</t>
        </is>
      </c>
      <c r="E13" s="6" t="inlineStr">
        <is>
          <t>CONFIRMED_UG</t>
        </is>
      </c>
      <c r="F13" s="6" t="inlineStr">
        <is>
          <t>CONVERTER_PROFILE_MAPPER</t>
        </is>
      </c>
      <c r="G13" s="6" t="inlineStr">
        <is>
          <t>pacs.008 plain/STP UGs p.10</t>
        </is>
      </c>
    </row>
    <row r="14" ht="42" customHeight="1">
      <c r="A14" s="6" t="inlineStr">
        <is>
          <t>SCN-013</t>
        </is>
      </c>
      <c r="B14" s="6" t="inlineStr">
        <is>
          <t>MT103REMIT</t>
        </is>
      </c>
      <c r="C14" s="6" t="inlineStr">
        <is>
          <t>BASE</t>
        </is>
      </c>
      <c r="D14" s="6" t="inlineStr">
        <is>
          <t>Unique direct Sender/Receiver account</t>
        </is>
      </c>
      <c r="E14" s="6" t="inlineStr">
        <is>
          <t>PROPOSED_IN_SCOPE</t>
        </is>
      </c>
      <c r="F14" s="6" t="inlineStr">
        <is>
          <t>SSI_FIELD_RESOLUTION_API</t>
        </is>
      </c>
      <c r="G14" s="6" t="inlineStr">
        <is>
          <t>us1m_20260717.pdf SHA 54002BDF...E90E70 pp.255–265, 277–287</t>
        </is>
      </c>
    </row>
    <row r="15" ht="42" customHeight="1">
      <c r="A15" s="6" t="inlineStr">
        <is>
          <t>SCN-014</t>
        </is>
      </c>
      <c r="B15" s="6" t="inlineStr">
        <is>
          <t>MT103REMIT</t>
        </is>
      </c>
      <c r="C15" s="6" t="inlineStr">
        <is>
          <t>BASE</t>
        </is>
      </c>
      <c r="D15" s="6" t="inlineStr">
        <is>
          <t>Multiple direct reimbursement accounts</t>
        </is>
      </c>
      <c r="E15" s="6" t="inlineStr">
        <is>
          <t>PROPOSED_IN_SCOPE</t>
        </is>
      </c>
      <c r="F15" s="6" t="inlineStr">
        <is>
          <t>SSI_FIELD_RESOLUTION_API</t>
        </is>
      </c>
      <c r="G15" s="6" t="inlineStr">
        <is>
          <t>us1m_20260717.pdf SHA 54002BDF...E90E70 pp.255–265, 277–287</t>
        </is>
      </c>
    </row>
    <row r="16" ht="42" customHeight="1">
      <c r="A16" s="6" t="inlineStr">
        <is>
          <t>SCN-015</t>
        </is>
      </c>
      <c r="B16" s="6" t="inlineStr">
        <is>
          <t>MT103REMIT</t>
        </is>
      </c>
      <c r="C16" s="6" t="inlineStr">
        <is>
          <t>BASE</t>
        </is>
      </c>
      <c r="D16" s="6" t="inlineStr">
        <is>
          <t>No direct reimbursement relationship</t>
        </is>
      </c>
      <c r="E16" s="6" t="inlineStr">
        <is>
          <t>PROPOSED_IN_SCOPE</t>
        </is>
      </c>
      <c r="F16" s="6" t="inlineStr">
        <is>
          <t>SSI_FIELD_RESOLUTION_API</t>
        </is>
      </c>
      <c r="G16" s="6" t="inlineStr">
        <is>
          <t>us1m_20260717.pdf SHA 54002BDF...E90E70 pp.255–265, 277–287</t>
        </is>
      </c>
    </row>
    <row r="17" ht="42" customHeight="1">
      <c r="A17" s="6" t="inlineStr">
        <is>
          <t>SCN-016</t>
        </is>
      </c>
      <c r="B17" s="6" t="inlineStr">
        <is>
          <t>MT103REMIT</t>
        </is>
      </c>
      <c r="C17" s="6" t="inlineStr">
        <is>
          <t>BASE</t>
        </is>
      </c>
      <c r="D17" s="6" t="inlineStr">
        <is>
          <t>Reimbursement chain</t>
        </is>
      </c>
      <c r="E17" s="6" t="inlineStr">
        <is>
          <t>PROPOSED_IN_SCOPE</t>
        </is>
      </c>
      <c r="F17" s="6" t="inlineStr">
        <is>
          <t>SSI_FIELD_RESOLUTION_API</t>
        </is>
      </c>
      <c r="G17" s="6" t="inlineStr">
        <is>
          <t>us1m_20260717.pdf SHA 54002BDF...E90E70 pp.255–265, 277–287</t>
        </is>
      </c>
    </row>
    <row r="18" ht="42" customHeight="1">
      <c r="A18" s="6" t="inlineStr">
        <is>
          <t>SCN-017</t>
        </is>
      </c>
      <c r="B18" s="6" t="inlineStr">
        <is>
          <t>MT103REMIT</t>
        </is>
      </c>
      <c r="C18" s="6" t="inlineStr">
        <is>
          <t>BASE</t>
        </is>
      </c>
      <c r="D18" s="6" t="inlineStr">
        <is>
          <t>Intermediary route</t>
        </is>
      </c>
      <c r="E18" s="6" t="inlineStr">
        <is>
          <t>PROPOSED_IN_SCOPE</t>
        </is>
      </c>
      <c r="F18" s="6" t="inlineStr">
        <is>
          <t>SSI_FIELD_RESOLUTION_API</t>
        </is>
      </c>
      <c r="G18" s="6" t="inlineStr">
        <is>
          <t>us1m_20260717.pdf SHA 54002BDF...E90E70 pp.255–265, 277–287</t>
        </is>
      </c>
    </row>
    <row r="19" ht="42" customHeight="1">
      <c r="A19" s="6" t="inlineStr">
        <is>
          <t>SCN-018</t>
        </is>
      </c>
      <c r="B19" s="6" t="inlineStr">
        <is>
          <t>MT103REMIT</t>
        </is>
      </c>
      <c r="C19" s="6" t="inlineStr">
        <is>
          <t>BASE</t>
        </is>
      </c>
      <c r="D19" s="6" t="inlineStr">
        <is>
          <t>NVR 56a requires 57a</t>
        </is>
      </c>
      <c r="E19" s="6" t="inlineStr">
        <is>
          <t>CONFIRMED_NVR</t>
        </is>
      </c>
      <c r="F19" s="6" t="inlineStr">
        <is>
          <t>UPSTREAM_FIN_VALIDATOR</t>
        </is>
      </c>
      <c r="G19" s="6" t="inlineStr">
        <is>
          <t>us1m_20260717.pdf SHA 54002BDF...E90E70 pp.255–265, 277–287</t>
        </is>
      </c>
    </row>
    <row r="20" ht="42" customHeight="1">
      <c r="A20" s="6" t="inlineStr">
        <is>
          <t>SCN-019</t>
        </is>
      </c>
      <c r="B20" s="6" t="inlineStr">
        <is>
          <t>MT103REMIT</t>
        </is>
      </c>
      <c r="C20" s="6" t="inlineStr">
        <is>
          <t>BASE</t>
        </is>
      </c>
      <c r="D20" s="6" t="inlineStr">
        <is>
          <t>NVR 55a requires 53a and 54a</t>
        </is>
      </c>
      <c r="E20" s="6" t="inlineStr">
        <is>
          <t>CONFIRMED_NVR</t>
        </is>
      </c>
      <c r="F20" s="6" t="inlineStr">
        <is>
          <t>UPSTREAM_FIN_VALIDATOR</t>
        </is>
      </c>
      <c r="G20" s="6" t="inlineStr">
        <is>
          <t>us1m_20260717.pdf SHA 54002BDF...E90E70 pp.255–265, 277–287</t>
        </is>
      </c>
    </row>
    <row r="21" ht="42" customHeight="1">
      <c r="A21" s="6" t="inlineStr">
        <is>
          <t>SCN-020</t>
        </is>
      </c>
      <c r="B21" s="6" t="inlineStr">
        <is>
          <t>MT103REMIT</t>
        </is>
      </c>
      <c r="C21" s="6" t="inlineStr">
        <is>
          <t>BASE</t>
        </is>
      </c>
      <c r="D21" s="6" t="inlineStr">
        <is>
          <t>Mandatory route SSI not found</t>
        </is>
      </c>
      <c r="E21" s="6" t="inlineStr">
        <is>
          <t>PROPOSED_IN_SCOPE</t>
        </is>
      </c>
      <c r="F21" s="6" t="inlineStr">
        <is>
          <t>SSI_FIELD_RESOLUTION_API</t>
        </is>
      </c>
      <c r="G21" s="6" t="inlineStr">
        <is>
          <t>us1m_20260717.pdf SHA 54002BDF...E90E70 pp.255–265, 277–287</t>
        </is>
      </c>
    </row>
    <row r="22" ht="42" customHeight="1">
      <c r="A22" s="6" t="inlineStr">
        <is>
          <t>SCN-021</t>
        </is>
      </c>
      <c r="B22" s="6" t="inlineStr">
        <is>
          <t>MT103REMIT</t>
        </is>
      </c>
      <c r="C22" s="6" t="inlineStr">
        <is>
          <t>BASE</t>
        </is>
      </c>
      <c r="D22" s="6" t="inlineStr">
        <is>
          <t>Ambiguous route SSI</t>
        </is>
      </c>
      <c r="E22" s="6" t="inlineStr">
        <is>
          <t>PROPOSED_IN_SCOPE</t>
        </is>
      </c>
      <c r="F22" s="6" t="inlineStr">
        <is>
          <t>SSI_FIELD_RESOLUTION_API</t>
        </is>
      </c>
      <c r="G22" s="6" t="inlineStr">
        <is>
          <t>us1m_20260717.pdf SHA 54002BDF...E90E70 pp.255–265, 277–287</t>
        </is>
      </c>
    </row>
    <row r="23" ht="42" customHeight="1">
      <c r="A23" s="6" t="inlineStr">
        <is>
          <t>SCN-022</t>
        </is>
      </c>
      <c r="B23" s="6" t="inlineStr">
        <is>
          <t>MT103REMIT</t>
        </is>
      </c>
      <c r="C23" s="6" t="inlineStr">
        <is>
          <t>BASE</t>
        </is>
      </c>
      <c r="D23" s="6" t="inlineStr">
        <is>
          <t>Selected accountReference missing</t>
        </is>
      </c>
      <c r="E23" s="6" t="inlineStr">
        <is>
          <t>PRODUCT_POLICY</t>
        </is>
      </c>
      <c r="F23" s="6" t="inlineStr">
        <is>
          <t>SSI_FIELD_RESOLUTION_API</t>
        </is>
      </c>
      <c r="G23" s="6" t="inlineStr">
        <is>
          <t>us1m_20260717.pdf SHA 54002BDF...E90E70 pp.255–265, 277–287</t>
        </is>
      </c>
    </row>
    <row r="24" ht="42" customHeight="1">
      <c r="A24" s="6" t="inlineStr">
        <is>
          <t>SCN-023</t>
        </is>
      </c>
      <c r="B24" s="6" t="inlineStr">
        <is>
          <t>MT103REMIT</t>
        </is>
      </c>
      <c r="C24" s="6" t="inlineStr">
        <is>
          <t>BASE</t>
        </is>
      </c>
      <c r="D24" s="6" t="inlineStr">
        <is>
          <t>Invalid option for profile</t>
        </is>
      </c>
      <c r="E24" s="6" t="inlineStr">
        <is>
          <t>CONFIRMED_PROFILE_RULE</t>
        </is>
      </c>
      <c r="F24" s="6" t="inlineStr">
        <is>
          <t>SSI_FIELD_RESOLUTION_API</t>
        </is>
      </c>
      <c r="G24" s="6" t="inlineStr">
        <is>
          <t>us1m_20260717.pdf SHA 54002BDF...E90E70 pp.255–265, 277–287</t>
        </is>
      </c>
    </row>
    <row r="25" ht="42" customHeight="1">
      <c r="A25" s="6" t="inlineStr">
        <is>
          <t>SCN-024</t>
        </is>
      </c>
      <c r="B25" s="6" t="inlineStr">
        <is>
          <t>MT103REMIT</t>
        </is>
      </c>
      <c r="C25" s="6" t="inlineStr">
        <is>
          <t>BASE</t>
        </is>
      </c>
      <c r="D25" s="6" t="inlineStr">
        <is>
          <t>Profile selected by BizSvc</t>
        </is>
      </c>
      <c r="E25" s="6" t="inlineStr">
        <is>
          <t>CONFIRMED_UG</t>
        </is>
      </c>
      <c r="F25" s="6" t="inlineStr">
        <is>
          <t>CONVERTER_PROFILE_MAPPER</t>
        </is>
      </c>
      <c r="G25" s="6" t="inlineStr">
        <is>
          <t>pacs.008 plain/STP UGs p.10</t>
        </is>
      </c>
    </row>
    <row r="26" ht="42" customHeight="1">
      <c r="A26" s="6" t="inlineStr">
        <is>
          <t>SCN-025</t>
        </is>
      </c>
      <c r="B26" s="6" t="inlineStr">
        <is>
          <t>MT103STP</t>
        </is>
      </c>
      <c r="C26" s="6" t="inlineStr">
        <is>
          <t>BASE</t>
        </is>
      </c>
      <c r="D26" s="6" t="inlineStr">
        <is>
          <t>Unique direct Sender/Receiver account</t>
        </is>
      </c>
      <c r="E26" s="6" t="inlineStr">
        <is>
          <t>PROPOSED_IN_SCOPE</t>
        </is>
      </c>
      <c r="F26" s="6" t="inlineStr">
        <is>
          <t>SSI_FIELD_RESOLUTION_API</t>
        </is>
      </c>
      <c r="G26" s="6" t="inlineStr">
        <is>
          <t>us1m_20260717.pdf SHA 54002BDF...E90E70 pp.297–307, field specifications</t>
        </is>
      </c>
    </row>
    <row r="27" ht="42" customHeight="1">
      <c r="A27" s="6" t="inlineStr">
        <is>
          <t>SCN-026</t>
        </is>
      </c>
      <c r="B27" s="6" t="inlineStr">
        <is>
          <t>MT103STP</t>
        </is>
      </c>
      <c r="C27" s="6" t="inlineStr">
        <is>
          <t>BASE</t>
        </is>
      </c>
      <c r="D27" s="6" t="inlineStr">
        <is>
          <t>Multiple direct reimbursement accounts</t>
        </is>
      </c>
      <c r="E27" s="6" t="inlineStr">
        <is>
          <t>PROPOSED_IN_SCOPE</t>
        </is>
      </c>
      <c r="F27" s="6" t="inlineStr">
        <is>
          <t>SSI_FIELD_RESOLUTION_API</t>
        </is>
      </c>
      <c r="G27" s="6" t="inlineStr">
        <is>
          <t>us1m_20260717.pdf SHA 54002BDF...E90E70 pp.297–307, field specifications</t>
        </is>
      </c>
    </row>
    <row r="28" ht="42" customHeight="1">
      <c r="A28" s="6" t="inlineStr">
        <is>
          <t>SCN-027</t>
        </is>
      </c>
      <c r="B28" s="6" t="inlineStr">
        <is>
          <t>MT103STP</t>
        </is>
      </c>
      <c r="C28" s="6" t="inlineStr">
        <is>
          <t>BASE</t>
        </is>
      </c>
      <c r="D28" s="6" t="inlineStr">
        <is>
          <t>No direct reimbursement relationship</t>
        </is>
      </c>
      <c r="E28" s="6" t="inlineStr">
        <is>
          <t>PROPOSED_IN_SCOPE</t>
        </is>
      </c>
      <c r="F28" s="6" t="inlineStr">
        <is>
          <t>SSI_FIELD_RESOLUTION_API</t>
        </is>
      </c>
      <c r="G28" s="6" t="inlineStr">
        <is>
          <t>us1m_20260717.pdf SHA 54002BDF...E90E70 pp.297–307, field specifications</t>
        </is>
      </c>
    </row>
    <row r="29" ht="42" customHeight="1">
      <c r="A29" s="6" t="inlineStr">
        <is>
          <t>SCN-028</t>
        </is>
      </c>
      <c r="B29" s="6" t="inlineStr">
        <is>
          <t>MT103STP</t>
        </is>
      </c>
      <c r="C29" s="6" t="inlineStr">
        <is>
          <t>BASE</t>
        </is>
      </c>
      <c r="D29" s="6" t="inlineStr">
        <is>
          <t>Reimbursement chain</t>
        </is>
      </c>
      <c r="E29" s="6" t="inlineStr">
        <is>
          <t>PROPOSED_IN_SCOPE</t>
        </is>
      </c>
      <c r="F29" s="6" t="inlineStr">
        <is>
          <t>SSI_FIELD_RESOLUTION_API</t>
        </is>
      </c>
      <c r="G29" s="6" t="inlineStr">
        <is>
          <t>us1m_20260717.pdf SHA 54002BDF...E90E70 pp.297–307, field specifications</t>
        </is>
      </c>
    </row>
    <row r="30" ht="42" customHeight="1">
      <c r="A30" s="6" t="inlineStr">
        <is>
          <t>SCN-029</t>
        </is>
      </c>
      <c r="B30" s="6" t="inlineStr">
        <is>
          <t>MT103STP</t>
        </is>
      </c>
      <c r="C30" s="6" t="inlineStr">
        <is>
          <t>BASE</t>
        </is>
      </c>
      <c r="D30" s="6" t="inlineStr">
        <is>
          <t>Intermediary route</t>
        </is>
      </c>
      <c r="E30" s="6" t="inlineStr">
        <is>
          <t>PROPOSED_IN_SCOPE</t>
        </is>
      </c>
      <c r="F30" s="6" t="inlineStr">
        <is>
          <t>SSI_FIELD_RESOLUTION_API</t>
        </is>
      </c>
      <c r="G30" s="6" t="inlineStr">
        <is>
          <t>us1m_20260717.pdf SHA 54002BDF...E90E70 pp.297–307, field specifications</t>
        </is>
      </c>
    </row>
    <row r="31" ht="42" customHeight="1">
      <c r="A31" s="6" t="inlineStr">
        <is>
          <t>SCN-030</t>
        </is>
      </c>
      <c r="B31" s="6" t="inlineStr">
        <is>
          <t>MT103STP</t>
        </is>
      </c>
      <c r="C31" s="6" t="inlineStr">
        <is>
          <t>BASE</t>
        </is>
      </c>
      <c r="D31" s="6" t="inlineStr">
        <is>
          <t>NVR 56a requires 57a</t>
        </is>
      </c>
      <c r="E31" s="6" t="inlineStr">
        <is>
          <t>CONFIRMED_NVR</t>
        </is>
      </c>
      <c r="F31" s="6" t="inlineStr">
        <is>
          <t>UPSTREAM_FIN_VALIDATOR</t>
        </is>
      </c>
      <c r="G31" s="6" t="inlineStr">
        <is>
          <t>us1m_20260717.pdf SHA 54002BDF...E90E70 pp.297–307, field specifications</t>
        </is>
      </c>
    </row>
    <row r="32" ht="42" customHeight="1">
      <c r="A32" s="6" t="inlineStr">
        <is>
          <t>SCN-031</t>
        </is>
      </c>
      <c r="B32" s="6" t="inlineStr">
        <is>
          <t>MT103STP</t>
        </is>
      </c>
      <c r="C32" s="6" t="inlineStr">
        <is>
          <t>BASE</t>
        </is>
      </c>
      <c r="D32" s="6" t="inlineStr">
        <is>
          <t>NVR 55a requires 53a and 54a</t>
        </is>
      </c>
      <c r="E32" s="6" t="inlineStr">
        <is>
          <t>CONFIRMED_NVR</t>
        </is>
      </c>
      <c r="F32" s="6" t="inlineStr">
        <is>
          <t>UPSTREAM_FIN_VALIDATOR</t>
        </is>
      </c>
      <c r="G32" s="6" t="inlineStr">
        <is>
          <t>us1m_20260717.pdf SHA 54002BDF...E90E70 pp.297–307, field specifications</t>
        </is>
      </c>
    </row>
    <row r="33" ht="42" customHeight="1">
      <c r="A33" s="6" t="inlineStr">
        <is>
          <t>SCN-032</t>
        </is>
      </c>
      <c r="B33" s="6" t="inlineStr">
        <is>
          <t>MT103STP</t>
        </is>
      </c>
      <c r="C33" s="6" t="inlineStr">
        <is>
          <t>BASE</t>
        </is>
      </c>
      <c r="D33" s="6" t="inlineStr">
        <is>
          <t>Mandatory route SSI not found</t>
        </is>
      </c>
      <c r="E33" s="6" t="inlineStr">
        <is>
          <t>PROPOSED_IN_SCOPE</t>
        </is>
      </c>
      <c r="F33" s="6" t="inlineStr">
        <is>
          <t>SSI_FIELD_RESOLUTION_API</t>
        </is>
      </c>
      <c r="G33" s="6" t="inlineStr">
        <is>
          <t>us1m_20260717.pdf SHA 54002BDF...E90E70 pp.297–307, field specifications</t>
        </is>
      </c>
    </row>
    <row r="34" ht="42" customHeight="1">
      <c r="A34" s="6" t="inlineStr">
        <is>
          <t>SCN-033</t>
        </is>
      </c>
      <c r="B34" s="6" t="inlineStr">
        <is>
          <t>MT103STP</t>
        </is>
      </c>
      <c r="C34" s="6" t="inlineStr">
        <is>
          <t>BASE</t>
        </is>
      </c>
      <c r="D34" s="6" t="inlineStr">
        <is>
          <t>Ambiguous route SSI</t>
        </is>
      </c>
      <c r="E34" s="6" t="inlineStr">
        <is>
          <t>PROPOSED_IN_SCOPE</t>
        </is>
      </c>
      <c r="F34" s="6" t="inlineStr">
        <is>
          <t>SSI_FIELD_RESOLUTION_API</t>
        </is>
      </c>
      <c r="G34" s="6" t="inlineStr">
        <is>
          <t>us1m_20260717.pdf SHA 54002BDF...E90E70 pp.297–307, field specifications</t>
        </is>
      </c>
    </row>
    <row r="35" ht="42" customHeight="1">
      <c r="A35" s="6" t="inlineStr">
        <is>
          <t>SCN-034</t>
        </is>
      </c>
      <c r="B35" s="6" t="inlineStr">
        <is>
          <t>MT103STP</t>
        </is>
      </c>
      <c r="C35" s="6" t="inlineStr">
        <is>
          <t>BASE</t>
        </is>
      </c>
      <c r="D35" s="6" t="inlineStr">
        <is>
          <t>Selected accountReference missing</t>
        </is>
      </c>
      <c r="E35" s="6" t="inlineStr">
        <is>
          <t>PRODUCT_POLICY</t>
        </is>
      </c>
      <c r="F35" s="6" t="inlineStr">
        <is>
          <t>SSI_FIELD_RESOLUTION_API</t>
        </is>
      </c>
      <c r="G35" s="6" t="inlineStr">
        <is>
          <t>us1m_20260717.pdf SHA 54002BDF...E90E70 pp.297–307, field specifications</t>
        </is>
      </c>
    </row>
    <row r="36" ht="42" customHeight="1">
      <c r="A36" s="6" t="inlineStr">
        <is>
          <t>SCN-035</t>
        </is>
      </c>
      <c r="B36" s="6" t="inlineStr">
        <is>
          <t>MT103STP</t>
        </is>
      </c>
      <c r="C36" s="6" t="inlineStr">
        <is>
          <t>BASE</t>
        </is>
      </c>
      <c r="D36" s="6" t="inlineStr">
        <is>
          <t>Invalid option for profile</t>
        </is>
      </c>
      <c r="E36" s="6" t="inlineStr">
        <is>
          <t>CONFIRMED_PROFILE_RULE</t>
        </is>
      </c>
      <c r="F36" s="6" t="inlineStr">
        <is>
          <t>SSI_FIELD_RESOLUTION_API</t>
        </is>
      </c>
      <c r="G36" s="6" t="inlineStr">
        <is>
          <t>us1m_20260717.pdf SHA 54002BDF...E90E70 pp.297–307, field specifications</t>
        </is>
      </c>
    </row>
    <row r="37" ht="42" customHeight="1">
      <c r="A37" s="6" t="inlineStr">
        <is>
          <t>SCN-036</t>
        </is>
      </c>
      <c r="B37" s="6" t="inlineStr">
        <is>
          <t>MT103STP</t>
        </is>
      </c>
      <c r="C37" s="6" t="inlineStr">
        <is>
          <t>BASE</t>
        </is>
      </c>
      <c r="D37" s="6" t="inlineStr">
        <is>
          <t>Profile selected by BizSvc</t>
        </is>
      </c>
      <c r="E37" s="6" t="inlineStr">
        <is>
          <t>CONFIRMED_UG</t>
        </is>
      </c>
      <c r="F37" s="6" t="inlineStr">
        <is>
          <t>CONVERTER_PROFILE_MAPPER</t>
        </is>
      </c>
      <c r="G37" s="6" t="inlineStr">
        <is>
          <t>pacs.008 plain/STP UGs p.10</t>
        </is>
      </c>
    </row>
    <row r="38" ht="42" customHeight="1">
      <c r="A38" s="6" t="inlineStr">
        <is>
          <t>SCN-037</t>
        </is>
      </c>
      <c r="B38" s="6" t="inlineStr">
        <is>
          <t>MT101</t>
        </is>
      </c>
      <c r="C38" s="6" t="inlineStr">
        <is>
          <t>A/B</t>
        </is>
      </c>
      <c r="D38" s="6" t="inlineStr">
        <is>
          <t>Reference-only request accepted without SSI mutation</t>
        </is>
      </c>
      <c r="E38" s="7" t="inlineStr">
        <is>
          <t>PENDING_BA</t>
        </is>
      </c>
      <c r="F38" s="6" t="inlineStr">
        <is>
          <t>UPSTREAM_PAYMENT_ENGINE</t>
        </is>
      </c>
      <c r="G38" s="6" t="inlineStr">
        <is>
          <t>us1m_20260717.pdf SHA 54002BDF...E90E70 pp.14–18, 26–28, 39–45, 51–64</t>
        </is>
      </c>
    </row>
    <row r="39" ht="42" customHeight="1">
      <c r="A39" s="6" t="inlineStr">
        <is>
          <t>SCN-038</t>
        </is>
      </c>
      <c r="B39" s="6" t="inlineStr">
        <is>
          <t>MT101</t>
        </is>
      </c>
      <c r="C39" s="6" t="inlineStr">
        <is>
          <t>A/B</t>
        </is>
      </c>
      <c r="D39" s="6" t="inlineStr">
        <is>
          <t>C6 52a sequence exclusivity</t>
        </is>
      </c>
      <c r="E39" s="6" t="inlineStr">
        <is>
          <t>CONFIRMED_NVR</t>
        </is>
      </c>
      <c r="F39" s="6" t="inlineStr">
        <is>
          <t>UPSTREAM_FIN_VALIDATOR</t>
        </is>
      </c>
      <c r="G39" s="6" t="inlineStr">
        <is>
          <t>us1m_20260717.pdf SHA 54002BDF...E90E70 pp.14–18, 26–28, 39–45, 51–64</t>
        </is>
      </c>
    </row>
    <row r="40" ht="42" customHeight="1">
      <c r="A40" s="6" t="inlineStr">
        <is>
          <t>SCN-039</t>
        </is>
      </c>
      <c r="B40" s="6" t="inlineStr">
        <is>
          <t>MT101</t>
        </is>
      </c>
      <c r="C40" s="6" t="inlineStr">
        <is>
          <t>B</t>
        </is>
      </c>
      <c r="D40" s="6" t="inlineStr">
        <is>
          <t>C7 56a implies 57a</t>
        </is>
      </c>
      <c r="E40" s="6" t="inlineStr">
        <is>
          <t>CONFIRMED_NVR</t>
        </is>
      </c>
      <c r="F40" s="6" t="inlineStr">
        <is>
          <t>UPSTREAM_FIN_VALIDATOR</t>
        </is>
      </c>
      <c r="G40" s="6" t="inlineStr">
        <is>
          <t>us1m_20260717.pdf SHA 54002BDF...E90E70 pp.14–18, 26–28, 39–45, 51–64</t>
        </is>
      </c>
    </row>
    <row r="41" ht="42" customHeight="1">
      <c r="A41" s="6" t="inlineStr">
        <is>
          <t>SCN-040</t>
        </is>
      </c>
      <c r="B41" s="6" t="inlineStr">
        <is>
          <t>MT101</t>
        </is>
      </c>
      <c r="C41" s="6" t="inlineStr">
        <is>
          <t>B</t>
        </is>
      </c>
      <c r="D41" s="6" t="inlineStr">
        <is>
          <t>56a+57a execution mapping</t>
        </is>
      </c>
      <c r="E41" s="7" t="inlineStr">
        <is>
          <t>PENDING_BA</t>
        </is>
      </c>
      <c r="F41" s="6" t="inlineStr">
        <is>
          <t>UPSTREAM_PAYMENT_ENGINE</t>
        </is>
      </c>
      <c r="G41" s="6" t="inlineStr">
        <is>
          <t>us1m_20260717.pdf SHA 54002BDF...E90E70 pp.14–18, 26–28, 39–45, 51–64</t>
        </is>
      </c>
    </row>
    <row r="42" ht="42" customHeight="1">
      <c r="A42" s="6" t="inlineStr">
        <is>
          <t>SCN-041</t>
        </is>
      </c>
      <c r="B42" s="6" t="inlineStr">
        <is>
          <t>MT101</t>
        </is>
      </c>
      <c r="C42" s="6" t="inlineStr">
        <is>
          <t>B</t>
        </is>
      </c>
      <c r="D42" s="6" t="inlineStr">
        <is>
          <t>57a-only execution mapping</t>
        </is>
      </c>
      <c r="E42" s="7" t="inlineStr">
        <is>
          <t>PENDING_BA</t>
        </is>
      </c>
      <c r="F42" s="6" t="inlineStr">
        <is>
          <t>UPSTREAM_PAYMENT_ENGINE</t>
        </is>
      </c>
      <c r="G42" s="6" t="inlineStr">
        <is>
          <t>us1m_20260717.pdf SHA 54002BDF...E90E70 pp.14–18, 26–28, 39–45, 51–64</t>
        </is>
      </c>
    </row>
    <row r="43" ht="42" customHeight="1">
      <c r="A43" s="6" t="inlineStr">
        <is>
          <t>SCN-042</t>
        </is>
      </c>
      <c r="B43" s="6" t="inlineStr">
        <is>
          <t>MT101</t>
        </is>
      </c>
      <c r="C43" s="6" t="inlineStr">
        <is>
          <t>B</t>
        </is>
      </c>
      <c r="D43" s="6" t="inlineStr">
        <is>
          <t>57a absence semantics</t>
        </is>
      </c>
      <c r="E43" s="6" t="inlineStr">
        <is>
          <t>CONFIRMED_MRG</t>
        </is>
      </c>
      <c r="F43" s="6" t="inlineStr">
        <is>
          <t>UPSTREAM_PAYMENT_ENGINE</t>
        </is>
      </c>
      <c r="G43" s="6" t="inlineStr">
        <is>
          <t>us1m_20260717.pdf SHA 54002BDF...E90E70 pp.14–18, 26–28, 39–45, 51–64</t>
        </is>
      </c>
    </row>
    <row r="44" ht="42" customHeight="1">
      <c r="A44" s="6" t="inlineStr">
        <is>
          <t>SCN-043</t>
        </is>
      </c>
      <c r="B44" s="6" t="inlineStr">
        <is>
          <t>MT101</t>
        </is>
      </c>
      <c r="C44" s="6" t="inlineStr">
        <is>
          <t>A/B</t>
        </is>
      </c>
      <c r="D44" s="6" t="inlineStr">
        <is>
          <t>Account-servicer option constraint</t>
        </is>
      </c>
      <c r="E44" s="6" t="inlineStr">
        <is>
          <t>CONFIRMED_MRG</t>
        </is>
      </c>
      <c r="F44" s="6" t="inlineStr">
        <is>
          <t>UPSTREAM_FIN_VALIDATOR</t>
        </is>
      </c>
      <c r="G44" s="6" t="inlineStr">
        <is>
          <t>us1m_20260717.pdf SHA 54002BDF...E90E70 pp.14–18, 26–28, 39–45, 51–64</t>
        </is>
      </c>
    </row>
    <row r="45" ht="42" customHeight="1">
      <c r="A45" s="6" t="inlineStr">
        <is>
          <t>SCN-044</t>
        </is>
      </c>
      <c r="B45" s="6" t="inlineStr">
        <is>
          <t>MT101</t>
        </is>
      </c>
      <c r="C45" s="6" t="inlineStr">
        <is>
          <t>B</t>
        </is>
      </c>
      <c r="D45" s="6" t="inlineStr">
        <is>
          <t>Clearing code appears once in first 56a/57a</t>
        </is>
      </c>
      <c r="E45" s="6" t="inlineStr">
        <is>
          <t>CONFIRMED_MRG</t>
        </is>
      </c>
      <c r="F45" s="6" t="inlineStr">
        <is>
          <t>UPSTREAM_FIN_VALIDATOR</t>
        </is>
      </c>
      <c r="G45" s="6" t="inlineStr">
        <is>
          <t>us1m_20260717.pdf SHA 54002BDF...E90E70 pp.14–18, 26–28, 39–45, 51–64</t>
        </is>
      </c>
    </row>
    <row r="46" ht="42" customHeight="1">
      <c r="A46" s="6" t="inlineStr">
        <is>
          <t>SCN-045</t>
        </is>
      </c>
      <c r="B46" s="6" t="inlineStr">
        <is>
          <t>MT102</t>
        </is>
      </c>
      <c r="C46" s="6" t="inlineStr">
        <is>
          <t>A/B/C</t>
        </is>
      </c>
      <c r="D46" s="6" t="inlineStr">
        <is>
          <t>Scope decision guard</t>
        </is>
      </c>
      <c r="E46" s="7" t="inlineStr">
        <is>
          <t>PENDING_BA</t>
        </is>
      </c>
      <c r="F46" s="6" t="inlineStr">
        <is>
          <t>BA_RULING</t>
        </is>
      </c>
      <c r="G46" s="6" t="inlineStr">
        <is>
          <t>us1m_20260717.pdf SHA 54002BDF...E90E70 pp.71–77, 89–113</t>
        </is>
      </c>
    </row>
    <row r="47" ht="42" customHeight="1">
      <c r="A47" s="6" t="inlineStr">
        <is>
          <t>SCN-046</t>
        </is>
      </c>
      <c r="B47" s="6" t="inlineStr">
        <is>
          <t>MT102</t>
        </is>
      </c>
      <c r="C47" s="6" t="inlineStr">
        <is>
          <t>C</t>
        </is>
      </c>
      <c r="D47" s="6" t="inlineStr">
        <is>
          <t>Unique bilateral settlement account</t>
        </is>
      </c>
      <c r="E47" s="7" t="inlineStr">
        <is>
          <t>PENDING_BA</t>
        </is>
      </c>
      <c r="F47" s="6" t="inlineStr">
        <is>
          <t>SSI_FIELD_RESOLUTION_API</t>
        </is>
      </c>
      <c r="G47" s="6" t="inlineStr">
        <is>
          <t>us1m_20260717.pdf SHA 54002BDF...E90E70 pp.71–77, 89–113</t>
        </is>
      </c>
    </row>
    <row r="48" ht="42" customHeight="1">
      <c r="A48" s="6" t="inlineStr">
        <is>
          <t>SCN-047</t>
        </is>
      </c>
      <c r="B48" s="6" t="inlineStr">
        <is>
          <t>MT102</t>
        </is>
      </c>
      <c r="C48" s="6" t="inlineStr">
        <is>
          <t>C</t>
        </is>
      </c>
      <c r="D48" s="6" t="inlineStr">
        <is>
          <t>Multiple direct accounts</t>
        </is>
      </c>
      <c r="E48" s="7" t="inlineStr">
        <is>
          <t>PENDING_BA</t>
        </is>
      </c>
      <c r="F48" s="6" t="inlineStr">
        <is>
          <t>SSI_FIELD_RESOLUTION_API</t>
        </is>
      </c>
      <c r="G48" s="6" t="inlineStr">
        <is>
          <t>us1m_20260717.pdf SHA 54002BDF...E90E70 pp.71–77, 89–113</t>
        </is>
      </c>
    </row>
    <row r="49" ht="42" customHeight="1">
      <c r="A49" s="6" t="inlineStr">
        <is>
          <t>SCN-048</t>
        </is>
      </c>
      <c r="B49" s="6" t="inlineStr">
        <is>
          <t>MT102</t>
        </is>
      </c>
      <c r="C49" s="6" t="inlineStr">
        <is>
          <t>B</t>
        </is>
      </c>
      <c r="D49" s="6" t="inlineStr">
        <is>
          <t>57a absence semantics</t>
        </is>
      </c>
      <c r="E49" s="7" t="inlineStr">
        <is>
          <t>PENDING_BA</t>
        </is>
      </c>
      <c r="F49" s="6" t="inlineStr">
        <is>
          <t>SSI_FIELD_RESOLUTION_API</t>
        </is>
      </c>
      <c r="G49" s="6" t="inlineStr">
        <is>
          <t>us1m_20260717.pdf SHA 54002BDF...E90E70 pp.71–77, 89–113</t>
        </is>
      </c>
    </row>
    <row r="50" ht="42" customHeight="1">
      <c r="A50" s="6" t="inlineStr">
        <is>
          <t>SCN-049</t>
        </is>
      </c>
      <c r="B50" s="6" t="inlineStr">
        <is>
          <t>MT102</t>
        </is>
      </c>
      <c r="C50" s="6" t="inlineStr">
        <is>
          <t>A/B</t>
        </is>
      </c>
      <c r="D50" s="6" t="inlineStr">
        <is>
          <t>52a sequence exclusivity</t>
        </is>
      </c>
      <c r="E50" s="6" t="inlineStr">
        <is>
          <t>CONFIRMED_NVR</t>
        </is>
      </c>
      <c r="F50" s="6" t="inlineStr">
        <is>
          <t>UPSTREAM_FIN_VALIDATOR</t>
        </is>
      </c>
      <c r="G50" s="6" t="inlineStr">
        <is>
          <t>us1m_20260717.pdf SHA 54002BDF...E90E70 pp.71–77, 89–113</t>
        </is>
      </c>
    </row>
    <row r="51" ht="42" customHeight="1">
      <c r="A51" s="6" t="inlineStr">
        <is>
          <t>SCN-050</t>
        </is>
      </c>
      <c r="B51" s="6" t="inlineStr">
        <is>
          <t>MT102</t>
        </is>
      </c>
      <c r="C51" s="6" t="inlineStr">
        <is>
          <t>B</t>
        </is>
      </c>
      <c r="D51" s="6" t="inlineStr">
        <is>
          <t>Missing mandatory per-transaction route</t>
        </is>
      </c>
      <c r="E51" s="7" t="inlineStr">
        <is>
          <t>PENDING_BA</t>
        </is>
      </c>
      <c r="F51" s="6" t="inlineStr">
        <is>
          <t>SSI_FIELD_RESOLUTION_API</t>
        </is>
      </c>
      <c r="G51" s="6" t="inlineStr">
        <is>
          <t>us1m_20260717.pdf SHA 54002BDF...E90E70 pp.71–77, 89–113</t>
        </is>
      </c>
    </row>
    <row r="52" ht="42" customHeight="1">
      <c r="A52" s="6" t="inlineStr">
        <is>
          <t>SCN-051</t>
        </is>
      </c>
      <c r="B52" s="6" t="inlineStr">
        <is>
          <t>MT102</t>
        </is>
      </c>
      <c r="C52" s="6" t="inlineStr">
        <is>
          <t>C</t>
        </is>
      </c>
      <c r="D52" s="6" t="inlineStr">
        <is>
          <t>Ambiguous reimbursement account</t>
        </is>
      </c>
      <c r="E52" s="7" t="inlineStr">
        <is>
          <t>PENDING_BA</t>
        </is>
      </c>
      <c r="F52" s="6" t="inlineStr">
        <is>
          <t>SSI_FIELD_RESOLUTION_API</t>
        </is>
      </c>
      <c r="G52" s="6" t="inlineStr">
        <is>
          <t>us1m_20260717.pdf SHA 54002BDF...E90E70 pp.71–77, 89–113</t>
        </is>
      </c>
    </row>
    <row r="53" ht="42" customHeight="1">
      <c r="A53" s="6" t="inlineStr">
        <is>
          <t>SCN-052</t>
        </is>
      </c>
      <c r="B53" s="6" t="inlineStr">
        <is>
          <t>MT102</t>
        </is>
      </c>
      <c r="C53" s="6" t="inlineStr">
        <is>
          <t>PROFILE</t>
        </is>
      </c>
      <c r="D53" s="6" t="inlineStr">
        <is>
          <t>Base/STP option leakage</t>
        </is>
      </c>
      <c r="E53" s="6" t="inlineStr">
        <is>
          <t>CONFIRMED_PROFILE_RULE</t>
        </is>
      </c>
      <c r="F53" s="6" t="inlineStr">
        <is>
          <t>CONVERTER_PROFILE_MAPPER</t>
        </is>
      </c>
      <c r="G53" s="6" t="inlineStr">
        <is>
          <t>us1m_20260717.pdf SHA 54002BDF...E90E70 pp.71–77, 89–113</t>
        </is>
      </c>
    </row>
    <row r="54" ht="42" customHeight="1">
      <c r="A54" s="6" t="inlineStr">
        <is>
          <t>SCN-053</t>
        </is>
      </c>
      <c r="B54" s="6" t="inlineStr">
        <is>
          <t>MT102STP</t>
        </is>
      </c>
      <c r="C54" s="6" t="inlineStr">
        <is>
          <t>A/B/C</t>
        </is>
      </c>
      <c r="D54" s="6" t="inlineStr">
        <is>
          <t>Scope decision guard</t>
        </is>
      </c>
      <c r="E54" s="7" t="inlineStr">
        <is>
          <t>PENDING_BA</t>
        </is>
      </c>
      <c r="F54" s="6" t="inlineStr">
        <is>
          <t>BA_RULING</t>
        </is>
      </c>
      <c r="G54" s="6" t="inlineStr">
        <is>
          <t>us1m_20260717.pdf SHA 54002BDF...E90E70 pp.124–132, field specifications through p.160</t>
        </is>
      </c>
    </row>
    <row r="55" ht="42" customHeight="1">
      <c r="A55" s="6" t="inlineStr">
        <is>
          <t>SCN-054</t>
        </is>
      </c>
      <c r="B55" s="6" t="inlineStr">
        <is>
          <t>MT102STP</t>
        </is>
      </c>
      <c r="C55" s="6" t="inlineStr">
        <is>
          <t>C</t>
        </is>
      </c>
      <c r="D55" s="6" t="inlineStr">
        <is>
          <t>Unique bilateral settlement account</t>
        </is>
      </c>
      <c r="E55" s="7" t="inlineStr">
        <is>
          <t>PENDING_BA</t>
        </is>
      </c>
      <c r="F55" s="6" t="inlineStr">
        <is>
          <t>SSI_FIELD_RESOLUTION_API</t>
        </is>
      </c>
      <c r="G55" s="6" t="inlineStr">
        <is>
          <t>us1m_20260717.pdf SHA 54002BDF...E90E70 pp.124–132, field specifications through p.160</t>
        </is>
      </c>
    </row>
    <row r="56" ht="42" customHeight="1">
      <c r="A56" s="6" t="inlineStr">
        <is>
          <t>SCN-055</t>
        </is>
      </c>
      <c r="B56" s="6" t="inlineStr">
        <is>
          <t>MT102STP</t>
        </is>
      </c>
      <c r="C56" s="6" t="inlineStr">
        <is>
          <t>C</t>
        </is>
      </c>
      <c r="D56" s="6" t="inlineStr">
        <is>
          <t>Multiple direct accounts</t>
        </is>
      </c>
      <c r="E56" s="7" t="inlineStr">
        <is>
          <t>PENDING_BA</t>
        </is>
      </c>
      <c r="F56" s="6" t="inlineStr">
        <is>
          <t>SSI_FIELD_RESOLUTION_API</t>
        </is>
      </c>
      <c r="G56" s="6" t="inlineStr">
        <is>
          <t>us1m_20260717.pdf SHA 54002BDF...E90E70 pp.124–132, field specifications through p.160</t>
        </is>
      </c>
    </row>
    <row r="57" ht="42" customHeight="1">
      <c r="A57" s="6" t="inlineStr">
        <is>
          <t>SCN-056</t>
        </is>
      </c>
      <c r="B57" s="6" t="inlineStr">
        <is>
          <t>MT102STP</t>
        </is>
      </c>
      <c r="C57" s="6" t="inlineStr">
        <is>
          <t>B</t>
        </is>
      </c>
      <c r="D57" s="6" t="inlineStr">
        <is>
          <t>57a absence semantics</t>
        </is>
      </c>
      <c r="E57" s="7" t="inlineStr">
        <is>
          <t>PENDING_BA</t>
        </is>
      </c>
      <c r="F57" s="6" t="inlineStr">
        <is>
          <t>SSI_FIELD_RESOLUTION_API</t>
        </is>
      </c>
      <c r="G57" s="6" t="inlineStr">
        <is>
          <t>us1m_20260717.pdf SHA 54002BDF...E90E70 pp.124–132, field specifications through p.160</t>
        </is>
      </c>
    </row>
    <row r="58" ht="42" customHeight="1">
      <c r="A58" s="6" t="inlineStr">
        <is>
          <t>SCN-057</t>
        </is>
      </c>
      <c r="B58" s="6" t="inlineStr">
        <is>
          <t>MT102STP</t>
        </is>
      </c>
      <c r="C58" s="6" t="inlineStr">
        <is>
          <t>A/B</t>
        </is>
      </c>
      <c r="D58" s="6" t="inlineStr">
        <is>
          <t>52a sequence exclusivity</t>
        </is>
      </c>
      <c r="E58" s="6" t="inlineStr">
        <is>
          <t>CONFIRMED_NVR</t>
        </is>
      </c>
      <c r="F58" s="6" t="inlineStr">
        <is>
          <t>UPSTREAM_FIN_VALIDATOR</t>
        </is>
      </c>
      <c r="G58" s="6" t="inlineStr">
        <is>
          <t>us1m_20260717.pdf SHA 54002BDF...E90E70 pp.124–132, field specifications through p.160</t>
        </is>
      </c>
    </row>
    <row r="59" ht="42" customHeight="1">
      <c r="A59" s="6" t="inlineStr">
        <is>
          <t>SCN-058</t>
        </is>
      </c>
      <c r="B59" s="6" t="inlineStr">
        <is>
          <t>MT102STP</t>
        </is>
      </c>
      <c r="C59" s="6" t="inlineStr">
        <is>
          <t>B</t>
        </is>
      </c>
      <c r="D59" s="6" t="inlineStr">
        <is>
          <t>Missing mandatory per-transaction route</t>
        </is>
      </c>
      <c r="E59" s="7" t="inlineStr">
        <is>
          <t>PENDING_BA</t>
        </is>
      </c>
      <c r="F59" s="6" t="inlineStr">
        <is>
          <t>SSI_FIELD_RESOLUTION_API</t>
        </is>
      </c>
      <c r="G59" s="6" t="inlineStr">
        <is>
          <t>us1m_20260717.pdf SHA 54002BDF...E90E70 pp.124–132, field specifications through p.160</t>
        </is>
      </c>
    </row>
    <row r="60" ht="42" customHeight="1">
      <c r="A60" s="6" t="inlineStr">
        <is>
          <t>SCN-059</t>
        </is>
      </c>
      <c r="B60" s="6" t="inlineStr">
        <is>
          <t>MT102STP</t>
        </is>
      </c>
      <c r="C60" s="6" t="inlineStr">
        <is>
          <t>C</t>
        </is>
      </c>
      <c r="D60" s="6" t="inlineStr">
        <is>
          <t>Ambiguous reimbursement account</t>
        </is>
      </c>
      <c r="E60" s="7" t="inlineStr">
        <is>
          <t>PENDING_BA</t>
        </is>
      </c>
      <c r="F60" s="6" t="inlineStr">
        <is>
          <t>SSI_FIELD_RESOLUTION_API</t>
        </is>
      </c>
      <c r="G60" s="6" t="inlineStr">
        <is>
          <t>us1m_20260717.pdf SHA 54002BDF...E90E70 pp.124–132, field specifications through p.160</t>
        </is>
      </c>
    </row>
    <row r="61" ht="42" customHeight="1">
      <c r="A61" s="6" t="inlineStr">
        <is>
          <t>SCN-060</t>
        </is>
      </c>
      <c r="B61" s="6" t="inlineStr">
        <is>
          <t>MT102STP</t>
        </is>
      </c>
      <c r="C61" s="6" t="inlineStr">
        <is>
          <t>PROFILE</t>
        </is>
      </c>
      <c r="D61" s="6" t="inlineStr">
        <is>
          <t>Base/STP option leakage</t>
        </is>
      </c>
      <c r="E61" s="6" t="inlineStr">
        <is>
          <t>CONFIRMED_PROFILE_RULE</t>
        </is>
      </c>
      <c r="F61" s="6" t="inlineStr">
        <is>
          <t>CONVERTER_PROFILE_MAPPER</t>
        </is>
      </c>
      <c r="G61" s="6" t="inlineStr">
        <is>
          <t>us1m_20260717.pdf SHA 54002BDF...E90E70 pp.124–132, field specifications through p.160</t>
        </is>
      </c>
    </row>
    <row r="62" ht="42" customHeight="1">
      <c r="A62" s="6" t="inlineStr">
        <is>
          <t>SCN-061</t>
        </is>
      </c>
      <c r="B62" s="6" t="inlineStr">
        <is>
          <t>pacs.008 plain</t>
        </is>
      </c>
      <c r="C62" s="6" t="inlineStr">
        <is>
          <t>BAH/GrpHdr</t>
        </is>
      </c>
      <c r="D62" s="6" t="inlineStr">
        <is>
          <t>Plain profile selection</t>
        </is>
      </c>
      <c r="E62" s="6" t="inlineStr">
        <is>
          <t>CONFIRMED_UG</t>
        </is>
      </c>
      <c r="F62" s="6" t="inlineStr">
        <is>
          <t>CONVERTER_PROFILE_MAPPER</t>
        </is>
      </c>
      <c r="G62" s="6" t="inlineStr">
        <is>
          <t>pacs.008 plain SHA F563E347...566B3; STP SHA D9807C95...23F6 p.10</t>
        </is>
      </c>
    </row>
    <row r="63" ht="42" customHeight="1">
      <c r="A63" s="6" t="inlineStr">
        <is>
          <t>SCN-062</t>
        </is>
      </c>
      <c r="B63" s="6" t="inlineStr">
        <is>
          <t>pacs.008 STP</t>
        </is>
      </c>
      <c r="C63" s="6" t="inlineStr">
        <is>
          <t>BAH/GrpHdr</t>
        </is>
      </c>
      <c r="D63" s="6" t="inlineStr">
        <is>
          <t>STP profile selection</t>
        </is>
      </c>
      <c r="E63" s="6" t="inlineStr">
        <is>
          <t>CONFIRMED_UG</t>
        </is>
      </c>
      <c r="F63" s="6" t="inlineStr">
        <is>
          <t>CONVERTER_PROFILE_MAPPER</t>
        </is>
      </c>
      <c r="G63" s="6" t="inlineStr">
        <is>
          <t>pacs.008 plain SHA F563E347...566B3; STP SHA D9807C95...23F6 p.10</t>
        </is>
      </c>
    </row>
    <row r="64" ht="42" customHeight="1">
      <c r="A64" s="6" t="inlineStr">
        <is>
          <t>SCN-063</t>
        </is>
      </c>
      <c r="B64" s="6" t="inlineStr">
        <is>
          <t>pacs.008</t>
        </is>
      </c>
      <c r="C64" s="6" t="inlineStr">
        <is>
          <t>BAH</t>
        </is>
      </c>
      <c r="D64" s="6" t="inlineStr">
        <is>
          <t>MsgDefIdr alone is ambiguous</t>
        </is>
      </c>
      <c r="E64" s="6" t="inlineStr">
        <is>
          <t>CONFIRMED_UG</t>
        </is>
      </c>
      <c r="F64" s="6" t="inlineStr">
        <is>
          <t>CONVERTER_PROFILE_MAPPER</t>
        </is>
      </c>
      <c r="G64" s="6" t="inlineStr">
        <is>
          <t>pacs.008 plain SHA F563E347...566B3; STP SHA D9807C95...23F6 p.10</t>
        </is>
      </c>
    </row>
    <row r="65" ht="42" customHeight="1">
      <c r="A65" s="6" t="inlineStr">
        <is>
          <t>SCN-064</t>
        </is>
      </c>
      <c r="B65" s="6" t="inlineStr">
        <is>
          <t>pacs.008</t>
        </is>
      </c>
      <c r="C65" s="6" t="inlineStr">
        <is>
          <t>GrpHdr.SttlmInf</t>
        </is>
      </c>
      <c r="D65" s="6" t="inlineStr">
        <is>
          <t>53B settlement account mapping</t>
        </is>
      </c>
      <c r="E65" s="6" t="inlineStr">
        <is>
          <t>CONFIRMED_UG</t>
        </is>
      </c>
      <c r="F65" s="6" t="inlineStr">
        <is>
          <t>CONVERTER_PROFILE_MAPPER</t>
        </is>
      </c>
      <c r="G65" s="6" t="inlineStr">
        <is>
          <t>pacs.008 plain SHA F563E347...566B3; STP SHA D9807C95...23F6 p.13</t>
        </is>
      </c>
    </row>
    <row r="66" ht="42" customHeight="1">
      <c r="A66" s="6" t="inlineStr">
        <is>
          <t>SCN-065</t>
        </is>
      </c>
      <c r="B66" s="6" t="inlineStr">
        <is>
          <t>pacs.008</t>
        </is>
      </c>
      <c r="C66" s="6" t="inlineStr">
        <is>
          <t>GrpHdr.SttlmInf</t>
        </is>
      </c>
      <c r="D66" s="6" t="inlineStr">
        <is>
          <t>Reimbursement role mapping</t>
        </is>
      </c>
      <c r="E66" s="6" t="inlineStr">
        <is>
          <t>CONFIRMED_UG</t>
        </is>
      </c>
      <c r="F66" s="6" t="inlineStr">
        <is>
          <t>CONVERTER_PROFILE_MAPPER</t>
        </is>
      </c>
      <c r="G66" s="6" t="inlineStr">
        <is>
          <t>pacs.008 plain SHA F563E347...566B3; STP SHA D9807C95...23F6 plain pp.14–23;STP pp.14–19</t>
        </is>
      </c>
    </row>
    <row r="67" ht="42" customHeight="1">
      <c r="A67" s="6" t="inlineStr">
        <is>
          <t>SCN-066</t>
        </is>
      </c>
      <c r="B67" s="6" t="inlineStr">
        <is>
          <t>pacs.008</t>
        </is>
      </c>
      <c r="C67" s="6" t="inlineStr">
        <is>
          <t>CdtTrfTxInf</t>
        </is>
      </c>
      <c r="D67" s="6" t="inlineStr">
        <is>
          <t>Ordered agent-chain mapping</t>
        </is>
      </c>
      <c r="E67" s="6" t="inlineStr">
        <is>
          <t>CONFIRMED_UG</t>
        </is>
      </c>
      <c r="F67" s="6" t="inlineStr">
        <is>
          <t>CONVERTER_PROFILE_MAPPER</t>
        </is>
      </c>
      <c r="G67" s="6" t="inlineStr">
        <is>
          <t>pacs.008 plain SHA F563E347...566B3; STP SHA D9807C95...23F6 plain pp.28–59;STP pp.22–43</t>
        </is>
      </c>
    </row>
    <row r="68" ht="42" customHeight="1">
      <c r="A68" s="6" t="inlineStr">
        <is>
          <t>SCN-067</t>
        </is>
      </c>
      <c r="B68" s="6" t="inlineStr">
        <is>
          <t>pacs.008</t>
        </is>
      </c>
      <c r="C68" s="6" t="inlineStr">
        <is>
          <t>BAH/CdtTrfTxInf</t>
        </is>
      </c>
      <c r="D68" s="6" t="inlineStr">
        <is>
          <t>BAH From/To consistency</t>
        </is>
      </c>
      <c r="E68" s="6" t="inlineStr">
        <is>
          <t>CONFIRMED_UG</t>
        </is>
      </c>
      <c r="F68" s="6" t="inlineStr">
        <is>
          <t>UPSTREAM_MX_VALIDATOR</t>
        </is>
      </c>
      <c r="G68" s="6" t="inlineStr">
        <is>
          <t>pacs.008 plain SHA F563E347...566B3; STP SHA D9807C95...23F6 plain pp.90–91;STP pp.52–53</t>
        </is>
      </c>
    </row>
    <row r="69" ht="42" customHeight="1">
      <c r="A69" s="6" t="inlineStr">
        <is>
          <t>SCN-068</t>
        </is>
      </c>
      <c r="B69" s="6" t="inlineStr">
        <is>
          <t>pacs.008</t>
        </is>
      </c>
      <c r="C69" s="6" t="inlineStr">
        <is>
          <t>Profile</t>
        </is>
      </c>
      <c r="D69" s="6" t="inlineStr">
        <is>
          <t>Unsupported repository .001.12 claim</t>
        </is>
      </c>
      <c r="E69" s="7" t="inlineStr">
        <is>
          <t>OPEN</t>
        </is>
      </c>
      <c r="F69" s="6" t="inlineStr">
        <is>
          <t>BA_RULING</t>
        </is>
      </c>
      <c r="G69" s="6" t="inlineStr">
        <is>
          <t>pacs.008 plain SHA F563E347...566B3; STP SHA D9807C95...23F6 p.10; repository observation</t>
        </is>
      </c>
    </row>
    <row r="70" ht="42" customHeight="1">
      <c r="A70" s="6" t="inlineStr">
        <is>
          <t>SCN-069</t>
        </is>
      </c>
      <c r="B70" s="6" t="inlineStr">
        <is>
          <t>pacs.008</t>
        </is>
      </c>
      <c r="C70" s="6" t="inlineStr">
        <is>
          <t>CdtTrfTxInf</t>
        </is>
      </c>
      <c r="D70" s="6" t="inlineStr">
        <is>
          <t>Customer data is not standing SSI</t>
        </is>
      </c>
      <c r="E70" s="6" t="inlineStr">
        <is>
          <t>QA_INVARIANT</t>
        </is>
      </c>
      <c r="F70" s="6" t="inlineStr">
        <is>
          <t>CONVERTER_PROFILE_MAPPER</t>
        </is>
      </c>
      <c r="G70" s="6" t="inlineStr">
        <is>
          <t>pacs.008 plain SHA F563E347...566B3; STP SHA D9807C95...23F6</t>
        </is>
      </c>
    </row>
    <row r="71" ht="42" customHeight="1">
      <c r="A71" s="6" t="inlineStr">
        <is>
          <t>SCN-070</t>
        </is>
      </c>
      <c r="B71" s="6" t="inlineStr">
        <is>
          <t>pacs.008</t>
        </is>
      </c>
      <c r="C71" s="6" t="inlineStr">
        <is>
          <t>Profile</t>
        </is>
      </c>
      <c r="D71" s="6" t="inlineStr">
        <is>
          <t>Unknown future profile remains data-driven</t>
        </is>
      </c>
      <c r="E71" s="6" t="inlineStr">
        <is>
          <t>PRODUCT_POLICY</t>
        </is>
      </c>
      <c r="F71" s="6" t="inlineStr">
        <is>
          <t>GENERIC_UI</t>
        </is>
      </c>
      <c r="G71" s="6" t="inlineStr">
        <is>
          <t>ADR-001-api-driven-ui.md</t>
        </is>
      </c>
    </row>
    <row r="72" ht="42" customHeight="1">
      <c r="A72" s="6" t="inlineStr">
        <is>
          <t>SCN-071</t>
        </is>
      </c>
      <c r="B72" s="6" t="inlineStr">
        <is>
          <t>MT104</t>
        </is>
      </c>
      <c r="C72" s="6" t="inlineStr">
        <is>
          <t>MESSAGE</t>
        </is>
      </c>
      <c r="D72" s="6" t="inlineStr">
        <is>
          <t>Direct-debit exclusion</t>
        </is>
      </c>
      <c r="E72" s="6" t="inlineStr">
        <is>
          <t>CONFIRMED_MRG_BOUNDARY</t>
        </is>
      </c>
      <c r="F72" s="6" t="inlineStr">
        <is>
          <t>UPSTREAM_PAYMENT_ENGINE</t>
        </is>
      </c>
      <c r="G72" s="6" t="inlineStr">
        <is>
          <t>us1m_20260717.pdf SHA 54002BDF...E90E70 p.356</t>
        </is>
      </c>
    </row>
    <row r="73" ht="42" customHeight="1">
      <c r="A73" s="6" t="inlineStr">
        <is>
          <t>SCN-072</t>
        </is>
      </c>
      <c r="B73" s="6" t="inlineStr">
        <is>
          <t>MT104</t>
        </is>
      </c>
      <c r="C73" s="6" t="inlineStr">
        <is>
          <t>MESSAGE</t>
        </is>
      </c>
      <c r="D73" s="6" t="inlineStr">
        <is>
          <t>No cross-family fallback</t>
        </is>
      </c>
      <c r="E73" s="6" t="inlineStr">
        <is>
          <t>CONFIRMED_MRG_BOUNDARY</t>
        </is>
      </c>
      <c r="F73" s="6" t="inlineStr">
        <is>
          <t>UPSTREAM_PAYMENT_ENGINE</t>
        </is>
      </c>
      <c r="G73" s="6" t="inlineStr">
        <is>
          <t>us1m_20260717.pdf SHA 54002BDF...E90E70 p.356</t>
        </is>
      </c>
    </row>
    <row r="74" ht="42" customHeight="1">
      <c r="A74" s="6" t="inlineStr">
        <is>
          <t>SCN-073</t>
        </is>
      </c>
      <c r="B74" s="6" t="inlineStr">
        <is>
          <t>MT107</t>
        </is>
      </c>
      <c r="C74" s="6" t="inlineStr">
        <is>
          <t>MESSAGE</t>
        </is>
      </c>
      <c r="D74" s="6" t="inlineStr">
        <is>
          <t>Direct-debit exclusion</t>
        </is>
      </c>
      <c r="E74" s="6" t="inlineStr">
        <is>
          <t>CONFIRMED_MRG_BOUNDARY</t>
        </is>
      </c>
      <c r="F74" s="6" t="inlineStr">
        <is>
          <t>UPSTREAM_PAYMENT_ENGINE</t>
        </is>
      </c>
      <c r="G74" s="6" t="inlineStr">
        <is>
          <t>us1m_20260717.pdf SHA 54002BDF...E90E70 p.394</t>
        </is>
      </c>
    </row>
    <row r="75" ht="42" customHeight="1">
      <c r="A75" s="6" t="inlineStr">
        <is>
          <t>SCN-074</t>
        </is>
      </c>
      <c r="B75" s="6" t="inlineStr">
        <is>
          <t>MT107</t>
        </is>
      </c>
      <c r="C75" s="6" t="inlineStr">
        <is>
          <t>MESSAGE</t>
        </is>
      </c>
      <c r="D75" s="6" t="inlineStr">
        <is>
          <t>No cross-family fallback</t>
        </is>
      </c>
      <c r="E75" s="6" t="inlineStr">
        <is>
          <t>CONFIRMED_MRG_BOUNDARY</t>
        </is>
      </c>
      <c r="F75" s="6" t="inlineStr">
        <is>
          <t>UPSTREAM_PAYMENT_ENGINE</t>
        </is>
      </c>
      <c r="G75" s="6" t="inlineStr">
        <is>
          <t>us1m_20260717.pdf SHA 54002BDF...E90E70 p.394</t>
        </is>
      </c>
    </row>
  </sheetData>
  <autoFilter ref="A1:G75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8" customWidth="1" min="3" max="3"/>
    <col width="14" customWidth="1" min="4" max="4"/>
    <col width="38" customWidth="1" min="5" max="5"/>
    <col width="20" customWidth="1" min="6" max="6"/>
    <col width="38" customWidth="1" min="7" max="7"/>
    <col width="14" customWidth="1" min="8" max="8"/>
    <col width="28" customWidth="1" min="9" max="9"/>
    <col width="24" customWidth="1" min="10" max="10"/>
    <col width="54" customWidth="1" min="11" max="11"/>
  </cols>
  <sheetData>
    <row r="1" ht="30" customHeight="1">
      <c r="A1" s="5" t="inlineStr">
        <is>
          <t>Case ID</t>
        </is>
      </c>
      <c r="B1" s="5" t="inlineStr">
        <is>
          <t>Binding</t>
        </is>
      </c>
      <c r="C1" s="5" t="inlineStr">
        <is>
          <t>SSI ID</t>
        </is>
      </c>
      <c r="D1" s="5" t="inlineStr">
        <is>
          <t>SSI version</t>
        </is>
      </c>
      <c r="E1" s="5" t="inlineStr">
        <is>
          <t>Applicability ID</t>
        </is>
      </c>
      <c r="F1" s="5" t="inlineStr">
        <is>
          <t>Applicability version</t>
        </is>
      </c>
      <c r="G1" s="5" t="inlineStr">
        <is>
          <t>RMA ID</t>
        </is>
      </c>
      <c r="H1" s="5" t="inlineStr">
        <is>
          <t>RMA version</t>
        </is>
      </c>
      <c r="I1" s="5" t="inlineStr">
        <is>
          <t>Fixture class</t>
        </is>
      </c>
      <c r="J1" s="5" t="inlineStr">
        <is>
          <t>Load status</t>
        </is>
      </c>
      <c r="K1" s="5" t="inlineStr">
        <is>
          <t>Invariant</t>
        </is>
      </c>
    </row>
    <row r="2" ht="42" customHeight="1">
      <c r="A2" s="6" t="inlineStr">
        <is>
          <t>MT103-001</t>
        </is>
      </c>
      <c r="B2" s="6" t="inlineStr">
        <is>
          <t>FIX-MT103-001@v1</t>
        </is>
      </c>
      <c r="C2" s="6" t="inlineStr">
        <is>
          <t>b86668ff-0b64-5afc-aa13-2c9cb1279c6a</t>
        </is>
      </c>
      <c r="D2" s="6" t="n">
        <v>1</v>
      </c>
      <c r="E2" s="6" t="inlineStr">
        <is>
          <t>ce3dcf94-32b3-5ab3-8ef0-cbcc1848703a</t>
        </is>
      </c>
      <c r="F2" s="6" t="n">
        <v>1</v>
      </c>
      <c r="G2" s="6" t="inlineStr">
        <is>
          <t>2468fbe6-3b28-56fd-8c1a-1d89c465cb0b</t>
        </is>
      </c>
      <c r="H2" s="6" t="n">
        <v>1</v>
      </c>
      <c r="I2" s="8" t="inlineStr">
        <is>
          <t>MT1-CANONICAL-POSITIVE</t>
        </is>
      </c>
      <c r="J2" s="6" t="inlineStr">
        <is>
          <t>PROPOSED_NOT_LOADED</t>
        </is>
      </c>
      <c r="K2" s="6" t="inlineStr">
        <is>
          <t>QA and Browser UAT must use same binding</t>
        </is>
      </c>
    </row>
    <row r="3" ht="42" customHeight="1">
      <c r="A3" s="6" t="inlineStr">
        <is>
          <t>MT103-002</t>
        </is>
      </c>
      <c r="B3" s="6" t="inlineStr">
        <is>
          <t>FIX-MT103-002@v1</t>
        </is>
      </c>
      <c r="C3" s="6" t="inlineStr">
        <is>
          <t>3b27bdc2-e508-59eb-9f63-f1695c38c838</t>
        </is>
      </c>
      <c r="D3" s="6" t="n">
        <v>1</v>
      </c>
      <c r="E3" s="6" t="inlineStr">
        <is>
          <t>7983f949-f3f3-5a37-a29f-456740b19dbc</t>
        </is>
      </c>
      <c r="F3" s="6" t="n">
        <v>1</v>
      </c>
      <c r="G3" s="6" t="inlineStr">
        <is>
          <t>122e5f0a-f401-5f6a-bd0f-5b3b1724bad4</t>
        </is>
      </c>
      <c r="H3" s="6" t="n">
        <v>1</v>
      </c>
      <c r="I3" s="8" t="inlineStr">
        <is>
          <t>MT1-CANONICAL-POSITIVE</t>
        </is>
      </c>
      <c r="J3" s="6" t="inlineStr">
        <is>
          <t>PROPOSED_NOT_LOADED</t>
        </is>
      </c>
      <c r="K3" s="6" t="inlineStr">
        <is>
          <t>QA and Browser UAT must use same binding</t>
        </is>
      </c>
    </row>
    <row r="4" ht="42" customHeight="1">
      <c r="A4" s="6" t="inlineStr">
        <is>
          <t>MT103-003</t>
        </is>
      </c>
      <c r="B4" s="6" t="inlineStr">
        <is>
          <t>FIX-MT103-003@v1</t>
        </is>
      </c>
      <c r="C4" s="6" t="inlineStr">
        <is>
          <t>52c302c2-77fd-5889-8bd3-4969491e2bb3</t>
        </is>
      </c>
      <c r="D4" s="6" t="n">
        <v>1</v>
      </c>
      <c r="E4" s="6" t="inlineStr">
        <is>
          <t>3205a7ed-40cf-5963-9c36-c8b56a8c2201</t>
        </is>
      </c>
      <c r="F4" s="6" t="n">
        <v>1</v>
      </c>
      <c r="G4" s="6" t="inlineStr">
        <is>
          <t>6c5adb40-8c7b-5e59-8e70-8c1aa104f480</t>
        </is>
      </c>
      <c r="H4" s="6" t="n">
        <v>1</v>
      </c>
      <c r="I4" s="8" t="inlineStr">
        <is>
          <t>MT1-CANONICAL-POSITIVE</t>
        </is>
      </c>
      <c r="J4" s="6" t="inlineStr">
        <is>
          <t>PROPOSED_NOT_LOADED</t>
        </is>
      </c>
      <c r="K4" s="6" t="inlineStr">
        <is>
          <t>QA and Browser UAT must use same binding</t>
        </is>
      </c>
    </row>
    <row r="5" ht="42" customHeight="1">
      <c r="A5" s="6" t="inlineStr">
        <is>
          <t>MT103-004</t>
        </is>
      </c>
      <c r="B5" s="6" t="inlineStr">
        <is>
          <t>FIX-MT103-004@v1</t>
        </is>
      </c>
      <c r="C5" s="6" t="inlineStr">
        <is>
          <t>499b87ec-9356-5dec-9065-e408e020f796</t>
        </is>
      </c>
      <c r="D5" s="6" t="n">
        <v>1</v>
      </c>
      <c r="E5" s="6" t="inlineStr">
        <is>
          <t>2c94744e-61e5-5b09-90f1-6e4dfb34f240</t>
        </is>
      </c>
      <c r="F5" s="6" t="n">
        <v>1</v>
      </c>
      <c r="G5" s="6" t="inlineStr">
        <is>
          <t>fc327e62-e78a-52be-b9a1-9fec406fdedf</t>
        </is>
      </c>
      <c r="H5" s="6" t="n">
        <v>1</v>
      </c>
      <c r="I5" s="8" t="inlineStr">
        <is>
          <t>MT1-CANONICAL-POSITIVE</t>
        </is>
      </c>
      <c r="J5" s="6" t="inlineStr">
        <is>
          <t>PROPOSED_NOT_LOADED</t>
        </is>
      </c>
      <c r="K5" s="6" t="inlineStr">
        <is>
          <t>QA and Browser UAT must use same binding</t>
        </is>
      </c>
    </row>
    <row r="6" ht="42" customHeight="1">
      <c r="A6" s="6" t="inlineStr">
        <is>
          <t>MT103-005</t>
        </is>
      </c>
      <c r="B6" s="6" t="inlineStr">
        <is>
          <t>FIX-MT103-005@v1</t>
        </is>
      </c>
      <c r="C6" s="6" t="inlineStr">
        <is>
          <t>f514b8af-bb8a-5a23-942c-1823c02f40e6</t>
        </is>
      </c>
      <c r="D6" s="6" t="n">
        <v>1</v>
      </c>
      <c r="E6" s="6" t="inlineStr">
        <is>
          <t>f7268a26-5573-56a4-b7d5-1c6c23592f02</t>
        </is>
      </c>
      <c r="F6" s="6" t="n">
        <v>1</v>
      </c>
      <c r="G6" s="6" t="inlineStr">
        <is>
          <t>2f02afb4-56a0-5f7a-8d15-2c8b5d40e257</t>
        </is>
      </c>
      <c r="H6" s="6" t="n">
        <v>1</v>
      </c>
      <c r="I6" s="8" t="inlineStr">
        <is>
          <t>MT1-CANONICAL-POSITIVE</t>
        </is>
      </c>
      <c r="J6" s="6" t="inlineStr">
        <is>
          <t>PROPOSED_NOT_LOADED</t>
        </is>
      </c>
      <c r="K6" s="6" t="inlineStr">
        <is>
          <t>QA and Browser UAT must use same binding</t>
        </is>
      </c>
    </row>
    <row r="7" ht="42" customHeight="1">
      <c r="A7" s="6" t="inlineStr">
        <is>
          <t>MT103-006</t>
        </is>
      </c>
      <c r="B7" s="6" t="inlineStr">
        <is>
          <t>FIX-MT103-006@v1</t>
        </is>
      </c>
      <c r="C7" s="6" t="inlineStr">
        <is>
          <t>34cbae05-86db-59a7-8a3c-b0d2399958e3</t>
        </is>
      </c>
      <c r="D7" s="6" t="n">
        <v>1</v>
      </c>
      <c r="E7" s="6" t="inlineStr">
        <is>
          <t>d2b42cb0-c1d3-5b2a-a652-69185c9169da</t>
        </is>
      </c>
      <c r="F7" s="6" t="n">
        <v>1</v>
      </c>
      <c r="G7" s="6" t="inlineStr">
        <is>
          <t>b775beb1-ba10-5ac0-9abb-9ceea9415e14</t>
        </is>
      </c>
      <c r="H7" s="6" t="n">
        <v>1</v>
      </c>
      <c r="I7" s="9" t="inlineStr">
        <is>
          <t>MT1-NVR-NEGATIVE</t>
        </is>
      </c>
      <c r="J7" s="6" t="inlineStr">
        <is>
          <t>PROPOSED_NOT_LOADED</t>
        </is>
      </c>
      <c r="K7" s="6" t="inlineStr">
        <is>
          <t>QA and Browser UAT must use same binding</t>
        </is>
      </c>
    </row>
    <row r="8" ht="42" customHeight="1">
      <c r="A8" s="6" t="inlineStr">
        <is>
          <t>MT103-007</t>
        </is>
      </c>
      <c r="B8" s="6" t="inlineStr">
        <is>
          <t>FIX-MT103-007@v1</t>
        </is>
      </c>
      <c r="C8" s="6" t="inlineStr">
        <is>
          <t>983749f6-83d0-5b21-87ae-27dca9202ccf</t>
        </is>
      </c>
      <c r="D8" s="6" t="n">
        <v>1</v>
      </c>
      <c r="E8" s="6" t="inlineStr">
        <is>
          <t>b3f9ce55-243f-5114-bbd9-0bf7baa3265d</t>
        </is>
      </c>
      <c r="F8" s="6" t="n">
        <v>1</v>
      </c>
      <c r="G8" s="6" t="inlineStr">
        <is>
          <t>5e08f21d-a691-531d-af76-67911294118c</t>
        </is>
      </c>
      <c r="H8" s="6" t="n">
        <v>1</v>
      </c>
      <c r="I8" s="9" t="inlineStr">
        <is>
          <t>MT1-NVR-NEGATIVE</t>
        </is>
      </c>
      <c r="J8" s="6" t="inlineStr">
        <is>
          <t>PROPOSED_NOT_LOADED</t>
        </is>
      </c>
      <c r="K8" s="6" t="inlineStr">
        <is>
          <t>QA and Browser UAT must use same binding</t>
        </is>
      </c>
    </row>
    <row r="9" ht="42" customHeight="1">
      <c r="A9" s="6" t="inlineStr">
        <is>
          <t>MT103-008</t>
        </is>
      </c>
      <c r="B9" s="6" t="inlineStr">
        <is>
          <t>FIX-MT103-008@v1</t>
        </is>
      </c>
      <c r="C9" s="6" t="inlineStr">
        <is>
          <t>857cdf9f-1a8c-5590-a66d-221b9edbff6a</t>
        </is>
      </c>
      <c r="D9" s="6" t="n">
        <v>1</v>
      </c>
      <c r="E9" s="6" t="inlineStr">
        <is>
          <t>df008195-42bd-5ed3-80af-ede2e138ad0a</t>
        </is>
      </c>
      <c r="F9" s="6" t="n">
        <v>1</v>
      </c>
      <c r="G9" s="6" t="inlineStr">
        <is>
          <t>1ea5ba3b-8992-59f4-81f6-75c5a5cc8b86</t>
        </is>
      </c>
      <c r="H9" s="6" t="n">
        <v>1</v>
      </c>
      <c r="I9" s="9" t="inlineStr">
        <is>
          <t>MT1-DQ-NEGATIVE</t>
        </is>
      </c>
      <c r="J9" s="6" t="inlineStr">
        <is>
          <t>PROPOSED_NOT_LOADED</t>
        </is>
      </c>
      <c r="K9" s="6" t="inlineStr">
        <is>
          <t>QA and Browser UAT must use same binding</t>
        </is>
      </c>
    </row>
    <row r="10" ht="42" customHeight="1">
      <c r="A10" s="6" t="inlineStr">
        <is>
          <t>MT103-009</t>
        </is>
      </c>
      <c r="B10" s="6" t="inlineStr">
        <is>
          <t>FIX-MT103-009@v1</t>
        </is>
      </c>
      <c r="C10" s="6" t="inlineStr">
        <is>
          <t>775d5447-0a0e-589a-8f8d-e3eeb3763da3</t>
        </is>
      </c>
      <c r="D10" s="6" t="n">
        <v>1</v>
      </c>
      <c r="E10" s="6" t="inlineStr">
        <is>
          <t>0524b3dd-2853-5ea7-9782-9aa60eb4bda3</t>
        </is>
      </c>
      <c r="F10" s="6" t="n">
        <v>1</v>
      </c>
      <c r="G10" s="6" t="inlineStr">
        <is>
          <t>94cc1bd9-6f27-5609-a496-71e737d98ec1</t>
        </is>
      </c>
      <c r="H10" s="6" t="n">
        <v>1</v>
      </c>
      <c r="I10" s="9" t="inlineStr">
        <is>
          <t>MT1-DQ-NEGATIVE</t>
        </is>
      </c>
      <c r="J10" s="6" t="inlineStr">
        <is>
          <t>PROPOSED_NOT_LOADED</t>
        </is>
      </c>
      <c r="K10" s="6" t="inlineStr">
        <is>
          <t>QA and Browser UAT must use same binding</t>
        </is>
      </c>
    </row>
    <row r="11" ht="42" customHeight="1">
      <c r="A11" s="6" t="inlineStr">
        <is>
          <t>MT103-010</t>
        </is>
      </c>
      <c r="B11" s="6" t="inlineStr">
        <is>
          <t>FIX-MT103-010@v1</t>
        </is>
      </c>
      <c r="C11" s="6" t="inlineStr">
        <is>
          <t>5d98e53b-6c2f-5312-9dcc-bca372d6f3ce</t>
        </is>
      </c>
      <c r="D11" s="6" t="n">
        <v>1</v>
      </c>
      <c r="E11" s="6" t="inlineStr">
        <is>
          <t>c28724e8-2d36-574a-8e91-3d84d07e1d5e</t>
        </is>
      </c>
      <c r="F11" s="6" t="n">
        <v>1</v>
      </c>
      <c r="G11" s="6" t="inlineStr">
        <is>
          <t>9bb33a5c-e183-51fa-a524-0be06d6edf2d</t>
        </is>
      </c>
      <c r="H11" s="6" t="n">
        <v>1</v>
      </c>
      <c r="I11" s="9" t="inlineStr">
        <is>
          <t>MT1-DQ-NEGATIVE</t>
        </is>
      </c>
      <c r="J11" s="6" t="inlineStr">
        <is>
          <t>PROPOSED_NOT_LOADED</t>
        </is>
      </c>
      <c r="K11" s="6" t="inlineStr">
        <is>
          <t>QA and Browser UAT must use same binding</t>
        </is>
      </c>
    </row>
    <row r="12" ht="42" customHeight="1">
      <c r="A12" s="6" t="inlineStr">
        <is>
          <t>MT103-011</t>
        </is>
      </c>
      <c r="B12" s="6" t="inlineStr">
        <is>
          <t>FIX-MT103-011@v1</t>
        </is>
      </c>
      <c r="C12" s="6" t="inlineStr">
        <is>
          <t>eb402f42-c736-59f3-8218-6d6ac041b1f5</t>
        </is>
      </c>
      <c r="D12" s="6" t="n">
        <v>1</v>
      </c>
      <c r="E12" s="6" t="inlineStr">
        <is>
          <t>1aeb9b96-f9b8-5d14-a737-85f1e375440d</t>
        </is>
      </c>
      <c r="F12" s="6" t="n">
        <v>1</v>
      </c>
      <c r="G12" s="6" t="inlineStr">
        <is>
          <t>60804ae2-1fe9-5f3b-923c-ed1b4dd267ee</t>
        </is>
      </c>
      <c r="H12" s="6" t="n">
        <v>1</v>
      </c>
      <c r="I12" s="9" t="inlineStr">
        <is>
          <t>MT1-NVR-NEGATIVE</t>
        </is>
      </c>
      <c r="J12" s="6" t="inlineStr">
        <is>
          <t>PROPOSED_NOT_LOADED</t>
        </is>
      </c>
      <c r="K12" s="6" t="inlineStr">
        <is>
          <t>QA and Browser UAT must use same binding</t>
        </is>
      </c>
    </row>
    <row r="13" ht="42" customHeight="1">
      <c r="A13" s="6" t="inlineStr">
        <is>
          <t>MT103-012</t>
        </is>
      </c>
      <c r="B13" s="6" t="inlineStr">
        <is>
          <t>FIX-MT103-012@v1</t>
        </is>
      </c>
      <c r="C13" s="6" t="inlineStr">
        <is>
          <t>ce650f76-6ab7-5c91-a734-7cb5a8a240c2</t>
        </is>
      </c>
      <c r="D13" s="6" t="n">
        <v>1</v>
      </c>
      <c r="E13" s="6" t="inlineStr">
        <is>
          <t>15970bf5-0b15-5b82-9282-90608a724d88</t>
        </is>
      </c>
      <c r="F13" s="6" t="n">
        <v>1</v>
      </c>
      <c r="G13" s="6" t="inlineStr">
        <is>
          <t>f5cf393a-5e5d-5ae1-a3db-0bafe591ef24</t>
        </is>
      </c>
      <c r="H13" s="6" t="n">
        <v>1</v>
      </c>
      <c r="I13" s="8" t="inlineStr">
        <is>
          <t>MT1-CANONICAL-POSITIVE</t>
        </is>
      </c>
      <c r="J13" s="6" t="inlineStr">
        <is>
          <t>PROPOSED_NOT_LOADED</t>
        </is>
      </c>
      <c r="K13" s="6" t="inlineStr">
        <is>
          <t>QA and Browser UAT must use same binding</t>
        </is>
      </c>
    </row>
    <row r="14" ht="42" customHeight="1">
      <c r="A14" s="6" t="inlineStr">
        <is>
          <t>MT103REMIT-001</t>
        </is>
      </c>
      <c r="B14" s="6" t="inlineStr">
        <is>
          <t>FIX-MT103REMIT-001@v1</t>
        </is>
      </c>
      <c r="C14" s="6" t="inlineStr">
        <is>
          <t>bfc4b5df-2c67-5186-b20c-6c32c34db41a</t>
        </is>
      </c>
      <c r="D14" s="6" t="n">
        <v>1</v>
      </c>
      <c r="E14" s="6" t="inlineStr">
        <is>
          <t>fed6bf32-91e5-5d2f-8a9e-e668fc49ed6e</t>
        </is>
      </c>
      <c r="F14" s="6" t="n">
        <v>1</v>
      </c>
      <c r="G14" s="6" t="inlineStr">
        <is>
          <t>99653bd2-45ab-579b-9d11-c9ffa307da99</t>
        </is>
      </c>
      <c r="H14" s="6" t="n">
        <v>1</v>
      </c>
      <c r="I14" s="8" t="inlineStr">
        <is>
          <t>MT1-CANONICAL-POSITIVE</t>
        </is>
      </c>
      <c r="J14" s="6" t="inlineStr">
        <is>
          <t>PROPOSED_NOT_LOADED</t>
        </is>
      </c>
      <c r="K14" s="6" t="inlineStr">
        <is>
          <t>QA and Browser UAT must use same binding</t>
        </is>
      </c>
    </row>
    <row r="15" ht="42" customHeight="1">
      <c r="A15" s="6" t="inlineStr">
        <is>
          <t>MT103REMIT-002</t>
        </is>
      </c>
      <c r="B15" s="6" t="inlineStr">
        <is>
          <t>FIX-MT103REMIT-002@v1</t>
        </is>
      </c>
      <c r="C15" s="6" t="inlineStr">
        <is>
          <t>b36c0b90-b34e-5b79-9c3a-8207604ecb7f</t>
        </is>
      </c>
      <c r="D15" s="6" t="n">
        <v>1</v>
      </c>
      <c r="E15" s="6" t="inlineStr">
        <is>
          <t>3d654935-c426-557d-ab05-549505d91c1b</t>
        </is>
      </c>
      <c r="F15" s="6" t="n">
        <v>1</v>
      </c>
      <c r="G15" s="6" t="inlineStr">
        <is>
          <t>a6df20fd-f901-5322-a2ba-96af2480710e</t>
        </is>
      </c>
      <c r="H15" s="6" t="n">
        <v>1</v>
      </c>
      <c r="I15" s="8" t="inlineStr">
        <is>
          <t>MT1-CANONICAL-POSITIVE</t>
        </is>
      </c>
      <c r="J15" s="6" t="inlineStr">
        <is>
          <t>PROPOSED_NOT_LOADED</t>
        </is>
      </c>
      <c r="K15" s="6" t="inlineStr">
        <is>
          <t>QA and Browser UAT must use same binding</t>
        </is>
      </c>
    </row>
    <row r="16" ht="42" customHeight="1">
      <c r="A16" s="6" t="inlineStr">
        <is>
          <t>MT103REMIT-003</t>
        </is>
      </c>
      <c r="B16" s="6" t="inlineStr">
        <is>
          <t>FIX-MT103REMIT-003@v1</t>
        </is>
      </c>
      <c r="C16" s="6" t="inlineStr">
        <is>
          <t>a8aa7f66-664a-5adb-b30b-fc0356775c2c</t>
        </is>
      </c>
      <c r="D16" s="6" t="n">
        <v>1</v>
      </c>
      <c r="E16" s="6" t="inlineStr">
        <is>
          <t>4e367b3a-2dc6-5298-a9c1-f73ee3428960</t>
        </is>
      </c>
      <c r="F16" s="6" t="n">
        <v>1</v>
      </c>
      <c r="G16" s="6" t="inlineStr">
        <is>
          <t>578fac20-3e86-565b-9851-8e9927282b1f</t>
        </is>
      </c>
      <c r="H16" s="6" t="n">
        <v>1</v>
      </c>
      <c r="I16" s="8" t="inlineStr">
        <is>
          <t>MT1-CANONICAL-POSITIVE</t>
        </is>
      </c>
      <c r="J16" s="6" t="inlineStr">
        <is>
          <t>PROPOSED_NOT_LOADED</t>
        </is>
      </c>
      <c r="K16" s="6" t="inlineStr">
        <is>
          <t>QA and Browser UAT must use same binding</t>
        </is>
      </c>
    </row>
    <row r="17" ht="42" customHeight="1">
      <c r="A17" s="6" t="inlineStr">
        <is>
          <t>MT103REMIT-004</t>
        </is>
      </c>
      <c r="B17" s="6" t="inlineStr">
        <is>
          <t>FIX-MT103REMIT-004@v1</t>
        </is>
      </c>
      <c r="C17" s="6" t="inlineStr">
        <is>
          <t>6b2cad24-9423-5b79-9ed4-4e0217d09e9f</t>
        </is>
      </c>
      <c r="D17" s="6" t="n">
        <v>1</v>
      </c>
      <c r="E17" s="6" t="inlineStr">
        <is>
          <t>c49c6c14-c854-5f6a-8780-b33fc048944e</t>
        </is>
      </c>
      <c r="F17" s="6" t="n">
        <v>1</v>
      </c>
      <c r="G17" s="6" t="inlineStr">
        <is>
          <t>02130e54-1298-5edb-98ce-316695b1ba0a</t>
        </is>
      </c>
      <c r="H17" s="6" t="n">
        <v>1</v>
      </c>
      <c r="I17" s="8" t="inlineStr">
        <is>
          <t>MT1-CANONICAL-POSITIVE</t>
        </is>
      </c>
      <c r="J17" s="6" t="inlineStr">
        <is>
          <t>PROPOSED_NOT_LOADED</t>
        </is>
      </c>
      <c r="K17" s="6" t="inlineStr">
        <is>
          <t>QA and Browser UAT must use same binding</t>
        </is>
      </c>
    </row>
    <row r="18" ht="42" customHeight="1">
      <c r="A18" s="6" t="inlineStr">
        <is>
          <t>MT103REMIT-005</t>
        </is>
      </c>
      <c r="B18" s="6" t="inlineStr">
        <is>
          <t>FIX-MT103REMIT-005@v1</t>
        </is>
      </c>
      <c r="C18" s="6" t="inlineStr">
        <is>
          <t>c84dab54-38a3-510f-99b4-4eb7d08f111c</t>
        </is>
      </c>
      <c r="D18" s="6" t="n">
        <v>1</v>
      </c>
      <c r="E18" s="6" t="inlineStr">
        <is>
          <t>07dd5293-5182-561d-ba97-d0b055b32749</t>
        </is>
      </c>
      <c r="F18" s="6" t="n">
        <v>1</v>
      </c>
      <c r="G18" s="6" t="inlineStr">
        <is>
          <t>0c871b4a-e1a5-565c-8bde-2466ef5e7695</t>
        </is>
      </c>
      <c r="H18" s="6" t="n">
        <v>1</v>
      </c>
      <c r="I18" s="8" t="inlineStr">
        <is>
          <t>MT1-CANONICAL-POSITIVE</t>
        </is>
      </c>
      <c r="J18" s="6" t="inlineStr">
        <is>
          <t>PROPOSED_NOT_LOADED</t>
        </is>
      </c>
      <c r="K18" s="6" t="inlineStr">
        <is>
          <t>QA and Browser UAT must use same binding</t>
        </is>
      </c>
    </row>
    <row r="19" ht="42" customHeight="1">
      <c r="A19" s="6" t="inlineStr">
        <is>
          <t>MT103REMIT-006</t>
        </is>
      </c>
      <c r="B19" s="6" t="inlineStr">
        <is>
          <t>FIX-MT103REMIT-006@v1</t>
        </is>
      </c>
      <c r="C19" s="6" t="inlineStr">
        <is>
          <t>17c4dc2d-9e88-5503-a05c-447d79649ed7</t>
        </is>
      </c>
      <c r="D19" s="6" t="n">
        <v>1</v>
      </c>
      <c r="E19" s="6" t="inlineStr">
        <is>
          <t>7cb523d0-480d-52eb-8049-1a5412812a82</t>
        </is>
      </c>
      <c r="F19" s="6" t="n">
        <v>1</v>
      </c>
      <c r="G19" s="6" t="inlineStr">
        <is>
          <t>c6fdd566-030e-5f9b-aada-4d3b90b37e4d</t>
        </is>
      </c>
      <c r="H19" s="6" t="n">
        <v>1</v>
      </c>
      <c r="I19" s="9" t="inlineStr">
        <is>
          <t>MT1-NVR-NEGATIVE</t>
        </is>
      </c>
      <c r="J19" s="6" t="inlineStr">
        <is>
          <t>PROPOSED_NOT_LOADED</t>
        </is>
      </c>
      <c r="K19" s="6" t="inlineStr">
        <is>
          <t>QA and Browser UAT must use same binding</t>
        </is>
      </c>
    </row>
    <row r="20" ht="42" customHeight="1">
      <c r="A20" s="6" t="inlineStr">
        <is>
          <t>MT103REMIT-007</t>
        </is>
      </c>
      <c r="B20" s="6" t="inlineStr">
        <is>
          <t>FIX-MT103REMIT-007@v1</t>
        </is>
      </c>
      <c r="C20" s="6" t="inlineStr">
        <is>
          <t>4824887f-de21-5c11-8adc-143b923c15fa</t>
        </is>
      </c>
      <c r="D20" s="6" t="n">
        <v>1</v>
      </c>
      <c r="E20" s="6" t="inlineStr">
        <is>
          <t>0f836da2-6a85-504d-8f21-6bd95739e3d7</t>
        </is>
      </c>
      <c r="F20" s="6" t="n">
        <v>1</v>
      </c>
      <c r="G20" s="6" t="inlineStr">
        <is>
          <t>57e538a0-4703-5bec-a988-8ed8b8abf9aa</t>
        </is>
      </c>
      <c r="H20" s="6" t="n">
        <v>1</v>
      </c>
      <c r="I20" s="9" t="inlineStr">
        <is>
          <t>MT1-NVR-NEGATIVE</t>
        </is>
      </c>
      <c r="J20" s="6" t="inlineStr">
        <is>
          <t>PROPOSED_NOT_LOADED</t>
        </is>
      </c>
      <c r="K20" s="6" t="inlineStr">
        <is>
          <t>QA and Browser UAT must use same binding</t>
        </is>
      </c>
    </row>
    <row r="21" ht="42" customHeight="1">
      <c r="A21" s="6" t="inlineStr">
        <is>
          <t>MT103REMIT-008</t>
        </is>
      </c>
      <c r="B21" s="6" t="inlineStr">
        <is>
          <t>FIX-MT103REMIT-008@v1</t>
        </is>
      </c>
      <c r="C21" s="6" t="inlineStr">
        <is>
          <t>45dd73c8-457a-5183-9c20-d464513ba4d3</t>
        </is>
      </c>
      <c r="D21" s="6" t="n">
        <v>1</v>
      </c>
      <c r="E21" s="6" t="inlineStr">
        <is>
          <t>e4ebe497-e350-543d-b250-04f93d06b1e1</t>
        </is>
      </c>
      <c r="F21" s="6" t="n">
        <v>1</v>
      </c>
      <c r="G21" s="6" t="inlineStr">
        <is>
          <t>7b2bb698-9a86-5e11-ba69-4af19d382199</t>
        </is>
      </c>
      <c r="H21" s="6" t="n">
        <v>1</v>
      </c>
      <c r="I21" s="9" t="inlineStr">
        <is>
          <t>MT1-DQ-NEGATIVE</t>
        </is>
      </c>
      <c r="J21" s="6" t="inlineStr">
        <is>
          <t>PROPOSED_NOT_LOADED</t>
        </is>
      </c>
      <c r="K21" s="6" t="inlineStr">
        <is>
          <t>QA and Browser UAT must use same binding</t>
        </is>
      </c>
    </row>
    <row r="22" ht="42" customHeight="1">
      <c r="A22" s="6" t="inlineStr">
        <is>
          <t>MT103REMIT-009</t>
        </is>
      </c>
      <c r="B22" s="6" t="inlineStr">
        <is>
          <t>FIX-MT103REMIT-009@v1</t>
        </is>
      </c>
      <c r="C22" s="6" t="inlineStr">
        <is>
          <t>0c17cb3a-2d35-540b-b55e-23d127256ac6</t>
        </is>
      </c>
      <c r="D22" s="6" t="n">
        <v>1</v>
      </c>
      <c r="E22" s="6" t="inlineStr">
        <is>
          <t>0159fa1b-fa2c-5029-9eea-486e6a15634b</t>
        </is>
      </c>
      <c r="F22" s="6" t="n">
        <v>1</v>
      </c>
      <c r="G22" s="6" t="inlineStr">
        <is>
          <t>f5e74ab8-b0a3-5330-a55e-14bcb69b5d52</t>
        </is>
      </c>
      <c r="H22" s="6" t="n">
        <v>1</v>
      </c>
      <c r="I22" s="9" t="inlineStr">
        <is>
          <t>MT1-DQ-NEGATIVE</t>
        </is>
      </c>
      <c r="J22" s="6" t="inlineStr">
        <is>
          <t>PROPOSED_NOT_LOADED</t>
        </is>
      </c>
      <c r="K22" s="6" t="inlineStr">
        <is>
          <t>QA and Browser UAT must use same binding</t>
        </is>
      </c>
    </row>
    <row r="23" ht="42" customHeight="1">
      <c r="A23" s="6" t="inlineStr">
        <is>
          <t>MT103REMIT-010</t>
        </is>
      </c>
      <c r="B23" s="6" t="inlineStr">
        <is>
          <t>FIX-MT103REMIT-010@v1</t>
        </is>
      </c>
      <c r="C23" s="6" t="inlineStr">
        <is>
          <t>563841e6-54e1-5501-b2c1-72f07aca75e6</t>
        </is>
      </c>
      <c r="D23" s="6" t="n">
        <v>1</v>
      </c>
      <c r="E23" s="6" t="inlineStr">
        <is>
          <t>7fc593eb-ed9e-523f-90ce-551923813721</t>
        </is>
      </c>
      <c r="F23" s="6" t="n">
        <v>1</v>
      </c>
      <c r="G23" s="6" t="inlineStr">
        <is>
          <t>db453e0e-21d5-55d6-8c37-714c16db2cba</t>
        </is>
      </c>
      <c r="H23" s="6" t="n">
        <v>1</v>
      </c>
      <c r="I23" s="9" t="inlineStr">
        <is>
          <t>MT1-DQ-NEGATIVE</t>
        </is>
      </c>
      <c r="J23" s="6" t="inlineStr">
        <is>
          <t>PROPOSED_NOT_LOADED</t>
        </is>
      </c>
      <c r="K23" s="6" t="inlineStr">
        <is>
          <t>QA and Browser UAT must use same binding</t>
        </is>
      </c>
    </row>
    <row r="24" ht="42" customHeight="1">
      <c r="A24" s="6" t="inlineStr">
        <is>
          <t>MT103REMIT-011</t>
        </is>
      </c>
      <c r="B24" s="6" t="inlineStr">
        <is>
          <t>FIX-MT103REMIT-011@v1</t>
        </is>
      </c>
      <c r="C24" s="6" t="inlineStr">
        <is>
          <t>b407f8ec-18f0-5b25-8529-3f079901ca51</t>
        </is>
      </c>
      <c r="D24" s="6" t="n">
        <v>1</v>
      </c>
      <c r="E24" s="6" t="inlineStr">
        <is>
          <t>6cf8b8a1-081d-51e0-bbe9-f2c26302349d</t>
        </is>
      </c>
      <c r="F24" s="6" t="n">
        <v>1</v>
      </c>
      <c r="G24" s="6" t="inlineStr">
        <is>
          <t>5e9f1efd-5fe4-5952-ae07-53067fb76be7</t>
        </is>
      </c>
      <c r="H24" s="6" t="n">
        <v>1</v>
      </c>
      <c r="I24" s="9" t="inlineStr">
        <is>
          <t>MT1-NVR-NEGATIVE</t>
        </is>
      </c>
      <c r="J24" s="6" t="inlineStr">
        <is>
          <t>PROPOSED_NOT_LOADED</t>
        </is>
      </c>
      <c r="K24" s="6" t="inlineStr">
        <is>
          <t>QA and Browser UAT must use same binding</t>
        </is>
      </c>
    </row>
    <row r="25" ht="42" customHeight="1">
      <c r="A25" s="6" t="inlineStr">
        <is>
          <t>MT103REMIT-012</t>
        </is>
      </c>
      <c r="B25" s="6" t="inlineStr">
        <is>
          <t>FIX-MT103REMIT-012@v1</t>
        </is>
      </c>
      <c r="C25" s="6" t="inlineStr">
        <is>
          <t>e1344bca-9381-5c77-b512-255be399c172</t>
        </is>
      </c>
      <c r="D25" s="6" t="n">
        <v>1</v>
      </c>
      <c r="E25" s="6" t="inlineStr">
        <is>
          <t>cba7cbe7-9ed7-56dd-a4cb-f1e8764e4ca5</t>
        </is>
      </c>
      <c r="F25" s="6" t="n">
        <v>1</v>
      </c>
      <c r="G25" s="6" t="inlineStr">
        <is>
          <t>e13d86e3-6b26-5eb6-bbd3-740f223cb48f</t>
        </is>
      </c>
      <c r="H25" s="6" t="n">
        <v>1</v>
      </c>
      <c r="I25" s="8" t="inlineStr">
        <is>
          <t>MT1-CANONICAL-POSITIVE</t>
        </is>
      </c>
      <c r="J25" s="6" t="inlineStr">
        <is>
          <t>PROPOSED_NOT_LOADED</t>
        </is>
      </c>
      <c r="K25" s="6" t="inlineStr">
        <is>
          <t>QA and Browser UAT must use same binding</t>
        </is>
      </c>
    </row>
    <row r="26" ht="42" customHeight="1">
      <c r="A26" s="6" t="inlineStr">
        <is>
          <t>MT103STP-001</t>
        </is>
      </c>
      <c r="B26" s="6" t="inlineStr">
        <is>
          <t>FIX-MT103STP-001@v1</t>
        </is>
      </c>
      <c r="C26" s="6" t="inlineStr">
        <is>
          <t>8a49dbc0-226b-5933-8d88-66706fc22332</t>
        </is>
      </c>
      <c r="D26" s="6" t="n">
        <v>1</v>
      </c>
      <c r="E26" s="6" t="inlineStr">
        <is>
          <t>b1fe0d35-0d5a-5800-909c-bb822fb0e523</t>
        </is>
      </c>
      <c r="F26" s="6" t="n">
        <v>1</v>
      </c>
      <c r="G26" s="6" t="inlineStr">
        <is>
          <t>66db4399-bee1-5c52-9f54-a6f96418633f</t>
        </is>
      </c>
      <c r="H26" s="6" t="n">
        <v>1</v>
      </c>
      <c r="I26" s="8" t="inlineStr">
        <is>
          <t>MT1-CANONICAL-POSITIVE</t>
        </is>
      </c>
      <c r="J26" s="6" t="inlineStr">
        <is>
          <t>PROPOSED_NOT_LOADED</t>
        </is>
      </c>
      <c r="K26" s="6" t="inlineStr">
        <is>
          <t>QA and Browser UAT must use same binding</t>
        </is>
      </c>
    </row>
    <row r="27" ht="42" customHeight="1">
      <c r="A27" s="6" t="inlineStr">
        <is>
          <t>MT103STP-002</t>
        </is>
      </c>
      <c r="B27" s="6" t="inlineStr">
        <is>
          <t>FIX-MT103STP-002@v1</t>
        </is>
      </c>
      <c r="C27" s="6" t="inlineStr">
        <is>
          <t>9372ea36-cbc2-5cd0-8436-f154d251c96d</t>
        </is>
      </c>
      <c r="D27" s="6" t="n">
        <v>1</v>
      </c>
      <c r="E27" s="6" t="inlineStr">
        <is>
          <t>272c9bfc-ad6a-51c7-ac29-512935cd0ea5</t>
        </is>
      </c>
      <c r="F27" s="6" t="n">
        <v>1</v>
      </c>
      <c r="G27" s="6" t="inlineStr">
        <is>
          <t>592eeb08-5391-5f84-8add-a014587f3bab</t>
        </is>
      </c>
      <c r="H27" s="6" t="n">
        <v>1</v>
      </c>
      <c r="I27" s="8" t="inlineStr">
        <is>
          <t>MT1-CANONICAL-POSITIVE</t>
        </is>
      </c>
      <c r="J27" s="6" t="inlineStr">
        <is>
          <t>PROPOSED_NOT_LOADED</t>
        </is>
      </c>
      <c r="K27" s="6" t="inlineStr">
        <is>
          <t>QA and Browser UAT must use same binding</t>
        </is>
      </c>
    </row>
    <row r="28" ht="42" customHeight="1">
      <c r="A28" s="6" t="inlineStr">
        <is>
          <t>MT103STP-003</t>
        </is>
      </c>
      <c r="B28" s="6" t="inlineStr">
        <is>
          <t>FIX-MT103STP-003@v1</t>
        </is>
      </c>
      <c r="C28" s="6" t="inlineStr">
        <is>
          <t>1ad987c0-32b9-5976-bf31-7bdd214fa416</t>
        </is>
      </c>
      <c r="D28" s="6" t="n">
        <v>1</v>
      </c>
      <c r="E28" s="6" t="inlineStr">
        <is>
          <t>aaacdae6-2c33-57d5-9e62-017d837937f2</t>
        </is>
      </c>
      <c r="F28" s="6" t="n">
        <v>1</v>
      </c>
      <c r="G28" s="6" t="inlineStr">
        <is>
          <t>ddc4ab08-8c34-55cc-94fd-7c2980254122</t>
        </is>
      </c>
      <c r="H28" s="6" t="n">
        <v>1</v>
      </c>
      <c r="I28" s="8" t="inlineStr">
        <is>
          <t>MT1-CANONICAL-POSITIVE</t>
        </is>
      </c>
      <c r="J28" s="6" t="inlineStr">
        <is>
          <t>PROPOSED_NOT_LOADED</t>
        </is>
      </c>
      <c r="K28" s="6" t="inlineStr">
        <is>
          <t>QA and Browser UAT must use same binding</t>
        </is>
      </c>
    </row>
    <row r="29" ht="42" customHeight="1">
      <c r="A29" s="6" t="inlineStr">
        <is>
          <t>MT103STP-004</t>
        </is>
      </c>
      <c r="B29" s="6" t="inlineStr">
        <is>
          <t>FIX-MT103STP-004@v1</t>
        </is>
      </c>
      <c r="C29" s="6" t="inlineStr">
        <is>
          <t>047e733c-f8c0-52e5-a60d-398986f4985f</t>
        </is>
      </c>
      <c r="D29" s="6" t="n">
        <v>1</v>
      </c>
      <c r="E29" s="6" t="inlineStr">
        <is>
          <t>46d155c4-7710-59fd-8e9e-99c5178ae31a</t>
        </is>
      </c>
      <c r="F29" s="6" t="n">
        <v>1</v>
      </c>
      <c r="G29" s="6" t="inlineStr">
        <is>
          <t>008cef90-4b75-534e-9810-1441e451b538</t>
        </is>
      </c>
      <c r="H29" s="6" t="n">
        <v>1</v>
      </c>
      <c r="I29" s="8" t="inlineStr">
        <is>
          <t>MT1-CANONICAL-POSITIVE</t>
        </is>
      </c>
      <c r="J29" s="6" t="inlineStr">
        <is>
          <t>PROPOSED_NOT_LOADED</t>
        </is>
      </c>
      <c r="K29" s="6" t="inlineStr">
        <is>
          <t>QA and Browser UAT must use same binding</t>
        </is>
      </c>
    </row>
    <row r="30" ht="42" customHeight="1">
      <c r="A30" s="6" t="inlineStr">
        <is>
          <t>MT103STP-005</t>
        </is>
      </c>
      <c r="B30" s="6" t="inlineStr">
        <is>
          <t>FIX-MT103STP-005@v1</t>
        </is>
      </c>
      <c r="C30" s="6" t="inlineStr">
        <is>
          <t>4b8676cb-c517-573b-8962-58f2f3bc713e</t>
        </is>
      </c>
      <c r="D30" s="6" t="n">
        <v>1</v>
      </c>
      <c r="E30" s="6" t="inlineStr">
        <is>
          <t>dabbcef9-8614-5f3f-9a33-dd779ef66f6b</t>
        </is>
      </c>
      <c r="F30" s="6" t="n">
        <v>1</v>
      </c>
      <c r="G30" s="6" t="inlineStr">
        <is>
          <t>dd9cd781-919b-5d34-8fac-55f9e5fd931c</t>
        </is>
      </c>
      <c r="H30" s="6" t="n">
        <v>1</v>
      </c>
      <c r="I30" s="8" t="inlineStr">
        <is>
          <t>MT1-CANONICAL-POSITIVE</t>
        </is>
      </c>
      <c r="J30" s="6" t="inlineStr">
        <is>
          <t>PROPOSED_NOT_LOADED</t>
        </is>
      </c>
      <c r="K30" s="6" t="inlineStr">
        <is>
          <t>QA and Browser UAT must use same binding</t>
        </is>
      </c>
    </row>
    <row r="31" ht="42" customHeight="1">
      <c r="A31" s="6" t="inlineStr">
        <is>
          <t>MT103STP-006</t>
        </is>
      </c>
      <c r="B31" s="6" t="inlineStr">
        <is>
          <t>FIX-MT103STP-006@v1</t>
        </is>
      </c>
      <c r="C31" s="6" t="inlineStr">
        <is>
          <t>6d7572ef-df3a-5f6d-8b30-faac2fc91548</t>
        </is>
      </c>
      <c r="D31" s="6" t="n">
        <v>1</v>
      </c>
      <c r="E31" s="6" t="inlineStr">
        <is>
          <t>4e818619-dcd9-5279-921a-7fe3c96efbf0</t>
        </is>
      </c>
      <c r="F31" s="6" t="n">
        <v>1</v>
      </c>
      <c r="G31" s="6" t="inlineStr">
        <is>
          <t>5a8ed525-8198-5df1-99e1-816ba6197efa</t>
        </is>
      </c>
      <c r="H31" s="6" t="n">
        <v>1</v>
      </c>
      <c r="I31" s="9" t="inlineStr">
        <is>
          <t>MT1-NVR-NEGATIVE</t>
        </is>
      </c>
      <c r="J31" s="6" t="inlineStr">
        <is>
          <t>PROPOSED_NOT_LOADED</t>
        </is>
      </c>
      <c r="K31" s="6" t="inlineStr">
        <is>
          <t>QA and Browser UAT must use same binding</t>
        </is>
      </c>
    </row>
    <row r="32" ht="42" customHeight="1">
      <c r="A32" s="6" t="inlineStr">
        <is>
          <t>MT103STP-007</t>
        </is>
      </c>
      <c r="B32" s="6" t="inlineStr">
        <is>
          <t>FIX-MT103STP-007@v1</t>
        </is>
      </c>
      <c r="C32" s="6" t="inlineStr">
        <is>
          <t>a453a9be-411b-566a-b373-430b801bebb2</t>
        </is>
      </c>
      <c r="D32" s="6" t="n">
        <v>1</v>
      </c>
      <c r="E32" s="6" t="inlineStr">
        <is>
          <t>e554a308-a3c1-5fea-8cd2-d5e8c1fd13d0</t>
        </is>
      </c>
      <c r="F32" s="6" t="n">
        <v>1</v>
      </c>
      <c r="G32" s="6" t="inlineStr">
        <is>
          <t>a346a259-4241-5c79-8a3f-c8d95478a9d2</t>
        </is>
      </c>
      <c r="H32" s="6" t="n">
        <v>1</v>
      </c>
      <c r="I32" s="9" t="inlineStr">
        <is>
          <t>MT1-NVR-NEGATIVE</t>
        </is>
      </c>
      <c r="J32" s="6" t="inlineStr">
        <is>
          <t>PROPOSED_NOT_LOADED</t>
        </is>
      </c>
      <c r="K32" s="6" t="inlineStr">
        <is>
          <t>QA and Browser UAT must use same binding</t>
        </is>
      </c>
    </row>
    <row r="33" ht="42" customHeight="1">
      <c r="A33" s="6" t="inlineStr">
        <is>
          <t>MT103STP-008</t>
        </is>
      </c>
      <c r="B33" s="6" t="inlineStr">
        <is>
          <t>FIX-MT103STP-008@v1</t>
        </is>
      </c>
      <c r="C33" s="6" t="inlineStr">
        <is>
          <t>7d575e72-7bd2-5de6-8044-f6917033def4</t>
        </is>
      </c>
      <c r="D33" s="6" t="n">
        <v>1</v>
      </c>
      <c r="E33" s="6" t="inlineStr">
        <is>
          <t>3824bb63-8228-540b-8807-05bae0571666</t>
        </is>
      </c>
      <c r="F33" s="6" t="n">
        <v>1</v>
      </c>
      <c r="G33" s="6" t="inlineStr">
        <is>
          <t>acd8de67-f84a-525c-806c-e0bf270c0626</t>
        </is>
      </c>
      <c r="H33" s="6" t="n">
        <v>1</v>
      </c>
      <c r="I33" s="9" t="inlineStr">
        <is>
          <t>MT1-DQ-NEGATIVE</t>
        </is>
      </c>
      <c r="J33" s="6" t="inlineStr">
        <is>
          <t>PROPOSED_NOT_LOADED</t>
        </is>
      </c>
      <c r="K33" s="6" t="inlineStr">
        <is>
          <t>QA and Browser UAT must use same binding</t>
        </is>
      </c>
    </row>
    <row r="34" ht="42" customHeight="1">
      <c r="A34" s="6" t="inlineStr">
        <is>
          <t>MT103STP-009</t>
        </is>
      </c>
      <c r="B34" s="6" t="inlineStr">
        <is>
          <t>FIX-MT103STP-009@v1</t>
        </is>
      </c>
      <c r="C34" s="6" t="inlineStr">
        <is>
          <t>687d6f0c-a2d8-56f2-b368-cf44901dcdfd</t>
        </is>
      </c>
      <c r="D34" s="6" t="n">
        <v>1</v>
      </c>
      <c r="E34" s="6" t="inlineStr">
        <is>
          <t>c96021a6-f650-5ba6-ace0-fb142b867ed7</t>
        </is>
      </c>
      <c r="F34" s="6" t="n">
        <v>1</v>
      </c>
      <c r="G34" s="6" t="inlineStr">
        <is>
          <t>b0cf1c7c-d144-50da-83c7-09d1af854848</t>
        </is>
      </c>
      <c r="H34" s="6" t="n">
        <v>1</v>
      </c>
      <c r="I34" s="9" t="inlineStr">
        <is>
          <t>MT1-DQ-NEGATIVE</t>
        </is>
      </c>
      <c r="J34" s="6" t="inlineStr">
        <is>
          <t>PROPOSED_NOT_LOADED</t>
        </is>
      </c>
      <c r="K34" s="6" t="inlineStr">
        <is>
          <t>QA and Browser UAT must use same binding</t>
        </is>
      </c>
    </row>
    <row r="35" ht="42" customHeight="1">
      <c r="A35" s="6" t="inlineStr">
        <is>
          <t>MT103STP-010</t>
        </is>
      </c>
      <c r="B35" s="6" t="inlineStr">
        <is>
          <t>FIX-MT103STP-010@v1</t>
        </is>
      </c>
      <c r="C35" s="6" t="inlineStr">
        <is>
          <t>d387b8b2-9db6-5fc7-ac69-98ff231e751f</t>
        </is>
      </c>
      <c r="D35" s="6" t="n">
        <v>1</v>
      </c>
      <c r="E35" s="6" t="inlineStr">
        <is>
          <t>82bc6caa-5911-56ed-a7b4-a1eea2732bae</t>
        </is>
      </c>
      <c r="F35" s="6" t="n">
        <v>1</v>
      </c>
      <c r="G35" s="6" t="inlineStr">
        <is>
          <t>a6e255f0-b191-5a8f-bcbb-861746a72728</t>
        </is>
      </c>
      <c r="H35" s="6" t="n">
        <v>1</v>
      </c>
      <c r="I35" s="9" t="inlineStr">
        <is>
          <t>MT1-DQ-NEGATIVE</t>
        </is>
      </c>
      <c r="J35" s="6" t="inlineStr">
        <is>
          <t>PROPOSED_NOT_LOADED</t>
        </is>
      </c>
      <c r="K35" s="6" t="inlineStr">
        <is>
          <t>QA and Browser UAT must use same binding</t>
        </is>
      </c>
    </row>
    <row r="36" ht="42" customHeight="1">
      <c r="A36" s="6" t="inlineStr">
        <is>
          <t>MT103STP-011</t>
        </is>
      </c>
      <c r="B36" s="6" t="inlineStr">
        <is>
          <t>FIX-MT103STP-011@v1</t>
        </is>
      </c>
      <c r="C36" s="6" t="inlineStr">
        <is>
          <t>425c859b-0246-5872-a5f5-681789343bbb</t>
        </is>
      </c>
      <c r="D36" s="6" t="n">
        <v>1</v>
      </c>
      <c r="E36" s="6" t="inlineStr">
        <is>
          <t>b78ed4c2-b119-549e-8a30-2b5b8c47058e</t>
        </is>
      </c>
      <c r="F36" s="6" t="n">
        <v>1</v>
      </c>
      <c r="G36" s="6" t="inlineStr">
        <is>
          <t>41ce1509-2706-5fcc-8431-a1aaa059c45c</t>
        </is>
      </c>
      <c r="H36" s="6" t="n">
        <v>1</v>
      </c>
      <c r="I36" s="9" t="inlineStr">
        <is>
          <t>MT1-NVR-NEGATIVE</t>
        </is>
      </c>
      <c r="J36" s="6" t="inlineStr">
        <is>
          <t>PROPOSED_NOT_LOADED</t>
        </is>
      </c>
      <c r="K36" s="6" t="inlineStr">
        <is>
          <t>QA and Browser UAT must use same binding</t>
        </is>
      </c>
    </row>
    <row r="37" ht="42" customHeight="1">
      <c r="A37" s="6" t="inlineStr">
        <is>
          <t>MT103STP-012</t>
        </is>
      </c>
      <c r="B37" s="6" t="inlineStr">
        <is>
          <t>FIX-MT103STP-012@v1</t>
        </is>
      </c>
      <c r="C37" s="6" t="inlineStr">
        <is>
          <t>573b6543-cf81-5ba4-bdfb-e95bc8492719</t>
        </is>
      </c>
      <c r="D37" s="6" t="n">
        <v>1</v>
      </c>
      <c r="E37" s="6" t="inlineStr">
        <is>
          <t>cdaa00db-d7cb-5175-8da1-bf8e477cd520</t>
        </is>
      </c>
      <c r="F37" s="6" t="n">
        <v>1</v>
      </c>
      <c r="G37" s="6" t="inlineStr">
        <is>
          <t>58ea01a6-5f41-5ae6-b01f-fe3faacd7759</t>
        </is>
      </c>
      <c r="H37" s="6" t="n">
        <v>1</v>
      </c>
      <c r="I37" s="8" t="inlineStr">
        <is>
          <t>MT1-CANONICAL-POSITIVE</t>
        </is>
      </c>
      <c r="J37" s="6" t="inlineStr">
        <is>
          <t>PROPOSED_NOT_LOADED</t>
        </is>
      </c>
      <c r="K37" s="6" t="inlineStr">
        <is>
          <t>QA and Browser UAT must use same binding</t>
        </is>
      </c>
    </row>
    <row r="38" ht="42" customHeight="1">
      <c r="A38" s="6" t="inlineStr">
        <is>
          <t>MT101-001</t>
        </is>
      </c>
      <c r="B38" s="6" t="inlineStr">
        <is>
          <t>FIX-MT101-001@v1</t>
        </is>
      </c>
      <c r="C38" s="6" t="inlineStr">
        <is>
          <t>b130cc27-0d9d-5fa1-a566-908318a3307e</t>
        </is>
      </c>
      <c r="D38" s="6" t="n">
        <v>1</v>
      </c>
      <c r="E38" s="6" t="inlineStr">
        <is>
          <t>a8cfe806-3f46-5c78-9067-9aa4e822903b</t>
        </is>
      </c>
      <c r="F38" s="6" t="n">
        <v>1</v>
      </c>
      <c r="G38" s="6" t="inlineStr">
        <is>
          <t>977bc61e-9cf8-55ca-9c32-b52ba592c61b</t>
        </is>
      </c>
      <c r="H38" s="6" t="n">
        <v>1</v>
      </c>
      <c r="I38" s="6" t="inlineStr">
        <is>
          <t>MT1-BOUNDARY</t>
        </is>
      </c>
      <c r="J38" s="6" t="inlineStr">
        <is>
          <t>PROPOSED_NOT_LOADED</t>
        </is>
      </c>
      <c r="K38" s="6" t="inlineStr">
        <is>
          <t>QA and Browser UAT must use same binding</t>
        </is>
      </c>
    </row>
    <row r="39" ht="42" customHeight="1">
      <c r="A39" s="6" t="inlineStr">
        <is>
          <t>MT101-002</t>
        </is>
      </c>
      <c r="B39" s="6" t="inlineStr">
        <is>
          <t>FIX-MT101-002@v1</t>
        </is>
      </c>
      <c r="C39" s="6" t="inlineStr">
        <is>
          <t>c057369a-3d85-56f4-bf53-1a591deb2cff</t>
        </is>
      </c>
      <c r="D39" s="6" t="n">
        <v>1</v>
      </c>
      <c r="E39" s="6" t="inlineStr">
        <is>
          <t>090261a5-df38-52bb-97e5-79d201fa8606</t>
        </is>
      </c>
      <c r="F39" s="6" t="n">
        <v>1</v>
      </c>
      <c r="G39" s="6" t="inlineStr">
        <is>
          <t>4f11f4ab-75bf-5a49-9fee-f302de2b5819</t>
        </is>
      </c>
      <c r="H39" s="6" t="n">
        <v>1</v>
      </c>
      <c r="I39" s="9" t="inlineStr">
        <is>
          <t>MT1-NVR-NEGATIVE</t>
        </is>
      </c>
      <c r="J39" s="6" t="inlineStr">
        <is>
          <t>PROPOSED_NOT_LOADED</t>
        </is>
      </c>
      <c r="K39" s="6" t="inlineStr">
        <is>
          <t>QA and Browser UAT must use same binding</t>
        </is>
      </c>
    </row>
    <row r="40" ht="42" customHeight="1">
      <c r="A40" s="6" t="inlineStr">
        <is>
          <t>MT101-003</t>
        </is>
      </c>
      <c r="B40" s="6" t="inlineStr">
        <is>
          <t>FIX-MT101-003@v1</t>
        </is>
      </c>
      <c r="C40" s="6" t="inlineStr">
        <is>
          <t>3800ec04-a566-5802-844d-da54287f7eeb</t>
        </is>
      </c>
      <c r="D40" s="6" t="n">
        <v>1</v>
      </c>
      <c r="E40" s="6" t="inlineStr">
        <is>
          <t>5091a610-e3f1-530d-9396-769b0888a392</t>
        </is>
      </c>
      <c r="F40" s="6" t="n">
        <v>1</v>
      </c>
      <c r="G40" s="6" t="inlineStr">
        <is>
          <t>e0108563-195c-5d89-b3ac-acfe68ae1ca5</t>
        </is>
      </c>
      <c r="H40" s="6" t="n">
        <v>1</v>
      </c>
      <c r="I40" s="9" t="inlineStr">
        <is>
          <t>MT1-NVR-NEGATIVE</t>
        </is>
      </c>
      <c r="J40" s="6" t="inlineStr">
        <is>
          <t>PROPOSED_NOT_LOADED</t>
        </is>
      </c>
      <c r="K40" s="6" t="inlineStr">
        <is>
          <t>QA and Browser UAT must use same binding</t>
        </is>
      </c>
    </row>
    <row r="41" ht="42" customHeight="1">
      <c r="A41" s="6" t="inlineStr">
        <is>
          <t>MT101-004</t>
        </is>
      </c>
      <c r="B41" s="6" t="inlineStr">
        <is>
          <t>FIX-MT101-004@v1</t>
        </is>
      </c>
      <c r="C41" s="6" t="inlineStr">
        <is>
          <t>7614616a-3dbb-5ecb-8aac-2a8b098389df</t>
        </is>
      </c>
      <c r="D41" s="6" t="n">
        <v>1</v>
      </c>
      <c r="E41" s="6" t="inlineStr">
        <is>
          <t>c69ceb62-d93a-5b2a-a3b3-78f1061f0d5c</t>
        </is>
      </c>
      <c r="F41" s="6" t="n">
        <v>1</v>
      </c>
      <c r="G41" s="6" t="inlineStr">
        <is>
          <t>43150461-58d5-5211-b641-e8cfc48cc649</t>
        </is>
      </c>
      <c r="H41" s="6" t="n">
        <v>1</v>
      </c>
      <c r="I41" s="8" t="inlineStr">
        <is>
          <t>MT1-CANONICAL-POSITIVE</t>
        </is>
      </c>
      <c r="J41" s="6" t="inlineStr">
        <is>
          <t>PROPOSED_NOT_LOADED</t>
        </is>
      </c>
      <c r="K41" s="6" t="inlineStr">
        <is>
          <t>QA and Browser UAT must use same binding</t>
        </is>
      </c>
    </row>
    <row r="42" ht="42" customHeight="1">
      <c r="A42" s="6" t="inlineStr">
        <is>
          <t>MT101-005</t>
        </is>
      </c>
      <c r="B42" s="6" t="inlineStr">
        <is>
          <t>FIX-MT101-005@v1</t>
        </is>
      </c>
      <c r="C42" s="6" t="inlineStr">
        <is>
          <t>9fc2f186-729e-55e2-a4c8-d8d31a5fd3eb</t>
        </is>
      </c>
      <c r="D42" s="6" t="n">
        <v>1</v>
      </c>
      <c r="E42" s="6" t="inlineStr">
        <is>
          <t>510a6ebf-0335-520c-bcbe-ccb3184953cd</t>
        </is>
      </c>
      <c r="F42" s="6" t="n">
        <v>1</v>
      </c>
      <c r="G42" s="6" t="inlineStr">
        <is>
          <t>11c147c6-0427-56b5-818e-8df4ce579304</t>
        </is>
      </c>
      <c r="H42" s="6" t="n">
        <v>1</v>
      </c>
      <c r="I42" s="8" t="inlineStr">
        <is>
          <t>MT1-CANONICAL-POSITIVE</t>
        </is>
      </c>
      <c r="J42" s="6" t="inlineStr">
        <is>
          <t>PROPOSED_NOT_LOADED</t>
        </is>
      </c>
      <c r="K42" s="6" t="inlineStr">
        <is>
          <t>QA and Browser UAT must use same binding</t>
        </is>
      </c>
    </row>
    <row r="43" ht="42" customHeight="1">
      <c r="A43" s="6" t="inlineStr">
        <is>
          <t>MT101-006</t>
        </is>
      </c>
      <c r="B43" s="6" t="inlineStr">
        <is>
          <t>FIX-MT101-006@v1</t>
        </is>
      </c>
      <c r="C43" s="6" t="inlineStr">
        <is>
          <t>023425fe-e034-5916-87c3-0fe1bafda835</t>
        </is>
      </c>
      <c r="D43" s="6" t="n">
        <v>1</v>
      </c>
      <c r="E43" s="6" t="inlineStr">
        <is>
          <t>6823aab0-4043-52c4-8618-a397881f7c33</t>
        </is>
      </c>
      <c r="F43" s="6" t="n">
        <v>1</v>
      </c>
      <c r="G43" s="6" t="inlineStr">
        <is>
          <t>342e7f44-1f46-5df1-935b-bdc079e9c2b5</t>
        </is>
      </c>
      <c r="H43" s="6" t="n">
        <v>1</v>
      </c>
      <c r="I43" s="8" t="inlineStr">
        <is>
          <t>MT1-CANONICAL-POSITIVE</t>
        </is>
      </c>
      <c r="J43" s="6" t="inlineStr">
        <is>
          <t>PROPOSED_NOT_LOADED</t>
        </is>
      </c>
      <c r="K43" s="6" t="inlineStr">
        <is>
          <t>QA and Browser UAT must use same binding</t>
        </is>
      </c>
    </row>
    <row r="44" ht="42" customHeight="1">
      <c r="A44" s="6" t="inlineStr">
        <is>
          <t>MT101-007</t>
        </is>
      </c>
      <c r="B44" s="6" t="inlineStr">
        <is>
          <t>FIX-MT101-007@v1</t>
        </is>
      </c>
      <c r="C44" s="6" t="inlineStr">
        <is>
          <t>eee45e45-eb95-5503-bf7d-6ecb7f5b77b7</t>
        </is>
      </c>
      <c r="D44" s="6" t="n">
        <v>1</v>
      </c>
      <c r="E44" s="6" t="inlineStr">
        <is>
          <t>82883d03-f846-50c2-ad4c-cc836383054e</t>
        </is>
      </c>
      <c r="F44" s="6" t="n">
        <v>1</v>
      </c>
      <c r="G44" s="6" t="inlineStr">
        <is>
          <t>636498a1-9fc7-53da-af27-b7510c18dae9</t>
        </is>
      </c>
      <c r="H44" s="6" t="n">
        <v>1</v>
      </c>
      <c r="I44" s="9" t="inlineStr">
        <is>
          <t>MT1-NVR-NEGATIVE</t>
        </is>
      </c>
      <c r="J44" s="6" t="inlineStr">
        <is>
          <t>PROPOSED_NOT_LOADED</t>
        </is>
      </c>
      <c r="K44" s="6" t="inlineStr">
        <is>
          <t>QA and Browser UAT must use same binding</t>
        </is>
      </c>
    </row>
    <row r="45" ht="42" customHeight="1">
      <c r="A45" s="6" t="inlineStr">
        <is>
          <t>MT101-008</t>
        </is>
      </c>
      <c r="B45" s="6" t="inlineStr">
        <is>
          <t>FIX-MT101-008@v1</t>
        </is>
      </c>
      <c r="C45" s="6" t="inlineStr">
        <is>
          <t>3d2e4744-4f24-52b8-9f10-196ded2f6de3</t>
        </is>
      </c>
      <c r="D45" s="6" t="n">
        <v>1</v>
      </c>
      <c r="E45" s="6" t="inlineStr">
        <is>
          <t>5224143f-d5bb-5583-8de2-924c87349486</t>
        </is>
      </c>
      <c r="F45" s="6" t="n">
        <v>1</v>
      </c>
      <c r="G45" s="6" t="inlineStr">
        <is>
          <t>381072ed-a8c7-5e1e-a20a-3fcead0e13ff</t>
        </is>
      </c>
      <c r="H45" s="6" t="n">
        <v>1</v>
      </c>
      <c r="I45" s="9" t="inlineStr">
        <is>
          <t>MT1-NVR-NEGATIVE</t>
        </is>
      </c>
      <c r="J45" s="6" t="inlineStr">
        <is>
          <t>PROPOSED_NOT_LOADED</t>
        </is>
      </c>
      <c r="K45" s="6" t="inlineStr">
        <is>
          <t>QA and Browser UAT must use same binding</t>
        </is>
      </c>
    </row>
    <row r="46" ht="42" customHeight="1">
      <c r="A46" s="6" t="inlineStr">
        <is>
          <t>MT102-001</t>
        </is>
      </c>
      <c r="B46" s="6" t="inlineStr">
        <is>
          <t>FIX-MT102-001@v1</t>
        </is>
      </c>
      <c r="C46" s="6" t="inlineStr">
        <is>
          <t>0d506dc1-01e3-5139-add0-772e21e99443</t>
        </is>
      </c>
      <c r="D46" s="6" t="n">
        <v>1</v>
      </c>
      <c r="E46" s="6" t="inlineStr">
        <is>
          <t>e7d2b466-6f60-5819-8be8-cb34e8de60e8</t>
        </is>
      </c>
      <c r="F46" s="6" t="n">
        <v>1</v>
      </c>
      <c r="G46" s="6" t="inlineStr">
        <is>
          <t>513ac778-677f-59d7-a652-2c6ad37fdaa8</t>
        </is>
      </c>
      <c r="H46" s="6" t="n">
        <v>1</v>
      </c>
      <c r="I46" s="6" t="inlineStr">
        <is>
          <t>MT1-BOUNDARY</t>
        </is>
      </c>
      <c r="J46" s="6" t="inlineStr">
        <is>
          <t>PROPOSED_NOT_LOADED</t>
        </is>
      </c>
      <c r="K46" s="6" t="inlineStr">
        <is>
          <t>QA and Browser UAT must use same binding</t>
        </is>
      </c>
    </row>
    <row r="47" ht="42" customHeight="1">
      <c r="A47" s="6" t="inlineStr">
        <is>
          <t>MT102-002</t>
        </is>
      </c>
      <c r="B47" s="6" t="inlineStr">
        <is>
          <t>FIX-MT102-002@v1</t>
        </is>
      </c>
      <c r="C47" s="6" t="inlineStr">
        <is>
          <t>fd70d629-04ae-5a92-ad4b-215fb0b61f34</t>
        </is>
      </c>
      <c r="D47" s="6" t="n">
        <v>1</v>
      </c>
      <c r="E47" s="6" t="inlineStr">
        <is>
          <t>aa23f18e-bf5d-55cf-a2f7-09f5e16b4d22</t>
        </is>
      </c>
      <c r="F47" s="6" t="n">
        <v>1</v>
      </c>
      <c r="G47" s="6" t="inlineStr">
        <is>
          <t>bc5aaa46-55e0-5160-9589-a1ae213247be</t>
        </is>
      </c>
      <c r="H47" s="6" t="n">
        <v>1</v>
      </c>
      <c r="I47" s="8" t="inlineStr">
        <is>
          <t>MT1-CANONICAL-POSITIVE</t>
        </is>
      </c>
      <c r="J47" s="6" t="inlineStr">
        <is>
          <t>PROPOSED_NOT_LOADED</t>
        </is>
      </c>
      <c r="K47" s="6" t="inlineStr">
        <is>
          <t>QA and Browser UAT must use same binding</t>
        </is>
      </c>
    </row>
    <row r="48" ht="42" customHeight="1">
      <c r="A48" s="6" t="inlineStr">
        <is>
          <t>MT102-003</t>
        </is>
      </c>
      <c r="B48" s="6" t="inlineStr">
        <is>
          <t>FIX-MT102-003@v1</t>
        </is>
      </c>
      <c r="C48" s="6" t="inlineStr">
        <is>
          <t>def7c747-06fb-545f-9df0-fc9d7b55c310</t>
        </is>
      </c>
      <c r="D48" s="6" t="n">
        <v>1</v>
      </c>
      <c r="E48" s="6" t="inlineStr">
        <is>
          <t>051e3546-f7cc-55cb-adfe-acaf4516903c</t>
        </is>
      </c>
      <c r="F48" s="6" t="n">
        <v>1</v>
      </c>
      <c r="G48" s="6" t="inlineStr">
        <is>
          <t>0bb335aa-652d-55d5-9d6f-ccfe092a427e</t>
        </is>
      </c>
      <c r="H48" s="6" t="n">
        <v>1</v>
      </c>
      <c r="I48" s="8" t="inlineStr">
        <is>
          <t>MT1-CANONICAL-POSITIVE</t>
        </is>
      </c>
      <c r="J48" s="6" t="inlineStr">
        <is>
          <t>PROPOSED_NOT_LOADED</t>
        </is>
      </c>
      <c r="K48" s="6" t="inlineStr">
        <is>
          <t>QA and Browser UAT must use same binding</t>
        </is>
      </c>
    </row>
    <row r="49" ht="42" customHeight="1">
      <c r="A49" s="6" t="inlineStr">
        <is>
          <t>MT102-004</t>
        </is>
      </c>
      <c r="B49" s="6" t="inlineStr">
        <is>
          <t>FIX-MT102-004@v1</t>
        </is>
      </c>
      <c r="C49" s="6" t="inlineStr">
        <is>
          <t>5a6d51fa-b230-57f4-a5b8-cbcd2a5f8000</t>
        </is>
      </c>
      <c r="D49" s="6" t="n">
        <v>1</v>
      </c>
      <c r="E49" s="6" t="inlineStr">
        <is>
          <t>c25e09aa-cf23-54de-b89d-b87558a13736</t>
        </is>
      </c>
      <c r="F49" s="6" t="n">
        <v>1</v>
      </c>
      <c r="G49" s="6" t="inlineStr">
        <is>
          <t>7a88ad57-d4f8-5b7a-97a9-891ef5605c93</t>
        </is>
      </c>
      <c r="H49" s="6" t="n">
        <v>1</v>
      </c>
      <c r="I49" s="8" t="inlineStr">
        <is>
          <t>MT1-CANONICAL-POSITIVE</t>
        </is>
      </c>
      <c r="J49" s="6" t="inlineStr">
        <is>
          <t>PROPOSED_NOT_LOADED</t>
        </is>
      </c>
      <c r="K49" s="6" t="inlineStr">
        <is>
          <t>QA and Browser UAT must use same binding</t>
        </is>
      </c>
    </row>
    <row r="50" ht="42" customHeight="1">
      <c r="A50" s="6" t="inlineStr">
        <is>
          <t>MT102-005</t>
        </is>
      </c>
      <c r="B50" s="6" t="inlineStr">
        <is>
          <t>FIX-MT102-005@v1</t>
        </is>
      </c>
      <c r="C50" s="6" t="inlineStr">
        <is>
          <t>f9e743e6-869d-5839-974f-2f1e7a703e28</t>
        </is>
      </c>
      <c r="D50" s="6" t="n">
        <v>1</v>
      </c>
      <c r="E50" s="6" t="inlineStr">
        <is>
          <t>0ef8b649-6792-568a-a472-3ae28b7992f5</t>
        </is>
      </c>
      <c r="F50" s="6" t="n">
        <v>1</v>
      </c>
      <c r="G50" s="6" t="inlineStr">
        <is>
          <t>878fc43b-2d76-571d-8389-b0acd165ebde</t>
        </is>
      </c>
      <c r="H50" s="6" t="n">
        <v>1</v>
      </c>
      <c r="I50" s="9" t="inlineStr">
        <is>
          <t>MT1-NVR-NEGATIVE</t>
        </is>
      </c>
      <c r="J50" s="6" t="inlineStr">
        <is>
          <t>PROPOSED_NOT_LOADED</t>
        </is>
      </c>
      <c r="K50" s="6" t="inlineStr">
        <is>
          <t>QA and Browser UAT must use same binding</t>
        </is>
      </c>
    </row>
    <row r="51" ht="42" customHeight="1">
      <c r="A51" s="6" t="inlineStr">
        <is>
          <t>MT102-006</t>
        </is>
      </c>
      <c r="B51" s="6" t="inlineStr">
        <is>
          <t>FIX-MT102-006@v1</t>
        </is>
      </c>
      <c r="C51" s="6" t="inlineStr">
        <is>
          <t>6248da31-fd96-5589-9efa-1ce3e1d75cb9</t>
        </is>
      </c>
      <c r="D51" s="6" t="n">
        <v>1</v>
      </c>
      <c r="E51" s="6" t="inlineStr">
        <is>
          <t>a504f845-eed1-529b-9746-0fa7ba88c430</t>
        </is>
      </c>
      <c r="F51" s="6" t="n">
        <v>1</v>
      </c>
      <c r="G51" s="6" t="inlineStr">
        <is>
          <t>a4648bc7-e054-5fae-877d-f224cf2e17ff</t>
        </is>
      </c>
      <c r="H51" s="6" t="n">
        <v>1</v>
      </c>
      <c r="I51" s="9" t="inlineStr">
        <is>
          <t>MT1-DQ-NEGATIVE</t>
        </is>
      </c>
      <c r="J51" s="6" t="inlineStr">
        <is>
          <t>PROPOSED_NOT_LOADED</t>
        </is>
      </c>
      <c r="K51" s="6" t="inlineStr">
        <is>
          <t>QA and Browser UAT must use same binding</t>
        </is>
      </c>
    </row>
    <row r="52" ht="42" customHeight="1">
      <c r="A52" s="6" t="inlineStr">
        <is>
          <t>MT102-007</t>
        </is>
      </c>
      <c r="B52" s="6" t="inlineStr">
        <is>
          <t>FIX-MT102-007@v1</t>
        </is>
      </c>
      <c r="C52" s="6" t="inlineStr">
        <is>
          <t>6d1ae11b-4b0b-5012-a513-e16f12426bc9</t>
        </is>
      </c>
      <c r="D52" s="6" t="n">
        <v>1</v>
      </c>
      <c r="E52" s="6" t="inlineStr">
        <is>
          <t>a1b99280-652a-5f07-83f1-f7d25fc9bd2d</t>
        </is>
      </c>
      <c r="F52" s="6" t="n">
        <v>1</v>
      </c>
      <c r="G52" s="6" t="inlineStr">
        <is>
          <t>55cedf33-0ebb-5680-90fc-229f83a7a211</t>
        </is>
      </c>
      <c r="H52" s="6" t="n">
        <v>1</v>
      </c>
      <c r="I52" s="9" t="inlineStr">
        <is>
          <t>MT1-DQ-NEGATIVE</t>
        </is>
      </c>
      <c r="J52" s="6" t="inlineStr">
        <is>
          <t>PROPOSED_NOT_LOADED</t>
        </is>
      </c>
      <c r="K52" s="6" t="inlineStr">
        <is>
          <t>QA and Browser UAT must use same binding</t>
        </is>
      </c>
    </row>
    <row r="53" ht="42" customHeight="1">
      <c r="A53" s="6" t="inlineStr">
        <is>
          <t>MT102-008</t>
        </is>
      </c>
      <c r="B53" s="6" t="inlineStr">
        <is>
          <t>FIX-MT102-008@v1</t>
        </is>
      </c>
      <c r="C53" s="6" t="inlineStr">
        <is>
          <t>273f168b-5db5-5e2b-854d-da1371f86798</t>
        </is>
      </c>
      <c r="D53" s="6" t="n">
        <v>1</v>
      </c>
      <c r="E53" s="6" t="inlineStr">
        <is>
          <t>b825ae7d-e042-5af5-9339-a6be3e0d86fc</t>
        </is>
      </c>
      <c r="F53" s="6" t="n">
        <v>1</v>
      </c>
      <c r="G53" s="6" t="inlineStr">
        <is>
          <t>645011bd-d6bc-5a2c-a5d0-d209c45a6061</t>
        </is>
      </c>
      <c r="H53" s="6" t="n">
        <v>1</v>
      </c>
      <c r="I53" s="9" t="inlineStr">
        <is>
          <t>MT1-NVR-NEGATIVE</t>
        </is>
      </c>
      <c r="J53" s="6" t="inlineStr">
        <is>
          <t>PROPOSED_NOT_LOADED</t>
        </is>
      </c>
      <c r="K53" s="6" t="inlineStr">
        <is>
          <t>QA and Browser UAT must use same binding</t>
        </is>
      </c>
    </row>
    <row r="54" ht="42" customHeight="1">
      <c r="A54" s="6" t="inlineStr">
        <is>
          <t>MT102STP-001</t>
        </is>
      </c>
      <c r="B54" s="6" t="inlineStr">
        <is>
          <t>FIX-MT102STP-001@v1</t>
        </is>
      </c>
      <c r="C54" s="6" t="inlineStr">
        <is>
          <t>d4074426-59af-59b7-88f0-d64193454e98</t>
        </is>
      </c>
      <c r="D54" s="6" t="n">
        <v>1</v>
      </c>
      <c r="E54" s="6" t="inlineStr">
        <is>
          <t>72eb6df2-202b-5fb3-9257-13264bb10678</t>
        </is>
      </c>
      <c r="F54" s="6" t="n">
        <v>1</v>
      </c>
      <c r="G54" s="6" t="inlineStr">
        <is>
          <t>0e2fb878-4c86-5a54-b822-3750d0a1ff92</t>
        </is>
      </c>
      <c r="H54" s="6" t="n">
        <v>1</v>
      </c>
      <c r="I54" s="6" t="inlineStr">
        <is>
          <t>MT1-BOUNDARY</t>
        </is>
      </c>
      <c r="J54" s="6" t="inlineStr">
        <is>
          <t>PROPOSED_NOT_LOADED</t>
        </is>
      </c>
      <c r="K54" s="6" t="inlineStr">
        <is>
          <t>QA and Browser UAT must use same binding</t>
        </is>
      </c>
    </row>
    <row r="55" ht="42" customHeight="1">
      <c r="A55" s="6" t="inlineStr">
        <is>
          <t>MT102STP-002</t>
        </is>
      </c>
      <c r="B55" s="6" t="inlineStr">
        <is>
          <t>FIX-MT102STP-002@v1</t>
        </is>
      </c>
      <c r="C55" s="6" t="inlineStr">
        <is>
          <t>201ef87a-c5e8-568a-a037-bc1026dc880a</t>
        </is>
      </c>
      <c r="D55" s="6" t="n">
        <v>1</v>
      </c>
      <c r="E55" s="6" t="inlineStr">
        <is>
          <t>3b7de0af-4a64-5774-8a7e-19d4af705157</t>
        </is>
      </c>
      <c r="F55" s="6" t="n">
        <v>1</v>
      </c>
      <c r="G55" s="6" t="inlineStr">
        <is>
          <t>7374968b-35c0-56c9-9ff0-a8618011d8de</t>
        </is>
      </c>
      <c r="H55" s="6" t="n">
        <v>1</v>
      </c>
      <c r="I55" s="8" t="inlineStr">
        <is>
          <t>MT1-CANONICAL-POSITIVE</t>
        </is>
      </c>
      <c r="J55" s="6" t="inlineStr">
        <is>
          <t>PROPOSED_NOT_LOADED</t>
        </is>
      </c>
      <c r="K55" s="6" t="inlineStr">
        <is>
          <t>QA and Browser UAT must use same binding</t>
        </is>
      </c>
    </row>
    <row r="56" ht="42" customHeight="1">
      <c r="A56" s="6" t="inlineStr">
        <is>
          <t>MT102STP-003</t>
        </is>
      </c>
      <c r="B56" s="6" t="inlineStr">
        <is>
          <t>FIX-MT102STP-003@v1</t>
        </is>
      </c>
      <c r="C56" s="6" t="inlineStr">
        <is>
          <t>a8dfbc39-1427-5a35-ad53-ce0c7e432216</t>
        </is>
      </c>
      <c r="D56" s="6" t="n">
        <v>1</v>
      </c>
      <c r="E56" s="6" t="inlineStr">
        <is>
          <t>90372258-e14d-5114-abda-5d3bdd9ecb33</t>
        </is>
      </c>
      <c r="F56" s="6" t="n">
        <v>1</v>
      </c>
      <c r="G56" s="6" t="inlineStr">
        <is>
          <t>16584030-c603-555b-b7d6-061048f492d2</t>
        </is>
      </c>
      <c r="H56" s="6" t="n">
        <v>1</v>
      </c>
      <c r="I56" s="8" t="inlineStr">
        <is>
          <t>MT1-CANONICAL-POSITIVE</t>
        </is>
      </c>
      <c r="J56" s="6" t="inlineStr">
        <is>
          <t>PROPOSED_NOT_LOADED</t>
        </is>
      </c>
      <c r="K56" s="6" t="inlineStr">
        <is>
          <t>QA and Browser UAT must use same binding</t>
        </is>
      </c>
    </row>
    <row r="57" ht="42" customHeight="1">
      <c r="A57" s="6" t="inlineStr">
        <is>
          <t>MT102STP-004</t>
        </is>
      </c>
      <c r="B57" s="6" t="inlineStr">
        <is>
          <t>FIX-MT102STP-004@v1</t>
        </is>
      </c>
      <c r="C57" s="6" t="inlineStr">
        <is>
          <t>2e2ad687-bc99-52fe-9899-025f88fbcd89</t>
        </is>
      </c>
      <c r="D57" s="6" t="n">
        <v>1</v>
      </c>
      <c r="E57" s="6" t="inlineStr">
        <is>
          <t>42fa864f-5128-53f8-8833-01caf7aceee9</t>
        </is>
      </c>
      <c r="F57" s="6" t="n">
        <v>1</v>
      </c>
      <c r="G57" s="6" t="inlineStr">
        <is>
          <t>3132ceee-1f1c-510c-b87f-b84d323082e4</t>
        </is>
      </c>
      <c r="H57" s="6" t="n">
        <v>1</v>
      </c>
      <c r="I57" s="8" t="inlineStr">
        <is>
          <t>MT1-CANONICAL-POSITIVE</t>
        </is>
      </c>
      <c r="J57" s="6" t="inlineStr">
        <is>
          <t>PROPOSED_NOT_LOADED</t>
        </is>
      </c>
      <c r="K57" s="6" t="inlineStr">
        <is>
          <t>QA and Browser UAT must use same binding</t>
        </is>
      </c>
    </row>
    <row r="58" ht="42" customHeight="1">
      <c r="A58" s="6" t="inlineStr">
        <is>
          <t>MT102STP-005</t>
        </is>
      </c>
      <c r="B58" s="6" t="inlineStr">
        <is>
          <t>FIX-MT102STP-005@v1</t>
        </is>
      </c>
      <c r="C58" s="6" t="inlineStr">
        <is>
          <t>d92faa40-1dc0-5e78-92f5-89100cd74fb8</t>
        </is>
      </c>
      <c r="D58" s="6" t="n">
        <v>1</v>
      </c>
      <c r="E58" s="6" t="inlineStr">
        <is>
          <t>ef291802-a333-5cf9-a732-c123b44cb3f7</t>
        </is>
      </c>
      <c r="F58" s="6" t="n">
        <v>1</v>
      </c>
      <c r="G58" s="6" t="inlineStr">
        <is>
          <t>ef4bcbf6-e11d-5086-8732-95aa814b4b36</t>
        </is>
      </c>
      <c r="H58" s="6" t="n">
        <v>1</v>
      </c>
      <c r="I58" s="9" t="inlineStr">
        <is>
          <t>MT1-NVR-NEGATIVE</t>
        </is>
      </c>
      <c r="J58" s="6" t="inlineStr">
        <is>
          <t>PROPOSED_NOT_LOADED</t>
        </is>
      </c>
      <c r="K58" s="6" t="inlineStr">
        <is>
          <t>QA and Browser UAT must use same binding</t>
        </is>
      </c>
    </row>
    <row r="59" ht="42" customHeight="1">
      <c r="A59" s="6" t="inlineStr">
        <is>
          <t>MT102STP-006</t>
        </is>
      </c>
      <c r="B59" s="6" t="inlineStr">
        <is>
          <t>FIX-MT102STP-006@v1</t>
        </is>
      </c>
      <c r="C59" s="6" t="inlineStr">
        <is>
          <t>d4383268-99e8-56b8-86d7-a115ad6edb64</t>
        </is>
      </c>
      <c r="D59" s="6" t="n">
        <v>1</v>
      </c>
      <c r="E59" s="6" t="inlineStr">
        <is>
          <t>d782932e-8b5f-5d04-94f5-ddad51be7523</t>
        </is>
      </c>
      <c r="F59" s="6" t="n">
        <v>1</v>
      </c>
      <c r="G59" s="6" t="inlineStr">
        <is>
          <t>6cb1b2a9-2f7f-53cd-a03f-57c6f71b1822</t>
        </is>
      </c>
      <c r="H59" s="6" t="n">
        <v>1</v>
      </c>
      <c r="I59" s="9" t="inlineStr">
        <is>
          <t>MT1-DQ-NEGATIVE</t>
        </is>
      </c>
      <c r="J59" s="6" t="inlineStr">
        <is>
          <t>PROPOSED_NOT_LOADED</t>
        </is>
      </c>
      <c r="K59" s="6" t="inlineStr">
        <is>
          <t>QA and Browser UAT must use same binding</t>
        </is>
      </c>
    </row>
    <row r="60" ht="42" customHeight="1">
      <c r="A60" s="6" t="inlineStr">
        <is>
          <t>MT102STP-007</t>
        </is>
      </c>
      <c r="B60" s="6" t="inlineStr">
        <is>
          <t>FIX-MT102STP-007@v1</t>
        </is>
      </c>
      <c r="C60" s="6" t="inlineStr">
        <is>
          <t>1a7349dc-cdec-5f72-a32d-f9554c8ec918</t>
        </is>
      </c>
      <c r="D60" s="6" t="n">
        <v>1</v>
      </c>
      <c r="E60" s="6" t="inlineStr">
        <is>
          <t>7ca011b8-38bb-5668-82c9-b3283ff198de</t>
        </is>
      </c>
      <c r="F60" s="6" t="n">
        <v>1</v>
      </c>
      <c r="G60" s="6" t="inlineStr">
        <is>
          <t>58086af5-8711-5e29-a683-088739fe2e8e</t>
        </is>
      </c>
      <c r="H60" s="6" t="n">
        <v>1</v>
      </c>
      <c r="I60" s="9" t="inlineStr">
        <is>
          <t>MT1-DQ-NEGATIVE</t>
        </is>
      </c>
      <c r="J60" s="6" t="inlineStr">
        <is>
          <t>PROPOSED_NOT_LOADED</t>
        </is>
      </c>
      <c r="K60" s="6" t="inlineStr">
        <is>
          <t>QA and Browser UAT must use same binding</t>
        </is>
      </c>
    </row>
    <row r="61" ht="42" customHeight="1">
      <c r="A61" s="6" t="inlineStr">
        <is>
          <t>MT102STP-008</t>
        </is>
      </c>
      <c r="B61" s="6" t="inlineStr">
        <is>
          <t>FIX-MT102STP-008@v1</t>
        </is>
      </c>
      <c r="C61" s="6" t="inlineStr">
        <is>
          <t>4bad0c61-d5df-5add-bbda-977200c308a1</t>
        </is>
      </c>
      <c r="D61" s="6" t="n">
        <v>1</v>
      </c>
      <c r="E61" s="6" t="inlineStr">
        <is>
          <t>4354c0d5-3612-54c0-b846-625be450138e</t>
        </is>
      </c>
      <c r="F61" s="6" t="n">
        <v>1</v>
      </c>
      <c r="G61" s="6" t="inlineStr">
        <is>
          <t>0318d656-b74b-5b85-aae1-0e79a7ed2b75</t>
        </is>
      </c>
      <c r="H61" s="6" t="n">
        <v>1</v>
      </c>
      <c r="I61" s="9" t="inlineStr">
        <is>
          <t>MT1-NVR-NEGATIVE</t>
        </is>
      </c>
      <c r="J61" s="6" t="inlineStr">
        <is>
          <t>PROPOSED_NOT_LOADED</t>
        </is>
      </c>
      <c r="K61" s="6" t="inlineStr">
        <is>
          <t>QA and Browser UAT must use same binding</t>
        </is>
      </c>
    </row>
    <row r="62" ht="42" customHeight="1">
      <c r="A62" s="6" t="inlineStr">
        <is>
          <t>PACS008-001</t>
        </is>
      </c>
      <c r="B62" s="6" t="inlineStr">
        <is>
          <t>FIX-PACS008-001@v1</t>
        </is>
      </c>
      <c r="C62" s="6" t="inlineStr">
        <is>
          <t>78d98735-9aed-5ae6-a77e-bf8b4acfe9f5</t>
        </is>
      </c>
      <c r="D62" s="6" t="n">
        <v>1</v>
      </c>
      <c r="E62" s="6" t="inlineStr">
        <is>
          <t>e15221c5-1405-5407-b52c-4e2858085a91</t>
        </is>
      </c>
      <c r="F62" s="6" t="n">
        <v>1</v>
      </c>
      <c r="G62" s="6" t="inlineStr">
        <is>
          <t>d5900628-312f-578b-b964-871c604f799b</t>
        </is>
      </c>
      <c r="H62" s="6" t="n">
        <v>1</v>
      </c>
      <c r="I62" s="8" t="inlineStr">
        <is>
          <t>MT1-CANONICAL-POSITIVE</t>
        </is>
      </c>
      <c r="J62" s="6" t="inlineStr">
        <is>
          <t>PROPOSED_NOT_LOADED</t>
        </is>
      </c>
      <c r="K62" s="6" t="inlineStr">
        <is>
          <t>QA and Browser UAT must use same binding</t>
        </is>
      </c>
    </row>
    <row r="63" ht="42" customHeight="1">
      <c r="A63" s="6" t="inlineStr">
        <is>
          <t>PACS008-002</t>
        </is>
      </c>
      <c r="B63" s="6" t="inlineStr">
        <is>
          <t>FIX-PACS008-002@v1</t>
        </is>
      </c>
      <c r="C63" s="6" t="inlineStr">
        <is>
          <t>f70dc97c-91b5-5adc-b0d9-0b08a69c2aa4</t>
        </is>
      </c>
      <c r="D63" s="6" t="n">
        <v>1</v>
      </c>
      <c r="E63" s="6" t="inlineStr">
        <is>
          <t>d9e3bf42-67f3-5776-b881-67f095e97316</t>
        </is>
      </c>
      <c r="F63" s="6" t="n">
        <v>1</v>
      </c>
      <c r="G63" s="6" t="inlineStr">
        <is>
          <t>c51c0b50-40d1-55b2-a0aa-b24e6f3c25cf</t>
        </is>
      </c>
      <c r="H63" s="6" t="n">
        <v>1</v>
      </c>
      <c r="I63" s="8" t="inlineStr">
        <is>
          <t>MT1-CANONICAL-POSITIVE</t>
        </is>
      </c>
      <c r="J63" s="6" t="inlineStr">
        <is>
          <t>PROPOSED_NOT_LOADED</t>
        </is>
      </c>
      <c r="K63" s="6" t="inlineStr">
        <is>
          <t>QA and Browser UAT must use same binding</t>
        </is>
      </c>
    </row>
    <row r="64" ht="42" customHeight="1">
      <c r="A64" s="6" t="inlineStr">
        <is>
          <t>PACS008-003</t>
        </is>
      </c>
      <c r="B64" s="6" t="inlineStr">
        <is>
          <t>FIX-PACS008-003@v1</t>
        </is>
      </c>
      <c r="C64" s="6" t="inlineStr">
        <is>
          <t>b9426404-0110-566d-afa8-ee361b2d6c9f</t>
        </is>
      </c>
      <c r="D64" s="6" t="n">
        <v>1</v>
      </c>
      <c r="E64" s="6" t="inlineStr">
        <is>
          <t>4bb9ed0f-4e6f-5d30-88c5-dec8788f75ee</t>
        </is>
      </c>
      <c r="F64" s="6" t="n">
        <v>1</v>
      </c>
      <c r="G64" s="6" t="inlineStr">
        <is>
          <t>b555f4d0-f951-50c2-9182-f77a375a7c4e</t>
        </is>
      </c>
      <c r="H64" s="6" t="n">
        <v>1</v>
      </c>
      <c r="I64" s="9" t="inlineStr">
        <is>
          <t>MT1-NVR-NEGATIVE</t>
        </is>
      </c>
      <c r="J64" s="6" t="inlineStr">
        <is>
          <t>PROPOSED_NOT_LOADED</t>
        </is>
      </c>
      <c r="K64" s="6" t="inlineStr">
        <is>
          <t>QA and Browser UAT must use same binding</t>
        </is>
      </c>
    </row>
    <row r="65" ht="42" customHeight="1">
      <c r="A65" s="6" t="inlineStr">
        <is>
          <t>PACS008-004</t>
        </is>
      </c>
      <c r="B65" s="6" t="inlineStr">
        <is>
          <t>FIX-PACS008-004@v1</t>
        </is>
      </c>
      <c r="C65" s="6" t="inlineStr">
        <is>
          <t>0813a951-f6f4-5956-98c5-aa5ed12c1e2c</t>
        </is>
      </c>
      <c r="D65" s="6" t="n">
        <v>1</v>
      </c>
      <c r="E65" s="6" t="inlineStr">
        <is>
          <t>1d5f0469-f1dd-5d36-bca5-d15ad1925b4c</t>
        </is>
      </c>
      <c r="F65" s="6" t="n">
        <v>1</v>
      </c>
      <c r="G65" s="6" t="inlineStr">
        <is>
          <t>3bda744e-661a-589c-be45-0aeaa62a159b</t>
        </is>
      </c>
      <c r="H65" s="6" t="n">
        <v>1</v>
      </c>
      <c r="I65" s="8" t="inlineStr">
        <is>
          <t>MT1-CANONICAL-POSITIVE</t>
        </is>
      </c>
      <c r="J65" s="6" t="inlineStr">
        <is>
          <t>PROPOSED_NOT_LOADED</t>
        </is>
      </c>
      <c r="K65" s="6" t="inlineStr">
        <is>
          <t>QA and Browser UAT must use same binding</t>
        </is>
      </c>
    </row>
    <row r="66" ht="42" customHeight="1">
      <c r="A66" s="6" t="inlineStr">
        <is>
          <t>PACS008-005</t>
        </is>
      </c>
      <c r="B66" s="6" t="inlineStr">
        <is>
          <t>FIX-PACS008-005@v1</t>
        </is>
      </c>
      <c r="C66" s="6" t="inlineStr">
        <is>
          <t>2f0e0032-4ef8-5a5e-b0eb-c21775380d35</t>
        </is>
      </c>
      <c r="D66" s="6" t="n">
        <v>1</v>
      </c>
      <c r="E66" s="6" t="inlineStr">
        <is>
          <t>aaf4e7d5-038b-573c-8ade-36236dfe6947</t>
        </is>
      </c>
      <c r="F66" s="6" t="n">
        <v>1</v>
      </c>
      <c r="G66" s="6" t="inlineStr">
        <is>
          <t>4a62ed1e-95a9-5a5d-9015-261c539c7496</t>
        </is>
      </c>
      <c r="H66" s="6" t="n">
        <v>1</v>
      </c>
      <c r="I66" s="8" t="inlineStr">
        <is>
          <t>MT1-CANONICAL-POSITIVE</t>
        </is>
      </c>
      <c r="J66" s="6" t="inlineStr">
        <is>
          <t>PROPOSED_NOT_LOADED</t>
        </is>
      </c>
      <c r="K66" s="6" t="inlineStr">
        <is>
          <t>QA and Browser UAT must use same binding</t>
        </is>
      </c>
    </row>
    <row r="67" ht="42" customHeight="1">
      <c r="A67" s="6" t="inlineStr">
        <is>
          <t>PACS008-006</t>
        </is>
      </c>
      <c r="B67" s="6" t="inlineStr">
        <is>
          <t>FIX-PACS008-006@v1</t>
        </is>
      </c>
      <c r="C67" s="6" t="inlineStr">
        <is>
          <t>9468c1ca-a98b-5787-a559-32f95e0b9a40</t>
        </is>
      </c>
      <c r="D67" s="6" t="n">
        <v>1</v>
      </c>
      <c r="E67" s="6" t="inlineStr">
        <is>
          <t>140f7f7e-d71b-5c3f-a492-70c33d890339</t>
        </is>
      </c>
      <c r="F67" s="6" t="n">
        <v>1</v>
      </c>
      <c r="G67" s="6" t="inlineStr">
        <is>
          <t>8d501096-ddae-566b-a992-1bac85352894</t>
        </is>
      </c>
      <c r="H67" s="6" t="n">
        <v>1</v>
      </c>
      <c r="I67" s="8" t="inlineStr">
        <is>
          <t>MT1-CANONICAL-POSITIVE</t>
        </is>
      </c>
      <c r="J67" s="6" t="inlineStr">
        <is>
          <t>PROPOSED_NOT_LOADED</t>
        </is>
      </c>
      <c r="K67" s="6" t="inlineStr">
        <is>
          <t>QA and Browser UAT must use same binding</t>
        </is>
      </c>
    </row>
    <row r="68" ht="42" customHeight="1">
      <c r="A68" s="6" t="inlineStr">
        <is>
          <t>PACS008-007</t>
        </is>
      </c>
      <c r="B68" s="6" t="inlineStr">
        <is>
          <t>FIX-PACS008-007@v1</t>
        </is>
      </c>
      <c r="C68" s="6" t="inlineStr">
        <is>
          <t>bcd03181-6048-565f-8064-599fe2fbc287</t>
        </is>
      </c>
      <c r="D68" s="6" t="n">
        <v>1</v>
      </c>
      <c r="E68" s="6" t="inlineStr">
        <is>
          <t>aa3fc324-11f9-58ba-9d84-7058c0217e1d</t>
        </is>
      </c>
      <c r="F68" s="6" t="n">
        <v>1</v>
      </c>
      <c r="G68" s="6" t="inlineStr">
        <is>
          <t>29b7c106-25bd-5118-92b1-027b4efaeb51</t>
        </is>
      </c>
      <c r="H68" s="6" t="n">
        <v>1</v>
      </c>
      <c r="I68" s="9" t="inlineStr">
        <is>
          <t>MT1-NVR-NEGATIVE</t>
        </is>
      </c>
      <c r="J68" s="6" t="inlineStr">
        <is>
          <t>PROPOSED_NOT_LOADED</t>
        </is>
      </c>
      <c r="K68" s="6" t="inlineStr">
        <is>
          <t>QA and Browser UAT must use same binding</t>
        </is>
      </c>
    </row>
    <row r="69" ht="42" customHeight="1">
      <c r="A69" s="6" t="inlineStr">
        <is>
          <t>PACS008-008</t>
        </is>
      </c>
      <c r="B69" s="6" t="inlineStr">
        <is>
          <t>FIX-PACS008-008@v1</t>
        </is>
      </c>
      <c r="C69" s="6" t="inlineStr">
        <is>
          <t>447bc59d-6fb9-5910-b81d-5b53d0c5018b</t>
        </is>
      </c>
      <c r="D69" s="6" t="n">
        <v>1</v>
      </c>
      <c r="E69" s="6" t="inlineStr">
        <is>
          <t>9d85bcfb-bd4d-52ce-930a-55d33c949657</t>
        </is>
      </c>
      <c r="F69" s="6" t="n">
        <v>1</v>
      </c>
      <c r="G69" s="6" t="inlineStr">
        <is>
          <t>ee51759e-f9c0-55bd-b087-e5cad7dde21d</t>
        </is>
      </c>
      <c r="H69" s="6" t="n">
        <v>1</v>
      </c>
      <c r="I69" s="6" t="inlineStr">
        <is>
          <t>MT1-BOUNDARY</t>
        </is>
      </c>
      <c r="J69" s="6" t="inlineStr">
        <is>
          <t>PROPOSED_NOT_LOADED</t>
        </is>
      </c>
      <c r="K69" s="6" t="inlineStr">
        <is>
          <t>QA and Browser UAT must use same binding</t>
        </is>
      </c>
    </row>
    <row r="70" ht="42" customHeight="1">
      <c r="A70" s="6" t="inlineStr">
        <is>
          <t>PACS008-009</t>
        </is>
      </c>
      <c r="B70" s="6" t="inlineStr">
        <is>
          <t>FIX-PACS008-009@v1</t>
        </is>
      </c>
      <c r="C70" s="6" t="inlineStr">
        <is>
          <t>75b5f4c4-1010-5c23-bee6-64380e65625f</t>
        </is>
      </c>
      <c r="D70" s="6" t="n">
        <v>1</v>
      </c>
      <c r="E70" s="6" t="inlineStr">
        <is>
          <t>5c2c99e8-39e0-564f-ae48-4b804ab7130c</t>
        </is>
      </c>
      <c r="F70" s="6" t="n">
        <v>1</v>
      </c>
      <c r="G70" s="6" t="inlineStr">
        <is>
          <t>f8e89883-ce86-5de3-8b2b-6c227c919f9b</t>
        </is>
      </c>
      <c r="H70" s="6" t="n">
        <v>1</v>
      </c>
      <c r="I70" s="8" t="inlineStr">
        <is>
          <t>MT1-CANONICAL-POSITIVE</t>
        </is>
      </c>
      <c r="J70" s="6" t="inlineStr">
        <is>
          <t>PROPOSED_NOT_LOADED</t>
        </is>
      </c>
      <c r="K70" s="6" t="inlineStr">
        <is>
          <t>QA and Browser UAT must use same binding</t>
        </is>
      </c>
    </row>
    <row r="71" ht="42" customHeight="1">
      <c r="A71" s="6" t="inlineStr">
        <is>
          <t>PACS008-010</t>
        </is>
      </c>
      <c r="B71" s="6" t="inlineStr">
        <is>
          <t>FIX-PACS008-010@v1</t>
        </is>
      </c>
      <c r="C71" s="6" t="inlineStr">
        <is>
          <t>130b30cd-d553-50da-85c2-667c551b45bc</t>
        </is>
      </c>
      <c r="D71" s="6" t="n">
        <v>1</v>
      </c>
      <c r="E71" s="6" t="inlineStr">
        <is>
          <t>e5c00889-d1d7-5084-8f17-82c84d2e9011</t>
        </is>
      </c>
      <c r="F71" s="6" t="n">
        <v>1</v>
      </c>
      <c r="G71" s="6" t="inlineStr">
        <is>
          <t>377179ed-714d-5a04-ab68-4c8a6a41c506</t>
        </is>
      </c>
      <c r="H71" s="6" t="n">
        <v>1</v>
      </c>
      <c r="I71" s="8" t="inlineStr">
        <is>
          <t>MT1-CANONICAL-POSITIVE</t>
        </is>
      </c>
      <c r="J71" s="6" t="inlineStr">
        <is>
          <t>PROPOSED_NOT_LOADED</t>
        </is>
      </c>
      <c r="K71" s="6" t="inlineStr">
        <is>
          <t>QA and Browser UAT must use same binding</t>
        </is>
      </c>
    </row>
    <row r="72" ht="42" customHeight="1">
      <c r="A72" s="6" t="inlineStr">
        <is>
          <t>MT104-001</t>
        </is>
      </c>
      <c r="B72" s="6" t="inlineStr">
        <is>
          <t>FIX-MT104-001@v1</t>
        </is>
      </c>
      <c r="C72" s="6" t="inlineStr">
        <is>
          <t>349f5696-4605-5d20-a443-12202b4cad62</t>
        </is>
      </c>
      <c r="D72" s="6" t="n">
        <v>1</v>
      </c>
      <c r="E72" s="6" t="inlineStr">
        <is>
          <t>3ec39cfc-6cfb-5f84-9581-6c5d4edfa9b6</t>
        </is>
      </c>
      <c r="F72" s="6" t="n">
        <v>1</v>
      </c>
      <c r="G72" s="6" t="inlineStr">
        <is>
          <t>04bb18ce-f0b6-52ac-9b51-88dcab41265d</t>
        </is>
      </c>
      <c r="H72" s="6" t="n">
        <v>1</v>
      </c>
      <c r="I72" s="6" t="inlineStr">
        <is>
          <t>MT1-BOUNDARY</t>
        </is>
      </c>
      <c r="J72" s="6" t="inlineStr">
        <is>
          <t>PROPOSED_NOT_LOADED</t>
        </is>
      </c>
      <c r="K72" s="6" t="inlineStr">
        <is>
          <t>QA and Browser UAT must use same binding</t>
        </is>
      </c>
    </row>
    <row r="73" ht="42" customHeight="1">
      <c r="A73" s="6" t="inlineStr">
        <is>
          <t>MT104-002</t>
        </is>
      </c>
      <c r="B73" s="6" t="inlineStr">
        <is>
          <t>FIX-MT104-002@v1</t>
        </is>
      </c>
      <c r="C73" s="6" t="inlineStr">
        <is>
          <t>b0f11b75-107f-5d10-aeff-648f6904fecf</t>
        </is>
      </c>
      <c r="D73" s="6" t="n">
        <v>1</v>
      </c>
      <c r="E73" s="6" t="inlineStr">
        <is>
          <t>5bb8943c-51bd-5e7b-a717-3bf3d34fae1f</t>
        </is>
      </c>
      <c r="F73" s="6" t="n">
        <v>1</v>
      </c>
      <c r="G73" s="6" t="inlineStr">
        <is>
          <t>c5a01207-aea7-54e1-8c5f-6a398ff922be</t>
        </is>
      </c>
      <c r="H73" s="6" t="n">
        <v>1</v>
      </c>
      <c r="I73" s="6" t="inlineStr">
        <is>
          <t>MT1-BOUNDARY</t>
        </is>
      </c>
      <c r="J73" s="6" t="inlineStr">
        <is>
          <t>PROPOSED_NOT_LOADED</t>
        </is>
      </c>
      <c r="K73" s="6" t="inlineStr">
        <is>
          <t>QA and Browser UAT must use same binding</t>
        </is>
      </c>
    </row>
    <row r="74" ht="42" customHeight="1">
      <c r="A74" s="6" t="inlineStr">
        <is>
          <t>MT107-001</t>
        </is>
      </c>
      <c r="B74" s="6" t="inlineStr">
        <is>
          <t>FIX-MT107-001@v1</t>
        </is>
      </c>
      <c r="C74" s="6" t="inlineStr">
        <is>
          <t>043fab1b-55aa-5dc8-b0cf-6f86cdef462a</t>
        </is>
      </c>
      <c r="D74" s="6" t="n">
        <v>1</v>
      </c>
      <c r="E74" s="6" t="inlineStr">
        <is>
          <t>68c4c5ce-6a6b-57c7-aa76-eef3ff6a9b2e</t>
        </is>
      </c>
      <c r="F74" s="6" t="n">
        <v>1</v>
      </c>
      <c r="G74" s="6" t="inlineStr">
        <is>
          <t>2107a05c-6857-5c13-bebb-289199d65be0</t>
        </is>
      </c>
      <c r="H74" s="6" t="n">
        <v>1</v>
      </c>
      <c r="I74" s="6" t="inlineStr">
        <is>
          <t>MT1-BOUNDARY</t>
        </is>
      </c>
      <c r="J74" s="6" t="inlineStr">
        <is>
          <t>PROPOSED_NOT_LOADED</t>
        </is>
      </c>
      <c r="K74" s="6" t="inlineStr">
        <is>
          <t>QA and Browser UAT must use same binding</t>
        </is>
      </c>
    </row>
    <row r="75" ht="42" customHeight="1">
      <c r="A75" s="6" t="inlineStr">
        <is>
          <t>MT107-002</t>
        </is>
      </c>
      <c r="B75" s="6" t="inlineStr">
        <is>
          <t>FIX-MT107-002@v1</t>
        </is>
      </c>
      <c r="C75" s="6" t="inlineStr">
        <is>
          <t>a76eda3f-893e-58ed-a6a2-fc78ce47d3a0</t>
        </is>
      </c>
      <c r="D75" s="6" t="n">
        <v>1</v>
      </c>
      <c r="E75" s="6" t="inlineStr">
        <is>
          <t>5e8dee60-383e-53bc-8abe-2c3818175fa9</t>
        </is>
      </c>
      <c r="F75" s="6" t="n">
        <v>1</v>
      </c>
      <c r="G75" s="6" t="inlineStr">
        <is>
          <t>9a2efd88-1148-5982-afeb-32ba23c1c0a5</t>
        </is>
      </c>
      <c r="H75" s="6" t="n">
        <v>1</v>
      </c>
      <c r="I75" s="6" t="inlineStr">
        <is>
          <t>MT1-BOUNDARY</t>
        </is>
      </c>
      <c r="J75" s="6" t="inlineStr">
        <is>
          <t>PROPOSED_NOT_LOADED</t>
        </is>
      </c>
      <c r="K75" s="6" t="inlineStr">
        <is>
          <t>QA and Browser UAT must use same binding</t>
        </is>
      </c>
    </row>
  </sheetData>
  <autoFilter ref="A1:K75"/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0" customWidth="1" min="3" max="3"/>
    <col width="32" customWidth="1" min="4" max="4"/>
    <col width="16" customWidth="1" min="5" max="5"/>
  </cols>
  <sheetData>
    <row r="1" ht="30" customHeight="1">
      <c r="A1" s="5" t="inlineStr">
        <is>
          <t>ID</t>
        </is>
      </c>
      <c r="B1" s="5" t="inlineStr">
        <is>
          <t>Evidence</t>
        </is>
      </c>
      <c r="C1" s="5" t="inlineStr">
        <is>
          <t>Requirement</t>
        </is>
      </c>
      <c r="D1" s="5" t="inlineStr">
        <is>
          <t>Applies to</t>
        </is>
      </c>
      <c r="E1" s="5" t="inlineStr">
        <is>
          <t>Status</t>
        </is>
      </c>
    </row>
    <row r="2" ht="42" customHeight="1">
      <c r="A2" s="6" t="inlineStr">
        <is>
          <t>EVID-MT1-001</t>
        </is>
      </c>
      <c r="B2" s="6" t="inlineStr">
        <is>
          <t>Full JSON key tree</t>
        </is>
      </c>
      <c r="C2" s="6" t="inlineStr">
        <is>
          <t>Top-level + mx + mt before any conclusion</t>
        </is>
      </c>
      <c r="D2" s="6" t="inlineStr">
        <is>
          <t>All API cases</t>
        </is>
      </c>
      <c r="E2" s="6" t="inlineStr">
        <is>
          <t>MANDATORY</t>
        </is>
      </c>
    </row>
    <row r="3" ht="42" customHeight="1">
      <c r="A3" s="6" t="inlineStr">
        <is>
          <t>EVID-MT1-002</t>
        </is>
      </c>
      <c r="B3" s="6" t="inlineStr">
        <is>
          <t>Raw request/response</t>
        </is>
      </c>
      <c r="C3" s="6" t="inlineStr">
        <is>
          <t>Byte-preserved JSON + SHA-256</t>
        </is>
      </c>
      <c r="D3" s="6" t="inlineStr">
        <is>
          <t>All API cases</t>
        </is>
      </c>
      <c r="E3" s="6" t="inlineStr">
        <is>
          <t>MANDATORY</t>
        </is>
      </c>
    </row>
    <row r="4" ht="42" customHeight="1">
      <c r="A4" s="6" t="inlineStr">
        <is>
          <t>EVID-MT1-003</t>
        </is>
      </c>
      <c r="B4" s="6" t="inlineStr">
        <is>
          <t>Profile identity</t>
        </is>
      </c>
      <c r="C4" s="6" t="inlineStr">
        <is>
          <t>Business scenario + BizSvc + MsgDefIdr</t>
        </is>
      </c>
      <c r="D4" s="6" t="inlineStr">
        <is>
          <t>All conversion cases</t>
        </is>
      </c>
      <c r="E4" s="6" t="inlineStr">
        <is>
          <t>MANDATORY</t>
        </is>
      </c>
    </row>
    <row r="5" ht="42" customHeight="1">
      <c r="A5" s="6" t="inlineStr">
        <is>
          <t>EVID-MT1-004</t>
        </is>
      </c>
      <c r="B5" s="6" t="inlineStr">
        <is>
          <t>Fixture identity</t>
        </is>
      </c>
      <c r="C5" s="6" t="inlineStr">
        <is>
          <t>Exact IDs/versions + logical snapshot</t>
        </is>
      </c>
      <c r="D5" s="6" t="inlineStr">
        <is>
          <t>All data cases</t>
        </is>
      </c>
      <c r="E5" s="6" t="inlineStr">
        <is>
          <t>MANDATORY</t>
        </is>
      </c>
    </row>
    <row r="6" ht="42" customHeight="1">
      <c r="A6" s="6" t="inlineStr">
        <is>
          <t>EVID-MT1-005</t>
        </is>
      </c>
      <c r="B6" s="6" t="inlineStr">
        <is>
          <t>MT/MX equality oracle</t>
        </is>
      </c>
      <c r="C6" s="6" t="inlineStr">
        <is>
          <t>Role/BIC/account/omission/profile comparisons</t>
        </is>
      </c>
      <c r="D6" s="6" t="inlineStr">
        <is>
          <t>All dual-output cases</t>
        </is>
      </c>
      <c r="E6" s="6" t="inlineStr">
        <is>
          <t>MANDATORY</t>
        </is>
      </c>
    </row>
    <row r="7" ht="42" customHeight="1">
      <c r="A7" s="6" t="inlineStr">
        <is>
          <t>EVID-MT1-006</t>
        </is>
      </c>
      <c r="B7" s="6" t="inlineStr">
        <is>
          <t>Browser evidence</t>
        </is>
      </c>
      <c r="C7" s="6" t="inlineStr">
        <is>
          <t>Positive and negative UI flow after DB reload</t>
        </is>
      </c>
      <c r="D7" s="6" t="inlineStr">
        <is>
          <t>Executable UI cases</t>
        </is>
      </c>
      <c r="E7" s="6" t="inlineStr">
        <is>
          <t>MANDATORY</t>
        </is>
      </c>
    </row>
    <row r="8" ht="42" customHeight="1">
      <c r="A8" s="6" t="inlineStr">
        <is>
          <t>EVID-MT1-007</t>
        </is>
      </c>
      <c r="B8" s="6" t="inlineStr">
        <is>
          <t>Native validator</t>
        </is>
      </c>
      <c r="C8" s="6" t="inlineStr">
        <is>
          <t>No service simulation accepted as upstream FIN/MX validator PASS</t>
        </is>
      </c>
      <c r="D8" s="6" t="inlineStr">
        <is>
          <t>NVR cases</t>
        </is>
      </c>
      <c r="E8" s="6" t="inlineStr">
        <is>
          <t>MANDATORY</t>
        </is>
      </c>
    </row>
    <row r="9" ht="42" customHeight="1">
      <c r="A9" s="6" t="inlineStr">
        <is>
          <t>EVID-MT1-008</t>
        </is>
      </c>
      <c r="B9" s="6" t="inlineStr">
        <is>
          <t>No side effects</t>
        </is>
      </c>
      <c r="C9" s="6" t="inlineStr">
        <is>
          <t>No payload/resolution/Repair Queue on fail-closed</t>
        </is>
      </c>
      <c r="D9" s="6" t="inlineStr">
        <is>
          <t>DQ negative cases</t>
        </is>
      </c>
      <c r="E9" s="6" t="inlineStr">
        <is>
          <t>MANDATORY</t>
        </is>
      </c>
    </row>
  </sheetData>
  <autoFilter ref="A1:E9"/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34" customWidth="1" min="2" max="2"/>
    <col width="68" customWidth="1" min="3" max="3"/>
    <col width="30" customWidth="1" min="4" max="4"/>
    <col width="56" customWidth="1" min="5" max="5"/>
  </cols>
  <sheetData>
    <row r="1" ht="30" customHeight="1">
      <c r="A1" s="5" t="inlineStr">
        <is>
          <t>Source</t>
        </is>
      </c>
      <c r="B1" s="5" t="inlineStr">
        <is>
          <t>Type</t>
        </is>
      </c>
      <c r="C1" s="5" t="inlineStr">
        <is>
          <t>SHA-256</t>
        </is>
      </c>
      <c r="D1" s="5" t="inlineStr">
        <is>
          <t>Pages/scope</t>
        </is>
      </c>
      <c r="E1" s="5" t="inlineStr">
        <is>
          <t>Use</t>
        </is>
      </c>
    </row>
    <row r="2" ht="42" customHeight="1">
      <c r="A2" s="6" t="inlineStr">
        <is>
          <t>MT1支援標準SSI_v3_MRG覆核版.xlsx</t>
        </is>
      </c>
      <c r="B2" s="6" t="inlineStr">
        <is>
          <t>Internal BA input</t>
        </is>
      </c>
      <c r="C2" s="6" t="inlineStr">
        <is>
          <t>D5DD5EFE1A1B39062FD7F92157E6FEEA447D58A1E1A33861E79750B8E3836F0F</t>
        </is>
      </c>
      <c r="D2" s="6" t="inlineStr">
        <is>
          <t>7 sheets</t>
        </is>
      </c>
      <c r="E2" s="6" t="inlineStr">
        <is>
          <t>Scope hypothesis; not normative</t>
        </is>
      </c>
    </row>
    <row r="3" ht="42" customHeight="1">
      <c r="A3" s="6" t="inlineStr">
        <is>
          <t>us1m_20260717.pdf</t>
        </is>
      </c>
      <c r="B3" s="6" t="inlineStr">
        <is>
          <t>Official SR2026 MRG</t>
        </is>
      </c>
      <c r="C3" s="6" t="inlineStr">
        <is>
          <t>54002BDF2140563A543DE330283EE7BC64C0724DC69499326CE34F70A7E90E70</t>
        </is>
      </c>
      <c r="D3" s="6" t="inlineStr">
        <is>
          <t>465 pages</t>
        </is>
      </c>
      <c r="E3" s="6" t="inlineStr">
        <is>
          <t>Category 1 normative source</t>
        </is>
      </c>
    </row>
    <row r="4" ht="42" customHeight="1">
      <c r="A4" s="6" t="inlineStr">
        <is>
          <t>CBPRPlus_SR2026_(Combined)_CBPRPlus-pacs_008_001_08_FIToFICustomerCreditTransfer_20260521_0831.pdf</t>
        </is>
      </c>
      <c r="B4" s="6" t="inlineStr">
        <is>
          <t>Official SR2026 CBPR+ UG</t>
        </is>
      </c>
      <c r="C4" s="6" t="inlineStr">
        <is>
          <t>F563E3478ED76329DB2400BC1E58BE5D345C499DABEB4C4561A7A8E1D15566B3</t>
        </is>
      </c>
      <c r="D4" s="6" t="inlineStr">
        <is>
          <t>108 pages</t>
        </is>
      </c>
      <c r="E4" s="6" t="inlineStr">
        <is>
          <t>pacs.008 plain profile</t>
        </is>
      </c>
    </row>
    <row r="5" ht="42" customHeight="1">
      <c r="A5" s="6" t="inlineStr">
        <is>
          <t>CBPRPlus_SR2026_(Combined)_CBPRPlus-pacs_008_001_08_STP_FIToFICustomerCreditTransfer_20260522_0133.pdf</t>
        </is>
      </c>
      <c r="B5" s="6" t="inlineStr">
        <is>
          <t>Official SR2026 CBPR+ UG</t>
        </is>
      </c>
      <c r="C5" s="6" t="inlineStr">
        <is>
          <t>D9807C95700CCFBFB6AAD03CE40AE32213F75B805A683937EB4BBD296EEF23F6</t>
        </is>
      </c>
      <c r="D5" s="6" t="inlineStr">
        <is>
          <t>66 pages</t>
        </is>
      </c>
      <c r="E5" s="6" t="inlineStr">
        <is>
          <t>pacs.008 STP profile</t>
        </is>
      </c>
    </row>
    <row r="6" ht="42" customHeight="1">
      <c r="A6" s="6" t="inlineStr">
        <is>
          <t>memory/swift-mt1xx-pacs008-v1.md</t>
        </is>
      </c>
      <c r="B6" s="6" t="inlineStr">
        <is>
          <t>Controlled draft memory</t>
        </is>
      </c>
      <c r="C6" s="6" t="inlineStr">
        <is>
          <t>6CC1AAF49CC587B7606E1AFA857A32DBCB207003BD6B220A9AD59EBFCAEBF774</t>
        </is>
      </c>
      <c r="D6" s="6" t="inlineStr">
        <is>
          <t>Entire file</t>
        </is>
      </c>
      <c r="E6" s="6" t="inlineStr">
        <is>
          <t>Normative/BA/QA/product-policy separation</t>
        </is>
      </c>
    </row>
    <row r="7" ht="42" customHeight="1">
      <c r="A7" s="6" t="inlineStr">
        <is>
          <t>docs/architecture/ADR-001-api-driven-ui.md</t>
        </is>
      </c>
      <c r="B7" s="6" t="inlineStr">
        <is>
          <t>Repository architecture decision</t>
        </is>
      </c>
      <c r="C7" s="6" t="inlineStr">
        <is>
          <t>VERIFY_AT_INTEGRATION</t>
        </is>
      </c>
      <c r="D7" s="6" t="inlineStr">
        <is>
          <t>Entire file</t>
        </is>
      </c>
      <c r="E7" s="6" t="inlineStr">
        <is>
          <t>Configuration/DB→API→page model→generic UI</t>
        </is>
      </c>
    </row>
  </sheetData>
  <autoFilter ref="A1:E7"/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8" customWidth="1" min="4" max="4"/>
    <col width="48" customWidth="1" min="5" max="5"/>
  </cols>
  <sheetData>
    <row r="1" ht="30" customHeight="1">
      <c r="A1" s="5" t="inlineStr">
        <is>
          <t>Metric</t>
        </is>
      </c>
      <c r="B1" s="5" t="inlineStr">
        <is>
          <t>Calculated</t>
        </is>
      </c>
      <c r="C1" s="5" t="inlineStr">
        <is>
          <t>Expected</t>
        </is>
      </c>
      <c r="D1" s="5" t="inlineStr">
        <is>
          <t>Difference</t>
        </is>
      </c>
      <c r="E1" s="5" t="inlineStr">
        <is>
          <t>Interpretation</t>
        </is>
      </c>
    </row>
    <row r="2" ht="42" customHeight="1">
      <c r="A2" s="6" t="inlineStr">
        <is>
          <t>Total controlled cases</t>
        </is>
      </c>
      <c r="B2" s="6">
        <f>COUNTA('TDD Cases'!A2:A75)</f>
        <v>74</v>
      </c>
      <c r="C2" s="6" t="n">
        <v>74</v>
      </c>
      <c r="D2" s="6">
        <f>B2-C2</f>
        <v>0</v>
      </c>
      <c r="E2" s="6" t="inlineStr">
        <is>
          <t>Must be zero</t>
        </is>
      </c>
    </row>
    <row r="3" ht="42" customHeight="1">
      <c r="A3" s="6" t="inlineStr">
        <is>
          <t>Positive</t>
        </is>
      </c>
      <c r="B3" s="8">
        <f>COUNTIF('TDD Cases'!L2:L75,"POSITIVE")</f>
        <v>34</v>
      </c>
      <c r="C3" s="6" t="n">
        <v>34</v>
      </c>
      <c r="D3" s="6">
        <f>B3-C3</f>
        <v>0</v>
      </c>
      <c r="E3" s="6" t="inlineStr"/>
    </row>
    <row r="4" ht="42" customHeight="1">
      <c r="A4" s="6" t="inlineStr">
        <is>
          <t>Negative</t>
        </is>
      </c>
      <c r="B4" s="9">
        <f>COUNTIF('TDD Cases'!L2:L75,"NEGATIVE")</f>
        <v>34</v>
      </c>
      <c r="C4" s="6" t="n">
        <v>34</v>
      </c>
      <c r="D4" s="6">
        <f>B4-C4</f>
        <v>0</v>
      </c>
      <c r="E4" s="6" t="inlineStr"/>
    </row>
    <row r="5" ht="42" customHeight="1">
      <c r="A5" s="6" t="inlineStr">
        <is>
          <t>Boundary</t>
        </is>
      </c>
      <c r="B5" s="6">
        <f>COUNTIF('TDD Cases'!L2:L75,"BOUNDARY")</f>
        <v>6</v>
      </c>
      <c r="C5" s="6" t="n">
        <v>6</v>
      </c>
      <c r="D5" s="6">
        <f>B5-C5</f>
        <v>0</v>
      </c>
      <c r="E5" s="6" t="inlineStr"/>
    </row>
    <row r="6" ht="42" customHeight="1">
      <c r="A6" s="6" t="inlineStr">
        <is>
          <t>Polarity difference</t>
        </is>
      </c>
      <c r="B6" s="6">
        <f>B2-SUM(B3:B5)</f>
        <v>0</v>
      </c>
      <c r="C6" s="6" t="n">
        <v>0</v>
      </c>
      <c r="D6" s="6">
        <f>B6-C6</f>
        <v>0</v>
      </c>
      <c r="E6" s="6" t="inlineStr">
        <is>
          <t>Must be zero</t>
        </is>
      </c>
    </row>
    <row r="7" ht="42" customHeight="1">
      <c r="A7" s="6" t="inlineStr">
        <is>
          <t>Not executed</t>
        </is>
      </c>
      <c r="B7" s="6">
        <f>COUNTIF('TDD Cases'!R2:R75,"NOT_EXECUTED")</f>
        <v>74</v>
      </c>
      <c r="C7" s="6" t="n">
        <v>74</v>
      </c>
      <c r="D7" s="6">
        <f>B7-C7</f>
        <v>0</v>
      </c>
      <c r="E7" s="6" t="inlineStr">
        <is>
          <t>No acceptance claim</t>
        </is>
      </c>
    </row>
    <row r="8" ht="42" customHeight="1">
      <c r="A8" s="8" t="inlineStr">
        <is>
          <t>PASS</t>
        </is>
      </c>
      <c r="B8" s="6">
        <f>COUNTIF('TDD Cases'!R2:R75,"PASS")</f>
        <v>0</v>
      </c>
      <c r="C8" s="6" t="n">
        <v>0</v>
      </c>
      <c r="D8" s="6">
        <f>B8-C8</f>
        <v>0</v>
      </c>
      <c r="E8" s="6" t="inlineStr"/>
    </row>
    <row r="9" ht="42" customHeight="1">
      <c r="A9" s="9" t="inlineStr">
        <is>
          <t>FAIL</t>
        </is>
      </c>
      <c r="B9" s="9">
        <f>COUNTIF('TDD Cases'!R2:R75,"FAIL")</f>
        <v>0</v>
      </c>
      <c r="C9" s="6" t="n">
        <v>0</v>
      </c>
      <c r="D9" s="6">
        <f>B9-C9</f>
        <v>0</v>
      </c>
      <c r="E9" s="6" t="inlineStr"/>
    </row>
    <row r="10" ht="42" customHeight="1">
      <c r="A10" s="6" t="inlineStr">
        <is>
          <t>BLOCKED</t>
        </is>
      </c>
      <c r="B10" s="6">
        <f>COUNTIF('TDD Cases'!R2:R75,"BLOCKED")</f>
        <v>0</v>
      </c>
      <c r="C10" s="6" t="n">
        <v>0</v>
      </c>
      <c r="D10" s="6">
        <f>B10-C10</f>
        <v>0</v>
      </c>
      <c r="E10" s="6" t="inlineStr">
        <is>
          <t>Design/open decisions are separate</t>
        </is>
      </c>
    </row>
    <row r="11" ht="42" customHeight="1">
      <c r="A11" s="6" t="inlineStr">
        <is>
          <t>Execution difference</t>
        </is>
      </c>
      <c r="B11" s="6">
        <f>B2-SUM(B7:B10)</f>
        <v>0</v>
      </c>
      <c r="C11" s="6" t="n">
        <v>0</v>
      </c>
      <c r="D11" s="6">
        <f>B11-C11</f>
        <v>0</v>
      </c>
      <c r="E11" s="6" t="inlineStr">
        <is>
          <t>Must be zero</t>
        </is>
      </c>
    </row>
    <row r="12" ht="42" customHeight="1">
      <c r="A12" s="6" t="inlineStr">
        <is>
          <t>Open BA decisions</t>
        </is>
      </c>
      <c r="B12" s="7">
        <f>COUNTIF('BA Open Decisions'!F2:F6,"OPEN")</f>
        <v>5</v>
      </c>
      <c r="C12" s="6" t="n">
        <v>5</v>
      </c>
      <c r="D12" s="6">
        <f>B12-C12</f>
        <v>0</v>
      </c>
      <c r="E12" s="6" t="inlineStr">
        <is>
          <t>Must close for final acceptance</t>
        </is>
      </c>
    </row>
    <row r="13" ht="42" customHeight="1">
      <c r="A13" s="6" t="inlineStr">
        <is>
          <t>Fixture bindings</t>
        </is>
      </c>
      <c r="B13" s="6">
        <f>COUNTA('Fixture Manifest'!A2:A75)</f>
        <v>74</v>
      </c>
      <c r="C13" s="6" t="n">
        <v>74</v>
      </c>
      <c r="D13" s="6">
        <f>B13-C13</f>
        <v>0</v>
      </c>
      <c r="E13" s="6" t="inlineStr">
        <is>
          <t>One per case</t>
        </is>
      </c>
    </row>
    <row r="14" ht="42" customHeight="1">
      <c r="A14" s="6" t="inlineStr">
        <is>
          <t>Scenario registry</t>
        </is>
      </c>
      <c r="B14" s="6">
        <f>COUNTA('Scenario Registry'!A2:A75)</f>
        <v>74</v>
      </c>
      <c r="C14" s="6" t="n">
        <v>74</v>
      </c>
      <c r="D14" s="6">
        <f>B14-C14</f>
        <v>0</v>
      </c>
      <c r="E14" s="6" t="inlineStr">
        <is>
          <t>Unique profile/sequence/scenario</t>
        </is>
      </c>
    </row>
    <row r="15" ht="42" customHeight="1">
      <c r="A15" s="6" t="inlineStr">
        <is>
          <t>Ledger defects</t>
        </is>
      </c>
      <c r="B15" s="6">
        <f>COUNTIF(D2:D14,"&lt;&gt;0")</f>
        <v>0</v>
      </c>
      <c r="C15" s="6" t="n">
        <v>0</v>
      </c>
      <c r="D15" s="6">
        <f>B15-C15</f>
        <v>0</v>
      </c>
      <c r="E15" s="6" t="inlineStr">
        <is>
          <t>Must be zero</t>
        </is>
      </c>
    </row>
  </sheetData>
  <autoFilter ref="A1:E15"/>
  <conditionalFormatting sqref="D2:D15">
    <cfRule type="cellIs" priority="1" operator="notEqual" dxfId="0">
      <formula>0</formula>
    </cfRule>
  </conditionalFormatting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  <col width="48" customWidth="1" min="4" max="4"/>
    <col width="16" customWidth="1" min="5" max="5"/>
  </cols>
  <sheetData>
    <row r="1" ht="30" customHeight="1">
      <c r="A1" s="5" t="inlineStr">
        <is>
          <t>Version</t>
        </is>
      </c>
      <c r="B1" s="5" t="inlineStr">
        <is>
          <t>Date</t>
        </is>
      </c>
      <c r="C1" s="5" t="inlineStr">
        <is>
          <t>Change</t>
        </is>
      </c>
      <c r="D1" s="5" t="inlineStr">
        <is>
          <t>Reason</t>
        </is>
      </c>
      <c r="E1" s="5" t="inlineStr">
        <is>
          <t>Status</t>
        </is>
      </c>
    </row>
    <row r="2" ht="42" customHeight="1">
      <c r="A2" s="6" t="inlineStr">
        <is>
          <t>v1</t>
        </is>
      </c>
      <c r="B2" s="6" t="inlineStr">
        <is>
          <t>2026-09-13</t>
        </is>
      </c>
      <c r="C2" s="6" t="inlineStr">
        <is>
          <t>Created MRG/UG-traceable MT1+pacs.008 controlled TDD</t>
        </is>
      </c>
      <c r="D2" s="6" t="inlineStr">
        <is>
          <t>User request; same governance pattern as MT2/MT347</t>
        </is>
      </c>
      <c r="E2" s="6" t="inlineStr">
        <is>
          <t>DRAFT</t>
        </is>
      </c>
    </row>
    <row r="3" ht="42" customHeight="1">
      <c r="A3" s="6" t="inlineStr">
        <is>
          <t>v1</t>
        </is>
      </c>
      <c r="B3" s="6" t="inlineStr">
        <is>
          <t>2026-09-13</t>
        </is>
      </c>
      <c r="C3" s="6" t="inlineStr">
        <is>
          <t>Kept prior all-MT1 exclusion as an explicit conflict instead of silently replacing it</t>
        </is>
      </c>
      <c r="D3" s="6" t="inlineStr">
        <is>
          <t>BA sign-off required</t>
        </is>
      </c>
      <c r="E3" s="7" t="inlineStr">
        <is>
          <t>OPEN</t>
        </is>
      </c>
    </row>
    <row r="4" ht="42" customHeight="1">
      <c r="A4" s="6" t="inlineStr">
        <is>
          <t>v1</t>
        </is>
      </c>
      <c r="B4" s="6" t="inlineStr">
        <is>
          <t>2026-09-13</t>
        </is>
      </c>
      <c r="C4" s="6" t="inlineStr">
        <is>
          <t>Separated `.001.08` official evidence from repository `.001.12` observation</t>
        </is>
      </c>
      <c r="D4" s="6" t="inlineStr">
        <is>
          <t>Prevent false normative claim</t>
        </is>
      </c>
      <c r="E4" s="7" t="inlineStr">
        <is>
          <t>OPEN</t>
        </is>
      </c>
    </row>
  </sheetData>
  <autoFilter ref="A1:E4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2026-09-13T01:57:19Z</dcterms:created>
  <dcterms:modified xmlns:dcterms="http://purl.org/dc/terms/" xmlns:xsi="http://www.w3.org/2001/XMLSchema-instance" xsi:type="dcterms:W3CDTF">2026-09-13T01:57:19Z</dcterms:modified>
</cp:coreProperties>
</file>