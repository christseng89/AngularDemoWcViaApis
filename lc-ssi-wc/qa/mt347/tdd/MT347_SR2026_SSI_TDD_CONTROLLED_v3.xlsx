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2017cf1113b4c9e/Documents/ChatGPT/Baseline-SSI/"/>
    </mc:Choice>
  </mc:AlternateContent>
  <xr:revisionPtr revIDLastSave="0" documentId="11_873C7062D59A7AA5F1A52E073491D59D7F376334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Document Control" sheetId="1" r:id="rId1"/>
    <sheet name="BA Ruling" sheetId="2" r:id="rId2"/>
    <sheet name="Scope" sheetId="3" r:id="rId3"/>
    <sheet name="Excluded Scope Decisions" sheetId="4" r:id="rId4"/>
    <sheet name="NVR Semantics" sheetId="5" r:id="rId5"/>
    <sheet name="BA Open Decisions" sheetId="6" r:id="rId6"/>
    <sheet name="TDD Cases" sheetId="7" r:id="rId7"/>
    <sheet name="Fixture Governance" sheetId="8" r:id="rId8"/>
    <sheet name="Coverage Ledger" sheetId="9" r:id="rId9"/>
    <sheet name="Reconciliation" sheetId="10" r:id="rId10"/>
    <sheet name="Fixture Manifest" sheetId="11" r:id="rId11"/>
    <sheet name="Bank Services" sheetId="12" r:id="rId12"/>
    <sheet name="SSI Fixtures" sheetId="13" r:id="rId13"/>
    <sheet name="Applicability Fixtures" sheetId="14" r:id="rId14"/>
    <sheet name="Nostro Fixtures" sheetId="15" r:id="rId15"/>
    <sheet name="RMA Fixtures" sheetId="16" r:id="rId16"/>
    <sheet name="Positive Seed" sheetId="17" r:id="rId17"/>
    <sheet name="Negative Manifest" sheetId="18" r:id="rId18"/>
    <sheet name="Evidence Controls" sheetId="19" r:id="rId19"/>
    <sheet name="Scenario Registry" sheetId="20" r:id="rId20"/>
    <sheet name="Confirmed Rules" sheetId="21" r:id="rId21"/>
    <sheet name="Data Gaps" sheetId="22" r:id="rId22"/>
    <sheet name="Source Register" sheetId="23" r:id="rId23"/>
    <sheet name="Change Log" sheetId="24" r:id="rId24"/>
  </sheets>
  <definedNames>
    <definedName name="_xlnm._FilterDatabase" localSheetId="13" hidden="1">'Applicability Fixtures'!$A$1:$I$361</definedName>
    <definedName name="_xlnm._FilterDatabase" localSheetId="5" hidden="1">'BA Open Decisions'!$A$1:$G$12</definedName>
    <definedName name="_xlnm._FilterDatabase" localSheetId="1" hidden="1">'BA Ruling'!$A$1:$C$10</definedName>
    <definedName name="_xlnm._FilterDatabase" localSheetId="11" hidden="1">'Bank Services'!$A$1:$E$6</definedName>
    <definedName name="_xlnm._FilterDatabase" localSheetId="23" hidden="1">'Change Log'!$A$1:$E$2</definedName>
    <definedName name="_xlnm._FilterDatabase" localSheetId="20" hidden="1">'Confirmed Rules'!$A$1:$O$165</definedName>
    <definedName name="_xlnm._FilterDatabase" localSheetId="8" hidden="1">'Coverage Ledger'!$A$1:$E$20</definedName>
    <definedName name="_xlnm._FilterDatabase" localSheetId="21" hidden="1">'Data Gaps'!$A$1:$D$15</definedName>
    <definedName name="_xlnm._FilterDatabase" localSheetId="0" hidden="1">'Document Control'!$A$1:$C$14</definedName>
    <definedName name="_xlnm._FilterDatabase" localSheetId="18" hidden="1">'Evidence Controls'!$A$1:$E$11</definedName>
    <definedName name="_xlnm._FilterDatabase" localSheetId="3" hidden="1">'Excluded Scope Decisions'!$A$1:$E$3</definedName>
    <definedName name="_xlnm._FilterDatabase" localSheetId="7" hidden="1">'Fixture Governance'!$A$1:$G$4</definedName>
    <definedName name="_xlnm._FilterDatabase" localSheetId="10" hidden="1">'Fixture Manifest'!$A$1:$K$363</definedName>
    <definedName name="_xlnm._FilterDatabase" localSheetId="17" hidden="1">'Negative Manifest'!$A$1:$K$209</definedName>
    <definedName name="_xlnm._FilterDatabase" localSheetId="14" hidden="1">'Nostro Fixtures'!$A$1:$I$121</definedName>
    <definedName name="_xlnm._FilterDatabase" localSheetId="4" hidden="1">'NVR Semantics'!$A$1:$F$9</definedName>
    <definedName name="_xlnm._FilterDatabase" localSheetId="16" hidden="1">'Positive Seed'!$A$1:$K$153</definedName>
    <definedName name="_xlnm._FilterDatabase" localSheetId="9" hidden="1">Reconciliation!$A$1:$E$13</definedName>
    <definedName name="_xlnm._FilterDatabase" localSheetId="15" hidden="1">'RMA Fixtures'!$A$1:$J$361</definedName>
    <definedName name="_xlnm._FilterDatabase" localSheetId="19" hidden="1">'Scenario Registry'!$A$1:$G$54</definedName>
    <definedName name="_xlnm._FilterDatabase" localSheetId="2" hidden="1">Scope!$A$1:$G$28</definedName>
    <definedName name="_xlnm._FilterDatabase" localSheetId="22" hidden="1">'Source Register'!$A$1:$E$13</definedName>
    <definedName name="_xlnm._FilterDatabase" localSheetId="12" hidden="1">'SSI Fixtures'!$A$1:$I$361</definedName>
    <definedName name="_xlnm._FilterDatabase" localSheetId="6" hidden="1">'TDD Cases'!$A$1:$W$363</definedName>
  </definedNames>
  <calcPr calcId="191029" iterateDelta="1E-4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9" l="1"/>
  <c r="D19" i="9" s="1"/>
  <c r="B18" i="9"/>
  <c r="D18" i="9" s="1"/>
  <c r="B17" i="9"/>
  <c r="D17" i="9" s="1"/>
  <c r="B16" i="9"/>
  <c r="D16" i="9" s="1"/>
  <c r="B15" i="9"/>
  <c r="D15" i="9" s="1"/>
  <c r="B14" i="9"/>
  <c r="D14" i="9" s="1"/>
  <c r="B12" i="9"/>
  <c r="D12" i="9" s="1"/>
  <c r="B11" i="9"/>
  <c r="D11" i="9" s="1"/>
  <c r="B10" i="9"/>
  <c r="D10" i="9" s="1"/>
  <c r="B9" i="9"/>
  <c r="D9" i="9" s="1"/>
  <c r="B7" i="9"/>
  <c r="D7" i="9" s="1"/>
  <c r="B6" i="9"/>
  <c r="D6" i="9" s="1"/>
  <c r="B5" i="9"/>
  <c r="D5" i="9" s="1"/>
  <c r="B4" i="9"/>
  <c r="D4" i="9" s="1"/>
  <c r="B3" i="9"/>
  <c r="D3" i="9" s="1"/>
  <c r="B2" i="9"/>
  <c r="D2" i="9" l="1"/>
  <c r="B13" i="9"/>
  <c r="D13" i="9" s="1"/>
  <c r="B8" i="9"/>
  <c r="D8" i="9" s="1"/>
  <c r="B20" i="9" l="1"/>
  <c r="D20" i="9" s="1"/>
</calcChain>
</file>

<file path=xl/sharedStrings.xml><?xml version="1.0" encoding="utf-8"?>
<sst xmlns="http://schemas.openxmlformats.org/spreadsheetml/2006/main" count="28407" uniqueCount="7007">
  <si>
    <t>Control item</t>
  </si>
  <si>
    <t>Controlled value</t>
  </si>
  <si>
    <t>Evidence / note</t>
  </si>
  <si>
    <t>Document</t>
  </si>
  <si>
    <t>MT347_SR2026_SSI_TDD_CONTROLLED_v3</t>
  </si>
  <si>
    <t>Controlled v3 derived from SHA-controlled v2; v2 remains unchanged</t>
  </si>
  <si>
    <t>Status</t>
  </si>
  <si>
    <t>CONTROLLED TDD DRAFT — NOT EXECUTED</t>
  </si>
  <si>
    <t>No PASS/FAIL claim; execution evidence columns are blank/NOT_EXECUTED</t>
  </si>
  <si>
    <t>Controlled date</t>
  </si>
  <si>
    <t>2026-09-12</t>
  </si>
  <si>
    <t>Asia/Shanghai; v3 applies the final FIN-only scope and MT765-002 fixture correction</t>
  </si>
  <si>
    <t>Approved scope</t>
  </si>
  <si>
    <t>25 message types / 53 sequence-qualified business scenarios</t>
  </si>
  <si>
    <t>MT300/304/305/306/320/330/340/341/350/360/361/362/364/365; MT400; MT730/734/742/750/752/754/756/765/768/769</t>
  </si>
  <si>
    <t>Case inventory</t>
  </si>
  <si>
    <t>362 total = 360 in-scope + 2 boundary</t>
  </si>
  <si>
    <t>358 source cases retained; 4 hybrid-account cases added for MT742/MT754 58a</t>
  </si>
  <si>
    <t>Rule inventory</t>
  </si>
  <si>
    <t>164 sequence-qualified field anchors</t>
  </si>
  <si>
    <t>160 SSI_RESOLVABLE + 2 HYBRID_CONDITIONAL_SSI + 2 OUT_OF_SSI_SCOPE</t>
  </si>
  <si>
    <t>Primary BA memory</t>
  </si>
  <si>
    <t>memory/swift-mt347-v2.md</t>
  </si>
  <si>
    <t>SHA-256 682075A1EC36AD1A5397382063B1AFEE08F0E88921E139E7E62A8033552A985A</t>
  </si>
  <si>
    <t>Source plan</t>
  </si>
  <si>
    <t>MT347_SR2026_SSI_QA_Test_Plan_v4.xlsx</t>
  </si>
  <si>
    <t>SHA-256 1FDF15CFF1E78B0A6A3813163E6ADDD76517C0A045B240665003B249F2C5EFF5</t>
  </si>
  <si>
    <t>Source BA matrix</t>
  </si>
  <si>
    <t>SWIFT_SR2026_MT3_MT4_MT7_SSI_分析_中文版_v5.xlsx</t>
  </si>
  <si>
    <t>SHA-256 C3EC8EB1A5B256C51D707BE342C079DB9DEBE304B03B562046CBAF1C459BECD2</t>
  </si>
  <si>
    <t>FIN authority</t>
  </si>
  <si>
    <t>SWIFT SR2026 MRG</t>
  </si>
  <si>
    <t>Exact filename, SHA-256 and PDF page retained in Source Register / Confirmed Rules</t>
  </si>
  <si>
    <t>Version coexistence</t>
  </si>
  <si>
    <t>EXPLICIT</t>
  </si>
  <si>
    <t>SR2025/SR2026 must be selected by effective-date and contracted active release</t>
  </si>
  <si>
    <t>Release interpretation</t>
  </si>
  <si>
    <t>TDD SPECIFICATION ONLY</t>
  </si>
  <si>
    <t>Quality gate remains blocked until required data, implementation and execution evidence exist</t>
  </si>
  <si>
    <t>Scope authority</t>
  </si>
  <si>
    <t>SWIFT_SR2026_MT3_MT4_MT7_SSI_分析_中文版_v7.docx (approved 2026-09-08)</t>
  </si>
  <si>
    <t>SHA-256 1A0B5CDBD6CC3F00CE13C8C978E445D2A54728A956B0240661FFE79230E2B985; message-level IN/OUT rulings for all 77 Cat3/4/7 messages</t>
  </si>
  <si>
    <t>Item</t>
  </si>
  <si>
    <t>Decision</t>
  </si>
  <si>
    <t>Evidence / rationale</t>
  </si>
  <si>
    <t>Scope</t>
  </si>
  <si>
    <t>CONTROLLED TDD DRAFT v2</t>
  </si>
  <si>
    <t>25 BA-approved messages; 53 scenarios; 360 in-scope cases; not executed</t>
  </si>
  <si>
    <t>Official MT evidence</t>
  </si>
  <si>
    <t>25 supported messages / 53 supported sequence scenarios / 360 in-scope cases; 164 field anchors</t>
  </si>
  <si>
    <t>358 source cases retained, two excluded boundary cases retained, four MT742/MT754 hybrid-account cases added</t>
  </si>
  <si>
    <t>Ownership</t>
  </si>
  <si>
    <t>INTERNAL BA CLASSIFICATION</t>
  </si>
  <si>
    <t>MRG proves role/options/presence/NVR; review-v5.xlsx supplies internal SSI-scope classification</t>
  </si>
  <si>
    <t>Sequence qualification</t>
  </si>
  <si>
    <t>MANDATORY</t>
  </si>
  <si>
    <t>Every resolution/error is message+sequence+occurrence qualified; M inside optional sequence means mandatory only when sequence exists</t>
  </si>
  <si>
    <t>Route normalization</t>
  </si>
  <si>
    <t>Build canonical route, remove duplicate legs, then map roles; no same BIC copied into different roles</t>
  </si>
  <si>
    <t>86a</t>
  </si>
  <si>
    <t>OUT_OF_SSI_OUTPUT</t>
  </si>
  <si>
    <t>Resolver never generates 86a; relevant MRG dependency on 56a is negative-tested</t>
  </si>
  <si>
    <t>Clearing code</t>
  </si>
  <si>
    <t>CONTROLLED_SOURCE_ONLY</t>
  </si>
  <si>
    <t>Party Identifier position only, from Bank Service/directory; no free-text fallback</t>
  </si>
  <si>
    <t>Overall gate</t>
  </si>
  <si>
    <t>FIN profile specification is evidence-anchored; implementation, test data and execution evidence remain outstanding</t>
  </si>
  <si>
    <t>Category</t>
  </si>
  <si>
    <t>Message Type</t>
  </si>
  <si>
    <t>Description</t>
  </si>
  <si>
    <t>BA SSI Tags</t>
  </si>
  <si>
    <t>Official Profile</t>
  </si>
  <si>
    <t>Sequence / business scenarios</t>
  </si>
  <si>
    <t>Gate</t>
  </si>
  <si>
    <t>Category 3</t>
  </si>
  <si>
    <t>MT300</t>
  </si>
  <si>
    <t>Foreign Exchange Confirmation</t>
  </si>
  <si>
    <t>53a, 56a, 57a, 58a</t>
  </si>
  <si>
    <t>FOUND</t>
  </si>
  <si>
    <t>B1 - Amount Bought
B2 - Amount Sold
D - Split Settlement Details</t>
  </si>
  <si>
    <t>IN_SCOPE</t>
  </si>
  <si>
    <t>MT304</t>
  </si>
  <si>
    <t>Advice/Instruction of a Third Party Deal</t>
  </si>
  <si>
    <t>B1 - Amount Bought
B2 - Amount Sold
E - Net Amount to be Settled</t>
  </si>
  <si>
    <t>MT305</t>
  </si>
  <si>
    <t>Foreign Currency Option Confirmation</t>
  </si>
  <si>
    <t>53a, 56a, 57a</t>
  </si>
  <si>
    <t>A - General Information</t>
  </si>
  <si>
    <t>MT306</t>
  </si>
  <si>
    <t>C - Settlement Instructions for Payment of Premium
E - Binary Payout Amount
L - Additional Amounts</t>
  </si>
  <si>
    <t>MT320</t>
  </si>
  <si>
    <t>Fixed Loan/Deposit Confirmation</t>
  </si>
  <si>
    <t>C - Settlement Instructions for Amounts Payable by Party A
D - Settlement Instructions for Amounts Payable by Party B
E - Settlement Instructions for Interests Payable by Party A
F - Settlement Instructions for Interests Payable by Party B
I - Additional Amounts</t>
  </si>
  <si>
    <t>MT330</t>
  </si>
  <si>
    <t>Call/Notice Loan/Deposit Confirmation</t>
  </si>
  <si>
    <t>C - Settlement Instructions for Amounts Payable by Party A
D - Settlement Instructions for Amounts Payable by Party B
E - Settlement Instructions for Interests Payable by Party A
F - Settlement Instructions for Interests Payable by Party B</t>
  </si>
  <si>
    <t>MT340</t>
  </si>
  <si>
    <t>Forward Rate Agreement Confirmation</t>
  </si>
  <si>
    <t>C - Settlement Instructions for Settlement Amount Payable by Party B
D - Settlement Instructions for Settlement Amount Payable by Party A
F - Additional Amounts</t>
  </si>
  <si>
    <t>MT341</t>
  </si>
  <si>
    <t>Forward Rate Agreement Settlement Confirmation</t>
  </si>
  <si>
    <t>C - Settlement Instructions for the Settlement Amount</t>
  </si>
  <si>
    <t>MT350</t>
  </si>
  <si>
    <t>Advice of Loan/Deposit Interest Payment</t>
  </si>
  <si>
    <t>C - Settlement Instructions</t>
  </si>
  <si>
    <t>MT360</t>
  </si>
  <si>
    <t>Single Currency Interest Rate Derivative Confirmation</t>
  </si>
  <si>
    <t>D - Payment Instructions for Interest Payable by Party B
G - Payment Instructions for Interest Payable by Party A
L - Additional Amounts Payable by Party B
M - Additional Amounts Payable by Party A</t>
  </si>
  <si>
    <t>MT361</t>
  </si>
  <si>
    <t>Cross Currency Interest Rate Swap Confirmation</t>
  </si>
  <si>
    <t>D - Payment Instructions for Interest Payable by Party B
G - Payment Instructions for Interest Payable by Party A
K - Exchanges of Principal Payable by Party B
L - Exchanges of Principal Payable by Party A
M - Additional Amounts Payable by Party B
N - Additional Amounts Payable by Party A</t>
  </si>
  <si>
    <t>MT362</t>
  </si>
  <si>
    <t>Interest Rate Reset / Advice of Payment</t>
  </si>
  <si>
    <t>C - (Net) Amount(s) Payable by Party B
E - (Net) Amount(s) Payable by Party A</t>
  </si>
  <si>
    <t>MT364</t>
  </si>
  <si>
    <t>Single Currency Interest Rate Derivative Termination / Recouponing Confirmation</t>
  </si>
  <si>
    <t>L - Fee Payable by Party B
M - Fee Payable by Party A</t>
  </si>
  <si>
    <t>MT365</t>
  </si>
  <si>
    <t>Cross Currency Interest Rate Swap Termination / Recouponing Confirmation</t>
  </si>
  <si>
    <t>J - Re-exchange of Principal Payable by Party B
K - Re-exchange of Principal Payable by Party A
L - Fee Payable by Party B
M - Fee Payable by Party A</t>
  </si>
  <si>
    <t>Category 4</t>
  </si>
  <si>
    <t>MT400</t>
  </si>
  <si>
    <t>Advice of Payment</t>
  </si>
  <si>
    <t>53a, 54a, 57a</t>
  </si>
  <si>
    <t>MESSAGE - Message</t>
  </si>
  <si>
    <t>Category 7</t>
  </si>
  <si>
    <t>MT730</t>
  </si>
  <si>
    <t>Acknowledgement</t>
  </si>
  <si>
    <t>57a</t>
  </si>
  <si>
    <t>MT734</t>
  </si>
  <si>
    <t>Advice of Refusal</t>
  </si>
  <si>
    <t>MT742</t>
  </si>
  <si>
    <t>Reimbursement Claim</t>
  </si>
  <si>
    <t>57a; 58a credited-account component (conditional)</t>
  </si>
  <si>
    <t>IN_SCOPE — 58a HYBRID OPEN</t>
  </si>
  <si>
    <t>MT750</t>
  </si>
  <si>
    <t>Advice of Discrepancy</t>
  </si>
  <si>
    <t>MT752</t>
  </si>
  <si>
    <t>Authorisation to Pay, Accept or Negotiate</t>
  </si>
  <si>
    <t>53a, 54a</t>
  </si>
  <si>
    <t>MT754</t>
  </si>
  <si>
    <t>Advice of Payment / Acceptance / Negotiation</t>
  </si>
  <si>
    <t>MT756</t>
  </si>
  <si>
    <t>Advice of Reimbursement or Payment</t>
  </si>
  <si>
    <t>MT765</t>
  </si>
  <si>
    <t>Guarantee / Standby Letter of Credit Demand</t>
  </si>
  <si>
    <t>56a, 57a</t>
  </si>
  <si>
    <t>MT768</t>
  </si>
  <si>
    <t>Acknowledgement of a Guarantee / Standby Message</t>
  </si>
  <si>
    <t>MT769</t>
  </si>
  <si>
    <t>Advice of Reduction or Release</t>
  </si>
  <si>
    <t>MT416</t>
  </si>
  <si>
    <t>Advice of Non-Payment/Non-Acceptance</t>
  </si>
  <si>
    <t>53a</t>
  </si>
  <si>
    <t>EXCLUDED — charges-reimbursement correspondent only; not in BA-approved SSI_SUPPORTED allow-list</t>
  </si>
  <si>
    <t>MT785</t>
  </si>
  <si>
    <t>Guarantee/Standby Letter of Credit Non Extension Notification</t>
  </si>
  <si>
    <t>MESSAGE - advising chain</t>
  </si>
  <si>
    <t>OUT_OF_SSI_SCOPE — advising roles, not settlement route</t>
  </si>
  <si>
    <t>Reason</t>
  </si>
  <si>
    <t>Official evidence</t>
  </si>
  <si>
    <t>API expectation</t>
  </si>
  <si>
    <t>EXCLUDED</t>
  </si>
  <si>
    <t>53a reimburses non-payment/non-acceptance charges; current BA allow-list and SSI_SUPPORTED mapping do not include MT416</t>
  </si>
  <si>
    <t>us4m_20260717.pdf pp.38,42; field No.5</t>
  </si>
  <si>
    <t>MESSAGE_TYPE_NOT_SUPPORTED with evidence reference</t>
  </si>
  <si>
    <t>OUT_OF_SSI_SCOPE</t>
  </si>
  <si>
    <t>56a Advising Bank and 57a Advise Through Bank form an advising chain, not settlement instructions. MT785 C1/C81 direction is 57a=&gt;56a; do not reuse Cat2 C81 semantics.</t>
  </si>
  <si>
    <t>us7m_20260717.pdf pp.409-414; fields No.11-12; C1/C81</t>
  </si>
  <si>
    <t>OUT_OF_SSI_SCOPE audit event; no SSI lookup</t>
  </si>
  <si>
    <t>Rule Number</t>
  </si>
  <si>
    <t>Error Code</t>
  </si>
  <si>
    <t>Direction</t>
  </si>
  <si>
    <t>Semantics</t>
  </si>
  <si>
    <t>Evidence / boundary</t>
  </si>
  <si>
    <t>C1</t>
  </si>
  <si>
    <t>C81</t>
  </si>
  <si>
    <t>57a=&gt;56a</t>
  </si>
  <si>
    <t>If 57a is present, 56a must be present</t>
  </si>
  <si>
    <t>us7m_20260717.pdf pp.409-410; direct official MRG</t>
  </si>
  <si>
    <t>MT202</t>
  </si>
  <si>
    <t>56a=&gt;57a</t>
  </si>
  <si>
    <t>If 56a is present, 57a must also be present</t>
  </si>
  <si>
    <t>us2m_20260717.pdf p.40; direct official MRG</t>
  </si>
  <si>
    <t>MT202 COV</t>
  </si>
  <si>
    <t>If Seq A 56a is present, Seq A 57a must also be present</t>
  </si>
  <si>
    <t>us2m_20260717.pdf p.61; direct official MRG</t>
  </si>
  <si>
    <t>MT203</t>
  </si>
  <si>
    <t>C4</t>
  </si>
  <si>
    <t>For each transaction, 56a requires 57a</t>
  </si>
  <si>
    <t>us2m_20260717.pdf p.95; direct official MRG</t>
  </si>
  <si>
    <t>MT205</t>
  </si>
  <si>
    <t>us2m_20260717.pdf p.135; direct official MRG</t>
  </si>
  <si>
    <t>MT205 COV</t>
  </si>
  <si>
    <t>us2m_20260717.pdf p.155; direct official MRG</t>
  </si>
  <si>
    <t>C2</t>
  </si>
  <si>
    <t>C68</t>
  </si>
  <si>
    <t>If Seq B 56a is present, Seq B 57a must also be present</t>
  </si>
  <si>
    <t>Open ID</t>
  </si>
  <si>
    <t>Area</t>
  </si>
  <si>
    <t>Decision required</t>
  </si>
  <si>
    <t>Current controlled position</t>
  </si>
  <si>
    <t>Closure evidence</t>
  </si>
  <si>
    <t>Owner</t>
  </si>
  <si>
    <t>OPEN-347-004</t>
  </si>
  <si>
    <t>Standards coexistence</t>
  </si>
  <si>
    <t>Lock SR2025/SR2026 effective-date and contracted active-release selection</t>
  </si>
  <si>
    <t>Explicit release/profile required; a release may not be silently upgraded or downgraded</t>
  </si>
  <si>
    <t>Version matrix + effective dates + regression evidence for every supported coexistence path</t>
  </si>
  <si>
    <t>BA / Release Governance</t>
  </si>
  <si>
    <t>OPEN</t>
  </si>
  <si>
    <t>OPEN-347-005</t>
  </si>
  <si>
    <t>Sequence-qualified fixtures</t>
  </si>
  <si>
    <t>Approve canonical positive/negative data per message+sequence+leg+currency+counterparty</t>
  </si>
  <si>
    <t>Payment-oriented MT2 fixtures are not reusable evidence</t>
  </si>
  <si>
    <t>Seed manifest + SHA + per-case fixture identity and uniqueness checks</t>
  </si>
  <si>
    <t>BA / QA / Data</t>
  </si>
  <si>
    <t>OPEN-347-006</t>
  </si>
  <si>
    <t>Governed option sources</t>
  </si>
  <si>
    <t>Lock 54a, option B/D/J, clearing-member and beneficiary source contracts</t>
  </si>
  <si>
    <t>No synthesis from BIC, free text or another role</t>
  </si>
  <si>
    <t>Schema, provenance, directory snapshot and negative fallback tests</t>
  </si>
  <si>
    <t>BA / Data / Engineering</t>
  </si>
  <si>
    <t>OPEN-347-007</t>
  </si>
  <si>
    <t>MT742 58a hybrid</t>
  </si>
  <si>
    <t>Lock unique credited-account scope and structured fail-closed API code</t>
  </si>
  <si>
    <t>Institution is transactional; account is controlled when p.220-221 multiple-relationship condition applies</t>
  </si>
  <si>
    <t>Approved rule + fixtures for unique/missing/duplicate/ambiguous account + API contract</t>
  </si>
  <si>
    <t>BA / API / QA</t>
  </si>
  <si>
    <t>OPEN-347-008</t>
  </si>
  <si>
    <t>MT754 58a hybrid</t>
  </si>
  <si>
    <t>Institution is transactional; account is controlled when p.270-271 multiple-relationship condition applies</t>
  </si>
  <si>
    <t>OPEN-347-009</t>
  </si>
  <si>
    <t>Portal FIN profile identity</t>
  </si>
  <si>
    <t>Remove or substantiate non-FIN target/version metadata in the MT347 UI/API</t>
  </si>
  <si>
    <t>Only controlled FIN message, option, sequence/leg and evidence identity are in scope</t>
  </si>
  <si>
    <t>Portal/API metadata is FIN-only and cites the approved authority</t>
  </si>
  <si>
    <t>BA / Product / Architecture</t>
  </si>
  <si>
    <t>OPEN-347-010</t>
  </si>
  <si>
    <t>UI VERIFIED label</t>
  </si>
  <si>
    <t>Rename or substantiate generated executable/verified indicators</t>
  </si>
  <si>
    <t>Generated executable=true is not independent MRG/UAT verification</t>
  </si>
  <si>
    <t>Independent conformance evidence or UI wording changed to supported/configured</t>
  </si>
  <si>
    <t>Product / BA / QA</t>
  </si>
  <si>
    <t>Test Case No.</t>
  </si>
  <si>
    <t>Business Scenario</t>
  </si>
  <si>
    <t>Input</t>
  </si>
  <si>
    <t>SSI/Nostro ownership and source</t>
  </si>
  <si>
    <t>MT Expected Output</t>
  </si>
  <si>
    <t>Expected status/error</t>
  </si>
  <si>
    <t>MRG source/page/evidence</t>
  </si>
  <si>
    <t>Data gap</t>
  </si>
  <si>
    <t>Rule status</t>
  </si>
  <si>
    <t>Polarity</t>
  </si>
  <si>
    <t>Fixture set</t>
  </si>
  <si>
    <t>Required fixture / data precondition</t>
  </si>
  <si>
    <t>Expected HTTP</t>
  </si>
  <si>
    <t>Failure ownership</t>
  </si>
  <si>
    <t>TDD phase</t>
  </si>
  <si>
    <t>Automation gate</t>
  </si>
  <si>
    <t>Test channels</t>
  </si>
  <si>
    <t>Actual result</t>
  </si>
  <si>
    <t>Execution status</t>
  </si>
  <si>
    <t>Evidence path / SHA-256</t>
  </si>
  <si>
    <t>MT300-001</t>
  </si>
  <si>
    <t>B1 - Amount Bought / direct canonical route</t>
  </si>
  <si>
    <t>Bank Service IDs only; currency=USD; bookingEntity=HK01; manual BIC/5x=null; route=DIRECT</t>
  </si>
  <si>
    <t>53a=OWN_SSI / NOSTRO; 56a=COUNTERPARTY_SSI / governed bank-account relationship; 57a=COUNTERPARTY_SSI / governed bank-account relationship</t>
  </si>
  <si>
    <t>B1.53A=CITIUS33; B1.57A=DEUTDEFF; 56a omitted/NOT_REQUIRED; no duplicate institution across roles</t>
  </si>
  <si>
    <t>RESOLVED</t>
  </si>
  <si>
    <t>us3ma_20260717.pdf p.18; C4 mandatory fields within an optional sequence - us3ma_20260717.pdf pp.21-22</t>
  </si>
  <si>
    <t>Needs sequence-qualified isolated QA fixtures</t>
  </si>
  <si>
    <t>CONFIRMED_MRG_PROFILE / BA_CLASSIFIED</t>
  </si>
  <si>
    <t>POSITIVE</t>
  </si>
  <si>
    <t>MT347-CANONICAL-POSITIVE</t>
  </si>
  <si>
    <t>binding=FIX-MT300-001@v1; ssiId=b006b443-a420-542d-9b01-a9a85a570d52@v1; applicabilityId=2a60a7a7-aba0-5b38-aa80-7c695007e119@v1; rmaId=e4f37e2f-3505-52ce-8eb1-83d5355b45b7@v1; ownNostroId=b882d100-5bbb-5c8d-86e7-2b552fbe8559; ownNostroVersion=1; expectedAccountReference=MT347-MT300-001-USD-001; Bank Service IDs only; currency=USD; bookingEntity=HK01; manual BIC/5x=null; route=DIRECT; fixture gap: Needs sequence-qualified isolated QA fixtures</t>
  </si>
  <si>
    <t>200</t>
  </si>
  <si>
    <t>PRODUCT DEFECT if actual differs after canonical seed is verified</t>
  </si>
  <si>
    <t>RED — SPECIFIED, NOT EXECUTED</t>
  </si>
  <si>
    <t>BLOCKED — CONTROLLED MT347 FIXTURE NOT LOADED</t>
  </si>
  <si>
    <t>QA/API + Browser UAT — SAME FIXTURE ID</t>
  </si>
  <si>
    <t>NOT_EXECUTED</t>
  </si>
  <si>
    <t>MT300-002</t>
  </si>
  <si>
    <t>B1 - Amount Bought / intermediary route</t>
  </si>
  <si>
    <t>senderCorrespondentBankServiceId=BANK-SVC-CITIUS33; intermediaryBankServiceId=BANK-SVC-HSBCHKHH; receivingBankServiceId=BANK-SVC-DEUTDEFF</t>
  </si>
  <si>
    <t>53a=OWN_SSI/NOSTRO;56a/57a=COUNTERPARTY_SSI;58a=explicit transaction/upstream beneficiary</t>
  </si>
  <si>
    <t>B1.53A=CITIUS33; B1.56A=HSBCHKHH; B1.57A=DEUTDEFF; role values must remain distinct</t>
  </si>
  <si>
    <t>Positive intermediary fixture required</t>
  </si>
  <si>
    <t>binding=FIX-MT300-002@v1; ssiId=41301d25-d09c-56f4-980d-4aa298b014c2@v1; applicabilityId=a4587f5f-7ef5-569e-a903-498cbc799d83@v1; rmaId=aaf0ecab-86a7-5e23-b36b-40c2ced5758f@v1; ownNostroId=f9c52e70-fc4d-5031-a2fb-20777e1367e1; ownNostroVersion=1; expectedAccountReference=MT347-MT300-002-USD-001; senderCorrespondentBankServiceId=BANK-SVC-CITIUS33; intermediaryBankServiceId=BANK-SVC-HSBCHKHH; receivingBankServiceId=BANK-SVC-DEUTDEFF; fixture gap: Positive intermediary fixture required</t>
  </si>
  <si>
    <t>MT300-003</t>
  </si>
  <si>
    <t>B1 - Amount Bought / mandatory role unavailable</t>
  </si>
  <si>
    <t>sequencePresent=true; source for mandatory 57a missing; no cross-role/sequence fallback</t>
  </si>
  <si>
    <t>57a expected owner=COUNTERPARTY_SSI / governed bank-account relationship</t>
  </si>
  <si>
    <t>No MT output; 57a is mandatory when this sequence is present</t>
  </si>
  <si>
    <t>PROFILE_INCOMPLETE / FAIL_CLOSED</t>
  </si>
  <si>
    <t>Governed source and error contract required</t>
  </si>
  <si>
    <t>NEGATIVE</t>
  </si>
  <si>
    <t>MT347-NEGATIVE</t>
  </si>
  <si>
    <t>binding=FIX-MT300-003@v1; ssiId=b11eb36e-4b91-5f52-86dd-b119f9bcf82f@v1; applicabilityId=3de6f0e5-2ff3-5671-804f-30afabe5b594@v1; rmaId=f18101a0-8113-5d4a-b376-34320dfe3b8f@v1; sequencePresent=true; source for mandatory 57a missing; no cross-role/sequence fallback; fixture gap: Governed source and error contract required</t>
  </si>
  <si>
    <t>409 DEV/DEMO; 500 non-DEV (structured DATA_QUALITY)</t>
  </si>
  <si>
    <t>FIXTURE/DATA GAP if governed negative fixture; PRODUCT DEFECT if wrong code/body or crash</t>
  </si>
  <si>
    <t>MT300-004</t>
  </si>
  <si>
    <t>B1 - Amount Bought / invalid option</t>
  </si>
  <si>
    <t>candidate=B1.53Z; allowed=A,J</t>
  </si>
  <si>
    <t>Rejected before ownership lookup</t>
  </si>
  <si>
    <t>Reject B1.53Z; allowed options=A,J</t>
  </si>
  <si>
    <t>OPTION_CONSTRAINT_VIOLATION / FAIL_CLOSED</t>
  </si>
  <si>
    <t>None</t>
  </si>
  <si>
    <t>binding=FIX-MT300-004@v1; ssiId=105b1a3c-c40a-559c-b5fa-6ad986c323ac@v1; applicabilityId=3ed0e22e-2854-5487-a2d3-89b23defed42@v1; rmaId=839668f7-59da-5587-b086-b7535c547661@v1; candidate=B1.53Z; allowed=A,J; fixture gap: None</t>
  </si>
  <si>
    <t>422</t>
  </si>
  <si>
    <t>EXPECTED NEGATIVE BEHAVIOR; PRODUCT DEFECT if message is generated or error contract differs</t>
  </si>
  <si>
    <t>MT300-005</t>
  </si>
  <si>
    <t>B1 - Amount Bought / option J provenance boundary</t>
  </si>
  <si>
    <t>requested=B1.53J; only BIC snapshot exists; option-specific structured source absent</t>
  </si>
  <si>
    <t>53J must have controlled option-specific source</t>
  </si>
  <si>
    <t>Option J is profile-valid but must not be synthesized from BIC/free text</t>
  </si>
  <si>
    <t>Add controlled option-J source</t>
  </si>
  <si>
    <t>binding=FIX-MT300-005@v1; ssiId=1d4f5f4a-23ff-5ba7-b5ba-17d0b84b5827@v1; applicabilityId=46b67689-5677-55f0-8297-655e9250e77d@v1; rmaId=1e6b784b-5c5d-588e-ab51-86e0d950fbd7@v1; requested=B1.53J; only BIC snapshot exists; option-specific structured source absent; fixture gap: Add controlled option-J source</t>
  </si>
  <si>
    <t>MT300-006</t>
  </si>
  <si>
    <t>B2 - Amount Sold / direct canonical route</t>
  </si>
  <si>
    <t>53a=OWN_SSI / NOSTRO; 56a=COUNTERPARTY_SSI / governed bank-account relationship; 57a=COUNTERPARTY_SSI / governed bank-account relationship; 58a=TRANSACTION/UPSTREAM BENEFICIARY; never copied from 53/56/57</t>
  </si>
  <si>
    <t>B2.53A=CITIUS33; B2.57A=DEUTDEFF; B2.58A=BARCGB22; 56a omitted/NOT_REQUIRED; no duplicate institution across roles</t>
  </si>
  <si>
    <t>binding=FIX-MT300-006@v1; ssiId=41714b20-c566-542b-b61f-1b7a155801ed@v1; applicabilityId=b47b9d84-0424-5409-b9a1-1a5d6f8eb7f9@v1; rmaId=e9a8e99f-6512-5ca4-a3b0-19303aa5d0a6@v1; ownNostroId=0f76d720-4e0e-5197-9961-ea1a80b0fc79; ownNostroVersion=1; expectedAccountReference=MT347-MT300-006-USD-001; Bank Service IDs only; currency=USD; bookingEntity=HK01; manual BIC/5x=null; route=DIRECT; fixture gap: Needs sequence-qualified isolated QA fixtures</t>
  </si>
  <si>
    <t>MT300-007</t>
  </si>
  <si>
    <t>B2 - Amount Sold / intermediary route</t>
  </si>
  <si>
    <t>B2.53A=CITIUS33; B2.56A=HSBCHKHH; B2.57A=DEUTDEFF; B2.58A=BARCGB22; role values must remain distinct</t>
  </si>
  <si>
    <t>binding=FIX-MT300-007@v1; ssiId=a94d1a96-e283-5087-b2de-7e388e9eb72b@v1; applicabilityId=1f258006-0961-5f8e-aaec-65509516db51@v1; rmaId=54fa488d-259a-5ec7-aa28-e1a64fc5b312@v1; ownNostroId=273e6cbd-111a-5870-a765-aa1c011e2e47; ownNostroVersion=1; expectedAccountReference=MT347-MT300-007-USD-001; senderCorrespondentBankServiceId=BANK-SVC-CITIUS33; intermediaryBankServiceId=BANK-SVC-HSBCHKHH; receivingBankServiceId=BANK-SVC-DEUTDEFF; fixture gap: Positive intermediary fixture required</t>
  </si>
  <si>
    <t>MT300-008</t>
  </si>
  <si>
    <t>B2 - Amount Sold / mandatory role unavailable</t>
  </si>
  <si>
    <t>binding=FIX-MT300-008@v1; ssiId=31fb022a-1272-5515-9778-5939fdbd16dc@v1; applicabilityId=a68a2082-342f-5ed6-885e-90f0f47788b8@v1; rmaId=f53a0faa-6c24-5c45-9618-435855ffda4a@v1; sequencePresent=true; source for mandatory 57a missing; no cross-role/sequence fallback; fixture gap: Governed source and error contract required</t>
  </si>
  <si>
    <t>MT300-009</t>
  </si>
  <si>
    <t>B2 - Amount Sold / invalid option</t>
  </si>
  <si>
    <t>candidate=B2.53Z; allowed=A,J</t>
  </si>
  <si>
    <t>Reject B2.53Z; allowed options=A,J</t>
  </si>
  <si>
    <t>binding=FIX-MT300-009@v1; ssiId=705a550b-605d-5c38-b706-ecfa3e9c485b@v1; applicabilityId=d7bada0e-a267-5514-9fe7-742a60345b9a@v1; rmaId=71a776c1-3207-5d0e-84e7-3d636b92e4d3@v1; candidate=B2.53Z; allowed=A,J; fixture gap: None</t>
  </si>
  <si>
    <t>MT300-010</t>
  </si>
  <si>
    <t>B2 - Amount Sold / option J provenance boundary</t>
  </si>
  <si>
    <t>requested=B2.53J; only BIC snapshot exists; option-specific structured source absent</t>
  </si>
  <si>
    <t>binding=FIX-MT300-010@v1; ssiId=4a780ec2-d95f-5c3f-898d-f018b5329d3c@v1; applicabilityId=7bc1f546-edbd-5510-94f9-f65fa42e2776@v1; rmaId=292c77a8-b766-5eb7-921b-6c95b9985ef8@v1; requested=B2.53J; only BIC snapshot exists; option-specific structured source absent; fixture gap: Add controlled option-J source</t>
  </si>
  <si>
    <t>MT300-011</t>
  </si>
  <si>
    <t>D - Split Settlement Details / direct canonical route</t>
  </si>
  <si>
    <t>D.53A=CITIUS33; D.57A=DEUTDEFF; D.58A=BARCGB22; 56a omitted/NOT_REQUIRED; no duplicate institution across roles</t>
  </si>
  <si>
    <t>us3ma_20260717.pdf p.19; C4 mandatory fields within an optional sequence - us3ma_20260717.pdf pp.21-22</t>
  </si>
  <si>
    <t>binding=FIX-MT300-011@v1; ssiId=41d3fb5e-e787-5565-875a-37643167d576@v1; applicabilityId=6e9f0853-ed69-5e5c-951b-079e828a6d85@v1; rmaId=160986a9-7b51-5d68-a6a0-b60a0abafcd1@v1; ownNostroId=16e9aca8-d037-5df5-95ba-aba126820f8f; ownNostroVersion=1; expectedAccountReference=MT347-MT300-011-USD-001; Bank Service IDs only; currency=USD; bookingEntity=HK01; manual BIC/5x=null; route=DIRECT; fixture gap: Needs sequence-qualified isolated QA fixtures</t>
  </si>
  <si>
    <t>MT300-012</t>
  </si>
  <si>
    <t>D - Split Settlement Details / intermediary route</t>
  </si>
  <si>
    <t>D.53A=CITIUS33; D.56A=HSBCHKHH; D.57A=DEUTDEFF; D.58A=BARCGB22; role values must remain distinct</t>
  </si>
  <si>
    <t>binding=FIX-MT300-012@v1; ssiId=d4af05e3-cefe-5bb9-aae5-6c1d4f3a8c23@v1; applicabilityId=dd720666-a778-595c-aca7-3238585b4e10@v1; rmaId=46af2d8e-b559-5d3f-81cf-8ad6a9b7b18e@v1; ownNostroId=f0ec64a4-19a2-56d8-b88b-89fe593a6605; ownNostroVersion=1; expectedAccountReference=MT347-MT300-012-USD-001; senderCorrespondentBankServiceId=BANK-SVC-CITIUS33; intermediaryBankServiceId=BANK-SVC-HSBCHKHH; receivingBankServiceId=BANK-SVC-DEUTDEFF; fixture gap: Positive intermediary fixture required</t>
  </si>
  <si>
    <t>MT300-013</t>
  </si>
  <si>
    <t>D - Split Settlement Details / mandatory role unavailable</t>
  </si>
  <si>
    <t>binding=FIX-MT300-013@v1; ssiId=f34b9973-84af-5817-b4d1-ffae43bfeebe@v1; applicabilityId=774ec4ff-660a-5875-8d0d-cf71c9706f1f@v1; rmaId=4460a08a-8c25-5d48-b6f0-c27ad4211838@v1; sequencePresent=true; source for mandatory 57a missing; no cross-role/sequence fallback; fixture gap: Governed source and error contract required</t>
  </si>
  <si>
    <t>MT300-014</t>
  </si>
  <si>
    <t>D - Split Settlement Details / invalid option</t>
  </si>
  <si>
    <t>candidate=D.53Z; allowed=A,D,J</t>
  </si>
  <si>
    <t>Reject D.53Z; allowed options=A,D,J</t>
  </si>
  <si>
    <t>binding=FIX-MT300-014@v1; ssiId=78ef238c-ff99-56a5-a2eb-955d5d021d35@v1; applicabilityId=f8a2c26b-d2df-58d3-b4d4-01fc5b799beb@v1; rmaId=fdf713c4-24c3-5273-9994-52bfd19151a3@v1; candidate=D.53Z; allowed=A,D,J; fixture gap: None</t>
  </si>
  <si>
    <t>MT300-015</t>
  </si>
  <si>
    <t>D - Split Settlement Details / option D provenance boundary</t>
  </si>
  <si>
    <t>requested=D.53D; only BIC snapshot exists; option-specific structured source absent</t>
  </si>
  <si>
    <t>53D must have controlled option-specific source</t>
  </si>
  <si>
    <t>Option D is profile-valid but must not be synthesized from BIC/free text</t>
  </si>
  <si>
    <t>Add controlled option-D source</t>
  </si>
  <si>
    <t>binding=FIX-MT300-015@v1; ssiId=d3f1c5cf-70cc-5398-8498-362a46669115@v1; applicabilityId=dcdc2ae3-fb4d-5a07-a03c-19612fd26842@v1; rmaId=92bd6555-d475-53d4-a7e1-141fd757de15@v1; requested=D.53D; only BIC snapshot exists; option-specific structured source absent; fixture gap: Add controlled option-D source</t>
  </si>
  <si>
    <t>MT304-001</t>
  </si>
  <si>
    <t>us3ma_20260717.pdf p.124; C6 mandatory fields within an optional sequence - us3ma_20260717.pdf pp.126-127</t>
  </si>
  <si>
    <t>binding=FIX-MT304-001@v1; ssiId=e570ce30-b01a-512f-a826-5307d98458a2@v1; applicabilityId=dd15d3a0-8468-5619-a7aa-440d931ee91d@v1; rmaId=1f817efe-d6ea-510c-bff3-2cca6885523e@v1; ownNostroId=9b9cda5e-5ae6-53c7-b0c1-858f476070cf; ownNostroVersion=1; expectedAccountReference=MT347-MT304-001-USD-001; Bank Service IDs only; currency=USD; bookingEntity=HK01; manual BIC/5x=null; route=DIRECT; fixture gap: Needs sequence-qualified isolated QA fixtures</t>
  </si>
  <si>
    <t>MT304-002</t>
  </si>
  <si>
    <t>binding=FIX-MT304-002@v1; ssiId=56028ca7-dc7c-5d44-82c9-de4f54e63657@v1; applicabilityId=225d267d-e291-59d0-af4f-c5e9aa5b5585@v1; rmaId=9f556f55-faea-5d7b-b407-e1cb71b703a4@v1; ownNostroId=6f7db01b-7237-5832-a8d4-a1f231ca69c8; ownNostroVersion=1; expectedAccountReference=MT347-MT304-002-USD-001; senderCorrespondentBankServiceId=BANK-SVC-CITIUS33; intermediaryBankServiceId=BANK-SVC-HSBCHKHH; receivingBankServiceId=BANK-SVC-DEUTDEFF; fixture gap: Positive intermediary fixture required</t>
  </si>
  <si>
    <t>MT304-003</t>
  </si>
  <si>
    <t>sequencePresent=true; source for mandatory 53a missing; no cross-role/sequence fallback</t>
  </si>
  <si>
    <t>53a expected owner=OWN_SSI / NOSTRO</t>
  </si>
  <si>
    <t>No MT output; 53a is mandatory when this sequence is present</t>
  </si>
  <si>
    <t>binding=FIX-MT304-003@v1; ssiId=5d292148-c4c8-5259-8212-9bd98a10802b@v1; applicabilityId=677aaeea-b67f-5923-ba01-a330a6aae866@v1; rmaId=7698d9bc-b437-5719-8d20-44f1be489896@v1; ownNostroId=9555643c-37f1-5c16-9999-12db2ec75c90; ownNostroVersion=1; expectedAccountReference=MT347-MT304-003-USD-001; sequencePresent=true; source for mandatory 53a missing; no cross-role/sequence fallback; fixture gap: Governed source and error contract required</t>
  </si>
  <si>
    <t>MT304-004</t>
  </si>
  <si>
    <t>binding=FIX-MT304-004@v1; ssiId=9ff0b29b-947b-5230-9a00-f38ce66bcbcf@v1; applicabilityId=1c2b1717-bdf8-57c7-8b0c-8977e154d149@v1; rmaId=21bd9b0c-e821-5637-a0b8-85f8d94b3fdb@v1; candidate=B1.53Z; allowed=A,J; fixture gap: None</t>
  </si>
  <si>
    <t>MT304-005</t>
  </si>
  <si>
    <t>binding=FIX-MT304-005@v1; ssiId=c5cbab7a-be9d-5fcd-85cc-7bdbe5e5fc04@v1; applicabilityId=70619dae-703c-5c3d-b945-ffa1a380158e@v1; rmaId=4269d1b8-6840-5324-b239-24a66106e467@v1; requested=B1.53J; only BIC snapshot exists; option-specific structured source absent; fixture gap: Add controlled option-J source</t>
  </si>
  <si>
    <t>MT304-006</t>
  </si>
  <si>
    <t>binding=FIX-MT304-006@v1; ssiId=7a3f49fd-bdc4-59fe-ba91-c50d43145dfa@v1; applicabilityId=00e5c295-0e24-5122-b4a9-733e12474fd9@v1; rmaId=9657060a-8f03-52f8-96d3-aad928e02b15@v1; ownNostroId=27dafbd0-aadd-58a4-b733-415631ca827e; ownNostroVersion=1; expectedAccountReference=MT347-MT304-006-USD-001; Bank Service IDs only; currency=USD; bookingEntity=HK01; manual BIC/5x=null; route=DIRECT; fixture gap: Needs sequence-qualified isolated QA fixtures</t>
  </si>
  <si>
    <t>MT304-007</t>
  </si>
  <si>
    <t>binding=FIX-MT304-007@v1; ssiId=a1a67d02-1d3a-570a-ac85-de99ab6d2baa@v1; applicabilityId=ca9e47ec-04b0-5ed3-9649-7599ca29143b@v1; rmaId=e349938d-a3b4-5d0b-ad82-713e7b097bd8@v1; ownNostroId=e4950bc4-65bd-56df-bd3f-5379f5ae1783; ownNostroVersion=1; expectedAccountReference=MT347-MT304-007-USD-001; senderCorrespondentBankServiceId=BANK-SVC-CITIUS33; intermediaryBankServiceId=BANK-SVC-HSBCHKHH; receivingBankServiceId=BANK-SVC-DEUTDEFF; fixture gap: Positive intermediary fixture required</t>
  </si>
  <si>
    <t>MT304-008</t>
  </si>
  <si>
    <t>binding=FIX-MT304-008@v1; ssiId=1d2c7893-3051-5a52-afc1-4c1429f2af6e@v1; applicabilityId=846e7734-786d-5c2b-88f7-da0d7e527ae2@v1; rmaId=ed8afdf6-9cc9-5834-89bd-0d5e9a5e6c3a@v1; sequencePresent=true; source for mandatory 57a missing; no cross-role/sequence fallback; fixture gap: Governed source and error contract required</t>
  </si>
  <si>
    <t>MT304-009</t>
  </si>
  <si>
    <t>binding=FIX-MT304-009@v1; ssiId=4f2a670a-f23e-5ca6-bd25-e078924fb2b9@v1; applicabilityId=0fed1ac4-1d4a-5735-979e-fbff2cdfc8cb@v1; rmaId=7cfdc670-a795-5fbe-b8f6-ee2c91caebe9@v1; candidate=B2.53Z; allowed=A,J; fixture gap: None</t>
  </si>
  <si>
    <t>MT304-010</t>
  </si>
  <si>
    <t>binding=FIX-MT304-010@v1; ssiId=292ecb9c-d1c7-552c-8157-ef5bef0f3a55@v1; applicabilityId=18610555-b33c-5532-8ffa-a3a272a9aa5e@v1; rmaId=21039ad1-b8b1-5a39-abeb-52af7a02d093@v1; requested=B2.53J; only BIC snapshot exists; option-specific structured source absent; fixture gap: Add controlled option-J source</t>
  </si>
  <si>
    <t>MT304-011</t>
  </si>
  <si>
    <t>E - Net Amount to be Settled / direct canonical route</t>
  </si>
  <si>
    <t>E.53A=CITIUS33; E.57A=DEUTDEFF; E.58A=BARCGB22; 56a omitted/NOT_REQUIRED; no duplicate institution across roles</t>
  </si>
  <si>
    <t>us3ma_20260717.pdf p.125; us3ma_20260717.pdf p.126; C6 mandatory fields within an optional sequence - us3ma_20260717.pdf pp.126-127</t>
  </si>
  <si>
    <t>binding=FIX-MT304-011@v1; ssiId=37c4fde8-be44-545b-ab9c-9d4b21dee50c@v1; applicabilityId=8e160e69-3473-56b1-a50e-c95d1403c043@v1; rmaId=076f8cd1-6cc7-53a3-ba1a-33fdb7468497@v1; ownNostroId=917e7f89-e7cb-5de7-a1da-5995d66238b3; ownNostroVersion=1; expectedAccountReference=MT347-MT304-011-USD-001; Bank Service IDs only; currency=USD; bookingEntity=HK01; manual BIC/5x=null; route=DIRECT; fixture gap: Needs sequence-qualified isolated QA fixtures</t>
  </si>
  <si>
    <t>MT304-012</t>
  </si>
  <si>
    <t>E - Net Amount to be Settled / intermediary route</t>
  </si>
  <si>
    <t>E.53A=CITIUS33; E.56A=HSBCHKHH; E.57A=DEUTDEFF; E.58A=BARCGB22; role values must remain distinct</t>
  </si>
  <si>
    <t>binding=FIX-MT304-012@v1; ssiId=197bf109-5275-540f-9128-03b471e08da1@v1; applicabilityId=2cfa5209-55fa-5978-bf52-e35d646737b2@v1; rmaId=0e2ad45b-4d86-5e30-8853-27b0287d1b17@v1; ownNostroId=60cb552c-ea23-564d-b1bf-a3d4342a367f; ownNostroVersion=1; expectedAccountReference=MT347-MT304-012-USD-001; senderCorrespondentBankServiceId=BANK-SVC-CITIUS33; intermediaryBankServiceId=BANK-SVC-HSBCHKHH; receivingBankServiceId=BANK-SVC-DEUTDEFF; fixture gap: Positive intermediary fixture required</t>
  </si>
  <si>
    <t>MT304-013</t>
  </si>
  <si>
    <t>E - Net Amount to be Settled / optional route unavailable</t>
  </si>
  <si>
    <t>no eligible SSI; all SSI-classified 5x roles in this sequence are optional</t>
  </si>
  <si>
    <t>No owner selected</t>
  </si>
  <si>
    <t>Omit optional 5x; do not invent values</t>
  </si>
  <si>
    <t>NOT_REQUIRED / NO_ELIGIBLE_SSI</t>
  </si>
  <si>
    <t>BA must lock API distinction</t>
  </si>
  <si>
    <t>binding=FIX-MT304-013@v1; ssiId=b1f69cc7-0537-5373-9c4b-57017f93efa7@v1; applicabilityId=81e67f09-af87-5ec0-af03-9240429d5174@v1; rmaId=a8629815-c7fb-51dd-bece-ba9e12e7be3f@v1; no eligible SSI; all SSI-classified 5x roles in this sequence are optional; fixture gap: BA must lock API distinction</t>
  </si>
  <si>
    <t>MT304-014</t>
  </si>
  <si>
    <t>E - Net Amount to be Settled / invalid option</t>
  </si>
  <si>
    <t>candidate=E.53Z; allowed=A,D,J</t>
  </si>
  <si>
    <t>Reject E.53Z; allowed options=A,D,J</t>
  </si>
  <si>
    <t>binding=FIX-MT304-014@v1; ssiId=7d88c646-32ff-51f4-acec-8849abf383c4@v1; applicabilityId=e899019a-0cf7-5277-b51e-19de5894ebaf@v1; rmaId=5446d9ce-514b-5838-b9dc-8494999591d7@v1; candidate=E.53Z; allowed=A,D,J; fixture gap: None</t>
  </si>
  <si>
    <t>MT304-015</t>
  </si>
  <si>
    <t>E - Net Amount to be Settled / option D provenance boundary</t>
  </si>
  <si>
    <t>requested=E.53D; only BIC snapshot exists; option-specific structured source absent</t>
  </si>
  <si>
    <t>binding=FIX-MT304-015@v1; ssiId=bcade199-7ec9-540f-84fd-20e9d9204457@v1; applicabilityId=8552df33-9518-565e-92c9-69f140461b1c@v1; rmaId=4d69d0f3-998b-53be-a8af-21cefeccad3c@v1; requested=E.53D; only BIC snapshot exists; option-specific structured source absent; fixture gap: Add controlled option-D source</t>
  </si>
  <si>
    <t>MT305-001</t>
  </si>
  <si>
    <t>A - General Information / direct canonical route</t>
  </si>
  <si>
    <t>A.53A=CITIUS33; A.57A=DEUTDEFF; 56a omitted/NOT_REQUIRED; no duplicate institution across roles</t>
  </si>
  <si>
    <t>us3ma_20260717.pdf p.195; C4 mandatory fields within an optional sequence/subsequence - us3ma_20260717.pdf p.197</t>
  </si>
  <si>
    <t>binding=FIX-MT305-001@v1; ssiId=900b46ab-96bf-505c-9208-8122066435d3@v1; applicabilityId=1e5372dd-87a4-5946-b96b-a9d93e037ecc@v1; rmaId=de9b8d6c-0b61-5c3b-851f-cea05341fa97@v1; ownNostroId=c9eb5b01-e735-5b8f-8ab8-c60362c2d7af; ownNostroVersion=1; expectedAccountReference=MT347-MT305-001-USD-001; Bank Service IDs only; currency=USD; bookingEntity=HK01; manual BIC/5x=null; route=DIRECT; fixture gap: Needs sequence-qualified isolated QA fixtures</t>
  </si>
  <si>
    <t>MT305-002</t>
  </si>
  <si>
    <t>A - General Information / intermediary route</t>
  </si>
  <si>
    <t>A.53A=CITIUS33; A.56A=HSBCHKHH; A.57A=DEUTDEFF; role values must remain distinct</t>
  </si>
  <si>
    <t>binding=FIX-MT305-002@v1; ssiId=fab01759-710b-55c1-afb1-bba041d3d371@v1; applicabilityId=51140c09-7734-5fff-b67d-52f960a27db9@v1; rmaId=83ebd616-d077-5153-8029-9e6c66c65bf6@v1; ownNostroId=074b44a9-021e-576d-bc7a-35d3cf2cd434; ownNostroVersion=1; expectedAccountReference=MT347-MT305-002-USD-001; senderCorrespondentBankServiceId=BANK-SVC-CITIUS33; intermediaryBankServiceId=BANK-SVC-HSBCHKHH; receivingBankServiceId=BANK-SVC-DEUTDEFF; fixture gap: Positive intermediary fixture required</t>
  </si>
  <si>
    <t>MT305-003</t>
  </si>
  <si>
    <t>A - General Information / mandatory role unavailable</t>
  </si>
  <si>
    <t>binding=FIX-MT305-003@v1; ssiId=fb1b13f8-9508-565d-a922-c72445036081@v1; applicabilityId=f4deb580-47cb-58e6-b6c9-89848267f652@v1; rmaId=171dec41-c03e-5559-9e19-6020a057b7f6@v1; sequencePresent=true; source for mandatory 57a missing; no cross-role/sequence fallback; fixture gap: Governed source and error contract required</t>
  </si>
  <si>
    <t>MT305-004</t>
  </si>
  <si>
    <t>A - General Information / invalid option</t>
  </si>
  <si>
    <t>candidate=A.53Z; allowed=A,J</t>
  </si>
  <si>
    <t>Reject A.53Z; allowed options=A,J</t>
  </si>
  <si>
    <t>binding=FIX-MT305-004@v1; ssiId=5bf1f730-38b2-5e61-9f36-1e26cc3ba247@v1; applicabilityId=c5a5dc1f-76bf-5db4-8607-7462603a6cbe@v1; rmaId=e109752b-07f3-56fd-aa6a-11d34b18738b@v1; candidate=A.53Z; allowed=A,J; fixture gap: None</t>
  </si>
  <si>
    <t>MT305-005</t>
  </si>
  <si>
    <t>A - General Information / option J provenance boundary</t>
  </si>
  <si>
    <t>requested=A.53J; only BIC snapshot exists; option-specific structured source absent</t>
  </si>
  <si>
    <t>binding=FIX-MT305-005@v1; ssiId=79835cbc-1943-5e40-a803-8f976f4fa572@v1; applicabilityId=d8735208-7a36-59c7-91ff-0a45f098dc21@v1; rmaId=1d3e3dc6-29fc-5262-ba7a-60ee549a5591@v1; requested=A.53J; only BIC snapshot exists; option-specific structured source absent; fixture gap: Add controlled option-J source</t>
  </si>
  <si>
    <t>MT306-001</t>
  </si>
  <si>
    <t>C - Settlement Instructions for Payment of Premium / direct canonical route</t>
  </si>
  <si>
    <t>C.53A=CITIUS33; C.57A=DEUTDEFF; C.58A=BARCGB22; 56a omitted/NOT_REQUIRED; no duplicate institution across roles</t>
  </si>
  <si>
    <t>us3ma_20260717.pdf p.262; C8: 86a requires 56a in same sequence (E35) - us3ma_20260717.pdf pp.269-270</t>
  </si>
  <si>
    <t>binding=FIX-MT306-001@v1; ssiId=095f7312-2353-5f11-9726-9adb21b4c1ee@v1; applicabilityId=4e74a00c-837b-5354-a012-e9195f2f482c@v1; rmaId=64b8f542-a589-5240-ad00-0a11103517c0@v1; ownNostroId=47a358c1-99a3-5083-b8e9-81b9ccd6363f; ownNostroVersion=1; expectedAccountReference=MT347-MT306-001-USD-001; Bank Service IDs only; currency=USD; bookingEntity=HK01; manual BIC/5x=null; route=DIRECT; fixture gap: Needs sequence-qualified isolated QA fixtures</t>
  </si>
  <si>
    <t>MT306-002</t>
  </si>
  <si>
    <t>C - Settlement Instructions for Payment of Premium / intermediary route</t>
  </si>
  <si>
    <t>C.53A=CITIUS33; C.56A=HSBCHKHH; C.57A=DEUTDEFF; C.58A=BARCGB22; role values must remain distinct</t>
  </si>
  <si>
    <t>binding=FIX-MT306-002@v1; ssiId=56958b92-385e-596d-b36c-8b1aa710b0ea@v1; applicabilityId=82b3f00f-47ba-537e-9eec-e1dc8c346903@v1; rmaId=d5ea1e52-f0ce-5f90-8d21-e0dbe3c1a9a6@v1; ownNostroId=f5e6f9c1-f35a-5f59-acff-8f3dd84091d8; ownNostroVersion=1; expectedAccountReference=MT347-MT306-002-USD-001; senderCorrespondentBankServiceId=BANK-SVC-CITIUS33; intermediaryBankServiceId=BANK-SVC-HSBCHKHH; receivingBankServiceId=BANK-SVC-DEUTDEFF; fixture gap: Positive intermediary fixture required</t>
  </si>
  <si>
    <t>MT306-003</t>
  </si>
  <si>
    <t>C - Settlement Instructions for Payment of Premium / mandatory role unavailable</t>
  </si>
  <si>
    <t>binding=FIX-MT306-003@v1; ssiId=437de773-8085-5431-ac6a-b60a85cb17bb@v1; applicabilityId=99b4aea0-75a1-5a3d-817c-715a55509df5@v1; rmaId=604eea09-8117-5c11-9bb0-f2862a71ecfa@v1; sequencePresent=true; source for mandatory 57a missing; no cross-role/sequence fallback; fixture gap: Governed source and error contract required</t>
  </si>
  <si>
    <t>MT306-004</t>
  </si>
  <si>
    <t>C - Settlement Instructions for Payment of Premium / invalid option</t>
  </si>
  <si>
    <t>candidate=C.53Z; allowed=A,J</t>
  </si>
  <si>
    <t>Reject C.53Z; allowed options=A,J</t>
  </si>
  <si>
    <t>binding=FIX-MT306-004@v1; ssiId=3898b2ed-7460-5e02-9c02-cf7f5293c43f@v1; applicabilityId=7b07ea9f-5212-537d-928c-83066767ed78@v1; rmaId=12b80e3b-ab95-5960-8af7-4240b220143f@v1; candidate=C.53Z; allowed=A,J; fixture gap: None</t>
  </si>
  <si>
    <t>MT306-005</t>
  </si>
  <si>
    <t>C - Settlement Instructions for Payment of Premium / option J provenance boundary</t>
  </si>
  <si>
    <t>requested=C.53J; only BIC snapshot exists; option-specific structured source absent</t>
  </si>
  <si>
    <t>binding=FIX-MT306-005@v1; ssiId=0c3c9111-a5ce-58d0-8576-79388918a382@v1; applicabilityId=843dc7f4-4715-5c00-a973-2ead13681b6c@v1; rmaId=23c4d4a6-14b9-50be-b8b8-53008d4859c1@v1; requested=C.53J; only BIC snapshot exists; option-specific structured source absent; fixture gap: Add controlled option-J source</t>
  </si>
  <si>
    <t>MT306-006</t>
  </si>
  <si>
    <t>C - Settlement Instructions for Payment of Premium / 86a without 56a</t>
  </si>
  <si>
    <t>sequence=C;86a present;56a absent</t>
  </si>
  <si>
    <t>86a is not an SSI output; full message validator owns dependency</t>
  </si>
  <si>
    <t>Reject: MRG E35 requires 56a before 86a in the same sequence</t>
  </si>
  <si>
    <t>NVR_VIOLATION / FAIL_CLOSED</t>
  </si>
  <si>
    <t>86a output remains out of SSI scope</t>
  </si>
  <si>
    <t>binding=FIX-MT306-006@v1; ssiId=296f8ac2-3d93-556e-ba1e-e1f7e09300ab@v1; applicabilityId=63075818-0275-55c1-b15f-5118353b244e@v1; rmaId=495e5bed-b856-5fa2-b3d5-60714e25a5c6@v1; sequence=C;86a present;56a absent; fixture gap: 86a output remains out of SSI scope</t>
  </si>
  <si>
    <t>MT306-007</t>
  </si>
  <si>
    <t>E - Binary Payout Amount / direct canonical route</t>
  </si>
  <si>
    <t>us3ma_20260717.pdf p.263; C8: 86a requires 56a in same sequence (E35) - us3ma_20260717.pdf pp.269-270</t>
  </si>
  <si>
    <t>binding=FIX-MT306-007@v1; ssiId=33b73c76-ff2d-5162-8afe-3fb9a7aeae4f@v1; applicabilityId=12bee852-9686-55fc-89a0-504a13104cfd@v1; rmaId=cc926cc7-bc5e-557b-9195-66bc521ab867@v1; ownNostroId=38d8d8a4-7954-5a08-8671-9eb3d6552885; ownNostroVersion=1; expectedAccountReference=MT347-MT306-007-USD-001; Bank Service IDs only; currency=USD; bookingEntity=HK01; manual BIC/5x=null; route=DIRECT; fixture gap: Needs sequence-qualified isolated QA fixtures</t>
  </si>
  <si>
    <t>MT306-008</t>
  </si>
  <si>
    <t>E - Binary Payout Amount / intermediary route</t>
  </si>
  <si>
    <t>binding=FIX-MT306-008@v1; ssiId=3d89ced2-84d1-54d1-b682-5ec01fb74df3@v1; applicabilityId=851e67af-d5ac-5f5b-ac08-7845d012d0bf@v1; rmaId=671153c8-db53-5531-893d-2d5f44e736f5@v1; ownNostroId=add37a75-c031-5661-a3a1-dcf97f1b6ce0; ownNostroVersion=1; expectedAccountReference=MT347-MT306-008-USD-001; senderCorrespondentBankServiceId=BANK-SVC-CITIUS33; intermediaryBankServiceId=BANK-SVC-HSBCHKHH; receivingBankServiceId=BANK-SVC-DEUTDEFF; fixture gap: Positive intermediary fixture required</t>
  </si>
  <si>
    <t>MT306-009</t>
  </si>
  <si>
    <t>E - Binary Payout Amount / mandatory role unavailable</t>
  </si>
  <si>
    <t>binding=FIX-MT306-009@v1; ssiId=b37d7a3c-da99-52fc-8e5f-26b13d22db49@v1; applicabilityId=238ae53d-afd3-5c43-a24d-d7794da8c406@v1; rmaId=04951198-416f-5487-be69-ad83318f4464@v1; sequencePresent=true; source for mandatory 57a missing; no cross-role/sequence fallback; fixture gap: Governed source and error contract required</t>
  </si>
  <si>
    <t>MT306-010</t>
  </si>
  <si>
    <t>E - Binary Payout Amount / invalid option</t>
  </si>
  <si>
    <t>candidate=E.53Z; allowed=A,J</t>
  </si>
  <si>
    <t>Reject E.53Z; allowed options=A,J</t>
  </si>
  <si>
    <t>binding=FIX-MT306-010@v1; ssiId=2a07516b-8aa8-58eb-9cb2-9f698f17b9e5@v1; applicabilityId=81d92803-334a-5b5c-9bd9-301cbf64b8c6@v1; rmaId=f3cab0cd-7386-5795-9ea0-c7c15c8ca188@v1; candidate=E.53Z; allowed=A,J; fixture gap: None</t>
  </si>
  <si>
    <t>MT306-011</t>
  </si>
  <si>
    <t>E - Binary Payout Amount / option J provenance boundary</t>
  </si>
  <si>
    <t>requested=E.53J; only BIC snapshot exists; option-specific structured source absent</t>
  </si>
  <si>
    <t>binding=FIX-MT306-011@v1; ssiId=1e188ce2-8a52-5097-9119-22e0dbd71b78@v1; applicabilityId=74c4336e-bfb5-584d-8a1f-d80fc02c23ae@v1; rmaId=1a6712b3-f265-5ea9-b2e3-e4e5b541dac0@v1; requested=E.53J; only BIC snapshot exists; option-specific structured source absent; fixture gap: Add controlled option-J source</t>
  </si>
  <si>
    <t>MT306-012</t>
  </si>
  <si>
    <t>E - Binary Payout Amount / 86a without 56a</t>
  </si>
  <si>
    <t>sequence=E;86a present;56a absent</t>
  </si>
  <si>
    <t>binding=FIX-MT306-012@v1; ssiId=55550eaa-63f3-5639-baca-dc2afc3abf12@v1; applicabilityId=56aea9ef-a8a7-5d8d-9558-406cec11400c@v1; rmaId=cfe9db65-a63a-57e2-b919-f096eb4e9fb4@v1; sequence=E;86a present;56a absent; fixture gap: 86a output remains out of SSI scope</t>
  </si>
  <si>
    <t>MT306-013</t>
  </si>
  <si>
    <t>L - Additional Amounts / direct canonical route</t>
  </si>
  <si>
    <t>L.53A=CITIUS33; L.57A=DEUTDEFF; 56a omitted/NOT_REQUIRED; no duplicate institution across roles</t>
  </si>
  <si>
    <t>us3ma_20260717.pdf p.267; C8: 86a requires 56a in same sequence (E35) - us3ma_20260717.pdf pp.269-270</t>
  </si>
  <si>
    <t>binding=FIX-MT306-013@v1; ssiId=ac71cff3-79a7-5e1f-9346-73927f17f1bf@v1; applicabilityId=fe154577-723f-57bc-9710-b6eb2a0c6860@v1; rmaId=d367207d-c2aa-5771-b7cb-e6f8c10028e8@v1; ownNostroId=92b1c2ce-d6f5-5028-8c2e-dba8991f6430; ownNostroVersion=1; expectedAccountReference=MT347-MT306-013-USD-001; Bank Service IDs only; currency=USD; bookingEntity=HK01; manual BIC/5x=null; route=DIRECT; fixture gap: Needs sequence-qualified isolated QA fixtures</t>
  </si>
  <si>
    <t>MT306-014</t>
  </si>
  <si>
    <t>L - Additional Amounts / intermediary route</t>
  </si>
  <si>
    <t>L.53A=CITIUS33; L.56A=HSBCHKHH; L.57A=DEUTDEFF; role values must remain distinct</t>
  </si>
  <si>
    <t>binding=FIX-MT306-014@v1; ssiId=535fd73a-e749-5d1e-a4bc-52c1d17f5d65@v1; applicabilityId=61a00f67-32f4-5145-aac5-30fb89728c8a@v1; rmaId=d9cd2545-4b93-55ae-b327-6cbdb0d9be2c@v1; ownNostroId=020e5358-5252-5232-98c0-b3a09db6d2f3; ownNostroVersion=1; expectedAccountReference=MT347-MT306-014-USD-001; senderCorrespondentBankServiceId=BANK-SVC-CITIUS33; intermediaryBankServiceId=BANK-SVC-HSBCHKHH; receivingBankServiceId=BANK-SVC-DEUTDEFF; fixture gap: Positive intermediary fixture required</t>
  </si>
  <si>
    <t>MT306-015</t>
  </si>
  <si>
    <t>L - Additional Amounts / mandatory role unavailable</t>
  </si>
  <si>
    <t>binding=FIX-MT306-015@v1; ssiId=5d17c965-d763-5190-b6e2-46270b451d50@v1; applicabilityId=317fdf3c-bb14-5412-a2f2-c9396a0eb311@v1; rmaId=e4489672-aa92-5cf4-9d19-114f5c63b1b1@v1; sequencePresent=true; source for mandatory 57a missing; no cross-role/sequence fallback; fixture gap: Governed source and error contract required</t>
  </si>
  <si>
    <t>MT306-016</t>
  </si>
  <si>
    <t>L - Additional Amounts / invalid option</t>
  </si>
  <si>
    <t>candidate=L.53Z; allowed=A,J</t>
  </si>
  <si>
    <t>Reject L.53Z; allowed options=A,J</t>
  </si>
  <si>
    <t>binding=FIX-MT306-016@v1; ssiId=21abcec9-9cf6-53e4-90ba-86c2d5569ccc@v1; applicabilityId=9b8500cb-cfdb-59ae-a2b8-9cf06520f6fd@v1; rmaId=1ab8919a-4ec6-5d21-b766-a196fe5daaa0@v1; candidate=L.53Z; allowed=A,J; fixture gap: None</t>
  </si>
  <si>
    <t>MT306-017</t>
  </si>
  <si>
    <t>L - Additional Amounts / option J provenance boundary</t>
  </si>
  <si>
    <t>requested=L.53J; only BIC snapshot exists; option-specific structured source absent</t>
  </si>
  <si>
    <t>binding=FIX-MT306-017@v1; ssiId=dc9126b4-b905-518c-ad10-9dde56ab1348@v1; applicabilityId=c250db9a-333d-5246-8256-7d202588033c@v1; rmaId=9141a619-2d98-5b57-8f5c-3087131328a1@v1; requested=L.53J; only BIC snapshot exists; option-specific structured source absent; fixture gap: Add controlled option-J source</t>
  </si>
  <si>
    <t>MT306-018</t>
  </si>
  <si>
    <t>L - Additional Amounts / 86a without 56a</t>
  </si>
  <si>
    <t>sequence=L;86a present;56a absent</t>
  </si>
  <si>
    <t>binding=FIX-MT306-018@v1; ssiId=a19bc03a-6372-56d6-a40e-3003ffd99c6c@v1; applicabilityId=6d09eed9-d7a4-5a12-a513-c93b14fa27ee@v1; rmaId=85fd27c9-a08f-5ff8-931c-c510c7bd16bb@v1; sequence=L;86a present;56a absent; fixture gap: 86a output remains out of SSI scope</t>
  </si>
  <si>
    <t>MT320-001</t>
  </si>
  <si>
    <t>C - Settlement Instructions for Amounts Payable by Party A / direct canonical route</t>
  </si>
  <si>
    <t>us3ma_20260717.pdf p.425; C7: 86a requires 56a in same sequence (E35) - us3ma_20260717.pdf pp.428-430</t>
  </si>
  <si>
    <t>binding=FIX-MT320-001@v1; ssiId=05424953-041c-5822-a83c-0bddc147c743@v1; applicabilityId=bcb1f3a6-3b38-554c-95df-45417f813e3d@v1; rmaId=cf9172e7-0bc0-5ba7-afa1-39e0a8645200@v1; ownNostroId=705e3c95-0e04-5a25-b8a9-1c4ff049bd66; ownNostroVersion=1; expectedAccountReference=MT347-MT320-001-USD-001; Bank Service IDs only; currency=USD; bookingEntity=HK01; manual BIC/5x=null; route=DIRECT; fixture gap: Needs sequence-qualified isolated QA fixtures</t>
  </si>
  <si>
    <t>MT320-002</t>
  </si>
  <si>
    <t>C - Settlement Instructions for Amounts Payable by Party A / intermediary route</t>
  </si>
  <si>
    <t>binding=FIX-MT320-002@v1; ssiId=ab740092-98aa-5208-9408-ec5d5d0d35ad@v1; applicabilityId=e1061a08-f2a7-562c-989d-7b43dfc1abf6@v1; rmaId=38884e91-624c-5c57-912e-86a49ca54f19@v1; ownNostroId=0d2b2524-e69f-55c3-93c9-d899e1773406; ownNostroVersion=1; expectedAccountReference=MT347-MT320-002-USD-001; senderCorrespondentBankServiceId=BANK-SVC-CITIUS33; intermediaryBankServiceId=BANK-SVC-HSBCHKHH; receivingBankServiceId=BANK-SVC-DEUTDEFF; fixture gap: Positive intermediary fixture required</t>
  </si>
  <si>
    <t>MT320-003</t>
  </si>
  <si>
    <t>C - Settlement Instructions for Amounts Payable by Party A / mandatory role unavailable</t>
  </si>
  <si>
    <t>binding=FIX-MT320-003@v1; ssiId=eb59e2df-e26f-51ce-96ae-0e0da140b9de@v1; applicabilityId=69f2573a-86c4-5d4a-9d76-ce0deff4e9ef@v1; rmaId=ecbf5dd8-6e3b-5405-be49-400a4dc0159a@v1; sequencePresent=true; source for mandatory 57a missing; no cross-role/sequence fallback; fixture gap: Governed source and error contract required</t>
  </si>
  <si>
    <t>MT320-004</t>
  </si>
  <si>
    <t>C - Settlement Instructions for Amounts Payable by Party A / invalid option</t>
  </si>
  <si>
    <t>candidate=C.53Z; allowed=A,D,J</t>
  </si>
  <si>
    <t>Reject C.53Z; allowed options=A,D,J</t>
  </si>
  <si>
    <t>binding=FIX-MT320-004@v1; ssiId=1d4739fc-166e-5a90-aec4-f7697e89d1bf@v1; applicabilityId=97ac23f5-11f5-51b4-9ad4-7551d54275a8@v1; rmaId=6a3926d5-c3d8-5883-bd33-388eb01452d7@v1; candidate=C.53Z; allowed=A,D,J; fixture gap: None</t>
  </si>
  <si>
    <t>MT320-005</t>
  </si>
  <si>
    <t>C - Settlement Instructions for Amounts Payable by Party A / option D provenance boundary</t>
  </si>
  <si>
    <t>requested=C.53D; only BIC snapshot exists; option-specific structured source absent</t>
  </si>
  <si>
    <t>binding=FIX-MT320-005@v1; ssiId=11263aa3-9114-5e10-b46a-7d379040145c@v1; applicabilityId=27a229e5-6d1d-599b-aa4e-fe16e9498a9a@v1; rmaId=125dd8e9-c3d8-5450-bc28-c5ceadc1d561@v1; requested=C.53D; only BIC snapshot exists; option-specific structured source absent; fixture gap: Add controlled option-D source</t>
  </si>
  <si>
    <t>MT320-006</t>
  </si>
  <si>
    <t>C - Settlement Instructions for Amounts Payable by Party A / 86a without 56a</t>
  </si>
  <si>
    <t>binding=FIX-MT320-006@v1; ssiId=5bf5a7c7-e19b-570b-acde-1a25100ec1c8@v1; applicabilityId=8cd7095f-24c1-5dfc-8992-a2e6d9d98374@v1; rmaId=0241a52c-0f79-5549-8fa4-64a3b38fbb99@v1; sequence=C;86a present;56a absent; fixture gap: 86a output remains out of SSI scope</t>
  </si>
  <si>
    <t>MT320-007</t>
  </si>
  <si>
    <t>D - Settlement Instructions for Amounts Payable by Party B / direct canonical route</t>
  </si>
  <si>
    <t>us3ma_20260717.pdf p.426; C7: 86a requires 56a in same sequence (E35) - us3ma_20260717.pdf pp.428-430</t>
  </si>
  <si>
    <t>binding=FIX-MT320-007@v1; ssiId=edeaedfa-e417-5e89-80d4-1394af7848d1@v1; applicabilityId=d6f2edfd-60f4-5724-af76-1e971582e2a4@v1; rmaId=327d6740-264b-5022-a9f6-dcab800936a6@v1; ownNostroId=7eaa3eb5-662b-5737-aa86-cf516f01f7be; ownNostroVersion=1; expectedAccountReference=MT347-MT320-007-USD-001; Bank Service IDs only; currency=USD; bookingEntity=HK01; manual BIC/5x=null; route=DIRECT; fixture gap: Needs sequence-qualified isolated QA fixtures</t>
  </si>
  <si>
    <t>MT320-008</t>
  </si>
  <si>
    <t>D - Settlement Instructions for Amounts Payable by Party B / intermediary route</t>
  </si>
  <si>
    <t>binding=FIX-MT320-008@v1; ssiId=36448874-b8c6-536f-89e3-daf4aa3c0830@v1; applicabilityId=714dcc70-4070-5513-8f94-f8d6ff2d7c94@v1; rmaId=8a8f54d2-7a38-514f-8ecd-fe3a18ed4bf9@v1; ownNostroId=f3a71492-e485-5310-aa4b-968e2d4ca5eb; ownNostroVersion=1; expectedAccountReference=MT347-MT320-008-USD-001; senderCorrespondentBankServiceId=BANK-SVC-CITIUS33; intermediaryBankServiceId=BANK-SVC-HSBCHKHH; receivingBankServiceId=BANK-SVC-DEUTDEFF; fixture gap: Positive intermediary fixture required</t>
  </si>
  <si>
    <t>MT320-009</t>
  </si>
  <si>
    <t>D - Settlement Instructions for Amounts Payable by Party B / mandatory role unavailable</t>
  </si>
  <si>
    <t>binding=FIX-MT320-009@v1; ssiId=95993a5a-da52-5c1e-90e6-19764534e9a6@v1; applicabilityId=2c9118fc-b944-5d8f-b70d-02e161943806@v1; rmaId=8a063d90-6d7b-57c2-bb5c-db3ed73e299f@v1; sequencePresent=true; source for mandatory 57a missing; no cross-role/sequence fallback; fixture gap: Governed source and error contract required</t>
  </si>
  <si>
    <t>MT320-010</t>
  </si>
  <si>
    <t>D - Settlement Instructions for Amounts Payable by Party B / invalid option</t>
  </si>
  <si>
    <t>binding=FIX-MT320-010@v1; ssiId=a1952d06-7c6d-5716-b40c-9d975c581dff@v1; applicabilityId=5ef5d613-d115-5c51-8a4e-3e0757257d93@v1; rmaId=b05aea0c-cc96-5cdf-b8e6-d28d916cd5af@v1; candidate=D.53Z; allowed=A,D,J; fixture gap: None</t>
  </si>
  <si>
    <t>MT320-011</t>
  </si>
  <si>
    <t>D - Settlement Instructions for Amounts Payable by Party B / option D provenance boundary</t>
  </si>
  <si>
    <t>binding=FIX-MT320-011@v1; ssiId=96f68bd3-44da-5439-9be4-88cef41e1142@v1; applicabilityId=cd9f0deb-784c-5389-93a0-1dd4bd48033f@v1; rmaId=1f5d3c14-0a8a-54d8-82c2-49eb827ed20b@v1; requested=D.53D; only BIC snapshot exists; option-specific structured source absent; fixture gap: Add controlled option-D source</t>
  </si>
  <si>
    <t>MT320-012</t>
  </si>
  <si>
    <t>D - Settlement Instructions for Amounts Payable by Party B / 86a without 56a</t>
  </si>
  <si>
    <t>sequence=D;86a present;56a absent</t>
  </si>
  <si>
    <t>binding=FIX-MT320-012@v1; ssiId=d3b47e9b-db35-5b51-b3a6-aae894022d9d@v1; applicabilityId=9c630d05-ade5-537a-a092-bb572fb91268@v1; rmaId=e146ac77-71d2-5ba4-8d1c-aaf86e3d96f3@v1; sequence=D;86a present;56a absent; fixture gap: 86a output remains out of SSI scope</t>
  </si>
  <si>
    <t>MT320-013</t>
  </si>
  <si>
    <t>E - Settlement Instructions for Interests Payable by Party A / direct canonical route</t>
  </si>
  <si>
    <t>binding=FIX-MT320-013@v1; ssiId=1699d960-c66c-51f4-984c-69b26e4a8f1d@v1; applicabilityId=fc9ebbc6-2be1-5ac5-826d-414cd1968634@v1; rmaId=7ef3b9e0-b33c-5f1d-b4f8-c494dea0b9df@v1; ownNostroId=f320f5c8-2e89-56e1-b817-7198757c2843; ownNostroVersion=1; expectedAccountReference=MT347-MT320-013-USD-001; Bank Service IDs only; currency=USD; bookingEntity=HK01; manual BIC/5x=null; route=DIRECT; fixture gap: Needs sequence-qualified isolated QA fixtures</t>
  </si>
  <si>
    <t>MT320-014</t>
  </si>
  <si>
    <t>E - Settlement Instructions for Interests Payable by Party A / intermediary route</t>
  </si>
  <si>
    <t>binding=FIX-MT320-014@v1; ssiId=27109afb-0bbe-599e-b150-f99f39635a50@v1; applicabilityId=6314ef0b-48d9-5c2e-a41b-ebbfe11fdd57@v1; rmaId=9b25a709-e61f-536d-97d1-cf49165a1d97@v1; ownNostroId=55bf9688-3fff-51e5-a655-b54088f7d2ae; ownNostroVersion=1; expectedAccountReference=MT347-MT320-014-USD-001; senderCorrespondentBankServiceId=BANK-SVC-CITIUS33; intermediaryBankServiceId=BANK-SVC-HSBCHKHH; receivingBankServiceId=BANK-SVC-DEUTDEFF; fixture gap: Positive intermediary fixture required</t>
  </si>
  <si>
    <t>MT320-015</t>
  </si>
  <si>
    <t>E - Settlement Instructions for Interests Payable by Party A / mandatory role unavailable</t>
  </si>
  <si>
    <t>binding=FIX-MT320-015@v1; ssiId=f14842d7-be30-5481-bddf-e3b25a90aa21@v1; applicabilityId=1553ab50-77d4-5edb-9ab4-3d3b3710c334@v1; rmaId=6a4705c1-aeff-5cdd-b508-7ff9ac14d077@v1; sequencePresent=true; source for mandatory 57a missing; no cross-role/sequence fallback; fixture gap: Governed source and error contract required</t>
  </si>
  <si>
    <t>MT320-016</t>
  </si>
  <si>
    <t>E - Settlement Instructions for Interests Payable by Party A / invalid option</t>
  </si>
  <si>
    <t>binding=FIX-MT320-016@v1; ssiId=746da3f0-e3aa-52fd-951e-958663ab247b@v1; applicabilityId=4835a3bd-b536-571e-af4b-a988e7e5f67a@v1; rmaId=248d54a0-fbff-544c-84e1-07564766a80a@v1; candidate=E.53Z; allowed=A,D,J; fixture gap: None</t>
  </si>
  <si>
    <t>MT320-017</t>
  </si>
  <si>
    <t>E - Settlement Instructions for Interests Payable by Party A / option D provenance boundary</t>
  </si>
  <si>
    <t>binding=FIX-MT320-017@v1; ssiId=2e339bff-ba3b-5296-a36d-7c423ab17854@v1; applicabilityId=a2f10725-fa6b-58ad-a0d5-a20032114419@v1; rmaId=6cd24060-2e12-590b-8ae0-8a7e2c97bfd2@v1; requested=E.53D; only BIC snapshot exists; option-specific structured source absent; fixture gap: Add controlled option-D source</t>
  </si>
  <si>
    <t>MT320-018</t>
  </si>
  <si>
    <t>E - Settlement Instructions for Interests Payable by Party A / 86a without 56a</t>
  </si>
  <si>
    <t>binding=FIX-MT320-018@v1; ssiId=85231a0e-b43a-5e94-a3e7-89379bccf1be@v1; applicabilityId=74435a2d-34a0-5650-87b0-91521f1352d3@v1; rmaId=621f5141-8dae-59c5-b2ee-92c86f33448c@v1; sequence=E;86a present;56a absent; fixture gap: 86a output remains out of SSI scope</t>
  </si>
  <si>
    <t>MT320-019</t>
  </si>
  <si>
    <t>F - Settlement Instructions for Interests Payable by Party B / direct canonical route</t>
  </si>
  <si>
    <t>F.53A=CITIUS33; F.57A=DEUTDEFF; F.58A=BARCGB22; 56a omitted/NOT_REQUIRED; no duplicate institution across roles</t>
  </si>
  <si>
    <t>binding=FIX-MT320-019@v1; ssiId=c8f9bad1-c93c-503e-a7fe-d34f86924e8b@v1; applicabilityId=78310dbf-8092-5e7c-962f-04b994d5683e@v1; rmaId=a8c9c33b-6487-5090-be03-74b685f15889@v1; ownNostroId=4e96be6c-adc9-544c-9355-aa0b53e0b25c; ownNostroVersion=1; expectedAccountReference=MT347-MT320-019-USD-001; Bank Service IDs only; currency=USD; bookingEntity=HK01; manual BIC/5x=null; route=DIRECT; fixture gap: Needs sequence-qualified isolated QA fixtures</t>
  </si>
  <si>
    <t>MT320-020</t>
  </si>
  <si>
    <t>F - Settlement Instructions for Interests Payable by Party B / intermediary route</t>
  </si>
  <si>
    <t>F.53A=CITIUS33; F.56A=HSBCHKHH; F.57A=DEUTDEFF; F.58A=BARCGB22; role values must remain distinct</t>
  </si>
  <si>
    <t>binding=FIX-MT320-020@v1; ssiId=03789d53-d1a0-53fd-b648-a15bf7eb832b@v1; applicabilityId=93b0e249-61c4-5b73-9dd9-15f0cd61abb1@v1; rmaId=f47b5872-df19-5875-95c5-c47f91536b25@v1; ownNostroId=a156e945-173f-5448-85c3-633edf8017d3; ownNostroVersion=1; expectedAccountReference=MT347-MT320-020-USD-001; senderCorrespondentBankServiceId=BANK-SVC-CITIUS33; intermediaryBankServiceId=BANK-SVC-HSBCHKHH; receivingBankServiceId=BANK-SVC-DEUTDEFF; fixture gap: Positive intermediary fixture required</t>
  </si>
  <si>
    <t>MT320-021</t>
  </si>
  <si>
    <t>F - Settlement Instructions for Interests Payable by Party B / mandatory role unavailable</t>
  </si>
  <si>
    <t>binding=FIX-MT320-021@v1; ssiId=c0e7a747-e35b-515d-b64f-c1cbaa4a1ef0@v1; applicabilityId=7fcb7c40-7f15-562a-aa04-1ef4d59d980f@v1; rmaId=f231980b-279c-5a9e-80c5-2f2a2123d483@v1; sequencePresent=true; source for mandatory 57a missing; no cross-role/sequence fallback; fixture gap: Governed source and error contract required</t>
  </si>
  <si>
    <t>MT320-022</t>
  </si>
  <si>
    <t>F - Settlement Instructions for Interests Payable by Party B / invalid option</t>
  </si>
  <si>
    <t>candidate=F.53Z; allowed=A,D,J</t>
  </si>
  <si>
    <t>Reject F.53Z; allowed options=A,D,J</t>
  </si>
  <si>
    <t>binding=FIX-MT320-022@v1; ssiId=6f6eb23c-c5bc-5d3c-a6ac-09335e7d627e@v1; applicabilityId=8457599e-212f-5b5a-94ea-713cfb854be4@v1; rmaId=e684a85b-21ae-50b4-97f4-a439b3eb3d67@v1; candidate=F.53Z; allowed=A,D,J; fixture gap: None</t>
  </si>
  <si>
    <t>MT320-023</t>
  </si>
  <si>
    <t>F - Settlement Instructions for Interests Payable by Party B / option D provenance boundary</t>
  </si>
  <si>
    <t>requested=F.53D; only BIC snapshot exists; option-specific structured source absent</t>
  </si>
  <si>
    <t>binding=FIX-MT320-023@v1; ssiId=b2456e98-fbf6-5683-9152-b7c7587b2741@v1; applicabilityId=58ecda53-79e6-572f-9293-adcea531605e@v1; rmaId=dd2a9260-a589-5959-b45e-677c5b09f880@v1; requested=F.53D; only BIC snapshot exists; option-specific structured source absent; fixture gap: Add controlled option-D source</t>
  </si>
  <si>
    <t>MT320-024</t>
  </si>
  <si>
    <t>F - Settlement Instructions for Interests Payable by Party B / 86a without 56a</t>
  </si>
  <si>
    <t>sequence=F;86a present;56a absent</t>
  </si>
  <si>
    <t>binding=FIX-MT320-024@v1; ssiId=a6051ff4-243a-514b-bb41-c59be0c3da76@v1; applicabilityId=dd8e3d55-c6ce-5752-8097-8dcd65d68861@v1; rmaId=3fe5d413-01f4-5cca-9a7b-1ccd0ff0dd77@v1; sequence=F;86a present;56a absent; fixture gap: 86a output remains out of SSI scope</t>
  </si>
  <si>
    <t>MT320-025</t>
  </si>
  <si>
    <t>I - Additional Amounts / direct canonical route</t>
  </si>
  <si>
    <t>I.53A=CITIUS33; I.57A=DEUTDEFF; 56a omitted/NOT_REQUIRED; no duplicate institution across roles</t>
  </si>
  <si>
    <t>us3ma_20260717.pdf p.428; C7: 86a requires 56a in same sequence (E35) - us3ma_20260717.pdf pp.428-430</t>
  </si>
  <si>
    <t>binding=FIX-MT320-025@v1; ssiId=9e1ee2bf-3843-5899-b6d4-eea8738cb519@v1; applicabilityId=db3f5f54-7205-5ff9-bb00-b02c453b5121@v1; rmaId=c2dc8378-9701-5345-a24a-d661aa42c69f@v1; ownNostroId=8747a9a8-b5bb-550e-8668-016d66ded422; ownNostroVersion=1; expectedAccountReference=MT347-MT320-025-USD-001; Bank Service IDs only; currency=USD; bookingEntity=HK01; manual BIC/5x=null; route=DIRECT; fixture gap: Needs sequence-qualified isolated QA fixtures</t>
  </si>
  <si>
    <t>MT320-026</t>
  </si>
  <si>
    <t>I - Additional Amounts / intermediary route</t>
  </si>
  <si>
    <t>I.53A=CITIUS33; I.56A=HSBCHKHH; I.57A=DEUTDEFF; role values must remain distinct</t>
  </si>
  <si>
    <t>binding=FIX-MT320-026@v1; ssiId=15f6cbe9-ad28-59d4-9e57-b877f5073f17@v1; applicabilityId=b98a4e3d-83be-52ba-b462-20a74cc7af69@v1; rmaId=2399ef10-8788-595a-a05c-02c11fad5618@v1; ownNostroId=ca95bcfe-491f-5c3b-9b69-265114ba77ba; ownNostroVersion=1; expectedAccountReference=MT347-MT320-026-USD-001; senderCorrespondentBankServiceId=BANK-SVC-CITIUS33; intermediaryBankServiceId=BANK-SVC-HSBCHKHH; receivingBankServiceId=BANK-SVC-DEUTDEFF; fixture gap: Positive intermediary fixture required</t>
  </si>
  <si>
    <t>MT320-027</t>
  </si>
  <si>
    <t>I - Additional Amounts / mandatory role unavailable</t>
  </si>
  <si>
    <t>binding=FIX-MT320-027@v1; ssiId=529661e6-9a4d-58cb-9980-9fc15804e9d8@v1; applicabilityId=cb08297b-ed59-556f-8050-d40105a07746@v1; rmaId=c5870a5f-6486-5562-b196-a20959d79377@v1; sequencePresent=true; source for mandatory 57a missing; no cross-role/sequence fallback; fixture gap: Governed source and error contract required</t>
  </si>
  <si>
    <t>MT320-028</t>
  </si>
  <si>
    <t>I - Additional Amounts / invalid option</t>
  </si>
  <si>
    <t>candidate=I.53Z; allowed=A,D,J</t>
  </si>
  <si>
    <t>Reject I.53Z; allowed options=A,D,J</t>
  </si>
  <si>
    <t>binding=FIX-MT320-028@v1; ssiId=1912c10c-f9de-5322-8038-37ce9b32806a@v1; applicabilityId=155a40c1-4362-5197-994f-239d8fdce094@v1; rmaId=6aaf84bf-4633-5ae1-b0c4-b8ab8ea81144@v1; candidate=I.53Z; allowed=A,D,J; fixture gap: None</t>
  </si>
  <si>
    <t>MT320-029</t>
  </si>
  <si>
    <t>I - Additional Amounts / option D provenance boundary</t>
  </si>
  <si>
    <t>requested=I.53D; only BIC snapshot exists; option-specific structured source absent</t>
  </si>
  <si>
    <t>binding=FIX-MT320-029@v1; ssiId=a234280a-ee36-5520-abe9-710c29c9f42f@v1; applicabilityId=a24b2886-66ac-5d48-9000-3738ee5debbd@v1; rmaId=b445bbe4-3609-51be-bbab-c20acc47ed93@v1; requested=I.53D; only BIC snapshot exists; option-specific structured source absent; fixture gap: Add controlled option-D source</t>
  </si>
  <si>
    <t>MT320-030</t>
  </si>
  <si>
    <t>I - Additional Amounts / 86a without 56a</t>
  </si>
  <si>
    <t>sequence=I;86a present;56a absent</t>
  </si>
  <si>
    <t>binding=FIX-MT320-030@v1; ssiId=1ff6b25b-cdea-58cc-b085-68f3d04327a7@v1; applicabilityId=8dd37b42-5e22-5ce0-9794-1e41ab347adb@v1; rmaId=aa843238-24ea-5e41-9223-4cd8792a4427@v1; sequence=I;86a present;56a absent; fixture gap: 86a output remains out of SSI scope</t>
  </si>
  <si>
    <t>MT330-001</t>
  </si>
  <si>
    <t>us3ma_20260717.pdf p.558; C8: 86a requires 56a in same sequence (E35) - us3ma_20260717.pdf pp.560-562</t>
  </si>
  <si>
    <t>binding=FIX-MT330-001@v1; ssiId=3c69a79a-372a-51dc-9f66-28184fc59437@v1; applicabilityId=f6ba3db7-85bf-57b9-bf95-7ed2858f36f3@v1; rmaId=855208ce-0101-5106-b16f-13bc66975d88@v1; ownNostroId=0644e30a-f9f9-5d1b-b176-5cc356bef1a7; ownNostroVersion=1; expectedAccountReference=MT347-MT330-001-USD-001; Bank Service IDs only; currency=USD; bookingEntity=HK01; manual BIC/5x=null; route=DIRECT; fixture gap: Needs sequence-qualified isolated QA fixtures</t>
  </si>
  <si>
    <t>MT330-002</t>
  </si>
  <si>
    <t>binding=FIX-MT330-002@v1; ssiId=81664bc1-d5c6-5759-9cd0-2798d17a5240@v1; applicabilityId=585d3d81-fe5d-560f-b5f8-9e4c7bf6c722@v1; rmaId=28a44d42-6ddd-5a1a-8ea5-478e60519015@v1; ownNostroId=cde62edd-b6fe-5aae-a999-25913eb82452; ownNostroVersion=1; expectedAccountReference=MT347-MT330-002-USD-001; senderCorrespondentBankServiceId=BANK-SVC-CITIUS33; intermediaryBankServiceId=BANK-SVC-HSBCHKHH; receivingBankServiceId=BANK-SVC-DEUTDEFF; fixture gap: Positive intermediary fixture required</t>
  </si>
  <si>
    <t>MT330-003</t>
  </si>
  <si>
    <t>binding=FIX-MT330-003@v1; ssiId=ef9299f8-020d-513a-88d7-f50cfe0f095a@v1; applicabilityId=80194daf-9d48-581b-8196-0ae9e09ad587@v1; rmaId=3c093f27-2eae-52d7-a0c7-3ec7c7666a9d@v1; sequencePresent=true; source for mandatory 57a missing; no cross-role/sequence fallback; fixture gap: Governed source and error contract required</t>
  </si>
  <si>
    <t>MT330-004</t>
  </si>
  <si>
    <t>binding=FIX-MT330-004@v1; ssiId=1fa50f23-557b-54c4-a1d1-50bb3d89d678@v1; applicabilityId=1929ee94-c166-52d6-987e-956f1d7c2fb9@v1; rmaId=0dd23667-2815-5e16-9c77-be4c24532e5f@v1; candidate=C.53Z; allowed=A,D,J; fixture gap: None</t>
  </si>
  <si>
    <t>MT330-005</t>
  </si>
  <si>
    <t>binding=FIX-MT330-005@v1; ssiId=f7c710b8-9aa6-59a1-b8f3-4a2446efde64@v1; applicabilityId=0bd21117-0eae-5b34-903f-3d3c91b19316@v1; rmaId=4c3c7f18-f9fb-5593-9419-0af393167fd1@v1; requested=C.53D; only BIC snapshot exists; option-specific structured source absent; fixture gap: Add controlled option-D source</t>
  </si>
  <si>
    <t>MT330-006</t>
  </si>
  <si>
    <t>binding=FIX-MT330-006@v1; ssiId=a3f7d14e-6337-5fc8-ba56-7d81f4642523@v1; applicabilityId=f69fe9f2-12ee-54cd-90dd-b6e14c8f3628@v1; rmaId=de532f93-2c95-5713-b44b-755f76c9e59e@v1; sequence=C;86a present;56a absent; fixture gap: 86a output remains out of SSI scope</t>
  </si>
  <si>
    <t>MT330-007</t>
  </si>
  <si>
    <t>us3ma_20260717.pdf p.558; us3ma_20260717.pdf p.559; C8: 86a requires 56a in same sequence (E35) - us3ma_20260717.pdf pp.560-562</t>
  </si>
  <si>
    <t>binding=FIX-MT330-007@v1; ssiId=2175332c-8601-5cc8-9244-e1ef9c30e011@v1; applicabilityId=74bd766e-7269-587b-a916-f83e812aaace@v1; rmaId=5975e807-c45c-5aef-904f-a7dd78d382fb@v1; ownNostroId=e27db2f4-a477-5877-a009-346ed58c2673; ownNostroVersion=1; expectedAccountReference=MT347-MT330-007-USD-001; Bank Service IDs only; currency=USD; bookingEntity=HK01; manual BIC/5x=null; route=DIRECT; fixture gap: Needs sequence-qualified isolated QA fixtures</t>
  </si>
  <si>
    <t>MT330-008</t>
  </si>
  <si>
    <t>binding=FIX-MT330-008@v1; ssiId=b8a8c304-4295-5ccf-9bf5-27393a787c7c@v1; applicabilityId=c2ad4087-92a8-552c-a09c-e3dcc89b9acf@v1; rmaId=b68789d4-6dae-55d6-bf18-586c4df600ad@v1; ownNostroId=6bb63b09-ecbe-5f12-8c38-5d506c1be229; ownNostroVersion=1; expectedAccountReference=MT347-MT330-008-USD-001; senderCorrespondentBankServiceId=BANK-SVC-CITIUS33; intermediaryBankServiceId=BANK-SVC-HSBCHKHH; receivingBankServiceId=BANK-SVC-DEUTDEFF; fixture gap: Positive intermediary fixture required</t>
  </si>
  <si>
    <t>MT330-009</t>
  </si>
  <si>
    <t>binding=FIX-MT330-009@v1; ssiId=69892abe-2d15-552c-8f00-f93d34025775@v1; applicabilityId=01fa3acb-7b76-500d-a109-35344899f938@v1; rmaId=f4b2e32f-2208-5bec-bd06-ffa50248e991@v1; sequencePresent=true; source for mandatory 57a missing; no cross-role/sequence fallback; fixture gap: Governed source and error contract required</t>
  </si>
  <si>
    <t>MT330-010</t>
  </si>
  <si>
    <t>binding=FIX-MT330-010@v1; ssiId=590ff4fd-8b83-5220-aac4-d8f4ca7b66b0@v1; applicabilityId=84c7eabe-aceb-558c-92c7-313c2d2b8378@v1; rmaId=3046e979-5149-5049-9838-faa0a8df07d5@v1; candidate=D.53Z; allowed=A,D,J; fixture gap: None</t>
  </si>
  <si>
    <t>MT330-011</t>
  </si>
  <si>
    <t>binding=FIX-MT330-011@v1; ssiId=18446a2f-0a38-5b7e-90c9-1efafd22e99d@v1; applicabilityId=6341aa74-8d17-59fc-9506-605b6375a430@v1; rmaId=d62dabd4-c1ce-57b1-be03-204b2fbf9928@v1; requested=D.53D; only BIC snapshot exists; option-specific structured source absent; fixture gap: Add controlled option-D source</t>
  </si>
  <si>
    <t>MT330-012</t>
  </si>
  <si>
    <t>binding=FIX-MT330-012@v1; ssiId=27b20814-c799-59da-96f9-90e015ee6130@v1; applicabilityId=16c1ac78-abb8-50ab-84e4-a94c5a96a45f@v1; rmaId=b1b91624-4d03-526c-828e-1e1b0a84c9b9@v1; sequence=D;86a present;56a absent; fixture gap: 86a output remains out of SSI scope</t>
  </si>
  <si>
    <t>MT330-013</t>
  </si>
  <si>
    <t>us3ma_20260717.pdf p.559; C8: 86a requires 56a in same sequence (E35) - us3ma_20260717.pdf pp.560-562</t>
  </si>
  <si>
    <t>binding=FIX-MT330-013@v1; ssiId=1348e8f6-597f-538a-a2a2-405992f2f4a0@v1; applicabilityId=0fc292eb-22f2-5c9d-a2c3-ac5ded382580@v1; rmaId=39dd8f48-e73f-5933-bd29-e7513672fbb0@v1; ownNostroId=bed2d12e-ba26-5015-b3ef-f3af192e3f1e; ownNostroVersion=1; expectedAccountReference=MT347-MT330-013-USD-001; Bank Service IDs only; currency=USD; bookingEntity=HK01; manual BIC/5x=null; route=DIRECT; fixture gap: Needs sequence-qualified isolated QA fixtures</t>
  </si>
  <si>
    <t>MT330-014</t>
  </si>
  <si>
    <t>binding=FIX-MT330-014@v1; ssiId=49a8b402-3b89-5916-abf2-1e2555d472de@v1; applicabilityId=1e987b70-2f3e-5d5d-b747-58f274dde929@v1; rmaId=464e58a8-7a0d-5edc-adcc-9d642fcb3ae9@v1; ownNostroId=b06930cd-c151-5fc6-bb36-4fc9d9cde085; ownNostroVersion=1; expectedAccountReference=MT347-MT330-014-USD-001; senderCorrespondentBankServiceId=BANK-SVC-CITIUS33; intermediaryBankServiceId=BANK-SVC-HSBCHKHH; receivingBankServiceId=BANK-SVC-DEUTDEFF; fixture gap: Positive intermediary fixture required</t>
  </si>
  <si>
    <t>MT330-015</t>
  </si>
  <si>
    <t>binding=FIX-MT330-015@v1; ssiId=d2a8d438-51a9-5176-bc09-7978c6ca8797@v1; applicabilityId=ceb91628-1809-576b-9e64-a15cf8189366@v1; rmaId=6d9df27d-9ff0-58aa-a76f-4de3714d92b0@v1; sequencePresent=true; source for mandatory 57a missing; no cross-role/sequence fallback; fixture gap: Governed source and error contract required</t>
  </si>
  <si>
    <t>MT330-016</t>
  </si>
  <si>
    <t>binding=FIX-MT330-016@v1; ssiId=fdf6d2f9-cd6e-55a8-ac5a-9af43cd0b86b@v1; applicabilityId=8fae66df-a681-5b47-b87d-9d2f9c579f1e@v1; rmaId=d775734e-4d98-55f9-b075-a36822e5c5f4@v1; candidate=E.53Z; allowed=A,D,J; fixture gap: None</t>
  </si>
  <si>
    <t>MT330-017</t>
  </si>
  <si>
    <t>binding=FIX-MT330-017@v1; ssiId=3b231d1a-5110-507f-a145-ce010d907349@v1; applicabilityId=530368c2-581d-55ee-a274-7df7c20e4501@v1; rmaId=6d68ef14-bc69-5e4f-bdff-076891918efc@v1; requested=E.53D; only BIC snapshot exists; option-specific structured source absent; fixture gap: Add controlled option-D source</t>
  </si>
  <si>
    <t>MT330-018</t>
  </si>
  <si>
    <t>binding=FIX-MT330-018@v1; ssiId=754356d2-e5a7-566b-a1c1-cee70b166fb4@v1; applicabilityId=f5c0e82f-e63c-511a-a07d-ddcd7612e895@v1; rmaId=cc61fa74-eaad-5f79-9bdf-33411d027d11@v1; sequence=E;86a present;56a absent; fixture gap: 86a output remains out of SSI scope</t>
  </si>
  <si>
    <t>MT330-019</t>
  </si>
  <si>
    <t>binding=FIX-MT330-019@v1; ssiId=1872c264-3721-5884-bf6d-cd6a65f54b15@v1; applicabilityId=e0b3989e-78fa-57f6-8dbc-13f96727d352@v1; rmaId=726cd1a4-19f5-5dc5-be55-6d5c08e4dead@v1; ownNostroId=e6cef9b1-4cdc-59c4-b869-436fb1d31c8d; ownNostroVersion=1; expectedAccountReference=MT347-MT330-019-USD-001; Bank Service IDs only; currency=USD; bookingEntity=HK01; manual BIC/5x=null; route=DIRECT; fixture gap: Needs sequence-qualified isolated QA fixtures</t>
  </si>
  <si>
    <t>MT330-020</t>
  </si>
  <si>
    <t>binding=FIX-MT330-020@v1; ssiId=e8016d2f-f811-5065-97ea-d7d200bb0fbd@v1; applicabilityId=3dc5c24d-30a3-54c8-926e-29c94747c448@v1; rmaId=69be6716-93e8-50af-a3ce-964aa460660e@v1; ownNostroId=45819c4e-68af-5bb4-98d9-b81e28d9db66; ownNostroVersion=1; expectedAccountReference=MT347-MT330-020-USD-001; senderCorrespondentBankServiceId=BANK-SVC-CITIUS33; intermediaryBankServiceId=BANK-SVC-HSBCHKHH; receivingBankServiceId=BANK-SVC-DEUTDEFF; fixture gap: Positive intermediary fixture required</t>
  </si>
  <si>
    <t>MT330-021</t>
  </si>
  <si>
    <t>binding=FIX-MT330-021@v1; ssiId=30eab7a5-b045-549d-8665-dce544e76f18@v1; applicabilityId=8b381aa8-2ca9-56bf-ba9d-9d37cace9ae6@v1; rmaId=488ee514-bac2-5b62-933b-bd42fe87deeb@v1; sequencePresent=true; source for mandatory 57a missing; no cross-role/sequence fallback; fixture gap: Governed source and error contract required</t>
  </si>
  <si>
    <t>MT330-022</t>
  </si>
  <si>
    <t>binding=FIX-MT330-022@v1; ssiId=725b1039-5919-5902-81ca-8cd8b2c1f2bc@v1; applicabilityId=58ecf8fd-c10a-567d-8cee-f27ded7019f6@v1; rmaId=3f7ca4f2-dff5-5b58-881b-c449469f1e94@v1; candidate=F.53Z; allowed=A,D,J; fixture gap: None</t>
  </si>
  <si>
    <t>MT330-023</t>
  </si>
  <si>
    <t>binding=FIX-MT330-023@v1; ssiId=55363e0a-664e-5edd-95fe-97571c8d2f00@v1; applicabilityId=9e06a2cf-2b2d-54f3-8d8c-ef5813f8c246@v1; rmaId=b464d2cc-53f1-5ec1-b6d6-9d10f3a1fa9b@v1; requested=F.53D; only BIC snapshot exists; option-specific structured source absent; fixture gap: Add controlled option-D source</t>
  </si>
  <si>
    <t>MT330-024</t>
  </si>
  <si>
    <t>binding=FIX-MT330-024@v1; ssiId=fc29a789-9595-5316-88a2-ba13f5c06422@v1; applicabilityId=dbdbd96f-ee7d-5719-85e2-29727752220d@v1; rmaId=d4fb806f-206c-5f40-8f17-ef95152c7852@v1; sequence=F;86a present;56a absent; fixture gap: 86a output remains out of SSI scope</t>
  </si>
  <si>
    <t>MT340-001</t>
  </si>
  <si>
    <t>C - Settlement Instructions for Settlement Amount Payable by Party B / direct canonical route</t>
  </si>
  <si>
    <t>us3ma_20260717.pdf p.640; C8: 86a requires 56a in same sequence (E35) - us3ma_20260717.pdf pp.642-645</t>
  </si>
  <si>
    <t>binding=FIX-MT340-001@v1; ssiId=960249a2-e1bf-55a5-977b-acb35085d884@v1; applicabilityId=e5adaf65-ff66-59f6-a880-c81520ff618c@v1; rmaId=e35fca75-5311-5149-9748-13777e886119@v1; ownNostroId=2b6e2f95-fc59-53b6-a5fd-0ef665562d06; ownNostroVersion=1; expectedAccountReference=MT347-MT340-001-USD-001; Bank Service IDs only; currency=USD; bookingEntity=HK01; manual BIC/5x=null; route=DIRECT; fixture gap: Needs sequence-qualified isolated QA fixtures</t>
  </si>
  <si>
    <t>MT340-002</t>
  </si>
  <si>
    <t>C - Settlement Instructions for Settlement Amount Payable by Party B / intermediary route</t>
  </si>
  <si>
    <t>binding=FIX-MT340-002@v1; ssiId=6e8e6067-ab92-5042-99fc-99926da01e73@v1; applicabilityId=c94e4403-d78d-54ec-98c8-2dd5e8ed72ca@v1; rmaId=c197e292-3d30-5660-b4b4-f98e72e3a2b8@v1; ownNostroId=e98da5f2-ec6b-5de3-bf3b-800dce522d38; ownNostroVersion=1; expectedAccountReference=MT347-MT340-002-USD-001; senderCorrespondentBankServiceId=BANK-SVC-CITIUS33; intermediaryBankServiceId=BANK-SVC-HSBCHKHH; receivingBankServiceId=BANK-SVC-DEUTDEFF; fixture gap: Positive intermediary fixture required</t>
  </si>
  <si>
    <t>MT340-003</t>
  </si>
  <si>
    <t>C - Settlement Instructions for Settlement Amount Payable by Party B / mandatory role unavailable</t>
  </si>
  <si>
    <t>binding=FIX-MT340-003@v1; ssiId=3acadf9a-e516-52fb-9b95-004ae5b6163b@v1; applicabilityId=50ccfdbf-d55f-5d7f-b589-12fc5e7744f0@v1; rmaId=1daad492-36ef-52c5-92b5-b06afd54f255@v1; sequencePresent=true; source for mandatory 57a missing; no cross-role/sequence fallback; fixture gap: Governed source and error contract required</t>
  </si>
  <si>
    <t>MT340-004</t>
  </si>
  <si>
    <t>C - Settlement Instructions for Settlement Amount Payable by Party B / invalid option</t>
  </si>
  <si>
    <t>binding=FIX-MT340-004@v1; ssiId=960bd20f-3f71-55a6-bc5c-fd05ce38fe02@v1; applicabilityId=8be0460a-882d-5564-a595-664a98d4acec@v1; rmaId=fb96c820-dcf6-57fa-b41e-a00c5f92533b@v1; candidate=C.53Z; allowed=A,D,J; fixture gap: None</t>
  </si>
  <si>
    <t>MT340-005</t>
  </si>
  <si>
    <t>C - Settlement Instructions for Settlement Amount Payable by Party B / option D provenance boundary</t>
  </si>
  <si>
    <t>binding=FIX-MT340-005@v1; ssiId=8db2783e-5123-5081-8dc0-f4f1a0bb9d18@v1; applicabilityId=b862580f-fd3d-50ae-9e23-f061ee2301ac@v1; rmaId=be6763a1-c592-5b4e-b13a-82770239b1c9@v1; requested=C.53D; only BIC snapshot exists; option-specific structured source absent; fixture gap: Add controlled option-D source</t>
  </si>
  <si>
    <t>MT340-006</t>
  </si>
  <si>
    <t>C - Settlement Instructions for Settlement Amount Payable by Party B / 86a without 56a</t>
  </si>
  <si>
    <t>binding=FIX-MT340-006@v1; ssiId=246f39d4-fcb4-52d5-aee9-01d0b0eb7d6a@v1; applicabilityId=b38eb4ef-ca8b-5a75-84b9-6557e71be0e0@v1; rmaId=78484337-8f70-580e-90ee-c2ebaa1eaedb@v1; sequence=C;86a present;56a absent; fixture gap: 86a output remains out of SSI scope</t>
  </si>
  <si>
    <t>MT340-007</t>
  </si>
  <si>
    <t>D - Settlement Instructions for Settlement Amount Payable by Party A / direct canonical route</t>
  </si>
  <si>
    <t>binding=FIX-MT340-007@v1; ssiId=b8a034ce-755c-5110-9a1b-b207526aecd0@v1; applicabilityId=baa00e7a-a4c1-56fc-8e1e-dbdb4bff9456@v1; rmaId=e332d30a-c18d-5051-a73f-6bbd9a4c911e@v1; ownNostroId=c8f21063-138c-50d1-b4b8-229ab2f75fcc; ownNostroVersion=1; expectedAccountReference=MT347-MT340-007-USD-001; Bank Service IDs only; currency=USD; bookingEntity=HK01; manual BIC/5x=null; route=DIRECT; fixture gap: Needs sequence-qualified isolated QA fixtures</t>
  </si>
  <si>
    <t>MT340-008</t>
  </si>
  <si>
    <t>D - Settlement Instructions for Settlement Amount Payable by Party A / intermediary route</t>
  </si>
  <si>
    <t>binding=FIX-MT340-008@v1; ssiId=3365cff7-8154-5f68-a5ba-c69dfd3c77e2@v1; applicabilityId=92ff4abd-50b7-5034-b017-9c115992468c@v1; rmaId=55af78b8-dec3-5a0f-b0f1-bd4e63cfe217@v1; ownNostroId=c9b1bab7-0f56-5a20-82d9-ee58bfde306c; ownNostroVersion=1; expectedAccountReference=MT347-MT340-008-USD-001; senderCorrespondentBankServiceId=BANK-SVC-CITIUS33; intermediaryBankServiceId=BANK-SVC-HSBCHKHH; receivingBankServiceId=BANK-SVC-DEUTDEFF; fixture gap: Positive intermediary fixture required</t>
  </si>
  <si>
    <t>MT340-009</t>
  </si>
  <si>
    <t>D - Settlement Instructions for Settlement Amount Payable by Party A / mandatory role unavailable</t>
  </si>
  <si>
    <t>binding=FIX-MT340-009@v1; ssiId=2ec62d59-73eb-5b6d-930f-320c74f19548@v1; applicabilityId=79902bb6-8902-5f9b-8411-ad4038bf8ea1@v1; rmaId=8ba63bea-f105-5d4f-9cae-677ecd36e914@v1; sequencePresent=true; source for mandatory 57a missing; no cross-role/sequence fallback; fixture gap: Governed source and error contract required</t>
  </si>
  <si>
    <t>MT340-010</t>
  </si>
  <si>
    <t>D - Settlement Instructions for Settlement Amount Payable by Party A / invalid option</t>
  </si>
  <si>
    <t>binding=FIX-MT340-010@v1; ssiId=dd522bf2-9b1b-5a01-9c46-23aaf8a718da@v1; applicabilityId=96c5d9e7-d465-58cb-9f07-5a69fdadd781@v1; rmaId=9b42f0ac-193e-56c0-bdb6-7e903263ffbb@v1; candidate=D.53Z; allowed=A,D,J; fixture gap: None</t>
  </si>
  <si>
    <t>MT340-011</t>
  </si>
  <si>
    <t>D - Settlement Instructions for Settlement Amount Payable by Party A / option D provenance boundary</t>
  </si>
  <si>
    <t>binding=FIX-MT340-011@v1; ssiId=5fc60c88-1fc7-5873-bda0-3023a1afca75@v1; applicabilityId=f8bfc4c9-0298-54c7-ade7-635c5d1b430e@v1; rmaId=cb2b7af5-7bdf-5f00-8665-6cf01e811c6c@v1; requested=D.53D; only BIC snapshot exists; option-specific structured source absent; fixture gap: Add controlled option-D source</t>
  </si>
  <si>
    <t>MT340-012</t>
  </si>
  <si>
    <t>D - Settlement Instructions for Settlement Amount Payable by Party A / 86a without 56a</t>
  </si>
  <si>
    <t>binding=FIX-MT340-012@v1; ssiId=af84974a-b72e-5693-8b7d-316a506f005a@v1; applicabilityId=2b9fbe94-6545-559d-8ae0-1f56499f7c1e@v1; rmaId=191b9f78-5e58-5587-acfc-3b782a32e44a@v1; sequence=D;86a present;56a absent; fixture gap: 86a output remains out of SSI scope</t>
  </si>
  <si>
    <t>MT340-013</t>
  </si>
  <si>
    <t>F - Additional Amounts / direct canonical route</t>
  </si>
  <si>
    <t>F.53A=CITIUS33; F.57A=DEUTDEFF; 56a omitted/NOT_REQUIRED; no duplicate institution across roles</t>
  </si>
  <si>
    <t>us3ma_20260717.pdf p.641; C8: 86a requires 56a in same sequence (E35) - us3ma_20260717.pdf pp.642-645</t>
  </si>
  <si>
    <t>binding=FIX-MT340-013@v1; ssiId=17fe9e69-1e62-5a07-8eed-3c2b248e0871@v1; applicabilityId=68bda292-bb72-5831-ba72-3fc745996213@v1; rmaId=04d002fb-95ae-527d-b96c-417e0de93ba0@v1; ownNostroId=460bdece-d739-55d7-9dd3-e7ab35d9ec28; ownNostroVersion=1; expectedAccountReference=MT347-MT340-013-USD-001; Bank Service IDs only; currency=USD; bookingEntity=HK01; manual BIC/5x=null; route=DIRECT; fixture gap: Needs sequence-qualified isolated QA fixtures</t>
  </si>
  <si>
    <t>MT340-014</t>
  </si>
  <si>
    <t>F - Additional Amounts / intermediary route</t>
  </si>
  <si>
    <t>F.53A=CITIUS33; F.56A=HSBCHKHH; F.57A=DEUTDEFF; role values must remain distinct</t>
  </si>
  <si>
    <t>binding=FIX-MT340-014@v1; ssiId=618e656a-eee2-5677-8ed4-d98e1910f519@v1; applicabilityId=f03952f0-efe8-5b7d-a2aa-ee805fcf6832@v1; rmaId=5c7ab35b-f0bd-5d08-aa84-fdbc5b34240c@v1; ownNostroId=85124d13-f0b4-5bb1-9b5b-258277b2a829; ownNostroVersion=1; expectedAccountReference=MT347-MT340-014-USD-001; senderCorrespondentBankServiceId=BANK-SVC-CITIUS33; intermediaryBankServiceId=BANK-SVC-HSBCHKHH; receivingBankServiceId=BANK-SVC-DEUTDEFF; fixture gap: Positive intermediary fixture required</t>
  </si>
  <si>
    <t>MT340-015</t>
  </si>
  <si>
    <t>F - Additional Amounts / mandatory role unavailable</t>
  </si>
  <si>
    <t>binding=FIX-MT340-015@v1; ssiId=c1a1c32b-2178-52c8-ab5e-9f716916c40f@v1; applicabilityId=2affe0a7-c9d6-51ec-995b-aed7850fe7a7@v1; rmaId=8b0575c4-b5cc-5cfb-969d-d1de4053cea1@v1; sequencePresent=true; source for mandatory 57a missing; no cross-role/sequence fallback; fixture gap: Governed source and error contract required</t>
  </si>
  <si>
    <t>MT340-016</t>
  </si>
  <si>
    <t>F - Additional Amounts / invalid option</t>
  </si>
  <si>
    <t>binding=FIX-MT340-016@v1; ssiId=8dcfd8c2-be09-5dac-ae89-37b476bb2b40@v1; applicabilityId=a2579ccb-5263-516a-bb71-3ada03e82289@v1; rmaId=f2ea0a2b-dbef-5076-817e-f139aa5ab14e@v1; candidate=F.53Z; allowed=A,D,J; fixture gap: None</t>
  </si>
  <si>
    <t>MT340-017</t>
  </si>
  <si>
    <t>F - Additional Amounts / option D provenance boundary</t>
  </si>
  <si>
    <t>binding=FIX-MT340-017@v1; ssiId=240b64d0-7f62-554d-ae21-9173a02dd0c8@v1; applicabilityId=213a84b6-e9bc-5062-9722-919167fcc5e1@v1; rmaId=45918da6-8cef-548a-8624-3e855e09dfa4@v1; requested=F.53D; only BIC snapshot exists; option-specific structured source absent; fixture gap: Add controlled option-D source</t>
  </si>
  <si>
    <t>MT340-018</t>
  </si>
  <si>
    <t>F - Additional Amounts / 86a without 56a</t>
  </si>
  <si>
    <t>binding=FIX-MT340-018@v1; ssiId=c585b7d7-e354-58fe-8f58-e744e98a4780@v1; applicabilityId=e4c45518-e64d-50a7-9e58-b1540f8cf2d1@v1; rmaId=c3de88b5-69f2-59d7-bb5e-95169b96493e@v1; sequence=F;86a present;56a absent; fixture gap: 86a output remains out of SSI scope</t>
  </si>
  <si>
    <t>MT341-001</t>
  </si>
  <si>
    <t>C - Settlement Instructions for the Settlement Amount / direct canonical route</t>
  </si>
  <si>
    <t>us3ma_20260717.pdf p.722; C2: 86a requires 56a in sequence C (E35) - us3ma_20260717.pdf p.724</t>
  </si>
  <si>
    <t>binding=FIX-MT341-001@v1; ssiId=a145cb00-64d8-5604-b4a3-08a662d48608@v1; applicabilityId=2b3e465d-318a-5c7e-9d00-78cd26715c3f@v1; rmaId=e4f85c98-d6e0-5922-b1db-e8d654a6e1c4@v1; ownNostroId=90cb7cc0-864d-52d9-83fa-c5f73e7d2a12; ownNostroVersion=1; expectedAccountReference=MT347-MT341-001-USD-001; Bank Service IDs only; currency=USD; bookingEntity=HK01; manual BIC/5x=null; route=DIRECT; fixture gap: Needs sequence-qualified isolated QA fixtures</t>
  </si>
  <si>
    <t>MT341-002</t>
  </si>
  <si>
    <t>C - Settlement Instructions for the Settlement Amount / intermediary route</t>
  </si>
  <si>
    <t>binding=FIX-MT341-002@v1; ssiId=63d7a591-9d9a-50c3-a584-8a507c59ee3a@v1; applicabilityId=75361da9-6a50-5143-8dde-afcf4b21417f@v1; rmaId=6a14fb70-4bd0-5ff4-8399-1af0f5fc8d9a@v1; ownNostroId=1ded8421-d493-5cab-bc83-8a5e58effdec; ownNostroVersion=1; expectedAccountReference=MT347-MT341-002-USD-001; senderCorrespondentBankServiceId=BANK-SVC-CITIUS33; intermediaryBankServiceId=BANK-SVC-HSBCHKHH; receivingBankServiceId=BANK-SVC-DEUTDEFF; fixture gap: Positive intermediary fixture required</t>
  </si>
  <si>
    <t>MT341-003</t>
  </si>
  <si>
    <t>C - Settlement Instructions for the Settlement Amount / mandatory role unavailable</t>
  </si>
  <si>
    <t>binding=FIX-MT341-003@v1; ssiId=714a80c3-fbde-5b2b-b60d-1a8ed1869c93@v1; applicabilityId=e374c927-2b9b-518b-b057-29603f65e9b7@v1; rmaId=d361b3b8-97fc-56b1-9864-e8ba7e0039a0@v1; sequencePresent=true; source for mandatory 57a missing; no cross-role/sequence fallback; fixture gap: Governed source and error contract required</t>
  </si>
  <si>
    <t>MT341-004</t>
  </si>
  <si>
    <t>C - Settlement Instructions for the Settlement Amount / invalid option</t>
  </si>
  <si>
    <t>binding=FIX-MT341-004@v1; ssiId=166dfe09-e4e5-551c-a146-238eb15a9d1d@v1; applicabilityId=e7e91381-b279-50e2-954a-a991f2860e42@v1; rmaId=3c59a908-b16c-5a6a-861f-ccb17ff4b3a2@v1; candidate=C.53Z; allowed=A,D,J; fixture gap: None</t>
  </si>
  <si>
    <t>MT341-005</t>
  </si>
  <si>
    <t>C - Settlement Instructions for the Settlement Amount / option D provenance boundary</t>
  </si>
  <si>
    <t>binding=FIX-MT341-005@v1; ssiId=ea11e2fc-116b-5d66-a250-1c7f36c39f9a@v1; applicabilityId=ec7d7f1f-2284-5f2e-99ea-cf89488e5b17@v1; rmaId=74bb2b3c-869f-5fd5-a09e-ea50b48cc39a@v1; requested=C.53D; only BIC snapshot exists; option-specific structured source absent; fixture gap: Add controlled option-D source</t>
  </si>
  <si>
    <t>MT341-006</t>
  </si>
  <si>
    <t>C - Settlement Instructions for the Settlement Amount / 86a without 56a</t>
  </si>
  <si>
    <t>binding=FIX-MT341-006@v1; ssiId=bfcdd3e6-61cb-5d3b-ab5f-a46c4adc6847@v1; applicabilityId=0e7bfb01-a211-5343-9f9d-0d05c7b131dd@v1; rmaId=a644bfdb-e975-5bf5-b79f-f367392e7f6f@v1; sequence=C;86a present;56a absent; fixture gap: 86a output remains out of SSI scope</t>
  </si>
  <si>
    <t>MT350-001</t>
  </si>
  <si>
    <t>C - Settlement Instructions / direct canonical route</t>
  </si>
  <si>
    <t>us3mb_20260717.pdf p.17; C3: 86a requires 56a in sequence C (E35) - us3mb_20260717.pdf pp.17-18</t>
  </si>
  <si>
    <t>binding=FIX-MT350-001@v1; ssiId=cb4cb7ac-b47d-56e8-9eaf-2526795a1ae3@v1; applicabilityId=31d5ca1c-99f4-503c-8a66-8ec7f90b9a67@v1; rmaId=8e38bd02-4dde-5292-8c21-78ee77803732@v1; ownNostroId=1005a2ab-31c9-576a-be08-2a3c9f72be16; ownNostroVersion=1; expectedAccountReference=MT347-MT350-001-USD-001; Bank Service IDs only; currency=USD; bookingEntity=HK01; manual BIC/5x=null; route=DIRECT; fixture gap: Needs sequence-qualified isolated QA fixtures</t>
  </si>
  <si>
    <t>MT350-002</t>
  </si>
  <si>
    <t>C - Settlement Instructions / intermediary route</t>
  </si>
  <si>
    <t>binding=FIX-MT350-002@v1; ssiId=2ba75ae8-82ce-5be0-b8b6-500e53b067c0@v1; applicabilityId=0ccc7297-7c7c-5d99-91a5-7b2920abb580@v1; rmaId=222896cd-c737-5670-8139-79fea34a34ce@v1; ownNostroId=664d624c-29a3-53c8-8a1c-bbab0fb67c40; ownNostroVersion=1; expectedAccountReference=MT347-MT350-002-USD-001; senderCorrespondentBankServiceId=BANK-SVC-CITIUS33; intermediaryBankServiceId=BANK-SVC-HSBCHKHH; receivingBankServiceId=BANK-SVC-DEUTDEFF; fixture gap: Positive intermediary fixture required</t>
  </si>
  <si>
    <t>MT350-003</t>
  </si>
  <si>
    <t>C - Settlement Instructions / mandatory role unavailable</t>
  </si>
  <si>
    <t>binding=FIX-MT350-003@v1; ssiId=8657f556-dcda-51c5-b1c8-b16e2512a6b6@v1; applicabilityId=b163d120-6659-515e-a492-91894a607b3d@v1; rmaId=735a31b3-0424-5946-b4ec-2cc60af08bcf@v1; sequencePresent=true; source for mandatory 57a missing; no cross-role/sequence fallback; fixture gap: Governed source and error contract required</t>
  </si>
  <si>
    <t>MT350-004</t>
  </si>
  <si>
    <t>C - Settlement Instructions / invalid option</t>
  </si>
  <si>
    <t>binding=FIX-MT350-004@v1; ssiId=806e2523-1896-5981-9c49-d311845be2e9@v1; applicabilityId=eaa8a78c-1316-5998-8840-e542cc23e958@v1; rmaId=fc79ef38-9462-5309-abf6-14a6be5983a5@v1; candidate=C.53Z; allowed=A,D,J; fixture gap: None</t>
  </si>
  <si>
    <t>MT350-005</t>
  </si>
  <si>
    <t>C - Settlement Instructions / option D provenance boundary</t>
  </si>
  <si>
    <t>binding=FIX-MT350-005@v1; ssiId=acb2cab0-25ed-5b66-ab42-a9f2d117299d@v1; applicabilityId=0042f660-cbb7-534f-beb4-c2c953597899@v1; rmaId=76bf95ba-27bf-5074-a508-193417bb7afd@v1; requested=C.53D; only BIC snapshot exists; option-specific structured source absent; fixture gap: Add controlled option-D source</t>
  </si>
  <si>
    <t>MT350-006</t>
  </si>
  <si>
    <t>C - Settlement Instructions / 86a without 56a</t>
  </si>
  <si>
    <t>binding=FIX-MT350-006@v1; ssiId=74a158b6-a39b-55ec-8e85-012cffee2250@v1; applicabilityId=173cd6c7-de1a-5e0c-b9fc-be8775e23616@v1; rmaId=9154d20e-78c8-52a0-a0df-b5d4c03a4749@v1; sequence=C;86a present;56a absent; fixture gap: 86a output remains out of SSI scope</t>
  </si>
  <si>
    <t>MT360-001</t>
  </si>
  <si>
    <t>D - Payment Instructions for Interest Payable by Party B / direct canonical route</t>
  </si>
  <si>
    <t>D.53A=CITIUS33; D.57A=DEUTDEFF; 56a omitted/NOT_REQUIRED; no duplicate institution across roles</t>
  </si>
  <si>
    <t>us3mb_20260717.pdf p.51; C13: 53a/56a require 57a in L/M; C14: 86a requires 56a - us3mb_20260717.pdf pp.57-59</t>
  </si>
  <si>
    <t>binding=FIX-MT360-001@v1; ssiId=b014cbdd-d2eb-592f-86d8-72c0d56f1f70@v1; applicabilityId=ce09909b-2df5-5290-b3c2-3c084283284e@v1; rmaId=a7a8640a-1ba4-5782-96dd-2dee5976521a@v1; ownNostroId=2f10d399-3405-5854-baf9-042ef524890e; ownNostroVersion=1; expectedAccountReference=MT347-MT360-001-USD-001; Bank Service IDs only; currency=USD; bookingEntity=HK01; manual BIC/5x=null; route=DIRECT; fixture gap: Needs sequence-qualified isolated QA fixtures</t>
  </si>
  <si>
    <t>MT360-002</t>
  </si>
  <si>
    <t>D - Payment Instructions for Interest Payable by Party B / intermediary route</t>
  </si>
  <si>
    <t>D.53A=CITIUS33; D.56A=HSBCHKHH; D.57A=DEUTDEFF; role values must remain distinct</t>
  </si>
  <si>
    <t>binding=FIX-MT360-002@v1; ssiId=c7ffe8a4-bc85-5cb2-8ca9-d449804efe9b@v1; applicabilityId=0162caff-807b-50f5-bdfb-fa259dfd9530@v1; rmaId=53019458-66fa-52f2-8c6d-40e3b905d912@v1; ownNostroId=a8c870d6-f3f4-5ae5-b2b1-14ebb9a560cc; ownNostroVersion=1; expectedAccountReference=MT347-MT360-002-USD-001; senderCorrespondentBankServiceId=BANK-SVC-CITIUS33; intermediaryBankServiceId=BANK-SVC-HSBCHKHH; receivingBankServiceId=BANK-SVC-DEUTDEFF; fixture gap: Positive intermediary fixture required</t>
  </si>
  <si>
    <t>MT360-003</t>
  </si>
  <si>
    <t>D - Payment Instructions for Interest Payable by Party B / mandatory role unavailable</t>
  </si>
  <si>
    <t>binding=FIX-MT360-003@v1; ssiId=222315e9-0abf-5ea1-8365-98a622739a71@v1; applicabilityId=3444e8f6-1ee5-5be2-8835-9d11403d2588@v1; rmaId=234a2027-8455-5864-ad00-0d4165beb516@v1; sequencePresent=true; source for mandatory 57a missing; no cross-role/sequence fallback; fixture gap: Governed source and error contract required</t>
  </si>
  <si>
    <t>MT360-004</t>
  </si>
  <si>
    <t>D - Payment Instructions for Interest Payable by Party B / invalid option</t>
  </si>
  <si>
    <t>binding=FIX-MT360-004@v1; ssiId=5c78201a-d421-5b92-835f-432d46ab452a@v1; applicabilityId=01249bd2-99b9-5a12-8a96-0ab3506cf81f@v1; rmaId=a7c8f27a-f38d-517e-95fe-deb1d3dbf080@v1; candidate=D.53Z; allowed=A,D,J; fixture gap: None</t>
  </si>
  <si>
    <t>MT360-005</t>
  </si>
  <si>
    <t>D - Payment Instructions for Interest Payable by Party B / option D provenance boundary</t>
  </si>
  <si>
    <t>binding=FIX-MT360-005@v1; ssiId=32c91c67-17c5-50d7-aaf5-cce82b048da7@v1; applicabilityId=ab6ce4d0-3e6d-5559-a97a-19bc127584d3@v1; rmaId=caa62bcb-f5e3-5a13-acd8-51dcb4b9d4dc@v1; requested=D.53D; only BIC snapshot exists; option-specific structured source absent; fixture gap: Add controlled option-D source</t>
  </si>
  <si>
    <t>MT360-006</t>
  </si>
  <si>
    <t>D - Payment Instructions for Interest Payable by Party B / 86a without 56a</t>
  </si>
  <si>
    <t>binding=FIX-MT360-006@v1; ssiId=ece26aa6-6ab0-5ea3-8210-747ac5fed1bc@v1; applicabilityId=4da46b9c-33eb-5350-afa6-b646699bcbb2@v1; rmaId=84b4fe0a-1e75-5794-9607-39a16f4a91a5@v1; sequence=D;86a present;56a absent; fixture gap: 86a output remains out of SSI scope</t>
  </si>
  <si>
    <t>MT360-007</t>
  </si>
  <si>
    <t>D - Payment Instructions for Interest Payable by Party B / 53a or 56a without 57a</t>
  </si>
  <si>
    <t>sequence=D;53a/56a present;57a absent</t>
  </si>
  <si>
    <t>53a=OWN_SSI;56a/57a=COUNTERPARTY_SSI</t>
  </si>
  <si>
    <t>Reject under D48 where C13 applies; no partial route</t>
  </si>
  <si>
    <t>binding=FIX-MT360-007@v1; ssiId=a8594cba-24cb-5fc9-bc47-8de09c6f5980@v1; applicabilityId=0ed0a6a2-682f-5cd3-85ea-aa018b61e1a0@v1; rmaId=8839e401-7871-5464-be0e-2ae1e7e4e35b@v1; ownNostroId=faebc1dd-9251-5304-8860-3e79b16b4dd8; ownNostroVersion=1; expectedAccountReference=MT347-MT360-007-USD-001; sequence=D;53a/56a present;57a absent; fixture gap: None</t>
  </si>
  <si>
    <t>MT360-008</t>
  </si>
  <si>
    <t>G - Payment Instructions for Interest Payable by Party A / direct canonical route</t>
  </si>
  <si>
    <t>G.53A=CITIUS33; G.57A=DEUTDEFF; 56a omitted/NOT_REQUIRED; no duplicate institution across roles</t>
  </si>
  <si>
    <t>us3mb_20260717.pdf p.53; C13: 53a/56a require 57a in L/M; C14: 86a requires 56a - us3mb_20260717.pdf pp.57-59</t>
  </si>
  <si>
    <t>binding=FIX-MT360-008@v1; ssiId=bb451fb2-81a6-55a2-9f52-1b874ff2ddab@v1; applicabilityId=df44ad0d-4ee6-52b6-857f-a2a3626097ad@v1; rmaId=17d13662-0f8d-5e25-9477-8327bc553026@v1; ownNostroId=6d9e744b-a1ae-5bc7-8f3c-8ebfd608aad3; ownNostroVersion=1; expectedAccountReference=MT347-MT360-008-USD-001; Bank Service IDs only; currency=USD; bookingEntity=HK01; manual BIC/5x=null; route=DIRECT; fixture gap: Needs sequence-qualified isolated QA fixtures</t>
  </si>
  <si>
    <t>MT360-009</t>
  </si>
  <si>
    <t>G - Payment Instructions for Interest Payable by Party A / intermediary route</t>
  </si>
  <si>
    <t>G.53A=CITIUS33; G.56A=HSBCHKHH; G.57A=DEUTDEFF; role values must remain distinct</t>
  </si>
  <si>
    <t>binding=FIX-MT360-009@v1; ssiId=0b4bf7c5-e325-59dd-97cb-77d225d4d804@v1; applicabilityId=eebf6065-ff0c-59fd-b1c6-10d4895cbf71@v1; rmaId=40024ac2-783f-552b-8f32-8d5f55a4d87e@v1; ownNostroId=f4717349-d936-5a24-bf17-746105e0f0e8; ownNostroVersion=1; expectedAccountReference=MT347-MT360-009-USD-001; senderCorrespondentBankServiceId=BANK-SVC-CITIUS33; intermediaryBankServiceId=BANK-SVC-HSBCHKHH; receivingBankServiceId=BANK-SVC-DEUTDEFF; fixture gap: Positive intermediary fixture required</t>
  </si>
  <si>
    <t>MT360-010</t>
  </si>
  <si>
    <t>G - Payment Instructions for Interest Payable by Party A / mandatory role unavailable</t>
  </si>
  <si>
    <t>binding=FIX-MT360-010@v1; ssiId=837839dc-97a6-501f-80be-b9111df1a314@v1; applicabilityId=79263c4a-ff21-596e-aebf-e0586e4cffde@v1; rmaId=c7bafab2-cfca-54c7-a493-ad508cfbcd14@v1; sequencePresent=true; source for mandatory 57a missing; no cross-role/sequence fallback; fixture gap: Governed source and error contract required</t>
  </si>
  <si>
    <t>MT360-011</t>
  </si>
  <si>
    <t>G - Payment Instructions for Interest Payable by Party A / invalid option</t>
  </si>
  <si>
    <t>candidate=G.53Z; allowed=A,D,J</t>
  </si>
  <si>
    <t>Reject G.53Z; allowed options=A,D,J</t>
  </si>
  <si>
    <t>binding=FIX-MT360-011@v1; ssiId=d5246f7a-6275-5c32-95cc-a4249728c281@v1; applicabilityId=190d33f7-4c8b-5619-a508-4963064214a7@v1; rmaId=20626e2b-fdec-5396-b134-edd7d8d7052f@v1; candidate=G.53Z; allowed=A,D,J; fixture gap: None</t>
  </si>
  <si>
    <t>MT360-012</t>
  </si>
  <si>
    <t>G - Payment Instructions for Interest Payable by Party A / option D provenance boundary</t>
  </si>
  <si>
    <t>requested=G.53D; only BIC snapshot exists; option-specific structured source absent</t>
  </si>
  <si>
    <t>binding=FIX-MT360-012@v1; ssiId=1305d9b6-9c32-5aff-955a-7339c2af0bfb@v1; applicabilityId=fcc056c6-0c3c-5853-ab88-0b544ede8729@v1; rmaId=70b2751b-f4be-5c43-b1fb-da17791d8d28@v1; requested=G.53D; only BIC snapshot exists; option-specific structured source absent; fixture gap: Add controlled option-D source</t>
  </si>
  <si>
    <t>MT360-013</t>
  </si>
  <si>
    <t>G - Payment Instructions for Interest Payable by Party A / 86a without 56a</t>
  </si>
  <si>
    <t>sequence=G;86a present;56a absent</t>
  </si>
  <si>
    <t>binding=FIX-MT360-013@v1; ssiId=37d403e4-7a20-5e5c-a9b8-1545848848b5@v1; applicabilityId=c6a2ea4a-e70e-5ab7-865e-0eb1655b7eda@v1; rmaId=e5824275-c49a-5cbb-8ef1-d206ba568c11@v1; sequence=G;86a present;56a absent; fixture gap: 86a output remains out of SSI scope</t>
  </si>
  <si>
    <t>MT360-014</t>
  </si>
  <si>
    <t>G - Payment Instructions for Interest Payable by Party A / 53a or 56a without 57a</t>
  </si>
  <si>
    <t>sequence=G;53a/56a present;57a absent</t>
  </si>
  <si>
    <t>binding=FIX-MT360-014@v1; ssiId=f8990430-7424-5d38-9105-bdfa38e47391@v1; applicabilityId=94850dfe-41b1-5b49-a392-7655d1ea97d2@v1; rmaId=64808d5c-8d5a-5c57-b6cc-12f1a61f9fa3@v1; ownNostroId=db6fa851-0a97-5951-a18e-ae7e2d4425b3; ownNostroVersion=1; expectedAccountReference=MT347-MT360-014-USD-001; sequence=G;53a/56a present;57a absent; fixture gap: None</t>
  </si>
  <si>
    <t>MT360-015</t>
  </si>
  <si>
    <t>L - Additional Amounts Payable by Party B / direct canonical route</t>
  </si>
  <si>
    <t>us3mb_20260717.pdf p.54; C13: 53a/56a require 57a in L/M; C14: 86a requires 56a - us3mb_20260717.pdf pp.57-59</t>
  </si>
  <si>
    <t>binding=FIX-MT360-015@v1; ssiId=e8a0f697-0318-5084-8d3a-6b72fbe2954a@v1; applicabilityId=38e6d131-c503-5a6d-b2ea-97e570620211@v1; rmaId=609a7f50-d0f1-528e-ade3-3d6cfdb54538@v1; ownNostroId=b01dec45-04bb-5974-8020-ff6e8c00c822; ownNostroVersion=1; expectedAccountReference=MT347-MT360-015-USD-001; Bank Service IDs only; currency=USD; bookingEntity=HK01; manual BIC/5x=null; route=DIRECT; fixture gap: Needs sequence-qualified isolated QA fixtures</t>
  </si>
  <si>
    <t>MT360-016</t>
  </si>
  <si>
    <t>L - Additional Amounts Payable by Party B / intermediary route</t>
  </si>
  <si>
    <t>binding=FIX-MT360-016@v1; ssiId=80a77424-61c6-5e42-87c4-d4f9a051fb66@v1; applicabilityId=edd9f873-5338-5777-9d33-a3a6f72e1df1@v1; rmaId=281e09b2-57a5-5f31-bd10-545f0035087d@v1; ownNostroId=71bae30c-a641-56a7-a14f-f0e1f4c1e233; ownNostroVersion=1; expectedAccountReference=MT347-MT360-016-USD-001; senderCorrespondentBankServiceId=BANK-SVC-CITIUS33; intermediaryBankServiceId=BANK-SVC-HSBCHKHH; receivingBankServiceId=BANK-SVC-DEUTDEFF; fixture gap: Positive intermediary fixture required</t>
  </si>
  <si>
    <t>MT360-017</t>
  </si>
  <si>
    <t>L - Additional Amounts Payable by Party B / optional route unavailable</t>
  </si>
  <si>
    <t>binding=FIX-MT360-017@v1; ssiId=29ddf87e-fb47-590f-954a-65500661516f@v1; applicabilityId=e7a48f12-0652-5a48-9367-f7b2ad234772@v1; rmaId=9a5b01b3-1b7f-518e-9991-48c98acc0904@v1; no eligible SSI; all SSI-classified 5x roles in this sequence are optional; fixture gap: BA must lock API distinction</t>
  </si>
  <si>
    <t>MT360-018</t>
  </si>
  <si>
    <t>L - Additional Amounts Payable by Party B / invalid option</t>
  </si>
  <si>
    <t>candidate=L.53Z; allowed=A,D,J</t>
  </si>
  <si>
    <t>Reject L.53Z; allowed options=A,D,J</t>
  </si>
  <si>
    <t>binding=FIX-MT360-018@v1; ssiId=e8752d69-dba7-5e04-9b81-ed4ae8929ab5@v1; applicabilityId=5f848415-3b71-584f-bfbf-b8ae31cba7e3@v1; rmaId=628bffba-ed06-50a8-9f27-e89f89f2508b@v1; candidate=L.53Z; allowed=A,D,J; fixture gap: None</t>
  </si>
  <si>
    <t>MT360-019</t>
  </si>
  <si>
    <t>L - Additional Amounts Payable by Party B / option D provenance boundary</t>
  </si>
  <si>
    <t>requested=L.53D; only BIC snapshot exists; option-specific structured source absent</t>
  </si>
  <si>
    <t>binding=FIX-MT360-019@v1; ssiId=f9d38065-d18b-5734-bd5d-181fdd9c8705@v1; applicabilityId=b65999a9-24d7-5d02-9350-f22386e3276e@v1; rmaId=0ca70397-3839-5341-8ef7-bfbc782bf94c@v1; requested=L.53D; only BIC snapshot exists; option-specific structured source absent; fixture gap: Add controlled option-D source</t>
  </si>
  <si>
    <t>MT360-020</t>
  </si>
  <si>
    <t>L - Additional Amounts Payable by Party B / 86a without 56a</t>
  </si>
  <si>
    <t>binding=FIX-MT360-020@v1; ssiId=0b568798-c836-5baf-9aa8-d54b66e077b9@v1; applicabilityId=486159b2-6d12-5a2b-8fa4-0a91fe87b516@v1; rmaId=094741bd-b758-5feb-ad5f-bfc7f393f7c1@v1; sequence=L;86a present;56a absent; fixture gap: 86a output remains out of SSI scope</t>
  </si>
  <si>
    <t>MT360-021</t>
  </si>
  <si>
    <t>L - Additional Amounts Payable by Party B / 53a or 56a without 57a</t>
  </si>
  <si>
    <t>sequence=L;53a/56a present;57a absent</t>
  </si>
  <si>
    <t>binding=FIX-MT360-021@v1; ssiId=53e37326-9c2a-5bf9-83c4-cdc26d3785df@v1; applicabilityId=7fd129f4-b421-5b16-97cb-7ef2eee32ccb@v1; rmaId=611697f2-83f2-5075-9a6d-ea1b2831cf78@v1; ownNostroId=6cade616-8611-5d04-bfb5-3e7a2b436b2a; ownNostroVersion=1; expectedAccountReference=MT347-MT360-021-USD-001; sequence=L;53a/56a present;57a absent; fixture gap: None</t>
  </si>
  <si>
    <t>MT360-022</t>
  </si>
  <si>
    <t>M - Additional Amounts Payable by Party A / direct canonical route</t>
  </si>
  <si>
    <t>M.53A=CITIUS33; M.57A=DEUTDEFF; 56a omitted/NOT_REQUIRED; no duplicate institution across roles</t>
  </si>
  <si>
    <t>us3mb_20260717.pdf p.55; C13: 53a/56a require 57a in L/M; C14: 86a requires 56a - us3mb_20260717.pdf pp.57-59</t>
  </si>
  <si>
    <t>binding=FIX-MT360-022@v1; ssiId=b0781077-123c-5477-8918-7a64e076e71a@v1; applicabilityId=4bdeab53-cdbd-53d2-97ab-32a13fa043ea@v1; rmaId=89aa8c5d-2679-5582-9ee7-d017bbce6df2@v1; ownNostroId=c65a4a9f-fc0a-5f16-8867-38389149fd7c; ownNostroVersion=1; expectedAccountReference=MT347-MT360-022-USD-001; Bank Service IDs only; currency=USD; bookingEntity=HK01; manual BIC/5x=null; route=DIRECT; fixture gap: Needs sequence-qualified isolated QA fixtures</t>
  </si>
  <si>
    <t>MT360-023</t>
  </si>
  <si>
    <t>M - Additional Amounts Payable by Party A / intermediary route</t>
  </si>
  <si>
    <t>M.53A=CITIUS33; M.56A=HSBCHKHH; M.57A=DEUTDEFF; role values must remain distinct</t>
  </si>
  <si>
    <t>binding=FIX-MT360-023@v1; ssiId=9dee4918-e81c-5db8-834c-7614a4a5f793@v1; applicabilityId=8ada2cd9-2244-52af-9bca-6b8bf7388e25@v1; rmaId=2a99443a-be6e-5d23-bf42-c19f079501c1@v1; ownNostroId=60b440e3-439e-5441-97e6-19847c3aa5a7; ownNostroVersion=1; expectedAccountReference=MT347-MT360-023-USD-001; senderCorrespondentBankServiceId=BANK-SVC-CITIUS33; intermediaryBankServiceId=BANK-SVC-HSBCHKHH; receivingBankServiceId=BANK-SVC-DEUTDEFF; fixture gap: Positive intermediary fixture required</t>
  </si>
  <si>
    <t>MT360-024</t>
  </si>
  <si>
    <t>M - Additional Amounts Payable by Party A / optional route unavailable</t>
  </si>
  <si>
    <t>binding=FIX-MT360-024@v1; ssiId=d0f27ba6-a647-517f-8560-2a5d04e307fc@v1; applicabilityId=5823afef-8379-5011-85ed-f50d7fa94223@v1; rmaId=61a16c70-2597-588a-a46a-c6a6f4e8e7c4@v1; no eligible SSI; all SSI-classified 5x roles in this sequence are optional; fixture gap: BA must lock API distinction</t>
  </si>
  <si>
    <t>MT360-025</t>
  </si>
  <si>
    <t>M - Additional Amounts Payable by Party A / invalid option</t>
  </si>
  <si>
    <t>candidate=M.53Z; allowed=A,D,J</t>
  </si>
  <si>
    <t>Reject M.53Z; allowed options=A,D,J</t>
  </si>
  <si>
    <t>binding=FIX-MT360-025@v1; ssiId=0c7d6039-4db4-5d20-b602-54c17b574043@v1; applicabilityId=e2338fc6-6567-5602-944b-8b259973d7f5@v1; rmaId=e0af457d-f6e1-561e-89a8-8c234757f322@v1; candidate=M.53Z; allowed=A,D,J; fixture gap: None</t>
  </si>
  <si>
    <t>MT360-026</t>
  </si>
  <si>
    <t>M - Additional Amounts Payable by Party A / option D provenance boundary</t>
  </si>
  <si>
    <t>requested=M.53D; only BIC snapshot exists; option-specific structured source absent</t>
  </si>
  <si>
    <t>binding=FIX-MT360-026@v1; ssiId=17626e3f-0e1e-548c-8b0f-32ec5891e65c@v1; applicabilityId=ca547f27-5311-57bc-bbf5-095816306914@v1; rmaId=42d4a43a-c6ea-5a0b-b6e7-6711590d024d@v1; requested=M.53D; only BIC snapshot exists; option-specific structured source absent; fixture gap: Add controlled option-D source</t>
  </si>
  <si>
    <t>MT360-027</t>
  </si>
  <si>
    <t>M - Additional Amounts Payable by Party A / 86a without 56a</t>
  </si>
  <si>
    <t>sequence=M;86a present;56a absent</t>
  </si>
  <si>
    <t>binding=FIX-MT360-027@v1; ssiId=d40a89c9-3d2e-5dc3-816d-b529050e1a7c@v1; applicabilityId=7537643b-8f32-5fe7-b773-0a86a1204845@v1; rmaId=06117434-5210-587b-abbb-d9324a9b608d@v1; sequence=M;86a present;56a absent; fixture gap: 86a output remains out of SSI scope</t>
  </si>
  <si>
    <t>MT360-028</t>
  </si>
  <si>
    <t>M - Additional Amounts Payable by Party A / 53a or 56a without 57a</t>
  </si>
  <si>
    <t>sequence=M;53a/56a present;57a absent</t>
  </si>
  <si>
    <t>binding=FIX-MT360-028@v1; ssiId=0eee4eed-8357-59e6-be0a-7de03938f1d0@v1; applicabilityId=b65b2527-543c-571f-b5c4-ba514cef5954@v1; rmaId=fc438606-6b0a-5674-a145-5c871a949948@v1; ownNostroId=b022a14a-d400-5bff-a365-85926efa51d2; ownNostroVersion=1; expectedAccountReference=MT347-MT360-028-USD-001; sequence=M;53a/56a present;57a absent; fixture gap: None</t>
  </si>
  <si>
    <t>MT361-001</t>
  </si>
  <si>
    <t>us3mb_20260717.pdf p.210; C13: 53a/56a require 57a in M/N; C14: 86a requires 56a - us3mb_20260717.pdf pp.217-220</t>
  </si>
  <si>
    <t>binding=FIX-MT361-001@v1; ssiId=c0876029-f4d4-5d78-a794-d8edaf9d624a@v1; applicabilityId=ed799fe2-5aba-5e45-b12f-233c5388745d@v1; rmaId=2766b2bf-6047-5522-bcc7-0ff39c30673a@v1; ownNostroId=e34c3410-97c1-5e4d-a3bd-db70a83a1da3; ownNostroVersion=1; expectedAccountReference=MT347-MT361-001-USD-001; Bank Service IDs only; currency=USD; bookingEntity=HK01; manual BIC/5x=null; route=DIRECT; fixture gap: Needs sequence-qualified isolated QA fixtures</t>
  </si>
  <si>
    <t>MT361-002</t>
  </si>
  <si>
    <t>binding=FIX-MT361-002@v1; ssiId=f18d6849-4908-5b3b-bd84-5d560d8edf84@v1; applicabilityId=96c2cbb9-4fcc-5e3b-8bcb-3b8438a8f0cf@v1; rmaId=1035b54d-1b2c-56de-9448-c5d0ca67d62e@v1; ownNostroId=5af7075a-bdfd-5b2c-9a62-eb13850b6a25; ownNostroVersion=1; expectedAccountReference=MT347-MT361-002-USD-001; senderCorrespondentBankServiceId=BANK-SVC-CITIUS33; intermediaryBankServiceId=BANK-SVC-HSBCHKHH; receivingBankServiceId=BANK-SVC-DEUTDEFF; fixture gap: Positive intermediary fixture required</t>
  </si>
  <si>
    <t>MT361-003</t>
  </si>
  <si>
    <t>binding=FIX-MT361-003@v1; ssiId=8cbd544d-a339-51a9-ba4b-e37591fac750@v1; applicabilityId=5b3d8f61-be33-5ab4-bf0f-38bb6e2b79d3@v1; rmaId=ad31c1bc-9025-50ff-a3ca-7374b13dfcc4@v1; sequencePresent=true; source for mandatory 57a missing; no cross-role/sequence fallback; fixture gap: Governed source and error contract required</t>
  </si>
  <si>
    <t>MT361-004</t>
  </si>
  <si>
    <t>binding=FIX-MT361-004@v1; ssiId=9185675a-3bf6-544c-a011-30c691f7957f@v1; applicabilityId=053b9619-5c89-5a53-a0c5-89d2602e0ca2@v1; rmaId=c0e0887d-03fa-5282-9266-216c8fb94261@v1; candidate=D.53Z; allowed=A,D,J; fixture gap: None</t>
  </si>
  <si>
    <t>MT361-005</t>
  </si>
  <si>
    <t>binding=FIX-MT361-005@v1; ssiId=3648625c-0f2e-5fcc-ae75-f9df09daa290@v1; applicabilityId=b15980b5-dac4-5eb7-ab44-43b47c1b8800@v1; rmaId=ffe57734-c395-5bf4-8c44-551ed5674922@v1; requested=D.53D; only BIC snapshot exists; option-specific structured source absent; fixture gap: Add controlled option-D source</t>
  </si>
  <si>
    <t>MT361-006</t>
  </si>
  <si>
    <t>binding=FIX-MT361-006@v1; ssiId=4c601b6d-b628-597b-b939-760fd8f32229@v1; applicabilityId=7bced19e-5371-5922-a912-3f0a05feda74@v1; rmaId=72698a22-d648-5d16-95f9-e1e9bc4c8570@v1; sequence=D;86a present;56a absent; fixture gap: 86a output remains out of SSI scope</t>
  </si>
  <si>
    <t>MT361-007</t>
  </si>
  <si>
    <t>binding=FIX-MT361-007@v1; ssiId=861cc092-a569-59b5-a1fd-3ccaffed4647@v1; applicabilityId=51afdd5a-3a70-5d18-b1fc-22b10becf2aa@v1; rmaId=41ddce99-371a-5c85-9abf-eb1c1344a3b2@v1; ownNostroId=ea6b5f0c-3505-5b62-b50b-53c3c31951d9; ownNostroVersion=1; expectedAccountReference=MT347-MT361-007-USD-001; sequence=D;53a/56a present;57a absent; fixture gap: None</t>
  </si>
  <si>
    <t>MT361-008</t>
  </si>
  <si>
    <t>us3mb_20260717.pdf p.212; C13: 53a/56a require 57a in M/N; C14: 86a requires 56a - us3mb_20260717.pdf pp.217-220</t>
  </si>
  <si>
    <t>binding=FIX-MT361-008@v1; ssiId=8a6b7ee4-c0d4-5440-97b7-0acb61aa3dc1@v1; applicabilityId=0fb60c1a-9ba7-556c-96e0-b3014f0824db@v1; rmaId=e250b68d-8fdf-5d34-a1c6-3e0c93d789b1@v1; ownNostroId=09fd6079-2486-505c-aec3-6d9dbafb3667; ownNostroVersion=1; expectedAccountReference=MT347-MT361-008-USD-001; Bank Service IDs only; currency=USD; bookingEntity=HK01; manual BIC/5x=null; route=DIRECT; fixture gap: Needs sequence-qualified isolated QA fixtures</t>
  </si>
  <si>
    <t>MT361-009</t>
  </si>
  <si>
    <t>binding=FIX-MT361-009@v1; ssiId=aa4f48fb-fa2b-5623-bf21-575e9d33fa50@v1; applicabilityId=371c2e15-5f31-5e24-b8b6-e042d9be124b@v1; rmaId=a715680e-fa83-577a-9c50-be244b5e1f4f@v1; ownNostroId=d58ffce3-e022-5c3f-ab55-a229efaef777; ownNostroVersion=1; expectedAccountReference=MT347-MT361-009-USD-001; senderCorrespondentBankServiceId=BANK-SVC-CITIUS33; intermediaryBankServiceId=BANK-SVC-HSBCHKHH; receivingBankServiceId=BANK-SVC-DEUTDEFF; fixture gap: Positive intermediary fixture required</t>
  </si>
  <si>
    <t>MT361-010</t>
  </si>
  <si>
    <t>binding=FIX-MT361-010@v1; ssiId=c06a6413-3368-5736-994d-4cbeefa3d5a1@v1; applicabilityId=d0c97ddf-b961-57b2-ac26-e11be7dfe568@v1; rmaId=fc5a8985-1454-5922-9dbb-54a0a0ffe886@v1; sequencePresent=true; source for mandatory 57a missing; no cross-role/sequence fallback; fixture gap: Governed source and error contract required</t>
  </si>
  <si>
    <t>MT361-011</t>
  </si>
  <si>
    <t>binding=FIX-MT361-011@v1; ssiId=11666800-cd5c-5c6d-b851-e9e49e704083@v1; applicabilityId=13c7f485-38d9-5b9d-96c7-5f8f1234ec01@v1; rmaId=9186934e-eccd-57e8-add9-abae9b9527ee@v1; candidate=G.53Z; allowed=A,D,J; fixture gap: None</t>
  </si>
  <si>
    <t>MT361-012</t>
  </si>
  <si>
    <t>binding=FIX-MT361-012@v1; ssiId=46a4def5-94be-5435-b5b0-49271039cc04@v1; applicabilityId=1dcbf281-2bc8-5825-b27b-e5b430a3b0d3@v1; rmaId=ce242e0b-27a7-5848-9eb4-92a506b072a4@v1; requested=G.53D; only BIC snapshot exists; option-specific structured source absent; fixture gap: Add controlled option-D source</t>
  </si>
  <si>
    <t>MT361-013</t>
  </si>
  <si>
    <t>binding=FIX-MT361-013@v1; ssiId=0c2e7b70-02dc-5c3a-9eff-4892dbf5c05e@v1; applicabilityId=5a4cb11d-69b5-5e2d-b209-3f9269a5464e@v1; rmaId=a1555635-2f7a-551b-a30f-23314e973033@v1; sequence=G;86a present;56a absent; fixture gap: 86a output remains out of SSI scope</t>
  </si>
  <si>
    <t>MT361-014</t>
  </si>
  <si>
    <t>binding=FIX-MT361-014@v1; ssiId=57c38422-a53b-500a-8baf-61eabb849d59@v1; applicabilityId=fd0cfcf9-9869-524e-9e12-6d8644f1f4ea@v1; rmaId=da22bc8f-f3a3-5a56-8ce6-b5e4afd7e22a@v1; ownNostroId=4f00cda6-f1ac-572d-b481-dd9c7ce25ccc; ownNostroVersion=1; expectedAccountReference=MT347-MT361-014-USD-001; sequence=G;53a/56a present;57a absent; fixture gap: None</t>
  </si>
  <si>
    <t>MT361-015</t>
  </si>
  <si>
    <t>K - Exchanges of Principal Payable by Party B / direct canonical route</t>
  </si>
  <si>
    <t>K.53A=CITIUS33; K.57A=DEUTDEFF; 56a omitted/NOT_REQUIRED; no duplicate institution across roles</t>
  </si>
  <si>
    <t>us3mb_20260717.pdf p.214; C13: 53a/56a require 57a in M/N; C14: 86a requires 56a - us3mb_20260717.pdf pp.217-220</t>
  </si>
  <si>
    <t>binding=FIX-MT361-015@v1; ssiId=97ef854b-3ead-5d4b-9391-38b77e720047@v1; applicabilityId=60c0909d-ab76-5fc8-9cc7-3ee3095e65e2@v1; rmaId=868ce878-74e3-5cfb-8da3-c7d5af5572aa@v1; ownNostroId=29f003aa-a315-598a-a71e-dddcfceac473; ownNostroVersion=1; expectedAccountReference=MT347-MT361-015-USD-001; Bank Service IDs only; currency=USD; bookingEntity=HK01; manual BIC/5x=null; route=DIRECT; fixture gap: Needs sequence-qualified isolated QA fixtures</t>
  </si>
  <si>
    <t>MT361-016</t>
  </si>
  <si>
    <t>K - Exchanges of Principal Payable by Party B / intermediary route</t>
  </si>
  <si>
    <t>K.53A=CITIUS33; K.56A=HSBCHKHH; K.57A=DEUTDEFF; role values must remain distinct</t>
  </si>
  <si>
    <t>binding=FIX-MT361-016@v1; ssiId=1dc8a2fb-c801-5d22-b80e-02c0db504fdc@v1; applicabilityId=c98e092a-5488-55d0-9567-78f51d8e14cc@v1; rmaId=511facc8-bcdb-5650-906c-c0ce47041d98@v1; ownNostroId=5495309c-1134-5ce3-b194-d035f2cf2bdd; ownNostroVersion=1; expectedAccountReference=MT347-MT361-016-USD-001; senderCorrespondentBankServiceId=BANK-SVC-CITIUS33; intermediaryBankServiceId=BANK-SVC-HSBCHKHH; receivingBankServiceId=BANK-SVC-DEUTDEFF; fixture gap: Positive intermediary fixture required</t>
  </si>
  <si>
    <t>MT361-017</t>
  </si>
  <si>
    <t>K - Exchanges of Principal Payable by Party B / mandatory role unavailable</t>
  </si>
  <si>
    <t>binding=FIX-MT361-017@v1; ssiId=43887968-b267-5b3a-b70d-04ad053fed3b@v1; applicabilityId=9adadd97-bef3-5638-b62a-262b069b60c8@v1; rmaId=932e96f3-7a85-50a4-a59f-30da1f043d26@v1; sequencePresent=true; source for mandatory 57a missing; no cross-role/sequence fallback; fixture gap: Governed source and error contract required</t>
  </si>
  <si>
    <t>MT361-018</t>
  </si>
  <si>
    <t>K - Exchanges of Principal Payable by Party B / invalid option</t>
  </si>
  <si>
    <t>candidate=K.53Z; allowed=A,D,J</t>
  </si>
  <si>
    <t>Reject K.53Z; allowed options=A,D,J</t>
  </si>
  <si>
    <t>binding=FIX-MT361-018@v1; ssiId=de5aaae8-ee8f-578a-82b9-b1c78c8da742@v1; applicabilityId=bdd68309-c89f-54db-98f8-b756a2ffa9c0@v1; rmaId=09013f68-925a-5fb9-adf6-18363830881c@v1; candidate=K.53Z; allowed=A,D,J; fixture gap: None</t>
  </si>
  <si>
    <t>MT361-019</t>
  </si>
  <si>
    <t>K - Exchanges of Principal Payable by Party B / option D provenance boundary</t>
  </si>
  <si>
    <t>requested=K.53D; only BIC snapshot exists; option-specific structured source absent</t>
  </si>
  <si>
    <t>binding=FIX-MT361-019@v1; ssiId=b8748d52-a303-5e2b-94df-328ffcd8d30a@v1; applicabilityId=19f0b408-7823-52f4-83a2-e5085b2c773d@v1; rmaId=f8e67136-2ec3-5e81-9d09-703a205cfc05@v1; requested=K.53D; only BIC snapshot exists; option-specific structured source absent; fixture gap: Add controlled option-D source</t>
  </si>
  <si>
    <t>MT361-020</t>
  </si>
  <si>
    <t>K - Exchanges of Principal Payable by Party B / 86a without 56a</t>
  </si>
  <si>
    <t>sequence=K;86a present;56a absent</t>
  </si>
  <si>
    <t>binding=FIX-MT361-020@v1; ssiId=a014e308-0a77-5f5e-9181-9a905059eff0@v1; applicabilityId=9cb39234-e183-5382-940c-54ec1322a566@v1; rmaId=024e5b56-4092-545b-8f0a-bf0b50caa46c@v1; sequence=K;86a present;56a absent; fixture gap: 86a output remains out of SSI scope</t>
  </si>
  <si>
    <t>MT361-021</t>
  </si>
  <si>
    <t>K - Exchanges of Principal Payable by Party B / 53a or 56a without 57a</t>
  </si>
  <si>
    <t>sequence=K;53a/56a present;57a absent</t>
  </si>
  <si>
    <t>binding=FIX-MT361-021@v1; ssiId=9913d391-6a45-5521-890b-b410f9b99570@v1; applicabilityId=4998fd4e-b923-59fc-b7e3-e75cc3b79a94@v1; rmaId=1689d115-40a0-5fb9-b933-c3b5d2af246d@v1; ownNostroId=831fcc8d-5d9a-5611-b89e-7f3f8d3d49ce; ownNostroVersion=1; expectedAccountReference=MT347-MT361-021-USD-001; sequence=K;53a/56a present;57a absent; fixture gap: None</t>
  </si>
  <si>
    <t>MT361-022</t>
  </si>
  <si>
    <t>L - Exchanges of Principal Payable by Party A / direct canonical route</t>
  </si>
  <si>
    <t>us3mb_20260717.pdf p.215; C13: 53a/56a require 57a in M/N; C14: 86a requires 56a - us3mb_20260717.pdf pp.217-220</t>
  </si>
  <si>
    <t>binding=FIX-MT361-022@v1; ssiId=94096ea2-b93c-5e4f-b9cb-dd84cd9bc285@v1; applicabilityId=67d5f90d-9639-5653-8573-ea6732fe07cb@v1; rmaId=7eaa9e96-5060-57fa-a53e-0684e9fd8765@v1; ownNostroId=ea883409-8d5b-5217-b054-1b3e4fa46f8e; ownNostroVersion=1; expectedAccountReference=MT347-MT361-022-USD-001; Bank Service IDs only; currency=USD; bookingEntity=HK01; manual BIC/5x=null; route=DIRECT; fixture gap: Needs sequence-qualified isolated QA fixtures</t>
  </si>
  <si>
    <t>MT361-023</t>
  </si>
  <si>
    <t>L - Exchanges of Principal Payable by Party A / intermediary route</t>
  </si>
  <si>
    <t>binding=FIX-MT361-023@v1; ssiId=871e8e8a-a96f-5c81-8749-028a278c3a1f@v1; applicabilityId=8af3a310-ba63-5a84-a87e-fb5463872ea7@v1; rmaId=fbd74cfd-eece-5432-9650-d1ad525f4ed7@v1; ownNostroId=63792c8c-abdd-5458-88b1-5bdee93164b7; ownNostroVersion=1; expectedAccountReference=MT347-MT361-023-USD-001; senderCorrespondentBankServiceId=BANK-SVC-CITIUS33; intermediaryBankServiceId=BANK-SVC-HSBCHKHH; receivingBankServiceId=BANK-SVC-DEUTDEFF; fixture gap: Positive intermediary fixture required</t>
  </si>
  <si>
    <t>MT361-024</t>
  </si>
  <si>
    <t>L - Exchanges of Principal Payable by Party A / mandatory role unavailable</t>
  </si>
  <si>
    <t>binding=FIX-MT361-024@v1; ssiId=7c65dc8d-87d8-5f06-b0c4-8a5b9e6e53a4@v1; applicabilityId=bb282c60-cfd7-597e-8e6d-e0aa999479b3@v1; rmaId=c35875a7-61a2-5437-a83a-50093e7b05a3@v1; sequencePresent=true; source for mandatory 57a missing; no cross-role/sequence fallback; fixture gap: Governed source and error contract required</t>
  </si>
  <si>
    <t>MT361-025</t>
  </si>
  <si>
    <t>L - Exchanges of Principal Payable by Party A / invalid option</t>
  </si>
  <si>
    <t>binding=FIX-MT361-025@v1; ssiId=a5612bff-aa76-54c3-8593-9c8f1f188b55@v1; applicabilityId=e5cf0989-7cef-550e-990f-8e4fb41962f1@v1; rmaId=589a0f73-afea-53ee-a28e-7be5093d5a63@v1; candidate=L.53Z; allowed=A,D,J; fixture gap: None</t>
  </si>
  <si>
    <t>MT361-026</t>
  </si>
  <si>
    <t>L - Exchanges of Principal Payable by Party A / option D provenance boundary</t>
  </si>
  <si>
    <t>binding=FIX-MT361-026@v1; ssiId=4d5a396d-4dc5-5425-b1ed-5514d05ed2da@v1; applicabilityId=1a81be28-4af4-5351-bb0a-3ad000140d57@v1; rmaId=88ec182e-a2d6-56b6-915b-079dc06ffc83@v1; requested=L.53D; only BIC snapshot exists; option-specific structured source absent; fixture gap: Add controlled option-D source</t>
  </si>
  <si>
    <t>MT361-027</t>
  </si>
  <si>
    <t>L - Exchanges of Principal Payable by Party A / 86a without 56a</t>
  </si>
  <si>
    <t>binding=FIX-MT361-027@v1; ssiId=a17a04b1-a80c-5869-86a8-b2445cac3572@v1; applicabilityId=724921c0-5a96-53f4-aa05-62440fe5bf08@v1; rmaId=15174de6-2983-5523-a79b-e375c89efb60@v1; sequence=L;86a present;56a absent; fixture gap: 86a output remains out of SSI scope</t>
  </si>
  <si>
    <t>MT361-028</t>
  </si>
  <si>
    <t>L - Exchanges of Principal Payable by Party A / 53a or 56a without 57a</t>
  </si>
  <si>
    <t>binding=FIX-MT361-028@v1; ssiId=d48b993a-ca6c-5059-bfe6-7e3e3d297faf@v1; applicabilityId=8068b387-38f1-529b-b86d-85da12c76384@v1; rmaId=9a20c42d-b697-5dd9-8fbc-a7adc5ab621e@v1; ownNostroId=40336278-5e46-5bc8-9b24-fc9dca69de38; ownNostroVersion=1; expectedAccountReference=MT347-MT361-028-USD-001; sequence=L;53a/56a present;57a absent; fixture gap: None</t>
  </si>
  <si>
    <t>MT361-029</t>
  </si>
  <si>
    <t>M - Additional Amounts Payable by Party B / direct canonical route</t>
  </si>
  <si>
    <t>us3mb_20260717.pdf p.216; C13: 53a/56a require 57a in M/N; C14: 86a requires 56a - us3mb_20260717.pdf pp.217-220</t>
  </si>
  <si>
    <t>binding=FIX-MT361-029@v1; ssiId=ae249bfb-31bd-5258-8051-1c5ec36503bc@v1; applicabilityId=935a7d87-e4f8-5cd0-b1b9-1b0f0fbb8823@v1; rmaId=da836be8-6259-54f7-8344-4ffab69320ed@v1; ownNostroId=22b9c52a-2ad7-5e73-8bac-48fdff6c9aaf; ownNostroVersion=1; expectedAccountReference=MT347-MT361-029-USD-001; Bank Service IDs only; currency=USD; bookingEntity=HK01; manual BIC/5x=null; route=DIRECT; fixture gap: Needs sequence-qualified isolated QA fixtures</t>
  </si>
  <si>
    <t>MT361-030</t>
  </si>
  <si>
    <t>M - Additional Amounts Payable by Party B / intermediary route</t>
  </si>
  <si>
    <t>binding=FIX-MT361-030@v1; ssiId=fd6cc2ba-0a1c-5db6-93b4-fb24e75aeedd@v1; applicabilityId=61c19501-2b72-5fc7-9440-f1d52e985e12@v1; rmaId=d33e9cfe-544e-56e1-88e8-b1760d698e56@v1; ownNostroId=8085b4c6-70ea-5e98-8bfb-3ed9673ad40c; ownNostroVersion=1; expectedAccountReference=MT347-MT361-030-USD-001; senderCorrespondentBankServiceId=BANK-SVC-CITIUS33; intermediaryBankServiceId=BANK-SVC-HSBCHKHH; receivingBankServiceId=BANK-SVC-DEUTDEFF; fixture gap: Positive intermediary fixture required</t>
  </si>
  <si>
    <t>MT361-031</t>
  </si>
  <si>
    <t>M - Additional Amounts Payable by Party B / optional route unavailable</t>
  </si>
  <si>
    <t>binding=FIX-MT361-031@v1; ssiId=05bdf777-08f5-5cd5-9434-24b25d19b58c@v1; applicabilityId=bf7e47c5-264d-567e-8a4d-45ad50d98b46@v1; rmaId=cf881642-f718-5dd9-9621-b466e18d10de@v1; no eligible SSI; all SSI-classified 5x roles in this sequence are optional; fixture gap: BA must lock API distinction</t>
  </si>
  <si>
    <t>MT361-032</t>
  </si>
  <si>
    <t>M - Additional Amounts Payable by Party B / invalid option</t>
  </si>
  <si>
    <t>binding=FIX-MT361-032@v1; ssiId=c0052b28-62a6-5095-bd7b-1d424fb48a11@v1; applicabilityId=d0eee46c-2cc3-52d6-9f83-99ab719994b2@v1; rmaId=d0d5a09d-3fcd-5326-8412-4fe1cea8caee@v1; candidate=M.53Z; allowed=A,D,J; fixture gap: None</t>
  </si>
  <si>
    <t>MT361-033</t>
  </si>
  <si>
    <t>M - Additional Amounts Payable by Party B / option D provenance boundary</t>
  </si>
  <si>
    <t>binding=FIX-MT361-033@v1; ssiId=17e0b297-7236-5d1f-b0ea-0641cca6929c@v1; applicabilityId=59e734fb-01d6-5ebd-9ada-ceccdf37949d@v1; rmaId=10124746-f7f3-5e5e-8823-f1fe43ff0de8@v1; requested=M.53D; only BIC snapshot exists; option-specific structured source absent; fixture gap: Add controlled option-D source</t>
  </si>
  <si>
    <t>MT361-034</t>
  </si>
  <si>
    <t>M - Additional Amounts Payable by Party B / 86a without 56a</t>
  </si>
  <si>
    <t>binding=FIX-MT361-034@v1; ssiId=c52409e1-a3f1-5e7a-9af8-e051db01fd20@v1; applicabilityId=e8fc09f4-22c2-56d7-9ef1-f05f06155f14@v1; rmaId=952e40ad-f988-5e07-a487-d8c5294e55ca@v1; sequence=M;86a present;56a absent; fixture gap: 86a output remains out of SSI scope</t>
  </si>
  <si>
    <t>MT361-035</t>
  </si>
  <si>
    <t>M - Additional Amounts Payable by Party B / 53a or 56a without 57a</t>
  </si>
  <si>
    <t>binding=FIX-MT361-035@v1; ssiId=399b4db4-73c2-5b1e-9aa6-3ca622fd7f84@v1; applicabilityId=7ee6fa8f-8d10-55bc-8281-f4301fef1aa5@v1; rmaId=ef8dd98b-8e54-569f-9661-53785bc55534@v1; ownNostroId=71985a68-60e0-52d8-9d7c-384df7e71964; ownNostroVersion=1; expectedAccountReference=MT347-MT361-035-USD-001; sequence=M;53a/56a present;57a absent; fixture gap: None</t>
  </si>
  <si>
    <t>MT361-036</t>
  </si>
  <si>
    <t>N - Additional Amounts Payable by Party A / direct canonical route</t>
  </si>
  <si>
    <t>N.53A=CITIUS33; N.57A=DEUTDEFF; 56a omitted/NOT_REQUIRED; no duplicate institution across roles</t>
  </si>
  <si>
    <t>binding=FIX-MT361-036@v1; ssiId=ee0d0c05-3bfb-5243-991a-4cca362e0f65@v1; applicabilityId=0107259f-436f-535f-9955-56264502ea49@v1; rmaId=41aacca9-b856-5c90-9227-dc67ef8228ef@v1; ownNostroId=20acadb3-cf17-5eb9-9b0d-f1a15588ba7d; ownNostroVersion=1; expectedAccountReference=MT347-MT361-036-USD-001; Bank Service IDs only; currency=USD; bookingEntity=HK01; manual BIC/5x=null; route=DIRECT; fixture gap: Needs sequence-qualified isolated QA fixtures</t>
  </si>
  <si>
    <t>MT361-037</t>
  </si>
  <si>
    <t>N - Additional Amounts Payable by Party A / intermediary route</t>
  </si>
  <si>
    <t>N.53A=CITIUS33; N.56A=HSBCHKHH; N.57A=DEUTDEFF; role values must remain distinct</t>
  </si>
  <si>
    <t>binding=FIX-MT361-037@v1; ssiId=fa4e99e4-a8bb-5215-97d5-cd4b2e1f03f5@v1; applicabilityId=655225f8-1f77-5cc4-912f-dff2e3dbc105@v1; rmaId=954a3787-bad6-532e-a572-15f20aba0ca4@v1; ownNostroId=3e9ed180-16fe-51df-9f81-c20aaec865f9; ownNostroVersion=1; expectedAccountReference=MT347-MT361-037-USD-001; senderCorrespondentBankServiceId=BANK-SVC-CITIUS33; intermediaryBankServiceId=BANK-SVC-HSBCHKHH; receivingBankServiceId=BANK-SVC-DEUTDEFF; fixture gap: Positive intermediary fixture required</t>
  </si>
  <si>
    <t>MT361-038</t>
  </si>
  <si>
    <t>N - Additional Amounts Payable by Party A / optional route unavailable</t>
  </si>
  <si>
    <t>binding=FIX-MT361-038@v1; ssiId=71b322f0-ca61-536b-82f0-de240f342066@v1; applicabilityId=83360be9-0485-598c-a812-9b09106d4b3f@v1; rmaId=10c16a81-22ff-5de0-89fd-1b3f1a59531b@v1; no eligible SSI; all SSI-classified 5x roles in this sequence are optional; fixture gap: BA must lock API distinction</t>
  </si>
  <si>
    <t>MT361-039</t>
  </si>
  <si>
    <t>N - Additional Amounts Payable by Party A / invalid option</t>
  </si>
  <si>
    <t>candidate=N.53Z; allowed=A,D,J</t>
  </si>
  <si>
    <t>Reject N.53Z; allowed options=A,D,J</t>
  </si>
  <si>
    <t>binding=FIX-MT361-039@v1; ssiId=be505d56-4649-58ac-9436-1cf34d22f42f@v1; applicabilityId=744e7840-6267-5623-a556-c5943f8d89a9@v1; rmaId=bc6740ab-77b6-57b0-a715-282024dc7cb3@v1; candidate=N.53Z; allowed=A,D,J; fixture gap: None</t>
  </si>
  <si>
    <t>MT361-040</t>
  </si>
  <si>
    <t>N - Additional Amounts Payable by Party A / option D provenance boundary</t>
  </si>
  <si>
    <t>requested=N.53D; only BIC snapshot exists; option-specific structured source absent</t>
  </si>
  <si>
    <t>binding=FIX-MT361-040@v1; ssiId=d8660484-8090-5c98-a14d-332d896fbf93@v1; applicabilityId=911edeb4-198a-516a-a67b-2497a8d75e39@v1; rmaId=d9a4fc70-72b6-5319-b715-0db306ad9cd5@v1; requested=N.53D; only BIC snapshot exists; option-specific structured source absent; fixture gap: Add controlled option-D source</t>
  </si>
  <si>
    <t>MT361-041</t>
  </si>
  <si>
    <t>N - Additional Amounts Payable by Party A / 86a without 56a</t>
  </si>
  <si>
    <t>sequence=N;86a present;56a absent</t>
  </si>
  <si>
    <t>binding=FIX-MT361-041@v1; ssiId=0a1326c9-6636-57d9-b3e5-a282d0c55f44@v1; applicabilityId=9832ae9f-6b3c-5c93-b4cb-8f57b1a4acab@v1; rmaId=a71f35f7-047c-5dbc-ae99-50a5b1a1cb32@v1; sequence=N;86a present;56a absent; fixture gap: 86a output remains out of SSI scope</t>
  </si>
  <si>
    <t>MT361-042</t>
  </si>
  <si>
    <t>N - Additional Amounts Payable by Party A / 53a or 56a without 57a</t>
  </si>
  <si>
    <t>sequence=N;53a/56a present;57a absent</t>
  </si>
  <si>
    <t>binding=FIX-MT361-042@v1; ssiId=b5885cfd-6fa1-57ec-b1b0-2607dabca450@v1; applicabilityId=ef2cff81-4e31-597c-9a8c-9b033c61137f@v1; rmaId=e7d84d84-9e64-5f61-8c6f-d15f69fa42b6@v1; ownNostroId=069aeb65-81b7-58ca-a365-a1d49e9d0546; ownNostroVersion=1; expectedAccountReference=MT347-MT361-042-USD-001; sequence=N;53a/56a present;57a absent; fixture gap: None</t>
  </si>
  <si>
    <t>MT362-001</t>
  </si>
  <si>
    <t>C - (Net) Amount(s) Payable by Party B / direct canonical route</t>
  </si>
  <si>
    <t>C.53A=CITIUS33; C.57A=DEUTDEFF; 56a omitted/NOT_REQUIRED; no duplicate institution across roles</t>
  </si>
  <si>
    <t>us3mb_20260717.pdf p.396; C4/C5 NET once/GROSS max three; C7: 86a requires 56a - us3mb_20260717.pdf pp.396-399</t>
  </si>
  <si>
    <t>binding=FIX-MT362-001@v1; ssiId=ef692079-55b9-58d3-bd31-345301ff0a33@v1; applicabilityId=bc6edf0c-e7c2-5362-aacb-0e7decca58ce@v1; rmaId=ba02c793-4326-509a-83a7-cf4618c06a9a@v1; ownNostroId=21b41053-9b0f-5f4b-890f-c96ef6bc95ee; ownNostroVersion=1; expectedAccountReference=MT347-MT362-001-USD-001; Bank Service IDs only; currency=USD; bookingEntity=HK01; manual BIC/5x=null; route=DIRECT; fixture gap: Needs sequence-qualified isolated QA fixtures</t>
  </si>
  <si>
    <t>MT362-002</t>
  </si>
  <si>
    <t>C - (Net) Amount(s) Payable by Party B / intermediary route</t>
  </si>
  <si>
    <t>C.53A=CITIUS33; C.56A=HSBCHKHH; C.57A=DEUTDEFF; role values must remain distinct</t>
  </si>
  <si>
    <t>binding=FIX-MT362-002@v1; ssiId=3e2e2ac3-f638-5290-890f-47df49cc5287@v1; applicabilityId=6eb67487-bf16-5c11-b4b6-0c2fac7c4904@v1; rmaId=92764d2b-c23f-5a37-96ff-5c8b8db08960@v1; ownNostroId=05d33025-9391-5c50-bd7c-1575091ee901; ownNostroVersion=1; expectedAccountReference=MT347-MT362-002-USD-001; senderCorrespondentBankServiceId=BANK-SVC-CITIUS33; intermediaryBankServiceId=BANK-SVC-HSBCHKHH; receivingBankServiceId=BANK-SVC-DEUTDEFF; fixture gap: Positive intermediary fixture required</t>
  </si>
  <si>
    <t>MT362-003</t>
  </si>
  <si>
    <t>C - (Net) Amount(s) Payable by Party B / mandatory role unavailable</t>
  </si>
  <si>
    <t>binding=FIX-MT362-003@v1; ssiId=7199cce8-e3f5-598d-a067-064f54d97236@v1; applicabilityId=e326d398-130f-5aa9-ae98-4b5537e77fcf@v1; rmaId=98c32541-34e8-52bd-a23b-395ea983af82@v1; sequencePresent=true; source for mandatory 57a missing; no cross-role/sequence fallback; fixture gap: Governed source and error contract required</t>
  </si>
  <si>
    <t>MT362-004</t>
  </si>
  <si>
    <t>C - (Net) Amount(s) Payable by Party B / invalid option</t>
  </si>
  <si>
    <t>binding=FIX-MT362-004@v1; ssiId=3f9841c5-17a3-59fa-a150-a2c68d390a1f@v1; applicabilityId=b6186bea-c613-5e70-83e0-cb20a3e3d773@v1; rmaId=0aa47d8f-9484-53e2-b2ad-dc16aabdc616@v1; candidate=C.53Z; allowed=A,D,J; fixture gap: None</t>
  </si>
  <si>
    <t>MT362-005</t>
  </si>
  <si>
    <t>C - (Net) Amount(s) Payable by Party B / option D provenance boundary</t>
  </si>
  <si>
    <t>binding=FIX-MT362-005@v1; ssiId=bd33027e-bb61-51ad-a1e7-59dec2e1d7da@v1; applicabilityId=73ed51eb-2a9b-581c-b898-d328284063f9@v1; rmaId=e7aaed04-069d-553b-a014-e7eca6d16af4@v1; requested=C.53D; only BIC snapshot exists; option-specific structured source absent; fixture gap: Add controlled option-D source</t>
  </si>
  <si>
    <t>MT362-006</t>
  </si>
  <si>
    <t>C - (Net) Amount(s) Payable by Party B / 86a without 56a</t>
  </si>
  <si>
    <t>binding=FIX-MT362-006@v1; ssiId=6397606b-43c8-56a9-9d31-afa505064150@v1; applicabilityId=5a4aa3c5-f6ef-5d00-a9ac-2b286fd22cdd@v1; rmaId=905b9547-eeac-588e-a5b5-a6a8650ef958@v1; sequence=C;86a present;56a absent; fixture gap: 86a output remains out of SSI scope</t>
  </si>
  <si>
    <t>MT362-007</t>
  </si>
  <si>
    <t>C - (Net) Amount(s) Payable by Party B / payment block occurrence boundary</t>
  </si>
  <si>
    <t>NET with two blocks or GROSS with four blocks</t>
  </si>
  <si>
    <t>Each occurrence resolved independently</t>
  </si>
  <si>
    <t>Reject NET&gt;1 (E50) or GROSS&gt;3 (E51)</t>
  </si>
  <si>
    <t>Error must retain occurrence index</t>
  </si>
  <si>
    <t>binding=FIX-MT362-007@v1; ssiId=526b546a-c1b6-5e81-b239-49fba2bf9e98@v1; applicabilityId=f5785df8-4dd1-5deb-bc2f-aa76e8bc2db6@v1; rmaId=69c21833-2cca-5c89-b296-226a6e02ff16@v1; NET with two blocks or GROSS with four blocks; fixture gap: Error must retain occurrence index</t>
  </si>
  <si>
    <t>MT362-008</t>
  </si>
  <si>
    <t>E - (Net) Amount(s) Payable by Party A / direct canonical route</t>
  </si>
  <si>
    <t>E.53A=CITIUS33; E.57A=DEUTDEFF; 56a omitted/NOT_REQUIRED; no duplicate institution across roles</t>
  </si>
  <si>
    <t>us3mb_20260717.pdf p.397; C4/C5 NET once/GROSS max three; C7: 86a requires 56a - us3mb_20260717.pdf pp.396-399</t>
  </si>
  <si>
    <t>binding=FIX-MT362-008@v1; ssiId=57856ae3-08e4-5ee5-9679-da9b6e993010@v1; applicabilityId=b4e6a606-b271-5ade-8579-6af2688378cc@v1; rmaId=bf68473f-3d3c-5b82-adca-77f3141eeaaa@v1; ownNostroId=5bdafe67-1b3c-5303-b976-8e58c58dcce9; ownNostroVersion=1; expectedAccountReference=MT347-MT362-008-USD-001; Bank Service IDs only; currency=USD; bookingEntity=HK01; manual BIC/5x=null; route=DIRECT; fixture gap: Needs sequence-qualified isolated QA fixtures</t>
  </si>
  <si>
    <t>MT362-009</t>
  </si>
  <si>
    <t>E - (Net) Amount(s) Payable by Party A / intermediary route</t>
  </si>
  <si>
    <t>E.53A=CITIUS33; E.56A=HSBCHKHH; E.57A=DEUTDEFF; role values must remain distinct</t>
  </si>
  <si>
    <t>binding=FIX-MT362-009@v1; ssiId=f5134dc0-5071-5c5c-ba4c-61ec45dd4fa8@v1; applicabilityId=0af76fd1-10f2-59d8-8179-7c6c53dcc5a6@v1; rmaId=4fed0c2d-8301-526a-97b1-7e78033953ce@v1; ownNostroId=572a5663-768a-5555-9f1d-9f95aa2a4edc; ownNostroVersion=1; expectedAccountReference=MT347-MT362-009-USD-001; senderCorrespondentBankServiceId=BANK-SVC-CITIUS33; intermediaryBankServiceId=BANK-SVC-HSBCHKHH; receivingBankServiceId=BANK-SVC-DEUTDEFF; fixture gap: Positive intermediary fixture required</t>
  </si>
  <si>
    <t>MT362-010</t>
  </si>
  <si>
    <t>E - (Net) Amount(s) Payable by Party A / mandatory role unavailable</t>
  </si>
  <si>
    <t>binding=FIX-MT362-010@v1; ssiId=e1afccac-e922-5441-9bc4-4a458cb5825a@v1; applicabilityId=8742a23d-e60a-5f55-a6b6-239fbffedf7b@v1; rmaId=5a80654b-b96f-5a3d-a4cf-ef6c81ce0c66@v1; sequencePresent=true; source for mandatory 57a missing; no cross-role/sequence fallback; fixture gap: Governed source and error contract required</t>
  </si>
  <si>
    <t>MT362-011</t>
  </si>
  <si>
    <t>E - (Net) Amount(s) Payable by Party A / invalid option</t>
  </si>
  <si>
    <t>binding=FIX-MT362-011@v1; ssiId=3860e54b-c6cc-5e25-a59a-22cc56cc61ba@v1; applicabilityId=a2ad5403-acb0-5a28-876a-d2d0532f1595@v1; rmaId=b6d59397-5b52-5daa-a598-9dd4c543c822@v1; candidate=E.53Z; allowed=A,D,J; fixture gap: None</t>
  </si>
  <si>
    <t>MT362-012</t>
  </si>
  <si>
    <t>E - (Net) Amount(s) Payable by Party A / option D provenance boundary</t>
  </si>
  <si>
    <t>binding=FIX-MT362-012@v1; ssiId=1bb64742-cf43-53d9-a8e8-9e5e0be96907@v1; applicabilityId=51a5bf39-5602-538d-9e78-41ee8f676dcd@v1; rmaId=bfe6c34d-2499-5291-ad08-d6a848977c53@v1; requested=E.53D; only BIC snapshot exists; option-specific structured source absent; fixture gap: Add controlled option-D source</t>
  </si>
  <si>
    <t>MT362-013</t>
  </si>
  <si>
    <t>E - (Net) Amount(s) Payable by Party A / 86a without 56a</t>
  </si>
  <si>
    <t>binding=FIX-MT362-013@v1; ssiId=45727e69-4da3-54eb-baf0-efcd91c0c1c2@v1; applicabilityId=6dd6af2f-e095-5c56-8ee7-6a7ae0b47236@v1; rmaId=a33a5d7a-ba17-5e95-af8c-53e3279049f9@v1; sequence=E;86a present;56a absent; fixture gap: 86a output remains out of SSI scope</t>
  </si>
  <si>
    <t>MT362-014</t>
  </si>
  <si>
    <t>E - (Net) Amount(s) Payable by Party A / payment block occurrence boundary</t>
  </si>
  <si>
    <t>binding=FIX-MT362-014@v1; ssiId=a76d0f43-6d67-585f-9910-03d720531fc0@v1; applicabilityId=134e3438-14cd-56b5-b902-e6f66fc3dbfb@v1; rmaId=3a986eda-3551-5f59-aea4-b6b94b038c15@v1; NET with two blocks or GROSS with four blocks; fixture gap: Error must retain occurrence index</t>
  </si>
  <si>
    <t>MT364-001</t>
  </si>
  <si>
    <t>L - Fee Payable by Party B / direct canonical route</t>
  </si>
  <si>
    <t>us3mb_20260717.pdf p.448; C3: 86a requires 56a (E35) - us3mb_20260717.pdf pp.447-449</t>
  </si>
  <si>
    <t>binding=FIX-MT364-001@v1; ssiId=f1c3da28-3c58-5485-934f-1b7cbec6e4b8@v1; applicabilityId=e347cf9f-d0db-5259-8d34-d7d9f7e9d413@v1; rmaId=513b2a16-5f54-5d46-a1ed-fff95b8ced76@v1; ownNostroId=a3152ffe-6cf5-545c-96cb-c1cac5452f82; ownNostroVersion=1; expectedAccountReference=MT347-MT364-001-USD-001; Bank Service IDs only; currency=USD; bookingEntity=HK01; manual BIC/5x=null; route=DIRECT; fixture gap: Needs sequence-qualified isolated QA fixtures</t>
  </si>
  <si>
    <t>MT364-002</t>
  </si>
  <si>
    <t>L - Fee Payable by Party B / intermediary route</t>
  </si>
  <si>
    <t>binding=FIX-MT364-002@v1; ssiId=b35f2c7d-8634-5ba7-a762-b63fe18a5185@v1; applicabilityId=0caa431d-3ba6-501a-aeb8-951dbfe5b115@v1; rmaId=61eafcec-38b5-5070-9ed0-68078e28a85e@v1; ownNostroId=e0c4beec-0cc5-5121-8490-eb3a91870bea; ownNostroVersion=1; expectedAccountReference=MT347-MT364-002-USD-001; senderCorrespondentBankServiceId=BANK-SVC-CITIUS33; intermediaryBankServiceId=BANK-SVC-HSBCHKHH; receivingBankServiceId=BANK-SVC-DEUTDEFF; fixture gap: Positive intermediary fixture required</t>
  </si>
  <si>
    <t>MT364-003</t>
  </si>
  <si>
    <t>L - Fee Payable by Party B / mandatory role unavailable</t>
  </si>
  <si>
    <t>binding=FIX-MT364-003@v1; ssiId=1e718568-4005-51a2-ae74-61ca1671d34e@v1; applicabilityId=ab4b209d-3b5c-5605-bf2a-137e5191832d@v1; rmaId=4774f782-2514-5d22-950b-ba46b4db2cb6@v1; sequencePresent=true; source for mandatory 57a missing; no cross-role/sequence fallback; fixture gap: Governed source and error contract required</t>
  </si>
  <si>
    <t>MT364-004</t>
  </si>
  <si>
    <t>L - Fee Payable by Party B / invalid option</t>
  </si>
  <si>
    <t>binding=FIX-MT364-004@v1; ssiId=1bb0b01e-804a-583b-9137-3b9af8c234e6@v1; applicabilityId=b7df7b05-a296-5bde-ab83-32edcf8fba09@v1; rmaId=74e601d2-0d3e-577e-8e95-b07c8a25184d@v1; candidate=L.53Z; allowed=A,D,J; fixture gap: None</t>
  </si>
  <si>
    <t>MT364-005</t>
  </si>
  <si>
    <t>L - Fee Payable by Party B / option D provenance boundary</t>
  </si>
  <si>
    <t>binding=FIX-MT364-005@v1; ssiId=602fc131-7b5a-5af2-a759-211c0aecffe3@v1; applicabilityId=10fe2037-5e30-590a-ab6c-995c3075d27c@v1; rmaId=677adf33-4834-56bf-ba67-52c2c35e08d0@v1; requested=L.53D; only BIC snapshot exists; option-specific structured source absent; fixture gap: Add controlled option-D source</t>
  </si>
  <si>
    <t>MT364-006</t>
  </si>
  <si>
    <t>L - Fee Payable by Party B / 86a without 56a</t>
  </si>
  <si>
    <t>binding=FIX-MT364-006@v1; ssiId=01439488-f3a9-57dd-85cd-38bba2f635d9@v1; applicabilityId=7d7f2bdf-587d-5070-afcb-165d30ad60d6@v1; rmaId=1dee7346-47d5-5bd2-8438-27240ef9dffc@v1; sequence=L;86a present;56a absent; fixture gap: 86a output remains out of SSI scope</t>
  </si>
  <si>
    <t>MT364-007</t>
  </si>
  <si>
    <t>M - Fee Payable by Party A / direct canonical route</t>
  </si>
  <si>
    <t>binding=FIX-MT364-007@v1; ssiId=162e5924-ac7c-5b0c-8bd9-e001f11782b2@v1; applicabilityId=e6979157-1eee-5ec3-982b-99e0cdaf23aa@v1; rmaId=6aa926be-5c24-57e9-bb10-8073d43082b3@v1; ownNostroId=3133a89b-fd75-523d-a9db-38793dc21038; ownNostroVersion=1; expectedAccountReference=MT347-MT364-007-USD-001; Bank Service IDs only; currency=USD; bookingEntity=HK01; manual BIC/5x=null; route=DIRECT; fixture gap: Needs sequence-qualified isolated QA fixtures</t>
  </si>
  <si>
    <t>MT364-008</t>
  </si>
  <si>
    <t>M - Fee Payable by Party A / intermediary route</t>
  </si>
  <si>
    <t>binding=FIX-MT364-008@v1; ssiId=72011a6a-c2d3-56a7-b51a-637cdb1c0a66@v1; applicabilityId=e2476f95-15b9-5d03-bb71-0c65b6728657@v1; rmaId=27e5901f-496c-5b28-8906-171725e08fb1@v1; ownNostroId=a896a468-52d0-5a53-9ea9-e856d2688941; ownNostroVersion=1; expectedAccountReference=MT347-MT364-008-USD-001; senderCorrespondentBankServiceId=BANK-SVC-CITIUS33; intermediaryBankServiceId=BANK-SVC-HSBCHKHH; receivingBankServiceId=BANK-SVC-DEUTDEFF; fixture gap: Positive intermediary fixture required</t>
  </si>
  <si>
    <t>MT364-009</t>
  </si>
  <si>
    <t>M - Fee Payable by Party A / mandatory role unavailable</t>
  </si>
  <si>
    <t>binding=FIX-MT364-009@v1; ssiId=ffabaf8f-85ae-54a2-ab68-d879cf303b81@v1; applicabilityId=40ca6807-e74f-5db1-9a76-162d67f34ecf@v1; rmaId=7a8ee4c8-f92e-5353-a111-de2b09b3614f@v1; sequencePresent=true; source for mandatory 57a missing; no cross-role/sequence fallback; fixture gap: Governed source and error contract required</t>
  </si>
  <si>
    <t>MT364-010</t>
  </si>
  <si>
    <t>M - Fee Payable by Party A / invalid option</t>
  </si>
  <si>
    <t>binding=FIX-MT364-010@v1; ssiId=a2e8838a-37fc-59f6-9312-29f983609f6b@v1; applicabilityId=5dff9521-1613-56c8-9477-9e2783066a51@v1; rmaId=f44e7172-8445-5556-a7b1-0dbc2b80f8c3@v1; candidate=M.53Z; allowed=A,D,J; fixture gap: None</t>
  </si>
  <si>
    <t>MT364-011</t>
  </si>
  <si>
    <t>M - Fee Payable by Party A / option D provenance boundary</t>
  </si>
  <si>
    <t>binding=FIX-MT364-011@v1; ssiId=877ae68a-e573-5990-97ad-741c7336722e@v1; applicabilityId=33cf90b1-8872-5fcb-9ce2-7f3e61de4f17@v1; rmaId=67b51db6-0606-54a1-82dc-4a2253582fd9@v1; requested=M.53D; only BIC snapshot exists; option-specific structured source absent; fixture gap: Add controlled option-D source</t>
  </si>
  <si>
    <t>MT364-012</t>
  </si>
  <si>
    <t>M - Fee Payable by Party A / 86a without 56a</t>
  </si>
  <si>
    <t>binding=FIX-MT364-012@v1; ssiId=d3f5d838-429b-5d0c-8c3c-42a4ca2ead83@v1; applicabilityId=c132eae6-daf4-5b8f-aa1a-0598000e5b12@v1; rmaId=10c905e1-1dee-5d1d-a68c-6fd10d769bb2@v1; sequence=M;86a present;56a absent; fixture gap: 86a output remains out of SSI scope</t>
  </si>
  <si>
    <t>MT365-001</t>
  </si>
  <si>
    <t>J - Re-exchange of Principal Payable by Party B / direct canonical route</t>
  </si>
  <si>
    <t>J.53A=CITIUS33; J.57A=DEUTDEFF; 56a omitted/NOT_REQUIRED; no duplicate institution across roles</t>
  </si>
  <si>
    <t>us3mb_20260717.pdf p.490; C3: 86a requires 56a (E35) - us3mb_20260717.pdf pp.490-492</t>
  </si>
  <si>
    <t>binding=FIX-MT365-001@v1; ssiId=315f0b14-a99e-55f2-b361-fc1ec8f1a238@v1; applicabilityId=e09f0a12-b711-55b9-9a48-866dbc961381@v1; rmaId=3be70bd6-f6d1-5748-8241-3a6ec1e918a2@v1; ownNostroId=a15891b0-c430-5585-bec9-233a079cceda; ownNostroVersion=1; expectedAccountReference=MT347-MT365-001-USD-001; Bank Service IDs only; currency=USD; bookingEntity=HK01; manual BIC/5x=null; route=DIRECT; fixture gap: Needs sequence-qualified isolated QA fixtures</t>
  </si>
  <si>
    <t>MT365-002</t>
  </si>
  <si>
    <t>J - Re-exchange of Principal Payable by Party B / intermediary route</t>
  </si>
  <si>
    <t>J.53A=CITIUS33; J.56A=HSBCHKHH; J.57A=DEUTDEFF; role values must remain distinct</t>
  </si>
  <si>
    <t>binding=FIX-MT365-002@v1; ssiId=997cf472-0b25-54e6-9a80-094def2df519@v1; applicabilityId=a147b26d-eb64-5fea-b231-1dc249d9b8b2@v1; rmaId=1d5a75b7-9ade-596b-935e-16027ef708c1@v1; ownNostroId=b69d012e-0353-5ca4-ac54-f7e145d2d3a0; ownNostroVersion=1; expectedAccountReference=MT347-MT365-002-USD-001; senderCorrespondentBankServiceId=BANK-SVC-CITIUS33; intermediaryBankServiceId=BANK-SVC-HSBCHKHH; receivingBankServiceId=BANK-SVC-DEUTDEFF; fixture gap: Positive intermediary fixture required</t>
  </si>
  <si>
    <t>MT365-003</t>
  </si>
  <si>
    <t>J - Re-exchange of Principal Payable by Party B / mandatory role unavailable</t>
  </si>
  <si>
    <t>binding=FIX-MT365-003@v1; ssiId=2446f062-b3ad-5256-8424-bb96282807b6@v1; applicabilityId=502eaa76-56e5-5866-90c6-7c6552adb92a@v1; rmaId=4086c6bb-d34e-583d-8383-2dc5eaff89b5@v1; sequencePresent=true; source for mandatory 57a missing; no cross-role/sequence fallback; fixture gap: Governed source and error contract required</t>
  </si>
  <si>
    <t>MT365-004</t>
  </si>
  <si>
    <t>J - Re-exchange of Principal Payable by Party B / invalid option</t>
  </si>
  <si>
    <t>candidate=J.53Z; allowed=A,D,J</t>
  </si>
  <si>
    <t>Reject J.53Z; allowed options=A,D,J</t>
  </si>
  <si>
    <t>binding=FIX-MT365-004@v1; ssiId=c6362d78-909d-5aab-b6e5-bf3d3317f148@v1; applicabilityId=3a144b5a-aa58-543b-9f77-629352f761a8@v1; rmaId=a3e3b5d5-d859-5270-be5a-c5bc4b525151@v1; candidate=J.53Z; allowed=A,D,J; fixture gap: None</t>
  </si>
  <si>
    <t>MT365-005</t>
  </si>
  <si>
    <t>J - Re-exchange of Principal Payable by Party B / option D provenance boundary</t>
  </si>
  <si>
    <t>requested=J.53D; only BIC snapshot exists; option-specific structured source absent</t>
  </si>
  <si>
    <t>binding=FIX-MT365-005@v1; ssiId=be277a3e-71c8-55f7-bd1e-e60dfbe5b9dc@v1; applicabilityId=38e3ced6-0b21-5bc5-8cbd-c88ae16e28db@v1; rmaId=4e7a862e-d765-5426-8ff1-c6a8858a4845@v1; requested=J.53D; only BIC snapshot exists; option-specific structured source absent; fixture gap: Add controlled option-D source</t>
  </si>
  <si>
    <t>MT365-006</t>
  </si>
  <si>
    <t>J - Re-exchange of Principal Payable by Party B / 86a without 56a</t>
  </si>
  <si>
    <t>sequence=J;86a present;56a absent</t>
  </si>
  <si>
    <t>binding=FIX-MT365-006@v1; ssiId=57acf0fd-a3d4-5151-8f02-c19a244df332@v1; applicabilityId=66b7a3e4-ba03-5097-9ddb-034e9c416eec@v1; rmaId=34caa4c3-f5e0-5ce9-9961-616b446dd834@v1; sequence=J;86a present;56a absent; fixture gap: 86a output remains out of SSI scope</t>
  </si>
  <si>
    <t>MT365-007</t>
  </si>
  <si>
    <t>K - Re-exchange of Principal Payable by Party A / direct canonical route</t>
  </si>
  <si>
    <t>binding=FIX-MT365-007@v1; ssiId=a03c111d-084b-588e-b2b7-fea5a91e5970@v1; applicabilityId=2270b5a3-f76a-5a94-8a13-ef031d6532b7@v1; rmaId=b2474bbe-47e8-5e53-b0d4-79e269373aad@v1; ownNostroId=a5c90eaf-0e82-5c50-ab32-defa4f39d978; ownNostroVersion=1; expectedAccountReference=MT347-MT365-007-USD-001; Bank Service IDs only; currency=USD; bookingEntity=HK01; manual BIC/5x=null; route=DIRECT; fixture gap: Needs sequence-qualified isolated QA fixtures</t>
  </si>
  <si>
    <t>MT365-008</t>
  </si>
  <si>
    <t>K - Re-exchange of Principal Payable by Party A / intermediary route</t>
  </si>
  <si>
    <t>binding=FIX-MT365-008@v1; ssiId=4510d277-e548-5d64-ae76-2dae0701e123@v1; applicabilityId=52349145-3e3d-5740-ad61-dbdc866f21bb@v1; rmaId=4c524062-5e9a-5f62-a1a9-118d38e56b9b@v1; ownNostroId=33c5a228-bf36-5f09-acaa-757531093237; ownNostroVersion=1; expectedAccountReference=MT347-MT365-008-USD-001; senderCorrespondentBankServiceId=BANK-SVC-CITIUS33; intermediaryBankServiceId=BANK-SVC-HSBCHKHH; receivingBankServiceId=BANK-SVC-DEUTDEFF; fixture gap: Positive intermediary fixture required</t>
  </si>
  <si>
    <t>MT365-009</t>
  </si>
  <si>
    <t>K - Re-exchange of Principal Payable by Party A / mandatory role unavailable</t>
  </si>
  <si>
    <t>binding=FIX-MT365-009@v1; ssiId=b62b6a03-6cfa-5be5-8ca9-672e2a4bfb19@v1; applicabilityId=e4e06f51-1181-5fd8-a43b-8c388490796b@v1; rmaId=bbbf489b-f78f-5020-8e6b-9a384172a3f9@v1; sequencePresent=true; source for mandatory 57a missing; no cross-role/sequence fallback; fixture gap: Governed source and error contract required</t>
  </si>
  <si>
    <t>MT365-010</t>
  </si>
  <si>
    <t>K - Re-exchange of Principal Payable by Party A / invalid option</t>
  </si>
  <si>
    <t>binding=FIX-MT365-010@v1; ssiId=deb834a0-e585-5065-83c0-71f88aba8c27@v1; applicabilityId=8cfcae83-21ff-55f7-93af-d088810faa0f@v1; rmaId=88e7f7b1-a2b5-5547-bd1c-49efd5844fe0@v1; candidate=K.53Z; allowed=A,D,J; fixture gap: None</t>
  </si>
  <si>
    <t>MT365-011</t>
  </si>
  <si>
    <t>K - Re-exchange of Principal Payable by Party A / option D provenance boundary</t>
  </si>
  <si>
    <t>binding=FIX-MT365-011@v1; ssiId=28d1f2c0-988f-5412-b159-a7e08add2421@v1; applicabilityId=32e7080c-9fa4-5161-a574-22452c1ffe1a@v1; rmaId=4924fe26-75ae-5d3b-b48d-2a82a40690eb@v1; requested=K.53D; only BIC snapshot exists; option-specific structured source absent; fixture gap: Add controlled option-D source</t>
  </si>
  <si>
    <t>MT365-012</t>
  </si>
  <si>
    <t>K - Re-exchange of Principal Payable by Party A / 86a without 56a</t>
  </si>
  <si>
    <t>binding=FIX-MT365-012@v1; ssiId=19b030ee-9bcf-5d0b-a79d-8650531cbefc@v1; applicabilityId=6b3e11f5-323a-50c0-9196-eb04a7a8fb6d@v1; rmaId=497ff345-7bb6-5e96-ba4c-037b9dfec939@v1; sequence=K;86a present;56a absent; fixture gap: 86a output remains out of SSI scope</t>
  </si>
  <si>
    <t>MT365-013</t>
  </si>
  <si>
    <t>us3mb_20260717.pdf p.490; us3mb_20260717.pdf p.491; C3: 86a requires 56a (E35) - us3mb_20260717.pdf pp.490-492</t>
  </si>
  <si>
    <t>binding=FIX-MT365-013@v1; ssiId=e461f43e-37ae-5d5e-b8fd-86690b5388e2@v1; applicabilityId=9ba7ff4b-cce8-554c-b213-e64bd42d550d@v1; rmaId=c89be6c6-2c57-5b7b-a765-561c0437e8e9@v1; ownNostroId=dd6a8495-ea3e-566e-927e-2aa075090956; ownNostroVersion=1; expectedAccountReference=MT347-MT365-013-USD-001; Bank Service IDs only; currency=USD; bookingEntity=HK01; manual BIC/5x=null; route=DIRECT; fixture gap: Needs sequence-qualified isolated QA fixtures</t>
  </si>
  <si>
    <t>MT365-014</t>
  </si>
  <si>
    <t>binding=FIX-MT365-014@v1; ssiId=8a7f7447-c15a-5394-9168-13e2e9f91c4c@v1; applicabilityId=dbc514af-6b23-5b12-9808-8e13b6da74ab@v1; rmaId=91db5707-e516-5530-9620-a485514966d9@v1; ownNostroId=9e7b0e95-5c92-564a-bffd-fe939dfd7a99; ownNostroVersion=1; expectedAccountReference=MT347-MT365-014-USD-001; senderCorrespondentBankServiceId=BANK-SVC-CITIUS33; intermediaryBankServiceId=BANK-SVC-HSBCHKHH; receivingBankServiceId=BANK-SVC-DEUTDEFF; fixture gap: Positive intermediary fixture required</t>
  </si>
  <si>
    <t>MT365-015</t>
  </si>
  <si>
    <t>binding=FIX-MT365-015@v1; ssiId=659b4387-80a4-5beb-9f2b-c407bb91ccaa@v1; applicabilityId=f89d9291-b95d-5756-869c-29bed5db7c24@v1; rmaId=9d7d9896-a10f-5aca-b9d7-5d14a3bb819e@v1; sequencePresent=true; source for mandatory 57a missing; no cross-role/sequence fallback; fixture gap: Governed source and error contract required</t>
  </si>
  <si>
    <t>MT365-016</t>
  </si>
  <si>
    <t>binding=FIX-MT365-016@v1; ssiId=83a10e2c-2f35-5216-992c-b908ab57556c@v1; applicabilityId=dc698b9e-f3e9-5b5b-bffe-84c7baaf234d@v1; rmaId=74054e7a-0457-5ea1-9d67-368a99c391d7@v1; candidate=L.53Z; allowed=A,D,J; fixture gap: None</t>
  </si>
  <si>
    <t>MT365-017</t>
  </si>
  <si>
    <t>binding=FIX-MT365-017@v1; ssiId=a7f51cf4-6ca8-56b1-9bc3-cd35ca2fa0f3@v1; applicabilityId=6c712d04-0b4b-588e-afde-eac6bdb271d3@v1; rmaId=8c92ccab-3764-58a9-9945-717df83df63e@v1; requested=L.53D; only BIC snapshot exists; option-specific structured source absent; fixture gap: Add controlled option-D source</t>
  </si>
  <si>
    <t>MT365-018</t>
  </si>
  <si>
    <t>binding=FIX-MT365-018@v1; ssiId=52fdac61-0dfe-5a3b-8bef-ba17db0ce8f2@v1; applicabilityId=428ac764-d9ad-538d-8249-9fc6b947dde6@v1; rmaId=e681734d-2c33-5a8d-b94c-1077bd388847@v1; sequence=L;86a present;56a absent; fixture gap: 86a output remains out of SSI scope</t>
  </si>
  <si>
    <t>MT365-019</t>
  </si>
  <si>
    <t>us3mb_20260717.pdf p.491; C3: 86a requires 56a (E35) - us3mb_20260717.pdf pp.490-492</t>
  </si>
  <si>
    <t>binding=FIX-MT365-019@v1; ssiId=a7da7061-0c32-51da-8f95-c17f04f73eba@v1; applicabilityId=c116bd7b-ed05-518c-a7e7-1d2bea0f49f2@v1; rmaId=f3492512-ffd9-5419-a797-1cf8bc1b7ad8@v1; ownNostroId=0ef18201-1980-545b-90a1-95e342973fa6; ownNostroVersion=1; expectedAccountReference=MT347-MT365-019-USD-001; Bank Service IDs only; currency=USD; bookingEntity=HK01; manual BIC/5x=null; route=DIRECT; fixture gap: Needs sequence-qualified isolated QA fixtures</t>
  </si>
  <si>
    <t>MT365-020</t>
  </si>
  <si>
    <t>binding=FIX-MT365-020@v1; ssiId=a11392a6-4538-53c6-977f-6c2301606aff@v1; applicabilityId=03699d96-7d40-5634-b9d4-fd414d672d2d@v1; rmaId=25511c3b-3d1f-507a-af24-4e86964cd658@v1; ownNostroId=30bb5f6f-8ec3-570d-b900-28feb7622342; ownNostroVersion=1; expectedAccountReference=MT347-MT365-020-USD-001; senderCorrespondentBankServiceId=BANK-SVC-CITIUS33; intermediaryBankServiceId=BANK-SVC-HSBCHKHH; receivingBankServiceId=BANK-SVC-DEUTDEFF; fixture gap: Positive intermediary fixture required</t>
  </si>
  <si>
    <t>MT365-021</t>
  </si>
  <si>
    <t>binding=FIX-MT365-021@v1; ssiId=fa25fee2-7984-534e-8607-a92e1c693e0d@v1; applicabilityId=a04a8f03-bb89-5c8b-9ac5-13dfd7a8eb0e@v1; rmaId=4c9b527c-2efa-5030-bc9f-ce6c0302f4d5@v1; sequencePresent=true; source for mandatory 57a missing; no cross-role/sequence fallback; fixture gap: Governed source and error contract required</t>
  </si>
  <si>
    <t>MT365-022</t>
  </si>
  <si>
    <t>binding=FIX-MT365-022@v1; ssiId=f96db86c-c9d9-51b6-96b6-a139e48d8829@v1; applicabilityId=674b3dfd-98de-52b2-a5a3-a17d89afe3a7@v1; rmaId=f1982add-c3ab-5a19-a3d7-32ba90f0755b@v1; candidate=M.53Z; allowed=A,D,J; fixture gap: None</t>
  </si>
  <si>
    <t>MT365-023</t>
  </si>
  <si>
    <t>binding=FIX-MT365-023@v1; ssiId=9c82f6fa-e06d-59a3-950e-bda5b532005f@v1; applicabilityId=ede726ef-df9d-52e3-8f96-3136f1e59765@v1; rmaId=51fedda7-b144-5cd7-b981-155eb0507f98@v1; requested=M.53D; only BIC snapshot exists; option-specific structured source absent; fixture gap: Add controlled option-D source</t>
  </si>
  <si>
    <t>MT365-024</t>
  </si>
  <si>
    <t>binding=FIX-MT365-024@v1; ssiId=74d610f3-c8d0-5923-ab90-4d2fe7465caf@v1; applicabilityId=eadfebd5-f1b2-557c-ab70-d0520a06ecbc@v1; rmaId=41199439-e8c1-5d6a-86f7-4187e165689d@v1; sequence=M;86a present;56a absent; fixture gap: 86a output remains out of SSI scope</t>
  </si>
  <si>
    <t>MT400-001</t>
  </si>
  <si>
    <t>MESSAGE - Message / direct canonical route</t>
  </si>
  <si>
    <t>53a=OWN_SSI / NOSTRO; 54a=COUNTERPARTY_SSI / governed bank-account relationship; 57a=COUNTERPARTY_SSI / governed bank-account relationship</t>
  </si>
  <si>
    <t>53A=CITIUS33; 54A=BNPAFRPP; 57A=DEUTDEFF; 56a omitted/NOT_REQUIRED; no duplicate institution across roles</t>
  </si>
  <si>
    <t>us4m_20260717.pdf p.12; C1: 57a only if both 53a and 54a present (C11) - us4m_20260717.pdf pp.12-13</t>
  </si>
  <si>
    <t>binding=FIX-MT400-001@v1; ssiId=9598419b-fc09-51c3-8f44-09ca0986151a@v1; applicabilityId=151d56c2-8bbe-5fac-b87b-cb6521b78708@v1; rmaId=71139eb6-53d7-5736-bb8d-2fa77487be2c@v1; ownNostroId=03ae06bd-aab5-56fd-be22-80f26ca29cbf; ownNostroVersion=1; expectedAccountReference=MT347-MT400-001-USD-001; Bank Service IDs only; currency=USD; bookingEntity=HK01; manual BIC/5x=null; route=DIRECT; fixture gap: Needs sequence-qualified isolated QA fixtures</t>
  </si>
  <si>
    <t>MT400-002</t>
  </si>
  <si>
    <t>MESSAGE - Message / optional route unavailable</t>
  </si>
  <si>
    <t>binding=FIX-MT400-002@v1; ssiId=2abe03db-dc96-531e-ab8e-fb753fbaedad@v1; applicabilityId=cb26a556-6494-5bdc-9bbd-963df07b79fa@v1; rmaId=47692b3d-8a65-5a43-8dcf-f1c2b2bbf39e@v1; no eligible SSI; all SSI-classified 5x roles in this sequence are optional; fixture gap: BA must lock API distinction</t>
  </si>
  <si>
    <t>MT400-003</t>
  </si>
  <si>
    <t>MESSAGE - Message / invalid option</t>
  </si>
  <si>
    <t>candidate=53Z; allowed=A,B,D</t>
  </si>
  <si>
    <t>Reject 53Z; allowed options=A,B,D</t>
  </si>
  <si>
    <t>binding=FIX-MT400-003@v1; ssiId=d09806b5-0559-5249-877c-860c87bee40d@v1; applicabilityId=004a2b4b-41be-5105-897a-61e94a568aa4@v1; rmaId=010544e4-bee5-54a8-8594-c5b2175659f6@v1; candidate=53Z; allowed=A,B,D; fixture gap: None</t>
  </si>
  <si>
    <t>MT400-004</t>
  </si>
  <si>
    <t>MESSAGE - Message / option B provenance boundary</t>
  </si>
  <si>
    <t>requested=53B; only BIC snapshot exists; option-specific structured source absent</t>
  </si>
  <si>
    <t>53B must have controlled option-specific source</t>
  </si>
  <si>
    <t>Option B is profile-valid but must not be synthesized from BIC/free text</t>
  </si>
  <si>
    <t>Add controlled option-B source</t>
  </si>
  <si>
    <t>binding=FIX-MT400-004@v1; ssiId=d9146149-8b9a-5f6e-ba05-d8df92f63467@v1; applicabilityId=699424c4-a90e-5b83-ac72-fef0bef83d8f@v1; rmaId=56f9dbda-beb0-5d75-9d62-51c154207c7d@v1; requested=53B; only BIC snapshot exists; option-specific structured source absent; fixture gap: Add controlled option-B source</t>
  </si>
  <si>
    <t>MT730-001</t>
  </si>
  <si>
    <t>57a=COUNTERPARTY_SSI / governed bank-account relationship</t>
  </si>
  <si>
    <t>57A=DEUTDEFF; 56a omitted/NOT_REQUIRED; no duplicate institution across roles</t>
  </si>
  <si>
    <t>us7m_20260717.pdf p.177; C1 25 XOR 57a; C2 32D excludes 57a - us7m_20260717.pdf p.177</t>
  </si>
  <si>
    <t>binding=FIX-MT730-001@v1; ssiId=195c497c-0b65-5e47-a8d2-ea828dfa50eb@v1; applicabilityId=2b0f4e36-29d0-50a4-8a32-7d4af8bdbe87@v1; rmaId=c38e2a6e-6944-59ba-a4c5-418a82dd4754@v1; Bank Service IDs only; currency=USD; bookingEntity=HK01; manual BIC/5x=null; route=DIRECT; fixture gap: Needs sequence-qualified isolated QA fixtures</t>
  </si>
  <si>
    <t>MT730-002</t>
  </si>
  <si>
    <t>binding=FIX-MT730-002@v1; ssiId=eeea0f5e-dfdf-5159-82bc-3938110e9d2a@v1; applicabilityId=76cbda2a-38f4-510c-950b-55e88e25583d@v1; rmaId=ed9d9090-89eb-574c-bea3-beab47cb2d17@v1; no eligible SSI; all SSI-classified 5x roles in this sequence are optional; fixture gap: BA must lock API distinction</t>
  </si>
  <si>
    <t>MT730-003</t>
  </si>
  <si>
    <t>candidate=57Z; allowed=A,D</t>
  </si>
  <si>
    <t>Reject 57Z; allowed options=A,D</t>
  </si>
  <si>
    <t>binding=FIX-MT730-003@v1; ssiId=d28737c0-32d7-5ae4-8180-5bad23fcd34b@v1; applicabilityId=03a2dcd1-f03e-5d67-8f29-6a92e47edc0a@v1; rmaId=f0b875ba-e6dc-5c84-8eb3-64e0f63027e5@v1; candidate=57Z; allowed=A,D; fixture gap: None</t>
  </si>
  <si>
    <t>MT730-004</t>
  </si>
  <si>
    <t>MESSAGE - Message / option D provenance boundary</t>
  </si>
  <si>
    <t>requested=57D; only BIC snapshot exists; option-specific structured source absent</t>
  </si>
  <si>
    <t>57D must have controlled option-specific source</t>
  </si>
  <si>
    <t>binding=FIX-MT730-004@v1; ssiId=3051147e-5a20-52e4-939d-ad1399d38aa8@v1; applicabilityId=594644ec-f2b0-5aeb-a85a-48f570a5f512@v1; rmaId=49fe5d57-095e-5fc6-a6c9-7e804247c203@v1; requested=57D; only BIC snapshot exists; option-specific structured source absent; fixture gap: Add controlled option-D source</t>
  </si>
  <si>
    <t>MT734-001</t>
  </si>
  <si>
    <t>us7m_20260717.pdf p.187; No 5x-specific message-level NVR - us7m_20260717.pdf p.187</t>
  </si>
  <si>
    <t>binding=FIX-MT734-001@v1; ssiId=af158f2b-10d4-5722-960b-1efc99494d96@v1; applicabilityId=0fa89e51-efc7-542d-b28b-d35722db93e3@v1; rmaId=ec7f53a6-9b25-5b9b-9bb6-b49eec61a5e1@v1; Bank Service IDs only; currency=USD; bookingEntity=HK01; manual BIC/5x=null; route=DIRECT; fixture gap: Needs sequence-qualified isolated QA fixtures</t>
  </si>
  <si>
    <t>MT734-002</t>
  </si>
  <si>
    <t>binding=FIX-MT734-002@v1; ssiId=d982c1cc-2470-50dc-a49c-2763425d9d35@v1; applicabilityId=a3202b60-d726-5d68-96c8-d99b2066de3a@v1; rmaId=114dc91f-8f29-51d0-9415-1fe265bc16c0@v1; no eligible SSI; all SSI-classified 5x roles in this sequence are optional; fixture gap: BA must lock API distinction</t>
  </si>
  <si>
    <t>MT734-003</t>
  </si>
  <si>
    <t>candidate=57Z; allowed=A,B,D</t>
  </si>
  <si>
    <t>Reject 57Z; allowed options=A,B,D</t>
  </si>
  <si>
    <t>binding=FIX-MT734-003@v1; ssiId=bad4347b-ce1d-52b9-bd19-56f25b1294a8@v1; applicabilityId=447d98eb-1d8b-5aba-8a26-343b12b3d85e@v1; rmaId=57aea603-357a-5832-a189-a0d40b9b4a1f@v1; candidate=57Z; allowed=A,B,D; fixture gap: None</t>
  </si>
  <si>
    <t>MT734-004</t>
  </si>
  <si>
    <t>requested=57B; only BIC snapshot exists; option-specific structured source absent</t>
  </si>
  <si>
    <t>57B must have controlled option-specific source</t>
  </si>
  <si>
    <t>binding=FIX-MT734-004@v1; ssiId=29ca672e-5918-52b1-aaa1-4b665b6426c8@v1; applicabilityId=ae34cd26-40b2-5662-8396-23892ca61c31@v1; rmaId=09412e18-e40b-5e67-b3e6-f10e63e61699@v1; requested=57B; only BIC snapshot exists; option-specific structured source absent; fixture gap: Add controlled option-B source</t>
  </si>
  <si>
    <t>MT742-001</t>
  </si>
  <si>
    <t>us7m_20260717.pdf p.215; No message-level NVR - us7m_20260717.pdf p.215</t>
  </si>
  <si>
    <t>binding=FIX-MT742-001@v1; ssiId=11ea2c9e-fd05-5c52-9551-84dfe024c71d@v1; applicabilityId=3c4fe08c-e807-5983-bd64-b00d2da4abbe@v1; rmaId=0509972d-7912-5306-9c5c-231d63a706b2@v1; Bank Service IDs only; currency=USD; bookingEntity=HK01; manual BIC/5x=null; route=DIRECT; fixture gap: Needs sequence-qualified isolated QA fixtures</t>
  </si>
  <si>
    <t>MT742-002</t>
  </si>
  <si>
    <t>binding=FIX-MT742-002@v1; ssiId=6b9bf33a-7327-5fa3-86b8-c9cb317c3199@v1; applicabilityId=00d79da1-fe9a-56c2-ad9f-9b468c009926@v1; rmaId=eded4775-760a-575c-9a43-12d3a9fc3bc8@v1; no eligible SSI; all SSI-classified 5x roles in this sequence are optional; fixture gap: BA must lock API distinction</t>
  </si>
  <si>
    <t>MT742-003</t>
  </si>
  <si>
    <t>binding=FIX-MT742-003@v1; ssiId=711342e1-2d0f-54e4-9e9f-a66f58a5a7d4@v1; applicabilityId=584b29a9-da12-509c-a113-40c5b83a3724@v1; rmaId=cdec06b5-a46d-51b9-86bb-52c030804a8a@v1; candidate=57Z; allowed=A,B,D; fixture gap: None</t>
  </si>
  <si>
    <t>MT742-004</t>
  </si>
  <si>
    <t>binding=FIX-MT742-004@v1; ssiId=d756c7f9-09c1-5c9c-ae52-f52888e4601c@v1; applicabilityId=d98a9d9c-399a-59fc-a271-3c13e695d0c9@v1; rmaId=e1f65eb9-081a-54d2-948b-65b48fed64a6@v1; requested=57B; only BIC snapshot exists; option-specific structured source absent; fixture gap: Add controlled option-B source</t>
  </si>
  <si>
    <t>MT750-001</t>
  </si>
  <si>
    <t>us7m_20260717.pdf p.244; No 5x-specific message-level NVR - us7m_20260717.pdf p.244</t>
  </si>
  <si>
    <t>binding=FIX-MT750-001@v1; ssiId=2a1526fc-cdf2-5b96-b041-35de70a5a633@v1; applicabilityId=62a8f5f0-4224-519e-bea8-228c4adf7043@v1; rmaId=b49a07fc-9355-56bf-89a8-5121ad03ae0b@v1; Bank Service IDs only; currency=USD; bookingEntity=HK01; manual BIC/5x=null; route=DIRECT; fixture gap: Needs sequence-qualified isolated QA fixtures</t>
  </si>
  <si>
    <t>MT750-002</t>
  </si>
  <si>
    <t>binding=FIX-MT750-002@v1; ssiId=fb705130-aba8-5084-a876-b457e9b11b73@v1; applicabilityId=86d2395a-2016-5b94-808f-226a9e96da73@v1; rmaId=6a4ad73e-72e2-554a-9279-4e1cf1fd32a4@v1; no eligible SSI; all SSI-classified 5x roles in this sequence are optional; fixture gap: BA must lock API distinction</t>
  </si>
  <si>
    <t>MT750-003</t>
  </si>
  <si>
    <t>binding=FIX-MT750-003@v1; ssiId=95255886-9c85-5e25-b4e2-9d8c17ff8e1d@v1; applicabilityId=a61b4776-3adf-5f29-8077-8212fdf140ce@v1; rmaId=8c581e2a-0456-53d1-b0f9-88ed85bdc5eb@v1; candidate=57Z; allowed=A,B,D; fixture gap: None</t>
  </si>
  <si>
    <t>MT750-004</t>
  </si>
  <si>
    <t>binding=FIX-MT750-004@v1; ssiId=55fcb509-34da-54e5-80ca-f1d301064790@v1; applicabilityId=3a84bf94-996f-59db-97fe-31bf31e9f2d5@v1; rmaId=39446059-4b8a-5ed9-aed7-3f9738359f30@v1; requested=57B; only BIC snapshot exists; option-specific structured source absent; fixture gap: Add controlled option-B source</t>
  </si>
  <si>
    <t>MT752-001</t>
  </si>
  <si>
    <t>53a=OWN_SSI / NOSTRO; 54a=COUNTERPARTY_SSI / governed bank-account relationship</t>
  </si>
  <si>
    <t>53A=CITIUS33; 54A=BNPAFRPP; 56a omitted/NOT_REQUIRED; no duplicate institution across roles</t>
  </si>
  <si>
    <t>us7m_20260717.pdf p.252; No 5x-specific message-level NVR - us7m_20260717.pdf p.252</t>
  </si>
  <si>
    <t>binding=FIX-MT752-001@v1; ssiId=26bc9e3f-05f4-555f-ac00-2e0384d3c09d@v1; applicabilityId=65830c50-7ba2-5f53-ba0d-e6422633b6c4@v1; rmaId=a449de3b-b3a2-5a26-acf1-c74a5b4454f9@v1; ownNostroId=1a84010b-3c75-54bb-8e3d-8e3b70828967; ownNostroVersion=1; expectedAccountReference=MT347-MT752-001-USD-001; Bank Service IDs only; currency=USD; bookingEntity=HK01; manual BIC/5x=null; route=DIRECT; fixture gap: Needs sequence-qualified isolated QA fixtures</t>
  </si>
  <si>
    <t>MT752-002</t>
  </si>
  <si>
    <t>binding=FIX-MT752-002@v1; ssiId=beb715d7-f8df-51b5-b917-eb1452ce1c7b@v1; applicabilityId=2878eb3b-6d7a-54a3-84d6-dee28b120e3a@v1; rmaId=27f941a6-c5c0-5703-82e6-ae2de6294100@v1; no eligible SSI; all SSI-classified 5x roles in this sequence are optional; fixture gap: BA must lock API distinction</t>
  </si>
  <si>
    <t>MT752-003</t>
  </si>
  <si>
    <t>binding=FIX-MT752-003@v1; ssiId=5af91590-dfc3-5175-80e1-9cc7f47d2408@v1; applicabilityId=2f108cee-2363-5864-a7e7-84d29a46ad1b@v1; rmaId=270f13b2-e042-55c8-a2e4-f44beceeeafd@v1; candidate=53Z; allowed=A,B,D; fixture gap: None</t>
  </si>
  <si>
    <t>MT752-004</t>
  </si>
  <si>
    <t>binding=FIX-MT752-004@v1; ssiId=b03cb126-db75-5d85-83a2-4c8959710243@v1; applicabilityId=885d96d1-dadc-5e13-9b17-67ff59306ff3@v1; rmaId=c29b8add-4c18-5baf-99bc-bccf1696ec5b@v1; requested=53B; only BIC snapshot exists; option-specific structured source absent; fixture gap: Add controlled option-B source</t>
  </si>
  <si>
    <t>MT754-001</t>
  </si>
  <si>
    <t>us7m_20260717.pdf p.264; C2: either 53a or 57a, not both (C14) - us7m_20260717.pdf p.265</t>
  </si>
  <si>
    <t>binding=FIX-MT754-001@v1; ssiId=512fd063-233b-5a78-832b-1cb853ab3c1f@v1; applicabilityId=9208bcd8-0bb2-55cd-b61b-9bbeed4bc59d@v1; rmaId=708feb89-bd6e-576b-a231-946e5bd272a9@v1; Bank Service IDs only; currency=USD; bookingEntity=HK01; manual BIC/5x=null; route=DIRECT; fixture gap: Needs sequence-qualified isolated QA fixtures</t>
  </si>
  <si>
    <t>MT754-002</t>
  </si>
  <si>
    <t>binding=FIX-MT754-002@v1; ssiId=08d10d41-380e-5c0d-9bc4-c4774a7af556@v1; applicabilityId=05dcc172-54ec-5d48-8cb9-9b1e279a7080@v1; rmaId=14d5a63a-1307-591b-9ea3-4889da646ccd@v1; no eligible SSI; all SSI-classified 5x roles in this sequence are optional; fixture gap: BA must lock API distinction</t>
  </si>
  <si>
    <t>MT754-003</t>
  </si>
  <si>
    <t>binding=FIX-MT754-003@v1; ssiId=ec25c6fc-c6bb-5b5d-b2ab-79ead3836694@v1; applicabilityId=21d13005-3d8f-5075-a61a-f2617af4de7a@v1; rmaId=8f7fb5d6-44ee-5893-aaea-6d165d99f7d7@v1; candidate=57Z; allowed=A,B,D; fixture gap: None</t>
  </si>
  <si>
    <t>MT754-004</t>
  </si>
  <si>
    <t>binding=FIX-MT754-004@v1; ssiId=e692420d-6ec9-597e-9943-6835c78ee352@v1; applicabilityId=b1d4c574-cbc4-5633-85bc-354681532e9c@v1; rmaId=dcd4767d-88e6-538e-a29b-8ede58ab48e2@v1; requested=57B; only BIC snapshot exists; option-specific structured source absent; fixture gap: Add controlled option-B source</t>
  </si>
  <si>
    <t>MT756-001</t>
  </si>
  <si>
    <t>us7m_20260717.pdf p.275; No 5x-specific message-level NVR - us7m_20260717.pdf p.275</t>
  </si>
  <si>
    <t>binding=FIX-MT756-001@v1; ssiId=f67c761f-f853-506a-a7e4-cf51ad1cde28@v1; applicabilityId=39ff58af-f6e5-57aa-b10e-482393b81f32@v1; rmaId=f64a274e-0715-5468-a9b8-daf8ba2d6bfa@v1; ownNostroId=41b3c567-cad9-503a-9f6e-aad0ffdda21f; ownNostroVersion=1; expectedAccountReference=MT347-MT756-001-USD-001; Bank Service IDs only; currency=USD; bookingEntity=HK01; manual BIC/5x=null; route=DIRECT; fixture gap: Needs sequence-qualified isolated QA fixtures</t>
  </si>
  <si>
    <t>MT756-002</t>
  </si>
  <si>
    <t>binding=FIX-MT756-002@v1; ssiId=466849a9-2eff-5fef-810c-210d93bad27a@v1; applicabilityId=d9a2e99e-6b69-56fc-8552-c1490b0dc409@v1; rmaId=b2555149-921d-5007-80a4-912f2b5cc158@v1; no eligible SSI; all SSI-classified 5x roles in this sequence are optional; fixture gap: BA must lock API distinction</t>
  </si>
  <si>
    <t>MT756-003</t>
  </si>
  <si>
    <t>binding=FIX-MT756-003@v1; ssiId=7d2d8be2-2e0f-5d03-8d00-ef3427b4c6a1@v1; applicabilityId=b6ab0526-4780-5e7e-8fb3-12ded0226d96@v1; rmaId=19761003-f244-5fb9-89c7-506cc335ac37@v1; candidate=53Z; allowed=A,B,D; fixture gap: None</t>
  </si>
  <si>
    <t>MT756-004</t>
  </si>
  <si>
    <t>binding=FIX-MT756-004@v1; ssiId=ae2153df-b997-51e5-80a6-5626ed926e11@v1; applicabilityId=ba2559d4-6d74-59d7-96b9-ad7ed20424e5@v1; rmaId=13d800c3-19a9-5ea9-9c41-649aff05a031@v1; requested=53B; only BIC snapshot exists; option-specific structured source absent; fixture gap: Add controlled option-B source</t>
  </si>
  <si>
    <t>MT765-001</t>
  </si>
  <si>
    <t>56a=COUNTERPARTY_SSI / governed bank-account relationship; 57a=COUNTERPARTY_SSI / governed bank-account relationship</t>
  </si>
  <si>
    <t>us7m_20260717.pdf p.355 Format table fields No.21 (56a) / No.22 (57a)</t>
  </si>
  <si>
    <t>binding=FIX-MT765-001@v1; ssiId=4408e144-f8d6-589e-b8f6-0f036f104863@v1; applicabilityId=83b0eea7-c5d2-5d68-bd0d-39111d502255@v1; rmaId=55d1cb9e-08ae-51d1-951b-933bfe3ce1ed@v1; Bank Service IDs only; currency=USD; bookingEntity=HK01; manual BIC/5x=null; route=DIRECT; fixture gap: Needs sequence-qualified isolated QA fixtures</t>
  </si>
  <si>
    <t>MT765-002</t>
  </si>
  <si>
    <t>MESSAGE - Message / intermediary route</t>
  </si>
  <si>
    <t>intermediaryBankServiceId=BANK-SVC-HSBCHKHH; receivingBankServiceId=BANK-SVC-DEUTDEFF</t>
  </si>
  <si>
    <t>56a/57a=COUNTERPARTY_SSI / governed bank-account relationship</t>
  </si>
  <si>
    <t>56A=HSBCHKHH; 57A=DEUTDEFF; role values must remain distinct</t>
  </si>
  <si>
    <t>binding=FIX-MT765-002@v1; ssiId=1a5cafaf-ea84-580d-bd91-ce8d306ff367@v1; applicabilityId=0287ce80-2378-52d1-aa62-057eba4707d5@v1; rmaId=426c3de9-c3ea-5979-bc2d-7b7365a0732c@v1; intermediaryBankServiceId=BANK-SVC-HSBCHKHH; receivingBankServiceId=BANK-SVC-DEUTDEFF; fixture gap: Positive intermediary fixture required</t>
  </si>
  <si>
    <t>MT765-003</t>
  </si>
  <si>
    <t>binding=FIX-MT765-003@v1; ssiId=d5a3171c-ac1f-5474-8997-b06554529d4f@v1; applicabilityId=f309acb6-13e8-54b4-9d01-922b2952218f@v1; rmaId=8f0174c1-0c72-53b0-a5bb-51fa9f9e5b1f@v1; no eligible SSI; all SSI-classified 5x roles in this sequence are optional; fixture gap: BA must lock API distinction</t>
  </si>
  <si>
    <t>MT765-004</t>
  </si>
  <si>
    <t>candidate=56Z; allowed=A,B,D</t>
  </si>
  <si>
    <t>Reject 56Z; allowed options=A,B,D</t>
  </si>
  <si>
    <t>binding=FIX-MT765-004@v1; ssiId=e403fd0d-f19a-595b-b0c6-5d9e5fa7104a@v1; applicabilityId=1ba0e24a-8589-585c-b3e8-82fddf7099fb@v1; rmaId=b247590d-1dfd-5ad2-907f-e71580f7e864@v1; candidate=56Z; allowed=A,B,D; fixture gap: None</t>
  </si>
  <si>
    <t>MT765-005</t>
  </si>
  <si>
    <t>requested=56B; only BIC snapshot exists; option-specific structured source absent</t>
  </si>
  <si>
    <t>56B must have controlled option-specific source</t>
  </si>
  <si>
    <t>binding=FIX-MT765-005@v1; ssiId=3af5fe34-672b-5fdf-b61c-642e0f721e97@v1; applicabilityId=bebafe8d-d278-58cf-9a9b-49833ba1009d@v1; rmaId=4964bda7-596e-5024-b5bb-0daf7ead8ab8@v1; requested=56B; only BIC snapshot exists; option-specific structured source absent; fixture gap: Add controlled option-B source</t>
  </si>
  <si>
    <t>MT768-001</t>
  </si>
  <si>
    <t>us7m_20260717.pdf p.389; C1 25 XOR 57a; C2 32D excludes 57a - us7m_20260717.pdf p.389</t>
  </si>
  <si>
    <t>binding=FIX-MT768-001@v1; ssiId=d0e4e438-20d8-511d-bb55-c4af9eef9f12@v1; applicabilityId=bbd01584-cebc-56b6-9116-4f84b73aa90e@v1; rmaId=beae438c-e381-50ec-b08b-dbf7866fd6d2@v1; Bank Service IDs only; currency=USD; bookingEntity=HK01; manual BIC/5x=null; route=DIRECT; fixture gap: Needs sequence-qualified isolated QA fixtures</t>
  </si>
  <si>
    <t>MT768-002</t>
  </si>
  <si>
    <t>binding=FIX-MT768-002@v1; ssiId=30959339-334d-5f8c-9032-5e476c36c111@v1; applicabilityId=a6e8c619-967c-5147-84a3-8d2feb5362f6@v1; rmaId=cc41c92f-8fcc-58f6-8dc4-b82d8acc8570@v1; no eligible SSI; all SSI-classified 5x roles in this sequence are optional; fixture gap: BA must lock API distinction</t>
  </si>
  <si>
    <t>MT768-003</t>
  </si>
  <si>
    <t>binding=FIX-MT768-003@v1; ssiId=1e87b366-ceda-5844-b05e-1b204a9faaef@v1; applicabilityId=7d287155-4d45-5fb6-8f58-222076da8060@v1; rmaId=990dbb92-5664-5215-b2de-fd5a3b16466e@v1; candidate=57Z; allowed=A,B,D; fixture gap: None</t>
  </si>
  <si>
    <t>MT768-004</t>
  </si>
  <si>
    <t>binding=FIX-MT768-004@v1; ssiId=ba7f8c5b-3a61-52c2-bbe5-6e7ca38103da@v1; applicabilityId=38ca5198-53f9-5281-8314-fa329ec62345@v1; rmaId=a33da442-5afc-5dee-8348-968a49cd7216@v1; requested=57B; only BIC snapshot exists; option-specific structured source absent; fixture gap: Add controlled option-B source</t>
  </si>
  <si>
    <t>MT769-001</t>
  </si>
  <si>
    <t>us7m_20260717.pdf p.396; C1 25 XOR 57a; C3 32D excludes 57a - us7m_20260717.pdf pp.396-398</t>
  </si>
  <si>
    <t>binding=FIX-MT769-001@v1; ssiId=0eb401fd-bfa2-537c-8d4a-9a6ed7b53ffb@v1; applicabilityId=1c81a25c-2cbc-5169-a677-c05392d6a5ea@v1; rmaId=91563b8f-77bf-5d56-a2dd-afdee8955914@v1; Bank Service IDs only; currency=USD; bookingEntity=HK01; manual BIC/5x=null; route=DIRECT; fixture gap: Needs sequence-qualified isolated QA fixtures</t>
  </si>
  <si>
    <t>MT769-002</t>
  </si>
  <si>
    <t>binding=FIX-MT769-002@v1; ssiId=323aa60d-c730-5b4b-8c0a-020cabc91035@v1; applicabilityId=b985dcaf-86a5-520a-a62e-3179edc02882@v1; rmaId=4461785b-1a42-5744-a681-f4ccf3ffc533@v1; no eligible SSI; all SSI-classified 5x roles in this sequence are optional; fixture gap: BA must lock API distinction</t>
  </si>
  <si>
    <t>MT769-003</t>
  </si>
  <si>
    <t>binding=FIX-MT769-003@v1; ssiId=c10f2c43-ed0d-57e3-9664-478774d347c5@v1; applicabilityId=aeca5f06-f8ed-5898-bbaf-a25d9d3ebd0e@v1; rmaId=67c1fdc3-6b03-5f00-9533-99e617b48f85@v1; candidate=57Z; allowed=A,B,D; fixture gap: None</t>
  </si>
  <si>
    <t>MT769-004</t>
  </si>
  <si>
    <t>binding=FIX-MT769-004@v1; ssiId=21ba0104-8417-5593-b263-cfd1216dbff5@v1; applicabilityId=ca6d3c07-ebfd-59b6-883a-6966b72ce73e@v1; rmaId=5f48468b-0333-5389-825f-e92de66312e9@v1; requested=57B; only BIC snapshot exists; option-specific structured source absent; fixture gap: Add controlled option-B source</t>
  </si>
  <si>
    <t>MT400-005</t>
  </si>
  <si>
    <t>Account relationship default</t>
  </si>
  <si>
    <t>53a/54a/57a absent</t>
  </si>
  <si>
    <t>ACCOUNT_RELATIONSHIP</t>
  </si>
  <si>
    <t>all explicit SSI 5x omitted</t>
  </si>
  <si>
    <t>RESOLVED / NOT_REQUIRED</t>
  </si>
  <si>
    <t>MRG p.12</t>
  </si>
  <si>
    <t>binding=FIX-MT400-005@v1; ssiId=3eb66e1a-2412-5dae-8878-50da0fd1e81c@v1; applicabilityId=3ba2f81c-6613-57d4-92bd-2d5e0d458d74@v1; rmaId=e642ebf5-0c1f-514d-84e0-b296d3720b1e@v1; 53a/54a/57a absent; fixture gap: None</t>
  </si>
  <si>
    <t>MT400-006</t>
  </si>
  <si>
    <t>C1 incomplete route</t>
  </si>
  <si>
    <t>57a present;53a or54a missing</t>
  </si>
  <si>
    <t>mixed/incomplete</t>
  </si>
  <si>
    <t>no output</t>
  </si>
  <si>
    <t>NVR_VIOLATION C11</t>
  </si>
  <si>
    <t>MRG pp.12-13</t>
  </si>
  <si>
    <t>binding=FIX-MT400-006@v1; ssiId=984bc15d-7e7c-5a83-966d-c790ab8137fd@v1; applicabilityId=7fa49906-da67-55b7-ac9f-c1f2f755b083@v1; rmaId=2e2cd13c-825a-5bc2-af29-1b5b1e63389c@v1; 57a present;53a or54a missing; fixture gap: None</t>
  </si>
  <si>
    <t>MT730-005</t>
  </si>
  <si>
    <t>Charges default account</t>
  </si>
  <si>
    <t>25 absent;57a absent</t>
  </si>
  <si>
    <t>57a omitted</t>
  </si>
  <si>
    <t>MRG pp.177,180</t>
  </si>
  <si>
    <t>binding=FIX-MT730-005@v1; ssiId=ac232d18-5db7-5e77-b536-1725c744ff2a@v1; applicabilityId=6fbf9181-0cde-52ad-9cec-64102937c424@v1; rmaId=fc72a74c-62eb-5c2a-b737-545a131d14b4@v1; 25 absent;57a absent; fixture gap: None</t>
  </si>
  <si>
    <t>MT730-006</t>
  </si>
  <si>
    <t>C1/C2 conflict</t>
  </si>
  <si>
    <t>25+57a or32D+57a</t>
  </si>
  <si>
    <t>conflicting</t>
  </si>
  <si>
    <t>NVR_VIOLATION C77/C78</t>
  </si>
  <si>
    <t>MRG p.177</t>
  </si>
  <si>
    <t>binding=FIX-MT730-006@v1; ssiId=58a30b01-a4a8-5183-a427-9f8c767d18ea@v1; applicabilityId=cbaae954-70ea-523a-ab37-1eb8033ef379@v1; rmaId=fc4ae74f-6f8d-5b07-9fd3-8093c75b7a05@v1; 25+57a or32D+57a; fixture gap: None</t>
  </si>
  <si>
    <t>MT754-005</t>
  </si>
  <si>
    <t>Reimbursing bank route</t>
  </si>
  <si>
    <t>53a present;57a absent</t>
  </si>
  <si>
    <t>53a=trade instruction</t>
  </si>
  <si>
    <t>53a emitted</t>
  </si>
  <si>
    <t>MRG pp.264-265</t>
  </si>
  <si>
    <t>binding=FIX-MT754-005@v1; ssiId=7612fd83-a88a-5b39-96a1-b837c5299a16@v1; applicabilityId=6ce3b012-6751-5151-ac58-0a40290b3210@v1; rmaId=cdd1b135-685e-5f6a-861b-926a2b827619@v1; 53a present;57a absent; fixture gap: None</t>
  </si>
  <si>
    <t>MT754-006</t>
  </si>
  <si>
    <t>Account-with route</t>
  </si>
  <si>
    <t>53a absent;57a present</t>
  </si>
  <si>
    <t>57a=COUNTERPARTY_SSI</t>
  </si>
  <si>
    <t>57a emitted</t>
  </si>
  <si>
    <t>binding=FIX-MT754-006@v1; ssiId=9e7cca2f-f88e-5946-8913-60c5bca54d4e@v1; applicabilityId=33f9b14f-47d5-5130-bb62-20c7375a63e4@v1; rmaId=84371828-e917-5eff-9716-83ea1ba791f7@v1; 53a absent;57a present; fixture gap: None</t>
  </si>
  <si>
    <t>MT754-007</t>
  </si>
  <si>
    <t>C2 collision</t>
  </si>
  <si>
    <t>53a+57a</t>
  </si>
  <si>
    <t>NVR_VIOLATION C14</t>
  </si>
  <si>
    <t>MRG p.265</t>
  </si>
  <si>
    <t>binding=FIX-MT754-007@v1; ssiId=2fe4c1d7-3950-5ecd-951d-a1d0935add5b@v1; applicabilityId=a51f9018-6688-5a58-91b0-70e8af94fe34@v1; rmaId=bfd05bf1-9d40-5e8e-9868-13d3975e1725@v1; 53a+57a; fixture gap: None</t>
  </si>
  <si>
    <t>MT768-005</t>
  </si>
  <si>
    <t>MRG pp.389-390</t>
  </si>
  <si>
    <t>binding=FIX-MT768-005@v1; ssiId=bb9c1e53-d190-5b17-a030-ad2e3fefa75f@v1; applicabilityId=f5efc44f-8a01-5dbc-882e-33751c2b496c@v1; rmaId=e9b3e312-a3c3-5c25-85c7-5dd3d65470c6@v1; 25 absent;57a absent; fixture gap: None</t>
  </si>
  <si>
    <t>MT768-006</t>
  </si>
  <si>
    <t>MRG p.389</t>
  </si>
  <si>
    <t>binding=FIX-MT768-006@v1; ssiId=ee081ae8-249e-5a95-b376-8875237b7346@v1; applicabilityId=14355d80-b455-5f76-b781-d540acf2d7af@v1; rmaId=ad8838f3-5ca8-5ba6-9d93-bc383f526870@v1; 25+57a or32D+57a; fixture gap: None</t>
  </si>
  <si>
    <t>MT769-005</t>
  </si>
  <si>
    <t>MRG pp.396-398</t>
  </si>
  <si>
    <t>binding=FIX-MT769-005@v1; ssiId=24cb4e78-745f-5c5e-8e21-ef9ced829545@v1; applicabilityId=f02d1d31-1e2f-5282-96cc-b4ba2d67dd8d@v1; rmaId=29c7d789-a5d4-583e-831f-41fa0a75d1be@v1; 25 absent;57a absent; fixture gap: None</t>
  </si>
  <si>
    <t>MT769-006</t>
  </si>
  <si>
    <t>C1/C3 conflict</t>
  </si>
  <si>
    <t>binding=FIX-MT769-006@v1; ssiId=5912d6a2-9881-5b42-acf6-1c3b8aed6d65@v1; applicabilityId=a3407518-aa9c-5efd-9192-403a5365dcdc@v1; rmaId=863cba34-401d-5d15-b4c3-5fae8658fe41@v1; 25+57a or32D+57a; fixture gap: None</t>
  </si>
  <si>
    <t>MT300-016</t>
  </si>
  <si>
    <t>Clearing/member code placement fidelity</t>
  </si>
  <si>
    <t>Bank Service resolves Party Identifier //FW021000021 plus BIC CITIUS33 for B1.53A</t>
  </si>
  <si>
    <t>OWN_SSI / NOSTRO</t>
  </si>
  <si>
    <t>Render //FW021000021 only in Party Identifier before BIC in B1.53A; do not duplicate</t>
  </si>
  <si>
    <t>RESOLVED (MT profile fidelity)</t>
  </si>
  <si>
    <t>us3ma_20260717.pdf p.18</t>
  </si>
  <si>
    <t>Clearing directory and golden translation fixture required</t>
  </si>
  <si>
    <t>binding=FIX-MT300-016@v1; ssiId=5de7f3bc-daf6-59aa-89f6-a3bf94794508@v1; applicabilityId=00acdc81-4277-58da-bb92-62e3c0801291@v1; rmaId=177f10d8-8e5b-539e-912b-e8658e66c09f@v1; ownNostroId=5c281312-96ad-57f8-b4fc-167deba11434; ownNostroVersion=1; expectedAccountReference=MT347-MT300-016-USD-001; Bank Service resolves Party Identifier //FW021000021 plus BIC CITIUS33 for B1.53A; fixture gap: Clearing directory and golden translation fixture required</t>
  </si>
  <si>
    <t>MT304-016</t>
  </si>
  <si>
    <t>us3ma_20260717.pdf p.124</t>
  </si>
  <si>
    <t>binding=FIX-MT304-016@v1; ssiId=424eecd9-a84f-5f60-8cf3-16c0300f97c8@v1; applicabilityId=827e08c2-5a77-5604-a96d-ef5708141f95@v1; rmaId=f27a31d0-e18b-5565-a054-22e5d18cd351@v1; ownNostroId=8a66cba7-ab98-5121-9364-6387ecb26c97; ownNostroVersion=1; expectedAccountReference=MT347-MT304-016-USD-001; Bank Service resolves Party Identifier //FW021000021 plus BIC CITIUS33 for B1.53A; fixture gap: Clearing directory and golden translation fixture required</t>
  </si>
  <si>
    <t>MT305-006</t>
  </si>
  <si>
    <t>Bank Service resolves Party Identifier //FW021000021 plus BIC CITIUS33 for A.53A</t>
  </si>
  <si>
    <t>Render //FW021000021 only in Party Identifier before BIC in A.53A; do not duplicate</t>
  </si>
  <si>
    <t>us3ma_20260717.pdf p.195</t>
  </si>
  <si>
    <t>binding=FIX-MT305-006@v1; ssiId=a258df01-7c1d-5370-b235-478369071e16@v1; applicabilityId=73f92438-7773-551c-95ed-b41cb21d5c52@v1; rmaId=226b2c58-2310-59d4-a2e2-c646a0f979d7@v1; ownNostroId=eef9a893-955e-56f1-8840-9c9c54ea0f17; ownNostroVersion=1; expectedAccountReference=MT347-MT305-006-USD-001; Bank Service resolves Party Identifier //FW021000021 plus BIC CITIUS33 for A.53A; fixture gap: Clearing directory and golden translation fixture required</t>
  </si>
  <si>
    <t>MT306-019</t>
  </si>
  <si>
    <t>Bank Service resolves Party Identifier //FW021000021 plus BIC CITIUS33 for C.53A</t>
  </si>
  <si>
    <t>Render //FW021000021 only in Party Identifier before BIC in C.53A; do not duplicate</t>
  </si>
  <si>
    <t>us3ma_20260717.pdf p.262</t>
  </si>
  <si>
    <t>binding=FIX-MT306-019@v1; ssiId=a3bcc694-c723-5ad0-ba6f-79c07faf74ab@v1; applicabilityId=79ea99ad-5672-5aa3-96c3-cbd76ae0741a@v1; rmaId=53ca1645-74ac-5a8c-a10f-52fcf84ea4af@v1; ownNostroId=fd9513ee-b057-50ee-b7ec-8a2419a25b5e; ownNostroVersion=1; expectedAccountReference=MT347-MT306-019-USD-001; Bank Service resolves Party Identifier //FW021000021 plus BIC CITIUS33 for C.53A; fixture gap: Clearing directory and golden translation fixture required</t>
  </si>
  <si>
    <t>MT320-031</t>
  </si>
  <si>
    <t>us3ma_20260717.pdf p.425</t>
  </si>
  <si>
    <t>binding=FIX-MT320-031@v1; ssiId=a1f68302-ab40-5fee-939a-0b5e637eef1e@v1; applicabilityId=c121e4cd-ece1-582a-8035-1289aea9b9c7@v1; rmaId=9af16380-ee2a-589a-b8b9-9325cad1ed3b@v1; ownNostroId=ecb61a66-ad84-5108-95d1-1f0cbca0f569; ownNostroVersion=1; expectedAccountReference=MT347-MT320-031-USD-001; Bank Service resolves Party Identifier //FW021000021 plus BIC CITIUS33 for C.53A; fixture gap: Clearing directory and golden translation fixture required</t>
  </si>
  <si>
    <t>MT330-025</t>
  </si>
  <si>
    <t>us3ma_20260717.pdf p.558</t>
  </si>
  <si>
    <t>binding=FIX-MT330-025@v1; ssiId=898b728e-d54a-5bf4-8a61-d2f0b5f53941@v1; applicabilityId=c0d092d2-bee7-5741-927e-fd2ee7147674@v1; rmaId=2b80af7a-2c39-5ea9-94d1-672b6a77bafd@v1; ownNostroId=c1bd4f0f-2c04-54f4-9613-25a2cb163f5e; ownNostroVersion=1; expectedAccountReference=MT347-MT330-025-USD-001; Bank Service resolves Party Identifier //FW021000021 plus BIC CITIUS33 for C.53A; fixture gap: Clearing directory and golden translation fixture required</t>
  </si>
  <si>
    <t>MT340-019</t>
  </si>
  <si>
    <t>us3ma_20260717.pdf p.640</t>
  </si>
  <si>
    <t>binding=FIX-MT340-019@v1; ssiId=19aa884f-bab0-5075-97c9-518c759b7c5e@v1; applicabilityId=efc0740e-f121-5d2d-bcb7-7ac31fd9291b@v1; rmaId=4ebe5426-0e41-51f0-9d28-d2df1baae0d9@v1; ownNostroId=1af16026-29f4-5e04-9aa1-97e4c00e5973; ownNostroVersion=1; expectedAccountReference=MT347-MT340-019-USD-001; Bank Service resolves Party Identifier //FW021000021 plus BIC CITIUS33 for C.53A; fixture gap: Clearing directory and golden translation fixture required</t>
  </si>
  <si>
    <t>MT341-007</t>
  </si>
  <si>
    <t>us3ma_20260717.pdf p.722</t>
  </si>
  <si>
    <t>binding=FIX-MT341-007@v1; ssiId=3181e997-d393-5f08-b81e-915253b1b7dc@v1; applicabilityId=cce30c7d-5d09-55b3-a0da-3f82c145feae@v1; rmaId=45103bde-d279-56e8-a1f7-bb4a124961f3@v1; ownNostroId=3d05591e-a553-53ad-a778-ed73610188a7; ownNostroVersion=1; expectedAccountReference=MT347-MT341-007-USD-001; Bank Service resolves Party Identifier //FW021000021 plus BIC CITIUS33 for C.53A; fixture gap: Clearing directory and golden translation fixture required</t>
  </si>
  <si>
    <t>MT350-007</t>
  </si>
  <si>
    <t>us3mb_20260717.pdf p.17</t>
  </si>
  <si>
    <t>binding=FIX-MT350-007@v1; ssiId=63edb152-3a48-5a7d-a945-e2e8c4db3be0@v1; applicabilityId=696ded28-108d-5799-a756-fd5659b5e192@v1; rmaId=890f6d5f-e1d2-5977-b80c-f6135cc2da5f@v1; ownNostroId=f81e1aba-4195-5a6b-bcbf-0d526e18a9f5; ownNostroVersion=1; expectedAccountReference=MT347-MT350-007-USD-001; Bank Service resolves Party Identifier //FW021000021 plus BIC CITIUS33 for C.53A; fixture gap: Clearing directory and golden translation fixture required</t>
  </si>
  <si>
    <t>MT360-029</t>
  </si>
  <si>
    <t>Bank Service resolves Party Identifier //FW021000021 plus BIC CITIUS33 for D.53A</t>
  </si>
  <si>
    <t>Render //FW021000021 only in Party Identifier before BIC in D.53A; do not duplicate</t>
  </si>
  <si>
    <t>us3mb_20260717.pdf p.51</t>
  </si>
  <si>
    <t>binding=FIX-MT360-029@v1; ssiId=753f7e02-8dab-5e40-a027-a14fc9a07d50@v1; applicabilityId=c8da502c-dff7-5aa0-9db5-a163dc3c0fa3@v1; rmaId=fe2b6016-78a8-5f00-93f5-911fcbbc8300@v1; ownNostroId=746aa0ba-d118-5e18-b32d-2d52fd140df2; ownNostroVersion=1; expectedAccountReference=MT347-MT360-029-USD-001; Bank Service resolves Party Identifier //FW021000021 plus BIC CITIUS33 for D.53A; fixture gap: Clearing directory and golden translation fixture required</t>
  </si>
  <si>
    <t>MT361-043</t>
  </si>
  <si>
    <t>us3mb_20260717.pdf p.210</t>
  </si>
  <si>
    <t>binding=FIX-MT361-043@v1; ssiId=1853d0bc-ab30-5dec-ad8d-3670d27a4c5d@v1; applicabilityId=5cc76bdc-8dfa-5d53-8f27-0b0eb6fa94f6@v1; rmaId=d000495d-8487-5d99-a559-ebd3dcbf67ac@v1; ownNostroId=a60ee13b-e0da-57a3-9172-2b2c3ada0cda; ownNostroVersion=1; expectedAccountReference=MT347-MT361-043-USD-001; Bank Service resolves Party Identifier //FW021000021 plus BIC CITIUS33 for D.53A; fixture gap: Clearing directory and golden translation fixture required</t>
  </si>
  <si>
    <t>MT362-015</t>
  </si>
  <si>
    <t>us3mb_20260717.pdf p.396</t>
  </si>
  <si>
    <t>binding=FIX-MT362-015@v1; ssiId=f53b75b2-1703-5086-b133-8f2e5dd43dee@v1; applicabilityId=461a8ca2-f252-5ba9-8364-afe6356baa3f@v1; rmaId=82f3a93b-ad7a-5249-aa56-dcbcc4d29c49@v1; ownNostroId=bb0268dc-5b74-5059-87b4-4e5cc0bb3f22; ownNostroVersion=1; expectedAccountReference=MT347-MT362-015-USD-001; Bank Service resolves Party Identifier //FW021000021 plus BIC CITIUS33 for C.53A; fixture gap: Clearing directory and golden translation fixture required</t>
  </si>
  <si>
    <t>MT364-013</t>
  </si>
  <si>
    <t>Bank Service resolves Party Identifier //FW021000021 plus BIC CITIUS33 for L.53A</t>
  </si>
  <si>
    <t>Render //FW021000021 only in Party Identifier before BIC in L.53A; do not duplicate</t>
  </si>
  <si>
    <t>us3mb_20260717.pdf p.448</t>
  </si>
  <si>
    <t>binding=FIX-MT364-013@v1; ssiId=326d9d07-ff83-507b-97f3-a81c83892131@v1; applicabilityId=dd1e44ab-c45c-5dc3-8fac-1b82e9409a66@v1; rmaId=836f2c2d-410e-5c14-9b01-a4187bb40981@v1; ownNostroId=9be7d6b3-e1db-59fc-8e0c-ad8fb5754327; ownNostroVersion=1; expectedAccountReference=MT347-MT364-013-USD-001; Bank Service resolves Party Identifier //FW021000021 plus BIC CITIUS33 for L.53A; fixture gap: Clearing directory and golden translation fixture required</t>
  </si>
  <si>
    <t>MT365-025</t>
  </si>
  <si>
    <t>Bank Service resolves Party Identifier //FW021000021 plus BIC CITIUS33 for J.53A</t>
  </si>
  <si>
    <t>Render //FW021000021 only in Party Identifier before BIC in J.53A; do not duplicate</t>
  </si>
  <si>
    <t>us3mb_20260717.pdf p.490</t>
  </si>
  <si>
    <t>binding=FIX-MT365-025@v1; ssiId=60a01175-5aac-5f9c-b145-b9e14c9765d8@v1; applicabilityId=b0f13606-ebbf-551b-8e6c-5ec64c130645@v1; rmaId=7eeb3a28-0369-5f57-85f9-5ad58813d066@v1; ownNostroId=1a02098f-f157-5b52-b4f9-155d1744f51d; ownNostroVersion=1; expectedAccountReference=MT347-MT365-025-USD-001; Bank Service resolves Party Identifier //FW021000021 plus BIC CITIUS33 for J.53A; fixture gap: Clearing directory and golden translation fixture required</t>
  </si>
  <si>
    <t>MT400-007</t>
  </si>
  <si>
    <t>Bank Service resolves Party Identifier //FW021000021 plus BIC CITIUS33 for 53A</t>
  </si>
  <si>
    <t>Render //FW021000021 only in Party Identifier before BIC in 53A; do not duplicate</t>
  </si>
  <si>
    <t>us4m_20260717.pdf p.12</t>
  </si>
  <si>
    <t>binding=FIX-MT400-007@v1; ssiId=62d52c13-c41a-56ab-a2dc-1883a0440359@v1; applicabilityId=4c8d32ae-558c-5e83-afb5-b65c1bdfc37a@v1; rmaId=0de1f3b5-b069-51d4-aba4-260de35bddc2@v1; ownNostroId=dd5fbd17-5e8d-5845-b1b2-15d530167f8d; ownNostroVersion=1; expectedAccountReference=MT347-MT400-007-USD-001; Bank Service resolves Party Identifier //FW021000021 plus BIC CITIUS33 for 53A; fixture gap: Clearing directory and golden translation fixture required</t>
  </si>
  <si>
    <t>MT730-007</t>
  </si>
  <si>
    <t>Bank Service resolves Party Identifier //FW021000021 plus BIC CITIUS33 for 57A</t>
  </si>
  <si>
    <t>COUNTERPARTY_SSI / governed bank-account relationship</t>
  </si>
  <si>
    <t>Render //FW021000021 only in Party Identifier before BIC in 57A; do not duplicate</t>
  </si>
  <si>
    <t>us7m_20260717.pdf p.177</t>
  </si>
  <si>
    <t>binding=FIX-MT730-007@v1; ssiId=a6ea29ca-338d-50d4-b804-ed49e9503d9f@v1; applicabilityId=b684d225-4027-56cc-afb6-187d8e1be05b@v1; rmaId=6efde549-97ee-5ed2-aa35-253756c997fe@v1; Bank Service resolves Party Identifier //FW021000021 plus BIC CITIUS33 for 57A; fixture gap: Clearing directory and golden translation fixture required</t>
  </si>
  <si>
    <t>MT734-005</t>
  </si>
  <si>
    <t>us7m_20260717.pdf p.187</t>
  </si>
  <si>
    <t>binding=FIX-MT734-005@v1; ssiId=95919353-c033-52ee-b049-59c36686bad4@v1; applicabilityId=767289b0-a019-533c-8ebd-6231d84122fb@v1; rmaId=9919428c-e1a5-577a-95dc-4dcb7eb199d9@v1; Bank Service resolves Party Identifier //FW021000021 plus BIC CITIUS33 for 57A; fixture gap: Clearing directory and golden translation fixture required</t>
  </si>
  <si>
    <t>MT742-005</t>
  </si>
  <si>
    <t>us7m_20260717.pdf p.215</t>
  </si>
  <si>
    <t>binding=FIX-MT742-005@v1; ssiId=3eca0307-a5a0-5ca3-89a2-b184d51c1499@v1; applicabilityId=15ad969b-0a98-5e19-aa3f-f4ed7b6d0e9f@v1; rmaId=3c027363-d989-5708-8b06-afe72ddd7fff@v1; Bank Service resolves Party Identifier //FW021000021 plus BIC CITIUS33 for 57A; fixture gap: Clearing directory and golden translation fixture required</t>
  </si>
  <si>
    <t>MT750-005</t>
  </si>
  <si>
    <t>us7m_20260717.pdf p.244</t>
  </si>
  <si>
    <t>binding=FIX-MT750-005@v1; ssiId=a8ad6261-43c3-5fc0-b9c2-1bb84289bf8c@v1; applicabilityId=c738fd9c-012f-5e25-a68c-666469dc9577@v1; rmaId=731de042-c0f2-5c62-b7a9-b320a5fadc8f@v1; Bank Service resolves Party Identifier //FW021000021 plus BIC CITIUS33 for 57A; fixture gap: Clearing directory and golden translation fixture required</t>
  </si>
  <si>
    <t>MT752-005</t>
  </si>
  <si>
    <t>us7m_20260717.pdf p.252</t>
  </si>
  <si>
    <t>binding=FIX-MT752-005@v1; ssiId=f7af7ee4-eea5-5bae-9ebe-5eb1f4d4c796@v1; applicabilityId=d22d62d0-c349-55ec-94f1-70da57f49c85@v1; rmaId=cbed0059-7026-5e98-bab2-a5df270ca6af@v1; ownNostroId=bdded572-59b8-535b-b147-832c8189d50a; ownNostroVersion=1; expectedAccountReference=MT347-MT752-005-USD-001; Bank Service resolves Party Identifier //FW021000021 plus BIC CITIUS33 for 53A; fixture gap: Clearing directory and golden translation fixture required</t>
  </si>
  <si>
    <t>MT754-008</t>
  </si>
  <si>
    <t>us7m_20260717.pdf p.264</t>
  </si>
  <si>
    <t>binding=FIX-MT754-008@v1; ssiId=84781e7f-f9fa-5609-8c3e-91bd78e5e204@v1; applicabilityId=b6f5295a-b096-5d2b-b61e-6f593fce91af@v1; rmaId=f8619fef-229a-5248-9c34-75252744a8f5@v1; Bank Service resolves Party Identifier //FW021000021 plus BIC CITIUS33 for 57A; fixture gap: Clearing directory and golden translation fixture required</t>
  </si>
  <si>
    <t>MT756-005</t>
  </si>
  <si>
    <t>us7m_20260717.pdf p.275</t>
  </si>
  <si>
    <t>binding=FIX-MT756-005@v1; ssiId=2a72c87d-dc2d-5a90-89ca-7cf95f74a0df@v1; applicabilityId=0fa4b8c0-337f-50db-afdf-feb1b2643829@v1; rmaId=83c4842b-bf84-511b-ba65-1d42ff625488@v1; ownNostroId=0de87ec3-b613-5f81-829f-0c0d7e78b2e0; ownNostroVersion=1; expectedAccountReference=MT347-MT756-005-USD-001; Bank Service resolves Party Identifier //FW021000021 plus BIC CITIUS33 for 53A; fixture gap: Clearing directory and golden translation fixture required</t>
  </si>
  <si>
    <t>MT765-006</t>
  </si>
  <si>
    <t>MESSAGE - Message / clearing-member code placement fidelity</t>
  </si>
  <si>
    <t>Bank Service resolves Party Identifier //FW021000021 plus BIC CITIUS33 for 56A</t>
  </si>
  <si>
    <t>Render //FW021000021 only in Party Identifier before BIC in 56A; do not duplicate</t>
  </si>
  <si>
    <t>us7m_20260717.pdf p.355</t>
  </si>
  <si>
    <t>binding=FIX-MT765-006@v1; ssiId=221417b9-2666-569a-8e9d-f4b3db5c3b57@v1; applicabilityId=3b508fe3-85d0-5650-83e7-7f9b8348e53d@v1; rmaId=92c8022f-112b-59f6-af57-776801410b12@v1; Bank Service resolves Party Identifier //FW021000021 plus BIC CITIUS33 for 56A; fixture gap: Clearing directory and golden translation fixture required</t>
  </si>
  <si>
    <t>MT768-007</t>
  </si>
  <si>
    <t>us7m_20260717.pdf p.389</t>
  </si>
  <si>
    <t>binding=FIX-MT768-007@v1; ssiId=c260da0d-c8ac-58ac-b329-8fcba398a26b@v1; applicabilityId=594c8498-2a8d-5a53-8949-7f3b2da07376@v1; rmaId=3116f054-75d7-5ce6-a0a4-f6be0bcd02e7@v1; Bank Service resolves Party Identifier //FW021000021 plus BIC CITIUS33 for 57A; fixture gap: Clearing directory and golden translation fixture required</t>
  </si>
  <si>
    <t>MT769-007</t>
  </si>
  <si>
    <t>us7m_20260717.pdf p.396</t>
  </si>
  <si>
    <t>binding=FIX-MT769-007@v1; ssiId=ffc33473-e052-568f-be7b-f6e3b7444bc4@v1; applicabilityId=15ba45cc-0a7f-54ca-a8a5-f6f658a9560a@v1; rmaId=23bf2e12-93ca-5ae3-86b2-28d253fd7236@v1; Bank Service resolves Party Identifier //FW021000021 plus BIC CITIUS33 for 57A; fixture gap: Clearing directory and golden translation fixture required</t>
  </si>
  <si>
    <t>MT742-006</t>
  </si>
  <si>
    <t>Beneficiary branch/affiliate route</t>
  </si>
  <si>
    <t>58A supplied by immutable upstream trade instruction; 57a absent</t>
  </si>
  <si>
    <t>58a=UPSTREAM/TRANSACTION beneficiary branch; never Counterparty SSI</t>
  </si>
  <si>
    <t>58A emitted; 57a omitted per field 58a usage rule</t>
  </si>
  <si>
    <t>us7m_20260717.pdf pp.215,220-221; fields No.9-10; C77/C78 do not apply (compare MT730 p.177)</t>
  </si>
  <si>
    <t>Immutable upstream beneficiary fixture required</t>
  </si>
  <si>
    <t>binding=FIX-MT742-006@v1; ssiId=17fecba0-e053-5a6a-bd3c-8237e1a50739@v1; applicabilityId=d8bd0e80-2516-5c1b-8538-ec54ef9e2f92@v1; rmaId=23e2ca87-d97d-5649-bd2a-010e0647e27a@v1; 58A supplied by immutable upstream trade instruction; 57a absent; fixture gap: Immutable upstream beneficiary fixture required</t>
  </si>
  <si>
    <t>MT742-007</t>
  </si>
  <si>
    <t>57a and 58a forbidden combination</t>
  </si>
  <si>
    <t>57A and 58A both requested</t>
  </si>
  <si>
    <t>57a=COUNTERPARTY_SSI; 58a=UPSTREAM</t>
  </si>
  <si>
    <t>No MT output</t>
  </si>
  <si>
    <t>USAGE_RULE_VIOLATION / FAIL_CLOSED</t>
  </si>
  <si>
    <t>CONFIRMED_PROFILE / OPEN_HYBRID_SOURCE</t>
  </si>
  <si>
    <t>binding=FIX-MT742-007@v1; ssiId=ce079ff9-bd90-5acd-8343-c1c8ffce1850@v1; applicabilityId=e7d3d5e8-5934-59ce-8ed2-3b145e158211@v1; rmaId=a1557c46-b901-5fbf-bacb-f5c85ebc506e@v1; 57A and 58A both requested; fixture gap: None</t>
  </si>
  <si>
    <t>MT742-008</t>
  </si>
  <si>
    <t>Missing beneficiary provenance</t>
  </si>
  <si>
    <t>58a requested but upstream beneficiary branch/affiliate is absent</t>
  </si>
  <si>
    <t>SSI.beneficiaryBic forbidden</t>
  </si>
  <si>
    <t>No 58a; do not copy 57a or counterparty BIC</t>
  </si>
  <si>
    <t>MESSAGE_CONTEXT_MISSING / FAIL_CLOSED</t>
  </si>
  <si>
    <t>Upstream beneficiary fixture required</t>
  </si>
  <si>
    <t>binding=FIX-MT742-008@v1; ssiId=d437d036-bde0-577c-a58f-d80f7f67d3ab@v1; applicabilityId=982f07a8-3dc2-52a1-999a-a61a19313cdd@v1; rmaId=d75ee40d-72b3-5fb4-9bd3-00e07382b195@v1; 58a requested but upstream beneficiary branch/affiliate is absent; fixture gap: Upstream beneficiary fixture required</t>
  </si>
  <si>
    <t>MT742-009</t>
  </si>
  <si>
    <t>Unsupported reimbursing-bank tag</t>
  </si>
  <si>
    <t>candidate=53A from generic SSI</t>
  </si>
  <si>
    <t>No MT742 field 53a</t>
  </si>
  <si>
    <t>Reject 53A; do not treat reimbursing context as generic SSI</t>
  </si>
  <si>
    <t>FIELD_NOT_SUPPORTED / FAIL_CLOSED</t>
  </si>
  <si>
    <t>us7m_20260717.pdf p.215 Format Specifications</t>
  </si>
  <si>
    <t>binding=FIX-MT742-009@v1; ssiId=f4c6e8bb-7b71-52ab-b114-e0d6ef4d550e@v1; applicabilityId=3d7880c5-58f2-5bf3-8d9b-61be768041fb@v1; rmaId=9ad0b3ed-2fdb-553f-bcd9-dac289469713@v1; candidate=53A from generic SSI; fixture gap: None</t>
  </si>
  <si>
    <t>MT742-010</t>
  </si>
  <si>
    <t>Invalid 57A FI identifier</t>
  </si>
  <si>
    <t>57A contains unregistered/non-FI BIC</t>
  </si>
  <si>
    <t>Bank Service validation required</t>
  </si>
  <si>
    <t>No output</t>
  </si>
  <si>
    <t>NVR_VIOLATION T27/T28/T29/T45/C05</t>
  </si>
  <si>
    <t>us7m_20260717.pdf p.220; field No.9</t>
  </si>
  <si>
    <t>Controlled BIC directory response required</t>
  </si>
  <si>
    <t>binding=FIX-MT742-010@v1; ssiId=4406994c-6149-5b49-8c6a-41a91cee00c4@v1; applicabilityId=99d8c89d-79d6-52e1-9969-2efdf22c5701@v1; rmaId=7ac45870-b717-5fea-bfa5-a0224afa02f7@v1; 57A contains unregistered/non-FI BIC; fixture gap: Controlled BIC directory response required</t>
  </si>
  <si>
    <t>MT742-011</t>
  </si>
  <si>
    <t>57D governed name/address unavailable</t>
  </si>
  <si>
    <t>option D selected; no controlled name/address record</t>
  </si>
  <si>
    <t>COUNTERPARTY_SSI lacks option-D payload</t>
  </si>
  <si>
    <t>No 57D synthesized from BIC</t>
  </si>
  <si>
    <t>us7m_20260717.pdf pp.215,220; field No.9</t>
  </si>
  <si>
    <t>Option-D fixture required</t>
  </si>
  <si>
    <t>binding=FIX-MT742-011@v1; ssiId=e1cf61ed-47dd-5077-a9cb-5878133e2a28@v1; applicabilityId=d3e04257-6e1a-5eaf-85ff-3139452dcc54@v1; rmaId=5c221a2e-c6d9-5955-b7cd-4f52d63fd999@v1; option D selected; no controlled name/address record; fixture gap: Option-D fixture required</t>
  </si>
  <si>
    <t>MT742-012</t>
  </si>
  <si>
    <t>No cross-message C77/C78 leakage</t>
  </si>
  <si>
    <t>field25/32D-like upstream attributes present; valid MT742 57A</t>
  </si>
  <si>
    <t>57A=COUNTERPARTY_SSI</t>
  </si>
  <si>
    <t>57A resolved; do not apply MT730/768/769 C77/C78</t>
  </si>
  <si>
    <t>Rule registry must be message-qualified</t>
  </si>
  <si>
    <t>binding=FIX-MT742-012@v1; ssiId=e40fa4ef-7ea0-5488-b5b2-ce86007a4539@v1; applicabilityId=e7f75b3c-372e-58ff-a89c-18977ce066cb@v1; rmaId=187c850f-d369-574c-b9a4-9e18ab1e419f@v1; field25/32D-like upstream attributes present; valid MT742 57A; fixture gap: Rule registry must be message-qualified</t>
  </si>
  <si>
    <t>MT754-009</t>
  </si>
  <si>
    <t>Reimbursing bank must not come from generic SSI</t>
  </si>
  <si>
    <t>53A requested; only counterparty SSI route provides a BIC</t>
  </si>
  <si>
    <t>53a=TRADE INSTRUCTION / reimbursement authority, not generic SSI</t>
  </si>
  <si>
    <t>No 53A copied from SSI</t>
  </si>
  <si>
    <t>OWNERSHIP_SOURCE_VIOLATION / FAIL_CLOSED</t>
  </si>
  <si>
    <t>us7m_20260717.pdf pp.264-265,270-271; fields No.8-10; C2/C14</t>
  </si>
  <si>
    <t>Trade instruction fixture required</t>
  </si>
  <si>
    <t>binding=FIX-MT754-009@v1; ssiId=dc951608-641e-503d-a645-3f7f31699ec2@v1; applicabilityId=d1ba5721-f3f3-5087-976c-841aaface052@v1; rmaId=b91fc4d2-e057-5086-8f64-23ee5a0dbaac@v1; 53A requested; only counterparty SSI route provides a BIC; fixture gap: Trade instruction fixture required</t>
  </si>
  <si>
    <t>MT754-010</t>
  </si>
  <si>
    <t>Unsupported 54a candidate</t>
  </si>
  <si>
    <t>candidate=54A</t>
  </si>
  <si>
    <t>MT754 has no field 54a</t>
  </si>
  <si>
    <t>Reject 54A</t>
  </si>
  <si>
    <t>us7m_20260717.pdf p.264 Format Specifications</t>
  </si>
  <si>
    <t>binding=FIX-MT754-010@v1; ssiId=63d380e2-5e27-598d-bfdc-6ea177969798@v1; applicabilityId=8f3fd38a-32f6-5365-98b3-03b165856c6e@v1; rmaId=07a77d37-5a36-59a9-955a-827163816093@v1; candidate=54A; fixture gap: None</t>
  </si>
  <si>
    <t>MT754-011</t>
  </si>
  <si>
    <t>58A from immutable upstream trade instruction; 57a absent</t>
  </si>
  <si>
    <t>58a=UPSTREAM/TRANSACTION beneficiary; never SSI output</t>
  </si>
  <si>
    <t>us7m_20260717.pdf p.271; field No.10</t>
  </si>
  <si>
    <t>binding=FIX-MT754-011@v1; ssiId=4cb71de9-c041-59bc-98c9-f20b2c8c37be@v1; applicabilityId=990588a8-4d39-5d1f-951c-84b4054f9059@v1; rmaId=f3f9770b-70ea-5af0-a825-e7a751bbca17@v1; 58A from immutable upstream trade instruction; 57a absent; fixture gap: Immutable upstream beneficiary fixture required</t>
  </si>
  <si>
    <t>MT754-012</t>
  </si>
  <si>
    <t>field25/32D-like upstream attributes present; valid 57A and no 53a</t>
  </si>
  <si>
    <t>57A emitted; enforce MT754 C2/C14 only</t>
  </si>
  <si>
    <t>binding=FIX-MT754-012@v1; ssiId=c802d887-c60b-528e-a916-6319ca412bfe@v1; applicabilityId=c18cfa35-1e19-54eb-8d43-ff496797becd@v1; rmaId=2c5b7520-01b2-5d5f-80fe-1237c670aefa@v1; field25/32D-like upstream attributes present; valid 57A and no 53a; fixture gap: Rule registry must be message-qualified</t>
  </si>
  <si>
    <t>MT756-006</t>
  </si>
  <si>
    <t>Own correspondent; direct receiver relationship</t>
  </si>
  <si>
    <t>53A own Nostro available; direct Sender/Receiver account; 54a absent</t>
  </si>
  <si>
    <t>53a=OWN_SSI/NOSTRO</t>
  </si>
  <si>
    <t>53A emitted; 54a omitted</t>
  </si>
  <si>
    <t>us7m_20260717.pdf pp.275,278; fields No.5-6; RCB usage rule</t>
  </si>
  <si>
    <t>Own Nostro fixture required</t>
  </si>
  <si>
    <t>binding=FIX-MT756-006@v1; ssiId=c08b96d8-472d-57e5-bfdd-c950878cb1a3@v1; applicabilityId=a41f4738-3854-5393-8b62-eca13df5b1a7@v1; rmaId=d4766caf-106f-5520-a21a-161958da1ff6@v1; ownNostroId=6e772472-966e-5f05-a5e7-fa6f27350ee7; ownNostroVersion=1; expectedAccountReference=MT347-MT756-006-USD-001; 53A own Nostro available; direct Sender/Receiver account; 54a absent; fixture gap: Own Nostro fixture required</t>
  </si>
  <si>
    <t>MT756-007</t>
  </si>
  <si>
    <t>54a required but no dedicated source</t>
  </si>
  <si>
    <t>route requires receiver correspondent; no governed receiver-correspondent record</t>
  </si>
  <si>
    <t>54a has no dedicated source; other tags cannot infer it</t>
  </si>
  <si>
    <t>No 54a</t>
  </si>
  <si>
    <t>Dedicated 54a relationship fixture required</t>
  </si>
  <si>
    <t>binding=FIX-MT756-007@v1; ssiId=4fbac20b-b813-52f0-9de1-a490e8a75862@v1; applicabilityId=87140304-c8b5-5d11-914f-1bca606f834e@v1; rmaId=39a6e51a-18c4-51aa-baba-28ed73ea8944@v1; route requires receiver correspondent; no governed receiver-correspondent record; fixture gap: Dedicated 54a relationship fixture required</t>
  </si>
  <si>
    <t>MT756-008</t>
  </si>
  <si>
    <t>Single direct account relationship</t>
  </si>
  <si>
    <t>53a and 54a absent; exactly one direct account relationship in currency</t>
  </si>
  <si>
    <t>DIRECT_ACCOUNT relationship</t>
  </si>
  <si>
    <t>53a/54a omitted by rule</t>
  </si>
  <si>
    <t>NOT_REQUIRED / ROUTE_COMPLETE</t>
  </si>
  <si>
    <t>Direct-account fixture required</t>
  </si>
  <si>
    <t>binding=FIX-MT756-008@v1; ssiId=291dbd16-3307-5187-8060-2319c24774e6@v1; applicabilityId=c094b00b-8c08-5709-9009-e9d6fcc79c12@v1; rmaId=3906083a-5d81-5ac3-a8f2-db21048b8b79@v1; 53a and 54a absent; exactly one direct account relationship in currency; fixture gap: Direct-account fixture required</t>
  </si>
  <si>
    <t>MT756-009</t>
  </si>
  <si>
    <t>53a ownership boundary</t>
  </si>
  <si>
    <t>53A candidate sourced from Counterparty SSI</t>
  </si>
  <si>
    <t>53a must be OWN_SSI/NOSTRO</t>
  </si>
  <si>
    <t>No 53A</t>
  </si>
  <si>
    <t>binding=FIX-MT756-009@v1; ssiId=c72a1e24-1a40-5736-9eda-8196459f3fd8@v1; applicabilityId=997107cd-cfa6-5588-b565-6477e704c216@v1; rmaId=898a1ee8-7938-5153-89d0-f789fad92a4d@v1; ownNostroId=ee2ebcc1-871c-5d8e-be3d-654254585e35; ownNostroVersion=1; expectedAccountReference=MT347-MT756-009-USD-001; 53A candidate sourced from Counterparty SSI; fixture gap: None</t>
  </si>
  <si>
    <t>MT756-010</t>
  </si>
  <si>
    <t>Duplicate correspondent provenance</t>
  </si>
  <si>
    <t>53A and 54A copied from same SSI record/institution</t>
  </si>
  <si>
    <t>Separate own and receiver-side sources required</t>
  </si>
  <si>
    <t>DUPLICATE_ROLE_SOURCE / FAIL_CLOSED</t>
  </si>
  <si>
    <t>Non-equal own/counterparty fixture required</t>
  </si>
  <si>
    <t>binding=FIX-MT756-010@v1; ssiId=b75a7892-2034-5461-8560-28184e466082@v1; applicabilityId=94fec885-e98e-5ba6-b8f5-c0b628063103@v1; rmaId=4ec2d0e9-3008-5641-9c46-babcd1d3cc8c@v1; 53A and 54A copied from same SSI record/institution; fixture gap: Non-equal own/counterparty fixture required</t>
  </si>
  <si>
    <t>MT756-011</t>
  </si>
  <si>
    <t>RCB code without both correspondents</t>
  </si>
  <si>
    <t>72Z contains /RCB/ but only 53A is present</t>
  </si>
  <si>
    <t>53a=OWN_SSI; 54a absent</t>
  </si>
  <si>
    <t>Structured 72Z fixture required</t>
  </si>
  <si>
    <t>binding=FIX-MT756-011@v1; ssiId=27630ae0-949f-5ae5-be37-76d77d0950b6@v1; applicabilityId=a59cd755-9e75-588b-b070-2dd407188c4e@v1; rmaId=4c115764-d7e3-5a11-a82d-fce42dd4db2a@v1; ownNostroId=b77f2b6e-4b92-5901-8876-7943d1ce7de8; ownNostroVersion=1; expectedAccountReference=MT347-MT756-011-USD-001; 72Z contains /RCB/ but only 53A is present; fixture gap: Structured 72Z fixture required</t>
  </si>
  <si>
    <t>MT756-012</t>
  </si>
  <si>
    <t>field25/32D-like upstream attributes present; valid MT756 53A/54A</t>
  </si>
  <si>
    <t>53a=OWN_SSI;54a=COUNTERPARTY_SSI</t>
  </si>
  <si>
    <t>53A/54A resolved; do not apply MT730/768/769 C77/C78</t>
  </si>
  <si>
    <t>binding=FIX-MT756-012@v1; ssiId=f487685c-6556-5cd2-8f2d-9a036ac783a1@v1; applicabilityId=ded6416d-fb2c-5aa5-896c-94fb3d29d1a7@v1; rmaId=2e9ad116-bc89-5052-8837-e4cbd1fc759c@v1; ownNostroId=39972689-8f9d-5654-b521-768228270877; ownNostroVersion=1; expectedAccountReference=MT347-MT756-012-USD-001; field25/32D-like upstream attributes present; valid MT756 53A/54A; fixture gap: Rule registry must be message-qualified</t>
  </si>
  <si>
    <t>MT416-AUDIT-001</t>
  </si>
  <si>
    <t>Excluded-scope audit</t>
  </si>
  <si>
    <t>messageType=MT416; candidate 53A exists</t>
  </si>
  <si>
    <t>No SSI lookup; scope decision only</t>
  </si>
  <si>
    <t>No MT settlement-field output</t>
  </si>
  <si>
    <t>MESSAGE_TYPE_NOT_SUPPORTED / AUDIT_RECORDED</t>
  </si>
  <si>
    <t>Future BA decision required before any scope expansion</t>
  </si>
  <si>
    <t>OUT_OF_SCOPE_CONFIRMED</t>
  </si>
  <si>
    <t>BOUNDARY</t>
  </si>
  <si>
    <t>MT347-SCOPE-BOUNDARY</t>
  </si>
  <si>
    <t>binding=FIX-MT416-AUDIT-001@v1; ssiId=18fb0843-c7bc-5ad7-9cb8-efd1cf92975b@v1; applicabilityId=04b80700-1413-53e8-bb07-d7240babc06f@v1; rmaId=01673bee-f807-5b4c-b0a4-69eb819c36c2@v1; messageType=MT416; candidate 53A exists; fixture gap: Future BA decision required before any scope expansion</t>
  </si>
  <si>
    <t>READY — SCOPE BOUNDARY</t>
  </si>
  <si>
    <t>MT785-AUDIT-001</t>
  </si>
  <si>
    <t>Out-of-SSI-scope audit</t>
  </si>
  <si>
    <t>messageType=MT785; 56A/57A advising chain supplied</t>
  </si>
  <si>
    <t>No SSI settlement output; advising chain remains upstream trade data</t>
  </si>
  <si>
    <t>OUT_OF_SSI_SCOPE / AUDIT_RECORDED</t>
  </si>
  <si>
    <t>binding=FIX-MT785-AUDIT-001@v1; ssiId=6438fcdf-93ee-50d5-81fe-077076449e46@v1; applicabilityId=5e2f2391-093f-59a5-b6fa-a7b7542ab2e0@v1; rmaId=59a89018-04cd-5e4f-b40a-fe0d8eddf1bb@v1; messageType=MT785; 56A/57A advising chain supplied; fixture gap: None</t>
  </si>
  <si>
    <t>MT742-013</t>
  </si>
  <si>
    <t>MESSAGE - 58a multiple direct-account relationships</t>
  </si>
  <si>
    <t>transaction-selected beneficiary branch/affiliate; more than one valid credited-account relationship for same scope</t>
  </si>
  <si>
    <t>58a institution=immutable transaction context; account=unique controlled account selected by currency/effective date/purpose</t>
  </si>
  <si>
    <t>58A includes the specific credited account plus transaction-selected beneficiary institution; 57a omitted</t>
  </si>
  <si>
    <t>RESOLVED only when account is uniquely determined</t>
  </si>
  <si>
    <t>us7m_20260717.pdf pp.220-221; field 58a usage rule</t>
  </si>
  <si>
    <t>Controlled multi-account beneficiary fixture required</t>
  </si>
  <si>
    <t>binding=FIX-MT742-013@v1; ssiId=de8c9920-b13a-509e-bb11-d90ffb6cedc5@v1; applicabilityId=81e7e8d1-1542-5604-ac44-c7aad03483e0@v1; rmaId=ccd29a5a-c6e1-58f9-984c-037cef09bcfd@v1; Canonical transaction beneficiary plus unique controlled credited account; multi-account relationship fixture</t>
  </si>
  <si>
    <t>PRODUCT DEFECT if account omitted/wrong after seed verification</t>
  </si>
  <si>
    <t>BLOCKED — DATA/EVIDENCE</t>
  </si>
  <si>
    <t>MT742-014</t>
  </si>
  <si>
    <t>MESSAGE - 58a credited account not uniquely obtainable</t>
  </si>
  <si>
    <t>transaction-selected beneficiary exists; controlled account data is missing, duplicated or ambiguous under the applicable scope</t>
  </si>
  <si>
    <t>No masked/display reference fallback; no route-copy; fail closed before message generation</t>
  </si>
  <si>
    <t>No MT output; structured data-quality error with remediation evidence</t>
  </si>
  <si>
    <t>FAIL_CLOSED — exact API code OPEN-347-007</t>
  </si>
  <si>
    <t>Error code and unique-account policy require BA/API closure</t>
  </si>
  <si>
    <t>binding=FIX-MT742-014@v1; ssiId=183784e1-c9f1-55f2-97c5-d7eb41d912ff@v1; applicabilityId=912a7f9f-ab60-500b-85d8-89eedd74ff17@v1; rmaId=17b1ad89-0201-5725-986e-64f08bddf213@v1; Separately governed missing/duplicate/ambiguous credited-account fixture</t>
  </si>
  <si>
    <t>EXPECTED DATA-QUALITY NEGATIVE; PRODUCT DEFECT if wrong code/body or message generated</t>
  </si>
  <si>
    <t>BLOCKED — BA/DATA</t>
  </si>
  <si>
    <t>MT754-013</t>
  </si>
  <si>
    <t>transaction-selected beneficiary branch/affiliate; more than one valid credited-account relationship for same scope; 53a/57a absent</t>
  </si>
  <si>
    <t>58A includes the specific credited account plus transaction-selected beneficiary institution</t>
  </si>
  <si>
    <t>us7m_20260717.pdf pp.270-271; field 58a usage rule; C2 p.265</t>
  </si>
  <si>
    <t>binding=FIX-MT754-013@v1; ssiId=0bc47589-93b5-56a8-8a47-a227ec4e27c3@v1; applicabilityId=24831d5b-6a6e-5771-bae1-bca9438c7ff2@v1; rmaId=f60f926b-9339-5bee-ad23-ac6791fc3a87@v1; Canonical transaction beneficiary plus unique controlled credited account; multi-account relationship fixture</t>
  </si>
  <si>
    <t>MT754-014</t>
  </si>
  <si>
    <t>No masked/display reference fallback; no generic SSI/route-copy; fail closed before message generation</t>
  </si>
  <si>
    <t>FAIL_CLOSED — exact API code OPEN-347-008</t>
  </si>
  <si>
    <t>binding=FIX-MT754-014@v1; ssiId=63201a94-e90a-5f0b-b5b6-2158fd58ca8e@v1; applicabilityId=2420f154-1f54-5145-941a-a051ec3789a8@v1; rmaId=82451a0f-2b05-558a-a779-9f96f525a795@v1; Separately governed missing/duplicate/ambiguous credited-account fixture</t>
  </si>
  <si>
    <t>Fixture ID</t>
  </si>
  <si>
    <t>Purpose</t>
  </si>
  <si>
    <t>Allowed content</t>
  </si>
  <si>
    <t>Forbidden content</t>
  </si>
  <si>
    <t>Used by</t>
  </si>
  <si>
    <t>Identity / reset contract</t>
  </si>
  <si>
    <t>All positive QA/API and browser UAT cases</t>
  </si>
  <si>
    <t>MRG-valid, uniquely resolvable, effective-dated synthetic SSI/Nostro, sequence+leg qualified</t>
  </si>
  <si>
    <t>Ambiguity, NULL required reference, duplicate effective identity, deliberate NVR violation</t>
  </si>
  <si>
    <t>QA/API + Browser UAT</t>
  </si>
  <si>
    <t>Single canonical seed manifest + raw-byte SHA-256; reload clears DB and imports this exact seed; case binding IDs are in Fixture Manifest</t>
  </si>
  <si>
    <t>OPEN — current DB has zero ACTIVE MT3/4/7 routes</t>
  </si>
  <si>
    <t>Deliberate data-quality and semantic negative cases</t>
  </si>
  <si>
    <t>Isolated records for missing/duplicate/ambiguous account, invalid option, missing governed source, NVR/usage violations</t>
  </si>
  <si>
    <t>Any record that can match a positive case scope</t>
  </si>
  <si>
    <t>Separate manifest + SHA-256; every record names its case IDs and expected error; load only for negative suite</t>
  </si>
  <si>
    <t>OPEN — SEED REQUIRED</t>
  </si>
  <si>
    <t>MT416/MT785 exclusion guardrails</t>
  </si>
  <si>
    <t>Minimum synthetic request context needed to assert excluded/out-of-scope behavior</t>
  </si>
  <si>
    <t>Production-like SSI that accidentally makes unsupported messages executable</t>
  </si>
  <si>
    <t>QA/API + Browser UAT navigation/filter gate</t>
  </si>
  <si>
    <t>Separate boundary fixture identity or pure request fixture; must not expand the approved 25-message scope</t>
  </si>
  <si>
    <t>OPEN — FIXTURE REQUIRED</t>
  </si>
  <si>
    <t>Metric</t>
  </si>
  <si>
    <t>Calculated</t>
  </si>
  <si>
    <t>Expected</t>
  </si>
  <si>
    <t>Difference</t>
  </si>
  <si>
    <t>Interpretation</t>
  </si>
  <si>
    <t>Total controlled cases</t>
  </si>
  <si>
    <t>358 source + 4 hybrid additions</t>
  </si>
  <si>
    <t>Approved-scope cases</t>
  </si>
  <si>
    <t>Excludes MT416/MT785 boundary cases</t>
  </si>
  <si>
    <t>Boundary cases</t>
  </si>
  <si>
    <t>Negative scope guardrails</t>
  </si>
  <si>
    <t>Positive cases</t>
  </si>
  <si>
    <t>Canonical positive seed</t>
  </si>
  <si>
    <t>Negative cases</t>
  </si>
  <si>
    <t>Separately governed negative fixture</t>
  </si>
  <si>
    <t>Boundary cases by polarity</t>
  </si>
  <si>
    <t>Scope guardrails</t>
  </si>
  <si>
    <t>Polarity ledger difference</t>
  </si>
  <si>
    <t>Must be zero</t>
  </si>
  <si>
    <t>Not executed</t>
  </si>
  <si>
    <t>No acceptance claim</t>
  </si>
  <si>
    <t>PASS</t>
  </si>
  <si>
    <t>Execution result</t>
  </si>
  <si>
    <t>FAIL</t>
  </si>
  <si>
    <t>BLOCKED execution</t>
  </si>
  <si>
    <t>Execution status, distinct from design-time gates</t>
  </si>
  <si>
    <t>Execution ledger difference</t>
  </si>
  <si>
    <t>Approved message types</t>
  </si>
  <si>
    <t>BA-approved scope</t>
  </si>
  <si>
    <t>Sequence-qualified scenarios</t>
  </si>
  <si>
    <t>Materialized unique message+sequence+business-scenario registry; detects drift</t>
  </si>
  <si>
    <t>Field-rule anchors</t>
  </si>
  <si>
    <t>MRG field anchors</t>
  </si>
  <si>
    <t>Hybrid conditional SSI rules</t>
  </si>
  <si>
    <t>MT742.58a and MT754.58a</t>
  </si>
  <si>
    <t>Open decisions</t>
  </si>
  <si>
    <t>Must close before final release as applicable</t>
  </si>
  <si>
    <t>Per-case fixture bindings</t>
  </si>
  <si>
    <t>Every case has exact proposed fixture identity/version</t>
  </si>
  <si>
    <t>Ledger defects</t>
  </si>
  <si>
    <t>ID</t>
  </si>
  <si>
    <t>Source statement</t>
  </si>
  <si>
    <t>Controlled ruling</t>
  </si>
  <si>
    <t>Evidence</t>
  </si>
  <si>
    <t>Effect</t>
  </si>
  <si>
    <t>REC-001</t>
  </si>
  <si>
    <t>Test plan v4 Scope lists MT742 SSI tags as 57a only</t>
  </si>
  <si>
    <t>58a institution remains transaction context, but credited-account component is conditionally SSI-relevant</t>
  </si>
  <si>
    <t>us7m_20260717.pdf pp.220-221; memory/swift-mt347-v2.md</t>
  </si>
  <si>
    <t>Scope, rule classification and two TDD cases corrected/added</t>
  </si>
  <si>
    <t>REC-002</t>
  </si>
  <si>
    <t>Test plan v4 Scope lists MT754 SSI tags as 57a only</t>
  </si>
  <si>
    <t>us7m_20260717.pdf pp.270-271; memory/swift-mt347-v2.md</t>
  </si>
  <si>
    <t>REC-003</t>
  </si>
  <si>
    <t>Role Profiles blanket-classifies MT742/MT754 58a OUT_OF_SSI_SCOPE</t>
  </si>
  <si>
    <t>Blanket exclusion rejected; HYBRID_CONDITIONAL_SSI</t>
  </si>
  <si>
    <t>MRG requires specific credited account under multiple-account condition</t>
  </si>
  <si>
    <t>OPEN-347-007/008 created</t>
  </si>
  <si>
    <t>REC-004</t>
  </si>
  <si>
    <t>Source plan reports 358 cases</t>
  </si>
  <si>
    <t>358 retained + 4 hybrid cases = 362; 2 are deliberate out-of-scope boundary cases</t>
  </si>
  <si>
    <t>Controlled TDD inventory</t>
  </si>
  <si>
    <t>360 approved-scope cases; no execution claim</t>
  </si>
  <si>
    <t>REC-005</t>
  </si>
  <si>
    <t>Chinese v5 matrix is message-level aggregate</t>
  </si>
  <si>
    <t>Sequence+occurrence+leg remain mandatory identity components</t>
  </si>
  <si>
    <t>SR2026 Cat3 MRG format profiles; memory section 4</t>
  </si>
  <si>
    <t>Aggregate matrix cannot drive rendering alone</t>
  </si>
  <si>
    <t>REC-006</t>
  </si>
  <si>
    <t>Source plan Data Gaps says earlier BA workbook not present</t>
  </si>
  <si>
    <t>Named BA matrix is now present and registered with exact SHA-256</t>
  </si>
  <si>
    <t>Source Register</t>
  </si>
  <si>
    <t>Obsolete gap replaced by controlled traceability</t>
  </si>
  <si>
    <t>REC-007</t>
  </si>
  <si>
    <t>Portal labels selected profiles VERIFIED REFERENCE</t>
  </si>
  <si>
    <t>Label derives from generated executable catalogue, not independent BA/MRG/UAT proof</t>
  </si>
  <si>
    <t>memory/swift-mt347-v2.md discrepancy 1</t>
  </si>
  <si>
    <t>REC-008</t>
  </si>
  <si>
    <t>Portal metadata asserts a message-profile identity</t>
  </si>
  <si>
    <t>MT347 UI/API must expose FIN-only message, option, sequence/leg and evidence identity</t>
  </si>
  <si>
    <t>SWIFT_SR2026_MT3_MT4_MT7_SSI_分析_中文版_v7.docx section 8</t>
  </si>
  <si>
    <t>OPEN-347-009; remove non-FIN target/version metadata</t>
  </si>
  <si>
    <t>REC-009</t>
  </si>
  <si>
    <t>Mapping catalogue points only to format pages for three NVRs</t>
  </si>
  <si>
    <t>NVR evidence pages are MT400 C1 p.13, MT754 C2 p.265, MT769 C3 p.397</t>
  </si>
  <si>
    <t>us4m/us7m SR2026 MRG</t>
  </si>
  <si>
    <t>Exact rule-page anchors retained</t>
  </si>
  <si>
    <t>REC-010</t>
  </si>
  <si>
    <t>Source plan uses shorthand BANK-SVC-CITI/HSBC/DEUT</t>
  </si>
  <si>
    <t>Executable directory IDs are BANK-SVC-CITIUS33 / BANK-SVC-HSBCHKHH / BANK-SVC-DEUTDEFF</t>
  </si>
  <si>
    <t>QA inspection of current service directory; evidence package pending</t>
  </si>
  <si>
    <t>All case inputs normalized; exact IDs listed in Fixture Manifest</t>
  </si>
  <si>
    <t>REC-011</t>
  </si>
  <si>
    <t>Source plan assumes positive SSI routes can be resolved</t>
  </si>
  <si>
    <t>Current canonical seed has no ACTIVE SSI route for MT3/MT4/MT7 FIN messageType</t>
  </si>
  <si>
    <t>QA live configuration inspection 2026-09-12; controlled reproduction evidence pending</t>
  </si>
  <si>
    <t>All approved cases remain execution-blocked until proposed fixture manifest is implemented</t>
  </si>
  <si>
    <t>REC-012</t>
  </si>
  <si>
    <t>RMA availability was not enumerated</t>
  </si>
  <si>
    <t>Current RMA is absent for MT341/360/361/362/364/365/734/750/752/768/769</t>
  </si>
  <si>
    <t>Exact proposed per-case RMA bindings added; absence is a data gap, not a product defect</t>
  </si>
  <si>
    <t>Binding ID / version</t>
  </si>
  <si>
    <t>Bank Service IDs</t>
  </si>
  <si>
    <t>SSI ID / code / version</t>
  </si>
  <si>
    <t>Applicability ID / version</t>
  </si>
  <si>
    <t>Nostro ID / version</t>
  </si>
  <si>
    <t>Expected rendered accountReference</t>
  </si>
  <si>
    <t>RMA ID / version</t>
  </si>
  <si>
    <t>Current canonical DB</t>
  </si>
  <si>
    <t>Implementation status</t>
  </si>
  <si>
    <t>FIX-MT300-001@v1</t>
  </si>
  <si>
    <t>BANK-SVC-DEMOHKHH; BANK-SVC-CITIUS33; BANK-SVC-HSBCHKHH; BANK-SVC-DEUTDEFF; BANK-SVC-BARCGB22</t>
  </si>
  <si>
    <t>b006b443-a420-542d-9b01-a9a85a570d52 / SSI-MT347-MT300_001 / v1</t>
  </si>
  <si>
    <t>2a60a7a7-aba0-5b38-aa80-7c695007e119 / v1</t>
  </si>
  <si>
    <t>b882d100-5bbb-5c8d-86e7-2b552fbe8559 / v1</t>
  </si>
  <si>
    <t>MT347-MT300-001-USD-001</t>
  </si>
  <si>
    <t>e4f37e2f-3505-52ce-8eb1-83d5355b45b7 / v1</t>
  </si>
  <si>
    <t>MISSING — current canonical seed has no ACTIVE SSI route for MT3/MT4/MT7 FIN messageType</t>
  </si>
  <si>
    <t>PROPOSED — NOT LOADED / NOT EXECUTED</t>
  </si>
  <si>
    <t>FIX-MT300-002@v1</t>
  </si>
  <si>
    <t>41301d25-d09c-56f4-980d-4aa298b014c2 / SSI-MT347-MT300_002 / v1</t>
  </si>
  <si>
    <t>a4587f5f-7ef5-569e-a903-498cbc799d83 / v1</t>
  </si>
  <si>
    <t>f9c52e70-fc4d-5031-a2fb-20777e1367e1 / v1</t>
  </si>
  <si>
    <t>MT347-MT300-002-USD-001</t>
  </si>
  <si>
    <t>aaf0ecab-86a7-5e23-b36b-40c2ced5758f / v1</t>
  </si>
  <si>
    <t>FIX-MT300-003@v1</t>
  </si>
  <si>
    <t>b11eb36e-4b91-5f52-86dd-b119f9bcf82f / SSI-MT347-MT300_003 / v1</t>
  </si>
  <si>
    <t>3de6f0e5-2ff3-5671-804f-30afabe5b594 / v1</t>
  </si>
  <si>
    <t>N/A — no own-account role in this case</t>
  </si>
  <si>
    <t>N/A</t>
  </si>
  <si>
    <t>f18101a0-8113-5d4a-b376-34320dfe3b8f / v1</t>
  </si>
  <si>
    <t>FIX-MT300-004@v1</t>
  </si>
  <si>
    <t>105b1a3c-c40a-559c-b5fa-6ad986c323ac / SSI-MT347-MT300_004 / v1</t>
  </si>
  <si>
    <t>3ed0e22e-2854-5487-a2d3-89b23defed42 / v1</t>
  </si>
  <si>
    <t>839668f7-59da-5587-b086-b7535c547661 / v1</t>
  </si>
  <si>
    <t>FIX-MT300-005@v1</t>
  </si>
  <si>
    <t>1d4f5f4a-23ff-5ba7-b5ba-17d0b84b5827 / SSI-MT347-MT300_005 / v1</t>
  </si>
  <si>
    <t>46b67689-5677-55f0-8297-655e9250e77d / v1</t>
  </si>
  <si>
    <t>1e6b784b-5c5d-588e-ab51-86e0d950fbd7 / v1</t>
  </si>
  <si>
    <t>FIX-MT300-006@v1</t>
  </si>
  <si>
    <t>41714b20-c566-542b-b61f-1b7a155801ed / SSI-MT347-MT300_006 / v1</t>
  </si>
  <si>
    <t>b47b9d84-0424-5409-b9a1-1a5d6f8eb7f9 / v1</t>
  </si>
  <si>
    <t>0f76d720-4e0e-5197-9961-ea1a80b0fc79 / v1</t>
  </si>
  <si>
    <t>MT347-MT300-006-USD-001</t>
  </si>
  <si>
    <t>e9a8e99f-6512-5ca4-a3b0-19303aa5d0a6 / v1</t>
  </si>
  <si>
    <t>FIX-MT300-007@v1</t>
  </si>
  <si>
    <t>a94d1a96-e283-5087-b2de-7e388e9eb72b / SSI-MT347-MT300_007 / v1</t>
  </si>
  <si>
    <t>1f258006-0961-5f8e-aaec-65509516db51 / v1</t>
  </si>
  <si>
    <t>273e6cbd-111a-5870-a765-aa1c011e2e47 / v1</t>
  </si>
  <si>
    <t>MT347-MT300-007-USD-001</t>
  </si>
  <si>
    <t>54fa488d-259a-5ec7-aa28-e1a64fc5b312 / v1</t>
  </si>
  <si>
    <t>FIX-MT300-008@v1</t>
  </si>
  <si>
    <t>31fb022a-1272-5515-9778-5939fdbd16dc / SSI-MT347-MT300_008 / v1</t>
  </si>
  <si>
    <t>a68a2082-342f-5ed6-885e-90f0f47788b8 / v1</t>
  </si>
  <si>
    <t>f53a0faa-6c24-5c45-9618-435855ffda4a / v1</t>
  </si>
  <si>
    <t>FIX-MT300-009@v1</t>
  </si>
  <si>
    <t>705a550b-605d-5c38-b706-ecfa3e9c485b / SSI-MT347-MT300_009 / v1</t>
  </si>
  <si>
    <t>d7bada0e-a267-5514-9fe7-742a60345b9a / v1</t>
  </si>
  <si>
    <t>71a776c1-3207-5d0e-84e7-3d636b92e4d3 / v1</t>
  </si>
  <si>
    <t>FIX-MT300-010@v1</t>
  </si>
  <si>
    <t>4a780ec2-d95f-5c3f-898d-f018b5329d3c / SSI-MT347-MT300_010 / v1</t>
  </si>
  <si>
    <t>7bc1f546-edbd-5510-94f9-f65fa42e2776 / v1</t>
  </si>
  <si>
    <t>292c77a8-b766-5eb7-921b-6c95b9985ef8 / v1</t>
  </si>
  <si>
    <t>FIX-MT300-011@v1</t>
  </si>
  <si>
    <t>41d3fb5e-e787-5565-875a-37643167d576 / SSI-MT347-MT300_011 / v1</t>
  </si>
  <si>
    <t>6e9f0853-ed69-5e5c-951b-079e828a6d85 / v1</t>
  </si>
  <si>
    <t>16e9aca8-d037-5df5-95ba-aba126820f8f / v1</t>
  </si>
  <si>
    <t>MT347-MT300-011-USD-001</t>
  </si>
  <si>
    <t>160986a9-7b51-5d68-a6a0-b60a0abafcd1 / v1</t>
  </si>
  <si>
    <t>FIX-MT300-012@v1</t>
  </si>
  <si>
    <t>d4af05e3-cefe-5bb9-aae5-6c1d4f3a8c23 / SSI-MT347-MT300_012 / v1</t>
  </si>
  <si>
    <t>dd720666-a778-595c-aca7-3238585b4e10 / v1</t>
  </si>
  <si>
    <t>f0ec64a4-19a2-56d8-b88b-89fe593a6605 / v1</t>
  </si>
  <si>
    <t>MT347-MT300-012-USD-001</t>
  </si>
  <si>
    <t>46af2d8e-b559-5d3f-81cf-8ad6a9b7b18e / v1</t>
  </si>
  <si>
    <t>FIX-MT300-013@v1</t>
  </si>
  <si>
    <t>f34b9973-84af-5817-b4d1-ffae43bfeebe / SSI-MT347-MT300_013 / v1</t>
  </si>
  <si>
    <t>774ec4ff-660a-5875-8d0d-cf71c9706f1f / v1</t>
  </si>
  <si>
    <t>4460a08a-8c25-5d48-b6f0-c27ad4211838 / v1</t>
  </si>
  <si>
    <t>FIX-MT300-014@v1</t>
  </si>
  <si>
    <t>78ef238c-ff99-56a5-a2eb-955d5d021d35 / SSI-MT347-MT300_014 / v1</t>
  </si>
  <si>
    <t>f8a2c26b-d2df-58d3-b4d4-01fc5b799beb / v1</t>
  </si>
  <si>
    <t>fdf713c4-24c3-5273-9994-52bfd19151a3 / v1</t>
  </si>
  <si>
    <t>FIX-MT300-015@v1</t>
  </si>
  <si>
    <t>d3f1c5cf-70cc-5398-8498-362a46669115 / SSI-MT347-MT300_015 / v1</t>
  </si>
  <si>
    <t>dcdc2ae3-fb4d-5a07-a03c-19612fd26842 / v1</t>
  </si>
  <si>
    <t>92bd6555-d475-53d4-a7e1-141fd757de15 / v1</t>
  </si>
  <si>
    <t>FIX-MT304-001@v1</t>
  </si>
  <si>
    <t>e570ce30-b01a-512f-a826-5307d98458a2 / SSI-MT347-MT304_001 / v1</t>
  </si>
  <si>
    <t>dd15d3a0-8468-5619-a7aa-440d931ee91d / v1</t>
  </si>
  <si>
    <t>9b9cda5e-5ae6-53c7-b0c1-858f476070cf / v1</t>
  </si>
  <si>
    <t>MT347-MT304-001-USD-001</t>
  </si>
  <si>
    <t>1f817efe-d6ea-510c-bff3-2cca6885523e / v1</t>
  </si>
  <si>
    <t>FIX-MT304-002@v1</t>
  </si>
  <si>
    <t>56028ca7-dc7c-5d44-82c9-de4f54e63657 / SSI-MT347-MT304_002 / v1</t>
  </si>
  <si>
    <t>225d267d-e291-59d0-af4f-c5e9aa5b5585 / v1</t>
  </si>
  <si>
    <t>6f7db01b-7237-5832-a8d4-a1f231ca69c8 / v1</t>
  </si>
  <si>
    <t>MT347-MT304-002-USD-001</t>
  </si>
  <si>
    <t>9f556f55-faea-5d7b-b407-e1cb71b703a4 / v1</t>
  </si>
  <si>
    <t>FIX-MT304-003@v1</t>
  </si>
  <si>
    <t>5d292148-c4c8-5259-8212-9bd98a10802b / SSI-MT347-MT304_003 / v1</t>
  </si>
  <si>
    <t>677aaeea-b67f-5923-ba01-a330a6aae866 / v1</t>
  </si>
  <si>
    <t>9555643c-37f1-5c16-9999-12db2ec75c90 / v1</t>
  </si>
  <si>
    <t>MT347-MT304-003-USD-001</t>
  </si>
  <si>
    <t>7698d9bc-b437-5719-8d20-44f1be489896 / v1</t>
  </si>
  <si>
    <t>FIX-MT304-004@v1</t>
  </si>
  <si>
    <t>9ff0b29b-947b-5230-9a00-f38ce66bcbcf / SSI-MT347-MT304_004 / v1</t>
  </si>
  <si>
    <t>1c2b1717-bdf8-57c7-8b0c-8977e154d149 / v1</t>
  </si>
  <si>
    <t>21bd9b0c-e821-5637-a0b8-85f8d94b3fdb / v1</t>
  </si>
  <si>
    <t>FIX-MT304-005@v1</t>
  </si>
  <si>
    <t>c5cbab7a-be9d-5fcd-85cc-7bdbe5e5fc04 / SSI-MT347-MT304_005 / v1</t>
  </si>
  <si>
    <t>70619dae-703c-5c3d-b945-ffa1a380158e / v1</t>
  </si>
  <si>
    <t>4269d1b8-6840-5324-b239-24a66106e467 / v1</t>
  </si>
  <si>
    <t>FIX-MT304-006@v1</t>
  </si>
  <si>
    <t>7a3f49fd-bdc4-59fe-ba91-c50d43145dfa / SSI-MT347-MT304_006 / v1</t>
  </si>
  <si>
    <t>00e5c295-0e24-5122-b4a9-733e12474fd9 / v1</t>
  </si>
  <si>
    <t>27dafbd0-aadd-58a4-b733-415631ca827e / v1</t>
  </si>
  <si>
    <t>MT347-MT304-006-USD-001</t>
  </si>
  <si>
    <t>9657060a-8f03-52f8-96d3-aad928e02b15 / v1</t>
  </si>
  <si>
    <t>FIX-MT304-007@v1</t>
  </si>
  <si>
    <t>a1a67d02-1d3a-570a-ac85-de99ab6d2baa / SSI-MT347-MT304_007 / v1</t>
  </si>
  <si>
    <t>ca9e47ec-04b0-5ed3-9649-7599ca29143b / v1</t>
  </si>
  <si>
    <t>e4950bc4-65bd-56df-bd3f-5379f5ae1783 / v1</t>
  </si>
  <si>
    <t>MT347-MT304-007-USD-001</t>
  </si>
  <si>
    <t>e349938d-a3b4-5d0b-ad82-713e7b097bd8 / v1</t>
  </si>
  <si>
    <t>FIX-MT304-008@v1</t>
  </si>
  <si>
    <t>1d2c7893-3051-5a52-afc1-4c1429f2af6e / SSI-MT347-MT304_008 / v1</t>
  </si>
  <si>
    <t>846e7734-786d-5c2b-88f7-da0d7e527ae2 / v1</t>
  </si>
  <si>
    <t>ed8afdf6-9cc9-5834-89bd-0d5e9a5e6c3a / v1</t>
  </si>
  <si>
    <t>FIX-MT304-009@v1</t>
  </si>
  <si>
    <t>4f2a670a-f23e-5ca6-bd25-e078924fb2b9 / SSI-MT347-MT304_009 / v1</t>
  </si>
  <si>
    <t>0fed1ac4-1d4a-5735-979e-fbff2cdfc8cb / v1</t>
  </si>
  <si>
    <t>7cfdc670-a795-5fbe-b8f6-ee2c91caebe9 / v1</t>
  </si>
  <si>
    <t>FIX-MT304-010@v1</t>
  </si>
  <si>
    <t>292ecb9c-d1c7-552c-8157-ef5bef0f3a55 / SSI-MT347-MT304_010 / v1</t>
  </si>
  <si>
    <t>18610555-b33c-5532-8ffa-a3a272a9aa5e / v1</t>
  </si>
  <si>
    <t>21039ad1-b8b1-5a39-abeb-52af7a02d093 / v1</t>
  </si>
  <si>
    <t>FIX-MT304-011@v1</t>
  </si>
  <si>
    <t>37c4fde8-be44-545b-ab9c-9d4b21dee50c / SSI-MT347-MT304_011 / v1</t>
  </si>
  <si>
    <t>8e160e69-3473-56b1-a50e-c95d1403c043 / v1</t>
  </si>
  <si>
    <t>917e7f89-e7cb-5de7-a1da-5995d66238b3 / v1</t>
  </si>
  <si>
    <t>MT347-MT304-011-USD-001</t>
  </si>
  <si>
    <t>076f8cd1-6cc7-53a3-ba1a-33fdb7468497 / v1</t>
  </si>
  <si>
    <t>FIX-MT304-012@v1</t>
  </si>
  <si>
    <t>197bf109-5275-540f-9128-03b471e08da1 / SSI-MT347-MT304_012 / v1</t>
  </si>
  <si>
    <t>2cfa5209-55fa-5978-bf52-e35d646737b2 / v1</t>
  </si>
  <si>
    <t>60cb552c-ea23-564d-b1bf-a3d4342a367f / v1</t>
  </si>
  <si>
    <t>MT347-MT304-012-USD-001</t>
  </si>
  <si>
    <t>0e2ad45b-4d86-5e30-8853-27b0287d1b17 / v1</t>
  </si>
  <si>
    <t>FIX-MT304-013@v1</t>
  </si>
  <si>
    <t>b1f69cc7-0537-5373-9c4b-57017f93efa7 / SSI-MT347-MT304_013 / v1</t>
  </si>
  <si>
    <t>81e67f09-af87-5ec0-af03-9240429d5174 / v1</t>
  </si>
  <si>
    <t>a8629815-c7fb-51dd-bece-ba9e12e7be3f / v1</t>
  </si>
  <si>
    <t>FIX-MT304-014@v1</t>
  </si>
  <si>
    <t>7d88c646-32ff-51f4-acec-8849abf383c4 / SSI-MT347-MT304_014 / v1</t>
  </si>
  <si>
    <t>e899019a-0cf7-5277-b51e-19de5894ebaf / v1</t>
  </si>
  <si>
    <t>5446d9ce-514b-5838-b9dc-8494999591d7 / v1</t>
  </si>
  <si>
    <t>FIX-MT304-015@v1</t>
  </si>
  <si>
    <t>bcade199-7ec9-540f-84fd-20e9d9204457 / SSI-MT347-MT304_015 / v1</t>
  </si>
  <si>
    <t>8552df33-9518-565e-92c9-69f140461b1c / v1</t>
  </si>
  <si>
    <t>4d69d0f3-998b-53be-a8af-21cefeccad3c / v1</t>
  </si>
  <si>
    <t>FIX-MT305-001@v1</t>
  </si>
  <si>
    <t>900b46ab-96bf-505c-9208-8122066435d3 / SSI-MT347-MT305_001 / v1</t>
  </si>
  <si>
    <t>1e5372dd-87a4-5946-b96b-a9d93e037ecc / v1</t>
  </si>
  <si>
    <t>c9eb5b01-e735-5b8f-8ab8-c60362c2d7af / v1</t>
  </si>
  <si>
    <t>MT347-MT305-001-USD-001</t>
  </si>
  <si>
    <t>de9b8d6c-0b61-5c3b-851f-cea05341fa97 / v1</t>
  </si>
  <si>
    <t>FIX-MT305-002@v1</t>
  </si>
  <si>
    <t>fab01759-710b-55c1-afb1-bba041d3d371 / SSI-MT347-MT305_002 / v1</t>
  </si>
  <si>
    <t>51140c09-7734-5fff-b67d-52f960a27db9 / v1</t>
  </si>
  <si>
    <t>074b44a9-021e-576d-bc7a-35d3cf2cd434 / v1</t>
  </si>
  <si>
    <t>MT347-MT305-002-USD-001</t>
  </si>
  <si>
    <t>83ebd616-d077-5153-8029-9e6c66c65bf6 / v1</t>
  </si>
  <si>
    <t>FIX-MT305-003@v1</t>
  </si>
  <si>
    <t>fb1b13f8-9508-565d-a922-c72445036081 / SSI-MT347-MT305_003 / v1</t>
  </si>
  <si>
    <t>f4deb580-47cb-58e6-b6c9-89848267f652 / v1</t>
  </si>
  <si>
    <t>171dec41-c03e-5559-9e19-6020a057b7f6 / v1</t>
  </si>
  <si>
    <t>FIX-MT305-004@v1</t>
  </si>
  <si>
    <t>5bf1f730-38b2-5e61-9f36-1e26cc3ba247 / SSI-MT347-MT305_004 / v1</t>
  </si>
  <si>
    <t>c5a5dc1f-76bf-5db4-8607-7462603a6cbe / v1</t>
  </si>
  <si>
    <t>e109752b-07f3-56fd-aa6a-11d34b18738b / v1</t>
  </si>
  <si>
    <t>FIX-MT305-005@v1</t>
  </si>
  <si>
    <t>79835cbc-1943-5e40-a803-8f976f4fa572 / SSI-MT347-MT305_005 / v1</t>
  </si>
  <si>
    <t>d8735208-7a36-59c7-91ff-0a45f098dc21 / v1</t>
  </si>
  <si>
    <t>1d3e3dc6-29fc-5262-ba7a-60ee549a5591 / v1</t>
  </si>
  <si>
    <t>FIX-MT306-001@v1</t>
  </si>
  <si>
    <t>095f7312-2353-5f11-9726-9adb21b4c1ee / SSI-MT347-MT306_001 / v1</t>
  </si>
  <si>
    <t>4e74a00c-837b-5354-a012-e9195f2f482c / v1</t>
  </si>
  <si>
    <t>47a358c1-99a3-5083-b8e9-81b9ccd6363f / v1</t>
  </si>
  <si>
    <t>MT347-MT306-001-USD-001</t>
  </si>
  <si>
    <t>64b8f542-a589-5240-ad00-0a11103517c0 / v1</t>
  </si>
  <si>
    <t>FIX-MT306-002@v1</t>
  </si>
  <si>
    <t>56958b92-385e-596d-b36c-8b1aa710b0ea / SSI-MT347-MT306_002 / v1</t>
  </si>
  <si>
    <t>82b3f00f-47ba-537e-9eec-e1dc8c346903 / v1</t>
  </si>
  <si>
    <t>f5e6f9c1-f35a-5f59-acff-8f3dd84091d8 / v1</t>
  </si>
  <si>
    <t>MT347-MT306-002-USD-001</t>
  </si>
  <si>
    <t>d5ea1e52-f0ce-5f90-8d21-e0dbe3c1a9a6 / v1</t>
  </si>
  <si>
    <t>FIX-MT306-003@v1</t>
  </si>
  <si>
    <t>437de773-8085-5431-ac6a-b60a85cb17bb / SSI-MT347-MT306_003 / v1</t>
  </si>
  <si>
    <t>99b4aea0-75a1-5a3d-817c-715a55509df5 / v1</t>
  </si>
  <si>
    <t>604eea09-8117-5c11-9bb0-f2862a71ecfa / v1</t>
  </si>
  <si>
    <t>FIX-MT306-004@v1</t>
  </si>
  <si>
    <t>3898b2ed-7460-5e02-9c02-cf7f5293c43f / SSI-MT347-MT306_004 / v1</t>
  </si>
  <si>
    <t>7b07ea9f-5212-537d-928c-83066767ed78 / v1</t>
  </si>
  <si>
    <t>12b80e3b-ab95-5960-8af7-4240b220143f / v1</t>
  </si>
  <si>
    <t>FIX-MT306-005@v1</t>
  </si>
  <si>
    <t>0c3c9111-a5ce-58d0-8576-79388918a382 / SSI-MT347-MT306_005 / v1</t>
  </si>
  <si>
    <t>843dc7f4-4715-5c00-a973-2ead13681b6c / v1</t>
  </si>
  <si>
    <t>23c4d4a6-14b9-50be-b8b8-53008d4859c1 / v1</t>
  </si>
  <si>
    <t>FIX-MT306-006@v1</t>
  </si>
  <si>
    <t>296f8ac2-3d93-556e-ba1e-e1f7e09300ab / SSI-MT347-MT306_006 / v1</t>
  </si>
  <si>
    <t>63075818-0275-55c1-b15f-5118353b244e / v1</t>
  </si>
  <si>
    <t>495e5bed-b856-5fa2-b3d5-60714e25a5c6 / v1</t>
  </si>
  <si>
    <t>FIX-MT306-007@v1</t>
  </si>
  <si>
    <t>33b73c76-ff2d-5162-8afe-3fb9a7aeae4f / SSI-MT347-MT306_007 / v1</t>
  </si>
  <si>
    <t>12bee852-9686-55fc-89a0-504a13104cfd / v1</t>
  </si>
  <si>
    <t>38d8d8a4-7954-5a08-8671-9eb3d6552885 / v1</t>
  </si>
  <si>
    <t>MT347-MT306-007-USD-001</t>
  </si>
  <si>
    <t>cc926cc7-bc5e-557b-9195-66bc521ab867 / v1</t>
  </si>
  <si>
    <t>FIX-MT306-008@v1</t>
  </si>
  <si>
    <t>3d89ced2-84d1-54d1-b682-5ec01fb74df3 / SSI-MT347-MT306_008 / v1</t>
  </si>
  <si>
    <t>851e67af-d5ac-5f5b-ac08-7845d012d0bf / v1</t>
  </si>
  <si>
    <t>add37a75-c031-5661-a3a1-dcf97f1b6ce0 / v1</t>
  </si>
  <si>
    <t>MT347-MT306-008-USD-001</t>
  </si>
  <si>
    <t>671153c8-db53-5531-893d-2d5f44e736f5 / v1</t>
  </si>
  <si>
    <t>FIX-MT306-009@v1</t>
  </si>
  <si>
    <t>b37d7a3c-da99-52fc-8e5f-26b13d22db49 / SSI-MT347-MT306_009 / v1</t>
  </si>
  <si>
    <t>238ae53d-afd3-5c43-a24d-d7794da8c406 / v1</t>
  </si>
  <si>
    <t>04951198-416f-5487-be69-ad83318f4464 / v1</t>
  </si>
  <si>
    <t>FIX-MT306-010@v1</t>
  </si>
  <si>
    <t>2a07516b-8aa8-58eb-9cb2-9f698f17b9e5 / SSI-MT347-MT306_010 / v1</t>
  </si>
  <si>
    <t>81d92803-334a-5b5c-9bd9-301cbf64b8c6 / v1</t>
  </si>
  <si>
    <t>f3cab0cd-7386-5795-9ea0-c7c15c8ca188 / v1</t>
  </si>
  <si>
    <t>FIX-MT306-011@v1</t>
  </si>
  <si>
    <t>1e188ce2-8a52-5097-9119-22e0dbd71b78 / SSI-MT347-MT306_011 / v1</t>
  </si>
  <si>
    <t>74c4336e-bfb5-584d-8a1f-d80fc02c23ae / v1</t>
  </si>
  <si>
    <t>1a6712b3-f265-5ea9-b2e3-e4e5b541dac0 / v1</t>
  </si>
  <si>
    <t>FIX-MT306-012@v1</t>
  </si>
  <si>
    <t>55550eaa-63f3-5639-baca-dc2afc3abf12 / SSI-MT347-MT306_012 / v1</t>
  </si>
  <si>
    <t>56aea9ef-a8a7-5d8d-9558-406cec11400c / v1</t>
  </si>
  <si>
    <t>cfe9db65-a63a-57e2-b919-f096eb4e9fb4 / v1</t>
  </si>
  <si>
    <t>FIX-MT306-013@v1</t>
  </si>
  <si>
    <t>ac71cff3-79a7-5e1f-9346-73927f17f1bf / SSI-MT347-MT306_013 / v1</t>
  </si>
  <si>
    <t>fe154577-723f-57bc-9710-b6eb2a0c6860 / v1</t>
  </si>
  <si>
    <t>92b1c2ce-d6f5-5028-8c2e-dba8991f6430 / v1</t>
  </si>
  <si>
    <t>MT347-MT306-013-USD-001</t>
  </si>
  <si>
    <t>d367207d-c2aa-5771-b7cb-e6f8c10028e8 / v1</t>
  </si>
  <si>
    <t>FIX-MT306-014@v1</t>
  </si>
  <si>
    <t>535fd73a-e749-5d1e-a4bc-52c1d17f5d65 / SSI-MT347-MT306_014 / v1</t>
  </si>
  <si>
    <t>61a00f67-32f4-5145-aac5-30fb89728c8a / v1</t>
  </si>
  <si>
    <t>020e5358-5252-5232-98c0-b3a09db6d2f3 / v1</t>
  </si>
  <si>
    <t>MT347-MT306-014-USD-001</t>
  </si>
  <si>
    <t>d9cd2545-4b93-55ae-b327-6cbdb0d9be2c / v1</t>
  </si>
  <si>
    <t>FIX-MT306-015@v1</t>
  </si>
  <si>
    <t>5d17c965-d763-5190-b6e2-46270b451d50 / SSI-MT347-MT306_015 / v1</t>
  </si>
  <si>
    <t>317fdf3c-bb14-5412-a2f2-c9396a0eb311 / v1</t>
  </si>
  <si>
    <t>e4489672-aa92-5cf4-9d19-114f5c63b1b1 / v1</t>
  </si>
  <si>
    <t>FIX-MT306-016@v1</t>
  </si>
  <si>
    <t>21abcec9-9cf6-53e4-90ba-86c2d5569ccc / SSI-MT347-MT306_016 / v1</t>
  </si>
  <si>
    <t>9b8500cb-cfdb-59ae-a2b8-9cf06520f6fd / v1</t>
  </si>
  <si>
    <t>1ab8919a-4ec6-5d21-b766-a196fe5daaa0 / v1</t>
  </si>
  <si>
    <t>FIX-MT306-017@v1</t>
  </si>
  <si>
    <t>dc9126b4-b905-518c-ad10-9dde56ab1348 / SSI-MT347-MT306_017 / v1</t>
  </si>
  <si>
    <t>c250db9a-333d-5246-8256-7d202588033c / v1</t>
  </si>
  <si>
    <t>9141a619-2d98-5b57-8f5c-3087131328a1 / v1</t>
  </si>
  <si>
    <t>FIX-MT306-018@v1</t>
  </si>
  <si>
    <t>a19bc03a-6372-56d6-a40e-3003ffd99c6c / SSI-MT347-MT306_018 / v1</t>
  </si>
  <si>
    <t>6d09eed9-d7a4-5a12-a513-c93b14fa27ee / v1</t>
  </si>
  <si>
    <t>85fd27c9-a08f-5ff8-931c-c510c7bd16bb / v1</t>
  </si>
  <si>
    <t>FIX-MT320-001@v1</t>
  </si>
  <si>
    <t>05424953-041c-5822-a83c-0bddc147c743 / SSI-MT347-MT320_001 / v1</t>
  </si>
  <si>
    <t>bcb1f3a6-3b38-554c-95df-45417f813e3d / v1</t>
  </si>
  <si>
    <t>705e3c95-0e04-5a25-b8a9-1c4ff049bd66 / v1</t>
  </si>
  <si>
    <t>MT347-MT320-001-USD-001</t>
  </si>
  <si>
    <t>cf9172e7-0bc0-5ba7-afa1-39e0a8645200 / v1</t>
  </si>
  <si>
    <t>FIX-MT320-002@v1</t>
  </si>
  <si>
    <t>ab740092-98aa-5208-9408-ec5d5d0d35ad / SSI-MT347-MT320_002 / v1</t>
  </si>
  <si>
    <t>e1061a08-f2a7-562c-989d-7b43dfc1abf6 / v1</t>
  </si>
  <si>
    <t>0d2b2524-e69f-55c3-93c9-d899e1773406 / v1</t>
  </si>
  <si>
    <t>MT347-MT320-002-USD-001</t>
  </si>
  <si>
    <t>38884e91-624c-5c57-912e-86a49ca54f19 / v1</t>
  </si>
  <si>
    <t>FIX-MT320-003@v1</t>
  </si>
  <si>
    <t>eb59e2df-e26f-51ce-96ae-0e0da140b9de / SSI-MT347-MT320_003 / v1</t>
  </si>
  <si>
    <t>69f2573a-86c4-5d4a-9d76-ce0deff4e9ef / v1</t>
  </si>
  <si>
    <t>ecbf5dd8-6e3b-5405-be49-400a4dc0159a / v1</t>
  </si>
  <si>
    <t>FIX-MT320-004@v1</t>
  </si>
  <si>
    <t>1d4739fc-166e-5a90-aec4-f7697e89d1bf / SSI-MT347-MT320_004 / v1</t>
  </si>
  <si>
    <t>97ac23f5-11f5-51b4-9ad4-7551d54275a8 / v1</t>
  </si>
  <si>
    <t>6a3926d5-c3d8-5883-bd33-388eb01452d7 / v1</t>
  </si>
  <si>
    <t>FIX-MT320-005@v1</t>
  </si>
  <si>
    <t>11263aa3-9114-5e10-b46a-7d379040145c / SSI-MT347-MT320_005 / v1</t>
  </si>
  <si>
    <t>27a229e5-6d1d-599b-aa4e-fe16e9498a9a / v1</t>
  </si>
  <si>
    <t>125dd8e9-c3d8-5450-bc28-c5ceadc1d561 / v1</t>
  </si>
  <si>
    <t>FIX-MT320-006@v1</t>
  </si>
  <si>
    <t>5bf5a7c7-e19b-570b-acde-1a25100ec1c8 / SSI-MT347-MT320_006 / v1</t>
  </si>
  <si>
    <t>8cd7095f-24c1-5dfc-8992-a2e6d9d98374 / v1</t>
  </si>
  <si>
    <t>0241a52c-0f79-5549-8fa4-64a3b38fbb99 / v1</t>
  </si>
  <si>
    <t>FIX-MT320-007@v1</t>
  </si>
  <si>
    <t>edeaedfa-e417-5e89-80d4-1394af7848d1 / SSI-MT347-MT320_007 / v1</t>
  </si>
  <si>
    <t>d6f2edfd-60f4-5724-af76-1e971582e2a4 / v1</t>
  </si>
  <si>
    <t>7eaa3eb5-662b-5737-aa86-cf516f01f7be / v1</t>
  </si>
  <si>
    <t>MT347-MT320-007-USD-001</t>
  </si>
  <si>
    <t>327d6740-264b-5022-a9f6-dcab800936a6 / v1</t>
  </si>
  <si>
    <t>FIX-MT320-008@v1</t>
  </si>
  <si>
    <t>36448874-b8c6-536f-89e3-daf4aa3c0830 / SSI-MT347-MT320_008 / v1</t>
  </si>
  <si>
    <t>714dcc70-4070-5513-8f94-f8d6ff2d7c94 / v1</t>
  </si>
  <si>
    <t>f3a71492-e485-5310-aa4b-968e2d4ca5eb / v1</t>
  </si>
  <si>
    <t>MT347-MT320-008-USD-001</t>
  </si>
  <si>
    <t>8a8f54d2-7a38-514f-8ecd-fe3a18ed4bf9 / v1</t>
  </si>
  <si>
    <t>FIX-MT320-009@v1</t>
  </si>
  <si>
    <t>95993a5a-da52-5c1e-90e6-19764534e9a6 / SSI-MT347-MT320_009 / v1</t>
  </si>
  <si>
    <t>2c9118fc-b944-5d8f-b70d-02e161943806 / v1</t>
  </si>
  <si>
    <t>8a063d90-6d7b-57c2-bb5c-db3ed73e299f / v1</t>
  </si>
  <si>
    <t>FIX-MT320-010@v1</t>
  </si>
  <si>
    <t>a1952d06-7c6d-5716-b40c-9d975c581dff / SSI-MT347-MT320_010 / v1</t>
  </si>
  <si>
    <t>5ef5d613-d115-5c51-8a4e-3e0757257d93 / v1</t>
  </si>
  <si>
    <t>b05aea0c-cc96-5cdf-b8e6-d28d916cd5af / v1</t>
  </si>
  <si>
    <t>FIX-MT320-011@v1</t>
  </si>
  <si>
    <t>96f68bd3-44da-5439-9be4-88cef41e1142 / SSI-MT347-MT320_011 / v1</t>
  </si>
  <si>
    <t>cd9f0deb-784c-5389-93a0-1dd4bd48033f / v1</t>
  </si>
  <si>
    <t>1f5d3c14-0a8a-54d8-82c2-49eb827ed20b / v1</t>
  </si>
  <si>
    <t>FIX-MT320-012@v1</t>
  </si>
  <si>
    <t>d3b47e9b-db35-5b51-b3a6-aae894022d9d / SSI-MT347-MT320_012 / v1</t>
  </si>
  <si>
    <t>9c630d05-ade5-537a-a092-bb572fb91268 / v1</t>
  </si>
  <si>
    <t>e146ac77-71d2-5ba4-8d1c-aaf86e3d96f3 / v1</t>
  </si>
  <si>
    <t>FIX-MT320-013@v1</t>
  </si>
  <si>
    <t>1699d960-c66c-51f4-984c-69b26e4a8f1d / SSI-MT347-MT320_013 / v1</t>
  </si>
  <si>
    <t>fc9ebbc6-2be1-5ac5-826d-414cd1968634 / v1</t>
  </si>
  <si>
    <t>f320f5c8-2e89-56e1-b817-7198757c2843 / v1</t>
  </si>
  <si>
    <t>MT347-MT320-013-USD-001</t>
  </si>
  <si>
    <t>7ef3b9e0-b33c-5f1d-b4f8-c494dea0b9df / v1</t>
  </si>
  <si>
    <t>FIX-MT320-014@v1</t>
  </si>
  <si>
    <t>27109afb-0bbe-599e-b150-f99f39635a50 / SSI-MT347-MT320_014 / v1</t>
  </si>
  <si>
    <t>6314ef0b-48d9-5c2e-a41b-ebbfe11fdd57 / v1</t>
  </si>
  <si>
    <t>55bf9688-3fff-51e5-a655-b54088f7d2ae / v1</t>
  </si>
  <si>
    <t>MT347-MT320-014-USD-001</t>
  </si>
  <si>
    <t>9b25a709-e61f-536d-97d1-cf49165a1d97 / v1</t>
  </si>
  <si>
    <t>FIX-MT320-015@v1</t>
  </si>
  <si>
    <t>f14842d7-be30-5481-bddf-e3b25a90aa21 / SSI-MT347-MT320_015 / v1</t>
  </si>
  <si>
    <t>1553ab50-77d4-5edb-9ab4-3d3b3710c334 / v1</t>
  </si>
  <si>
    <t>6a4705c1-aeff-5cdd-b508-7ff9ac14d077 / v1</t>
  </si>
  <si>
    <t>FIX-MT320-016@v1</t>
  </si>
  <si>
    <t>746da3f0-e3aa-52fd-951e-958663ab247b / SSI-MT347-MT320_016 / v1</t>
  </si>
  <si>
    <t>4835a3bd-b536-571e-af4b-a988e7e5f67a / v1</t>
  </si>
  <si>
    <t>248d54a0-fbff-544c-84e1-07564766a80a / v1</t>
  </si>
  <si>
    <t>FIX-MT320-017@v1</t>
  </si>
  <si>
    <t>2e339bff-ba3b-5296-a36d-7c423ab17854 / SSI-MT347-MT320_017 / v1</t>
  </si>
  <si>
    <t>a2f10725-fa6b-58ad-a0d5-a20032114419 / v1</t>
  </si>
  <si>
    <t>6cd24060-2e12-590b-8ae0-8a7e2c97bfd2 / v1</t>
  </si>
  <si>
    <t>FIX-MT320-018@v1</t>
  </si>
  <si>
    <t>85231a0e-b43a-5e94-a3e7-89379bccf1be / SSI-MT347-MT320_018 / v1</t>
  </si>
  <si>
    <t>74435a2d-34a0-5650-87b0-91521f1352d3 / v1</t>
  </si>
  <si>
    <t>621f5141-8dae-59c5-b2ee-92c86f33448c / v1</t>
  </si>
  <si>
    <t>FIX-MT320-019@v1</t>
  </si>
  <si>
    <t>c8f9bad1-c93c-503e-a7fe-d34f86924e8b / SSI-MT347-MT320_019 / v1</t>
  </si>
  <si>
    <t>78310dbf-8092-5e7c-962f-04b994d5683e / v1</t>
  </si>
  <si>
    <t>4e96be6c-adc9-544c-9355-aa0b53e0b25c / v1</t>
  </si>
  <si>
    <t>MT347-MT320-019-USD-001</t>
  </si>
  <si>
    <t>a8c9c33b-6487-5090-be03-74b685f15889 / v1</t>
  </si>
  <si>
    <t>FIX-MT320-020@v1</t>
  </si>
  <si>
    <t>03789d53-d1a0-53fd-b648-a15bf7eb832b / SSI-MT347-MT320_020 / v1</t>
  </si>
  <si>
    <t>93b0e249-61c4-5b73-9dd9-15f0cd61abb1 / v1</t>
  </si>
  <si>
    <t>a156e945-173f-5448-85c3-633edf8017d3 / v1</t>
  </si>
  <si>
    <t>MT347-MT320-020-USD-001</t>
  </si>
  <si>
    <t>f47b5872-df19-5875-95c5-c47f91536b25 / v1</t>
  </si>
  <si>
    <t>FIX-MT320-021@v1</t>
  </si>
  <si>
    <t>c0e7a747-e35b-515d-b64f-c1cbaa4a1ef0 / SSI-MT347-MT320_021 / v1</t>
  </si>
  <si>
    <t>7fcb7c40-7f15-562a-aa04-1ef4d59d980f / v1</t>
  </si>
  <si>
    <t>f231980b-279c-5a9e-80c5-2f2a2123d483 / v1</t>
  </si>
  <si>
    <t>FIX-MT320-022@v1</t>
  </si>
  <si>
    <t>6f6eb23c-c5bc-5d3c-a6ac-09335e7d627e / SSI-MT347-MT320_022 / v1</t>
  </si>
  <si>
    <t>8457599e-212f-5b5a-94ea-713cfb854be4 / v1</t>
  </si>
  <si>
    <t>e684a85b-21ae-50b4-97f4-a439b3eb3d67 / v1</t>
  </si>
  <si>
    <t>FIX-MT320-023@v1</t>
  </si>
  <si>
    <t>b2456e98-fbf6-5683-9152-b7c7587b2741 / SSI-MT347-MT320_023 / v1</t>
  </si>
  <si>
    <t>58ecda53-79e6-572f-9293-adcea531605e / v1</t>
  </si>
  <si>
    <t>dd2a9260-a589-5959-b45e-677c5b09f880 / v1</t>
  </si>
  <si>
    <t>FIX-MT320-024@v1</t>
  </si>
  <si>
    <t>a6051ff4-243a-514b-bb41-c59be0c3da76 / SSI-MT347-MT320_024 / v1</t>
  </si>
  <si>
    <t>dd8e3d55-c6ce-5752-8097-8dcd65d68861 / v1</t>
  </si>
  <si>
    <t>3fe5d413-01f4-5cca-9a7b-1ccd0ff0dd77 / v1</t>
  </si>
  <si>
    <t>FIX-MT320-025@v1</t>
  </si>
  <si>
    <t>9e1ee2bf-3843-5899-b6d4-eea8738cb519 / SSI-MT347-MT320_025 / v1</t>
  </si>
  <si>
    <t>db3f5f54-7205-5ff9-bb00-b02c453b5121 / v1</t>
  </si>
  <si>
    <t>8747a9a8-b5bb-550e-8668-016d66ded422 / v1</t>
  </si>
  <si>
    <t>MT347-MT320-025-USD-001</t>
  </si>
  <si>
    <t>c2dc8378-9701-5345-a24a-d661aa42c69f / v1</t>
  </si>
  <si>
    <t>FIX-MT320-026@v1</t>
  </si>
  <si>
    <t>15f6cbe9-ad28-59d4-9e57-b877f5073f17 / SSI-MT347-MT320_026 / v1</t>
  </si>
  <si>
    <t>b98a4e3d-83be-52ba-b462-20a74cc7af69 / v1</t>
  </si>
  <si>
    <t>ca95bcfe-491f-5c3b-9b69-265114ba77ba / v1</t>
  </si>
  <si>
    <t>MT347-MT320-026-USD-001</t>
  </si>
  <si>
    <t>2399ef10-8788-595a-a05c-02c11fad5618 / v1</t>
  </si>
  <si>
    <t>FIX-MT320-027@v1</t>
  </si>
  <si>
    <t>529661e6-9a4d-58cb-9980-9fc15804e9d8 / SSI-MT347-MT320_027 / v1</t>
  </si>
  <si>
    <t>cb08297b-ed59-556f-8050-d40105a07746 / v1</t>
  </si>
  <si>
    <t>c5870a5f-6486-5562-b196-a20959d79377 / v1</t>
  </si>
  <si>
    <t>FIX-MT320-028@v1</t>
  </si>
  <si>
    <t>1912c10c-f9de-5322-8038-37ce9b32806a / SSI-MT347-MT320_028 / v1</t>
  </si>
  <si>
    <t>155a40c1-4362-5197-994f-239d8fdce094 / v1</t>
  </si>
  <si>
    <t>6aaf84bf-4633-5ae1-b0c4-b8ab8ea81144 / v1</t>
  </si>
  <si>
    <t>FIX-MT320-029@v1</t>
  </si>
  <si>
    <t>a234280a-ee36-5520-abe9-710c29c9f42f / SSI-MT347-MT320_029 / v1</t>
  </si>
  <si>
    <t>a24b2886-66ac-5d48-9000-3738ee5debbd / v1</t>
  </si>
  <si>
    <t>b445bbe4-3609-51be-bbab-c20acc47ed93 / v1</t>
  </si>
  <si>
    <t>FIX-MT320-030@v1</t>
  </si>
  <si>
    <t>1ff6b25b-cdea-58cc-b085-68f3d04327a7 / SSI-MT347-MT320_030 / v1</t>
  </si>
  <si>
    <t>8dd37b42-5e22-5ce0-9794-1e41ab347adb / v1</t>
  </si>
  <si>
    <t>aa843238-24ea-5e41-9223-4cd8792a4427 / v1</t>
  </si>
  <si>
    <t>FIX-MT330-001@v1</t>
  </si>
  <si>
    <t>3c69a79a-372a-51dc-9f66-28184fc59437 / SSI-MT347-MT330_001 / v1</t>
  </si>
  <si>
    <t>f6ba3db7-85bf-57b9-bf95-7ed2858f36f3 / v1</t>
  </si>
  <si>
    <t>0644e30a-f9f9-5d1b-b176-5cc356bef1a7 / v1</t>
  </si>
  <si>
    <t>MT347-MT330-001-USD-001</t>
  </si>
  <si>
    <t>855208ce-0101-5106-b16f-13bc66975d88 / v1</t>
  </si>
  <si>
    <t>FIX-MT330-002@v1</t>
  </si>
  <si>
    <t>81664bc1-d5c6-5759-9cd0-2798d17a5240 / SSI-MT347-MT330_002 / v1</t>
  </si>
  <si>
    <t>585d3d81-fe5d-560f-b5f8-9e4c7bf6c722 / v1</t>
  </si>
  <si>
    <t>cde62edd-b6fe-5aae-a999-25913eb82452 / v1</t>
  </si>
  <si>
    <t>MT347-MT330-002-USD-001</t>
  </si>
  <si>
    <t>28a44d42-6ddd-5a1a-8ea5-478e60519015 / v1</t>
  </si>
  <si>
    <t>FIX-MT330-003@v1</t>
  </si>
  <si>
    <t>ef9299f8-020d-513a-88d7-f50cfe0f095a / SSI-MT347-MT330_003 / v1</t>
  </si>
  <si>
    <t>80194daf-9d48-581b-8196-0ae9e09ad587 / v1</t>
  </si>
  <si>
    <t>3c093f27-2eae-52d7-a0c7-3ec7c7666a9d / v1</t>
  </si>
  <si>
    <t>FIX-MT330-004@v1</t>
  </si>
  <si>
    <t>1fa50f23-557b-54c4-a1d1-50bb3d89d678 / SSI-MT347-MT330_004 / v1</t>
  </si>
  <si>
    <t>1929ee94-c166-52d6-987e-956f1d7c2fb9 / v1</t>
  </si>
  <si>
    <t>0dd23667-2815-5e16-9c77-be4c24532e5f / v1</t>
  </si>
  <si>
    <t>FIX-MT330-005@v1</t>
  </si>
  <si>
    <t>f7c710b8-9aa6-59a1-b8f3-4a2446efde64 / SSI-MT347-MT330_005 / v1</t>
  </si>
  <si>
    <t>0bd21117-0eae-5b34-903f-3d3c91b19316 / v1</t>
  </si>
  <si>
    <t>4c3c7f18-f9fb-5593-9419-0af393167fd1 / v1</t>
  </si>
  <si>
    <t>FIX-MT330-006@v1</t>
  </si>
  <si>
    <t>a3f7d14e-6337-5fc8-ba56-7d81f4642523 / SSI-MT347-MT330_006 / v1</t>
  </si>
  <si>
    <t>f69fe9f2-12ee-54cd-90dd-b6e14c8f3628 / v1</t>
  </si>
  <si>
    <t>de532f93-2c95-5713-b44b-755f76c9e59e / v1</t>
  </si>
  <si>
    <t>FIX-MT330-007@v1</t>
  </si>
  <si>
    <t>2175332c-8601-5cc8-9244-e1ef9c30e011 / SSI-MT347-MT330_007 / v1</t>
  </si>
  <si>
    <t>74bd766e-7269-587b-a916-f83e812aaace / v1</t>
  </si>
  <si>
    <t>e27db2f4-a477-5877-a009-346ed58c2673 / v1</t>
  </si>
  <si>
    <t>MT347-MT330-007-USD-001</t>
  </si>
  <si>
    <t>5975e807-c45c-5aef-904f-a7dd78d382fb / v1</t>
  </si>
  <si>
    <t>FIX-MT330-008@v1</t>
  </si>
  <si>
    <t>b8a8c304-4295-5ccf-9bf5-27393a787c7c / SSI-MT347-MT330_008 / v1</t>
  </si>
  <si>
    <t>c2ad4087-92a8-552c-a09c-e3dcc89b9acf / v1</t>
  </si>
  <si>
    <t>6bb63b09-ecbe-5f12-8c38-5d506c1be229 / v1</t>
  </si>
  <si>
    <t>MT347-MT330-008-USD-001</t>
  </si>
  <si>
    <t>b68789d4-6dae-55d6-bf18-586c4df600ad / v1</t>
  </si>
  <si>
    <t>FIX-MT330-009@v1</t>
  </si>
  <si>
    <t>69892abe-2d15-552c-8f00-f93d34025775 / SSI-MT347-MT330_009 / v1</t>
  </si>
  <si>
    <t>01fa3acb-7b76-500d-a109-35344899f938 / v1</t>
  </si>
  <si>
    <t>f4b2e32f-2208-5bec-bd06-ffa50248e991 / v1</t>
  </si>
  <si>
    <t>FIX-MT330-010@v1</t>
  </si>
  <si>
    <t>590ff4fd-8b83-5220-aac4-d8f4ca7b66b0 / SSI-MT347-MT330_010 / v1</t>
  </si>
  <si>
    <t>84c7eabe-aceb-558c-92c7-313c2d2b8378 / v1</t>
  </si>
  <si>
    <t>3046e979-5149-5049-9838-faa0a8df07d5 / v1</t>
  </si>
  <si>
    <t>FIX-MT330-011@v1</t>
  </si>
  <si>
    <t>18446a2f-0a38-5b7e-90c9-1efafd22e99d / SSI-MT347-MT330_011 / v1</t>
  </si>
  <si>
    <t>6341aa74-8d17-59fc-9506-605b6375a430 / v1</t>
  </si>
  <si>
    <t>d62dabd4-c1ce-57b1-be03-204b2fbf9928 / v1</t>
  </si>
  <si>
    <t>FIX-MT330-012@v1</t>
  </si>
  <si>
    <t>27b20814-c799-59da-96f9-90e015ee6130 / SSI-MT347-MT330_012 / v1</t>
  </si>
  <si>
    <t>16c1ac78-abb8-50ab-84e4-a94c5a96a45f / v1</t>
  </si>
  <si>
    <t>b1b91624-4d03-526c-828e-1e1b0a84c9b9 / v1</t>
  </si>
  <si>
    <t>FIX-MT330-013@v1</t>
  </si>
  <si>
    <t>1348e8f6-597f-538a-a2a2-405992f2f4a0 / SSI-MT347-MT330_013 / v1</t>
  </si>
  <si>
    <t>0fc292eb-22f2-5c9d-a2c3-ac5ded382580 / v1</t>
  </si>
  <si>
    <t>bed2d12e-ba26-5015-b3ef-f3af192e3f1e / v1</t>
  </si>
  <si>
    <t>MT347-MT330-013-USD-001</t>
  </si>
  <si>
    <t>39dd8f48-e73f-5933-bd29-e7513672fbb0 / v1</t>
  </si>
  <si>
    <t>FIX-MT330-014@v1</t>
  </si>
  <si>
    <t>49a8b402-3b89-5916-abf2-1e2555d472de / SSI-MT347-MT330_014 / v1</t>
  </si>
  <si>
    <t>1e987b70-2f3e-5d5d-b747-58f274dde929 / v1</t>
  </si>
  <si>
    <t>b06930cd-c151-5fc6-bb36-4fc9d9cde085 / v1</t>
  </si>
  <si>
    <t>MT347-MT330-014-USD-001</t>
  </si>
  <si>
    <t>464e58a8-7a0d-5edc-adcc-9d642fcb3ae9 / v1</t>
  </si>
  <si>
    <t>FIX-MT330-015@v1</t>
  </si>
  <si>
    <t>d2a8d438-51a9-5176-bc09-7978c6ca8797 / SSI-MT347-MT330_015 / v1</t>
  </si>
  <si>
    <t>ceb91628-1809-576b-9e64-a15cf8189366 / v1</t>
  </si>
  <si>
    <t>6d9df27d-9ff0-58aa-a76f-4de3714d92b0 / v1</t>
  </si>
  <si>
    <t>FIX-MT330-016@v1</t>
  </si>
  <si>
    <t>fdf6d2f9-cd6e-55a8-ac5a-9af43cd0b86b / SSI-MT347-MT330_016 / v1</t>
  </si>
  <si>
    <t>8fae66df-a681-5b47-b87d-9d2f9c579f1e / v1</t>
  </si>
  <si>
    <t>d775734e-4d98-55f9-b075-a36822e5c5f4 / v1</t>
  </si>
  <si>
    <t>FIX-MT330-017@v1</t>
  </si>
  <si>
    <t>3b231d1a-5110-507f-a145-ce010d907349 / SSI-MT347-MT330_017 / v1</t>
  </si>
  <si>
    <t>530368c2-581d-55ee-a274-7df7c20e4501 / v1</t>
  </si>
  <si>
    <t>6d68ef14-bc69-5e4f-bdff-076891918efc / v1</t>
  </si>
  <si>
    <t>FIX-MT330-018@v1</t>
  </si>
  <si>
    <t>754356d2-e5a7-566b-a1c1-cee70b166fb4 / SSI-MT347-MT330_018 / v1</t>
  </si>
  <si>
    <t>f5c0e82f-e63c-511a-a07d-ddcd7612e895 / v1</t>
  </si>
  <si>
    <t>cc61fa74-eaad-5f79-9bdf-33411d027d11 / v1</t>
  </si>
  <si>
    <t>FIX-MT330-019@v1</t>
  </si>
  <si>
    <t>1872c264-3721-5884-bf6d-cd6a65f54b15 / SSI-MT347-MT330_019 / v1</t>
  </si>
  <si>
    <t>e0b3989e-78fa-57f6-8dbc-13f96727d352 / v1</t>
  </si>
  <si>
    <t>e6cef9b1-4cdc-59c4-b869-436fb1d31c8d / v1</t>
  </si>
  <si>
    <t>MT347-MT330-019-USD-001</t>
  </si>
  <si>
    <t>726cd1a4-19f5-5dc5-be55-6d5c08e4dead / v1</t>
  </si>
  <si>
    <t>FIX-MT330-020@v1</t>
  </si>
  <si>
    <t>e8016d2f-f811-5065-97ea-d7d200bb0fbd / SSI-MT347-MT330_020 / v1</t>
  </si>
  <si>
    <t>3dc5c24d-30a3-54c8-926e-29c94747c448 / v1</t>
  </si>
  <si>
    <t>45819c4e-68af-5bb4-98d9-b81e28d9db66 / v1</t>
  </si>
  <si>
    <t>MT347-MT330-020-USD-001</t>
  </si>
  <si>
    <t>69be6716-93e8-50af-a3ce-964aa460660e / v1</t>
  </si>
  <si>
    <t>FIX-MT330-021@v1</t>
  </si>
  <si>
    <t>30eab7a5-b045-549d-8665-dce544e76f18 / SSI-MT347-MT330_021 / v1</t>
  </si>
  <si>
    <t>8b381aa8-2ca9-56bf-ba9d-9d37cace9ae6 / v1</t>
  </si>
  <si>
    <t>488ee514-bac2-5b62-933b-bd42fe87deeb / v1</t>
  </si>
  <si>
    <t>FIX-MT330-022@v1</t>
  </si>
  <si>
    <t>725b1039-5919-5902-81ca-8cd8b2c1f2bc / SSI-MT347-MT330_022 / v1</t>
  </si>
  <si>
    <t>58ecf8fd-c10a-567d-8cee-f27ded7019f6 / v1</t>
  </si>
  <si>
    <t>3f7ca4f2-dff5-5b58-881b-c449469f1e94 / v1</t>
  </si>
  <si>
    <t>FIX-MT330-023@v1</t>
  </si>
  <si>
    <t>55363e0a-664e-5edd-95fe-97571c8d2f00 / SSI-MT347-MT330_023 / v1</t>
  </si>
  <si>
    <t>9e06a2cf-2b2d-54f3-8d8c-ef5813f8c246 / v1</t>
  </si>
  <si>
    <t>b464d2cc-53f1-5ec1-b6d6-9d10f3a1fa9b / v1</t>
  </si>
  <si>
    <t>FIX-MT330-024@v1</t>
  </si>
  <si>
    <t>fc29a789-9595-5316-88a2-ba13f5c06422 / SSI-MT347-MT330_024 / v1</t>
  </si>
  <si>
    <t>dbdbd96f-ee7d-5719-85e2-29727752220d / v1</t>
  </si>
  <si>
    <t>d4fb806f-206c-5f40-8f17-ef95152c7852 / v1</t>
  </si>
  <si>
    <t>FIX-MT340-001@v1</t>
  </si>
  <si>
    <t>960249a2-e1bf-55a5-977b-acb35085d884 / SSI-MT347-MT340_001 / v1</t>
  </si>
  <si>
    <t>e5adaf65-ff66-59f6-a880-c81520ff618c / v1</t>
  </si>
  <si>
    <t>2b6e2f95-fc59-53b6-a5fd-0ef665562d06 / v1</t>
  </si>
  <si>
    <t>MT347-MT340-001-USD-001</t>
  </si>
  <si>
    <t>e35fca75-5311-5149-9748-13777e886119 / v1</t>
  </si>
  <si>
    <t>FIX-MT340-002@v1</t>
  </si>
  <si>
    <t>6e8e6067-ab92-5042-99fc-99926da01e73 / SSI-MT347-MT340_002 / v1</t>
  </si>
  <si>
    <t>c94e4403-d78d-54ec-98c8-2dd5e8ed72ca / v1</t>
  </si>
  <si>
    <t>e98da5f2-ec6b-5de3-bf3b-800dce522d38 / v1</t>
  </si>
  <si>
    <t>MT347-MT340-002-USD-001</t>
  </si>
  <si>
    <t>c197e292-3d30-5660-b4b4-f98e72e3a2b8 / v1</t>
  </si>
  <si>
    <t>FIX-MT340-003@v1</t>
  </si>
  <si>
    <t>3acadf9a-e516-52fb-9b95-004ae5b6163b / SSI-MT347-MT340_003 / v1</t>
  </si>
  <si>
    <t>50ccfdbf-d55f-5d7f-b589-12fc5e7744f0 / v1</t>
  </si>
  <si>
    <t>1daad492-36ef-52c5-92b5-b06afd54f255 / v1</t>
  </si>
  <si>
    <t>FIX-MT340-004@v1</t>
  </si>
  <si>
    <t>960bd20f-3f71-55a6-bc5c-fd05ce38fe02 / SSI-MT347-MT340_004 / v1</t>
  </si>
  <si>
    <t>8be0460a-882d-5564-a595-664a98d4acec / v1</t>
  </si>
  <si>
    <t>fb96c820-dcf6-57fa-b41e-a00c5f92533b / v1</t>
  </si>
  <si>
    <t>FIX-MT340-005@v1</t>
  </si>
  <si>
    <t>8db2783e-5123-5081-8dc0-f4f1a0bb9d18 / SSI-MT347-MT340_005 / v1</t>
  </si>
  <si>
    <t>b862580f-fd3d-50ae-9e23-f061ee2301ac / v1</t>
  </si>
  <si>
    <t>be6763a1-c592-5b4e-b13a-82770239b1c9 / v1</t>
  </si>
  <si>
    <t>FIX-MT340-006@v1</t>
  </si>
  <si>
    <t>246f39d4-fcb4-52d5-aee9-01d0b0eb7d6a / SSI-MT347-MT340_006 / v1</t>
  </si>
  <si>
    <t>b38eb4ef-ca8b-5a75-84b9-6557e71be0e0 / v1</t>
  </si>
  <si>
    <t>78484337-8f70-580e-90ee-c2ebaa1eaedb / v1</t>
  </si>
  <si>
    <t>FIX-MT340-007@v1</t>
  </si>
  <si>
    <t>b8a034ce-755c-5110-9a1b-b207526aecd0 / SSI-MT347-MT340_007 / v1</t>
  </si>
  <si>
    <t>baa00e7a-a4c1-56fc-8e1e-dbdb4bff9456 / v1</t>
  </si>
  <si>
    <t>c8f21063-138c-50d1-b4b8-229ab2f75fcc / v1</t>
  </si>
  <si>
    <t>MT347-MT340-007-USD-001</t>
  </si>
  <si>
    <t>e332d30a-c18d-5051-a73f-6bbd9a4c911e / v1</t>
  </si>
  <si>
    <t>FIX-MT340-008@v1</t>
  </si>
  <si>
    <t>3365cff7-8154-5f68-a5ba-c69dfd3c77e2 / SSI-MT347-MT340_008 / v1</t>
  </si>
  <si>
    <t>92ff4abd-50b7-5034-b017-9c115992468c / v1</t>
  </si>
  <si>
    <t>c9b1bab7-0f56-5a20-82d9-ee58bfde306c / v1</t>
  </si>
  <si>
    <t>MT347-MT340-008-USD-001</t>
  </si>
  <si>
    <t>55af78b8-dec3-5a0f-b0f1-bd4e63cfe217 / v1</t>
  </si>
  <si>
    <t>FIX-MT340-009@v1</t>
  </si>
  <si>
    <t>2ec62d59-73eb-5b6d-930f-320c74f19548 / SSI-MT347-MT340_009 / v1</t>
  </si>
  <si>
    <t>79902bb6-8902-5f9b-8411-ad4038bf8ea1 / v1</t>
  </si>
  <si>
    <t>8ba63bea-f105-5d4f-9cae-677ecd36e914 / v1</t>
  </si>
  <si>
    <t>FIX-MT340-010@v1</t>
  </si>
  <si>
    <t>dd522bf2-9b1b-5a01-9c46-23aaf8a718da / SSI-MT347-MT340_010 / v1</t>
  </si>
  <si>
    <t>96c5d9e7-d465-58cb-9f07-5a69fdadd781 / v1</t>
  </si>
  <si>
    <t>9b42f0ac-193e-56c0-bdb6-7e903263ffbb / v1</t>
  </si>
  <si>
    <t>FIX-MT340-011@v1</t>
  </si>
  <si>
    <t>5fc60c88-1fc7-5873-bda0-3023a1afca75 / SSI-MT347-MT340_011 / v1</t>
  </si>
  <si>
    <t>f8bfc4c9-0298-54c7-ade7-635c5d1b430e / v1</t>
  </si>
  <si>
    <t>cb2b7af5-7bdf-5f00-8665-6cf01e811c6c / v1</t>
  </si>
  <si>
    <t>FIX-MT340-012@v1</t>
  </si>
  <si>
    <t>af84974a-b72e-5693-8b7d-316a506f005a / SSI-MT347-MT340_012 / v1</t>
  </si>
  <si>
    <t>2b9fbe94-6545-559d-8ae0-1f56499f7c1e / v1</t>
  </si>
  <si>
    <t>191b9f78-5e58-5587-acfc-3b782a32e44a / v1</t>
  </si>
  <si>
    <t>FIX-MT340-013@v1</t>
  </si>
  <si>
    <t>17fe9e69-1e62-5a07-8eed-3c2b248e0871 / SSI-MT347-MT340_013 / v1</t>
  </si>
  <si>
    <t>68bda292-bb72-5831-ba72-3fc745996213 / v1</t>
  </si>
  <si>
    <t>460bdece-d739-55d7-9dd3-e7ab35d9ec28 / v1</t>
  </si>
  <si>
    <t>MT347-MT340-013-USD-001</t>
  </si>
  <si>
    <t>04d002fb-95ae-527d-b96c-417e0de93ba0 / v1</t>
  </si>
  <si>
    <t>FIX-MT340-014@v1</t>
  </si>
  <si>
    <t>618e656a-eee2-5677-8ed4-d98e1910f519 / SSI-MT347-MT340_014 / v1</t>
  </si>
  <si>
    <t>f03952f0-efe8-5b7d-a2aa-ee805fcf6832 / v1</t>
  </si>
  <si>
    <t>85124d13-f0b4-5bb1-9b5b-258277b2a829 / v1</t>
  </si>
  <si>
    <t>MT347-MT340-014-USD-001</t>
  </si>
  <si>
    <t>5c7ab35b-f0bd-5d08-aa84-fdbc5b34240c / v1</t>
  </si>
  <si>
    <t>FIX-MT340-015@v1</t>
  </si>
  <si>
    <t>c1a1c32b-2178-52c8-ab5e-9f716916c40f / SSI-MT347-MT340_015 / v1</t>
  </si>
  <si>
    <t>2affe0a7-c9d6-51ec-995b-aed7850fe7a7 / v1</t>
  </si>
  <si>
    <t>8b0575c4-b5cc-5cfb-969d-d1de4053cea1 / v1</t>
  </si>
  <si>
    <t>FIX-MT340-016@v1</t>
  </si>
  <si>
    <t>8dcfd8c2-be09-5dac-ae89-37b476bb2b40 / SSI-MT347-MT340_016 / v1</t>
  </si>
  <si>
    <t>a2579ccb-5263-516a-bb71-3ada03e82289 / v1</t>
  </si>
  <si>
    <t>f2ea0a2b-dbef-5076-817e-f139aa5ab14e / v1</t>
  </si>
  <si>
    <t>FIX-MT340-017@v1</t>
  </si>
  <si>
    <t>240b64d0-7f62-554d-ae21-9173a02dd0c8 / SSI-MT347-MT340_017 / v1</t>
  </si>
  <si>
    <t>213a84b6-e9bc-5062-9722-919167fcc5e1 / v1</t>
  </si>
  <si>
    <t>45918da6-8cef-548a-8624-3e855e09dfa4 / v1</t>
  </si>
  <si>
    <t>FIX-MT340-018@v1</t>
  </si>
  <si>
    <t>c585b7d7-e354-58fe-8f58-e744e98a4780 / SSI-MT347-MT340_018 / v1</t>
  </si>
  <si>
    <t>e4c45518-e64d-50a7-9e58-b1540f8cf2d1 / v1</t>
  </si>
  <si>
    <t>c3de88b5-69f2-59d7-bb5e-95169b96493e / v1</t>
  </si>
  <si>
    <t>FIX-MT341-001@v1</t>
  </si>
  <si>
    <t>a145cb00-64d8-5604-b4a3-08a662d48608 / SSI-MT347-MT341_001 / v1</t>
  </si>
  <si>
    <t>2b3e465d-318a-5c7e-9d00-78cd26715c3f / v1</t>
  </si>
  <si>
    <t>90cb7cc0-864d-52d9-83fa-c5f73e7d2a12 / v1</t>
  </si>
  <si>
    <t>MT347-MT341-001-USD-001</t>
  </si>
  <si>
    <t>e4f85c98-d6e0-5922-b1db-e8d654a6e1c4 / v1</t>
  </si>
  <si>
    <t>FIX-MT341-002@v1</t>
  </si>
  <si>
    <t>63d7a591-9d9a-50c3-a584-8a507c59ee3a / SSI-MT347-MT341_002 / v1</t>
  </si>
  <si>
    <t>75361da9-6a50-5143-8dde-afcf4b21417f / v1</t>
  </si>
  <si>
    <t>1ded8421-d493-5cab-bc83-8a5e58effdec / v1</t>
  </si>
  <si>
    <t>MT347-MT341-002-USD-001</t>
  </si>
  <si>
    <t>6a14fb70-4bd0-5ff4-8399-1af0f5fc8d9a / v1</t>
  </si>
  <si>
    <t>FIX-MT341-003@v1</t>
  </si>
  <si>
    <t>714a80c3-fbde-5b2b-b60d-1a8ed1869c93 / SSI-MT347-MT341_003 / v1</t>
  </si>
  <si>
    <t>e374c927-2b9b-518b-b057-29603f65e9b7 / v1</t>
  </si>
  <si>
    <t>d361b3b8-97fc-56b1-9864-e8ba7e0039a0 / v1</t>
  </si>
  <si>
    <t>FIX-MT341-004@v1</t>
  </si>
  <si>
    <t>166dfe09-e4e5-551c-a146-238eb15a9d1d / SSI-MT347-MT341_004 / v1</t>
  </si>
  <si>
    <t>e7e91381-b279-50e2-954a-a991f2860e42 / v1</t>
  </si>
  <si>
    <t>3c59a908-b16c-5a6a-861f-ccb17ff4b3a2 / v1</t>
  </si>
  <si>
    <t>FIX-MT341-005@v1</t>
  </si>
  <si>
    <t>ea11e2fc-116b-5d66-a250-1c7f36c39f9a / SSI-MT347-MT341_005 / v1</t>
  </si>
  <si>
    <t>ec7d7f1f-2284-5f2e-99ea-cf89488e5b17 / v1</t>
  </si>
  <si>
    <t>74bb2b3c-869f-5fd5-a09e-ea50b48cc39a / v1</t>
  </si>
  <si>
    <t>FIX-MT341-006@v1</t>
  </si>
  <si>
    <t>bfcdd3e6-61cb-5d3b-ab5f-a46c4adc6847 / SSI-MT347-MT341_006 / v1</t>
  </si>
  <si>
    <t>0e7bfb01-a211-5343-9f9d-0d05c7b131dd / v1</t>
  </si>
  <si>
    <t>a644bfdb-e975-5bf5-b79f-f367392e7f6f / v1</t>
  </si>
  <si>
    <t>FIX-MT350-001@v1</t>
  </si>
  <si>
    <t>cb4cb7ac-b47d-56e8-9eaf-2526795a1ae3 / SSI-MT347-MT350_001 / v1</t>
  </si>
  <si>
    <t>31d5ca1c-99f4-503c-8a66-8ec7f90b9a67 / v1</t>
  </si>
  <si>
    <t>1005a2ab-31c9-576a-be08-2a3c9f72be16 / v1</t>
  </si>
  <si>
    <t>MT347-MT350-001-USD-001</t>
  </si>
  <si>
    <t>8e38bd02-4dde-5292-8c21-78ee77803732 / v1</t>
  </si>
  <si>
    <t>FIX-MT350-002@v1</t>
  </si>
  <si>
    <t>2ba75ae8-82ce-5be0-b8b6-500e53b067c0 / SSI-MT347-MT350_002 / v1</t>
  </si>
  <si>
    <t>0ccc7297-7c7c-5d99-91a5-7b2920abb580 / v1</t>
  </si>
  <si>
    <t>664d624c-29a3-53c8-8a1c-bbab0fb67c40 / v1</t>
  </si>
  <si>
    <t>MT347-MT350-002-USD-001</t>
  </si>
  <si>
    <t>222896cd-c737-5670-8139-79fea34a34ce / v1</t>
  </si>
  <si>
    <t>FIX-MT350-003@v1</t>
  </si>
  <si>
    <t>8657f556-dcda-51c5-b1c8-b16e2512a6b6 / SSI-MT347-MT350_003 / v1</t>
  </si>
  <si>
    <t>b163d120-6659-515e-a492-91894a607b3d / v1</t>
  </si>
  <si>
    <t>735a31b3-0424-5946-b4ec-2cc60af08bcf / v1</t>
  </si>
  <si>
    <t>FIX-MT350-004@v1</t>
  </si>
  <si>
    <t>806e2523-1896-5981-9c49-d311845be2e9 / SSI-MT347-MT350_004 / v1</t>
  </si>
  <si>
    <t>eaa8a78c-1316-5998-8840-e542cc23e958 / v1</t>
  </si>
  <si>
    <t>fc79ef38-9462-5309-abf6-14a6be5983a5 / v1</t>
  </si>
  <si>
    <t>FIX-MT350-005@v1</t>
  </si>
  <si>
    <t>acb2cab0-25ed-5b66-ab42-a9f2d117299d / SSI-MT347-MT350_005 / v1</t>
  </si>
  <si>
    <t>0042f660-cbb7-534f-beb4-c2c953597899 / v1</t>
  </si>
  <si>
    <t>76bf95ba-27bf-5074-a508-193417bb7afd / v1</t>
  </si>
  <si>
    <t>FIX-MT350-006@v1</t>
  </si>
  <si>
    <t>74a158b6-a39b-55ec-8e85-012cffee2250 / SSI-MT347-MT350_006 / v1</t>
  </si>
  <si>
    <t>173cd6c7-de1a-5e0c-b9fc-be8775e23616 / v1</t>
  </si>
  <si>
    <t>9154d20e-78c8-52a0-a0df-b5d4c03a4749 / v1</t>
  </si>
  <si>
    <t>FIX-MT360-001@v1</t>
  </si>
  <si>
    <t>b014cbdd-d2eb-592f-86d8-72c0d56f1f70 / SSI-MT347-MT360_001 / v1</t>
  </si>
  <si>
    <t>ce09909b-2df5-5290-b3c2-3c084283284e / v1</t>
  </si>
  <si>
    <t>2f10d399-3405-5854-baf9-042ef524890e / v1</t>
  </si>
  <si>
    <t>MT347-MT360-001-USD-001</t>
  </si>
  <si>
    <t>a7a8640a-1ba4-5782-96dd-2dee5976521a / v1</t>
  </si>
  <si>
    <t>FIX-MT360-002@v1</t>
  </si>
  <si>
    <t>c7ffe8a4-bc85-5cb2-8ca9-d449804efe9b / SSI-MT347-MT360_002 / v1</t>
  </si>
  <si>
    <t>0162caff-807b-50f5-bdfb-fa259dfd9530 / v1</t>
  </si>
  <si>
    <t>a8c870d6-f3f4-5ae5-b2b1-14ebb9a560cc / v1</t>
  </si>
  <si>
    <t>MT347-MT360-002-USD-001</t>
  </si>
  <si>
    <t>53019458-66fa-52f2-8c6d-40e3b905d912 / v1</t>
  </si>
  <si>
    <t>FIX-MT360-003@v1</t>
  </si>
  <si>
    <t>222315e9-0abf-5ea1-8365-98a622739a71 / SSI-MT347-MT360_003 / v1</t>
  </si>
  <si>
    <t>3444e8f6-1ee5-5be2-8835-9d11403d2588 / v1</t>
  </si>
  <si>
    <t>234a2027-8455-5864-ad00-0d4165beb516 / v1</t>
  </si>
  <si>
    <t>FIX-MT360-004@v1</t>
  </si>
  <si>
    <t>5c78201a-d421-5b92-835f-432d46ab452a / SSI-MT347-MT360_004 / v1</t>
  </si>
  <si>
    <t>01249bd2-99b9-5a12-8a96-0ab3506cf81f / v1</t>
  </si>
  <si>
    <t>a7c8f27a-f38d-517e-95fe-deb1d3dbf080 / v1</t>
  </si>
  <si>
    <t>FIX-MT360-005@v1</t>
  </si>
  <si>
    <t>32c91c67-17c5-50d7-aaf5-cce82b048da7 / SSI-MT347-MT360_005 / v1</t>
  </si>
  <si>
    <t>ab6ce4d0-3e6d-5559-a97a-19bc127584d3 / v1</t>
  </si>
  <si>
    <t>caa62bcb-f5e3-5a13-acd8-51dcb4b9d4dc / v1</t>
  </si>
  <si>
    <t>FIX-MT360-006@v1</t>
  </si>
  <si>
    <t>ece26aa6-6ab0-5ea3-8210-747ac5fed1bc / SSI-MT347-MT360_006 / v1</t>
  </si>
  <si>
    <t>4da46b9c-33eb-5350-afa6-b646699bcbb2 / v1</t>
  </si>
  <si>
    <t>84b4fe0a-1e75-5794-9607-39a16f4a91a5 / v1</t>
  </si>
  <si>
    <t>FIX-MT360-007@v1</t>
  </si>
  <si>
    <t>a8594cba-24cb-5fc9-bc47-8de09c6f5980 / SSI-MT347-MT360_007 / v1</t>
  </si>
  <si>
    <t>0ed0a6a2-682f-5cd3-85ea-aa018b61e1a0 / v1</t>
  </si>
  <si>
    <t>faebc1dd-9251-5304-8860-3e79b16b4dd8 / v1</t>
  </si>
  <si>
    <t>MT347-MT360-007-USD-001</t>
  </si>
  <si>
    <t>8839e401-7871-5464-be0e-2ae1e7e4e35b / v1</t>
  </si>
  <si>
    <t>FIX-MT360-008@v1</t>
  </si>
  <si>
    <t>bb451fb2-81a6-55a2-9f52-1b874ff2ddab / SSI-MT347-MT360_008 / v1</t>
  </si>
  <si>
    <t>df44ad0d-4ee6-52b6-857f-a2a3626097ad / v1</t>
  </si>
  <si>
    <t>6d9e744b-a1ae-5bc7-8f3c-8ebfd608aad3 / v1</t>
  </si>
  <si>
    <t>MT347-MT360-008-USD-001</t>
  </si>
  <si>
    <t>17d13662-0f8d-5e25-9477-8327bc553026 / v1</t>
  </si>
  <si>
    <t>FIX-MT360-009@v1</t>
  </si>
  <si>
    <t>0b4bf7c5-e325-59dd-97cb-77d225d4d804 / SSI-MT347-MT360_009 / v1</t>
  </si>
  <si>
    <t>eebf6065-ff0c-59fd-b1c6-10d4895cbf71 / v1</t>
  </si>
  <si>
    <t>f4717349-d936-5a24-bf17-746105e0f0e8 / v1</t>
  </si>
  <si>
    <t>MT347-MT360-009-USD-001</t>
  </si>
  <si>
    <t>40024ac2-783f-552b-8f32-8d5f55a4d87e / v1</t>
  </si>
  <si>
    <t>FIX-MT360-010@v1</t>
  </si>
  <si>
    <t>837839dc-97a6-501f-80be-b9111df1a314 / SSI-MT347-MT360_010 / v1</t>
  </si>
  <si>
    <t>79263c4a-ff21-596e-aebf-e0586e4cffde / v1</t>
  </si>
  <si>
    <t>c7bafab2-cfca-54c7-a493-ad508cfbcd14 / v1</t>
  </si>
  <si>
    <t>FIX-MT360-011@v1</t>
  </si>
  <si>
    <t>d5246f7a-6275-5c32-95cc-a4249728c281 / SSI-MT347-MT360_011 / v1</t>
  </si>
  <si>
    <t>190d33f7-4c8b-5619-a508-4963064214a7 / v1</t>
  </si>
  <si>
    <t>20626e2b-fdec-5396-b134-edd7d8d7052f / v1</t>
  </si>
  <si>
    <t>FIX-MT360-012@v1</t>
  </si>
  <si>
    <t>1305d9b6-9c32-5aff-955a-7339c2af0bfb / SSI-MT347-MT360_012 / v1</t>
  </si>
  <si>
    <t>fcc056c6-0c3c-5853-ab88-0b544ede8729 / v1</t>
  </si>
  <si>
    <t>70b2751b-f4be-5c43-b1fb-da17791d8d28 / v1</t>
  </si>
  <si>
    <t>FIX-MT360-013@v1</t>
  </si>
  <si>
    <t>37d403e4-7a20-5e5c-a9b8-1545848848b5 / SSI-MT347-MT360_013 / v1</t>
  </si>
  <si>
    <t>c6a2ea4a-e70e-5ab7-865e-0eb1655b7eda / v1</t>
  </si>
  <si>
    <t>e5824275-c49a-5cbb-8ef1-d206ba568c11 / v1</t>
  </si>
  <si>
    <t>FIX-MT360-014@v1</t>
  </si>
  <si>
    <t>f8990430-7424-5d38-9105-bdfa38e47391 / SSI-MT347-MT360_014 / v1</t>
  </si>
  <si>
    <t>94850dfe-41b1-5b49-a392-7655d1ea97d2 / v1</t>
  </si>
  <si>
    <t>db6fa851-0a97-5951-a18e-ae7e2d4425b3 / v1</t>
  </si>
  <si>
    <t>MT347-MT360-014-USD-001</t>
  </si>
  <si>
    <t>64808d5c-8d5a-5c57-b6cc-12f1a61f9fa3 / v1</t>
  </si>
  <si>
    <t>FIX-MT360-015@v1</t>
  </si>
  <si>
    <t>e8a0f697-0318-5084-8d3a-6b72fbe2954a / SSI-MT347-MT360_015 / v1</t>
  </si>
  <si>
    <t>38e6d131-c503-5a6d-b2ea-97e570620211 / v1</t>
  </si>
  <si>
    <t>b01dec45-04bb-5974-8020-ff6e8c00c822 / v1</t>
  </si>
  <si>
    <t>MT347-MT360-015-USD-001</t>
  </si>
  <si>
    <t>609a7f50-d0f1-528e-ade3-3d6cfdb54538 / v1</t>
  </si>
  <si>
    <t>FIX-MT360-016@v1</t>
  </si>
  <si>
    <t>80a77424-61c6-5e42-87c4-d4f9a051fb66 / SSI-MT347-MT360_016 / v1</t>
  </si>
  <si>
    <t>edd9f873-5338-5777-9d33-a3a6f72e1df1 / v1</t>
  </si>
  <si>
    <t>71bae30c-a641-56a7-a14f-f0e1f4c1e233 / v1</t>
  </si>
  <si>
    <t>MT347-MT360-016-USD-001</t>
  </si>
  <si>
    <t>281e09b2-57a5-5f31-bd10-545f0035087d / v1</t>
  </si>
  <si>
    <t>FIX-MT360-017@v1</t>
  </si>
  <si>
    <t>29ddf87e-fb47-590f-954a-65500661516f / SSI-MT347-MT360_017 / v1</t>
  </si>
  <si>
    <t>e7a48f12-0652-5a48-9367-f7b2ad234772 / v1</t>
  </si>
  <si>
    <t>9a5b01b3-1b7f-518e-9991-48c98acc0904 / v1</t>
  </si>
  <si>
    <t>FIX-MT360-018@v1</t>
  </si>
  <si>
    <t>e8752d69-dba7-5e04-9b81-ed4ae8929ab5 / SSI-MT347-MT360_018 / v1</t>
  </si>
  <si>
    <t>5f848415-3b71-584f-bfbf-b8ae31cba7e3 / v1</t>
  </si>
  <si>
    <t>628bffba-ed06-50a8-9f27-e89f89f2508b / v1</t>
  </si>
  <si>
    <t>FIX-MT360-019@v1</t>
  </si>
  <si>
    <t>f9d38065-d18b-5734-bd5d-181fdd9c8705 / SSI-MT347-MT360_019 / v1</t>
  </si>
  <si>
    <t>b65999a9-24d7-5d02-9350-f22386e3276e / v1</t>
  </si>
  <si>
    <t>0ca70397-3839-5341-8ef7-bfbc782bf94c / v1</t>
  </si>
  <si>
    <t>FIX-MT360-020@v1</t>
  </si>
  <si>
    <t>0b568798-c836-5baf-9aa8-d54b66e077b9 / SSI-MT347-MT360_020 / v1</t>
  </si>
  <si>
    <t>486159b2-6d12-5a2b-8fa4-0a91fe87b516 / v1</t>
  </si>
  <si>
    <t>094741bd-b758-5feb-ad5f-bfc7f393f7c1 / v1</t>
  </si>
  <si>
    <t>FIX-MT360-021@v1</t>
  </si>
  <si>
    <t>53e37326-9c2a-5bf9-83c4-cdc26d3785df / SSI-MT347-MT360_021 / v1</t>
  </si>
  <si>
    <t>7fd129f4-b421-5b16-97cb-7ef2eee32ccb / v1</t>
  </si>
  <si>
    <t>6cade616-8611-5d04-bfb5-3e7a2b436b2a / v1</t>
  </si>
  <si>
    <t>MT347-MT360-021-USD-001</t>
  </si>
  <si>
    <t>611697f2-83f2-5075-9a6d-ea1b2831cf78 / v1</t>
  </si>
  <si>
    <t>FIX-MT360-022@v1</t>
  </si>
  <si>
    <t>b0781077-123c-5477-8918-7a64e076e71a / SSI-MT347-MT360_022 / v1</t>
  </si>
  <si>
    <t>4bdeab53-cdbd-53d2-97ab-32a13fa043ea / v1</t>
  </si>
  <si>
    <t>c65a4a9f-fc0a-5f16-8867-38389149fd7c / v1</t>
  </si>
  <si>
    <t>MT347-MT360-022-USD-001</t>
  </si>
  <si>
    <t>89aa8c5d-2679-5582-9ee7-d017bbce6df2 / v1</t>
  </si>
  <si>
    <t>FIX-MT360-023@v1</t>
  </si>
  <si>
    <t>9dee4918-e81c-5db8-834c-7614a4a5f793 / SSI-MT347-MT360_023 / v1</t>
  </si>
  <si>
    <t>8ada2cd9-2244-52af-9bca-6b8bf7388e25 / v1</t>
  </si>
  <si>
    <t>60b440e3-439e-5441-97e6-19847c3aa5a7 / v1</t>
  </si>
  <si>
    <t>MT347-MT360-023-USD-001</t>
  </si>
  <si>
    <t>2a99443a-be6e-5d23-bf42-c19f079501c1 / v1</t>
  </si>
  <si>
    <t>FIX-MT360-024@v1</t>
  </si>
  <si>
    <t>d0f27ba6-a647-517f-8560-2a5d04e307fc / SSI-MT347-MT360_024 / v1</t>
  </si>
  <si>
    <t>5823afef-8379-5011-85ed-f50d7fa94223 / v1</t>
  </si>
  <si>
    <t>61a16c70-2597-588a-a46a-c6a6f4e8e7c4 / v1</t>
  </si>
  <si>
    <t>FIX-MT360-025@v1</t>
  </si>
  <si>
    <t>0c7d6039-4db4-5d20-b602-54c17b574043 / SSI-MT347-MT360_025 / v1</t>
  </si>
  <si>
    <t>e2338fc6-6567-5602-944b-8b259973d7f5 / v1</t>
  </si>
  <si>
    <t>e0af457d-f6e1-561e-89a8-8c234757f322 / v1</t>
  </si>
  <si>
    <t>FIX-MT360-026@v1</t>
  </si>
  <si>
    <t>17626e3f-0e1e-548c-8b0f-32ec5891e65c / SSI-MT347-MT360_026 / v1</t>
  </si>
  <si>
    <t>ca547f27-5311-57bc-bbf5-095816306914 / v1</t>
  </si>
  <si>
    <t>42d4a43a-c6ea-5a0b-b6e7-6711590d024d / v1</t>
  </si>
  <si>
    <t>FIX-MT360-027@v1</t>
  </si>
  <si>
    <t>d40a89c9-3d2e-5dc3-816d-b529050e1a7c / SSI-MT347-MT360_027 / v1</t>
  </si>
  <si>
    <t>7537643b-8f32-5fe7-b773-0a86a1204845 / v1</t>
  </si>
  <si>
    <t>06117434-5210-587b-abbb-d9324a9b608d / v1</t>
  </si>
  <si>
    <t>FIX-MT360-028@v1</t>
  </si>
  <si>
    <t>0eee4eed-8357-59e6-be0a-7de03938f1d0 / SSI-MT347-MT360_028 / v1</t>
  </si>
  <si>
    <t>b65b2527-543c-571f-b5c4-ba514cef5954 / v1</t>
  </si>
  <si>
    <t>b022a14a-d400-5bff-a365-85926efa51d2 / v1</t>
  </si>
  <si>
    <t>MT347-MT360-028-USD-001</t>
  </si>
  <si>
    <t>fc438606-6b0a-5674-a145-5c871a949948 / v1</t>
  </si>
  <si>
    <t>FIX-MT361-001@v1</t>
  </si>
  <si>
    <t>c0876029-f4d4-5d78-a794-d8edaf9d624a / SSI-MT347-MT361_001 / v1</t>
  </si>
  <si>
    <t>ed799fe2-5aba-5e45-b12f-233c5388745d / v1</t>
  </si>
  <si>
    <t>e34c3410-97c1-5e4d-a3bd-db70a83a1da3 / v1</t>
  </si>
  <si>
    <t>MT347-MT361-001-USD-001</t>
  </si>
  <si>
    <t>2766b2bf-6047-5522-bcc7-0ff39c30673a / v1</t>
  </si>
  <si>
    <t>FIX-MT361-002@v1</t>
  </si>
  <si>
    <t>f18d6849-4908-5b3b-bd84-5d560d8edf84 / SSI-MT347-MT361_002 / v1</t>
  </si>
  <si>
    <t>96c2cbb9-4fcc-5e3b-8bcb-3b8438a8f0cf / v1</t>
  </si>
  <si>
    <t>5af7075a-bdfd-5b2c-9a62-eb13850b6a25 / v1</t>
  </si>
  <si>
    <t>MT347-MT361-002-USD-001</t>
  </si>
  <si>
    <t>1035b54d-1b2c-56de-9448-c5d0ca67d62e / v1</t>
  </si>
  <si>
    <t>FIX-MT361-003@v1</t>
  </si>
  <si>
    <t>8cbd544d-a339-51a9-ba4b-e37591fac750 / SSI-MT347-MT361_003 / v1</t>
  </si>
  <si>
    <t>5b3d8f61-be33-5ab4-bf0f-38bb6e2b79d3 / v1</t>
  </si>
  <si>
    <t>ad31c1bc-9025-50ff-a3ca-7374b13dfcc4 / v1</t>
  </si>
  <si>
    <t>FIX-MT361-004@v1</t>
  </si>
  <si>
    <t>9185675a-3bf6-544c-a011-30c691f7957f / SSI-MT347-MT361_004 / v1</t>
  </si>
  <si>
    <t>053b9619-5c89-5a53-a0c5-89d2602e0ca2 / v1</t>
  </si>
  <si>
    <t>c0e0887d-03fa-5282-9266-216c8fb94261 / v1</t>
  </si>
  <si>
    <t>FIX-MT361-005@v1</t>
  </si>
  <si>
    <t>3648625c-0f2e-5fcc-ae75-f9df09daa290 / SSI-MT347-MT361_005 / v1</t>
  </si>
  <si>
    <t>b15980b5-dac4-5eb7-ab44-43b47c1b8800 / v1</t>
  </si>
  <si>
    <t>ffe57734-c395-5bf4-8c44-551ed5674922 / v1</t>
  </si>
  <si>
    <t>FIX-MT361-006@v1</t>
  </si>
  <si>
    <t>4c601b6d-b628-597b-b939-760fd8f32229 / SSI-MT347-MT361_006 / v1</t>
  </si>
  <si>
    <t>7bced19e-5371-5922-a912-3f0a05feda74 / v1</t>
  </si>
  <si>
    <t>72698a22-d648-5d16-95f9-e1e9bc4c8570 / v1</t>
  </si>
  <si>
    <t>FIX-MT361-007@v1</t>
  </si>
  <si>
    <t>861cc092-a569-59b5-a1fd-3ccaffed4647 / SSI-MT347-MT361_007 / v1</t>
  </si>
  <si>
    <t>51afdd5a-3a70-5d18-b1fc-22b10becf2aa / v1</t>
  </si>
  <si>
    <t>ea6b5f0c-3505-5b62-b50b-53c3c31951d9 / v1</t>
  </si>
  <si>
    <t>MT347-MT361-007-USD-001</t>
  </si>
  <si>
    <t>41ddce99-371a-5c85-9abf-eb1c1344a3b2 / v1</t>
  </si>
  <si>
    <t>FIX-MT361-008@v1</t>
  </si>
  <si>
    <t>8a6b7ee4-c0d4-5440-97b7-0acb61aa3dc1 / SSI-MT347-MT361_008 / v1</t>
  </si>
  <si>
    <t>0fb60c1a-9ba7-556c-96e0-b3014f0824db / v1</t>
  </si>
  <si>
    <t>09fd6079-2486-505c-aec3-6d9dbafb3667 / v1</t>
  </si>
  <si>
    <t>MT347-MT361-008-USD-001</t>
  </si>
  <si>
    <t>e250b68d-8fdf-5d34-a1c6-3e0c93d789b1 / v1</t>
  </si>
  <si>
    <t>FIX-MT361-009@v1</t>
  </si>
  <si>
    <t>aa4f48fb-fa2b-5623-bf21-575e9d33fa50 / SSI-MT347-MT361_009 / v1</t>
  </si>
  <si>
    <t>371c2e15-5f31-5e24-b8b6-e042d9be124b / v1</t>
  </si>
  <si>
    <t>d58ffce3-e022-5c3f-ab55-a229efaef777 / v1</t>
  </si>
  <si>
    <t>MT347-MT361-009-USD-001</t>
  </si>
  <si>
    <t>a715680e-fa83-577a-9c50-be244b5e1f4f / v1</t>
  </si>
  <si>
    <t>FIX-MT361-010@v1</t>
  </si>
  <si>
    <t>c06a6413-3368-5736-994d-4cbeefa3d5a1 / SSI-MT347-MT361_010 / v1</t>
  </si>
  <si>
    <t>d0c97ddf-b961-57b2-ac26-e11be7dfe568 / v1</t>
  </si>
  <si>
    <t>fc5a8985-1454-5922-9dbb-54a0a0ffe886 / v1</t>
  </si>
  <si>
    <t>FIX-MT361-011@v1</t>
  </si>
  <si>
    <t>11666800-cd5c-5c6d-b851-e9e49e704083 / SSI-MT347-MT361_011 / v1</t>
  </si>
  <si>
    <t>13c7f485-38d9-5b9d-96c7-5f8f1234ec01 / v1</t>
  </si>
  <si>
    <t>9186934e-eccd-57e8-add9-abae9b9527ee / v1</t>
  </si>
  <si>
    <t>FIX-MT361-012@v1</t>
  </si>
  <si>
    <t>46a4def5-94be-5435-b5b0-49271039cc04 / SSI-MT347-MT361_012 / v1</t>
  </si>
  <si>
    <t>1dcbf281-2bc8-5825-b27b-e5b430a3b0d3 / v1</t>
  </si>
  <si>
    <t>ce242e0b-27a7-5848-9eb4-92a506b072a4 / v1</t>
  </si>
  <si>
    <t>FIX-MT361-013@v1</t>
  </si>
  <si>
    <t>0c2e7b70-02dc-5c3a-9eff-4892dbf5c05e / SSI-MT347-MT361_013 / v1</t>
  </si>
  <si>
    <t>5a4cb11d-69b5-5e2d-b209-3f9269a5464e / v1</t>
  </si>
  <si>
    <t>a1555635-2f7a-551b-a30f-23314e973033 / v1</t>
  </si>
  <si>
    <t>FIX-MT361-014@v1</t>
  </si>
  <si>
    <t>57c38422-a53b-500a-8baf-61eabb849d59 / SSI-MT347-MT361_014 / v1</t>
  </si>
  <si>
    <t>fd0cfcf9-9869-524e-9e12-6d8644f1f4ea / v1</t>
  </si>
  <si>
    <t>4f00cda6-f1ac-572d-b481-dd9c7ce25ccc / v1</t>
  </si>
  <si>
    <t>MT347-MT361-014-USD-001</t>
  </si>
  <si>
    <t>da22bc8f-f3a3-5a56-8ce6-b5e4afd7e22a / v1</t>
  </si>
  <si>
    <t>FIX-MT361-015@v1</t>
  </si>
  <si>
    <t>97ef854b-3ead-5d4b-9391-38b77e720047 / SSI-MT347-MT361_015 / v1</t>
  </si>
  <si>
    <t>60c0909d-ab76-5fc8-9cc7-3ee3095e65e2 / v1</t>
  </si>
  <si>
    <t>29f003aa-a315-598a-a71e-dddcfceac473 / v1</t>
  </si>
  <si>
    <t>MT347-MT361-015-USD-001</t>
  </si>
  <si>
    <t>868ce878-74e3-5cfb-8da3-c7d5af5572aa / v1</t>
  </si>
  <si>
    <t>FIX-MT361-016@v1</t>
  </si>
  <si>
    <t>1dc8a2fb-c801-5d22-b80e-02c0db504fdc / SSI-MT347-MT361_016 / v1</t>
  </si>
  <si>
    <t>c98e092a-5488-55d0-9567-78f51d8e14cc / v1</t>
  </si>
  <si>
    <t>5495309c-1134-5ce3-b194-d035f2cf2bdd / v1</t>
  </si>
  <si>
    <t>MT347-MT361-016-USD-001</t>
  </si>
  <si>
    <t>511facc8-bcdb-5650-906c-c0ce47041d98 / v1</t>
  </si>
  <si>
    <t>FIX-MT361-017@v1</t>
  </si>
  <si>
    <t>43887968-b267-5b3a-b70d-04ad053fed3b / SSI-MT347-MT361_017 / v1</t>
  </si>
  <si>
    <t>9adadd97-bef3-5638-b62a-262b069b60c8 / v1</t>
  </si>
  <si>
    <t>932e96f3-7a85-50a4-a59f-30da1f043d26 / v1</t>
  </si>
  <si>
    <t>FIX-MT361-018@v1</t>
  </si>
  <si>
    <t>de5aaae8-ee8f-578a-82b9-b1c78c8da742 / SSI-MT347-MT361_018 / v1</t>
  </si>
  <si>
    <t>bdd68309-c89f-54db-98f8-b756a2ffa9c0 / v1</t>
  </si>
  <si>
    <t>09013f68-925a-5fb9-adf6-18363830881c / v1</t>
  </si>
  <si>
    <t>FIX-MT361-019@v1</t>
  </si>
  <si>
    <t>b8748d52-a303-5e2b-94df-328ffcd8d30a / SSI-MT347-MT361_019 / v1</t>
  </si>
  <si>
    <t>19f0b408-7823-52f4-83a2-e5085b2c773d / v1</t>
  </si>
  <si>
    <t>f8e67136-2ec3-5e81-9d09-703a205cfc05 / v1</t>
  </si>
  <si>
    <t>FIX-MT361-020@v1</t>
  </si>
  <si>
    <t>a014e308-0a77-5f5e-9181-9a905059eff0 / SSI-MT347-MT361_020 / v1</t>
  </si>
  <si>
    <t>9cb39234-e183-5382-940c-54ec1322a566 / v1</t>
  </si>
  <si>
    <t>024e5b56-4092-545b-8f0a-bf0b50caa46c / v1</t>
  </si>
  <si>
    <t>FIX-MT361-021@v1</t>
  </si>
  <si>
    <t>9913d391-6a45-5521-890b-b410f9b99570 / SSI-MT347-MT361_021 / v1</t>
  </si>
  <si>
    <t>4998fd4e-b923-59fc-b7e3-e75cc3b79a94 / v1</t>
  </si>
  <si>
    <t>831fcc8d-5d9a-5611-b89e-7f3f8d3d49ce / v1</t>
  </si>
  <si>
    <t>MT347-MT361-021-USD-001</t>
  </si>
  <si>
    <t>1689d115-40a0-5fb9-b933-c3b5d2af246d / v1</t>
  </si>
  <si>
    <t>FIX-MT361-022@v1</t>
  </si>
  <si>
    <t>94096ea2-b93c-5e4f-b9cb-dd84cd9bc285 / SSI-MT347-MT361_022 / v1</t>
  </si>
  <si>
    <t>67d5f90d-9639-5653-8573-ea6732fe07cb / v1</t>
  </si>
  <si>
    <t>ea883409-8d5b-5217-b054-1b3e4fa46f8e / v1</t>
  </si>
  <si>
    <t>MT347-MT361-022-USD-001</t>
  </si>
  <si>
    <t>7eaa9e96-5060-57fa-a53e-0684e9fd8765 / v1</t>
  </si>
  <si>
    <t>FIX-MT361-023@v1</t>
  </si>
  <si>
    <t>871e8e8a-a96f-5c81-8749-028a278c3a1f / SSI-MT347-MT361_023 / v1</t>
  </si>
  <si>
    <t>8af3a310-ba63-5a84-a87e-fb5463872ea7 / v1</t>
  </si>
  <si>
    <t>63792c8c-abdd-5458-88b1-5bdee93164b7 / v1</t>
  </si>
  <si>
    <t>MT347-MT361-023-USD-001</t>
  </si>
  <si>
    <t>fbd74cfd-eece-5432-9650-d1ad525f4ed7 / v1</t>
  </si>
  <si>
    <t>FIX-MT361-024@v1</t>
  </si>
  <si>
    <t>7c65dc8d-87d8-5f06-b0c4-8a5b9e6e53a4 / SSI-MT347-MT361_024 / v1</t>
  </si>
  <si>
    <t>bb282c60-cfd7-597e-8e6d-e0aa999479b3 / v1</t>
  </si>
  <si>
    <t>c35875a7-61a2-5437-a83a-50093e7b05a3 / v1</t>
  </si>
  <si>
    <t>FIX-MT361-025@v1</t>
  </si>
  <si>
    <t>a5612bff-aa76-54c3-8593-9c8f1f188b55 / SSI-MT347-MT361_025 / v1</t>
  </si>
  <si>
    <t>e5cf0989-7cef-550e-990f-8e4fb41962f1 / v1</t>
  </si>
  <si>
    <t>589a0f73-afea-53ee-a28e-7be5093d5a63 / v1</t>
  </si>
  <si>
    <t>FIX-MT361-026@v1</t>
  </si>
  <si>
    <t>4d5a396d-4dc5-5425-b1ed-5514d05ed2da / SSI-MT347-MT361_026 / v1</t>
  </si>
  <si>
    <t>1a81be28-4af4-5351-bb0a-3ad000140d57 / v1</t>
  </si>
  <si>
    <t>88ec182e-a2d6-56b6-915b-079dc06ffc83 / v1</t>
  </si>
  <si>
    <t>FIX-MT361-027@v1</t>
  </si>
  <si>
    <t>a17a04b1-a80c-5869-86a8-b2445cac3572 / SSI-MT347-MT361_027 / v1</t>
  </si>
  <si>
    <t>724921c0-5a96-53f4-aa05-62440fe5bf08 / v1</t>
  </si>
  <si>
    <t>15174de6-2983-5523-a79b-e375c89efb60 / v1</t>
  </si>
  <si>
    <t>FIX-MT361-028@v1</t>
  </si>
  <si>
    <t>d48b993a-ca6c-5059-bfe6-7e3e3d297faf / SSI-MT347-MT361_028 / v1</t>
  </si>
  <si>
    <t>8068b387-38f1-529b-b86d-85da12c76384 / v1</t>
  </si>
  <si>
    <t>40336278-5e46-5bc8-9b24-fc9dca69de38 / v1</t>
  </si>
  <si>
    <t>MT347-MT361-028-USD-001</t>
  </si>
  <si>
    <t>9a20c42d-b697-5dd9-8fbc-a7adc5ab621e / v1</t>
  </si>
  <si>
    <t>FIX-MT361-029@v1</t>
  </si>
  <si>
    <t>ae249bfb-31bd-5258-8051-1c5ec36503bc / SSI-MT347-MT361_029 / v1</t>
  </si>
  <si>
    <t>935a7d87-e4f8-5cd0-b1b9-1b0f0fbb8823 / v1</t>
  </si>
  <si>
    <t>22b9c52a-2ad7-5e73-8bac-48fdff6c9aaf / v1</t>
  </si>
  <si>
    <t>MT347-MT361-029-USD-001</t>
  </si>
  <si>
    <t>da836be8-6259-54f7-8344-4ffab69320ed / v1</t>
  </si>
  <si>
    <t>FIX-MT361-030@v1</t>
  </si>
  <si>
    <t>fd6cc2ba-0a1c-5db6-93b4-fb24e75aeedd / SSI-MT347-MT361_030 / v1</t>
  </si>
  <si>
    <t>61c19501-2b72-5fc7-9440-f1d52e985e12 / v1</t>
  </si>
  <si>
    <t>8085b4c6-70ea-5e98-8bfb-3ed9673ad40c / v1</t>
  </si>
  <si>
    <t>MT347-MT361-030-USD-001</t>
  </si>
  <si>
    <t>d33e9cfe-544e-56e1-88e8-b1760d698e56 / v1</t>
  </si>
  <si>
    <t>FIX-MT361-031@v1</t>
  </si>
  <si>
    <t>05bdf777-08f5-5cd5-9434-24b25d19b58c / SSI-MT347-MT361_031 / v1</t>
  </si>
  <si>
    <t>bf7e47c5-264d-567e-8a4d-45ad50d98b46 / v1</t>
  </si>
  <si>
    <t>cf881642-f718-5dd9-9621-b466e18d10de / v1</t>
  </si>
  <si>
    <t>FIX-MT361-032@v1</t>
  </si>
  <si>
    <t>c0052b28-62a6-5095-bd7b-1d424fb48a11 / SSI-MT347-MT361_032 / v1</t>
  </si>
  <si>
    <t>d0eee46c-2cc3-52d6-9f83-99ab719994b2 / v1</t>
  </si>
  <si>
    <t>d0d5a09d-3fcd-5326-8412-4fe1cea8caee / v1</t>
  </si>
  <si>
    <t>FIX-MT361-033@v1</t>
  </si>
  <si>
    <t>17e0b297-7236-5d1f-b0ea-0641cca6929c / SSI-MT347-MT361_033 / v1</t>
  </si>
  <si>
    <t>59e734fb-01d6-5ebd-9ada-ceccdf37949d / v1</t>
  </si>
  <si>
    <t>10124746-f7f3-5e5e-8823-f1fe43ff0de8 / v1</t>
  </si>
  <si>
    <t>FIX-MT361-034@v1</t>
  </si>
  <si>
    <t>c52409e1-a3f1-5e7a-9af8-e051db01fd20 / SSI-MT347-MT361_034 / v1</t>
  </si>
  <si>
    <t>e8fc09f4-22c2-56d7-9ef1-f05f06155f14 / v1</t>
  </si>
  <si>
    <t>952e40ad-f988-5e07-a487-d8c5294e55ca / v1</t>
  </si>
  <si>
    <t>FIX-MT361-035@v1</t>
  </si>
  <si>
    <t>399b4db4-73c2-5b1e-9aa6-3ca622fd7f84 / SSI-MT347-MT361_035 / v1</t>
  </si>
  <si>
    <t>7ee6fa8f-8d10-55bc-8281-f4301fef1aa5 / v1</t>
  </si>
  <si>
    <t>71985a68-60e0-52d8-9d7c-384df7e71964 / v1</t>
  </si>
  <si>
    <t>MT347-MT361-035-USD-001</t>
  </si>
  <si>
    <t>ef8dd98b-8e54-569f-9661-53785bc55534 / v1</t>
  </si>
  <si>
    <t>FIX-MT361-036@v1</t>
  </si>
  <si>
    <t>ee0d0c05-3bfb-5243-991a-4cca362e0f65 / SSI-MT347-MT361_036 / v1</t>
  </si>
  <si>
    <t>0107259f-436f-535f-9955-56264502ea49 / v1</t>
  </si>
  <si>
    <t>20acadb3-cf17-5eb9-9b0d-f1a15588ba7d / v1</t>
  </si>
  <si>
    <t>MT347-MT361-036-USD-001</t>
  </si>
  <si>
    <t>41aacca9-b856-5c90-9227-dc67ef8228ef / v1</t>
  </si>
  <si>
    <t>FIX-MT361-037@v1</t>
  </si>
  <si>
    <t>fa4e99e4-a8bb-5215-97d5-cd4b2e1f03f5 / SSI-MT347-MT361_037 / v1</t>
  </si>
  <si>
    <t>655225f8-1f77-5cc4-912f-dff2e3dbc105 / v1</t>
  </si>
  <si>
    <t>3e9ed180-16fe-51df-9f81-c20aaec865f9 / v1</t>
  </si>
  <si>
    <t>MT347-MT361-037-USD-001</t>
  </si>
  <si>
    <t>954a3787-bad6-532e-a572-15f20aba0ca4 / v1</t>
  </si>
  <si>
    <t>FIX-MT361-038@v1</t>
  </si>
  <si>
    <t>71b322f0-ca61-536b-82f0-de240f342066 / SSI-MT347-MT361_038 / v1</t>
  </si>
  <si>
    <t>83360be9-0485-598c-a812-9b09106d4b3f / v1</t>
  </si>
  <si>
    <t>10c16a81-22ff-5de0-89fd-1b3f1a59531b / v1</t>
  </si>
  <si>
    <t>FIX-MT361-039@v1</t>
  </si>
  <si>
    <t>be505d56-4649-58ac-9436-1cf34d22f42f / SSI-MT347-MT361_039 / v1</t>
  </si>
  <si>
    <t>744e7840-6267-5623-a556-c5943f8d89a9 / v1</t>
  </si>
  <si>
    <t>bc6740ab-77b6-57b0-a715-282024dc7cb3 / v1</t>
  </si>
  <si>
    <t>FIX-MT361-040@v1</t>
  </si>
  <si>
    <t>d8660484-8090-5c98-a14d-332d896fbf93 / SSI-MT347-MT361_040 / v1</t>
  </si>
  <si>
    <t>911edeb4-198a-516a-a67b-2497a8d75e39 / v1</t>
  </si>
  <si>
    <t>d9a4fc70-72b6-5319-b715-0db306ad9cd5 / v1</t>
  </si>
  <si>
    <t>FIX-MT361-041@v1</t>
  </si>
  <si>
    <t>0a1326c9-6636-57d9-b3e5-a282d0c55f44 / SSI-MT347-MT361_041 / v1</t>
  </si>
  <si>
    <t>9832ae9f-6b3c-5c93-b4cb-8f57b1a4acab / v1</t>
  </si>
  <si>
    <t>a71f35f7-047c-5dbc-ae99-50a5b1a1cb32 / v1</t>
  </si>
  <si>
    <t>FIX-MT361-042@v1</t>
  </si>
  <si>
    <t>b5885cfd-6fa1-57ec-b1b0-2607dabca450 / SSI-MT347-MT361_042 / v1</t>
  </si>
  <si>
    <t>ef2cff81-4e31-597c-9a8c-9b033c61137f / v1</t>
  </si>
  <si>
    <t>069aeb65-81b7-58ca-a365-a1d49e9d0546 / v1</t>
  </si>
  <si>
    <t>MT347-MT361-042-USD-001</t>
  </si>
  <si>
    <t>e7d84d84-9e64-5f61-8c6f-d15f69fa42b6 / v1</t>
  </si>
  <si>
    <t>FIX-MT362-001@v1</t>
  </si>
  <si>
    <t>ef692079-55b9-58d3-bd31-345301ff0a33 / SSI-MT347-MT362_001 / v1</t>
  </si>
  <si>
    <t>bc6edf0c-e7c2-5362-aacb-0e7decca58ce / v1</t>
  </si>
  <si>
    <t>21b41053-9b0f-5f4b-890f-c96ef6bc95ee / v1</t>
  </si>
  <si>
    <t>MT347-MT362-001-USD-001</t>
  </si>
  <si>
    <t>ba02c793-4326-509a-83a7-cf4618c06a9a / v1</t>
  </si>
  <si>
    <t>FIX-MT362-002@v1</t>
  </si>
  <si>
    <t>3e2e2ac3-f638-5290-890f-47df49cc5287 / SSI-MT347-MT362_002 / v1</t>
  </si>
  <si>
    <t>6eb67487-bf16-5c11-b4b6-0c2fac7c4904 / v1</t>
  </si>
  <si>
    <t>05d33025-9391-5c50-bd7c-1575091ee901 / v1</t>
  </si>
  <si>
    <t>MT347-MT362-002-USD-001</t>
  </si>
  <si>
    <t>92764d2b-c23f-5a37-96ff-5c8b8db08960 / v1</t>
  </si>
  <si>
    <t>FIX-MT362-003@v1</t>
  </si>
  <si>
    <t>7199cce8-e3f5-598d-a067-064f54d97236 / SSI-MT347-MT362_003 / v1</t>
  </si>
  <si>
    <t>e326d398-130f-5aa9-ae98-4b5537e77fcf / v1</t>
  </si>
  <si>
    <t>98c32541-34e8-52bd-a23b-395ea983af82 / v1</t>
  </si>
  <si>
    <t>FIX-MT362-004@v1</t>
  </si>
  <si>
    <t>3f9841c5-17a3-59fa-a150-a2c68d390a1f / SSI-MT347-MT362_004 / v1</t>
  </si>
  <si>
    <t>b6186bea-c613-5e70-83e0-cb20a3e3d773 / v1</t>
  </si>
  <si>
    <t>0aa47d8f-9484-53e2-b2ad-dc16aabdc616 / v1</t>
  </si>
  <si>
    <t>FIX-MT362-005@v1</t>
  </si>
  <si>
    <t>bd33027e-bb61-51ad-a1e7-59dec2e1d7da / SSI-MT347-MT362_005 / v1</t>
  </si>
  <si>
    <t>73ed51eb-2a9b-581c-b898-d328284063f9 / v1</t>
  </si>
  <si>
    <t>e7aaed04-069d-553b-a014-e7eca6d16af4 / v1</t>
  </si>
  <si>
    <t>FIX-MT362-006@v1</t>
  </si>
  <si>
    <t>6397606b-43c8-56a9-9d31-afa505064150 / SSI-MT347-MT362_006 / v1</t>
  </si>
  <si>
    <t>5a4aa3c5-f6ef-5d00-a9ac-2b286fd22cdd / v1</t>
  </si>
  <si>
    <t>905b9547-eeac-588e-a5b5-a6a8650ef958 / v1</t>
  </si>
  <si>
    <t>FIX-MT362-007@v1</t>
  </si>
  <si>
    <t>526b546a-c1b6-5e81-b239-49fba2bf9e98 / SSI-MT347-MT362_007 / v1</t>
  </si>
  <si>
    <t>f5785df8-4dd1-5deb-bc2f-aa76e8bc2db6 / v1</t>
  </si>
  <si>
    <t>69c21833-2cca-5c89-b296-226a6e02ff16 / v1</t>
  </si>
  <si>
    <t>FIX-MT362-008@v1</t>
  </si>
  <si>
    <t>57856ae3-08e4-5ee5-9679-da9b6e993010 / SSI-MT347-MT362_008 / v1</t>
  </si>
  <si>
    <t>b4e6a606-b271-5ade-8579-6af2688378cc / v1</t>
  </si>
  <si>
    <t>5bdafe67-1b3c-5303-b976-8e58c58dcce9 / v1</t>
  </si>
  <si>
    <t>MT347-MT362-008-USD-001</t>
  </si>
  <si>
    <t>bf68473f-3d3c-5b82-adca-77f3141eeaaa / v1</t>
  </si>
  <si>
    <t>FIX-MT362-009@v1</t>
  </si>
  <si>
    <t>f5134dc0-5071-5c5c-ba4c-61ec45dd4fa8 / SSI-MT347-MT362_009 / v1</t>
  </si>
  <si>
    <t>0af76fd1-10f2-59d8-8179-7c6c53dcc5a6 / v1</t>
  </si>
  <si>
    <t>572a5663-768a-5555-9f1d-9f95aa2a4edc / v1</t>
  </si>
  <si>
    <t>MT347-MT362-009-USD-001</t>
  </si>
  <si>
    <t>4fed0c2d-8301-526a-97b1-7e78033953ce / v1</t>
  </si>
  <si>
    <t>FIX-MT362-010@v1</t>
  </si>
  <si>
    <t>e1afccac-e922-5441-9bc4-4a458cb5825a / SSI-MT347-MT362_010 / v1</t>
  </si>
  <si>
    <t>8742a23d-e60a-5f55-a6b6-239fbffedf7b / v1</t>
  </si>
  <si>
    <t>5a80654b-b96f-5a3d-a4cf-ef6c81ce0c66 / v1</t>
  </si>
  <si>
    <t>FIX-MT362-011@v1</t>
  </si>
  <si>
    <t>3860e54b-c6cc-5e25-a59a-22cc56cc61ba / SSI-MT347-MT362_011 / v1</t>
  </si>
  <si>
    <t>a2ad5403-acb0-5a28-876a-d2d0532f1595 / v1</t>
  </si>
  <si>
    <t>b6d59397-5b52-5daa-a598-9dd4c543c822 / v1</t>
  </si>
  <si>
    <t>FIX-MT362-012@v1</t>
  </si>
  <si>
    <t>1bb64742-cf43-53d9-a8e8-9e5e0be96907 / SSI-MT347-MT362_012 / v1</t>
  </si>
  <si>
    <t>51a5bf39-5602-538d-9e78-41ee8f676dcd / v1</t>
  </si>
  <si>
    <t>bfe6c34d-2499-5291-ad08-d6a848977c53 / v1</t>
  </si>
  <si>
    <t>FIX-MT362-013@v1</t>
  </si>
  <si>
    <t>45727e69-4da3-54eb-baf0-efcd91c0c1c2 / SSI-MT347-MT362_013 / v1</t>
  </si>
  <si>
    <t>6dd6af2f-e095-5c56-8ee7-6a7ae0b47236 / v1</t>
  </si>
  <si>
    <t>a33a5d7a-ba17-5e95-af8c-53e3279049f9 / v1</t>
  </si>
  <si>
    <t>FIX-MT362-014@v1</t>
  </si>
  <si>
    <t>a76d0f43-6d67-585f-9910-03d720531fc0 / SSI-MT347-MT362_014 / v1</t>
  </si>
  <si>
    <t>134e3438-14cd-56b5-b902-e6f66fc3dbfb / v1</t>
  </si>
  <si>
    <t>3a986eda-3551-5f59-aea4-b6b94b038c15 / v1</t>
  </si>
  <si>
    <t>FIX-MT364-001@v1</t>
  </si>
  <si>
    <t>f1c3da28-3c58-5485-934f-1b7cbec6e4b8 / SSI-MT347-MT364_001 / v1</t>
  </si>
  <si>
    <t>e347cf9f-d0db-5259-8d34-d7d9f7e9d413 / v1</t>
  </si>
  <si>
    <t>a3152ffe-6cf5-545c-96cb-c1cac5452f82 / v1</t>
  </si>
  <si>
    <t>MT347-MT364-001-USD-001</t>
  </si>
  <si>
    <t>513b2a16-5f54-5d46-a1ed-fff95b8ced76 / v1</t>
  </si>
  <si>
    <t>FIX-MT364-002@v1</t>
  </si>
  <si>
    <t>b35f2c7d-8634-5ba7-a762-b63fe18a5185 / SSI-MT347-MT364_002 / v1</t>
  </si>
  <si>
    <t>0caa431d-3ba6-501a-aeb8-951dbfe5b115 / v1</t>
  </si>
  <si>
    <t>e0c4beec-0cc5-5121-8490-eb3a91870bea / v1</t>
  </si>
  <si>
    <t>MT347-MT364-002-USD-001</t>
  </si>
  <si>
    <t>61eafcec-38b5-5070-9ed0-68078e28a85e / v1</t>
  </si>
  <si>
    <t>FIX-MT364-003@v1</t>
  </si>
  <si>
    <t>1e718568-4005-51a2-ae74-61ca1671d34e / SSI-MT347-MT364_003 / v1</t>
  </si>
  <si>
    <t>ab4b209d-3b5c-5605-bf2a-137e5191832d / v1</t>
  </si>
  <si>
    <t>4774f782-2514-5d22-950b-ba46b4db2cb6 / v1</t>
  </si>
  <si>
    <t>FIX-MT364-004@v1</t>
  </si>
  <si>
    <t>1bb0b01e-804a-583b-9137-3b9af8c234e6 / SSI-MT347-MT364_004 / v1</t>
  </si>
  <si>
    <t>b7df7b05-a296-5bde-ab83-32edcf8fba09 / v1</t>
  </si>
  <si>
    <t>74e601d2-0d3e-577e-8e95-b07c8a25184d / v1</t>
  </si>
  <si>
    <t>FIX-MT364-005@v1</t>
  </si>
  <si>
    <t>602fc131-7b5a-5af2-a759-211c0aecffe3 / SSI-MT347-MT364_005 / v1</t>
  </si>
  <si>
    <t>10fe2037-5e30-590a-ab6c-995c3075d27c / v1</t>
  </si>
  <si>
    <t>677adf33-4834-56bf-ba67-52c2c35e08d0 / v1</t>
  </si>
  <si>
    <t>FIX-MT364-006@v1</t>
  </si>
  <si>
    <t>01439488-f3a9-57dd-85cd-38bba2f635d9 / SSI-MT347-MT364_006 / v1</t>
  </si>
  <si>
    <t>7d7f2bdf-587d-5070-afcb-165d30ad60d6 / v1</t>
  </si>
  <si>
    <t>1dee7346-47d5-5bd2-8438-27240ef9dffc / v1</t>
  </si>
  <si>
    <t>FIX-MT364-007@v1</t>
  </si>
  <si>
    <t>162e5924-ac7c-5b0c-8bd9-e001f11782b2 / SSI-MT347-MT364_007 / v1</t>
  </si>
  <si>
    <t>e6979157-1eee-5ec3-982b-99e0cdaf23aa / v1</t>
  </si>
  <si>
    <t>3133a89b-fd75-523d-a9db-38793dc21038 / v1</t>
  </si>
  <si>
    <t>MT347-MT364-007-USD-001</t>
  </si>
  <si>
    <t>6aa926be-5c24-57e9-bb10-8073d43082b3 / v1</t>
  </si>
  <si>
    <t>FIX-MT364-008@v1</t>
  </si>
  <si>
    <t>72011a6a-c2d3-56a7-b51a-637cdb1c0a66 / SSI-MT347-MT364_008 / v1</t>
  </si>
  <si>
    <t>e2476f95-15b9-5d03-bb71-0c65b6728657 / v1</t>
  </si>
  <si>
    <t>a896a468-52d0-5a53-9ea9-e856d2688941 / v1</t>
  </si>
  <si>
    <t>MT347-MT364-008-USD-001</t>
  </si>
  <si>
    <t>27e5901f-496c-5b28-8906-171725e08fb1 / v1</t>
  </si>
  <si>
    <t>FIX-MT364-009@v1</t>
  </si>
  <si>
    <t>ffabaf8f-85ae-54a2-ab68-d879cf303b81 / SSI-MT347-MT364_009 / v1</t>
  </si>
  <si>
    <t>40ca6807-e74f-5db1-9a76-162d67f34ecf / v1</t>
  </si>
  <si>
    <t>7a8ee4c8-f92e-5353-a111-de2b09b3614f / v1</t>
  </si>
  <si>
    <t>FIX-MT364-010@v1</t>
  </si>
  <si>
    <t>a2e8838a-37fc-59f6-9312-29f983609f6b / SSI-MT347-MT364_010 / v1</t>
  </si>
  <si>
    <t>5dff9521-1613-56c8-9477-9e2783066a51 / v1</t>
  </si>
  <si>
    <t>f44e7172-8445-5556-a7b1-0dbc2b80f8c3 / v1</t>
  </si>
  <si>
    <t>FIX-MT364-011@v1</t>
  </si>
  <si>
    <t>877ae68a-e573-5990-97ad-741c7336722e / SSI-MT347-MT364_011 / v1</t>
  </si>
  <si>
    <t>33cf90b1-8872-5fcb-9ce2-7f3e61de4f17 / v1</t>
  </si>
  <si>
    <t>67b51db6-0606-54a1-82dc-4a2253582fd9 / v1</t>
  </si>
  <si>
    <t>FIX-MT364-012@v1</t>
  </si>
  <si>
    <t>d3f5d838-429b-5d0c-8c3c-42a4ca2ead83 / SSI-MT347-MT364_012 / v1</t>
  </si>
  <si>
    <t>c132eae6-daf4-5b8f-aa1a-0598000e5b12 / v1</t>
  </si>
  <si>
    <t>10c905e1-1dee-5d1d-a68c-6fd10d769bb2 / v1</t>
  </si>
  <si>
    <t>FIX-MT365-001@v1</t>
  </si>
  <si>
    <t>315f0b14-a99e-55f2-b361-fc1ec8f1a238 / SSI-MT347-MT365_001 / v1</t>
  </si>
  <si>
    <t>e09f0a12-b711-55b9-9a48-866dbc961381 / v1</t>
  </si>
  <si>
    <t>a15891b0-c430-5585-bec9-233a079cceda / v1</t>
  </si>
  <si>
    <t>MT347-MT365-001-USD-001</t>
  </si>
  <si>
    <t>3be70bd6-f6d1-5748-8241-3a6ec1e918a2 / v1</t>
  </si>
  <si>
    <t>FIX-MT365-002@v1</t>
  </si>
  <si>
    <t>997cf472-0b25-54e6-9a80-094def2df519 / SSI-MT347-MT365_002 / v1</t>
  </si>
  <si>
    <t>a147b26d-eb64-5fea-b231-1dc249d9b8b2 / v1</t>
  </si>
  <si>
    <t>b69d012e-0353-5ca4-ac54-f7e145d2d3a0 / v1</t>
  </si>
  <si>
    <t>MT347-MT365-002-USD-001</t>
  </si>
  <si>
    <t>1d5a75b7-9ade-596b-935e-16027ef708c1 / v1</t>
  </si>
  <si>
    <t>FIX-MT365-003@v1</t>
  </si>
  <si>
    <t>2446f062-b3ad-5256-8424-bb96282807b6 / SSI-MT347-MT365_003 / v1</t>
  </si>
  <si>
    <t>502eaa76-56e5-5866-90c6-7c6552adb92a / v1</t>
  </si>
  <si>
    <t>4086c6bb-d34e-583d-8383-2dc5eaff89b5 / v1</t>
  </si>
  <si>
    <t>FIX-MT365-004@v1</t>
  </si>
  <si>
    <t>c6362d78-909d-5aab-b6e5-bf3d3317f148 / SSI-MT347-MT365_004 / v1</t>
  </si>
  <si>
    <t>3a144b5a-aa58-543b-9f77-629352f761a8 / v1</t>
  </si>
  <si>
    <t>a3e3b5d5-d859-5270-be5a-c5bc4b525151 / v1</t>
  </si>
  <si>
    <t>FIX-MT365-005@v1</t>
  </si>
  <si>
    <t>be277a3e-71c8-55f7-bd1e-e60dfbe5b9dc / SSI-MT347-MT365_005 / v1</t>
  </si>
  <si>
    <t>38e3ced6-0b21-5bc5-8cbd-c88ae16e28db / v1</t>
  </si>
  <si>
    <t>4e7a862e-d765-5426-8ff1-c6a8858a4845 / v1</t>
  </si>
  <si>
    <t>FIX-MT365-006@v1</t>
  </si>
  <si>
    <t>57acf0fd-a3d4-5151-8f02-c19a244df332 / SSI-MT347-MT365_006 / v1</t>
  </si>
  <si>
    <t>66b7a3e4-ba03-5097-9ddb-034e9c416eec / v1</t>
  </si>
  <si>
    <t>34caa4c3-f5e0-5ce9-9961-616b446dd834 / v1</t>
  </si>
  <si>
    <t>FIX-MT365-007@v1</t>
  </si>
  <si>
    <t>a03c111d-084b-588e-b2b7-fea5a91e5970 / SSI-MT347-MT365_007 / v1</t>
  </si>
  <si>
    <t>2270b5a3-f76a-5a94-8a13-ef031d6532b7 / v1</t>
  </si>
  <si>
    <t>a5c90eaf-0e82-5c50-ab32-defa4f39d978 / v1</t>
  </si>
  <si>
    <t>MT347-MT365-007-USD-001</t>
  </si>
  <si>
    <t>b2474bbe-47e8-5e53-b0d4-79e269373aad / v1</t>
  </si>
  <si>
    <t>FIX-MT365-008@v1</t>
  </si>
  <si>
    <t>4510d277-e548-5d64-ae76-2dae0701e123 / SSI-MT347-MT365_008 / v1</t>
  </si>
  <si>
    <t>52349145-3e3d-5740-ad61-dbdc866f21bb / v1</t>
  </si>
  <si>
    <t>33c5a228-bf36-5f09-acaa-757531093237 / v1</t>
  </si>
  <si>
    <t>MT347-MT365-008-USD-001</t>
  </si>
  <si>
    <t>4c524062-5e9a-5f62-a1a9-118d38e56b9b / v1</t>
  </si>
  <si>
    <t>FIX-MT365-009@v1</t>
  </si>
  <si>
    <t>b62b6a03-6cfa-5be5-8ca9-672e2a4bfb19 / SSI-MT347-MT365_009 / v1</t>
  </si>
  <si>
    <t>e4e06f51-1181-5fd8-a43b-8c388490796b / v1</t>
  </si>
  <si>
    <t>bbbf489b-f78f-5020-8e6b-9a384172a3f9 / v1</t>
  </si>
  <si>
    <t>FIX-MT365-010@v1</t>
  </si>
  <si>
    <t>deb834a0-e585-5065-83c0-71f88aba8c27 / SSI-MT347-MT365_010 / v1</t>
  </si>
  <si>
    <t>8cfcae83-21ff-55f7-93af-d088810faa0f / v1</t>
  </si>
  <si>
    <t>88e7f7b1-a2b5-5547-bd1c-49efd5844fe0 / v1</t>
  </si>
  <si>
    <t>FIX-MT365-011@v1</t>
  </si>
  <si>
    <t>28d1f2c0-988f-5412-b159-a7e08add2421 / SSI-MT347-MT365_011 / v1</t>
  </si>
  <si>
    <t>32e7080c-9fa4-5161-a574-22452c1ffe1a / v1</t>
  </si>
  <si>
    <t>4924fe26-75ae-5d3b-b48d-2a82a40690eb / v1</t>
  </si>
  <si>
    <t>FIX-MT365-012@v1</t>
  </si>
  <si>
    <t>19b030ee-9bcf-5d0b-a79d-8650531cbefc / SSI-MT347-MT365_012 / v1</t>
  </si>
  <si>
    <t>6b3e11f5-323a-50c0-9196-eb04a7a8fb6d / v1</t>
  </si>
  <si>
    <t>497ff345-7bb6-5e96-ba4c-037b9dfec939 / v1</t>
  </si>
  <si>
    <t>FIX-MT365-013@v1</t>
  </si>
  <si>
    <t>e461f43e-37ae-5d5e-b8fd-86690b5388e2 / SSI-MT347-MT365_013 / v1</t>
  </si>
  <si>
    <t>9ba7ff4b-cce8-554c-b213-e64bd42d550d / v1</t>
  </si>
  <si>
    <t>dd6a8495-ea3e-566e-927e-2aa075090956 / v1</t>
  </si>
  <si>
    <t>MT347-MT365-013-USD-001</t>
  </si>
  <si>
    <t>c89be6c6-2c57-5b7b-a765-561c0437e8e9 / v1</t>
  </si>
  <si>
    <t>FIX-MT365-014@v1</t>
  </si>
  <si>
    <t>8a7f7447-c15a-5394-9168-13e2e9f91c4c / SSI-MT347-MT365_014 / v1</t>
  </si>
  <si>
    <t>dbc514af-6b23-5b12-9808-8e13b6da74ab / v1</t>
  </si>
  <si>
    <t>9e7b0e95-5c92-564a-bffd-fe939dfd7a99 / v1</t>
  </si>
  <si>
    <t>MT347-MT365-014-USD-001</t>
  </si>
  <si>
    <t>91db5707-e516-5530-9620-a485514966d9 / v1</t>
  </si>
  <si>
    <t>FIX-MT365-015@v1</t>
  </si>
  <si>
    <t>659b4387-80a4-5beb-9f2b-c407bb91ccaa / SSI-MT347-MT365_015 / v1</t>
  </si>
  <si>
    <t>f89d9291-b95d-5756-869c-29bed5db7c24 / v1</t>
  </si>
  <si>
    <t>9d7d9896-a10f-5aca-b9d7-5d14a3bb819e / v1</t>
  </si>
  <si>
    <t>FIX-MT365-016@v1</t>
  </si>
  <si>
    <t>83a10e2c-2f35-5216-992c-b908ab57556c / SSI-MT347-MT365_016 / v1</t>
  </si>
  <si>
    <t>dc698b9e-f3e9-5b5b-bffe-84c7baaf234d / v1</t>
  </si>
  <si>
    <t>74054e7a-0457-5ea1-9d67-368a99c391d7 / v1</t>
  </si>
  <si>
    <t>FIX-MT365-017@v1</t>
  </si>
  <si>
    <t>a7f51cf4-6ca8-56b1-9bc3-cd35ca2fa0f3 / SSI-MT347-MT365_017 / v1</t>
  </si>
  <si>
    <t>6c712d04-0b4b-588e-afde-eac6bdb271d3 / v1</t>
  </si>
  <si>
    <t>8c92ccab-3764-58a9-9945-717df83df63e / v1</t>
  </si>
  <si>
    <t>FIX-MT365-018@v1</t>
  </si>
  <si>
    <t>52fdac61-0dfe-5a3b-8bef-ba17db0ce8f2 / SSI-MT347-MT365_018 / v1</t>
  </si>
  <si>
    <t>428ac764-d9ad-538d-8249-9fc6b947dde6 / v1</t>
  </si>
  <si>
    <t>e681734d-2c33-5a8d-b94c-1077bd388847 / v1</t>
  </si>
  <si>
    <t>FIX-MT365-019@v1</t>
  </si>
  <si>
    <t>a7da7061-0c32-51da-8f95-c17f04f73eba / SSI-MT347-MT365_019 / v1</t>
  </si>
  <si>
    <t>c116bd7b-ed05-518c-a7e7-1d2bea0f49f2 / v1</t>
  </si>
  <si>
    <t>0ef18201-1980-545b-90a1-95e342973fa6 / v1</t>
  </si>
  <si>
    <t>MT347-MT365-019-USD-001</t>
  </si>
  <si>
    <t>f3492512-ffd9-5419-a797-1cf8bc1b7ad8 / v1</t>
  </si>
  <si>
    <t>FIX-MT365-020@v1</t>
  </si>
  <si>
    <t>a11392a6-4538-53c6-977f-6c2301606aff / SSI-MT347-MT365_020 / v1</t>
  </si>
  <si>
    <t>03699d96-7d40-5634-b9d4-fd414d672d2d / v1</t>
  </si>
  <si>
    <t>30bb5f6f-8ec3-570d-b900-28feb7622342 / v1</t>
  </si>
  <si>
    <t>MT347-MT365-020-USD-001</t>
  </si>
  <si>
    <t>25511c3b-3d1f-507a-af24-4e86964cd658 / v1</t>
  </si>
  <si>
    <t>FIX-MT365-021@v1</t>
  </si>
  <si>
    <t>fa25fee2-7984-534e-8607-a92e1c693e0d / SSI-MT347-MT365_021 / v1</t>
  </si>
  <si>
    <t>a04a8f03-bb89-5c8b-9ac5-13dfd7a8eb0e / v1</t>
  </si>
  <si>
    <t>4c9b527c-2efa-5030-bc9f-ce6c0302f4d5 / v1</t>
  </si>
  <si>
    <t>FIX-MT365-022@v1</t>
  </si>
  <si>
    <t>f96db86c-c9d9-51b6-96b6-a139e48d8829 / SSI-MT347-MT365_022 / v1</t>
  </si>
  <si>
    <t>674b3dfd-98de-52b2-a5a3-a17d89afe3a7 / v1</t>
  </si>
  <si>
    <t>f1982add-c3ab-5a19-a3d7-32ba90f0755b / v1</t>
  </si>
  <si>
    <t>FIX-MT365-023@v1</t>
  </si>
  <si>
    <t>9c82f6fa-e06d-59a3-950e-bda5b532005f / SSI-MT347-MT365_023 / v1</t>
  </si>
  <si>
    <t>ede726ef-df9d-52e3-8f96-3136f1e59765 / v1</t>
  </si>
  <si>
    <t>51fedda7-b144-5cd7-b981-155eb0507f98 / v1</t>
  </si>
  <si>
    <t>FIX-MT365-024@v1</t>
  </si>
  <si>
    <t>74d610f3-c8d0-5923-ab90-4d2fe7465caf / SSI-MT347-MT365_024 / v1</t>
  </si>
  <si>
    <t>eadfebd5-f1b2-557c-ab70-d0520a06ecbc / v1</t>
  </si>
  <si>
    <t>41199439-e8c1-5d6a-86f7-4187e165689d / v1</t>
  </si>
  <si>
    <t>FIX-MT400-001@v1</t>
  </si>
  <si>
    <t>9598419b-fc09-51c3-8f44-09ca0986151a / SSI-MT347-MT400_001 / v1</t>
  </si>
  <si>
    <t>151d56c2-8bbe-5fac-b87b-cb6521b78708 / v1</t>
  </si>
  <si>
    <t>03ae06bd-aab5-56fd-be22-80f26ca29cbf / v1</t>
  </si>
  <si>
    <t>MT347-MT400-001-USD-001</t>
  </si>
  <si>
    <t>71139eb6-53d7-5736-bb8d-2fa77487be2c / v1</t>
  </si>
  <si>
    <t>FIX-MT400-002@v1</t>
  </si>
  <si>
    <t>2abe03db-dc96-531e-ab8e-fb753fbaedad / SSI-MT347-MT400_002 / v1</t>
  </si>
  <si>
    <t>cb26a556-6494-5bdc-9bbd-963df07b79fa / v1</t>
  </si>
  <si>
    <t>47692b3d-8a65-5a43-8dcf-f1c2b2bbf39e / v1</t>
  </si>
  <si>
    <t>FIX-MT400-003@v1</t>
  </si>
  <si>
    <t>d09806b5-0559-5249-877c-860c87bee40d / SSI-MT347-MT400_003 / v1</t>
  </si>
  <si>
    <t>004a2b4b-41be-5105-897a-61e94a568aa4 / v1</t>
  </si>
  <si>
    <t>010544e4-bee5-54a8-8594-c5b2175659f6 / v1</t>
  </si>
  <si>
    <t>FIX-MT400-004@v1</t>
  </si>
  <si>
    <t>d9146149-8b9a-5f6e-ba05-d8df92f63467 / SSI-MT347-MT400_004 / v1</t>
  </si>
  <si>
    <t>699424c4-a90e-5b83-ac72-fef0bef83d8f / v1</t>
  </si>
  <si>
    <t>56f9dbda-beb0-5d75-9d62-51c154207c7d / v1</t>
  </si>
  <si>
    <t>FIX-MT730-001@v1</t>
  </si>
  <si>
    <t>195c497c-0b65-5e47-a8d2-ea828dfa50eb / SSI-MT347-MT730_001 / v1</t>
  </si>
  <si>
    <t>2b0f4e36-29d0-50a4-8a32-7d4af8bdbe87 / v1</t>
  </si>
  <si>
    <t>c38e2a6e-6944-59ba-a4c5-418a82dd4754 / v1</t>
  </si>
  <si>
    <t>FIX-MT730-002@v1</t>
  </si>
  <si>
    <t>eeea0f5e-dfdf-5159-82bc-3938110e9d2a / SSI-MT347-MT730_002 / v1</t>
  </si>
  <si>
    <t>76cbda2a-38f4-510c-950b-55e88e25583d / v1</t>
  </si>
  <si>
    <t>ed9d9090-89eb-574c-bea3-beab47cb2d17 / v1</t>
  </si>
  <si>
    <t>FIX-MT730-003@v1</t>
  </si>
  <si>
    <t>d28737c0-32d7-5ae4-8180-5bad23fcd34b / SSI-MT347-MT730_003 / v1</t>
  </si>
  <si>
    <t>03a2dcd1-f03e-5d67-8f29-6a92e47edc0a / v1</t>
  </si>
  <si>
    <t>f0b875ba-e6dc-5c84-8eb3-64e0f63027e5 / v1</t>
  </si>
  <si>
    <t>FIX-MT730-004@v1</t>
  </si>
  <si>
    <t>3051147e-5a20-52e4-939d-ad1399d38aa8 / SSI-MT347-MT730_004 / v1</t>
  </si>
  <si>
    <t>594644ec-f2b0-5aeb-a85a-48f570a5f512 / v1</t>
  </si>
  <si>
    <t>49fe5d57-095e-5fc6-a6c9-7e804247c203 / v1</t>
  </si>
  <si>
    <t>FIX-MT734-001@v1</t>
  </si>
  <si>
    <t>af158f2b-10d4-5722-960b-1efc99494d96 / SSI-MT347-MT734_001 / v1</t>
  </si>
  <si>
    <t>0fa89e51-efc7-542d-b28b-d35722db93e3 / v1</t>
  </si>
  <si>
    <t>ec7f53a6-9b25-5b9b-9bb6-b49eec61a5e1 / v1</t>
  </si>
  <si>
    <t>FIX-MT734-002@v1</t>
  </si>
  <si>
    <t>d982c1cc-2470-50dc-a49c-2763425d9d35 / SSI-MT347-MT734_002 / v1</t>
  </si>
  <si>
    <t>a3202b60-d726-5d68-96c8-d99b2066de3a / v1</t>
  </si>
  <si>
    <t>114dc91f-8f29-51d0-9415-1fe265bc16c0 / v1</t>
  </si>
  <si>
    <t>FIX-MT734-003@v1</t>
  </si>
  <si>
    <t>bad4347b-ce1d-52b9-bd19-56f25b1294a8 / SSI-MT347-MT734_003 / v1</t>
  </si>
  <si>
    <t>447d98eb-1d8b-5aba-8a26-343b12b3d85e / v1</t>
  </si>
  <si>
    <t>57aea603-357a-5832-a189-a0d40b9b4a1f / v1</t>
  </si>
  <si>
    <t>FIX-MT734-004@v1</t>
  </si>
  <si>
    <t>29ca672e-5918-52b1-aaa1-4b665b6426c8 / SSI-MT347-MT734_004 / v1</t>
  </si>
  <si>
    <t>ae34cd26-40b2-5662-8396-23892ca61c31 / v1</t>
  </si>
  <si>
    <t>09412e18-e40b-5e67-b3e6-f10e63e61699 / v1</t>
  </si>
  <si>
    <t>FIX-MT742-001@v1</t>
  </si>
  <si>
    <t>11ea2c9e-fd05-5c52-9551-84dfe024c71d / SSI-MT347-MT742_001 / v1</t>
  </si>
  <si>
    <t>3c4fe08c-e807-5983-bd64-b00d2da4abbe / v1</t>
  </si>
  <si>
    <t>0509972d-7912-5306-9c5c-231d63a706b2 / v1</t>
  </si>
  <si>
    <t>FIX-MT742-002@v1</t>
  </si>
  <si>
    <t>6b9bf33a-7327-5fa3-86b8-c9cb317c3199 / SSI-MT347-MT742_002 / v1</t>
  </si>
  <si>
    <t>00d79da1-fe9a-56c2-ad9f-9b468c009926 / v1</t>
  </si>
  <si>
    <t>eded4775-760a-575c-9a43-12d3a9fc3bc8 / v1</t>
  </si>
  <si>
    <t>FIX-MT742-003@v1</t>
  </si>
  <si>
    <t>711342e1-2d0f-54e4-9e9f-a66f58a5a7d4 / SSI-MT347-MT742_003 / v1</t>
  </si>
  <si>
    <t>584b29a9-da12-509c-a113-40c5b83a3724 / v1</t>
  </si>
  <si>
    <t>cdec06b5-a46d-51b9-86bb-52c030804a8a / v1</t>
  </si>
  <si>
    <t>FIX-MT742-004@v1</t>
  </si>
  <si>
    <t>d756c7f9-09c1-5c9c-ae52-f52888e4601c / SSI-MT347-MT742_004 / v1</t>
  </si>
  <si>
    <t>d98a9d9c-399a-59fc-a271-3c13e695d0c9 / v1</t>
  </si>
  <si>
    <t>e1f65eb9-081a-54d2-948b-65b48fed64a6 / v1</t>
  </si>
  <si>
    <t>FIX-MT750-001@v1</t>
  </si>
  <si>
    <t>2a1526fc-cdf2-5b96-b041-35de70a5a633 / SSI-MT347-MT750_001 / v1</t>
  </si>
  <si>
    <t>62a8f5f0-4224-519e-bea8-228c4adf7043 / v1</t>
  </si>
  <si>
    <t>b49a07fc-9355-56bf-89a8-5121ad03ae0b / v1</t>
  </si>
  <si>
    <t>FIX-MT750-002@v1</t>
  </si>
  <si>
    <t>fb705130-aba8-5084-a876-b457e9b11b73 / SSI-MT347-MT750_002 / v1</t>
  </si>
  <si>
    <t>86d2395a-2016-5b94-808f-226a9e96da73 / v1</t>
  </si>
  <si>
    <t>6a4ad73e-72e2-554a-9279-4e1cf1fd32a4 / v1</t>
  </si>
  <si>
    <t>FIX-MT750-003@v1</t>
  </si>
  <si>
    <t>95255886-9c85-5e25-b4e2-9d8c17ff8e1d / SSI-MT347-MT750_003 / v1</t>
  </si>
  <si>
    <t>a61b4776-3adf-5f29-8077-8212fdf140ce / v1</t>
  </si>
  <si>
    <t>8c581e2a-0456-53d1-b0f9-88ed85bdc5eb / v1</t>
  </si>
  <si>
    <t>FIX-MT750-004@v1</t>
  </si>
  <si>
    <t>55fcb509-34da-54e5-80ca-f1d301064790 / SSI-MT347-MT750_004 / v1</t>
  </si>
  <si>
    <t>3a84bf94-996f-59db-97fe-31bf31e9f2d5 / v1</t>
  </si>
  <si>
    <t>39446059-4b8a-5ed9-aed7-3f9738359f30 / v1</t>
  </si>
  <si>
    <t>FIX-MT752-001@v1</t>
  </si>
  <si>
    <t>26bc9e3f-05f4-555f-ac00-2e0384d3c09d / SSI-MT347-MT752_001 / v1</t>
  </si>
  <si>
    <t>65830c50-7ba2-5f53-ba0d-e6422633b6c4 / v1</t>
  </si>
  <si>
    <t>1a84010b-3c75-54bb-8e3d-8e3b70828967 / v1</t>
  </si>
  <si>
    <t>MT347-MT752-001-USD-001</t>
  </si>
  <si>
    <t>a449de3b-b3a2-5a26-acf1-c74a5b4454f9 / v1</t>
  </si>
  <si>
    <t>FIX-MT752-002@v1</t>
  </si>
  <si>
    <t>beb715d7-f8df-51b5-b917-eb1452ce1c7b / SSI-MT347-MT752_002 / v1</t>
  </si>
  <si>
    <t>2878eb3b-6d7a-54a3-84d6-dee28b120e3a / v1</t>
  </si>
  <si>
    <t>27f941a6-c5c0-5703-82e6-ae2de6294100 / v1</t>
  </si>
  <si>
    <t>FIX-MT752-003@v1</t>
  </si>
  <si>
    <t>5af91590-dfc3-5175-80e1-9cc7f47d2408 / SSI-MT347-MT752_003 / v1</t>
  </si>
  <si>
    <t>2f108cee-2363-5864-a7e7-84d29a46ad1b / v1</t>
  </si>
  <si>
    <t>270f13b2-e042-55c8-a2e4-f44beceeeafd / v1</t>
  </si>
  <si>
    <t>FIX-MT752-004@v1</t>
  </si>
  <si>
    <t>b03cb126-db75-5d85-83a2-4c8959710243 / SSI-MT347-MT752_004 / v1</t>
  </si>
  <si>
    <t>885d96d1-dadc-5e13-9b17-67ff59306ff3 / v1</t>
  </si>
  <si>
    <t>c29b8add-4c18-5baf-99bc-bccf1696ec5b / v1</t>
  </si>
  <si>
    <t>FIX-MT754-001@v1</t>
  </si>
  <si>
    <t>512fd063-233b-5a78-832b-1cb853ab3c1f / SSI-MT347-MT754_001 / v1</t>
  </si>
  <si>
    <t>9208bcd8-0bb2-55cd-b61b-9bbeed4bc59d / v1</t>
  </si>
  <si>
    <t>708feb89-bd6e-576b-a231-946e5bd272a9 / v1</t>
  </si>
  <si>
    <t>FIX-MT754-002@v1</t>
  </si>
  <si>
    <t>08d10d41-380e-5c0d-9bc4-c4774a7af556 / SSI-MT347-MT754_002 / v1</t>
  </si>
  <si>
    <t>05dcc172-54ec-5d48-8cb9-9b1e279a7080 / v1</t>
  </si>
  <si>
    <t>14d5a63a-1307-591b-9ea3-4889da646ccd / v1</t>
  </si>
  <si>
    <t>FIX-MT754-003@v1</t>
  </si>
  <si>
    <t>ec25c6fc-c6bb-5b5d-b2ab-79ead3836694 / SSI-MT347-MT754_003 / v1</t>
  </si>
  <si>
    <t>21d13005-3d8f-5075-a61a-f2617af4de7a / v1</t>
  </si>
  <si>
    <t>8f7fb5d6-44ee-5893-aaea-6d165d99f7d7 / v1</t>
  </si>
  <si>
    <t>FIX-MT754-004@v1</t>
  </si>
  <si>
    <t>e692420d-6ec9-597e-9943-6835c78ee352 / SSI-MT347-MT754_004 / v1</t>
  </si>
  <si>
    <t>b1d4c574-cbc4-5633-85bc-354681532e9c / v1</t>
  </si>
  <si>
    <t>dcd4767d-88e6-538e-a29b-8ede58ab48e2 / v1</t>
  </si>
  <si>
    <t>FIX-MT756-001@v1</t>
  </si>
  <si>
    <t>f67c761f-f853-506a-a7e4-cf51ad1cde28 / SSI-MT347-MT756_001 / v1</t>
  </si>
  <si>
    <t>39ff58af-f6e5-57aa-b10e-482393b81f32 / v1</t>
  </si>
  <si>
    <t>41b3c567-cad9-503a-9f6e-aad0ffdda21f / v1</t>
  </si>
  <si>
    <t>MT347-MT756-001-USD-001</t>
  </si>
  <si>
    <t>f64a274e-0715-5468-a9b8-daf8ba2d6bfa / v1</t>
  </si>
  <si>
    <t>FIX-MT756-002@v1</t>
  </si>
  <si>
    <t>466849a9-2eff-5fef-810c-210d93bad27a / SSI-MT347-MT756_002 / v1</t>
  </si>
  <si>
    <t>d9a2e99e-6b69-56fc-8552-c1490b0dc409 / v1</t>
  </si>
  <si>
    <t>b2555149-921d-5007-80a4-912f2b5cc158 / v1</t>
  </si>
  <si>
    <t>FIX-MT756-003@v1</t>
  </si>
  <si>
    <t>7d2d8be2-2e0f-5d03-8d00-ef3427b4c6a1 / SSI-MT347-MT756_003 / v1</t>
  </si>
  <si>
    <t>b6ab0526-4780-5e7e-8fb3-12ded0226d96 / v1</t>
  </si>
  <si>
    <t>19761003-f244-5fb9-89c7-506cc335ac37 / v1</t>
  </si>
  <si>
    <t>FIX-MT756-004@v1</t>
  </si>
  <si>
    <t>ae2153df-b997-51e5-80a6-5626ed926e11 / SSI-MT347-MT756_004 / v1</t>
  </si>
  <si>
    <t>ba2559d4-6d74-59d7-96b9-ad7ed20424e5 / v1</t>
  </si>
  <si>
    <t>13d800c3-19a9-5ea9-9c41-649aff05a031 / v1</t>
  </si>
  <si>
    <t>FIX-MT765-001@v1</t>
  </si>
  <si>
    <t>4408e144-f8d6-589e-b8f6-0f036f104863 / SSI-MT347-MT765_001 / v1</t>
  </si>
  <si>
    <t>83b0eea7-c5d2-5d68-bd0d-39111d502255 / v1</t>
  </si>
  <si>
    <t>55d1cb9e-08ae-51d1-951b-933bfe3ce1ed / v1</t>
  </si>
  <si>
    <t>FIX-MT765-002@v1</t>
  </si>
  <si>
    <t>1a5cafaf-ea84-580d-bd91-ce8d306ff367 / SSI-MT347-MT765_002 / v1</t>
  </si>
  <si>
    <t>0287ce80-2378-52d1-aa62-057eba4707d5 / v1</t>
  </si>
  <si>
    <t>426c3de9-c3ea-5979-bc2d-7b7365a0732c / v1</t>
  </si>
  <si>
    <t>FIX-MT765-003@v1</t>
  </si>
  <si>
    <t>d5a3171c-ac1f-5474-8997-b06554529d4f / SSI-MT347-MT765_003 / v1</t>
  </si>
  <si>
    <t>f309acb6-13e8-54b4-9d01-922b2952218f / v1</t>
  </si>
  <si>
    <t>8f0174c1-0c72-53b0-a5bb-51fa9f9e5b1f / v1</t>
  </si>
  <si>
    <t>FIX-MT765-004@v1</t>
  </si>
  <si>
    <t>e403fd0d-f19a-595b-b0c6-5d9e5fa7104a / SSI-MT347-MT765_004 / v1</t>
  </si>
  <si>
    <t>1ba0e24a-8589-585c-b3e8-82fddf7099fb / v1</t>
  </si>
  <si>
    <t>b247590d-1dfd-5ad2-907f-e71580f7e864 / v1</t>
  </si>
  <si>
    <t>FIX-MT765-005@v1</t>
  </si>
  <si>
    <t>3af5fe34-672b-5fdf-b61c-642e0f721e97 / SSI-MT347-MT765_005 / v1</t>
  </si>
  <si>
    <t>bebafe8d-d278-58cf-9a9b-49833ba1009d / v1</t>
  </si>
  <si>
    <t>4964bda7-596e-5024-b5bb-0daf7ead8ab8 / v1</t>
  </si>
  <si>
    <t>FIX-MT768-001@v1</t>
  </si>
  <si>
    <t>d0e4e438-20d8-511d-bb55-c4af9eef9f12 / SSI-MT347-MT768_001 / v1</t>
  </si>
  <si>
    <t>bbd01584-cebc-56b6-9116-4f84b73aa90e / v1</t>
  </si>
  <si>
    <t>beae438c-e381-50ec-b08b-dbf7866fd6d2 / v1</t>
  </si>
  <si>
    <t>FIX-MT768-002@v1</t>
  </si>
  <si>
    <t>30959339-334d-5f8c-9032-5e476c36c111 / SSI-MT347-MT768_002 / v1</t>
  </si>
  <si>
    <t>a6e8c619-967c-5147-84a3-8d2feb5362f6 / v1</t>
  </si>
  <si>
    <t>cc41c92f-8fcc-58f6-8dc4-b82d8acc8570 / v1</t>
  </si>
  <si>
    <t>FIX-MT768-003@v1</t>
  </si>
  <si>
    <t>1e87b366-ceda-5844-b05e-1b204a9faaef / SSI-MT347-MT768_003 / v1</t>
  </si>
  <si>
    <t>7d287155-4d45-5fb6-8f58-222076da8060 / v1</t>
  </si>
  <si>
    <t>990dbb92-5664-5215-b2de-fd5a3b16466e / v1</t>
  </si>
  <si>
    <t>FIX-MT768-004@v1</t>
  </si>
  <si>
    <t>ba7f8c5b-3a61-52c2-bbe5-6e7ca38103da / SSI-MT347-MT768_004 / v1</t>
  </si>
  <si>
    <t>38ca5198-53f9-5281-8314-fa329ec62345 / v1</t>
  </si>
  <si>
    <t>a33da442-5afc-5dee-8348-968a49cd7216 / v1</t>
  </si>
  <si>
    <t>FIX-MT769-001@v1</t>
  </si>
  <si>
    <t>0eb401fd-bfa2-537c-8d4a-9a6ed7b53ffb / SSI-MT347-MT769_001 / v1</t>
  </si>
  <si>
    <t>1c81a25c-2cbc-5169-a677-c05392d6a5ea / v1</t>
  </si>
  <si>
    <t>91563b8f-77bf-5d56-a2dd-afdee8955914 / v1</t>
  </si>
  <si>
    <t>FIX-MT769-002@v1</t>
  </si>
  <si>
    <t>323aa60d-c730-5b4b-8c0a-020cabc91035 / SSI-MT347-MT769_002 / v1</t>
  </si>
  <si>
    <t>b985dcaf-86a5-520a-a62e-3179edc02882 / v1</t>
  </si>
  <si>
    <t>4461785b-1a42-5744-a681-f4ccf3ffc533 / v1</t>
  </si>
  <si>
    <t>FIX-MT769-003@v1</t>
  </si>
  <si>
    <t>c10f2c43-ed0d-57e3-9664-478774d347c5 / SSI-MT347-MT769_003 / v1</t>
  </si>
  <si>
    <t>aeca5f06-f8ed-5898-bbaf-a25d9d3ebd0e / v1</t>
  </si>
  <si>
    <t>67c1fdc3-6b03-5f00-9533-99e617b48f85 / v1</t>
  </si>
  <si>
    <t>FIX-MT769-004@v1</t>
  </si>
  <si>
    <t>21ba0104-8417-5593-b263-cfd1216dbff5 / SSI-MT347-MT769_004 / v1</t>
  </si>
  <si>
    <t>ca6d3c07-ebfd-59b6-883a-6966b72ce73e / v1</t>
  </si>
  <si>
    <t>5f48468b-0333-5389-825f-e92de66312e9 / v1</t>
  </si>
  <si>
    <t>FIX-MT400-005@v1</t>
  </si>
  <si>
    <t>3eb66e1a-2412-5dae-8878-50da0fd1e81c / SSI-MT347-MT400_005 / v1</t>
  </si>
  <si>
    <t>3ba2f81c-6613-57d4-92bd-2d5e0d458d74 / v1</t>
  </si>
  <si>
    <t>e642ebf5-0c1f-514d-84e0-b296d3720b1e / v1</t>
  </si>
  <si>
    <t>FIX-MT400-006@v1</t>
  </si>
  <si>
    <t>984bc15d-7e7c-5a83-966d-c790ab8137fd / SSI-MT347-MT400_006 / v1</t>
  </si>
  <si>
    <t>7fa49906-da67-55b7-ac9f-c1f2f755b083 / v1</t>
  </si>
  <si>
    <t>2e2cd13c-825a-5bc2-af29-1b5b1e63389c / v1</t>
  </si>
  <si>
    <t>FIX-MT730-005@v1</t>
  </si>
  <si>
    <t>ac232d18-5db7-5e77-b536-1725c744ff2a / SSI-MT347-MT730_005 / v1</t>
  </si>
  <si>
    <t>6fbf9181-0cde-52ad-9cec-64102937c424 / v1</t>
  </si>
  <si>
    <t>fc72a74c-62eb-5c2a-b737-545a131d14b4 / v1</t>
  </si>
  <si>
    <t>FIX-MT730-006@v1</t>
  </si>
  <si>
    <t>58a30b01-a4a8-5183-a427-9f8c767d18ea / SSI-MT347-MT730_006 / v1</t>
  </si>
  <si>
    <t>cbaae954-70ea-523a-ab37-1eb8033ef379 / v1</t>
  </si>
  <si>
    <t>fc4ae74f-6f8d-5b07-9fd3-8093c75b7a05 / v1</t>
  </si>
  <si>
    <t>FIX-MT754-005@v1</t>
  </si>
  <si>
    <t>7612fd83-a88a-5b39-96a1-b837c5299a16 / SSI-MT347-MT754_005 / v1</t>
  </si>
  <si>
    <t>6ce3b012-6751-5151-ac58-0a40290b3210 / v1</t>
  </si>
  <si>
    <t>cdd1b135-685e-5f6a-861b-926a2b827619 / v1</t>
  </si>
  <si>
    <t>FIX-MT754-006@v1</t>
  </si>
  <si>
    <t>9e7cca2f-f88e-5946-8913-60c5bca54d4e / SSI-MT347-MT754_006 / v1</t>
  </si>
  <si>
    <t>33f9b14f-47d5-5130-bb62-20c7375a63e4 / v1</t>
  </si>
  <si>
    <t>84371828-e917-5eff-9716-83ea1ba791f7 / v1</t>
  </si>
  <si>
    <t>FIX-MT754-007@v1</t>
  </si>
  <si>
    <t>2fe4c1d7-3950-5ecd-951d-a1d0935add5b / SSI-MT347-MT754_007 / v1</t>
  </si>
  <si>
    <t>a51f9018-6688-5a58-91b0-70e8af94fe34 / v1</t>
  </si>
  <si>
    <t>bfd05bf1-9d40-5e8e-9868-13d3975e1725 / v1</t>
  </si>
  <si>
    <t>FIX-MT768-005@v1</t>
  </si>
  <si>
    <t>bb9c1e53-d190-5b17-a030-ad2e3fefa75f / SSI-MT347-MT768_005 / v1</t>
  </si>
  <si>
    <t>f5efc44f-8a01-5dbc-882e-33751c2b496c / v1</t>
  </si>
  <si>
    <t>e9b3e312-a3c3-5c25-85c7-5dd3d65470c6 / v1</t>
  </si>
  <si>
    <t>FIX-MT768-006@v1</t>
  </si>
  <si>
    <t>ee081ae8-249e-5a95-b376-8875237b7346 / SSI-MT347-MT768_006 / v1</t>
  </si>
  <si>
    <t>14355d80-b455-5f76-b781-d540acf2d7af / v1</t>
  </si>
  <si>
    <t>ad8838f3-5ca8-5ba6-9d93-bc383f526870 / v1</t>
  </si>
  <si>
    <t>FIX-MT769-005@v1</t>
  </si>
  <si>
    <t>24cb4e78-745f-5c5e-8e21-ef9ced829545 / SSI-MT347-MT769_005 / v1</t>
  </si>
  <si>
    <t>f02d1d31-1e2f-5282-96cc-b4ba2d67dd8d / v1</t>
  </si>
  <si>
    <t>29c7d789-a5d4-583e-831f-41fa0a75d1be / v1</t>
  </si>
  <si>
    <t>FIX-MT769-006@v1</t>
  </si>
  <si>
    <t>5912d6a2-9881-5b42-acf6-1c3b8aed6d65 / SSI-MT347-MT769_006 / v1</t>
  </si>
  <si>
    <t>a3407518-aa9c-5efd-9192-403a5365dcdc / v1</t>
  </si>
  <si>
    <t>863cba34-401d-5d15-b4c3-5fae8658fe41 / v1</t>
  </si>
  <si>
    <t>FIX-MT300-016@v1</t>
  </si>
  <si>
    <t>5de7f3bc-daf6-59aa-89f6-a3bf94794508 / SSI-MT347-MT300_016 / v1</t>
  </si>
  <si>
    <t>00acdc81-4277-58da-bb92-62e3c0801291 / v1</t>
  </si>
  <si>
    <t>5c281312-96ad-57f8-b4fc-167deba11434 / v1</t>
  </si>
  <si>
    <t>MT347-MT300-016-USD-001</t>
  </si>
  <si>
    <t>177f10d8-8e5b-539e-912b-e8658e66c09f / v1</t>
  </si>
  <si>
    <t>FIX-MT304-016@v1</t>
  </si>
  <si>
    <t>424eecd9-a84f-5f60-8cf3-16c0300f97c8 / SSI-MT347-MT304_016 / v1</t>
  </si>
  <si>
    <t>827e08c2-5a77-5604-a96d-ef5708141f95 / v1</t>
  </si>
  <si>
    <t>8a66cba7-ab98-5121-9364-6387ecb26c97 / v1</t>
  </si>
  <si>
    <t>MT347-MT304-016-USD-001</t>
  </si>
  <si>
    <t>f27a31d0-e18b-5565-a054-22e5d18cd351 / v1</t>
  </si>
  <si>
    <t>FIX-MT305-006@v1</t>
  </si>
  <si>
    <t>a258df01-7c1d-5370-b235-478369071e16 / SSI-MT347-MT305_006 / v1</t>
  </si>
  <si>
    <t>73f92438-7773-551c-95ed-b41cb21d5c52 / v1</t>
  </si>
  <si>
    <t>eef9a893-955e-56f1-8840-9c9c54ea0f17 / v1</t>
  </si>
  <si>
    <t>MT347-MT305-006-USD-001</t>
  </si>
  <si>
    <t>226b2c58-2310-59d4-a2e2-c646a0f979d7 / v1</t>
  </si>
  <si>
    <t>FIX-MT306-019@v1</t>
  </si>
  <si>
    <t>a3bcc694-c723-5ad0-ba6f-79c07faf74ab / SSI-MT347-MT306_019 / v1</t>
  </si>
  <si>
    <t>79ea99ad-5672-5aa3-96c3-cbd76ae0741a / v1</t>
  </si>
  <si>
    <t>fd9513ee-b057-50ee-b7ec-8a2419a25b5e / v1</t>
  </si>
  <si>
    <t>MT347-MT306-019-USD-001</t>
  </si>
  <si>
    <t>53ca1645-74ac-5a8c-a10f-52fcf84ea4af / v1</t>
  </si>
  <si>
    <t>FIX-MT320-031@v1</t>
  </si>
  <si>
    <t>a1f68302-ab40-5fee-939a-0b5e637eef1e / SSI-MT347-MT320_031 / v1</t>
  </si>
  <si>
    <t>c121e4cd-ece1-582a-8035-1289aea9b9c7 / v1</t>
  </si>
  <si>
    <t>ecb61a66-ad84-5108-95d1-1f0cbca0f569 / v1</t>
  </si>
  <si>
    <t>MT347-MT320-031-USD-001</t>
  </si>
  <si>
    <t>9af16380-ee2a-589a-b8b9-9325cad1ed3b / v1</t>
  </si>
  <si>
    <t>FIX-MT330-025@v1</t>
  </si>
  <si>
    <t>898b728e-d54a-5bf4-8a61-d2f0b5f53941 / SSI-MT347-MT330_025 / v1</t>
  </si>
  <si>
    <t>c0d092d2-bee7-5741-927e-fd2ee7147674 / v1</t>
  </si>
  <si>
    <t>c1bd4f0f-2c04-54f4-9613-25a2cb163f5e / v1</t>
  </si>
  <si>
    <t>MT347-MT330-025-USD-001</t>
  </si>
  <si>
    <t>2b80af7a-2c39-5ea9-94d1-672b6a77bafd / v1</t>
  </si>
  <si>
    <t>FIX-MT340-019@v1</t>
  </si>
  <si>
    <t>19aa884f-bab0-5075-97c9-518c759b7c5e / SSI-MT347-MT340_019 / v1</t>
  </si>
  <si>
    <t>efc0740e-f121-5d2d-bcb7-7ac31fd9291b / v1</t>
  </si>
  <si>
    <t>1af16026-29f4-5e04-9aa1-97e4c00e5973 / v1</t>
  </si>
  <si>
    <t>MT347-MT340-019-USD-001</t>
  </si>
  <si>
    <t>4ebe5426-0e41-51f0-9d28-d2df1baae0d9 / v1</t>
  </si>
  <si>
    <t>FIX-MT341-007@v1</t>
  </si>
  <si>
    <t>3181e997-d393-5f08-b81e-915253b1b7dc / SSI-MT347-MT341_007 / v1</t>
  </si>
  <si>
    <t>cce30c7d-5d09-55b3-a0da-3f82c145feae / v1</t>
  </si>
  <si>
    <t>3d05591e-a553-53ad-a778-ed73610188a7 / v1</t>
  </si>
  <si>
    <t>MT347-MT341-007-USD-001</t>
  </si>
  <si>
    <t>45103bde-d279-56e8-a1f7-bb4a124961f3 / v1</t>
  </si>
  <si>
    <t>FIX-MT350-007@v1</t>
  </si>
  <si>
    <t>63edb152-3a48-5a7d-a945-e2e8c4db3be0 / SSI-MT347-MT350_007 / v1</t>
  </si>
  <si>
    <t>696ded28-108d-5799-a756-fd5659b5e192 / v1</t>
  </si>
  <si>
    <t>f81e1aba-4195-5a6b-bcbf-0d526e18a9f5 / v1</t>
  </si>
  <si>
    <t>MT347-MT350-007-USD-001</t>
  </si>
  <si>
    <t>890f6d5f-e1d2-5977-b80c-f6135cc2da5f / v1</t>
  </si>
  <si>
    <t>FIX-MT360-029@v1</t>
  </si>
  <si>
    <t>753f7e02-8dab-5e40-a027-a14fc9a07d50 / SSI-MT347-MT360_029 / v1</t>
  </si>
  <si>
    <t>c8da502c-dff7-5aa0-9db5-a163dc3c0fa3 / v1</t>
  </si>
  <si>
    <t>746aa0ba-d118-5e18-b32d-2d52fd140df2 / v1</t>
  </si>
  <si>
    <t>MT347-MT360-029-USD-001</t>
  </si>
  <si>
    <t>fe2b6016-78a8-5f00-93f5-911fcbbc8300 / v1</t>
  </si>
  <si>
    <t>FIX-MT361-043@v1</t>
  </si>
  <si>
    <t>1853d0bc-ab30-5dec-ad8d-3670d27a4c5d / SSI-MT347-MT361_043 / v1</t>
  </si>
  <si>
    <t>5cc76bdc-8dfa-5d53-8f27-0b0eb6fa94f6 / v1</t>
  </si>
  <si>
    <t>a60ee13b-e0da-57a3-9172-2b2c3ada0cda / v1</t>
  </si>
  <si>
    <t>MT347-MT361-043-USD-001</t>
  </si>
  <si>
    <t>d000495d-8487-5d99-a559-ebd3dcbf67ac / v1</t>
  </si>
  <si>
    <t>FIX-MT362-015@v1</t>
  </si>
  <si>
    <t>f53b75b2-1703-5086-b133-8f2e5dd43dee / SSI-MT347-MT362_015 / v1</t>
  </si>
  <si>
    <t>461a8ca2-f252-5ba9-8364-afe6356baa3f / v1</t>
  </si>
  <si>
    <t>bb0268dc-5b74-5059-87b4-4e5cc0bb3f22 / v1</t>
  </si>
  <si>
    <t>MT347-MT362-015-USD-001</t>
  </si>
  <si>
    <t>82f3a93b-ad7a-5249-aa56-dcbcc4d29c49 / v1</t>
  </si>
  <si>
    <t>FIX-MT364-013@v1</t>
  </si>
  <si>
    <t>326d9d07-ff83-507b-97f3-a81c83892131 / SSI-MT347-MT364_013 / v1</t>
  </si>
  <si>
    <t>dd1e44ab-c45c-5dc3-8fac-1b82e9409a66 / v1</t>
  </si>
  <si>
    <t>9be7d6b3-e1db-59fc-8e0c-ad8fb5754327 / v1</t>
  </si>
  <si>
    <t>MT347-MT364-013-USD-001</t>
  </si>
  <si>
    <t>836f2c2d-410e-5c14-9b01-a4187bb40981 / v1</t>
  </si>
  <si>
    <t>FIX-MT365-025@v1</t>
  </si>
  <si>
    <t>60a01175-5aac-5f9c-b145-b9e14c9765d8 / SSI-MT347-MT365_025 / v1</t>
  </si>
  <si>
    <t>b0f13606-ebbf-551b-8e6c-5ec64c130645 / v1</t>
  </si>
  <si>
    <t>1a02098f-f157-5b52-b4f9-155d1744f51d / v1</t>
  </si>
  <si>
    <t>MT347-MT365-025-USD-001</t>
  </si>
  <si>
    <t>7eeb3a28-0369-5f57-85f9-5ad58813d066 / v1</t>
  </si>
  <si>
    <t>FIX-MT400-007@v1</t>
  </si>
  <si>
    <t>62d52c13-c41a-56ab-a2dc-1883a0440359 / SSI-MT347-MT400_007 / v1</t>
  </si>
  <si>
    <t>4c8d32ae-558c-5e83-afb5-b65c1bdfc37a / v1</t>
  </si>
  <si>
    <t>dd5fbd17-5e8d-5845-b1b2-15d530167f8d / v1</t>
  </si>
  <si>
    <t>MT347-MT400-007-USD-001</t>
  </si>
  <si>
    <t>0de1f3b5-b069-51d4-aba4-260de35bddc2 / v1</t>
  </si>
  <si>
    <t>FIX-MT730-007@v1</t>
  </si>
  <si>
    <t>a6ea29ca-338d-50d4-b804-ed49e9503d9f / SSI-MT347-MT730_007 / v1</t>
  </si>
  <si>
    <t>b684d225-4027-56cc-afb6-187d8e1be05b / v1</t>
  </si>
  <si>
    <t>6efde549-97ee-5ed2-aa35-253756c997fe / v1</t>
  </si>
  <si>
    <t>FIX-MT734-005@v1</t>
  </si>
  <si>
    <t>95919353-c033-52ee-b049-59c36686bad4 / SSI-MT347-MT734_005 / v1</t>
  </si>
  <si>
    <t>767289b0-a019-533c-8ebd-6231d84122fb / v1</t>
  </si>
  <si>
    <t>9919428c-e1a5-577a-95dc-4dcb7eb199d9 / v1</t>
  </si>
  <si>
    <t>FIX-MT742-005@v1</t>
  </si>
  <si>
    <t>3eca0307-a5a0-5ca3-89a2-b184d51c1499 / SSI-MT347-MT742_005 / v1</t>
  </si>
  <si>
    <t>15ad969b-0a98-5e19-aa3f-f4ed7b6d0e9f / v1</t>
  </si>
  <si>
    <t>3c027363-d989-5708-8b06-afe72ddd7fff / v1</t>
  </si>
  <si>
    <t>FIX-MT750-005@v1</t>
  </si>
  <si>
    <t>a8ad6261-43c3-5fc0-b9c2-1bb84289bf8c / SSI-MT347-MT750_005 / v1</t>
  </si>
  <si>
    <t>c738fd9c-012f-5e25-a68c-666469dc9577 / v1</t>
  </si>
  <si>
    <t>731de042-c0f2-5c62-b7a9-b320a5fadc8f / v1</t>
  </si>
  <si>
    <t>FIX-MT752-005@v1</t>
  </si>
  <si>
    <t>f7af7ee4-eea5-5bae-9ebe-5eb1f4d4c796 / SSI-MT347-MT752_005 / v1</t>
  </si>
  <si>
    <t>d22d62d0-c349-55ec-94f1-70da57f49c85 / v1</t>
  </si>
  <si>
    <t>bdded572-59b8-535b-b147-832c8189d50a / v1</t>
  </si>
  <si>
    <t>MT347-MT752-005-USD-001</t>
  </si>
  <si>
    <t>cbed0059-7026-5e98-bab2-a5df270ca6af / v1</t>
  </si>
  <si>
    <t>FIX-MT754-008@v1</t>
  </si>
  <si>
    <t>84781e7f-f9fa-5609-8c3e-91bd78e5e204 / SSI-MT347-MT754_008 / v1</t>
  </si>
  <si>
    <t>b6f5295a-b096-5d2b-b61e-6f593fce91af / v1</t>
  </si>
  <si>
    <t>f8619fef-229a-5248-9c34-75252744a8f5 / v1</t>
  </si>
  <si>
    <t>FIX-MT756-005@v1</t>
  </si>
  <si>
    <t>2a72c87d-dc2d-5a90-89ca-7cf95f74a0df / SSI-MT347-MT756_005 / v1</t>
  </si>
  <si>
    <t>0fa4b8c0-337f-50db-afdf-feb1b2643829 / v1</t>
  </si>
  <si>
    <t>0de87ec3-b613-5f81-829f-0c0d7e78b2e0 / v1</t>
  </si>
  <si>
    <t>MT347-MT756-005-USD-001</t>
  </si>
  <si>
    <t>83c4842b-bf84-511b-ba65-1d42ff625488 / v1</t>
  </si>
  <si>
    <t>FIX-MT765-006@v1</t>
  </si>
  <si>
    <t>221417b9-2666-569a-8e9d-f4b3db5c3b57 / SSI-MT347-MT765_006 / v1</t>
  </si>
  <si>
    <t>3b508fe3-85d0-5650-83e7-7f9b8348e53d / v1</t>
  </si>
  <si>
    <t>92c8022f-112b-59f6-af57-776801410b12 / v1</t>
  </si>
  <si>
    <t>FIX-MT768-007@v1</t>
  </si>
  <si>
    <t>c260da0d-c8ac-58ac-b329-8fcba398a26b / SSI-MT347-MT768_007 / v1</t>
  </si>
  <si>
    <t>594c8498-2a8d-5a53-8949-7f3b2da07376 / v1</t>
  </si>
  <si>
    <t>3116f054-75d7-5ce6-a0a4-f6be0bcd02e7 / v1</t>
  </si>
  <si>
    <t>FIX-MT769-007@v1</t>
  </si>
  <si>
    <t>ffc33473-e052-568f-be7b-f6e3b7444bc4 / SSI-MT347-MT769_007 / v1</t>
  </si>
  <si>
    <t>15ba45cc-0a7f-54ca-a8a5-f6f658a9560a / v1</t>
  </si>
  <si>
    <t>23bf2e12-93ca-5ae3-86b2-28d253fd7236 / v1</t>
  </si>
  <si>
    <t>FIX-MT742-006@v1</t>
  </si>
  <si>
    <t>17fecba0-e053-5a6a-bd3c-8237e1a50739 / SSI-MT347-MT742_006 / v1</t>
  </si>
  <si>
    <t>d8bd0e80-2516-5c1b-8538-ec54ef9e2f92 / v1</t>
  </si>
  <si>
    <t>23e2ca87-d97d-5649-bd2a-010e0647e27a / v1</t>
  </si>
  <si>
    <t>FIX-MT742-007@v1</t>
  </si>
  <si>
    <t>ce079ff9-bd90-5acd-8343-c1c8ffce1850 / SSI-MT347-MT742_007 / v1</t>
  </si>
  <si>
    <t>e7d3d5e8-5934-59ce-8ed2-3b145e158211 / v1</t>
  </si>
  <si>
    <t>a1557c46-b901-5fbf-bacb-f5c85ebc506e / v1</t>
  </si>
  <si>
    <t>FIX-MT742-008@v1</t>
  </si>
  <si>
    <t>d437d036-bde0-577c-a58f-d80f7f67d3ab / SSI-MT347-MT742_008 / v1</t>
  </si>
  <si>
    <t>982f07a8-3dc2-52a1-999a-a61a19313cdd / v1</t>
  </si>
  <si>
    <t>d75ee40d-72b3-5fb4-9bd3-00e07382b195 / v1</t>
  </si>
  <si>
    <t>FIX-MT742-009@v1</t>
  </si>
  <si>
    <t>f4c6e8bb-7b71-52ab-b114-e0d6ef4d550e / SSI-MT347-MT742_009 / v1</t>
  </si>
  <si>
    <t>3d7880c5-58f2-5bf3-8d9b-61be768041fb / v1</t>
  </si>
  <si>
    <t>9ad0b3ed-2fdb-553f-bcd9-dac289469713 / v1</t>
  </si>
  <si>
    <t>FIX-MT742-010@v1</t>
  </si>
  <si>
    <t>4406994c-6149-5b49-8c6a-41a91cee00c4 / SSI-MT347-MT742_010 / v1</t>
  </si>
  <si>
    <t>99d8c89d-79d6-52e1-9969-2efdf22c5701 / v1</t>
  </si>
  <si>
    <t>7ac45870-b717-5fea-bfa5-a0224afa02f7 / v1</t>
  </si>
  <si>
    <t>FIX-MT742-011@v1</t>
  </si>
  <si>
    <t>e1cf61ed-47dd-5077-a9cb-5878133e2a28 / SSI-MT347-MT742_011 / v1</t>
  </si>
  <si>
    <t>d3e04257-6e1a-5eaf-85ff-3139452dcc54 / v1</t>
  </si>
  <si>
    <t>5c221a2e-c6d9-5955-b7cd-4f52d63fd999 / v1</t>
  </si>
  <si>
    <t>FIX-MT742-012@v1</t>
  </si>
  <si>
    <t>e40fa4ef-7ea0-5488-b5b2-ce86007a4539 / SSI-MT347-MT742_012 / v1</t>
  </si>
  <si>
    <t>e7f75b3c-372e-58ff-a89c-18977ce066cb / v1</t>
  </si>
  <si>
    <t>187c850f-d369-574c-b9a4-9e18ab1e419f / v1</t>
  </si>
  <si>
    <t>FIX-MT754-009@v1</t>
  </si>
  <si>
    <t>dc951608-641e-503d-a645-3f7f31699ec2 / SSI-MT347-MT754_009 / v1</t>
  </si>
  <si>
    <t>d1ba5721-f3f3-5087-976c-841aaface052 / v1</t>
  </si>
  <si>
    <t>b91fc4d2-e057-5086-8f64-23ee5a0dbaac / v1</t>
  </si>
  <si>
    <t>FIX-MT754-010@v1</t>
  </si>
  <si>
    <t>63d380e2-5e27-598d-bfdc-6ea177969798 / SSI-MT347-MT754_010 / v1</t>
  </si>
  <si>
    <t>8f3fd38a-32f6-5365-98b3-03b165856c6e / v1</t>
  </si>
  <si>
    <t>07a77d37-5a36-59a9-955a-827163816093 / v1</t>
  </si>
  <si>
    <t>FIX-MT754-011@v1</t>
  </si>
  <si>
    <t>4cb71de9-c041-59bc-98c9-f20b2c8c37be / SSI-MT347-MT754_011 / v1</t>
  </si>
  <si>
    <t>990588a8-4d39-5d1f-951c-84b4054f9059 / v1</t>
  </si>
  <si>
    <t>f3f9770b-70ea-5af0-a825-e7a751bbca17 / v1</t>
  </si>
  <si>
    <t>FIX-MT754-012@v1</t>
  </si>
  <si>
    <t>c802d887-c60b-528e-a916-6319ca412bfe / SSI-MT347-MT754_012 / v1</t>
  </si>
  <si>
    <t>c18cfa35-1e19-54eb-8d43-ff496797becd / v1</t>
  </si>
  <si>
    <t>2c5b7520-01b2-5d5f-80fe-1237c670aefa / v1</t>
  </si>
  <si>
    <t>FIX-MT756-006@v1</t>
  </si>
  <si>
    <t>c08b96d8-472d-57e5-bfdd-c950878cb1a3 / SSI-MT347-MT756_006 / v1</t>
  </si>
  <si>
    <t>a41f4738-3854-5393-8b62-eca13df5b1a7 / v1</t>
  </si>
  <si>
    <t>6e772472-966e-5f05-a5e7-fa6f27350ee7 / v1</t>
  </si>
  <si>
    <t>MT347-MT756-006-USD-001</t>
  </si>
  <si>
    <t>d4766caf-106f-5520-a21a-161958da1ff6 / v1</t>
  </si>
  <si>
    <t>FIX-MT756-007@v1</t>
  </si>
  <si>
    <t>4fbac20b-b813-52f0-9de1-a490e8a75862 / SSI-MT347-MT756_007 / v1</t>
  </si>
  <si>
    <t>87140304-c8b5-5d11-914f-1bca606f834e / v1</t>
  </si>
  <si>
    <t>39a6e51a-18c4-51aa-baba-28ed73ea8944 / v1</t>
  </si>
  <si>
    <t>FIX-MT756-008@v1</t>
  </si>
  <si>
    <t>291dbd16-3307-5187-8060-2319c24774e6 / SSI-MT347-MT756_008 / v1</t>
  </si>
  <si>
    <t>c094b00b-8c08-5709-9009-e9d6fcc79c12 / v1</t>
  </si>
  <si>
    <t>3906083a-5d81-5ac3-a8f2-db21048b8b79 / v1</t>
  </si>
  <si>
    <t>FIX-MT756-009@v1</t>
  </si>
  <si>
    <t>c72a1e24-1a40-5736-9eda-8196459f3fd8 / SSI-MT347-MT756_009 / v1</t>
  </si>
  <si>
    <t>997107cd-cfa6-5588-b565-6477e704c216 / v1</t>
  </si>
  <si>
    <t>ee2ebcc1-871c-5d8e-be3d-654254585e35 / v1</t>
  </si>
  <si>
    <t>MT347-MT756-009-USD-001</t>
  </si>
  <si>
    <t>898a1ee8-7938-5153-89d0-f789fad92a4d / v1</t>
  </si>
  <si>
    <t>FIX-MT756-010@v1</t>
  </si>
  <si>
    <t>b75a7892-2034-5461-8560-28184e466082 / SSI-MT347-MT756_010 / v1</t>
  </si>
  <si>
    <t>94fec885-e98e-5ba6-b8f5-c0b628063103 / v1</t>
  </si>
  <si>
    <t>4ec2d0e9-3008-5641-9c46-babcd1d3cc8c / v1</t>
  </si>
  <si>
    <t>FIX-MT756-011@v1</t>
  </si>
  <si>
    <t>27630ae0-949f-5ae5-be37-76d77d0950b6 / SSI-MT347-MT756_011 / v1</t>
  </si>
  <si>
    <t>a59cd755-9e75-588b-b070-2dd407188c4e / v1</t>
  </si>
  <si>
    <t>b77f2b6e-4b92-5901-8876-7943d1ce7de8 / v1</t>
  </si>
  <si>
    <t>MT347-MT756-011-USD-001</t>
  </si>
  <si>
    <t>4c115764-d7e3-5a11-a82d-fce42dd4db2a / v1</t>
  </si>
  <si>
    <t>FIX-MT756-012@v1</t>
  </si>
  <si>
    <t>f487685c-6556-5cd2-8f2d-9a036ac783a1 / SSI-MT347-MT756_012 / v1</t>
  </si>
  <si>
    <t>ded6416d-fb2c-5aa5-896c-94fb3d29d1a7 / v1</t>
  </si>
  <si>
    <t>39972689-8f9d-5654-b521-768228270877 / v1</t>
  </si>
  <si>
    <t>MT347-MT756-012-USD-001</t>
  </si>
  <si>
    <t>2e9ad116-bc89-5052-8837-e4cbd1fc759c / v1</t>
  </si>
  <si>
    <t>FIX-MT416-AUDIT-001@v1</t>
  </si>
  <si>
    <t>N/A — scope boundary</t>
  </si>
  <si>
    <t>N/A — deliberate unsupported/out-of-scope request</t>
  </si>
  <si>
    <t>PROPOSED BOUNDARY FIXTURE</t>
  </si>
  <si>
    <t>FIX-MT785-AUDIT-001@v1</t>
  </si>
  <si>
    <t>FIX-MT742-013@v1</t>
  </si>
  <si>
    <t>de8c9920-b13a-509e-bb11-d90ffb6cedc5 / SSI-MT347-MT742_013 / v1</t>
  </si>
  <si>
    <t>81e7e8d1-1542-5604-ac44-c7aad03483e0 / v1</t>
  </si>
  <si>
    <t>ccd29a5a-c6e1-58f9-984c-037cef09bcfd / v1</t>
  </si>
  <si>
    <t>FIX-MT742-014@v1</t>
  </si>
  <si>
    <t>183784e1-c9f1-55f2-97c5-d7eb41d912ff / SSI-MT347-MT742_014 / v1</t>
  </si>
  <si>
    <t>912a7f9f-ab60-500b-85d8-89eedd74ff17 / v1</t>
  </si>
  <si>
    <t>17b1ad89-0201-5725-986e-64f08bddf213 / v1</t>
  </si>
  <si>
    <t>FIX-MT754-013@v1</t>
  </si>
  <si>
    <t>0bc47589-93b5-56a8-8a47-a227ec4e27c3 / SSI-MT347-MT754_013 / v1</t>
  </si>
  <si>
    <t>24831d5b-6a6e-5771-bae1-bca9438c7ff2 / v1</t>
  </si>
  <si>
    <t>f60f926b-9339-5bee-ad23-ac6791fc3a87 / v1</t>
  </si>
  <si>
    <t>FIX-MT754-014@v1</t>
  </si>
  <si>
    <t>63201a94-e90a-5f0b-b5b6-2158fd58ca8e / SSI-MT347-MT754_014 / v1</t>
  </si>
  <si>
    <t>2420f154-1f54-5145-941a-a051ec3789a8 / v1</t>
  </si>
  <si>
    <t>82451a0f-2b05-558a-a779-9f96f525a795 / v1</t>
  </si>
  <si>
    <t>Bank Service ID</t>
  </si>
  <si>
    <t>BIC</t>
  </si>
  <si>
    <t>Fixture role</t>
  </si>
  <si>
    <t>Directory version / SHA</t>
  </si>
  <si>
    <t>BANK-SVC-DEMOHKHH</t>
  </si>
  <si>
    <t>DEMOHKHH</t>
  </si>
  <si>
    <t>Own institution / sender</t>
  </si>
  <si>
    <t>PENDING — bind canonical directory snapshot SHA</t>
  </si>
  <si>
    <t>REQUIRED</t>
  </si>
  <si>
    <t>BANK-SVC-CITIUS33</t>
  </si>
  <si>
    <t>CITIUS33</t>
  </si>
  <si>
    <t>Sender correspondent / route participant</t>
  </si>
  <si>
    <t>BANK-SVC-HSBCHKHH</t>
  </si>
  <si>
    <t>HSBCHKHH</t>
  </si>
  <si>
    <t>Intermediary</t>
  </si>
  <si>
    <t>BANK-SVC-DEUTDEFF</t>
  </si>
  <si>
    <t>DEUTDEFF</t>
  </si>
  <si>
    <t>Receiving/account-with institution</t>
  </si>
  <si>
    <t>BANK-SVC-BARCGB22</t>
  </si>
  <si>
    <t>BARCGB22</t>
  </si>
  <si>
    <t>Transaction beneficiary institution</t>
  </si>
  <si>
    <t>SSI ID</t>
  </si>
  <si>
    <t>SSI code</t>
  </si>
  <si>
    <t>Version</t>
  </si>
  <si>
    <t>Message type</t>
  </si>
  <si>
    <t>Sequence/scenario</t>
  </si>
  <si>
    <t>Expected state</t>
  </si>
  <si>
    <t>Current state</t>
  </si>
  <si>
    <t>b006b443-a420-542d-9b01-a9a85a570d52</t>
  </si>
  <si>
    <t>SSI-MT347-MT300_001</t>
  </si>
  <si>
    <t>ACTIVE for positive / deliberate state for negative</t>
  </si>
  <si>
    <t>MISSING — no MT347 route in current canonical seed</t>
  </si>
  <si>
    <t>41301d25-d09c-56f4-980d-4aa298b014c2</t>
  </si>
  <si>
    <t>SSI-MT347-MT300_002</t>
  </si>
  <si>
    <t>b11eb36e-4b91-5f52-86dd-b119f9bcf82f</t>
  </si>
  <si>
    <t>SSI-MT347-MT300_003</t>
  </si>
  <si>
    <t>105b1a3c-c40a-559c-b5fa-6ad986c323ac</t>
  </si>
  <si>
    <t>SSI-MT347-MT300_004</t>
  </si>
  <si>
    <t>1d4f5f4a-23ff-5ba7-b5ba-17d0b84b5827</t>
  </si>
  <si>
    <t>SSI-MT347-MT300_005</t>
  </si>
  <si>
    <t>41714b20-c566-542b-b61f-1b7a155801ed</t>
  </si>
  <si>
    <t>SSI-MT347-MT300_006</t>
  </si>
  <si>
    <t>a94d1a96-e283-5087-b2de-7e388e9eb72b</t>
  </si>
  <si>
    <t>SSI-MT347-MT300_007</t>
  </si>
  <si>
    <t>31fb022a-1272-5515-9778-5939fdbd16dc</t>
  </si>
  <si>
    <t>SSI-MT347-MT300_008</t>
  </si>
  <si>
    <t>705a550b-605d-5c38-b706-ecfa3e9c485b</t>
  </si>
  <si>
    <t>SSI-MT347-MT300_009</t>
  </si>
  <si>
    <t>4a780ec2-d95f-5c3f-898d-f018b5329d3c</t>
  </si>
  <si>
    <t>SSI-MT347-MT300_010</t>
  </si>
  <si>
    <t>41d3fb5e-e787-5565-875a-37643167d576</t>
  </si>
  <si>
    <t>SSI-MT347-MT300_011</t>
  </si>
  <si>
    <t>d4af05e3-cefe-5bb9-aae5-6c1d4f3a8c23</t>
  </si>
  <si>
    <t>SSI-MT347-MT300_012</t>
  </si>
  <si>
    <t>f34b9973-84af-5817-b4d1-ffae43bfeebe</t>
  </si>
  <si>
    <t>SSI-MT347-MT300_013</t>
  </si>
  <si>
    <t>78ef238c-ff99-56a5-a2eb-955d5d021d35</t>
  </si>
  <si>
    <t>SSI-MT347-MT300_014</t>
  </si>
  <si>
    <t>d3f1c5cf-70cc-5398-8498-362a46669115</t>
  </si>
  <si>
    <t>SSI-MT347-MT300_015</t>
  </si>
  <si>
    <t>e570ce30-b01a-512f-a826-5307d98458a2</t>
  </si>
  <si>
    <t>SSI-MT347-MT304_001</t>
  </si>
  <si>
    <t>56028ca7-dc7c-5d44-82c9-de4f54e63657</t>
  </si>
  <si>
    <t>SSI-MT347-MT304_002</t>
  </si>
  <si>
    <t>5d292148-c4c8-5259-8212-9bd98a10802b</t>
  </si>
  <si>
    <t>SSI-MT347-MT304_003</t>
  </si>
  <si>
    <t>9ff0b29b-947b-5230-9a00-f38ce66bcbcf</t>
  </si>
  <si>
    <t>SSI-MT347-MT304_004</t>
  </si>
  <si>
    <t>c5cbab7a-be9d-5fcd-85cc-7bdbe5e5fc04</t>
  </si>
  <si>
    <t>SSI-MT347-MT304_005</t>
  </si>
  <si>
    <t>7a3f49fd-bdc4-59fe-ba91-c50d43145dfa</t>
  </si>
  <si>
    <t>SSI-MT347-MT304_006</t>
  </si>
  <si>
    <t>a1a67d02-1d3a-570a-ac85-de99ab6d2baa</t>
  </si>
  <si>
    <t>SSI-MT347-MT304_007</t>
  </si>
  <si>
    <t>1d2c7893-3051-5a52-afc1-4c1429f2af6e</t>
  </si>
  <si>
    <t>SSI-MT347-MT304_008</t>
  </si>
  <si>
    <t>4f2a670a-f23e-5ca6-bd25-e078924fb2b9</t>
  </si>
  <si>
    <t>SSI-MT347-MT304_009</t>
  </si>
  <si>
    <t>292ecb9c-d1c7-552c-8157-ef5bef0f3a55</t>
  </si>
  <si>
    <t>SSI-MT347-MT304_010</t>
  </si>
  <si>
    <t>37c4fde8-be44-545b-ab9c-9d4b21dee50c</t>
  </si>
  <si>
    <t>SSI-MT347-MT304_011</t>
  </si>
  <si>
    <t>197bf109-5275-540f-9128-03b471e08da1</t>
  </si>
  <si>
    <t>SSI-MT347-MT304_012</t>
  </si>
  <si>
    <t>b1f69cc7-0537-5373-9c4b-57017f93efa7</t>
  </si>
  <si>
    <t>SSI-MT347-MT304_013</t>
  </si>
  <si>
    <t>7d88c646-32ff-51f4-acec-8849abf383c4</t>
  </si>
  <si>
    <t>SSI-MT347-MT304_014</t>
  </si>
  <si>
    <t>bcade199-7ec9-540f-84fd-20e9d9204457</t>
  </si>
  <si>
    <t>SSI-MT347-MT304_015</t>
  </si>
  <si>
    <t>900b46ab-96bf-505c-9208-8122066435d3</t>
  </si>
  <si>
    <t>SSI-MT347-MT305_001</t>
  </si>
  <si>
    <t>fab01759-710b-55c1-afb1-bba041d3d371</t>
  </si>
  <si>
    <t>SSI-MT347-MT305_002</t>
  </si>
  <si>
    <t>fb1b13f8-9508-565d-a922-c72445036081</t>
  </si>
  <si>
    <t>SSI-MT347-MT305_003</t>
  </si>
  <si>
    <t>5bf1f730-38b2-5e61-9f36-1e26cc3ba247</t>
  </si>
  <si>
    <t>SSI-MT347-MT305_004</t>
  </si>
  <si>
    <t>79835cbc-1943-5e40-a803-8f976f4fa572</t>
  </si>
  <si>
    <t>SSI-MT347-MT305_005</t>
  </si>
  <si>
    <t>095f7312-2353-5f11-9726-9adb21b4c1ee</t>
  </si>
  <si>
    <t>SSI-MT347-MT306_001</t>
  </si>
  <si>
    <t>56958b92-385e-596d-b36c-8b1aa710b0ea</t>
  </si>
  <si>
    <t>SSI-MT347-MT306_002</t>
  </si>
  <si>
    <t>437de773-8085-5431-ac6a-b60a85cb17bb</t>
  </si>
  <si>
    <t>SSI-MT347-MT306_003</t>
  </si>
  <si>
    <t>3898b2ed-7460-5e02-9c02-cf7f5293c43f</t>
  </si>
  <si>
    <t>SSI-MT347-MT306_004</t>
  </si>
  <si>
    <t>0c3c9111-a5ce-58d0-8576-79388918a382</t>
  </si>
  <si>
    <t>SSI-MT347-MT306_005</t>
  </si>
  <si>
    <t>296f8ac2-3d93-556e-ba1e-e1f7e09300ab</t>
  </si>
  <si>
    <t>SSI-MT347-MT306_006</t>
  </si>
  <si>
    <t>33b73c76-ff2d-5162-8afe-3fb9a7aeae4f</t>
  </si>
  <si>
    <t>SSI-MT347-MT306_007</t>
  </si>
  <si>
    <t>3d89ced2-84d1-54d1-b682-5ec01fb74df3</t>
  </si>
  <si>
    <t>SSI-MT347-MT306_008</t>
  </si>
  <si>
    <t>b37d7a3c-da99-52fc-8e5f-26b13d22db49</t>
  </si>
  <si>
    <t>SSI-MT347-MT306_009</t>
  </si>
  <si>
    <t>2a07516b-8aa8-58eb-9cb2-9f698f17b9e5</t>
  </si>
  <si>
    <t>SSI-MT347-MT306_010</t>
  </si>
  <si>
    <t>1e188ce2-8a52-5097-9119-22e0dbd71b78</t>
  </si>
  <si>
    <t>SSI-MT347-MT306_011</t>
  </si>
  <si>
    <t>55550eaa-63f3-5639-baca-dc2afc3abf12</t>
  </si>
  <si>
    <t>SSI-MT347-MT306_012</t>
  </si>
  <si>
    <t>ac71cff3-79a7-5e1f-9346-73927f17f1bf</t>
  </si>
  <si>
    <t>SSI-MT347-MT306_013</t>
  </si>
  <si>
    <t>535fd73a-e749-5d1e-a4bc-52c1d17f5d65</t>
  </si>
  <si>
    <t>SSI-MT347-MT306_014</t>
  </si>
  <si>
    <t>5d17c965-d763-5190-b6e2-46270b451d50</t>
  </si>
  <si>
    <t>SSI-MT347-MT306_015</t>
  </si>
  <si>
    <t>21abcec9-9cf6-53e4-90ba-86c2d5569ccc</t>
  </si>
  <si>
    <t>SSI-MT347-MT306_016</t>
  </si>
  <si>
    <t>dc9126b4-b905-518c-ad10-9dde56ab1348</t>
  </si>
  <si>
    <t>SSI-MT347-MT306_017</t>
  </si>
  <si>
    <t>a19bc03a-6372-56d6-a40e-3003ffd99c6c</t>
  </si>
  <si>
    <t>SSI-MT347-MT306_018</t>
  </si>
  <si>
    <t>05424953-041c-5822-a83c-0bddc147c743</t>
  </si>
  <si>
    <t>SSI-MT347-MT320_001</t>
  </si>
  <si>
    <t>ab740092-98aa-5208-9408-ec5d5d0d35ad</t>
  </si>
  <si>
    <t>SSI-MT347-MT320_002</t>
  </si>
  <si>
    <t>eb59e2df-e26f-51ce-96ae-0e0da140b9de</t>
  </si>
  <si>
    <t>SSI-MT347-MT320_003</t>
  </si>
  <si>
    <t>1d4739fc-166e-5a90-aec4-f7697e89d1bf</t>
  </si>
  <si>
    <t>SSI-MT347-MT320_004</t>
  </si>
  <si>
    <t>11263aa3-9114-5e10-b46a-7d379040145c</t>
  </si>
  <si>
    <t>SSI-MT347-MT320_005</t>
  </si>
  <si>
    <t>5bf5a7c7-e19b-570b-acde-1a25100ec1c8</t>
  </si>
  <si>
    <t>SSI-MT347-MT320_006</t>
  </si>
  <si>
    <t>edeaedfa-e417-5e89-80d4-1394af7848d1</t>
  </si>
  <si>
    <t>SSI-MT347-MT320_007</t>
  </si>
  <si>
    <t>36448874-b8c6-536f-89e3-daf4aa3c0830</t>
  </si>
  <si>
    <t>SSI-MT347-MT320_008</t>
  </si>
  <si>
    <t>95993a5a-da52-5c1e-90e6-19764534e9a6</t>
  </si>
  <si>
    <t>SSI-MT347-MT320_009</t>
  </si>
  <si>
    <t>a1952d06-7c6d-5716-b40c-9d975c581dff</t>
  </si>
  <si>
    <t>SSI-MT347-MT320_010</t>
  </si>
  <si>
    <t>96f68bd3-44da-5439-9be4-88cef41e1142</t>
  </si>
  <si>
    <t>SSI-MT347-MT320_011</t>
  </si>
  <si>
    <t>d3b47e9b-db35-5b51-b3a6-aae894022d9d</t>
  </si>
  <si>
    <t>SSI-MT347-MT320_012</t>
  </si>
  <si>
    <t>1699d960-c66c-51f4-984c-69b26e4a8f1d</t>
  </si>
  <si>
    <t>SSI-MT347-MT320_013</t>
  </si>
  <si>
    <t>27109afb-0bbe-599e-b150-f99f39635a50</t>
  </si>
  <si>
    <t>SSI-MT347-MT320_014</t>
  </si>
  <si>
    <t>f14842d7-be30-5481-bddf-e3b25a90aa21</t>
  </si>
  <si>
    <t>SSI-MT347-MT320_015</t>
  </si>
  <si>
    <t>746da3f0-e3aa-52fd-951e-958663ab247b</t>
  </si>
  <si>
    <t>SSI-MT347-MT320_016</t>
  </si>
  <si>
    <t>2e339bff-ba3b-5296-a36d-7c423ab17854</t>
  </si>
  <si>
    <t>SSI-MT347-MT320_017</t>
  </si>
  <si>
    <t>85231a0e-b43a-5e94-a3e7-89379bccf1be</t>
  </si>
  <si>
    <t>SSI-MT347-MT320_018</t>
  </si>
  <si>
    <t>c8f9bad1-c93c-503e-a7fe-d34f86924e8b</t>
  </si>
  <si>
    <t>SSI-MT347-MT320_019</t>
  </si>
  <si>
    <t>03789d53-d1a0-53fd-b648-a15bf7eb832b</t>
  </si>
  <si>
    <t>SSI-MT347-MT320_020</t>
  </si>
  <si>
    <t>c0e7a747-e35b-515d-b64f-c1cbaa4a1ef0</t>
  </si>
  <si>
    <t>SSI-MT347-MT320_021</t>
  </si>
  <si>
    <t>6f6eb23c-c5bc-5d3c-a6ac-09335e7d627e</t>
  </si>
  <si>
    <t>SSI-MT347-MT320_022</t>
  </si>
  <si>
    <t>b2456e98-fbf6-5683-9152-b7c7587b2741</t>
  </si>
  <si>
    <t>SSI-MT347-MT320_023</t>
  </si>
  <si>
    <t>a6051ff4-243a-514b-bb41-c59be0c3da76</t>
  </si>
  <si>
    <t>SSI-MT347-MT320_024</t>
  </si>
  <si>
    <t>9e1ee2bf-3843-5899-b6d4-eea8738cb519</t>
  </si>
  <si>
    <t>SSI-MT347-MT320_025</t>
  </si>
  <si>
    <t>15f6cbe9-ad28-59d4-9e57-b877f5073f17</t>
  </si>
  <si>
    <t>SSI-MT347-MT320_026</t>
  </si>
  <si>
    <t>529661e6-9a4d-58cb-9980-9fc15804e9d8</t>
  </si>
  <si>
    <t>SSI-MT347-MT320_027</t>
  </si>
  <si>
    <t>1912c10c-f9de-5322-8038-37ce9b32806a</t>
  </si>
  <si>
    <t>SSI-MT347-MT320_028</t>
  </si>
  <si>
    <t>a234280a-ee36-5520-abe9-710c29c9f42f</t>
  </si>
  <si>
    <t>SSI-MT347-MT320_029</t>
  </si>
  <si>
    <t>1ff6b25b-cdea-58cc-b085-68f3d04327a7</t>
  </si>
  <si>
    <t>SSI-MT347-MT320_030</t>
  </si>
  <si>
    <t>3c69a79a-372a-51dc-9f66-28184fc59437</t>
  </si>
  <si>
    <t>SSI-MT347-MT330_001</t>
  </si>
  <si>
    <t>81664bc1-d5c6-5759-9cd0-2798d17a5240</t>
  </si>
  <si>
    <t>SSI-MT347-MT330_002</t>
  </si>
  <si>
    <t>ef9299f8-020d-513a-88d7-f50cfe0f095a</t>
  </si>
  <si>
    <t>SSI-MT347-MT330_003</t>
  </si>
  <si>
    <t>1fa50f23-557b-54c4-a1d1-50bb3d89d678</t>
  </si>
  <si>
    <t>SSI-MT347-MT330_004</t>
  </si>
  <si>
    <t>f7c710b8-9aa6-59a1-b8f3-4a2446efde64</t>
  </si>
  <si>
    <t>SSI-MT347-MT330_005</t>
  </si>
  <si>
    <t>a3f7d14e-6337-5fc8-ba56-7d81f4642523</t>
  </si>
  <si>
    <t>SSI-MT347-MT330_006</t>
  </si>
  <si>
    <t>2175332c-8601-5cc8-9244-e1ef9c30e011</t>
  </si>
  <si>
    <t>SSI-MT347-MT330_007</t>
  </si>
  <si>
    <t>b8a8c304-4295-5ccf-9bf5-27393a787c7c</t>
  </si>
  <si>
    <t>SSI-MT347-MT330_008</t>
  </si>
  <si>
    <t>69892abe-2d15-552c-8f00-f93d34025775</t>
  </si>
  <si>
    <t>SSI-MT347-MT330_009</t>
  </si>
  <si>
    <t>590ff4fd-8b83-5220-aac4-d8f4ca7b66b0</t>
  </si>
  <si>
    <t>SSI-MT347-MT330_010</t>
  </si>
  <si>
    <t>18446a2f-0a38-5b7e-90c9-1efafd22e99d</t>
  </si>
  <si>
    <t>SSI-MT347-MT330_011</t>
  </si>
  <si>
    <t>27b20814-c799-59da-96f9-90e015ee6130</t>
  </si>
  <si>
    <t>SSI-MT347-MT330_012</t>
  </si>
  <si>
    <t>1348e8f6-597f-538a-a2a2-405992f2f4a0</t>
  </si>
  <si>
    <t>SSI-MT347-MT330_013</t>
  </si>
  <si>
    <t>49a8b402-3b89-5916-abf2-1e2555d472de</t>
  </si>
  <si>
    <t>SSI-MT347-MT330_014</t>
  </si>
  <si>
    <t>d2a8d438-51a9-5176-bc09-7978c6ca8797</t>
  </si>
  <si>
    <t>SSI-MT347-MT330_015</t>
  </si>
  <si>
    <t>fdf6d2f9-cd6e-55a8-ac5a-9af43cd0b86b</t>
  </si>
  <si>
    <t>SSI-MT347-MT330_016</t>
  </si>
  <si>
    <t>3b231d1a-5110-507f-a145-ce010d907349</t>
  </si>
  <si>
    <t>SSI-MT347-MT330_017</t>
  </si>
  <si>
    <t>754356d2-e5a7-566b-a1c1-cee70b166fb4</t>
  </si>
  <si>
    <t>SSI-MT347-MT330_018</t>
  </si>
  <si>
    <t>1872c264-3721-5884-bf6d-cd6a65f54b15</t>
  </si>
  <si>
    <t>SSI-MT347-MT330_019</t>
  </si>
  <si>
    <t>e8016d2f-f811-5065-97ea-d7d200bb0fbd</t>
  </si>
  <si>
    <t>SSI-MT347-MT330_020</t>
  </si>
  <si>
    <t>30eab7a5-b045-549d-8665-dce544e76f18</t>
  </si>
  <si>
    <t>SSI-MT347-MT330_021</t>
  </si>
  <si>
    <t>725b1039-5919-5902-81ca-8cd8b2c1f2bc</t>
  </si>
  <si>
    <t>SSI-MT347-MT330_022</t>
  </si>
  <si>
    <t>55363e0a-664e-5edd-95fe-97571c8d2f00</t>
  </si>
  <si>
    <t>SSI-MT347-MT330_023</t>
  </si>
  <si>
    <t>fc29a789-9595-5316-88a2-ba13f5c06422</t>
  </si>
  <si>
    <t>SSI-MT347-MT330_024</t>
  </si>
  <si>
    <t>960249a2-e1bf-55a5-977b-acb35085d884</t>
  </si>
  <si>
    <t>SSI-MT347-MT340_001</t>
  </si>
  <si>
    <t>6e8e6067-ab92-5042-99fc-99926da01e73</t>
  </si>
  <si>
    <t>SSI-MT347-MT340_002</t>
  </si>
  <si>
    <t>3acadf9a-e516-52fb-9b95-004ae5b6163b</t>
  </si>
  <si>
    <t>SSI-MT347-MT340_003</t>
  </si>
  <si>
    <t>960bd20f-3f71-55a6-bc5c-fd05ce38fe02</t>
  </si>
  <si>
    <t>SSI-MT347-MT340_004</t>
  </si>
  <si>
    <t>8db2783e-5123-5081-8dc0-f4f1a0bb9d18</t>
  </si>
  <si>
    <t>SSI-MT347-MT340_005</t>
  </si>
  <si>
    <t>246f39d4-fcb4-52d5-aee9-01d0b0eb7d6a</t>
  </si>
  <si>
    <t>SSI-MT347-MT340_006</t>
  </si>
  <si>
    <t>b8a034ce-755c-5110-9a1b-b207526aecd0</t>
  </si>
  <si>
    <t>SSI-MT347-MT340_007</t>
  </si>
  <si>
    <t>3365cff7-8154-5f68-a5ba-c69dfd3c77e2</t>
  </si>
  <si>
    <t>SSI-MT347-MT340_008</t>
  </si>
  <si>
    <t>2ec62d59-73eb-5b6d-930f-320c74f19548</t>
  </si>
  <si>
    <t>SSI-MT347-MT340_009</t>
  </si>
  <si>
    <t>dd522bf2-9b1b-5a01-9c46-23aaf8a718da</t>
  </si>
  <si>
    <t>SSI-MT347-MT340_010</t>
  </si>
  <si>
    <t>5fc60c88-1fc7-5873-bda0-3023a1afca75</t>
  </si>
  <si>
    <t>SSI-MT347-MT340_011</t>
  </si>
  <si>
    <t>af84974a-b72e-5693-8b7d-316a506f005a</t>
  </si>
  <si>
    <t>SSI-MT347-MT340_012</t>
  </si>
  <si>
    <t>17fe9e69-1e62-5a07-8eed-3c2b248e0871</t>
  </si>
  <si>
    <t>SSI-MT347-MT340_013</t>
  </si>
  <si>
    <t>618e656a-eee2-5677-8ed4-d98e1910f519</t>
  </si>
  <si>
    <t>SSI-MT347-MT340_014</t>
  </si>
  <si>
    <t>c1a1c32b-2178-52c8-ab5e-9f716916c40f</t>
  </si>
  <si>
    <t>SSI-MT347-MT340_015</t>
  </si>
  <si>
    <t>8dcfd8c2-be09-5dac-ae89-37b476bb2b40</t>
  </si>
  <si>
    <t>SSI-MT347-MT340_016</t>
  </si>
  <si>
    <t>240b64d0-7f62-554d-ae21-9173a02dd0c8</t>
  </si>
  <si>
    <t>SSI-MT347-MT340_017</t>
  </si>
  <si>
    <t>c585b7d7-e354-58fe-8f58-e744e98a4780</t>
  </si>
  <si>
    <t>SSI-MT347-MT340_018</t>
  </si>
  <si>
    <t>a145cb00-64d8-5604-b4a3-08a662d48608</t>
  </si>
  <si>
    <t>SSI-MT347-MT341_001</t>
  </si>
  <si>
    <t>63d7a591-9d9a-50c3-a584-8a507c59ee3a</t>
  </si>
  <si>
    <t>SSI-MT347-MT341_002</t>
  </si>
  <si>
    <t>714a80c3-fbde-5b2b-b60d-1a8ed1869c93</t>
  </si>
  <si>
    <t>SSI-MT347-MT341_003</t>
  </si>
  <si>
    <t>166dfe09-e4e5-551c-a146-238eb15a9d1d</t>
  </si>
  <si>
    <t>SSI-MT347-MT341_004</t>
  </si>
  <si>
    <t>ea11e2fc-116b-5d66-a250-1c7f36c39f9a</t>
  </si>
  <si>
    <t>SSI-MT347-MT341_005</t>
  </si>
  <si>
    <t>bfcdd3e6-61cb-5d3b-ab5f-a46c4adc6847</t>
  </si>
  <si>
    <t>SSI-MT347-MT341_006</t>
  </si>
  <si>
    <t>cb4cb7ac-b47d-56e8-9eaf-2526795a1ae3</t>
  </si>
  <si>
    <t>SSI-MT347-MT350_001</t>
  </si>
  <si>
    <t>2ba75ae8-82ce-5be0-b8b6-500e53b067c0</t>
  </si>
  <si>
    <t>SSI-MT347-MT350_002</t>
  </si>
  <si>
    <t>8657f556-dcda-51c5-b1c8-b16e2512a6b6</t>
  </si>
  <si>
    <t>SSI-MT347-MT350_003</t>
  </si>
  <si>
    <t>806e2523-1896-5981-9c49-d311845be2e9</t>
  </si>
  <si>
    <t>SSI-MT347-MT350_004</t>
  </si>
  <si>
    <t>acb2cab0-25ed-5b66-ab42-a9f2d117299d</t>
  </si>
  <si>
    <t>SSI-MT347-MT350_005</t>
  </si>
  <si>
    <t>74a158b6-a39b-55ec-8e85-012cffee2250</t>
  </si>
  <si>
    <t>SSI-MT347-MT350_006</t>
  </si>
  <si>
    <t>b014cbdd-d2eb-592f-86d8-72c0d56f1f70</t>
  </si>
  <si>
    <t>SSI-MT347-MT360_001</t>
  </si>
  <si>
    <t>c7ffe8a4-bc85-5cb2-8ca9-d449804efe9b</t>
  </si>
  <si>
    <t>SSI-MT347-MT360_002</t>
  </si>
  <si>
    <t>222315e9-0abf-5ea1-8365-98a622739a71</t>
  </si>
  <si>
    <t>SSI-MT347-MT360_003</t>
  </si>
  <si>
    <t>5c78201a-d421-5b92-835f-432d46ab452a</t>
  </si>
  <si>
    <t>SSI-MT347-MT360_004</t>
  </si>
  <si>
    <t>32c91c67-17c5-50d7-aaf5-cce82b048da7</t>
  </si>
  <si>
    <t>SSI-MT347-MT360_005</t>
  </si>
  <si>
    <t>ece26aa6-6ab0-5ea3-8210-747ac5fed1bc</t>
  </si>
  <si>
    <t>SSI-MT347-MT360_006</t>
  </si>
  <si>
    <t>a8594cba-24cb-5fc9-bc47-8de09c6f5980</t>
  </si>
  <si>
    <t>SSI-MT347-MT360_007</t>
  </si>
  <si>
    <t>bb451fb2-81a6-55a2-9f52-1b874ff2ddab</t>
  </si>
  <si>
    <t>SSI-MT347-MT360_008</t>
  </si>
  <si>
    <t>0b4bf7c5-e325-59dd-97cb-77d225d4d804</t>
  </si>
  <si>
    <t>SSI-MT347-MT360_009</t>
  </si>
  <si>
    <t>837839dc-97a6-501f-80be-b9111df1a314</t>
  </si>
  <si>
    <t>SSI-MT347-MT360_010</t>
  </si>
  <si>
    <t>d5246f7a-6275-5c32-95cc-a4249728c281</t>
  </si>
  <si>
    <t>SSI-MT347-MT360_011</t>
  </si>
  <si>
    <t>1305d9b6-9c32-5aff-955a-7339c2af0bfb</t>
  </si>
  <si>
    <t>SSI-MT347-MT360_012</t>
  </si>
  <si>
    <t>37d403e4-7a20-5e5c-a9b8-1545848848b5</t>
  </si>
  <si>
    <t>SSI-MT347-MT360_013</t>
  </si>
  <si>
    <t>f8990430-7424-5d38-9105-bdfa38e47391</t>
  </si>
  <si>
    <t>SSI-MT347-MT360_014</t>
  </si>
  <si>
    <t>e8a0f697-0318-5084-8d3a-6b72fbe2954a</t>
  </si>
  <si>
    <t>SSI-MT347-MT360_015</t>
  </si>
  <si>
    <t>80a77424-61c6-5e42-87c4-d4f9a051fb66</t>
  </si>
  <si>
    <t>SSI-MT347-MT360_016</t>
  </si>
  <si>
    <t>29ddf87e-fb47-590f-954a-65500661516f</t>
  </si>
  <si>
    <t>SSI-MT347-MT360_017</t>
  </si>
  <si>
    <t>e8752d69-dba7-5e04-9b81-ed4ae8929ab5</t>
  </si>
  <si>
    <t>SSI-MT347-MT360_018</t>
  </si>
  <si>
    <t>f9d38065-d18b-5734-bd5d-181fdd9c8705</t>
  </si>
  <si>
    <t>SSI-MT347-MT360_019</t>
  </si>
  <si>
    <t>0b568798-c836-5baf-9aa8-d54b66e077b9</t>
  </si>
  <si>
    <t>SSI-MT347-MT360_020</t>
  </si>
  <si>
    <t>53e37326-9c2a-5bf9-83c4-cdc26d3785df</t>
  </si>
  <si>
    <t>SSI-MT347-MT360_021</t>
  </si>
  <si>
    <t>b0781077-123c-5477-8918-7a64e076e71a</t>
  </si>
  <si>
    <t>SSI-MT347-MT360_022</t>
  </si>
  <si>
    <t>9dee4918-e81c-5db8-834c-7614a4a5f793</t>
  </si>
  <si>
    <t>SSI-MT347-MT360_023</t>
  </si>
  <si>
    <t>d0f27ba6-a647-517f-8560-2a5d04e307fc</t>
  </si>
  <si>
    <t>SSI-MT347-MT360_024</t>
  </si>
  <si>
    <t>0c7d6039-4db4-5d20-b602-54c17b574043</t>
  </si>
  <si>
    <t>SSI-MT347-MT360_025</t>
  </si>
  <si>
    <t>17626e3f-0e1e-548c-8b0f-32ec5891e65c</t>
  </si>
  <si>
    <t>SSI-MT347-MT360_026</t>
  </si>
  <si>
    <t>d40a89c9-3d2e-5dc3-816d-b529050e1a7c</t>
  </si>
  <si>
    <t>SSI-MT347-MT360_027</t>
  </si>
  <si>
    <t>0eee4eed-8357-59e6-be0a-7de03938f1d0</t>
  </si>
  <si>
    <t>SSI-MT347-MT360_028</t>
  </si>
  <si>
    <t>c0876029-f4d4-5d78-a794-d8edaf9d624a</t>
  </si>
  <si>
    <t>SSI-MT347-MT361_001</t>
  </si>
  <si>
    <t>f18d6849-4908-5b3b-bd84-5d560d8edf84</t>
  </si>
  <si>
    <t>SSI-MT347-MT361_002</t>
  </si>
  <si>
    <t>8cbd544d-a339-51a9-ba4b-e37591fac750</t>
  </si>
  <si>
    <t>SSI-MT347-MT361_003</t>
  </si>
  <si>
    <t>9185675a-3bf6-544c-a011-30c691f7957f</t>
  </si>
  <si>
    <t>SSI-MT347-MT361_004</t>
  </si>
  <si>
    <t>3648625c-0f2e-5fcc-ae75-f9df09daa290</t>
  </si>
  <si>
    <t>SSI-MT347-MT361_005</t>
  </si>
  <si>
    <t>4c601b6d-b628-597b-b939-760fd8f32229</t>
  </si>
  <si>
    <t>SSI-MT347-MT361_006</t>
  </si>
  <si>
    <t>861cc092-a569-59b5-a1fd-3ccaffed4647</t>
  </si>
  <si>
    <t>SSI-MT347-MT361_007</t>
  </si>
  <si>
    <t>8a6b7ee4-c0d4-5440-97b7-0acb61aa3dc1</t>
  </si>
  <si>
    <t>SSI-MT347-MT361_008</t>
  </si>
  <si>
    <t>aa4f48fb-fa2b-5623-bf21-575e9d33fa50</t>
  </si>
  <si>
    <t>SSI-MT347-MT361_009</t>
  </si>
  <si>
    <t>c06a6413-3368-5736-994d-4cbeefa3d5a1</t>
  </si>
  <si>
    <t>SSI-MT347-MT361_010</t>
  </si>
  <si>
    <t>11666800-cd5c-5c6d-b851-e9e49e704083</t>
  </si>
  <si>
    <t>SSI-MT347-MT361_011</t>
  </si>
  <si>
    <t>46a4def5-94be-5435-b5b0-49271039cc04</t>
  </si>
  <si>
    <t>SSI-MT347-MT361_012</t>
  </si>
  <si>
    <t>0c2e7b70-02dc-5c3a-9eff-4892dbf5c05e</t>
  </si>
  <si>
    <t>SSI-MT347-MT361_013</t>
  </si>
  <si>
    <t>57c38422-a53b-500a-8baf-61eabb849d59</t>
  </si>
  <si>
    <t>SSI-MT347-MT361_014</t>
  </si>
  <si>
    <t>97ef854b-3ead-5d4b-9391-38b77e720047</t>
  </si>
  <si>
    <t>SSI-MT347-MT361_015</t>
  </si>
  <si>
    <t>1dc8a2fb-c801-5d22-b80e-02c0db504fdc</t>
  </si>
  <si>
    <t>SSI-MT347-MT361_016</t>
  </si>
  <si>
    <t>43887968-b267-5b3a-b70d-04ad053fed3b</t>
  </si>
  <si>
    <t>SSI-MT347-MT361_017</t>
  </si>
  <si>
    <t>de5aaae8-ee8f-578a-82b9-b1c78c8da742</t>
  </si>
  <si>
    <t>SSI-MT347-MT361_018</t>
  </si>
  <si>
    <t>b8748d52-a303-5e2b-94df-328ffcd8d30a</t>
  </si>
  <si>
    <t>SSI-MT347-MT361_019</t>
  </si>
  <si>
    <t>a014e308-0a77-5f5e-9181-9a905059eff0</t>
  </si>
  <si>
    <t>SSI-MT347-MT361_020</t>
  </si>
  <si>
    <t>9913d391-6a45-5521-890b-b410f9b99570</t>
  </si>
  <si>
    <t>SSI-MT347-MT361_021</t>
  </si>
  <si>
    <t>94096ea2-b93c-5e4f-b9cb-dd84cd9bc285</t>
  </si>
  <si>
    <t>SSI-MT347-MT361_022</t>
  </si>
  <si>
    <t>871e8e8a-a96f-5c81-8749-028a278c3a1f</t>
  </si>
  <si>
    <t>SSI-MT347-MT361_023</t>
  </si>
  <si>
    <t>7c65dc8d-87d8-5f06-b0c4-8a5b9e6e53a4</t>
  </si>
  <si>
    <t>SSI-MT347-MT361_024</t>
  </si>
  <si>
    <t>a5612bff-aa76-54c3-8593-9c8f1f188b55</t>
  </si>
  <si>
    <t>SSI-MT347-MT361_025</t>
  </si>
  <si>
    <t>4d5a396d-4dc5-5425-b1ed-5514d05ed2da</t>
  </si>
  <si>
    <t>SSI-MT347-MT361_026</t>
  </si>
  <si>
    <t>a17a04b1-a80c-5869-86a8-b2445cac3572</t>
  </si>
  <si>
    <t>SSI-MT347-MT361_027</t>
  </si>
  <si>
    <t>d48b993a-ca6c-5059-bfe6-7e3e3d297faf</t>
  </si>
  <si>
    <t>SSI-MT347-MT361_028</t>
  </si>
  <si>
    <t>ae249bfb-31bd-5258-8051-1c5ec36503bc</t>
  </si>
  <si>
    <t>SSI-MT347-MT361_029</t>
  </si>
  <si>
    <t>fd6cc2ba-0a1c-5db6-93b4-fb24e75aeedd</t>
  </si>
  <si>
    <t>SSI-MT347-MT361_030</t>
  </si>
  <si>
    <t>05bdf777-08f5-5cd5-9434-24b25d19b58c</t>
  </si>
  <si>
    <t>SSI-MT347-MT361_031</t>
  </si>
  <si>
    <t>c0052b28-62a6-5095-bd7b-1d424fb48a11</t>
  </si>
  <si>
    <t>SSI-MT347-MT361_032</t>
  </si>
  <si>
    <t>17e0b297-7236-5d1f-b0ea-0641cca6929c</t>
  </si>
  <si>
    <t>SSI-MT347-MT361_033</t>
  </si>
  <si>
    <t>c52409e1-a3f1-5e7a-9af8-e051db01fd20</t>
  </si>
  <si>
    <t>SSI-MT347-MT361_034</t>
  </si>
  <si>
    <t>399b4db4-73c2-5b1e-9aa6-3ca622fd7f84</t>
  </si>
  <si>
    <t>SSI-MT347-MT361_035</t>
  </si>
  <si>
    <t>ee0d0c05-3bfb-5243-991a-4cca362e0f65</t>
  </si>
  <si>
    <t>SSI-MT347-MT361_036</t>
  </si>
  <si>
    <t>fa4e99e4-a8bb-5215-97d5-cd4b2e1f03f5</t>
  </si>
  <si>
    <t>SSI-MT347-MT361_037</t>
  </si>
  <si>
    <t>71b322f0-ca61-536b-82f0-de240f342066</t>
  </si>
  <si>
    <t>SSI-MT347-MT361_038</t>
  </si>
  <si>
    <t>be505d56-4649-58ac-9436-1cf34d22f42f</t>
  </si>
  <si>
    <t>SSI-MT347-MT361_039</t>
  </si>
  <si>
    <t>d8660484-8090-5c98-a14d-332d896fbf93</t>
  </si>
  <si>
    <t>SSI-MT347-MT361_040</t>
  </si>
  <si>
    <t>0a1326c9-6636-57d9-b3e5-a282d0c55f44</t>
  </si>
  <si>
    <t>SSI-MT347-MT361_041</t>
  </si>
  <si>
    <t>b5885cfd-6fa1-57ec-b1b0-2607dabca450</t>
  </si>
  <si>
    <t>SSI-MT347-MT361_042</t>
  </si>
  <si>
    <t>ef692079-55b9-58d3-bd31-345301ff0a33</t>
  </si>
  <si>
    <t>SSI-MT347-MT362_001</t>
  </si>
  <si>
    <t>3e2e2ac3-f638-5290-890f-47df49cc5287</t>
  </si>
  <si>
    <t>SSI-MT347-MT362_002</t>
  </si>
  <si>
    <t>7199cce8-e3f5-598d-a067-064f54d97236</t>
  </si>
  <si>
    <t>SSI-MT347-MT362_003</t>
  </si>
  <si>
    <t>3f9841c5-17a3-59fa-a150-a2c68d390a1f</t>
  </si>
  <si>
    <t>SSI-MT347-MT362_004</t>
  </si>
  <si>
    <t>bd33027e-bb61-51ad-a1e7-59dec2e1d7da</t>
  </si>
  <si>
    <t>SSI-MT347-MT362_005</t>
  </si>
  <si>
    <t>6397606b-43c8-56a9-9d31-afa505064150</t>
  </si>
  <si>
    <t>SSI-MT347-MT362_006</t>
  </si>
  <si>
    <t>526b546a-c1b6-5e81-b239-49fba2bf9e98</t>
  </si>
  <si>
    <t>SSI-MT347-MT362_007</t>
  </si>
  <si>
    <t>57856ae3-08e4-5ee5-9679-da9b6e993010</t>
  </si>
  <si>
    <t>SSI-MT347-MT362_008</t>
  </si>
  <si>
    <t>f5134dc0-5071-5c5c-ba4c-61ec45dd4fa8</t>
  </si>
  <si>
    <t>SSI-MT347-MT362_009</t>
  </si>
  <si>
    <t>e1afccac-e922-5441-9bc4-4a458cb5825a</t>
  </si>
  <si>
    <t>SSI-MT347-MT362_010</t>
  </si>
  <si>
    <t>3860e54b-c6cc-5e25-a59a-22cc56cc61ba</t>
  </si>
  <si>
    <t>SSI-MT347-MT362_011</t>
  </si>
  <si>
    <t>1bb64742-cf43-53d9-a8e8-9e5e0be96907</t>
  </si>
  <si>
    <t>SSI-MT347-MT362_012</t>
  </si>
  <si>
    <t>45727e69-4da3-54eb-baf0-efcd91c0c1c2</t>
  </si>
  <si>
    <t>SSI-MT347-MT362_013</t>
  </si>
  <si>
    <t>a76d0f43-6d67-585f-9910-03d720531fc0</t>
  </si>
  <si>
    <t>SSI-MT347-MT362_014</t>
  </si>
  <si>
    <t>f1c3da28-3c58-5485-934f-1b7cbec6e4b8</t>
  </si>
  <si>
    <t>SSI-MT347-MT364_001</t>
  </si>
  <si>
    <t>b35f2c7d-8634-5ba7-a762-b63fe18a5185</t>
  </si>
  <si>
    <t>SSI-MT347-MT364_002</t>
  </si>
  <si>
    <t>1e718568-4005-51a2-ae74-61ca1671d34e</t>
  </si>
  <si>
    <t>SSI-MT347-MT364_003</t>
  </si>
  <si>
    <t>1bb0b01e-804a-583b-9137-3b9af8c234e6</t>
  </si>
  <si>
    <t>SSI-MT347-MT364_004</t>
  </si>
  <si>
    <t>602fc131-7b5a-5af2-a759-211c0aecffe3</t>
  </si>
  <si>
    <t>SSI-MT347-MT364_005</t>
  </si>
  <si>
    <t>01439488-f3a9-57dd-85cd-38bba2f635d9</t>
  </si>
  <si>
    <t>SSI-MT347-MT364_006</t>
  </si>
  <si>
    <t>162e5924-ac7c-5b0c-8bd9-e001f11782b2</t>
  </si>
  <si>
    <t>SSI-MT347-MT364_007</t>
  </si>
  <si>
    <t>72011a6a-c2d3-56a7-b51a-637cdb1c0a66</t>
  </si>
  <si>
    <t>SSI-MT347-MT364_008</t>
  </si>
  <si>
    <t>ffabaf8f-85ae-54a2-ab68-d879cf303b81</t>
  </si>
  <si>
    <t>SSI-MT347-MT364_009</t>
  </si>
  <si>
    <t>a2e8838a-37fc-59f6-9312-29f983609f6b</t>
  </si>
  <si>
    <t>SSI-MT347-MT364_010</t>
  </si>
  <si>
    <t>877ae68a-e573-5990-97ad-741c7336722e</t>
  </si>
  <si>
    <t>SSI-MT347-MT364_011</t>
  </si>
  <si>
    <t>d3f5d838-429b-5d0c-8c3c-42a4ca2ead83</t>
  </si>
  <si>
    <t>SSI-MT347-MT364_012</t>
  </si>
  <si>
    <t>315f0b14-a99e-55f2-b361-fc1ec8f1a238</t>
  </si>
  <si>
    <t>SSI-MT347-MT365_001</t>
  </si>
  <si>
    <t>997cf472-0b25-54e6-9a80-094def2df519</t>
  </si>
  <si>
    <t>SSI-MT347-MT365_002</t>
  </si>
  <si>
    <t>2446f062-b3ad-5256-8424-bb96282807b6</t>
  </si>
  <si>
    <t>SSI-MT347-MT365_003</t>
  </si>
  <si>
    <t>c6362d78-909d-5aab-b6e5-bf3d3317f148</t>
  </si>
  <si>
    <t>SSI-MT347-MT365_004</t>
  </si>
  <si>
    <t>be277a3e-71c8-55f7-bd1e-e60dfbe5b9dc</t>
  </si>
  <si>
    <t>SSI-MT347-MT365_005</t>
  </si>
  <si>
    <t>57acf0fd-a3d4-5151-8f02-c19a244df332</t>
  </si>
  <si>
    <t>SSI-MT347-MT365_006</t>
  </si>
  <si>
    <t>a03c111d-084b-588e-b2b7-fea5a91e5970</t>
  </si>
  <si>
    <t>SSI-MT347-MT365_007</t>
  </si>
  <si>
    <t>4510d277-e548-5d64-ae76-2dae0701e123</t>
  </si>
  <si>
    <t>SSI-MT347-MT365_008</t>
  </si>
  <si>
    <t>b62b6a03-6cfa-5be5-8ca9-672e2a4bfb19</t>
  </si>
  <si>
    <t>SSI-MT347-MT365_009</t>
  </si>
  <si>
    <t>deb834a0-e585-5065-83c0-71f88aba8c27</t>
  </si>
  <si>
    <t>SSI-MT347-MT365_010</t>
  </si>
  <si>
    <t>28d1f2c0-988f-5412-b159-a7e08add2421</t>
  </si>
  <si>
    <t>SSI-MT347-MT365_011</t>
  </si>
  <si>
    <t>19b030ee-9bcf-5d0b-a79d-8650531cbefc</t>
  </si>
  <si>
    <t>SSI-MT347-MT365_012</t>
  </si>
  <si>
    <t>e461f43e-37ae-5d5e-b8fd-86690b5388e2</t>
  </si>
  <si>
    <t>SSI-MT347-MT365_013</t>
  </si>
  <si>
    <t>8a7f7447-c15a-5394-9168-13e2e9f91c4c</t>
  </si>
  <si>
    <t>SSI-MT347-MT365_014</t>
  </si>
  <si>
    <t>659b4387-80a4-5beb-9f2b-c407bb91ccaa</t>
  </si>
  <si>
    <t>SSI-MT347-MT365_015</t>
  </si>
  <si>
    <t>83a10e2c-2f35-5216-992c-b908ab57556c</t>
  </si>
  <si>
    <t>SSI-MT347-MT365_016</t>
  </si>
  <si>
    <t>a7f51cf4-6ca8-56b1-9bc3-cd35ca2fa0f3</t>
  </si>
  <si>
    <t>SSI-MT347-MT365_017</t>
  </si>
  <si>
    <t>52fdac61-0dfe-5a3b-8bef-ba17db0ce8f2</t>
  </si>
  <si>
    <t>SSI-MT347-MT365_018</t>
  </si>
  <si>
    <t>a7da7061-0c32-51da-8f95-c17f04f73eba</t>
  </si>
  <si>
    <t>SSI-MT347-MT365_019</t>
  </si>
  <si>
    <t>a11392a6-4538-53c6-977f-6c2301606aff</t>
  </si>
  <si>
    <t>SSI-MT347-MT365_020</t>
  </si>
  <si>
    <t>fa25fee2-7984-534e-8607-a92e1c693e0d</t>
  </si>
  <si>
    <t>SSI-MT347-MT365_021</t>
  </si>
  <si>
    <t>f96db86c-c9d9-51b6-96b6-a139e48d8829</t>
  </si>
  <si>
    <t>SSI-MT347-MT365_022</t>
  </si>
  <si>
    <t>9c82f6fa-e06d-59a3-950e-bda5b532005f</t>
  </si>
  <si>
    <t>SSI-MT347-MT365_023</t>
  </si>
  <si>
    <t>74d610f3-c8d0-5923-ab90-4d2fe7465caf</t>
  </si>
  <si>
    <t>SSI-MT347-MT365_024</t>
  </si>
  <si>
    <t>9598419b-fc09-51c3-8f44-09ca0986151a</t>
  </si>
  <si>
    <t>SSI-MT347-MT400_001</t>
  </si>
  <si>
    <t>2abe03db-dc96-531e-ab8e-fb753fbaedad</t>
  </si>
  <si>
    <t>SSI-MT347-MT400_002</t>
  </si>
  <si>
    <t>d09806b5-0559-5249-877c-860c87bee40d</t>
  </si>
  <si>
    <t>SSI-MT347-MT400_003</t>
  </si>
  <si>
    <t>d9146149-8b9a-5f6e-ba05-d8df92f63467</t>
  </si>
  <si>
    <t>SSI-MT347-MT400_004</t>
  </si>
  <si>
    <t>195c497c-0b65-5e47-a8d2-ea828dfa50eb</t>
  </si>
  <si>
    <t>SSI-MT347-MT730_001</t>
  </si>
  <si>
    <t>eeea0f5e-dfdf-5159-82bc-3938110e9d2a</t>
  </si>
  <si>
    <t>SSI-MT347-MT730_002</t>
  </si>
  <si>
    <t>d28737c0-32d7-5ae4-8180-5bad23fcd34b</t>
  </si>
  <si>
    <t>SSI-MT347-MT730_003</t>
  </si>
  <si>
    <t>3051147e-5a20-52e4-939d-ad1399d38aa8</t>
  </si>
  <si>
    <t>SSI-MT347-MT730_004</t>
  </si>
  <si>
    <t>af158f2b-10d4-5722-960b-1efc99494d96</t>
  </si>
  <si>
    <t>SSI-MT347-MT734_001</t>
  </si>
  <si>
    <t>d982c1cc-2470-50dc-a49c-2763425d9d35</t>
  </si>
  <si>
    <t>SSI-MT347-MT734_002</t>
  </si>
  <si>
    <t>bad4347b-ce1d-52b9-bd19-56f25b1294a8</t>
  </si>
  <si>
    <t>SSI-MT347-MT734_003</t>
  </si>
  <si>
    <t>29ca672e-5918-52b1-aaa1-4b665b6426c8</t>
  </si>
  <si>
    <t>SSI-MT347-MT734_004</t>
  </si>
  <si>
    <t>11ea2c9e-fd05-5c52-9551-84dfe024c71d</t>
  </si>
  <si>
    <t>SSI-MT347-MT742_001</t>
  </si>
  <si>
    <t>6b9bf33a-7327-5fa3-86b8-c9cb317c3199</t>
  </si>
  <si>
    <t>SSI-MT347-MT742_002</t>
  </si>
  <si>
    <t>711342e1-2d0f-54e4-9e9f-a66f58a5a7d4</t>
  </si>
  <si>
    <t>SSI-MT347-MT742_003</t>
  </si>
  <si>
    <t>d756c7f9-09c1-5c9c-ae52-f52888e4601c</t>
  </si>
  <si>
    <t>SSI-MT347-MT742_004</t>
  </si>
  <si>
    <t>2a1526fc-cdf2-5b96-b041-35de70a5a633</t>
  </si>
  <si>
    <t>SSI-MT347-MT750_001</t>
  </si>
  <si>
    <t>fb705130-aba8-5084-a876-b457e9b11b73</t>
  </si>
  <si>
    <t>SSI-MT347-MT750_002</t>
  </si>
  <si>
    <t>95255886-9c85-5e25-b4e2-9d8c17ff8e1d</t>
  </si>
  <si>
    <t>SSI-MT347-MT750_003</t>
  </si>
  <si>
    <t>55fcb509-34da-54e5-80ca-f1d301064790</t>
  </si>
  <si>
    <t>SSI-MT347-MT750_004</t>
  </si>
  <si>
    <t>26bc9e3f-05f4-555f-ac00-2e0384d3c09d</t>
  </si>
  <si>
    <t>SSI-MT347-MT752_001</t>
  </si>
  <si>
    <t>beb715d7-f8df-51b5-b917-eb1452ce1c7b</t>
  </si>
  <si>
    <t>SSI-MT347-MT752_002</t>
  </si>
  <si>
    <t>5af91590-dfc3-5175-80e1-9cc7f47d2408</t>
  </si>
  <si>
    <t>SSI-MT347-MT752_003</t>
  </si>
  <si>
    <t>b03cb126-db75-5d85-83a2-4c8959710243</t>
  </si>
  <si>
    <t>SSI-MT347-MT752_004</t>
  </si>
  <si>
    <t>512fd063-233b-5a78-832b-1cb853ab3c1f</t>
  </si>
  <si>
    <t>SSI-MT347-MT754_001</t>
  </si>
  <si>
    <t>08d10d41-380e-5c0d-9bc4-c4774a7af556</t>
  </si>
  <si>
    <t>SSI-MT347-MT754_002</t>
  </si>
  <si>
    <t>ec25c6fc-c6bb-5b5d-b2ab-79ead3836694</t>
  </si>
  <si>
    <t>SSI-MT347-MT754_003</t>
  </si>
  <si>
    <t>e692420d-6ec9-597e-9943-6835c78ee352</t>
  </si>
  <si>
    <t>SSI-MT347-MT754_004</t>
  </si>
  <si>
    <t>f67c761f-f853-506a-a7e4-cf51ad1cde28</t>
  </si>
  <si>
    <t>SSI-MT347-MT756_001</t>
  </si>
  <si>
    <t>466849a9-2eff-5fef-810c-210d93bad27a</t>
  </si>
  <si>
    <t>SSI-MT347-MT756_002</t>
  </si>
  <si>
    <t>7d2d8be2-2e0f-5d03-8d00-ef3427b4c6a1</t>
  </si>
  <si>
    <t>SSI-MT347-MT756_003</t>
  </si>
  <si>
    <t>ae2153df-b997-51e5-80a6-5626ed926e11</t>
  </si>
  <si>
    <t>SSI-MT347-MT756_004</t>
  </si>
  <si>
    <t>4408e144-f8d6-589e-b8f6-0f036f104863</t>
  </si>
  <si>
    <t>SSI-MT347-MT765_001</t>
  </si>
  <si>
    <t>1a5cafaf-ea84-580d-bd91-ce8d306ff367</t>
  </si>
  <si>
    <t>SSI-MT347-MT765_002</t>
  </si>
  <si>
    <t>d5a3171c-ac1f-5474-8997-b06554529d4f</t>
  </si>
  <si>
    <t>SSI-MT347-MT765_003</t>
  </si>
  <si>
    <t>e403fd0d-f19a-595b-b0c6-5d9e5fa7104a</t>
  </si>
  <si>
    <t>SSI-MT347-MT765_004</t>
  </si>
  <si>
    <t>3af5fe34-672b-5fdf-b61c-642e0f721e97</t>
  </si>
  <si>
    <t>SSI-MT347-MT765_005</t>
  </si>
  <si>
    <t>d0e4e438-20d8-511d-bb55-c4af9eef9f12</t>
  </si>
  <si>
    <t>SSI-MT347-MT768_001</t>
  </si>
  <si>
    <t>30959339-334d-5f8c-9032-5e476c36c111</t>
  </si>
  <si>
    <t>SSI-MT347-MT768_002</t>
  </si>
  <si>
    <t>1e87b366-ceda-5844-b05e-1b204a9faaef</t>
  </si>
  <si>
    <t>SSI-MT347-MT768_003</t>
  </si>
  <si>
    <t>ba7f8c5b-3a61-52c2-bbe5-6e7ca38103da</t>
  </si>
  <si>
    <t>SSI-MT347-MT768_004</t>
  </si>
  <si>
    <t>0eb401fd-bfa2-537c-8d4a-9a6ed7b53ffb</t>
  </si>
  <si>
    <t>SSI-MT347-MT769_001</t>
  </si>
  <si>
    <t>323aa60d-c730-5b4b-8c0a-020cabc91035</t>
  </si>
  <si>
    <t>SSI-MT347-MT769_002</t>
  </si>
  <si>
    <t>c10f2c43-ed0d-57e3-9664-478774d347c5</t>
  </si>
  <si>
    <t>SSI-MT347-MT769_003</t>
  </si>
  <si>
    <t>21ba0104-8417-5593-b263-cfd1216dbff5</t>
  </si>
  <si>
    <t>SSI-MT347-MT769_004</t>
  </si>
  <si>
    <t>3eb66e1a-2412-5dae-8878-50da0fd1e81c</t>
  </si>
  <si>
    <t>SSI-MT347-MT400_005</t>
  </si>
  <si>
    <t>984bc15d-7e7c-5a83-966d-c790ab8137fd</t>
  </si>
  <si>
    <t>SSI-MT347-MT400_006</t>
  </si>
  <si>
    <t>ac232d18-5db7-5e77-b536-1725c744ff2a</t>
  </si>
  <si>
    <t>SSI-MT347-MT730_005</t>
  </si>
  <si>
    <t>58a30b01-a4a8-5183-a427-9f8c767d18ea</t>
  </si>
  <si>
    <t>SSI-MT347-MT730_006</t>
  </si>
  <si>
    <t>7612fd83-a88a-5b39-96a1-b837c5299a16</t>
  </si>
  <si>
    <t>SSI-MT347-MT754_005</t>
  </si>
  <si>
    <t>9e7cca2f-f88e-5946-8913-60c5bca54d4e</t>
  </si>
  <si>
    <t>SSI-MT347-MT754_006</t>
  </si>
  <si>
    <t>2fe4c1d7-3950-5ecd-951d-a1d0935add5b</t>
  </si>
  <si>
    <t>SSI-MT347-MT754_007</t>
  </si>
  <si>
    <t>bb9c1e53-d190-5b17-a030-ad2e3fefa75f</t>
  </si>
  <si>
    <t>SSI-MT347-MT768_005</t>
  </si>
  <si>
    <t>ee081ae8-249e-5a95-b376-8875237b7346</t>
  </si>
  <si>
    <t>SSI-MT347-MT768_006</t>
  </si>
  <si>
    <t>24cb4e78-745f-5c5e-8e21-ef9ced829545</t>
  </si>
  <si>
    <t>SSI-MT347-MT769_005</t>
  </si>
  <si>
    <t>5912d6a2-9881-5b42-acf6-1c3b8aed6d65</t>
  </si>
  <si>
    <t>SSI-MT347-MT769_006</t>
  </si>
  <si>
    <t>5de7f3bc-daf6-59aa-89f6-a3bf94794508</t>
  </si>
  <si>
    <t>SSI-MT347-MT300_016</t>
  </si>
  <si>
    <t>424eecd9-a84f-5f60-8cf3-16c0300f97c8</t>
  </si>
  <si>
    <t>SSI-MT347-MT304_016</t>
  </si>
  <si>
    <t>a258df01-7c1d-5370-b235-478369071e16</t>
  </si>
  <si>
    <t>SSI-MT347-MT305_006</t>
  </si>
  <si>
    <t>a3bcc694-c723-5ad0-ba6f-79c07faf74ab</t>
  </si>
  <si>
    <t>SSI-MT347-MT306_019</t>
  </si>
  <si>
    <t>a1f68302-ab40-5fee-939a-0b5e637eef1e</t>
  </si>
  <si>
    <t>SSI-MT347-MT320_031</t>
  </si>
  <si>
    <t>898b728e-d54a-5bf4-8a61-d2f0b5f53941</t>
  </si>
  <si>
    <t>SSI-MT347-MT330_025</t>
  </si>
  <si>
    <t>19aa884f-bab0-5075-97c9-518c759b7c5e</t>
  </si>
  <si>
    <t>SSI-MT347-MT340_019</t>
  </si>
  <si>
    <t>3181e997-d393-5f08-b81e-915253b1b7dc</t>
  </si>
  <si>
    <t>SSI-MT347-MT341_007</t>
  </si>
  <si>
    <t>63edb152-3a48-5a7d-a945-e2e8c4db3be0</t>
  </si>
  <si>
    <t>SSI-MT347-MT350_007</t>
  </si>
  <si>
    <t>753f7e02-8dab-5e40-a027-a14fc9a07d50</t>
  </si>
  <si>
    <t>SSI-MT347-MT360_029</t>
  </si>
  <si>
    <t>1853d0bc-ab30-5dec-ad8d-3670d27a4c5d</t>
  </si>
  <si>
    <t>SSI-MT347-MT361_043</t>
  </si>
  <si>
    <t>f53b75b2-1703-5086-b133-8f2e5dd43dee</t>
  </si>
  <si>
    <t>SSI-MT347-MT362_015</t>
  </si>
  <si>
    <t>326d9d07-ff83-507b-97f3-a81c83892131</t>
  </si>
  <si>
    <t>SSI-MT347-MT364_013</t>
  </si>
  <si>
    <t>60a01175-5aac-5f9c-b145-b9e14c9765d8</t>
  </si>
  <si>
    <t>SSI-MT347-MT365_025</t>
  </si>
  <si>
    <t>62d52c13-c41a-56ab-a2dc-1883a0440359</t>
  </si>
  <si>
    <t>SSI-MT347-MT400_007</t>
  </si>
  <si>
    <t>a6ea29ca-338d-50d4-b804-ed49e9503d9f</t>
  </si>
  <si>
    <t>SSI-MT347-MT730_007</t>
  </si>
  <si>
    <t>95919353-c033-52ee-b049-59c36686bad4</t>
  </si>
  <si>
    <t>SSI-MT347-MT734_005</t>
  </si>
  <si>
    <t>3eca0307-a5a0-5ca3-89a2-b184d51c1499</t>
  </si>
  <si>
    <t>SSI-MT347-MT742_005</t>
  </si>
  <si>
    <t>a8ad6261-43c3-5fc0-b9c2-1bb84289bf8c</t>
  </si>
  <si>
    <t>SSI-MT347-MT750_005</t>
  </si>
  <si>
    <t>f7af7ee4-eea5-5bae-9ebe-5eb1f4d4c796</t>
  </si>
  <si>
    <t>SSI-MT347-MT752_005</t>
  </si>
  <si>
    <t>84781e7f-f9fa-5609-8c3e-91bd78e5e204</t>
  </si>
  <si>
    <t>SSI-MT347-MT754_008</t>
  </si>
  <si>
    <t>2a72c87d-dc2d-5a90-89ca-7cf95f74a0df</t>
  </si>
  <si>
    <t>SSI-MT347-MT756_005</t>
  </si>
  <si>
    <t>221417b9-2666-569a-8e9d-f4b3db5c3b57</t>
  </si>
  <si>
    <t>SSI-MT347-MT765_006</t>
  </si>
  <si>
    <t>c260da0d-c8ac-58ac-b329-8fcba398a26b</t>
  </si>
  <si>
    <t>SSI-MT347-MT768_007</t>
  </si>
  <si>
    <t>ffc33473-e052-568f-be7b-f6e3b7444bc4</t>
  </si>
  <si>
    <t>SSI-MT347-MT769_007</t>
  </si>
  <si>
    <t>17fecba0-e053-5a6a-bd3c-8237e1a50739</t>
  </si>
  <si>
    <t>SSI-MT347-MT742_006</t>
  </si>
  <si>
    <t>ce079ff9-bd90-5acd-8343-c1c8ffce1850</t>
  </si>
  <si>
    <t>SSI-MT347-MT742_007</t>
  </si>
  <si>
    <t>d437d036-bde0-577c-a58f-d80f7f67d3ab</t>
  </si>
  <si>
    <t>SSI-MT347-MT742_008</t>
  </si>
  <si>
    <t>f4c6e8bb-7b71-52ab-b114-e0d6ef4d550e</t>
  </si>
  <si>
    <t>SSI-MT347-MT742_009</t>
  </si>
  <si>
    <t>4406994c-6149-5b49-8c6a-41a91cee00c4</t>
  </si>
  <si>
    <t>SSI-MT347-MT742_010</t>
  </si>
  <si>
    <t>e1cf61ed-47dd-5077-a9cb-5878133e2a28</t>
  </si>
  <si>
    <t>SSI-MT347-MT742_011</t>
  </si>
  <si>
    <t>e40fa4ef-7ea0-5488-b5b2-ce86007a4539</t>
  </si>
  <si>
    <t>SSI-MT347-MT742_012</t>
  </si>
  <si>
    <t>dc951608-641e-503d-a645-3f7f31699ec2</t>
  </si>
  <si>
    <t>SSI-MT347-MT754_009</t>
  </si>
  <si>
    <t>63d380e2-5e27-598d-bfdc-6ea177969798</t>
  </si>
  <si>
    <t>SSI-MT347-MT754_010</t>
  </si>
  <si>
    <t>4cb71de9-c041-59bc-98c9-f20b2c8c37be</t>
  </si>
  <si>
    <t>SSI-MT347-MT754_011</t>
  </si>
  <si>
    <t>c802d887-c60b-528e-a916-6319ca412bfe</t>
  </si>
  <si>
    <t>SSI-MT347-MT754_012</t>
  </si>
  <si>
    <t>c08b96d8-472d-57e5-bfdd-c950878cb1a3</t>
  </si>
  <si>
    <t>SSI-MT347-MT756_006</t>
  </si>
  <si>
    <t>4fbac20b-b813-52f0-9de1-a490e8a75862</t>
  </si>
  <si>
    <t>SSI-MT347-MT756_007</t>
  </si>
  <si>
    <t>291dbd16-3307-5187-8060-2319c24774e6</t>
  </si>
  <si>
    <t>SSI-MT347-MT756_008</t>
  </si>
  <si>
    <t>c72a1e24-1a40-5736-9eda-8196459f3fd8</t>
  </si>
  <si>
    <t>SSI-MT347-MT756_009</t>
  </si>
  <si>
    <t>b75a7892-2034-5461-8560-28184e466082</t>
  </si>
  <si>
    <t>SSI-MT347-MT756_010</t>
  </si>
  <si>
    <t>27630ae0-949f-5ae5-be37-76d77d0950b6</t>
  </si>
  <si>
    <t>SSI-MT347-MT756_011</t>
  </si>
  <si>
    <t>f487685c-6556-5cd2-8f2d-9a036ac783a1</t>
  </si>
  <si>
    <t>SSI-MT347-MT756_012</t>
  </si>
  <si>
    <t>de8c9920-b13a-509e-bb11-d90ffb6cedc5</t>
  </si>
  <si>
    <t>SSI-MT347-MT742_013</t>
  </si>
  <si>
    <t>183784e1-c9f1-55f2-97c5-d7eb41d912ff</t>
  </si>
  <si>
    <t>SSI-MT347-MT742_014</t>
  </si>
  <si>
    <t>0bc47589-93b5-56a8-8a47-a227ec4e27c3</t>
  </si>
  <si>
    <t>SSI-MT347-MT754_013</t>
  </si>
  <si>
    <t>63201a94-e90a-5f0b-b5b6-2158fd58ca8e</t>
  </si>
  <si>
    <t>SSI-MT347-MT754_014</t>
  </si>
  <si>
    <t>Applicability ID</t>
  </si>
  <si>
    <t>Currency</t>
  </si>
  <si>
    <t>2a60a7a7-aba0-5b38-aa80-7c695007e119</t>
  </si>
  <si>
    <t>USD</t>
  </si>
  <si>
    <t>ACTIVE and exact message+sequence+leg match</t>
  </si>
  <si>
    <t>MISSING — no MT347 applicability in current canonical seed</t>
  </si>
  <si>
    <t>a4587f5f-7ef5-569e-a903-498cbc799d83</t>
  </si>
  <si>
    <t>3de6f0e5-2ff3-5671-804f-30afabe5b594</t>
  </si>
  <si>
    <t>3ed0e22e-2854-5487-a2d3-89b23defed42</t>
  </si>
  <si>
    <t>46b67689-5677-55f0-8297-655e9250e77d</t>
  </si>
  <si>
    <t>b47b9d84-0424-5409-b9a1-1a5d6f8eb7f9</t>
  </si>
  <si>
    <t>1f258006-0961-5f8e-aaec-65509516db51</t>
  </si>
  <si>
    <t>a68a2082-342f-5ed6-885e-90f0f47788b8</t>
  </si>
  <si>
    <t>d7bada0e-a267-5514-9fe7-742a60345b9a</t>
  </si>
  <si>
    <t>7bc1f546-edbd-5510-94f9-f65fa42e2776</t>
  </si>
  <si>
    <t>6e9f0853-ed69-5e5c-951b-079e828a6d85</t>
  </si>
  <si>
    <t>dd720666-a778-595c-aca7-3238585b4e10</t>
  </si>
  <si>
    <t>774ec4ff-660a-5875-8d0d-cf71c9706f1f</t>
  </si>
  <si>
    <t>f8a2c26b-d2df-58d3-b4d4-01fc5b799beb</t>
  </si>
  <si>
    <t>dcdc2ae3-fb4d-5a07-a03c-19612fd26842</t>
  </si>
  <si>
    <t>dd15d3a0-8468-5619-a7aa-440d931ee91d</t>
  </si>
  <si>
    <t>225d267d-e291-59d0-af4f-c5e9aa5b5585</t>
  </si>
  <si>
    <t>677aaeea-b67f-5923-ba01-a330a6aae866</t>
  </si>
  <si>
    <t>1c2b1717-bdf8-57c7-8b0c-8977e154d149</t>
  </si>
  <si>
    <t>70619dae-703c-5c3d-b945-ffa1a380158e</t>
  </si>
  <si>
    <t>00e5c295-0e24-5122-b4a9-733e12474fd9</t>
  </si>
  <si>
    <t>ca9e47ec-04b0-5ed3-9649-7599ca29143b</t>
  </si>
  <si>
    <t>846e7734-786d-5c2b-88f7-da0d7e527ae2</t>
  </si>
  <si>
    <t>0fed1ac4-1d4a-5735-979e-fbff2cdfc8cb</t>
  </si>
  <si>
    <t>18610555-b33c-5532-8ffa-a3a272a9aa5e</t>
  </si>
  <si>
    <t>8e160e69-3473-56b1-a50e-c95d1403c043</t>
  </si>
  <si>
    <t>2cfa5209-55fa-5978-bf52-e35d646737b2</t>
  </si>
  <si>
    <t>81e67f09-af87-5ec0-af03-9240429d5174</t>
  </si>
  <si>
    <t>e899019a-0cf7-5277-b51e-19de5894ebaf</t>
  </si>
  <si>
    <t>8552df33-9518-565e-92c9-69f140461b1c</t>
  </si>
  <si>
    <t>1e5372dd-87a4-5946-b96b-a9d93e037ecc</t>
  </si>
  <si>
    <t>51140c09-7734-5fff-b67d-52f960a27db9</t>
  </si>
  <si>
    <t>f4deb580-47cb-58e6-b6c9-89848267f652</t>
  </si>
  <si>
    <t>c5a5dc1f-76bf-5db4-8607-7462603a6cbe</t>
  </si>
  <si>
    <t>d8735208-7a36-59c7-91ff-0a45f098dc21</t>
  </si>
  <si>
    <t>4e74a00c-837b-5354-a012-e9195f2f482c</t>
  </si>
  <si>
    <t>82b3f00f-47ba-537e-9eec-e1dc8c346903</t>
  </si>
  <si>
    <t>99b4aea0-75a1-5a3d-817c-715a55509df5</t>
  </si>
  <si>
    <t>7b07ea9f-5212-537d-928c-83066767ed78</t>
  </si>
  <si>
    <t>843dc7f4-4715-5c00-a973-2ead13681b6c</t>
  </si>
  <si>
    <t>63075818-0275-55c1-b15f-5118353b244e</t>
  </si>
  <si>
    <t>12bee852-9686-55fc-89a0-504a13104cfd</t>
  </si>
  <si>
    <t>851e67af-d5ac-5f5b-ac08-7845d012d0bf</t>
  </si>
  <si>
    <t>238ae53d-afd3-5c43-a24d-d7794da8c406</t>
  </si>
  <si>
    <t>81d92803-334a-5b5c-9bd9-301cbf64b8c6</t>
  </si>
  <si>
    <t>74c4336e-bfb5-584d-8a1f-d80fc02c23ae</t>
  </si>
  <si>
    <t>56aea9ef-a8a7-5d8d-9558-406cec11400c</t>
  </si>
  <si>
    <t>fe154577-723f-57bc-9710-b6eb2a0c6860</t>
  </si>
  <si>
    <t>61a00f67-32f4-5145-aac5-30fb89728c8a</t>
  </si>
  <si>
    <t>317fdf3c-bb14-5412-a2f2-c9396a0eb311</t>
  </si>
  <si>
    <t>9b8500cb-cfdb-59ae-a2b8-9cf06520f6fd</t>
  </si>
  <si>
    <t>c250db9a-333d-5246-8256-7d202588033c</t>
  </si>
  <si>
    <t>6d09eed9-d7a4-5a12-a513-c93b14fa27ee</t>
  </si>
  <si>
    <t>bcb1f3a6-3b38-554c-95df-45417f813e3d</t>
  </si>
  <si>
    <t>e1061a08-f2a7-562c-989d-7b43dfc1abf6</t>
  </si>
  <si>
    <t>69f2573a-86c4-5d4a-9d76-ce0deff4e9ef</t>
  </si>
  <si>
    <t>97ac23f5-11f5-51b4-9ad4-7551d54275a8</t>
  </si>
  <si>
    <t>27a229e5-6d1d-599b-aa4e-fe16e9498a9a</t>
  </si>
  <si>
    <t>8cd7095f-24c1-5dfc-8992-a2e6d9d98374</t>
  </si>
  <si>
    <t>d6f2edfd-60f4-5724-af76-1e971582e2a4</t>
  </si>
  <si>
    <t>714dcc70-4070-5513-8f94-f8d6ff2d7c94</t>
  </si>
  <si>
    <t>2c9118fc-b944-5d8f-b70d-02e161943806</t>
  </si>
  <si>
    <t>5ef5d613-d115-5c51-8a4e-3e0757257d93</t>
  </si>
  <si>
    <t>cd9f0deb-784c-5389-93a0-1dd4bd48033f</t>
  </si>
  <si>
    <t>9c630d05-ade5-537a-a092-bb572fb91268</t>
  </si>
  <si>
    <t>fc9ebbc6-2be1-5ac5-826d-414cd1968634</t>
  </si>
  <si>
    <t>6314ef0b-48d9-5c2e-a41b-ebbfe11fdd57</t>
  </si>
  <si>
    <t>1553ab50-77d4-5edb-9ab4-3d3b3710c334</t>
  </si>
  <si>
    <t>4835a3bd-b536-571e-af4b-a988e7e5f67a</t>
  </si>
  <si>
    <t>a2f10725-fa6b-58ad-a0d5-a20032114419</t>
  </si>
  <si>
    <t>74435a2d-34a0-5650-87b0-91521f1352d3</t>
  </si>
  <si>
    <t>78310dbf-8092-5e7c-962f-04b994d5683e</t>
  </si>
  <si>
    <t>93b0e249-61c4-5b73-9dd9-15f0cd61abb1</t>
  </si>
  <si>
    <t>7fcb7c40-7f15-562a-aa04-1ef4d59d980f</t>
  </si>
  <si>
    <t>8457599e-212f-5b5a-94ea-713cfb854be4</t>
  </si>
  <si>
    <t>58ecda53-79e6-572f-9293-adcea531605e</t>
  </si>
  <si>
    <t>dd8e3d55-c6ce-5752-8097-8dcd65d68861</t>
  </si>
  <si>
    <t>db3f5f54-7205-5ff9-bb00-b02c453b5121</t>
  </si>
  <si>
    <t>b98a4e3d-83be-52ba-b462-20a74cc7af69</t>
  </si>
  <si>
    <t>cb08297b-ed59-556f-8050-d40105a07746</t>
  </si>
  <si>
    <t>155a40c1-4362-5197-994f-239d8fdce094</t>
  </si>
  <si>
    <t>a24b2886-66ac-5d48-9000-3738ee5debbd</t>
  </si>
  <si>
    <t>8dd37b42-5e22-5ce0-9794-1e41ab347adb</t>
  </si>
  <si>
    <t>f6ba3db7-85bf-57b9-bf95-7ed2858f36f3</t>
  </si>
  <si>
    <t>585d3d81-fe5d-560f-b5f8-9e4c7bf6c722</t>
  </si>
  <si>
    <t>80194daf-9d48-581b-8196-0ae9e09ad587</t>
  </si>
  <si>
    <t>1929ee94-c166-52d6-987e-956f1d7c2fb9</t>
  </si>
  <si>
    <t>0bd21117-0eae-5b34-903f-3d3c91b19316</t>
  </si>
  <si>
    <t>f69fe9f2-12ee-54cd-90dd-b6e14c8f3628</t>
  </si>
  <si>
    <t>74bd766e-7269-587b-a916-f83e812aaace</t>
  </si>
  <si>
    <t>c2ad4087-92a8-552c-a09c-e3dcc89b9acf</t>
  </si>
  <si>
    <t>01fa3acb-7b76-500d-a109-35344899f938</t>
  </si>
  <si>
    <t>84c7eabe-aceb-558c-92c7-313c2d2b8378</t>
  </si>
  <si>
    <t>6341aa74-8d17-59fc-9506-605b6375a430</t>
  </si>
  <si>
    <t>16c1ac78-abb8-50ab-84e4-a94c5a96a45f</t>
  </si>
  <si>
    <t>0fc292eb-22f2-5c9d-a2c3-ac5ded382580</t>
  </si>
  <si>
    <t>1e987b70-2f3e-5d5d-b747-58f274dde929</t>
  </si>
  <si>
    <t>ceb91628-1809-576b-9e64-a15cf8189366</t>
  </si>
  <si>
    <t>8fae66df-a681-5b47-b87d-9d2f9c579f1e</t>
  </si>
  <si>
    <t>530368c2-581d-55ee-a274-7df7c20e4501</t>
  </si>
  <si>
    <t>f5c0e82f-e63c-511a-a07d-ddcd7612e895</t>
  </si>
  <si>
    <t>e0b3989e-78fa-57f6-8dbc-13f96727d352</t>
  </si>
  <si>
    <t>3dc5c24d-30a3-54c8-926e-29c94747c448</t>
  </si>
  <si>
    <t>8b381aa8-2ca9-56bf-ba9d-9d37cace9ae6</t>
  </si>
  <si>
    <t>58ecf8fd-c10a-567d-8cee-f27ded7019f6</t>
  </si>
  <si>
    <t>9e06a2cf-2b2d-54f3-8d8c-ef5813f8c246</t>
  </si>
  <si>
    <t>dbdbd96f-ee7d-5719-85e2-29727752220d</t>
  </si>
  <si>
    <t>e5adaf65-ff66-59f6-a880-c81520ff618c</t>
  </si>
  <si>
    <t>c94e4403-d78d-54ec-98c8-2dd5e8ed72ca</t>
  </si>
  <si>
    <t>50ccfdbf-d55f-5d7f-b589-12fc5e7744f0</t>
  </si>
  <si>
    <t>8be0460a-882d-5564-a595-664a98d4acec</t>
  </si>
  <si>
    <t>b862580f-fd3d-50ae-9e23-f061ee2301ac</t>
  </si>
  <si>
    <t>b38eb4ef-ca8b-5a75-84b9-6557e71be0e0</t>
  </si>
  <si>
    <t>baa00e7a-a4c1-56fc-8e1e-dbdb4bff9456</t>
  </si>
  <si>
    <t>92ff4abd-50b7-5034-b017-9c115992468c</t>
  </si>
  <si>
    <t>79902bb6-8902-5f9b-8411-ad4038bf8ea1</t>
  </si>
  <si>
    <t>96c5d9e7-d465-58cb-9f07-5a69fdadd781</t>
  </si>
  <si>
    <t>f8bfc4c9-0298-54c7-ade7-635c5d1b430e</t>
  </si>
  <si>
    <t>2b9fbe94-6545-559d-8ae0-1f56499f7c1e</t>
  </si>
  <si>
    <t>68bda292-bb72-5831-ba72-3fc745996213</t>
  </si>
  <si>
    <t>f03952f0-efe8-5b7d-a2aa-ee805fcf6832</t>
  </si>
  <si>
    <t>2affe0a7-c9d6-51ec-995b-aed7850fe7a7</t>
  </si>
  <si>
    <t>a2579ccb-5263-516a-bb71-3ada03e82289</t>
  </si>
  <si>
    <t>213a84b6-e9bc-5062-9722-919167fcc5e1</t>
  </si>
  <si>
    <t>e4c45518-e64d-50a7-9e58-b1540f8cf2d1</t>
  </si>
  <si>
    <t>2b3e465d-318a-5c7e-9d00-78cd26715c3f</t>
  </si>
  <si>
    <t>75361da9-6a50-5143-8dde-afcf4b21417f</t>
  </si>
  <si>
    <t>e374c927-2b9b-518b-b057-29603f65e9b7</t>
  </si>
  <si>
    <t>e7e91381-b279-50e2-954a-a991f2860e42</t>
  </si>
  <si>
    <t>ec7d7f1f-2284-5f2e-99ea-cf89488e5b17</t>
  </si>
  <si>
    <t>0e7bfb01-a211-5343-9f9d-0d05c7b131dd</t>
  </si>
  <si>
    <t>31d5ca1c-99f4-503c-8a66-8ec7f90b9a67</t>
  </si>
  <si>
    <t>0ccc7297-7c7c-5d99-91a5-7b2920abb580</t>
  </si>
  <si>
    <t>b163d120-6659-515e-a492-91894a607b3d</t>
  </si>
  <si>
    <t>eaa8a78c-1316-5998-8840-e542cc23e958</t>
  </si>
  <si>
    <t>0042f660-cbb7-534f-beb4-c2c953597899</t>
  </si>
  <si>
    <t>173cd6c7-de1a-5e0c-b9fc-be8775e23616</t>
  </si>
  <si>
    <t>ce09909b-2df5-5290-b3c2-3c084283284e</t>
  </si>
  <si>
    <t>0162caff-807b-50f5-bdfb-fa259dfd9530</t>
  </si>
  <si>
    <t>3444e8f6-1ee5-5be2-8835-9d11403d2588</t>
  </si>
  <si>
    <t>01249bd2-99b9-5a12-8a96-0ab3506cf81f</t>
  </si>
  <si>
    <t>ab6ce4d0-3e6d-5559-a97a-19bc127584d3</t>
  </si>
  <si>
    <t>4da46b9c-33eb-5350-afa6-b646699bcbb2</t>
  </si>
  <si>
    <t>0ed0a6a2-682f-5cd3-85ea-aa018b61e1a0</t>
  </si>
  <si>
    <t>df44ad0d-4ee6-52b6-857f-a2a3626097ad</t>
  </si>
  <si>
    <t>eebf6065-ff0c-59fd-b1c6-10d4895cbf71</t>
  </si>
  <si>
    <t>79263c4a-ff21-596e-aebf-e0586e4cffde</t>
  </si>
  <si>
    <t>190d33f7-4c8b-5619-a508-4963064214a7</t>
  </si>
  <si>
    <t>fcc056c6-0c3c-5853-ab88-0b544ede8729</t>
  </si>
  <si>
    <t>c6a2ea4a-e70e-5ab7-865e-0eb1655b7eda</t>
  </si>
  <si>
    <t>94850dfe-41b1-5b49-a392-7655d1ea97d2</t>
  </si>
  <si>
    <t>38e6d131-c503-5a6d-b2ea-97e570620211</t>
  </si>
  <si>
    <t>edd9f873-5338-5777-9d33-a3a6f72e1df1</t>
  </si>
  <si>
    <t>e7a48f12-0652-5a48-9367-f7b2ad234772</t>
  </si>
  <si>
    <t>5f848415-3b71-584f-bfbf-b8ae31cba7e3</t>
  </si>
  <si>
    <t>b65999a9-24d7-5d02-9350-f22386e3276e</t>
  </si>
  <si>
    <t>486159b2-6d12-5a2b-8fa4-0a91fe87b516</t>
  </si>
  <si>
    <t>7fd129f4-b421-5b16-97cb-7ef2eee32ccb</t>
  </si>
  <si>
    <t>4bdeab53-cdbd-53d2-97ab-32a13fa043ea</t>
  </si>
  <si>
    <t>8ada2cd9-2244-52af-9bca-6b8bf7388e25</t>
  </si>
  <si>
    <t>5823afef-8379-5011-85ed-f50d7fa94223</t>
  </si>
  <si>
    <t>e2338fc6-6567-5602-944b-8b259973d7f5</t>
  </si>
  <si>
    <t>ca547f27-5311-57bc-bbf5-095816306914</t>
  </si>
  <si>
    <t>7537643b-8f32-5fe7-b773-0a86a1204845</t>
  </si>
  <si>
    <t>b65b2527-543c-571f-b5c4-ba514cef5954</t>
  </si>
  <si>
    <t>ed799fe2-5aba-5e45-b12f-233c5388745d</t>
  </si>
  <si>
    <t>96c2cbb9-4fcc-5e3b-8bcb-3b8438a8f0cf</t>
  </si>
  <si>
    <t>5b3d8f61-be33-5ab4-bf0f-38bb6e2b79d3</t>
  </si>
  <si>
    <t>053b9619-5c89-5a53-a0c5-89d2602e0ca2</t>
  </si>
  <si>
    <t>b15980b5-dac4-5eb7-ab44-43b47c1b8800</t>
  </si>
  <si>
    <t>7bced19e-5371-5922-a912-3f0a05feda74</t>
  </si>
  <si>
    <t>51afdd5a-3a70-5d18-b1fc-22b10becf2aa</t>
  </si>
  <si>
    <t>0fb60c1a-9ba7-556c-96e0-b3014f0824db</t>
  </si>
  <si>
    <t>371c2e15-5f31-5e24-b8b6-e042d9be124b</t>
  </si>
  <si>
    <t>d0c97ddf-b961-57b2-ac26-e11be7dfe568</t>
  </si>
  <si>
    <t>13c7f485-38d9-5b9d-96c7-5f8f1234ec01</t>
  </si>
  <si>
    <t>1dcbf281-2bc8-5825-b27b-e5b430a3b0d3</t>
  </si>
  <si>
    <t>5a4cb11d-69b5-5e2d-b209-3f9269a5464e</t>
  </si>
  <si>
    <t>fd0cfcf9-9869-524e-9e12-6d8644f1f4ea</t>
  </si>
  <si>
    <t>60c0909d-ab76-5fc8-9cc7-3ee3095e65e2</t>
  </si>
  <si>
    <t>c98e092a-5488-55d0-9567-78f51d8e14cc</t>
  </si>
  <si>
    <t>9adadd97-bef3-5638-b62a-262b069b60c8</t>
  </si>
  <si>
    <t>bdd68309-c89f-54db-98f8-b756a2ffa9c0</t>
  </si>
  <si>
    <t>19f0b408-7823-52f4-83a2-e5085b2c773d</t>
  </si>
  <si>
    <t>9cb39234-e183-5382-940c-54ec1322a566</t>
  </si>
  <si>
    <t>4998fd4e-b923-59fc-b7e3-e75cc3b79a94</t>
  </si>
  <si>
    <t>67d5f90d-9639-5653-8573-ea6732fe07cb</t>
  </si>
  <si>
    <t>8af3a310-ba63-5a84-a87e-fb5463872ea7</t>
  </si>
  <si>
    <t>bb282c60-cfd7-597e-8e6d-e0aa999479b3</t>
  </si>
  <si>
    <t>e5cf0989-7cef-550e-990f-8e4fb41962f1</t>
  </si>
  <si>
    <t>1a81be28-4af4-5351-bb0a-3ad000140d57</t>
  </si>
  <si>
    <t>724921c0-5a96-53f4-aa05-62440fe5bf08</t>
  </si>
  <si>
    <t>8068b387-38f1-529b-b86d-85da12c76384</t>
  </si>
  <si>
    <t>935a7d87-e4f8-5cd0-b1b9-1b0f0fbb8823</t>
  </si>
  <si>
    <t>61c19501-2b72-5fc7-9440-f1d52e985e12</t>
  </si>
  <si>
    <t>bf7e47c5-264d-567e-8a4d-45ad50d98b46</t>
  </si>
  <si>
    <t>d0eee46c-2cc3-52d6-9f83-99ab719994b2</t>
  </si>
  <si>
    <t>59e734fb-01d6-5ebd-9ada-ceccdf37949d</t>
  </si>
  <si>
    <t>e8fc09f4-22c2-56d7-9ef1-f05f06155f14</t>
  </si>
  <si>
    <t>7ee6fa8f-8d10-55bc-8281-f4301fef1aa5</t>
  </si>
  <si>
    <t>0107259f-436f-535f-9955-56264502ea49</t>
  </si>
  <si>
    <t>655225f8-1f77-5cc4-912f-dff2e3dbc105</t>
  </si>
  <si>
    <t>83360be9-0485-598c-a812-9b09106d4b3f</t>
  </si>
  <si>
    <t>744e7840-6267-5623-a556-c5943f8d89a9</t>
  </si>
  <si>
    <t>911edeb4-198a-516a-a67b-2497a8d75e39</t>
  </si>
  <si>
    <t>9832ae9f-6b3c-5c93-b4cb-8f57b1a4acab</t>
  </si>
  <si>
    <t>ef2cff81-4e31-597c-9a8c-9b033c61137f</t>
  </si>
  <si>
    <t>bc6edf0c-e7c2-5362-aacb-0e7decca58ce</t>
  </si>
  <si>
    <t>6eb67487-bf16-5c11-b4b6-0c2fac7c4904</t>
  </si>
  <si>
    <t>e326d398-130f-5aa9-ae98-4b5537e77fcf</t>
  </si>
  <si>
    <t>b6186bea-c613-5e70-83e0-cb20a3e3d773</t>
  </si>
  <si>
    <t>73ed51eb-2a9b-581c-b898-d328284063f9</t>
  </si>
  <si>
    <t>5a4aa3c5-f6ef-5d00-a9ac-2b286fd22cdd</t>
  </si>
  <si>
    <t>f5785df8-4dd1-5deb-bc2f-aa76e8bc2db6</t>
  </si>
  <si>
    <t>b4e6a606-b271-5ade-8579-6af2688378cc</t>
  </si>
  <si>
    <t>0af76fd1-10f2-59d8-8179-7c6c53dcc5a6</t>
  </si>
  <si>
    <t>8742a23d-e60a-5f55-a6b6-239fbffedf7b</t>
  </si>
  <si>
    <t>a2ad5403-acb0-5a28-876a-d2d0532f1595</t>
  </si>
  <si>
    <t>51a5bf39-5602-538d-9e78-41ee8f676dcd</t>
  </si>
  <si>
    <t>6dd6af2f-e095-5c56-8ee7-6a7ae0b47236</t>
  </si>
  <si>
    <t>134e3438-14cd-56b5-b902-e6f66fc3dbfb</t>
  </si>
  <si>
    <t>e347cf9f-d0db-5259-8d34-d7d9f7e9d413</t>
  </si>
  <si>
    <t>0caa431d-3ba6-501a-aeb8-951dbfe5b115</t>
  </si>
  <si>
    <t>ab4b209d-3b5c-5605-bf2a-137e5191832d</t>
  </si>
  <si>
    <t>b7df7b05-a296-5bde-ab83-32edcf8fba09</t>
  </si>
  <si>
    <t>10fe2037-5e30-590a-ab6c-995c3075d27c</t>
  </si>
  <si>
    <t>7d7f2bdf-587d-5070-afcb-165d30ad60d6</t>
  </si>
  <si>
    <t>e6979157-1eee-5ec3-982b-99e0cdaf23aa</t>
  </si>
  <si>
    <t>e2476f95-15b9-5d03-bb71-0c65b6728657</t>
  </si>
  <si>
    <t>40ca6807-e74f-5db1-9a76-162d67f34ecf</t>
  </si>
  <si>
    <t>5dff9521-1613-56c8-9477-9e2783066a51</t>
  </si>
  <si>
    <t>33cf90b1-8872-5fcb-9ce2-7f3e61de4f17</t>
  </si>
  <si>
    <t>c132eae6-daf4-5b8f-aa1a-0598000e5b12</t>
  </si>
  <si>
    <t>e09f0a12-b711-55b9-9a48-866dbc961381</t>
  </si>
  <si>
    <t>a147b26d-eb64-5fea-b231-1dc249d9b8b2</t>
  </si>
  <si>
    <t>502eaa76-56e5-5866-90c6-7c6552adb92a</t>
  </si>
  <si>
    <t>3a144b5a-aa58-543b-9f77-629352f761a8</t>
  </si>
  <si>
    <t>38e3ced6-0b21-5bc5-8cbd-c88ae16e28db</t>
  </si>
  <si>
    <t>66b7a3e4-ba03-5097-9ddb-034e9c416eec</t>
  </si>
  <si>
    <t>2270b5a3-f76a-5a94-8a13-ef031d6532b7</t>
  </si>
  <si>
    <t>52349145-3e3d-5740-ad61-dbdc866f21bb</t>
  </si>
  <si>
    <t>e4e06f51-1181-5fd8-a43b-8c388490796b</t>
  </si>
  <si>
    <t>8cfcae83-21ff-55f7-93af-d088810faa0f</t>
  </si>
  <si>
    <t>32e7080c-9fa4-5161-a574-22452c1ffe1a</t>
  </si>
  <si>
    <t>6b3e11f5-323a-50c0-9196-eb04a7a8fb6d</t>
  </si>
  <si>
    <t>9ba7ff4b-cce8-554c-b213-e64bd42d550d</t>
  </si>
  <si>
    <t>dbc514af-6b23-5b12-9808-8e13b6da74ab</t>
  </si>
  <si>
    <t>f89d9291-b95d-5756-869c-29bed5db7c24</t>
  </si>
  <si>
    <t>dc698b9e-f3e9-5b5b-bffe-84c7baaf234d</t>
  </si>
  <si>
    <t>6c712d04-0b4b-588e-afde-eac6bdb271d3</t>
  </si>
  <si>
    <t>428ac764-d9ad-538d-8249-9fc6b947dde6</t>
  </si>
  <si>
    <t>c116bd7b-ed05-518c-a7e7-1d2bea0f49f2</t>
  </si>
  <si>
    <t>03699d96-7d40-5634-b9d4-fd414d672d2d</t>
  </si>
  <si>
    <t>a04a8f03-bb89-5c8b-9ac5-13dfd7a8eb0e</t>
  </si>
  <si>
    <t>674b3dfd-98de-52b2-a5a3-a17d89afe3a7</t>
  </si>
  <si>
    <t>ede726ef-df9d-52e3-8f96-3136f1e59765</t>
  </si>
  <si>
    <t>eadfebd5-f1b2-557c-ab70-d0520a06ecbc</t>
  </si>
  <si>
    <t>151d56c2-8bbe-5fac-b87b-cb6521b78708</t>
  </si>
  <si>
    <t>cb26a556-6494-5bdc-9bbd-963df07b79fa</t>
  </si>
  <si>
    <t>004a2b4b-41be-5105-897a-61e94a568aa4</t>
  </si>
  <si>
    <t>699424c4-a90e-5b83-ac72-fef0bef83d8f</t>
  </si>
  <si>
    <t>2b0f4e36-29d0-50a4-8a32-7d4af8bdbe87</t>
  </si>
  <si>
    <t>76cbda2a-38f4-510c-950b-55e88e25583d</t>
  </si>
  <si>
    <t>03a2dcd1-f03e-5d67-8f29-6a92e47edc0a</t>
  </si>
  <si>
    <t>594644ec-f2b0-5aeb-a85a-48f570a5f512</t>
  </si>
  <si>
    <t>0fa89e51-efc7-542d-b28b-d35722db93e3</t>
  </si>
  <si>
    <t>a3202b60-d726-5d68-96c8-d99b2066de3a</t>
  </si>
  <si>
    <t>447d98eb-1d8b-5aba-8a26-343b12b3d85e</t>
  </si>
  <si>
    <t>ae34cd26-40b2-5662-8396-23892ca61c31</t>
  </si>
  <si>
    <t>3c4fe08c-e807-5983-bd64-b00d2da4abbe</t>
  </si>
  <si>
    <t>00d79da1-fe9a-56c2-ad9f-9b468c009926</t>
  </si>
  <si>
    <t>584b29a9-da12-509c-a113-40c5b83a3724</t>
  </si>
  <si>
    <t>d98a9d9c-399a-59fc-a271-3c13e695d0c9</t>
  </si>
  <si>
    <t>62a8f5f0-4224-519e-bea8-228c4adf7043</t>
  </si>
  <si>
    <t>86d2395a-2016-5b94-808f-226a9e96da73</t>
  </si>
  <si>
    <t>a61b4776-3adf-5f29-8077-8212fdf140ce</t>
  </si>
  <si>
    <t>3a84bf94-996f-59db-97fe-31bf31e9f2d5</t>
  </si>
  <si>
    <t>65830c50-7ba2-5f53-ba0d-e6422633b6c4</t>
  </si>
  <si>
    <t>2878eb3b-6d7a-54a3-84d6-dee28b120e3a</t>
  </si>
  <si>
    <t>2f108cee-2363-5864-a7e7-84d29a46ad1b</t>
  </si>
  <si>
    <t>885d96d1-dadc-5e13-9b17-67ff59306ff3</t>
  </si>
  <si>
    <t>9208bcd8-0bb2-55cd-b61b-9bbeed4bc59d</t>
  </si>
  <si>
    <t>05dcc172-54ec-5d48-8cb9-9b1e279a7080</t>
  </si>
  <si>
    <t>21d13005-3d8f-5075-a61a-f2617af4de7a</t>
  </si>
  <si>
    <t>b1d4c574-cbc4-5633-85bc-354681532e9c</t>
  </si>
  <si>
    <t>39ff58af-f6e5-57aa-b10e-482393b81f32</t>
  </si>
  <si>
    <t>d9a2e99e-6b69-56fc-8552-c1490b0dc409</t>
  </si>
  <si>
    <t>b6ab0526-4780-5e7e-8fb3-12ded0226d96</t>
  </si>
  <si>
    <t>ba2559d4-6d74-59d7-96b9-ad7ed20424e5</t>
  </si>
  <si>
    <t>83b0eea7-c5d2-5d68-bd0d-39111d502255</t>
  </si>
  <si>
    <t>0287ce80-2378-52d1-aa62-057eba4707d5</t>
  </si>
  <si>
    <t>f309acb6-13e8-54b4-9d01-922b2952218f</t>
  </si>
  <si>
    <t>1ba0e24a-8589-585c-b3e8-82fddf7099fb</t>
  </si>
  <si>
    <t>bebafe8d-d278-58cf-9a9b-49833ba1009d</t>
  </si>
  <si>
    <t>bbd01584-cebc-56b6-9116-4f84b73aa90e</t>
  </si>
  <si>
    <t>a6e8c619-967c-5147-84a3-8d2feb5362f6</t>
  </si>
  <si>
    <t>7d287155-4d45-5fb6-8f58-222076da8060</t>
  </si>
  <si>
    <t>38ca5198-53f9-5281-8314-fa329ec62345</t>
  </si>
  <si>
    <t>1c81a25c-2cbc-5169-a677-c05392d6a5ea</t>
  </si>
  <si>
    <t>b985dcaf-86a5-520a-a62e-3179edc02882</t>
  </si>
  <si>
    <t>aeca5f06-f8ed-5898-bbaf-a25d9d3ebd0e</t>
  </si>
  <si>
    <t>ca6d3c07-ebfd-59b6-883a-6966b72ce73e</t>
  </si>
  <si>
    <t>3ba2f81c-6613-57d4-92bd-2d5e0d458d74</t>
  </si>
  <si>
    <t>7fa49906-da67-55b7-ac9f-c1f2f755b083</t>
  </si>
  <si>
    <t>6fbf9181-0cde-52ad-9cec-64102937c424</t>
  </si>
  <si>
    <t>cbaae954-70ea-523a-ab37-1eb8033ef379</t>
  </si>
  <si>
    <t>6ce3b012-6751-5151-ac58-0a40290b3210</t>
  </si>
  <si>
    <t>33f9b14f-47d5-5130-bb62-20c7375a63e4</t>
  </si>
  <si>
    <t>a51f9018-6688-5a58-91b0-70e8af94fe34</t>
  </si>
  <si>
    <t>f5efc44f-8a01-5dbc-882e-33751c2b496c</t>
  </si>
  <si>
    <t>14355d80-b455-5f76-b781-d540acf2d7af</t>
  </si>
  <si>
    <t>f02d1d31-1e2f-5282-96cc-b4ba2d67dd8d</t>
  </si>
  <si>
    <t>a3407518-aa9c-5efd-9192-403a5365dcdc</t>
  </si>
  <si>
    <t>00acdc81-4277-58da-bb92-62e3c0801291</t>
  </si>
  <si>
    <t>827e08c2-5a77-5604-a96d-ef5708141f95</t>
  </si>
  <si>
    <t>73f92438-7773-551c-95ed-b41cb21d5c52</t>
  </si>
  <si>
    <t>79ea99ad-5672-5aa3-96c3-cbd76ae0741a</t>
  </si>
  <si>
    <t>c121e4cd-ece1-582a-8035-1289aea9b9c7</t>
  </si>
  <si>
    <t>c0d092d2-bee7-5741-927e-fd2ee7147674</t>
  </si>
  <si>
    <t>efc0740e-f121-5d2d-bcb7-7ac31fd9291b</t>
  </si>
  <si>
    <t>cce30c7d-5d09-55b3-a0da-3f82c145feae</t>
  </si>
  <si>
    <t>696ded28-108d-5799-a756-fd5659b5e192</t>
  </si>
  <si>
    <t>c8da502c-dff7-5aa0-9db5-a163dc3c0fa3</t>
  </si>
  <si>
    <t>5cc76bdc-8dfa-5d53-8f27-0b0eb6fa94f6</t>
  </si>
  <si>
    <t>461a8ca2-f252-5ba9-8364-afe6356baa3f</t>
  </si>
  <si>
    <t>dd1e44ab-c45c-5dc3-8fac-1b82e9409a66</t>
  </si>
  <si>
    <t>b0f13606-ebbf-551b-8e6c-5ec64c130645</t>
  </si>
  <si>
    <t>4c8d32ae-558c-5e83-afb5-b65c1bdfc37a</t>
  </si>
  <si>
    <t>b684d225-4027-56cc-afb6-187d8e1be05b</t>
  </si>
  <si>
    <t>767289b0-a019-533c-8ebd-6231d84122fb</t>
  </si>
  <si>
    <t>15ad969b-0a98-5e19-aa3f-f4ed7b6d0e9f</t>
  </si>
  <si>
    <t>c738fd9c-012f-5e25-a68c-666469dc9577</t>
  </si>
  <si>
    <t>d22d62d0-c349-55ec-94f1-70da57f49c85</t>
  </si>
  <si>
    <t>b6f5295a-b096-5d2b-b61e-6f593fce91af</t>
  </si>
  <si>
    <t>0fa4b8c0-337f-50db-afdf-feb1b2643829</t>
  </si>
  <si>
    <t>3b508fe3-85d0-5650-83e7-7f9b8348e53d</t>
  </si>
  <si>
    <t>594c8498-2a8d-5a53-8949-7f3b2da07376</t>
  </si>
  <si>
    <t>15ba45cc-0a7f-54ca-a8a5-f6f658a9560a</t>
  </si>
  <si>
    <t>d8bd0e80-2516-5c1b-8538-ec54ef9e2f92</t>
  </si>
  <si>
    <t>e7d3d5e8-5934-59ce-8ed2-3b145e158211</t>
  </si>
  <si>
    <t>982f07a8-3dc2-52a1-999a-a61a19313cdd</t>
  </si>
  <si>
    <t>3d7880c5-58f2-5bf3-8d9b-61be768041fb</t>
  </si>
  <si>
    <t>99d8c89d-79d6-52e1-9969-2efdf22c5701</t>
  </si>
  <si>
    <t>d3e04257-6e1a-5eaf-85ff-3139452dcc54</t>
  </si>
  <si>
    <t>e7f75b3c-372e-58ff-a89c-18977ce066cb</t>
  </si>
  <si>
    <t>d1ba5721-f3f3-5087-976c-841aaface052</t>
  </si>
  <si>
    <t>8f3fd38a-32f6-5365-98b3-03b165856c6e</t>
  </si>
  <si>
    <t>990588a8-4d39-5d1f-951c-84b4054f9059</t>
  </si>
  <si>
    <t>c18cfa35-1e19-54eb-8d43-ff496797becd</t>
  </si>
  <si>
    <t>a41f4738-3854-5393-8b62-eca13df5b1a7</t>
  </si>
  <si>
    <t>87140304-c8b5-5d11-914f-1bca606f834e</t>
  </si>
  <si>
    <t>c094b00b-8c08-5709-9009-e9d6fcc79c12</t>
  </si>
  <si>
    <t>997107cd-cfa6-5588-b565-6477e704c216</t>
  </si>
  <si>
    <t>94fec885-e98e-5ba6-b8f5-c0b628063103</t>
  </si>
  <si>
    <t>a59cd755-9e75-588b-b070-2dd407188c4e</t>
  </si>
  <si>
    <t>ded6416d-fb2c-5aa5-896c-94fb3d29d1a7</t>
  </si>
  <si>
    <t>81e7e8d1-1542-5604-ac44-c7aad03483e0</t>
  </si>
  <si>
    <t>912a7f9f-ab60-500b-85d8-89eedd74ff17</t>
  </si>
  <si>
    <t>24831d5b-6a6e-5771-bae1-bca9438c7ff2</t>
  </si>
  <si>
    <t>2420f154-1f54-5145-941a-a051ec3789a8</t>
  </si>
  <si>
    <t>Nostro ID</t>
  </si>
  <si>
    <t>Expected accountReference</t>
  </si>
  <si>
    <t>Bank service / BIC</t>
  </si>
  <si>
    <t>Selection rule</t>
  </si>
  <si>
    <t>b882d100-5bbb-5c8d-86e7-2b552fbe8559</t>
  </si>
  <si>
    <t>BANK-SVC-CITIUS33 / CITIUS33</t>
  </si>
  <si>
    <t>Exact nostroId+version pin; rendered string must equal expected; no BIC+currency fallback</t>
  </si>
  <si>
    <t>MISSING — existing BIC+currency rows are ambiguous/NULL-prone</t>
  </si>
  <si>
    <t>f9c52e70-fc4d-5031-a2fb-20777e1367e1</t>
  </si>
  <si>
    <t>0f76d720-4e0e-5197-9961-ea1a80b0fc79</t>
  </si>
  <si>
    <t>273e6cbd-111a-5870-a765-aa1c011e2e47</t>
  </si>
  <si>
    <t>16e9aca8-d037-5df5-95ba-aba126820f8f</t>
  </si>
  <si>
    <t>f0ec64a4-19a2-56d8-b88b-89fe593a6605</t>
  </si>
  <si>
    <t>9b9cda5e-5ae6-53c7-b0c1-858f476070cf</t>
  </si>
  <si>
    <t>6f7db01b-7237-5832-a8d4-a1f231ca69c8</t>
  </si>
  <si>
    <t>9555643c-37f1-5c16-9999-12db2ec75c90</t>
  </si>
  <si>
    <t>27dafbd0-aadd-58a4-b733-415631ca827e</t>
  </si>
  <si>
    <t>e4950bc4-65bd-56df-bd3f-5379f5ae1783</t>
  </si>
  <si>
    <t>917e7f89-e7cb-5de7-a1da-5995d66238b3</t>
  </si>
  <si>
    <t>60cb552c-ea23-564d-b1bf-a3d4342a367f</t>
  </si>
  <si>
    <t>c9eb5b01-e735-5b8f-8ab8-c60362c2d7af</t>
  </si>
  <si>
    <t>074b44a9-021e-576d-bc7a-35d3cf2cd434</t>
  </si>
  <si>
    <t>47a358c1-99a3-5083-b8e9-81b9ccd6363f</t>
  </si>
  <si>
    <t>f5e6f9c1-f35a-5f59-acff-8f3dd84091d8</t>
  </si>
  <si>
    <t>38d8d8a4-7954-5a08-8671-9eb3d6552885</t>
  </si>
  <si>
    <t>add37a75-c031-5661-a3a1-dcf97f1b6ce0</t>
  </si>
  <si>
    <t>92b1c2ce-d6f5-5028-8c2e-dba8991f6430</t>
  </si>
  <si>
    <t>020e5358-5252-5232-98c0-b3a09db6d2f3</t>
  </si>
  <si>
    <t>705e3c95-0e04-5a25-b8a9-1c4ff049bd66</t>
  </si>
  <si>
    <t>0d2b2524-e69f-55c3-93c9-d899e1773406</t>
  </si>
  <si>
    <t>7eaa3eb5-662b-5737-aa86-cf516f01f7be</t>
  </si>
  <si>
    <t>f3a71492-e485-5310-aa4b-968e2d4ca5eb</t>
  </si>
  <si>
    <t>f320f5c8-2e89-56e1-b817-7198757c2843</t>
  </si>
  <si>
    <t>55bf9688-3fff-51e5-a655-b54088f7d2ae</t>
  </si>
  <si>
    <t>4e96be6c-adc9-544c-9355-aa0b53e0b25c</t>
  </si>
  <si>
    <t>a156e945-173f-5448-85c3-633edf8017d3</t>
  </si>
  <si>
    <t>8747a9a8-b5bb-550e-8668-016d66ded422</t>
  </si>
  <si>
    <t>ca95bcfe-491f-5c3b-9b69-265114ba77ba</t>
  </si>
  <si>
    <t>0644e30a-f9f9-5d1b-b176-5cc356bef1a7</t>
  </si>
  <si>
    <t>cde62edd-b6fe-5aae-a999-25913eb82452</t>
  </si>
  <si>
    <t>e27db2f4-a477-5877-a009-346ed58c2673</t>
  </si>
  <si>
    <t>6bb63b09-ecbe-5f12-8c38-5d506c1be229</t>
  </si>
  <si>
    <t>bed2d12e-ba26-5015-b3ef-f3af192e3f1e</t>
  </si>
  <si>
    <t>b06930cd-c151-5fc6-bb36-4fc9d9cde085</t>
  </si>
  <si>
    <t>e6cef9b1-4cdc-59c4-b869-436fb1d31c8d</t>
  </si>
  <si>
    <t>45819c4e-68af-5bb4-98d9-b81e28d9db66</t>
  </si>
  <si>
    <t>2b6e2f95-fc59-53b6-a5fd-0ef665562d06</t>
  </si>
  <si>
    <t>e98da5f2-ec6b-5de3-bf3b-800dce522d38</t>
  </si>
  <si>
    <t>c8f21063-138c-50d1-b4b8-229ab2f75fcc</t>
  </si>
  <si>
    <t>c9b1bab7-0f56-5a20-82d9-ee58bfde306c</t>
  </si>
  <si>
    <t>460bdece-d739-55d7-9dd3-e7ab35d9ec28</t>
  </si>
  <si>
    <t>85124d13-f0b4-5bb1-9b5b-258277b2a829</t>
  </si>
  <si>
    <t>90cb7cc0-864d-52d9-83fa-c5f73e7d2a12</t>
  </si>
  <si>
    <t>1ded8421-d493-5cab-bc83-8a5e58effdec</t>
  </si>
  <si>
    <t>1005a2ab-31c9-576a-be08-2a3c9f72be16</t>
  </si>
  <si>
    <t>664d624c-29a3-53c8-8a1c-bbab0fb67c40</t>
  </si>
  <si>
    <t>2f10d399-3405-5854-baf9-042ef524890e</t>
  </si>
  <si>
    <t>a8c870d6-f3f4-5ae5-b2b1-14ebb9a560cc</t>
  </si>
  <si>
    <t>faebc1dd-9251-5304-8860-3e79b16b4dd8</t>
  </si>
  <si>
    <t>6d9e744b-a1ae-5bc7-8f3c-8ebfd608aad3</t>
  </si>
  <si>
    <t>f4717349-d936-5a24-bf17-746105e0f0e8</t>
  </si>
  <si>
    <t>db6fa851-0a97-5951-a18e-ae7e2d4425b3</t>
  </si>
  <si>
    <t>b01dec45-04bb-5974-8020-ff6e8c00c822</t>
  </si>
  <si>
    <t>71bae30c-a641-56a7-a14f-f0e1f4c1e233</t>
  </si>
  <si>
    <t>6cade616-8611-5d04-bfb5-3e7a2b436b2a</t>
  </si>
  <si>
    <t>c65a4a9f-fc0a-5f16-8867-38389149fd7c</t>
  </si>
  <si>
    <t>60b440e3-439e-5441-97e6-19847c3aa5a7</t>
  </si>
  <si>
    <t>b022a14a-d400-5bff-a365-85926efa51d2</t>
  </si>
  <si>
    <t>e34c3410-97c1-5e4d-a3bd-db70a83a1da3</t>
  </si>
  <si>
    <t>5af7075a-bdfd-5b2c-9a62-eb13850b6a25</t>
  </si>
  <si>
    <t>ea6b5f0c-3505-5b62-b50b-53c3c31951d9</t>
  </si>
  <si>
    <t>09fd6079-2486-505c-aec3-6d9dbafb3667</t>
  </si>
  <si>
    <t>d58ffce3-e022-5c3f-ab55-a229efaef777</t>
  </si>
  <si>
    <t>4f00cda6-f1ac-572d-b481-dd9c7ce25ccc</t>
  </si>
  <si>
    <t>29f003aa-a315-598a-a71e-dddcfceac473</t>
  </si>
  <si>
    <t>5495309c-1134-5ce3-b194-d035f2cf2bdd</t>
  </si>
  <si>
    <t>831fcc8d-5d9a-5611-b89e-7f3f8d3d49ce</t>
  </si>
  <si>
    <t>ea883409-8d5b-5217-b054-1b3e4fa46f8e</t>
  </si>
  <si>
    <t>63792c8c-abdd-5458-88b1-5bdee93164b7</t>
  </si>
  <si>
    <t>40336278-5e46-5bc8-9b24-fc9dca69de38</t>
  </si>
  <si>
    <t>22b9c52a-2ad7-5e73-8bac-48fdff6c9aaf</t>
  </si>
  <si>
    <t>8085b4c6-70ea-5e98-8bfb-3ed9673ad40c</t>
  </si>
  <si>
    <t>71985a68-60e0-52d8-9d7c-384df7e71964</t>
  </si>
  <si>
    <t>20acadb3-cf17-5eb9-9b0d-f1a15588ba7d</t>
  </si>
  <si>
    <t>3e9ed180-16fe-51df-9f81-c20aaec865f9</t>
  </si>
  <si>
    <t>069aeb65-81b7-58ca-a365-a1d49e9d0546</t>
  </si>
  <si>
    <t>21b41053-9b0f-5f4b-890f-c96ef6bc95ee</t>
  </si>
  <si>
    <t>05d33025-9391-5c50-bd7c-1575091ee901</t>
  </si>
  <si>
    <t>5bdafe67-1b3c-5303-b976-8e58c58dcce9</t>
  </si>
  <si>
    <t>572a5663-768a-5555-9f1d-9f95aa2a4edc</t>
  </si>
  <si>
    <t>a3152ffe-6cf5-545c-96cb-c1cac5452f82</t>
  </si>
  <si>
    <t>e0c4beec-0cc5-5121-8490-eb3a91870bea</t>
  </si>
  <si>
    <t>3133a89b-fd75-523d-a9db-38793dc21038</t>
  </si>
  <si>
    <t>a896a468-52d0-5a53-9ea9-e856d2688941</t>
  </si>
  <si>
    <t>a15891b0-c430-5585-bec9-233a079cceda</t>
  </si>
  <si>
    <t>b69d012e-0353-5ca4-ac54-f7e145d2d3a0</t>
  </si>
  <si>
    <t>a5c90eaf-0e82-5c50-ab32-defa4f39d978</t>
  </si>
  <si>
    <t>33c5a228-bf36-5f09-acaa-757531093237</t>
  </si>
  <si>
    <t>dd6a8495-ea3e-566e-927e-2aa075090956</t>
  </si>
  <si>
    <t>9e7b0e95-5c92-564a-bffd-fe939dfd7a99</t>
  </si>
  <si>
    <t>0ef18201-1980-545b-90a1-95e342973fa6</t>
  </si>
  <si>
    <t>30bb5f6f-8ec3-570d-b900-28feb7622342</t>
  </si>
  <si>
    <t>03ae06bd-aab5-56fd-be22-80f26ca29cbf</t>
  </si>
  <si>
    <t>1a84010b-3c75-54bb-8e3d-8e3b70828967</t>
  </si>
  <si>
    <t>41b3c567-cad9-503a-9f6e-aad0ffdda21f</t>
  </si>
  <si>
    <t>5c281312-96ad-57f8-b4fc-167deba11434</t>
  </si>
  <si>
    <t>8a66cba7-ab98-5121-9364-6387ecb26c97</t>
  </si>
  <si>
    <t>eef9a893-955e-56f1-8840-9c9c54ea0f17</t>
  </si>
  <si>
    <t>fd9513ee-b057-50ee-b7ec-8a2419a25b5e</t>
  </si>
  <si>
    <t>ecb61a66-ad84-5108-95d1-1f0cbca0f569</t>
  </si>
  <si>
    <t>c1bd4f0f-2c04-54f4-9613-25a2cb163f5e</t>
  </si>
  <si>
    <t>1af16026-29f4-5e04-9aa1-97e4c00e5973</t>
  </si>
  <si>
    <t>3d05591e-a553-53ad-a778-ed73610188a7</t>
  </si>
  <si>
    <t>f81e1aba-4195-5a6b-bcbf-0d526e18a9f5</t>
  </si>
  <si>
    <t>746aa0ba-d118-5e18-b32d-2d52fd140df2</t>
  </si>
  <si>
    <t>a60ee13b-e0da-57a3-9172-2b2c3ada0cda</t>
  </si>
  <si>
    <t>bb0268dc-5b74-5059-87b4-4e5cc0bb3f22</t>
  </si>
  <si>
    <t>9be7d6b3-e1db-59fc-8e0c-ad8fb5754327</t>
  </si>
  <si>
    <t>1a02098f-f157-5b52-b4f9-155d1744f51d</t>
  </si>
  <si>
    <t>dd5fbd17-5e8d-5845-b1b2-15d530167f8d</t>
  </si>
  <si>
    <t>bdded572-59b8-535b-b147-832c8189d50a</t>
  </si>
  <si>
    <t>0de87ec3-b613-5f81-829f-0c0d7e78b2e0</t>
  </si>
  <si>
    <t>6e772472-966e-5f05-a5e7-fa6f27350ee7</t>
  </si>
  <si>
    <t>ee2ebcc1-871c-5d8e-be3d-654254585e35</t>
  </si>
  <si>
    <t>b77f2b6e-4b92-5901-8876-7943d1ce7de8</t>
  </si>
  <si>
    <t>39972689-8f9d-5654-b521-768228270877</t>
  </si>
  <si>
    <t>RMA ID</t>
  </si>
  <si>
    <t>Own service</t>
  </si>
  <si>
    <t>Counterparty service</t>
  </si>
  <si>
    <t>e4f37e2f-3505-52ce-8eb1-83d5355b45b7</t>
  </si>
  <si>
    <t>OUTBOUND</t>
  </si>
  <si>
    <t>ACTIVE for positive / deliberate denial for negative</t>
  </si>
  <si>
    <t>MISSING or not case-bound; known message gaps listed in Data Gaps</t>
  </si>
  <si>
    <t>aaf0ecab-86a7-5e23-b36b-40c2ced5758f</t>
  </si>
  <si>
    <t>f18101a0-8113-5d4a-b376-34320dfe3b8f</t>
  </si>
  <si>
    <t>839668f7-59da-5587-b086-b7535c547661</t>
  </si>
  <si>
    <t>1e6b784b-5c5d-588e-ab51-86e0d950fbd7</t>
  </si>
  <si>
    <t>e9a8e99f-6512-5ca4-a3b0-19303aa5d0a6</t>
  </si>
  <si>
    <t>54fa488d-259a-5ec7-aa28-e1a64fc5b312</t>
  </si>
  <si>
    <t>f53a0faa-6c24-5c45-9618-435855ffda4a</t>
  </si>
  <si>
    <t>71a776c1-3207-5d0e-84e7-3d636b92e4d3</t>
  </si>
  <si>
    <t>292c77a8-b766-5eb7-921b-6c95b9985ef8</t>
  </si>
  <si>
    <t>160986a9-7b51-5d68-a6a0-b60a0abafcd1</t>
  </si>
  <si>
    <t>46af2d8e-b559-5d3f-81cf-8ad6a9b7b18e</t>
  </si>
  <si>
    <t>4460a08a-8c25-5d48-b6f0-c27ad4211838</t>
  </si>
  <si>
    <t>fdf713c4-24c3-5273-9994-52bfd19151a3</t>
  </si>
  <si>
    <t>92bd6555-d475-53d4-a7e1-141fd757de15</t>
  </si>
  <si>
    <t>1f817efe-d6ea-510c-bff3-2cca6885523e</t>
  </si>
  <si>
    <t>9f556f55-faea-5d7b-b407-e1cb71b703a4</t>
  </si>
  <si>
    <t>7698d9bc-b437-5719-8d20-44f1be489896</t>
  </si>
  <si>
    <t>21bd9b0c-e821-5637-a0b8-85f8d94b3fdb</t>
  </si>
  <si>
    <t>4269d1b8-6840-5324-b239-24a66106e467</t>
  </si>
  <si>
    <t>9657060a-8f03-52f8-96d3-aad928e02b15</t>
  </si>
  <si>
    <t>e349938d-a3b4-5d0b-ad82-713e7b097bd8</t>
  </si>
  <si>
    <t>ed8afdf6-9cc9-5834-89bd-0d5e9a5e6c3a</t>
  </si>
  <si>
    <t>7cfdc670-a795-5fbe-b8f6-ee2c91caebe9</t>
  </si>
  <si>
    <t>21039ad1-b8b1-5a39-abeb-52af7a02d093</t>
  </si>
  <si>
    <t>076f8cd1-6cc7-53a3-ba1a-33fdb7468497</t>
  </si>
  <si>
    <t>0e2ad45b-4d86-5e30-8853-27b0287d1b17</t>
  </si>
  <si>
    <t>a8629815-c7fb-51dd-bece-ba9e12e7be3f</t>
  </si>
  <si>
    <t>5446d9ce-514b-5838-b9dc-8494999591d7</t>
  </si>
  <si>
    <t>4d69d0f3-998b-53be-a8af-21cefeccad3c</t>
  </si>
  <si>
    <t>de9b8d6c-0b61-5c3b-851f-cea05341fa97</t>
  </si>
  <si>
    <t>83ebd616-d077-5153-8029-9e6c66c65bf6</t>
  </si>
  <si>
    <t>171dec41-c03e-5559-9e19-6020a057b7f6</t>
  </si>
  <si>
    <t>e109752b-07f3-56fd-aa6a-11d34b18738b</t>
  </si>
  <si>
    <t>1d3e3dc6-29fc-5262-ba7a-60ee549a5591</t>
  </si>
  <si>
    <t>64b8f542-a589-5240-ad00-0a11103517c0</t>
  </si>
  <si>
    <t>d5ea1e52-f0ce-5f90-8d21-e0dbe3c1a9a6</t>
  </si>
  <si>
    <t>604eea09-8117-5c11-9bb0-f2862a71ecfa</t>
  </si>
  <si>
    <t>12b80e3b-ab95-5960-8af7-4240b220143f</t>
  </si>
  <si>
    <t>23c4d4a6-14b9-50be-b8b8-53008d4859c1</t>
  </si>
  <si>
    <t>495e5bed-b856-5fa2-b3d5-60714e25a5c6</t>
  </si>
  <si>
    <t>cc926cc7-bc5e-557b-9195-66bc521ab867</t>
  </si>
  <si>
    <t>671153c8-db53-5531-893d-2d5f44e736f5</t>
  </si>
  <si>
    <t>04951198-416f-5487-be69-ad83318f4464</t>
  </si>
  <si>
    <t>f3cab0cd-7386-5795-9ea0-c7c15c8ca188</t>
  </si>
  <si>
    <t>1a6712b3-f265-5ea9-b2e3-e4e5b541dac0</t>
  </si>
  <si>
    <t>cfe9db65-a63a-57e2-b919-f096eb4e9fb4</t>
  </si>
  <si>
    <t>d367207d-c2aa-5771-b7cb-e6f8c10028e8</t>
  </si>
  <si>
    <t>d9cd2545-4b93-55ae-b327-6cbdb0d9be2c</t>
  </si>
  <si>
    <t>e4489672-aa92-5cf4-9d19-114f5c63b1b1</t>
  </si>
  <si>
    <t>1ab8919a-4ec6-5d21-b766-a196fe5daaa0</t>
  </si>
  <si>
    <t>9141a619-2d98-5b57-8f5c-3087131328a1</t>
  </si>
  <si>
    <t>85fd27c9-a08f-5ff8-931c-c510c7bd16bb</t>
  </si>
  <si>
    <t>cf9172e7-0bc0-5ba7-afa1-39e0a8645200</t>
  </si>
  <si>
    <t>38884e91-624c-5c57-912e-86a49ca54f19</t>
  </si>
  <si>
    <t>ecbf5dd8-6e3b-5405-be49-400a4dc0159a</t>
  </si>
  <si>
    <t>6a3926d5-c3d8-5883-bd33-388eb01452d7</t>
  </si>
  <si>
    <t>125dd8e9-c3d8-5450-bc28-c5ceadc1d561</t>
  </si>
  <si>
    <t>0241a52c-0f79-5549-8fa4-64a3b38fbb99</t>
  </si>
  <si>
    <t>327d6740-264b-5022-a9f6-dcab800936a6</t>
  </si>
  <si>
    <t>8a8f54d2-7a38-514f-8ecd-fe3a18ed4bf9</t>
  </si>
  <si>
    <t>8a063d90-6d7b-57c2-bb5c-db3ed73e299f</t>
  </si>
  <si>
    <t>b05aea0c-cc96-5cdf-b8e6-d28d916cd5af</t>
  </si>
  <si>
    <t>1f5d3c14-0a8a-54d8-82c2-49eb827ed20b</t>
  </si>
  <si>
    <t>e146ac77-71d2-5ba4-8d1c-aaf86e3d96f3</t>
  </si>
  <si>
    <t>7ef3b9e0-b33c-5f1d-b4f8-c494dea0b9df</t>
  </si>
  <si>
    <t>9b25a709-e61f-536d-97d1-cf49165a1d97</t>
  </si>
  <si>
    <t>6a4705c1-aeff-5cdd-b508-7ff9ac14d077</t>
  </si>
  <si>
    <t>248d54a0-fbff-544c-84e1-07564766a80a</t>
  </si>
  <si>
    <t>6cd24060-2e12-590b-8ae0-8a7e2c97bfd2</t>
  </si>
  <si>
    <t>621f5141-8dae-59c5-b2ee-92c86f33448c</t>
  </si>
  <si>
    <t>a8c9c33b-6487-5090-be03-74b685f15889</t>
  </si>
  <si>
    <t>f47b5872-df19-5875-95c5-c47f91536b25</t>
  </si>
  <si>
    <t>f231980b-279c-5a9e-80c5-2f2a2123d483</t>
  </si>
  <si>
    <t>e684a85b-21ae-50b4-97f4-a439b3eb3d67</t>
  </si>
  <si>
    <t>dd2a9260-a589-5959-b45e-677c5b09f880</t>
  </si>
  <si>
    <t>3fe5d413-01f4-5cca-9a7b-1ccd0ff0dd77</t>
  </si>
  <si>
    <t>c2dc8378-9701-5345-a24a-d661aa42c69f</t>
  </si>
  <si>
    <t>2399ef10-8788-595a-a05c-02c11fad5618</t>
  </si>
  <si>
    <t>c5870a5f-6486-5562-b196-a20959d79377</t>
  </si>
  <si>
    <t>6aaf84bf-4633-5ae1-b0c4-b8ab8ea81144</t>
  </si>
  <si>
    <t>b445bbe4-3609-51be-bbab-c20acc47ed93</t>
  </si>
  <si>
    <t>aa843238-24ea-5e41-9223-4cd8792a4427</t>
  </si>
  <si>
    <t>855208ce-0101-5106-b16f-13bc66975d88</t>
  </si>
  <si>
    <t>28a44d42-6ddd-5a1a-8ea5-478e60519015</t>
  </si>
  <si>
    <t>3c093f27-2eae-52d7-a0c7-3ec7c7666a9d</t>
  </si>
  <si>
    <t>0dd23667-2815-5e16-9c77-be4c24532e5f</t>
  </si>
  <si>
    <t>4c3c7f18-f9fb-5593-9419-0af393167fd1</t>
  </si>
  <si>
    <t>de532f93-2c95-5713-b44b-755f76c9e59e</t>
  </si>
  <si>
    <t>5975e807-c45c-5aef-904f-a7dd78d382fb</t>
  </si>
  <si>
    <t>b68789d4-6dae-55d6-bf18-586c4df600ad</t>
  </si>
  <si>
    <t>f4b2e32f-2208-5bec-bd06-ffa50248e991</t>
  </si>
  <si>
    <t>3046e979-5149-5049-9838-faa0a8df07d5</t>
  </si>
  <si>
    <t>d62dabd4-c1ce-57b1-be03-204b2fbf9928</t>
  </si>
  <si>
    <t>b1b91624-4d03-526c-828e-1e1b0a84c9b9</t>
  </si>
  <si>
    <t>39dd8f48-e73f-5933-bd29-e7513672fbb0</t>
  </si>
  <si>
    <t>464e58a8-7a0d-5edc-adcc-9d642fcb3ae9</t>
  </si>
  <si>
    <t>6d9df27d-9ff0-58aa-a76f-4de3714d92b0</t>
  </si>
  <si>
    <t>d775734e-4d98-55f9-b075-a36822e5c5f4</t>
  </si>
  <si>
    <t>6d68ef14-bc69-5e4f-bdff-076891918efc</t>
  </si>
  <si>
    <t>cc61fa74-eaad-5f79-9bdf-33411d027d11</t>
  </si>
  <si>
    <t>726cd1a4-19f5-5dc5-be55-6d5c08e4dead</t>
  </si>
  <si>
    <t>69be6716-93e8-50af-a3ce-964aa460660e</t>
  </si>
  <si>
    <t>488ee514-bac2-5b62-933b-bd42fe87deeb</t>
  </si>
  <si>
    <t>3f7ca4f2-dff5-5b58-881b-c449469f1e94</t>
  </si>
  <si>
    <t>b464d2cc-53f1-5ec1-b6d6-9d10f3a1fa9b</t>
  </si>
  <si>
    <t>d4fb806f-206c-5f40-8f17-ef95152c7852</t>
  </si>
  <si>
    <t>e35fca75-5311-5149-9748-13777e886119</t>
  </si>
  <si>
    <t>c197e292-3d30-5660-b4b4-f98e72e3a2b8</t>
  </si>
  <si>
    <t>1daad492-36ef-52c5-92b5-b06afd54f255</t>
  </si>
  <si>
    <t>fb96c820-dcf6-57fa-b41e-a00c5f92533b</t>
  </si>
  <si>
    <t>be6763a1-c592-5b4e-b13a-82770239b1c9</t>
  </si>
  <si>
    <t>78484337-8f70-580e-90ee-c2ebaa1eaedb</t>
  </si>
  <si>
    <t>e332d30a-c18d-5051-a73f-6bbd9a4c911e</t>
  </si>
  <si>
    <t>55af78b8-dec3-5a0f-b0f1-bd4e63cfe217</t>
  </si>
  <si>
    <t>8ba63bea-f105-5d4f-9cae-677ecd36e914</t>
  </si>
  <si>
    <t>9b42f0ac-193e-56c0-bdb6-7e903263ffbb</t>
  </si>
  <si>
    <t>cb2b7af5-7bdf-5f00-8665-6cf01e811c6c</t>
  </si>
  <si>
    <t>191b9f78-5e58-5587-acfc-3b782a32e44a</t>
  </si>
  <si>
    <t>04d002fb-95ae-527d-b96c-417e0de93ba0</t>
  </si>
  <si>
    <t>5c7ab35b-f0bd-5d08-aa84-fdbc5b34240c</t>
  </si>
  <si>
    <t>8b0575c4-b5cc-5cfb-969d-d1de4053cea1</t>
  </si>
  <si>
    <t>f2ea0a2b-dbef-5076-817e-f139aa5ab14e</t>
  </si>
  <si>
    <t>45918da6-8cef-548a-8624-3e855e09dfa4</t>
  </si>
  <si>
    <t>c3de88b5-69f2-59d7-bb5e-95169b96493e</t>
  </si>
  <si>
    <t>e4f85c98-d6e0-5922-b1db-e8d654a6e1c4</t>
  </si>
  <si>
    <t>6a14fb70-4bd0-5ff4-8399-1af0f5fc8d9a</t>
  </si>
  <si>
    <t>d361b3b8-97fc-56b1-9864-e8ba7e0039a0</t>
  </si>
  <si>
    <t>3c59a908-b16c-5a6a-861f-ccb17ff4b3a2</t>
  </si>
  <si>
    <t>74bb2b3c-869f-5fd5-a09e-ea50b48cc39a</t>
  </si>
  <si>
    <t>a644bfdb-e975-5bf5-b79f-f367392e7f6f</t>
  </si>
  <si>
    <t>8e38bd02-4dde-5292-8c21-78ee77803732</t>
  </si>
  <si>
    <t>222896cd-c737-5670-8139-79fea34a34ce</t>
  </si>
  <si>
    <t>735a31b3-0424-5946-b4ec-2cc60af08bcf</t>
  </si>
  <si>
    <t>fc79ef38-9462-5309-abf6-14a6be5983a5</t>
  </si>
  <si>
    <t>76bf95ba-27bf-5074-a508-193417bb7afd</t>
  </si>
  <si>
    <t>9154d20e-78c8-52a0-a0df-b5d4c03a4749</t>
  </si>
  <si>
    <t>a7a8640a-1ba4-5782-96dd-2dee5976521a</t>
  </si>
  <si>
    <t>53019458-66fa-52f2-8c6d-40e3b905d912</t>
  </si>
  <si>
    <t>234a2027-8455-5864-ad00-0d4165beb516</t>
  </si>
  <si>
    <t>a7c8f27a-f38d-517e-95fe-deb1d3dbf080</t>
  </si>
  <si>
    <t>caa62bcb-f5e3-5a13-acd8-51dcb4b9d4dc</t>
  </si>
  <si>
    <t>84b4fe0a-1e75-5794-9607-39a16f4a91a5</t>
  </si>
  <si>
    <t>8839e401-7871-5464-be0e-2ae1e7e4e35b</t>
  </si>
  <si>
    <t>17d13662-0f8d-5e25-9477-8327bc553026</t>
  </si>
  <si>
    <t>40024ac2-783f-552b-8f32-8d5f55a4d87e</t>
  </si>
  <si>
    <t>c7bafab2-cfca-54c7-a493-ad508cfbcd14</t>
  </si>
  <si>
    <t>20626e2b-fdec-5396-b134-edd7d8d7052f</t>
  </si>
  <si>
    <t>70b2751b-f4be-5c43-b1fb-da17791d8d28</t>
  </si>
  <si>
    <t>e5824275-c49a-5cbb-8ef1-d206ba568c11</t>
  </si>
  <si>
    <t>64808d5c-8d5a-5c57-b6cc-12f1a61f9fa3</t>
  </si>
  <si>
    <t>609a7f50-d0f1-528e-ade3-3d6cfdb54538</t>
  </si>
  <si>
    <t>281e09b2-57a5-5f31-bd10-545f0035087d</t>
  </si>
  <si>
    <t>9a5b01b3-1b7f-518e-9991-48c98acc0904</t>
  </si>
  <si>
    <t>628bffba-ed06-50a8-9f27-e89f89f2508b</t>
  </si>
  <si>
    <t>0ca70397-3839-5341-8ef7-bfbc782bf94c</t>
  </si>
  <si>
    <t>094741bd-b758-5feb-ad5f-bfc7f393f7c1</t>
  </si>
  <si>
    <t>611697f2-83f2-5075-9a6d-ea1b2831cf78</t>
  </si>
  <si>
    <t>89aa8c5d-2679-5582-9ee7-d017bbce6df2</t>
  </si>
  <si>
    <t>2a99443a-be6e-5d23-bf42-c19f079501c1</t>
  </si>
  <si>
    <t>61a16c70-2597-588a-a46a-c6a6f4e8e7c4</t>
  </si>
  <si>
    <t>e0af457d-f6e1-561e-89a8-8c234757f322</t>
  </si>
  <si>
    <t>42d4a43a-c6ea-5a0b-b6e7-6711590d024d</t>
  </si>
  <si>
    <t>06117434-5210-587b-abbb-d9324a9b608d</t>
  </si>
  <si>
    <t>fc438606-6b0a-5674-a145-5c871a949948</t>
  </si>
  <si>
    <t>2766b2bf-6047-5522-bcc7-0ff39c30673a</t>
  </si>
  <si>
    <t>1035b54d-1b2c-56de-9448-c5d0ca67d62e</t>
  </si>
  <si>
    <t>ad31c1bc-9025-50ff-a3ca-7374b13dfcc4</t>
  </si>
  <si>
    <t>c0e0887d-03fa-5282-9266-216c8fb94261</t>
  </si>
  <si>
    <t>ffe57734-c395-5bf4-8c44-551ed5674922</t>
  </si>
  <si>
    <t>72698a22-d648-5d16-95f9-e1e9bc4c8570</t>
  </si>
  <si>
    <t>41ddce99-371a-5c85-9abf-eb1c1344a3b2</t>
  </si>
  <si>
    <t>e250b68d-8fdf-5d34-a1c6-3e0c93d789b1</t>
  </si>
  <si>
    <t>a715680e-fa83-577a-9c50-be244b5e1f4f</t>
  </si>
  <si>
    <t>fc5a8985-1454-5922-9dbb-54a0a0ffe886</t>
  </si>
  <si>
    <t>9186934e-eccd-57e8-add9-abae9b9527ee</t>
  </si>
  <si>
    <t>ce242e0b-27a7-5848-9eb4-92a506b072a4</t>
  </si>
  <si>
    <t>a1555635-2f7a-551b-a30f-23314e973033</t>
  </si>
  <si>
    <t>da22bc8f-f3a3-5a56-8ce6-b5e4afd7e22a</t>
  </si>
  <si>
    <t>868ce878-74e3-5cfb-8da3-c7d5af5572aa</t>
  </si>
  <si>
    <t>511facc8-bcdb-5650-906c-c0ce47041d98</t>
  </si>
  <si>
    <t>932e96f3-7a85-50a4-a59f-30da1f043d26</t>
  </si>
  <si>
    <t>09013f68-925a-5fb9-adf6-18363830881c</t>
  </si>
  <si>
    <t>f8e67136-2ec3-5e81-9d09-703a205cfc05</t>
  </si>
  <si>
    <t>024e5b56-4092-545b-8f0a-bf0b50caa46c</t>
  </si>
  <si>
    <t>1689d115-40a0-5fb9-b933-c3b5d2af246d</t>
  </si>
  <si>
    <t>7eaa9e96-5060-57fa-a53e-0684e9fd8765</t>
  </si>
  <si>
    <t>fbd74cfd-eece-5432-9650-d1ad525f4ed7</t>
  </si>
  <si>
    <t>c35875a7-61a2-5437-a83a-50093e7b05a3</t>
  </si>
  <si>
    <t>589a0f73-afea-53ee-a28e-7be5093d5a63</t>
  </si>
  <si>
    <t>88ec182e-a2d6-56b6-915b-079dc06ffc83</t>
  </si>
  <si>
    <t>15174de6-2983-5523-a79b-e375c89efb60</t>
  </si>
  <si>
    <t>9a20c42d-b697-5dd9-8fbc-a7adc5ab621e</t>
  </si>
  <si>
    <t>da836be8-6259-54f7-8344-4ffab69320ed</t>
  </si>
  <si>
    <t>d33e9cfe-544e-56e1-88e8-b1760d698e56</t>
  </si>
  <si>
    <t>cf881642-f718-5dd9-9621-b466e18d10de</t>
  </si>
  <si>
    <t>d0d5a09d-3fcd-5326-8412-4fe1cea8caee</t>
  </si>
  <si>
    <t>10124746-f7f3-5e5e-8823-f1fe43ff0de8</t>
  </si>
  <si>
    <t>952e40ad-f988-5e07-a487-d8c5294e55ca</t>
  </si>
  <si>
    <t>ef8dd98b-8e54-569f-9661-53785bc55534</t>
  </si>
  <si>
    <t>41aacca9-b856-5c90-9227-dc67ef8228ef</t>
  </si>
  <si>
    <t>954a3787-bad6-532e-a572-15f20aba0ca4</t>
  </si>
  <si>
    <t>10c16a81-22ff-5de0-89fd-1b3f1a59531b</t>
  </si>
  <si>
    <t>bc6740ab-77b6-57b0-a715-282024dc7cb3</t>
  </si>
  <si>
    <t>d9a4fc70-72b6-5319-b715-0db306ad9cd5</t>
  </si>
  <si>
    <t>a71f35f7-047c-5dbc-ae99-50a5b1a1cb32</t>
  </si>
  <si>
    <t>e7d84d84-9e64-5f61-8c6f-d15f69fa42b6</t>
  </si>
  <si>
    <t>ba02c793-4326-509a-83a7-cf4618c06a9a</t>
  </si>
  <si>
    <t>92764d2b-c23f-5a37-96ff-5c8b8db08960</t>
  </si>
  <si>
    <t>98c32541-34e8-52bd-a23b-395ea983af82</t>
  </si>
  <si>
    <t>0aa47d8f-9484-53e2-b2ad-dc16aabdc616</t>
  </si>
  <si>
    <t>e7aaed04-069d-553b-a014-e7eca6d16af4</t>
  </si>
  <si>
    <t>905b9547-eeac-588e-a5b5-a6a8650ef958</t>
  </si>
  <si>
    <t>69c21833-2cca-5c89-b296-226a6e02ff16</t>
  </si>
  <si>
    <t>bf68473f-3d3c-5b82-adca-77f3141eeaaa</t>
  </si>
  <si>
    <t>4fed0c2d-8301-526a-97b1-7e78033953ce</t>
  </si>
  <si>
    <t>5a80654b-b96f-5a3d-a4cf-ef6c81ce0c66</t>
  </si>
  <si>
    <t>b6d59397-5b52-5daa-a598-9dd4c543c822</t>
  </si>
  <si>
    <t>bfe6c34d-2499-5291-ad08-d6a848977c53</t>
  </si>
  <si>
    <t>a33a5d7a-ba17-5e95-af8c-53e3279049f9</t>
  </si>
  <si>
    <t>3a986eda-3551-5f59-aea4-b6b94b038c15</t>
  </si>
  <si>
    <t>513b2a16-5f54-5d46-a1ed-fff95b8ced76</t>
  </si>
  <si>
    <t>61eafcec-38b5-5070-9ed0-68078e28a85e</t>
  </si>
  <si>
    <t>4774f782-2514-5d22-950b-ba46b4db2cb6</t>
  </si>
  <si>
    <t>74e601d2-0d3e-577e-8e95-b07c8a25184d</t>
  </si>
  <si>
    <t>677adf33-4834-56bf-ba67-52c2c35e08d0</t>
  </si>
  <si>
    <t>1dee7346-47d5-5bd2-8438-27240ef9dffc</t>
  </si>
  <si>
    <t>6aa926be-5c24-57e9-bb10-8073d43082b3</t>
  </si>
  <si>
    <t>27e5901f-496c-5b28-8906-171725e08fb1</t>
  </si>
  <si>
    <t>7a8ee4c8-f92e-5353-a111-de2b09b3614f</t>
  </si>
  <si>
    <t>f44e7172-8445-5556-a7b1-0dbc2b80f8c3</t>
  </si>
  <si>
    <t>67b51db6-0606-54a1-82dc-4a2253582fd9</t>
  </si>
  <si>
    <t>10c905e1-1dee-5d1d-a68c-6fd10d769bb2</t>
  </si>
  <si>
    <t>3be70bd6-f6d1-5748-8241-3a6ec1e918a2</t>
  </si>
  <si>
    <t>1d5a75b7-9ade-596b-935e-16027ef708c1</t>
  </si>
  <si>
    <t>4086c6bb-d34e-583d-8383-2dc5eaff89b5</t>
  </si>
  <si>
    <t>a3e3b5d5-d859-5270-be5a-c5bc4b525151</t>
  </si>
  <si>
    <t>4e7a862e-d765-5426-8ff1-c6a8858a4845</t>
  </si>
  <si>
    <t>34caa4c3-f5e0-5ce9-9961-616b446dd834</t>
  </si>
  <si>
    <t>b2474bbe-47e8-5e53-b0d4-79e269373aad</t>
  </si>
  <si>
    <t>4c524062-5e9a-5f62-a1a9-118d38e56b9b</t>
  </si>
  <si>
    <t>bbbf489b-f78f-5020-8e6b-9a384172a3f9</t>
  </si>
  <si>
    <t>88e7f7b1-a2b5-5547-bd1c-49efd5844fe0</t>
  </si>
  <si>
    <t>4924fe26-75ae-5d3b-b48d-2a82a40690eb</t>
  </si>
  <si>
    <t>497ff345-7bb6-5e96-ba4c-037b9dfec939</t>
  </si>
  <si>
    <t>c89be6c6-2c57-5b7b-a765-561c0437e8e9</t>
  </si>
  <si>
    <t>91db5707-e516-5530-9620-a485514966d9</t>
  </si>
  <si>
    <t>9d7d9896-a10f-5aca-b9d7-5d14a3bb819e</t>
  </si>
  <si>
    <t>74054e7a-0457-5ea1-9d67-368a99c391d7</t>
  </si>
  <si>
    <t>8c92ccab-3764-58a9-9945-717df83df63e</t>
  </si>
  <si>
    <t>e681734d-2c33-5a8d-b94c-1077bd388847</t>
  </si>
  <si>
    <t>f3492512-ffd9-5419-a797-1cf8bc1b7ad8</t>
  </si>
  <si>
    <t>25511c3b-3d1f-507a-af24-4e86964cd658</t>
  </si>
  <si>
    <t>4c9b527c-2efa-5030-bc9f-ce6c0302f4d5</t>
  </si>
  <si>
    <t>f1982add-c3ab-5a19-a3d7-32ba90f0755b</t>
  </si>
  <si>
    <t>51fedda7-b144-5cd7-b981-155eb0507f98</t>
  </si>
  <si>
    <t>41199439-e8c1-5d6a-86f7-4187e165689d</t>
  </si>
  <si>
    <t>71139eb6-53d7-5736-bb8d-2fa77487be2c</t>
  </si>
  <si>
    <t>47692b3d-8a65-5a43-8dcf-f1c2b2bbf39e</t>
  </si>
  <si>
    <t>010544e4-bee5-54a8-8594-c5b2175659f6</t>
  </si>
  <si>
    <t>56f9dbda-beb0-5d75-9d62-51c154207c7d</t>
  </si>
  <si>
    <t>c38e2a6e-6944-59ba-a4c5-418a82dd4754</t>
  </si>
  <si>
    <t>ed9d9090-89eb-574c-bea3-beab47cb2d17</t>
  </si>
  <si>
    <t>f0b875ba-e6dc-5c84-8eb3-64e0f63027e5</t>
  </si>
  <si>
    <t>49fe5d57-095e-5fc6-a6c9-7e804247c203</t>
  </si>
  <si>
    <t>ec7f53a6-9b25-5b9b-9bb6-b49eec61a5e1</t>
  </si>
  <si>
    <t>114dc91f-8f29-51d0-9415-1fe265bc16c0</t>
  </si>
  <si>
    <t>57aea603-357a-5832-a189-a0d40b9b4a1f</t>
  </si>
  <si>
    <t>09412e18-e40b-5e67-b3e6-f10e63e61699</t>
  </si>
  <si>
    <t>0509972d-7912-5306-9c5c-231d63a706b2</t>
  </si>
  <si>
    <t>eded4775-760a-575c-9a43-12d3a9fc3bc8</t>
  </si>
  <si>
    <t>cdec06b5-a46d-51b9-86bb-52c030804a8a</t>
  </si>
  <si>
    <t>e1f65eb9-081a-54d2-948b-65b48fed64a6</t>
  </si>
  <si>
    <t>b49a07fc-9355-56bf-89a8-5121ad03ae0b</t>
  </si>
  <si>
    <t>6a4ad73e-72e2-554a-9279-4e1cf1fd32a4</t>
  </si>
  <si>
    <t>8c581e2a-0456-53d1-b0f9-88ed85bdc5eb</t>
  </si>
  <si>
    <t>39446059-4b8a-5ed9-aed7-3f9738359f30</t>
  </si>
  <si>
    <t>a449de3b-b3a2-5a26-acf1-c74a5b4454f9</t>
  </si>
  <si>
    <t>27f941a6-c5c0-5703-82e6-ae2de6294100</t>
  </si>
  <si>
    <t>270f13b2-e042-55c8-a2e4-f44beceeeafd</t>
  </si>
  <si>
    <t>c29b8add-4c18-5baf-99bc-bccf1696ec5b</t>
  </si>
  <si>
    <t>708feb89-bd6e-576b-a231-946e5bd272a9</t>
  </si>
  <si>
    <t>14d5a63a-1307-591b-9ea3-4889da646ccd</t>
  </si>
  <si>
    <t>8f7fb5d6-44ee-5893-aaea-6d165d99f7d7</t>
  </si>
  <si>
    <t>dcd4767d-88e6-538e-a29b-8ede58ab48e2</t>
  </si>
  <si>
    <t>f64a274e-0715-5468-a9b8-daf8ba2d6bfa</t>
  </si>
  <si>
    <t>b2555149-921d-5007-80a4-912f2b5cc158</t>
  </si>
  <si>
    <t>19761003-f244-5fb9-89c7-506cc335ac37</t>
  </si>
  <si>
    <t>13d800c3-19a9-5ea9-9c41-649aff05a031</t>
  </si>
  <si>
    <t>55d1cb9e-08ae-51d1-951b-933bfe3ce1ed</t>
  </si>
  <si>
    <t>426c3de9-c3ea-5979-bc2d-7b7365a0732c</t>
  </si>
  <si>
    <t>8f0174c1-0c72-53b0-a5bb-51fa9f9e5b1f</t>
  </si>
  <si>
    <t>b247590d-1dfd-5ad2-907f-e71580f7e864</t>
  </si>
  <si>
    <t>4964bda7-596e-5024-b5bb-0daf7ead8ab8</t>
  </si>
  <si>
    <t>beae438c-e381-50ec-b08b-dbf7866fd6d2</t>
  </si>
  <si>
    <t>cc41c92f-8fcc-58f6-8dc4-b82d8acc8570</t>
  </si>
  <si>
    <t>990dbb92-5664-5215-b2de-fd5a3b16466e</t>
  </si>
  <si>
    <t>a33da442-5afc-5dee-8348-968a49cd7216</t>
  </si>
  <si>
    <t>91563b8f-77bf-5d56-a2dd-afdee8955914</t>
  </si>
  <si>
    <t>4461785b-1a42-5744-a681-f4ccf3ffc533</t>
  </si>
  <si>
    <t>67c1fdc3-6b03-5f00-9533-99e617b48f85</t>
  </si>
  <si>
    <t>5f48468b-0333-5389-825f-e92de66312e9</t>
  </si>
  <si>
    <t>e642ebf5-0c1f-514d-84e0-b296d3720b1e</t>
  </si>
  <si>
    <t>2e2cd13c-825a-5bc2-af29-1b5b1e63389c</t>
  </si>
  <si>
    <t>fc72a74c-62eb-5c2a-b737-545a131d14b4</t>
  </si>
  <si>
    <t>fc4ae74f-6f8d-5b07-9fd3-8093c75b7a05</t>
  </si>
  <si>
    <t>cdd1b135-685e-5f6a-861b-926a2b827619</t>
  </si>
  <si>
    <t>84371828-e917-5eff-9716-83ea1ba791f7</t>
  </si>
  <si>
    <t>bfd05bf1-9d40-5e8e-9868-13d3975e1725</t>
  </si>
  <si>
    <t>e9b3e312-a3c3-5c25-85c7-5dd3d65470c6</t>
  </si>
  <si>
    <t>ad8838f3-5ca8-5ba6-9d93-bc383f526870</t>
  </si>
  <si>
    <t>29c7d789-a5d4-583e-831f-41fa0a75d1be</t>
  </si>
  <si>
    <t>863cba34-401d-5d15-b4c3-5fae8658fe41</t>
  </si>
  <si>
    <t>177f10d8-8e5b-539e-912b-e8658e66c09f</t>
  </si>
  <si>
    <t>f27a31d0-e18b-5565-a054-22e5d18cd351</t>
  </si>
  <si>
    <t>226b2c58-2310-59d4-a2e2-c646a0f979d7</t>
  </si>
  <si>
    <t>53ca1645-74ac-5a8c-a10f-52fcf84ea4af</t>
  </si>
  <si>
    <t>9af16380-ee2a-589a-b8b9-9325cad1ed3b</t>
  </si>
  <si>
    <t>2b80af7a-2c39-5ea9-94d1-672b6a77bafd</t>
  </si>
  <si>
    <t>4ebe5426-0e41-51f0-9d28-d2df1baae0d9</t>
  </si>
  <si>
    <t>45103bde-d279-56e8-a1f7-bb4a124961f3</t>
  </si>
  <si>
    <t>890f6d5f-e1d2-5977-b80c-f6135cc2da5f</t>
  </si>
  <si>
    <t>fe2b6016-78a8-5f00-93f5-911fcbbc8300</t>
  </si>
  <si>
    <t>d000495d-8487-5d99-a559-ebd3dcbf67ac</t>
  </si>
  <si>
    <t>82f3a93b-ad7a-5249-aa56-dcbcc4d29c49</t>
  </si>
  <si>
    <t>836f2c2d-410e-5c14-9b01-a4187bb40981</t>
  </si>
  <si>
    <t>7eeb3a28-0369-5f57-85f9-5ad58813d066</t>
  </si>
  <si>
    <t>0de1f3b5-b069-51d4-aba4-260de35bddc2</t>
  </si>
  <si>
    <t>6efde549-97ee-5ed2-aa35-253756c997fe</t>
  </si>
  <si>
    <t>9919428c-e1a5-577a-95dc-4dcb7eb199d9</t>
  </si>
  <si>
    <t>3c027363-d989-5708-8b06-afe72ddd7fff</t>
  </si>
  <si>
    <t>731de042-c0f2-5c62-b7a9-b320a5fadc8f</t>
  </si>
  <si>
    <t>cbed0059-7026-5e98-bab2-a5df270ca6af</t>
  </si>
  <si>
    <t>f8619fef-229a-5248-9c34-75252744a8f5</t>
  </si>
  <si>
    <t>83c4842b-bf84-511b-ba65-1d42ff625488</t>
  </si>
  <si>
    <t>92c8022f-112b-59f6-af57-776801410b12</t>
  </si>
  <si>
    <t>3116f054-75d7-5ce6-a0a4-f6be0bcd02e7</t>
  </si>
  <si>
    <t>23bf2e12-93ca-5ae3-86b2-28d253fd7236</t>
  </si>
  <si>
    <t>23e2ca87-d97d-5649-bd2a-010e0647e27a</t>
  </si>
  <si>
    <t>a1557c46-b901-5fbf-bacb-f5c85ebc506e</t>
  </si>
  <si>
    <t>d75ee40d-72b3-5fb4-9bd3-00e07382b195</t>
  </si>
  <si>
    <t>9ad0b3ed-2fdb-553f-bcd9-dac289469713</t>
  </si>
  <si>
    <t>7ac45870-b717-5fea-bfa5-a0224afa02f7</t>
  </si>
  <si>
    <t>5c221a2e-c6d9-5955-b7cd-4f52d63fd999</t>
  </si>
  <si>
    <t>187c850f-d369-574c-b9a4-9e18ab1e419f</t>
  </si>
  <si>
    <t>b91fc4d2-e057-5086-8f64-23ee5a0dbaac</t>
  </si>
  <si>
    <t>07a77d37-5a36-59a9-955a-827163816093</t>
  </si>
  <si>
    <t>f3f9770b-70ea-5af0-a825-e7a751bbca17</t>
  </si>
  <si>
    <t>2c5b7520-01b2-5d5f-80fe-1237c670aefa</t>
  </si>
  <si>
    <t>d4766caf-106f-5520-a21a-161958da1ff6</t>
  </si>
  <si>
    <t>39a6e51a-18c4-51aa-baba-28ed73ea8944</t>
  </si>
  <si>
    <t>3906083a-5d81-5ac3-a8f2-db21048b8b79</t>
  </si>
  <si>
    <t>898a1ee8-7938-5153-89d0-f789fad92a4d</t>
  </si>
  <si>
    <t>4ec2d0e9-3008-5641-9c46-babcd1d3cc8c</t>
  </si>
  <si>
    <t>4c115764-d7e3-5a11-a82d-fce42dd4db2a</t>
  </si>
  <si>
    <t>2e9ad116-bc89-5052-8837-e4cbd1fc759c</t>
  </si>
  <si>
    <t>ccd29a5a-c6e1-58f9-984c-037cef09bcfd</t>
  </si>
  <si>
    <t>17b1ad89-0201-5725-986e-64f08bddf213</t>
  </si>
  <si>
    <t>f60f926b-9339-5bee-ad23-ac6791fc3a87</t>
  </si>
  <si>
    <t>82451a0f-2b05-558a-a779-9f96f525a795</t>
  </si>
  <si>
    <t>Binding ID</t>
  </si>
  <si>
    <t>SSI ID@version</t>
  </si>
  <si>
    <t>Applicability ID@version</t>
  </si>
  <si>
    <t>Nostro pin</t>
  </si>
  <si>
    <t>RMA ID@version</t>
  </si>
  <si>
    <t>Channels</t>
  </si>
  <si>
    <t>Artifact SHA / role</t>
  </si>
  <si>
    <t>b006b443-a420-542d-9b01-a9a85a570d52@v1</t>
  </si>
  <si>
    <t>2a60a7a7-aba0-5b38-aa80-7c695007e119@v1</t>
  </si>
  <si>
    <t>b882d100-5bbb-5c8d-86e7-2b552fbe8559@v1 / MT347-MT300-001-USD-001</t>
  </si>
  <si>
    <t>e4f37e2f-3505-52ce-8eb1-83d5355b45b7@v1</t>
  </si>
  <si>
    <t>QA/API + Browser UAT — identical binding</t>
  </si>
  <si>
    <t>PENDING — seed/negative file not yet created; role=INPUT_FIXTURE</t>
  </si>
  <si>
    <t>PLANNED — NOT LOADED / NOT EXECUTED</t>
  </si>
  <si>
    <t>41301d25-d09c-56f4-980d-4aa298b014c2@v1</t>
  </si>
  <si>
    <t>a4587f5f-7ef5-569e-a903-498cbc799d83@v1</t>
  </si>
  <si>
    <t>f9c52e70-fc4d-5031-a2fb-20777e1367e1@v1 / MT347-MT300-002-USD-001</t>
  </si>
  <si>
    <t>aaf0ecab-86a7-5e23-b36b-40c2ced5758f@v1</t>
  </si>
  <si>
    <t>41714b20-c566-542b-b61f-1b7a155801ed@v1</t>
  </si>
  <si>
    <t>b47b9d84-0424-5409-b9a1-1a5d6f8eb7f9@v1</t>
  </si>
  <si>
    <t>0f76d720-4e0e-5197-9961-ea1a80b0fc79@v1 / MT347-MT300-006-USD-001</t>
  </si>
  <si>
    <t>e9a8e99f-6512-5ca4-a3b0-19303aa5d0a6@v1</t>
  </si>
  <si>
    <t>a94d1a96-e283-5087-b2de-7e388e9eb72b@v1</t>
  </si>
  <si>
    <t>1f258006-0961-5f8e-aaec-65509516db51@v1</t>
  </si>
  <si>
    <t>273e6cbd-111a-5870-a765-aa1c011e2e47@v1 / MT347-MT300-007-USD-001</t>
  </si>
  <si>
    <t>54fa488d-259a-5ec7-aa28-e1a64fc5b312@v1</t>
  </si>
  <si>
    <t>41d3fb5e-e787-5565-875a-37643167d576@v1</t>
  </si>
  <si>
    <t>6e9f0853-ed69-5e5c-951b-079e828a6d85@v1</t>
  </si>
  <si>
    <t>16e9aca8-d037-5df5-95ba-aba126820f8f@v1 / MT347-MT300-011-USD-001</t>
  </si>
  <si>
    <t>160986a9-7b51-5d68-a6a0-b60a0abafcd1@v1</t>
  </si>
  <si>
    <t>d4af05e3-cefe-5bb9-aae5-6c1d4f3a8c23@v1</t>
  </si>
  <si>
    <t>dd720666-a778-595c-aca7-3238585b4e10@v1</t>
  </si>
  <si>
    <t>f0ec64a4-19a2-56d8-b88b-89fe593a6605@v1 / MT347-MT300-012-USD-001</t>
  </si>
  <si>
    <t>46af2d8e-b559-5d3f-81cf-8ad6a9b7b18e@v1</t>
  </si>
  <si>
    <t>e570ce30-b01a-512f-a826-5307d98458a2@v1</t>
  </si>
  <si>
    <t>dd15d3a0-8468-5619-a7aa-440d931ee91d@v1</t>
  </si>
  <si>
    <t>9b9cda5e-5ae6-53c7-b0c1-858f476070cf@v1 / MT347-MT304-001-USD-001</t>
  </si>
  <si>
    <t>1f817efe-d6ea-510c-bff3-2cca6885523e@v1</t>
  </si>
  <si>
    <t>56028ca7-dc7c-5d44-82c9-de4f54e63657@v1</t>
  </si>
  <si>
    <t>225d267d-e291-59d0-af4f-c5e9aa5b5585@v1</t>
  </si>
  <si>
    <t>6f7db01b-7237-5832-a8d4-a1f231ca69c8@v1 / MT347-MT304-002-USD-001</t>
  </si>
  <si>
    <t>9f556f55-faea-5d7b-b407-e1cb71b703a4@v1</t>
  </si>
  <si>
    <t>7a3f49fd-bdc4-59fe-ba91-c50d43145dfa@v1</t>
  </si>
  <si>
    <t>00e5c295-0e24-5122-b4a9-733e12474fd9@v1</t>
  </si>
  <si>
    <t>27dafbd0-aadd-58a4-b733-415631ca827e@v1 / MT347-MT304-006-USD-001</t>
  </si>
  <si>
    <t>9657060a-8f03-52f8-96d3-aad928e02b15@v1</t>
  </si>
  <si>
    <t>a1a67d02-1d3a-570a-ac85-de99ab6d2baa@v1</t>
  </si>
  <si>
    <t>ca9e47ec-04b0-5ed3-9649-7599ca29143b@v1</t>
  </si>
  <si>
    <t>e4950bc4-65bd-56df-bd3f-5379f5ae1783@v1 / MT347-MT304-007-USD-001</t>
  </si>
  <si>
    <t>e349938d-a3b4-5d0b-ad82-713e7b097bd8@v1</t>
  </si>
  <si>
    <t>37c4fde8-be44-545b-ab9c-9d4b21dee50c@v1</t>
  </si>
  <si>
    <t>8e160e69-3473-56b1-a50e-c95d1403c043@v1</t>
  </si>
  <si>
    <t>917e7f89-e7cb-5de7-a1da-5995d66238b3@v1 / MT347-MT304-011-USD-001</t>
  </si>
  <si>
    <t>076f8cd1-6cc7-53a3-ba1a-33fdb7468497@v1</t>
  </si>
  <si>
    <t>197bf109-5275-540f-9128-03b471e08da1@v1</t>
  </si>
  <si>
    <t>2cfa5209-55fa-5978-bf52-e35d646737b2@v1</t>
  </si>
  <si>
    <t>60cb552c-ea23-564d-b1bf-a3d4342a367f@v1 / MT347-MT304-012-USD-001</t>
  </si>
  <si>
    <t>0e2ad45b-4d86-5e30-8853-27b0287d1b17@v1</t>
  </si>
  <si>
    <t>b1f69cc7-0537-5373-9c4b-57017f93efa7@v1</t>
  </si>
  <si>
    <t>81e67f09-af87-5ec0-af03-9240429d5174@v1</t>
  </si>
  <si>
    <t>a8629815-c7fb-51dd-bece-ba9e12e7be3f@v1</t>
  </si>
  <si>
    <t>900b46ab-96bf-505c-9208-8122066435d3@v1</t>
  </si>
  <si>
    <t>1e5372dd-87a4-5946-b96b-a9d93e037ecc@v1</t>
  </si>
  <si>
    <t>c9eb5b01-e735-5b8f-8ab8-c60362c2d7af@v1 / MT347-MT305-001-USD-001</t>
  </si>
  <si>
    <t>de9b8d6c-0b61-5c3b-851f-cea05341fa97@v1</t>
  </si>
  <si>
    <t>fab01759-710b-55c1-afb1-bba041d3d371@v1</t>
  </si>
  <si>
    <t>51140c09-7734-5fff-b67d-52f960a27db9@v1</t>
  </si>
  <si>
    <t>074b44a9-021e-576d-bc7a-35d3cf2cd434@v1 / MT347-MT305-002-USD-001</t>
  </si>
  <si>
    <t>83ebd616-d077-5153-8029-9e6c66c65bf6@v1</t>
  </si>
  <si>
    <t>095f7312-2353-5f11-9726-9adb21b4c1ee@v1</t>
  </si>
  <si>
    <t>4e74a00c-837b-5354-a012-e9195f2f482c@v1</t>
  </si>
  <si>
    <t>47a358c1-99a3-5083-b8e9-81b9ccd6363f@v1 / MT347-MT306-001-USD-001</t>
  </si>
  <si>
    <t>64b8f542-a589-5240-ad00-0a11103517c0@v1</t>
  </si>
  <si>
    <t>56958b92-385e-596d-b36c-8b1aa710b0ea@v1</t>
  </si>
  <si>
    <t>82b3f00f-47ba-537e-9eec-e1dc8c346903@v1</t>
  </si>
  <si>
    <t>f5e6f9c1-f35a-5f59-acff-8f3dd84091d8@v1 / MT347-MT306-002-USD-001</t>
  </si>
  <si>
    <t>d5ea1e52-f0ce-5f90-8d21-e0dbe3c1a9a6@v1</t>
  </si>
  <si>
    <t>33b73c76-ff2d-5162-8afe-3fb9a7aeae4f@v1</t>
  </si>
  <si>
    <t>12bee852-9686-55fc-89a0-504a13104cfd@v1</t>
  </si>
  <si>
    <t>38d8d8a4-7954-5a08-8671-9eb3d6552885@v1 / MT347-MT306-007-USD-001</t>
  </si>
  <si>
    <t>cc926cc7-bc5e-557b-9195-66bc521ab867@v1</t>
  </si>
  <si>
    <t>3d89ced2-84d1-54d1-b682-5ec01fb74df3@v1</t>
  </si>
  <si>
    <t>851e67af-d5ac-5f5b-ac08-7845d012d0bf@v1</t>
  </si>
  <si>
    <t>add37a75-c031-5661-a3a1-dcf97f1b6ce0@v1 / MT347-MT306-008-USD-001</t>
  </si>
  <si>
    <t>671153c8-db53-5531-893d-2d5f44e736f5@v1</t>
  </si>
  <si>
    <t>ac71cff3-79a7-5e1f-9346-73927f17f1bf@v1</t>
  </si>
  <si>
    <t>fe154577-723f-57bc-9710-b6eb2a0c6860@v1</t>
  </si>
  <si>
    <t>92b1c2ce-d6f5-5028-8c2e-dba8991f6430@v1 / MT347-MT306-013-USD-001</t>
  </si>
  <si>
    <t>d367207d-c2aa-5771-b7cb-e6f8c10028e8@v1</t>
  </si>
  <si>
    <t>535fd73a-e749-5d1e-a4bc-52c1d17f5d65@v1</t>
  </si>
  <si>
    <t>61a00f67-32f4-5145-aac5-30fb89728c8a@v1</t>
  </si>
  <si>
    <t>020e5358-5252-5232-98c0-b3a09db6d2f3@v1 / MT347-MT306-014-USD-001</t>
  </si>
  <si>
    <t>d9cd2545-4b93-55ae-b327-6cbdb0d9be2c@v1</t>
  </si>
  <si>
    <t>05424953-041c-5822-a83c-0bddc147c743@v1</t>
  </si>
  <si>
    <t>bcb1f3a6-3b38-554c-95df-45417f813e3d@v1</t>
  </si>
  <si>
    <t>705e3c95-0e04-5a25-b8a9-1c4ff049bd66@v1 / MT347-MT320-001-USD-001</t>
  </si>
  <si>
    <t>cf9172e7-0bc0-5ba7-afa1-39e0a8645200@v1</t>
  </si>
  <si>
    <t>ab740092-98aa-5208-9408-ec5d5d0d35ad@v1</t>
  </si>
  <si>
    <t>e1061a08-f2a7-562c-989d-7b43dfc1abf6@v1</t>
  </si>
  <si>
    <t>0d2b2524-e69f-55c3-93c9-d899e1773406@v1 / MT347-MT320-002-USD-001</t>
  </si>
  <si>
    <t>38884e91-624c-5c57-912e-86a49ca54f19@v1</t>
  </si>
  <si>
    <t>edeaedfa-e417-5e89-80d4-1394af7848d1@v1</t>
  </si>
  <si>
    <t>d6f2edfd-60f4-5724-af76-1e971582e2a4@v1</t>
  </si>
  <si>
    <t>7eaa3eb5-662b-5737-aa86-cf516f01f7be@v1 / MT347-MT320-007-USD-001</t>
  </si>
  <si>
    <t>327d6740-264b-5022-a9f6-dcab800936a6@v1</t>
  </si>
  <si>
    <t>36448874-b8c6-536f-89e3-daf4aa3c0830@v1</t>
  </si>
  <si>
    <t>714dcc70-4070-5513-8f94-f8d6ff2d7c94@v1</t>
  </si>
  <si>
    <t>f3a71492-e485-5310-aa4b-968e2d4ca5eb@v1 / MT347-MT320-008-USD-001</t>
  </si>
  <si>
    <t>8a8f54d2-7a38-514f-8ecd-fe3a18ed4bf9@v1</t>
  </si>
  <si>
    <t>1699d960-c66c-51f4-984c-69b26e4a8f1d@v1</t>
  </si>
  <si>
    <t>fc9ebbc6-2be1-5ac5-826d-414cd1968634@v1</t>
  </si>
  <si>
    <t>f320f5c8-2e89-56e1-b817-7198757c2843@v1 / MT347-MT320-013-USD-001</t>
  </si>
  <si>
    <t>7ef3b9e0-b33c-5f1d-b4f8-c494dea0b9df@v1</t>
  </si>
  <si>
    <t>27109afb-0bbe-599e-b150-f99f39635a50@v1</t>
  </si>
  <si>
    <t>6314ef0b-48d9-5c2e-a41b-ebbfe11fdd57@v1</t>
  </si>
  <si>
    <t>55bf9688-3fff-51e5-a655-b54088f7d2ae@v1 / MT347-MT320-014-USD-001</t>
  </si>
  <si>
    <t>9b25a709-e61f-536d-97d1-cf49165a1d97@v1</t>
  </si>
  <si>
    <t>c8f9bad1-c93c-503e-a7fe-d34f86924e8b@v1</t>
  </si>
  <si>
    <t>78310dbf-8092-5e7c-962f-04b994d5683e@v1</t>
  </si>
  <si>
    <t>4e96be6c-adc9-544c-9355-aa0b53e0b25c@v1 / MT347-MT320-019-USD-001</t>
  </si>
  <si>
    <t>a8c9c33b-6487-5090-be03-74b685f15889@v1</t>
  </si>
  <si>
    <t>03789d53-d1a0-53fd-b648-a15bf7eb832b@v1</t>
  </si>
  <si>
    <t>93b0e249-61c4-5b73-9dd9-15f0cd61abb1@v1</t>
  </si>
  <si>
    <t>a156e945-173f-5448-85c3-633edf8017d3@v1 / MT347-MT320-020-USD-001</t>
  </si>
  <si>
    <t>f47b5872-df19-5875-95c5-c47f91536b25@v1</t>
  </si>
  <si>
    <t>9e1ee2bf-3843-5899-b6d4-eea8738cb519@v1</t>
  </si>
  <si>
    <t>db3f5f54-7205-5ff9-bb00-b02c453b5121@v1</t>
  </si>
  <si>
    <t>8747a9a8-b5bb-550e-8668-016d66ded422@v1 / MT347-MT320-025-USD-001</t>
  </si>
  <si>
    <t>c2dc8378-9701-5345-a24a-d661aa42c69f@v1</t>
  </si>
  <si>
    <t>15f6cbe9-ad28-59d4-9e57-b877f5073f17@v1</t>
  </si>
  <si>
    <t>b98a4e3d-83be-52ba-b462-20a74cc7af69@v1</t>
  </si>
  <si>
    <t>ca95bcfe-491f-5c3b-9b69-265114ba77ba@v1 / MT347-MT320-026-USD-001</t>
  </si>
  <si>
    <t>2399ef10-8788-595a-a05c-02c11fad5618@v1</t>
  </si>
  <si>
    <t>3c69a79a-372a-51dc-9f66-28184fc59437@v1</t>
  </si>
  <si>
    <t>f6ba3db7-85bf-57b9-bf95-7ed2858f36f3@v1</t>
  </si>
  <si>
    <t>0644e30a-f9f9-5d1b-b176-5cc356bef1a7@v1 / MT347-MT330-001-USD-001</t>
  </si>
  <si>
    <t>855208ce-0101-5106-b16f-13bc66975d88@v1</t>
  </si>
  <si>
    <t>81664bc1-d5c6-5759-9cd0-2798d17a5240@v1</t>
  </si>
  <si>
    <t>585d3d81-fe5d-560f-b5f8-9e4c7bf6c722@v1</t>
  </si>
  <si>
    <t>cde62edd-b6fe-5aae-a999-25913eb82452@v1 / MT347-MT330-002-USD-001</t>
  </si>
  <si>
    <t>28a44d42-6ddd-5a1a-8ea5-478e60519015@v1</t>
  </si>
  <si>
    <t>2175332c-8601-5cc8-9244-e1ef9c30e011@v1</t>
  </si>
  <si>
    <t>74bd766e-7269-587b-a916-f83e812aaace@v1</t>
  </si>
  <si>
    <t>e27db2f4-a477-5877-a009-346ed58c2673@v1 / MT347-MT330-007-USD-001</t>
  </si>
  <si>
    <t>5975e807-c45c-5aef-904f-a7dd78d382fb@v1</t>
  </si>
  <si>
    <t>b8a8c304-4295-5ccf-9bf5-27393a787c7c@v1</t>
  </si>
  <si>
    <t>c2ad4087-92a8-552c-a09c-e3dcc89b9acf@v1</t>
  </si>
  <si>
    <t>6bb63b09-ecbe-5f12-8c38-5d506c1be229@v1 / MT347-MT330-008-USD-001</t>
  </si>
  <si>
    <t>b68789d4-6dae-55d6-bf18-586c4df600ad@v1</t>
  </si>
  <si>
    <t>1348e8f6-597f-538a-a2a2-405992f2f4a0@v1</t>
  </si>
  <si>
    <t>0fc292eb-22f2-5c9d-a2c3-ac5ded382580@v1</t>
  </si>
  <si>
    <t>bed2d12e-ba26-5015-b3ef-f3af192e3f1e@v1 / MT347-MT330-013-USD-001</t>
  </si>
  <si>
    <t>39dd8f48-e73f-5933-bd29-e7513672fbb0@v1</t>
  </si>
  <si>
    <t>49a8b402-3b89-5916-abf2-1e2555d472de@v1</t>
  </si>
  <si>
    <t>1e987b70-2f3e-5d5d-b747-58f274dde929@v1</t>
  </si>
  <si>
    <t>b06930cd-c151-5fc6-bb36-4fc9d9cde085@v1 / MT347-MT330-014-USD-001</t>
  </si>
  <si>
    <t>464e58a8-7a0d-5edc-adcc-9d642fcb3ae9@v1</t>
  </si>
  <si>
    <t>1872c264-3721-5884-bf6d-cd6a65f54b15@v1</t>
  </si>
  <si>
    <t>e0b3989e-78fa-57f6-8dbc-13f96727d352@v1</t>
  </si>
  <si>
    <t>e6cef9b1-4cdc-59c4-b869-436fb1d31c8d@v1 / MT347-MT330-019-USD-001</t>
  </si>
  <si>
    <t>726cd1a4-19f5-5dc5-be55-6d5c08e4dead@v1</t>
  </si>
  <si>
    <t>e8016d2f-f811-5065-97ea-d7d200bb0fbd@v1</t>
  </si>
  <si>
    <t>3dc5c24d-30a3-54c8-926e-29c94747c448@v1</t>
  </si>
  <si>
    <t>45819c4e-68af-5bb4-98d9-b81e28d9db66@v1 / MT347-MT330-020-USD-001</t>
  </si>
  <si>
    <t>69be6716-93e8-50af-a3ce-964aa460660e@v1</t>
  </si>
  <si>
    <t>960249a2-e1bf-55a5-977b-acb35085d884@v1</t>
  </si>
  <si>
    <t>e5adaf65-ff66-59f6-a880-c81520ff618c@v1</t>
  </si>
  <si>
    <t>2b6e2f95-fc59-53b6-a5fd-0ef665562d06@v1 / MT347-MT340-001-USD-001</t>
  </si>
  <si>
    <t>e35fca75-5311-5149-9748-13777e886119@v1</t>
  </si>
  <si>
    <t>6e8e6067-ab92-5042-99fc-99926da01e73@v1</t>
  </si>
  <si>
    <t>c94e4403-d78d-54ec-98c8-2dd5e8ed72ca@v1</t>
  </si>
  <si>
    <t>e98da5f2-ec6b-5de3-bf3b-800dce522d38@v1 / MT347-MT340-002-USD-001</t>
  </si>
  <si>
    <t>c197e292-3d30-5660-b4b4-f98e72e3a2b8@v1</t>
  </si>
  <si>
    <t>b8a034ce-755c-5110-9a1b-b207526aecd0@v1</t>
  </si>
  <si>
    <t>baa00e7a-a4c1-56fc-8e1e-dbdb4bff9456@v1</t>
  </si>
  <si>
    <t>c8f21063-138c-50d1-b4b8-229ab2f75fcc@v1 / MT347-MT340-007-USD-001</t>
  </si>
  <si>
    <t>e332d30a-c18d-5051-a73f-6bbd9a4c911e@v1</t>
  </si>
  <si>
    <t>3365cff7-8154-5f68-a5ba-c69dfd3c77e2@v1</t>
  </si>
  <si>
    <t>92ff4abd-50b7-5034-b017-9c115992468c@v1</t>
  </si>
  <si>
    <t>c9b1bab7-0f56-5a20-82d9-ee58bfde306c@v1 / MT347-MT340-008-USD-001</t>
  </si>
  <si>
    <t>55af78b8-dec3-5a0f-b0f1-bd4e63cfe217@v1</t>
  </si>
  <si>
    <t>17fe9e69-1e62-5a07-8eed-3c2b248e0871@v1</t>
  </si>
  <si>
    <t>68bda292-bb72-5831-ba72-3fc745996213@v1</t>
  </si>
  <si>
    <t>460bdece-d739-55d7-9dd3-e7ab35d9ec28@v1 / MT347-MT340-013-USD-001</t>
  </si>
  <si>
    <t>04d002fb-95ae-527d-b96c-417e0de93ba0@v1</t>
  </si>
  <si>
    <t>618e656a-eee2-5677-8ed4-d98e1910f519@v1</t>
  </si>
  <si>
    <t>f03952f0-efe8-5b7d-a2aa-ee805fcf6832@v1</t>
  </si>
  <si>
    <t>85124d13-f0b4-5bb1-9b5b-258277b2a829@v1 / MT347-MT340-014-USD-001</t>
  </si>
  <si>
    <t>5c7ab35b-f0bd-5d08-aa84-fdbc5b34240c@v1</t>
  </si>
  <si>
    <t>a145cb00-64d8-5604-b4a3-08a662d48608@v1</t>
  </si>
  <si>
    <t>2b3e465d-318a-5c7e-9d00-78cd26715c3f@v1</t>
  </si>
  <si>
    <t>90cb7cc0-864d-52d9-83fa-c5f73e7d2a12@v1 / MT347-MT341-001-USD-001</t>
  </si>
  <si>
    <t>e4f85c98-d6e0-5922-b1db-e8d654a6e1c4@v1</t>
  </si>
  <si>
    <t>63d7a591-9d9a-50c3-a584-8a507c59ee3a@v1</t>
  </si>
  <si>
    <t>75361da9-6a50-5143-8dde-afcf4b21417f@v1</t>
  </si>
  <si>
    <t>1ded8421-d493-5cab-bc83-8a5e58effdec@v1 / MT347-MT341-002-USD-001</t>
  </si>
  <si>
    <t>6a14fb70-4bd0-5ff4-8399-1af0f5fc8d9a@v1</t>
  </si>
  <si>
    <t>cb4cb7ac-b47d-56e8-9eaf-2526795a1ae3@v1</t>
  </si>
  <si>
    <t>31d5ca1c-99f4-503c-8a66-8ec7f90b9a67@v1</t>
  </si>
  <si>
    <t>1005a2ab-31c9-576a-be08-2a3c9f72be16@v1 / MT347-MT350-001-USD-001</t>
  </si>
  <si>
    <t>8e38bd02-4dde-5292-8c21-78ee77803732@v1</t>
  </si>
  <si>
    <t>2ba75ae8-82ce-5be0-b8b6-500e53b067c0@v1</t>
  </si>
  <si>
    <t>0ccc7297-7c7c-5d99-91a5-7b2920abb580@v1</t>
  </si>
  <si>
    <t>664d624c-29a3-53c8-8a1c-bbab0fb67c40@v1 / MT347-MT350-002-USD-001</t>
  </si>
  <si>
    <t>222896cd-c737-5670-8139-79fea34a34ce@v1</t>
  </si>
  <si>
    <t>b014cbdd-d2eb-592f-86d8-72c0d56f1f70@v1</t>
  </si>
  <si>
    <t>ce09909b-2df5-5290-b3c2-3c084283284e@v1</t>
  </si>
  <si>
    <t>2f10d399-3405-5854-baf9-042ef524890e@v1 / MT347-MT360-001-USD-001</t>
  </si>
  <si>
    <t>a7a8640a-1ba4-5782-96dd-2dee5976521a@v1</t>
  </si>
  <si>
    <t>c7ffe8a4-bc85-5cb2-8ca9-d449804efe9b@v1</t>
  </si>
  <si>
    <t>0162caff-807b-50f5-bdfb-fa259dfd9530@v1</t>
  </si>
  <si>
    <t>a8c870d6-f3f4-5ae5-b2b1-14ebb9a560cc@v1 / MT347-MT360-002-USD-001</t>
  </si>
  <si>
    <t>53019458-66fa-52f2-8c6d-40e3b905d912@v1</t>
  </si>
  <si>
    <t>bb451fb2-81a6-55a2-9f52-1b874ff2ddab@v1</t>
  </si>
  <si>
    <t>df44ad0d-4ee6-52b6-857f-a2a3626097ad@v1</t>
  </si>
  <si>
    <t>6d9e744b-a1ae-5bc7-8f3c-8ebfd608aad3@v1 / MT347-MT360-008-USD-001</t>
  </si>
  <si>
    <t>17d13662-0f8d-5e25-9477-8327bc553026@v1</t>
  </si>
  <si>
    <t>0b4bf7c5-e325-59dd-97cb-77d225d4d804@v1</t>
  </si>
  <si>
    <t>eebf6065-ff0c-59fd-b1c6-10d4895cbf71@v1</t>
  </si>
  <si>
    <t>f4717349-d936-5a24-bf17-746105e0f0e8@v1 / MT347-MT360-009-USD-001</t>
  </si>
  <si>
    <t>40024ac2-783f-552b-8f32-8d5f55a4d87e@v1</t>
  </si>
  <si>
    <t>e8a0f697-0318-5084-8d3a-6b72fbe2954a@v1</t>
  </si>
  <si>
    <t>38e6d131-c503-5a6d-b2ea-97e570620211@v1</t>
  </si>
  <si>
    <t>b01dec45-04bb-5974-8020-ff6e8c00c822@v1 / MT347-MT360-015-USD-001</t>
  </si>
  <si>
    <t>609a7f50-d0f1-528e-ade3-3d6cfdb54538@v1</t>
  </si>
  <si>
    <t>80a77424-61c6-5e42-87c4-d4f9a051fb66@v1</t>
  </si>
  <si>
    <t>edd9f873-5338-5777-9d33-a3a6f72e1df1@v1</t>
  </si>
  <si>
    <t>71bae30c-a641-56a7-a14f-f0e1f4c1e233@v1 / MT347-MT360-016-USD-001</t>
  </si>
  <si>
    <t>281e09b2-57a5-5f31-bd10-545f0035087d@v1</t>
  </si>
  <si>
    <t>29ddf87e-fb47-590f-954a-65500661516f@v1</t>
  </si>
  <si>
    <t>e7a48f12-0652-5a48-9367-f7b2ad234772@v1</t>
  </si>
  <si>
    <t>9a5b01b3-1b7f-518e-9991-48c98acc0904@v1</t>
  </si>
  <si>
    <t>b0781077-123c-5477-8918-7a64e076e71a@v1</t>
  </si>
  <si>
    <t>4bdeab53-cdbd-53d2-97ab-32a13fa043ea@v1</t>
  </si>
  <si>
    <t>c65a4a9f-fc0a-5f16-8867-38389149fd7c@v1 / MT347-MT360-022-USD-001</t>
  </si>
  <si>
    <t>89aa8c5d-2679-5582-9ee7-d017bbce6df2@v1</t>
  </si>
  <si>
    <t>9dee4918-e81c-5db8-834c-7614a4a5f793@v1</t>
  </si>
  <si>
    <t>8ada2cd9-2244-52af-9bca-6b8bf7388e25@v1</t>
  </si>
  <si>
    <t>60b440e3-439e-5441-97e6-19847c3aa5a7@v1 / MT347-MT360-023-USD-001</t>
  </si>
  <si>
    <t>2a99443a-be6e-5d23-bf42-c19f079501c1@v1</t>
  </si>
  <si>
    <t>d0f27ba6-a647-517f-8560-2a5d04e307fc@v1</t>
  </si>
  <si>
    <t>5823afef-8379-5011-85ed-f50d7fa94223@v1</t>
  </si>
  <si>
    <t>61a16c70-2597-588a-a46a-c6a6f4e8e7c4@v1</t>
  </si>
  <si>
    <t>c0876029-f4d4-5d78-a794-d8edaf9d624a@v1</t>
  </si>
  <si>
    <t>ed799fe2-5aba-5e45-b12f-233c5388745d@v1</t>
  </si>
  <si>
    <t>e34c3410-97c1-5e4d-a3bd-db70a83a1da3@v1 / MT347-MT361-001-USD-001</t>
  </si>
  <si>
    <t>2766b2bf-6047-5522-bcc7-0ff39c30673a@v1</t>
  </si>
  <si>
    <t>f18d6849-4908-5b3b-bd84-5d560d8edf84@v1</t>
  </si>
  <si>
    <t>96c2cbb9-4fcc-5e3b-8bcb-3b8438a8f0cf@v1</t>
  </si>
  <si>
    <t>5af7075a-bdfd-5b2c-9a62-eb13850b6a25@v1 / MT347-MT361-002-USD-001</t>
  </si>
  <si>
    <t>1035b54d-1b2c-56de-9448-c5d0ca67d62e@v1</t>
  </si>
  <si>
    <t>8a6b7ee4-c0d4-5440-97b7-0acb61aa3dc1@v1</t>
  </si>
  <si>
    <t>0fb60c1a-9ba7-556c-96e0-b3014f0824db@v1</t>
  </si>
  <si>
    <t>09fd6079-2486-505c-aec3-6d9dbafb3667@v1 / MT347-MT361-008-USD-001</t>
  </si>
  <si>
    <t>e250b68d-8fdf-5d34-a1c6-3e0c93d789b1@v1</t>
  </si>
  <si>
    <t>aa4f48fb-fa2b-5623-bf21-575e9d33fa50@v1</t>
  </si>
  <si>
    <t>371c2e15-5f31-5e24-b8b6-e042d9be124b@v1</t>
  </si>
  <si>
    <t>d58ffce3-e022-5c3f-ab55-a229efaef777@v1 / MT347-MT361-009-USD-001</t>
  </si>
  <si>
    <t>a715680e-fa83-577a-9c50-be244b5e1f4f@v1</t>
  </si>
  <si>
    <t>97ef854b-3ead-5d4b-9391-38b77e720047@v1</t>
  </si>
  <si>
    <t>60c0909d-ab76-5fc8-9cc7-3ee3095e65e2@v1</t>
  </si>
  <si>
    <t>29f003aa-a315-598a-a71e-dddcfceac473@v1 / MT347-MT361-015-USD-001</t>
  </si>
  <si>
    <t>868ce878-74e3-5cfb-8da3-c7d5af5572aa@v1</t>
  </si>
  <si>
    <t>1dc8a2fb-c801-5d22-b80e-02c0db504fdc@v1</t>
  </si>
  <si>
    <t>c98e092a-5488-55d0-9567-78f51d8e14cc@v1</t>
  </si>
  <si>
    <t>5495309c-1134-5ce3-b194-d035f2cf2bdd@v1 / MT347-MT361-016-USD-001</t>
  </si>
  <si>
    <t>511facc8-bcdb-5650-906c-c0ce47041d98@v1</t>
  </si>
  <si>
    <t>94096ea2-b93c-5e4f-b9cb-dd84cd9bc285@v1</t>
  </si>
  <si>
    <t>67d5f90d-9639-5653-8573-ea6732fe07cb@v1</t>
  </si>
  <si>
    <t>ea883409-8d5b-5217-b054-1b3e4fa46f8e@v1 / MT347-MT361-022-USD-001</t>
  </si>
  <si>
    <t>7eaa9e96-5060-57fa-a53e-0684e9fd8765@v1</t>
  </si>
  <si>
    <t>871e8e8a-a96f-5c81-8749-028a278c3a1f@v1</t>
  </si>
  <si>
    <t>8af3a310-ba63-5a84-a87e-fb5463872ea7@v1</t>
  </si>
  <si>
    <t>63792c8c-abdd-5458-88b1-5bdee93164b7@v1 / MT347-MT361-023-USD-001</t>
  </si>
  <si>
    <t>fbd74cfd-eece-5432-9650-d1ad525f4ed7@v1</t>
  </si>
  <si>
    <t>ae249bfb-31bd-5258-8051-1c5ec36503bc@v1</t>
  </si>
  <si>
    <t>935a7d87-e4f8-5cd0-b1b9-1b0f0fbb8823@v1</t>
  </si>
  <si>
    <t>22b9c52a-2ad7-5e73-8bac-48fdff6c9aaf@v1 / MT347-MT361-029-USD-001</t>
  </si>
  <si>
    <t>da836be8-6259-54f7-8344-4ffab69320ed@v1</t>
  </si>
  <si>
    <t>fd6cc2ba-0a1c-5db6-93b4-fb24e75aeedd@v1</t>
  </si>
  <si>
    <t>61c19501-2b72-5fc7-9440-f1d52e985e12@v1</t>
  </si>
  <si>
    <t>8085b4c6-70ea-5e98-8bfb-3ed9673ad40c@v1 / MT347-MT361-030-USD-001</t>
  </si>
  <si>
    <t>d33e9cfe-544e-56e1-88e8-b1760d698e56@v1</t>
  </si>
  <si>
    <t>05bdf777-08f5-5cd5-9434-24b25d19b58c@v1</t>
  </si>
  <si>
    <t>bf7e47c5-264d-567e-8a4d-45ad50d98b46@v1</t>
  </si>
  <si>
    <t>cf881642-f718-5dd9-9621-b466e18d10de@v1</t>
  </si>
  <si>
    <t>ee0d0c05-3bfb-5243-991a-4cca362e0f65@v1</t>
  </si>
  <si>
    <t>0107259f-436f-535f-9955-56264502ea49@v1</t>
  </si>
  <si>
    <t>20acadb3-cf17-5eb9-9b0d-f1a15588ba7d@v1 / MT347-MT361-036-USD-001</t>
  </si>
  <si>
    <t>41aacca9-b856-5c90-9227-dc67ef8228ef@v1</t>
  </si>
  <si>
    <t>fa4e99e4-a8bb-5215-97d5-cd4b2e1f03f5@v1</t>
  </si>
  <si>
    <t>655225f8-1f77-5cc4-912f-dff2e3dbc105@v1</t>
  </si>
  <si>
    <t>3e9ed180-16fe-51df-9f81-c20aaec865f9@v1 / MT347-MT361-037-USD-001</t>
  </si>
  <si>
    <t>954a3787-bad6-532e-a572-15f20aba0ca4@v1</t>
  </si>
  <si>
    <t>71b322f0-ca61-536b-82f0-de240f342066@v1</t>
  </si>
  <si>
    <t>83360be9-0485-598c-a812-9b09106d4b3f@v1</t>
  </si>
  <si>
    <t>10c16a81-22ff-5de0-89fd-1b3f1a59531b@v1</t>
  </si>
  <si>
    <t>ef692079-55b9-58d3-bd31-345301ff0a33@v1</t>
  </si>
  <si>
    <t>bc6edf0c-e7c2-5362-aacb-0e7decca58ce@v1</t>
  </si>
  <si>
    <t>21b41053-9b0f-5f4b-890f-c96ef6bc95ee@v1 / MT347-MT362-001-USD-001</t>
  </si>
  <si>
    <t>ba02c793-4326-509a-83a7-cf4618c06a9a@v1</t>
  </si>
  <si>
    <t>3e2e2ac3-f638-5290-890f-47df49cc5287@v1</t>
  </si>
  <si>
    <t>6eb67487-bf16-5c11-b4b6-0c2fac7c4904@v1</t>
  </si>
  <si>
    <t>05d33025-9391-5c50-bd7c-1575091ee901@v1 / MT347-MT362-002-USD-001</t>
  </si>
  <si>
    <t>92764d2b-c23f-5a37-96ff-5c8b8db08960@v1</t>
  </si>
  <si>
    <t>57856ae3-08e4-5ee5-9679-da9b6e993010@v1</t>
  </si>
  <si>
    <t>b4e6a606-b271-5ade-8579-6af2688378cc@v1</t>
  </si>
  <si>
    <t>5bdafe67-1b3c-5303-b976-8e58c58dcce9@v1 / MT347-MT362-008-USD-001</t>
  </si>
  <si>
    <t>bf68473f-3d3c-5b82-adca-77f3141eeaaa@v1</t>
  </si>
  <si>
    <t>f5134dc0-5071-5c5c-ba4c-61ec45dd4fa8@v1</t>
  </si>
  <si>
    <t>0af76fd1-10f2-59d8-8179-7c6c53dcc5a6@v1</t>
  </si>
  <si>
    <t>572a5663-768a-5555-9f1d-9f95aa2a4edc@v1 / MT347-MT362-009-USD-001</t>
  </si>
  <si>
    <t>4fed0c2d-8301-526a-97b1-7e78033953ce@v1</t>
  </si>
  <si>
    <t>f1c3da28-3c58-5485-934f-1b7cbec6e4b8@v1</t>
  </si>
  <si>
    <t>e347cf9f-d0db-5259-8d34-d7d9f7e9d413@v1</t>
  </si>
  <si>
    <t>a3152ffe-6cf5-545c-96cb-c1cac5452f82@v1 / MT347-MT364-001-USD-001</t>
  </si>
  <si>
    <t>513b2a16-5f54-5d46-a1ed-fff95b8ced76@v1</t>
  </si>
  <si>
    <t>b35f2c7d-8634-5ba7-a762-b63fe18a5185@v1</t>
  </si>
  <si>
    <t>0caa431d-3ba6-501a-aeb8-951dbfe5b115@v1</t>
  </si>
  <si>
    <t>e0c4beec-0cc5-5121-8490-eb3a91870bea@v1 / MT347-MT364-002-USD-001</t>
  </si>
  <si>
    <t>61eafcec-38b5-5070-9ed0-68078e28a85e@v1</t>
  </si>
  <si>
    <t>162e5924-ac7c-5b0c-8bd9-e001f11782b2@v1</t>
  </si>
  <si>
    <t>e6979157-1eee-5ec3-982b-99e0cdaf23aa@v1</t>
  </si>
  <si>
    <t>3133a89b-fd75-523d-a9db-38793dc21038@v1 / MT347-MT364-007-USD-001</t>
  </si>
  <si>
    <t>6aa926be-5c24-57e9-bb10-8073d43082b3@v1</t>
  </si>
  <si>
    <t>72011a6a-c2d3-56a7-b51a-637cdb1c0a66@v1</t>
  </si>
  <si>
    <t>e2476f95-15b9-5d03-bb71-0c65b6728657@v1</t>
  </si>
  <si>
    <t>a896a468-52d0-5a53-9ea9-e856d2688941@v1 / MT347-MT364-008-USD-001</t>
  </si>
  <si>
    <t>27e5901f-496c-5b28-8906-171725e08fb1@v1</t>
  </si>
  <si>
    <t>315f0b14-a99e-55f2-b361-fc1ec8f1a238@v1</t>
  </si>
  <si>
    <t>e09f0a12-b711-55b9-9a48-866dbc961381@v1</t>
  </si>
  <si>
    <t>a15891b0-c430-5585-bec9-233a079cceda@v1 / MT347-MT365-001-USD-001</t>
  </si>
  <si>
    <t>3be70bd6-f6d1-5748-8241-3a6ec1e918a2@v1</t>
  </si>
  <si>
    <t>997cf472-0b25-54e6-9a80-094def2df519@v1</t>
  </si>
  <si>
    <t>a147b26d-eb64-5fea-b231-1dc249d9b8b2@v1</t>
  </si>
  <si>
    <t>b69d012e-0353-5ca4-ac54-f7e145d2d3a0@v1 / MT347-MT365-002-USD-001</t>
  </si>
  <si>
    <t>1d5a75b7-9ade-596b-935e-16027ef708c1@v1</t>
  </si>
  <si>
    <t>a03c111d-084b-588e-b2b7-fea5a91e5970@v1</t>
  </si>
  <si>
    <t>2270b5a3-f76a-5a94-8a13-ef031d6532b7@v1</t>
  </si>
  <si>
    <t>a5c90eaf-0e82-5c50-ab32-defa4f39d978@v1 / MT347-MT365-007-USD-001</t>
  </si>
  <si>
    <t>b2474bbe-47e8-5e53-b0d4-79e269373aad@v1</t>
  </si>
  <si>
    <t>4510d277-e548-5d64-ae76-2dae0701e123@v1</t>
  </si>
  <si>
    <t>52349145-3e3d-5740-ad61-dbdc866f21bb@v1</t>
  </si>
  <si>
    <t>33c5a228-bf36-5f09-acaa-757531093237@v1 / MT347-MT365-008-USD-001</t>
  </si>
  <si>
    <t>4c524062-5e9a-5f62-a1a9-118d38e56b9b@v1</t>
  </si>
  <si>
    <t>e461f43e-37ae-5d5e-b8fd-86690b5388e2@v1</t>
  </si>
  <si>
    <t>9ba7ff4b-cce8-554c-b213-e64bd42d550d@v1</t>
  </si>
  <si>
    <t>dd6a8495-ea3e-566e-927e-2aa075090956@v1 / MT347-MT365-013-USD-001</t>
  </si>
  <si>
    <t>c89be6c6-2c57-5b7b-a765-561c0437e8e9@v1</t>
  </si>
  <si>
    <t>8a7f7447-c15a-5394-9168-13e2e9f91c4c@v1</t>
  </si>
  <si>
    <t>dbc514af-6b23-5b12-9808-8e13b6da74ab@v1</t>
  </si>
  <si>
    <t>9e7b0e95-5c92-564a-bffd-fe939dfd7a99@v1 / MT347-MT365-014-USD-001</t>
  </si>
  <si>
    <t>91db5707-e516-5530-9620-a485514966d9@v1</t>
  </si>
  <si>
    <t>a7da7061-0c32-51da-8f95-c17f04f73eba@v1</t>
  </si>
  <si>
    <t>c116bd7b-ed05-518c-a7e7-1d2bea0f49f2@v1</t>
  </si>
  <si>
    <t>0ef18201-1980-545b-90a1-95e342973fa6@v1 / MT347-MT365-019-USD-001</t>
  </si>
  <si>
    <t>f3492512-ffd9-5419-a797-1cf8bc1b7ad8@v1</t>
  </si>
  <si>
    <t>a11392a6-4538-53c6-977f-6c2301606aff@v1</t>
  </si>
  <si>
    <t>03699d96-7d40-5634-b9d4-fd414d672d2d@v1</t>
  </si>
  <si>
    <t>30bb5f6f-8ec3-570d-b900-28feb7622342@v1 / MT347-MT365-020-USD-001</t>
  </si>
  <si>
    <t>25511c3b-3d1f-507a-af24-4e86964cd658@v1</t>
  </si>
  <si>
    <t>9598419b-fc09-51c3-8f44-09ca0986151a@v1</t>
  </si>
  <si>
    <t>151d56c2-8bbe-5fac-b87b-cb6521b78708@v1</t>
  </si>
  <si>
    <t>03ae06bd-aab5-56fd-be22-80f26ca29cbf@v1 / MT347-MT400-001-USD-001</t>
  </si>
  <si>
    <t>71139eb6-53d7-5736-bb8d-2fa77487be2c@v1</t>
  </si>
  <si>
    <t>2abe03db-dc96-531e-ab8e-fb753fbaedad@v1</t>
  </si>
  <si>
    <t>cb26a556-6494-5bdc-9bbd-963df07b79fa@v1</t>
  </si>
  <si>
    <t>47692b3d-8a65-5a43-8dcf-f1c2b2bbf39e@v1</t>
  </si>
  <si>
    <t>195c497c-0b65-5e47-a8d2-ea828dfa50eb@v1</t>
  </si>
  <si>
    <t>2b0f4e36-29d0-50a4-8a32-7d4af8bdbe87@v1</t>
  </si>
  <si>
    <t>c38e2a6e-6944-59ba-a4c5-418a82dd4754@v1</t>
  </si>
  <si>
    <t>eeea0f5e-dfdf-5159-82bc-3938110e9d2a@v1</t>
  </si>
  <si>
    <t>76cbda2a-38f4-510c-950b-55e88e25583d@v1</t>
  </si>
  <si>
    <t>ed9d9090-89eb-574c-bea3-beab47cb2d17@v1</t>
  </si>
  <si>
    <t>af158f2b-10d4-5722-960b-1efc99494d96@v1</t>
  </si>
  <si>
    <t>0fa89e51-efc7-542d-b28b-d35722db93e3@v1</t>
  </si>
  <si>
    <t>ec7f53a6-9b25-5b9b-9bb6-b49eec61a5e1@v1</t>
  </si>
  <si>
    <t>d982c1cc-2470-50dc-a49c-2763425d9d35@v1</t>
  </si>
  <si>
    <t>a3202b60-d726-5d68-96c8-d99b2066de3a@v1</t>
  </si>
  <si>
    <t>114dc91f-8f29-51d0-9415-1fe265bc16c0@v1</t>
  </si>
  <si>
    <t>11ea2c9e-fd05-5c52-9551-84dfe024c71d@v1</t>
  </si>
  <si>
    <t>3c4fe08c-e807-5983-bd64-b00d2da4abbe@v1</t>
  </si>
  <si>
    <t>0509972d-7912-5306-9c5c-231d63a706b2@v1</t>
  </si>
  <si>
    <t>6b9bf33a-7327-5fa3-86b8-c9cb317c3199@v1</t>
  </si>
  <si>
    <t>00d79da1-fe9a-56c2-ad9f-9b468c009926@v1</t>
  </si>
  <si>
    <t>eded4775-760a-575c-9a43-12d3a9fc3bc8@v1</t>
  </si>
  <si>
    <t>2a1526fc-cdf2-5b96-b041-35de70a5a633@v1</t>
  </si>
  <si>
    <t>62a8f5f0-4224-519e-bea8-228c4adf7043@v1</t>
  </si>
  <si>
    <t>b49a07fc-9355-56bf-89a8-5121ad03ae0b@v1</t>
  </si>
  <si>
    <t>fb705130-aba8-5084-a876-b457e9b11b73@v1</t>
  </si>
  <si>
    <t>86d2395a-2016-5b94-808f-226a9e96da73@v1</t>
  </si>
  <si>
    <t>6a4ad73e-72e2-554a-9279-4e1cf1fd32a4@v1</t>
  </si>
  <si>
    <t>26bc9e3f-05f4-555f-ac00-2e0384d3c09d@v1</t>
  </si>
  <si>
    <t>65830c50-7ba2-5f53-ba0d-e6422633b6c4@v1</t>
  </si>
  <si>
    <t>1a84010b-3c75-54bb-8e3d-8e3b70828967@v1 / MT347-MT752-001-USD-001</t>
  </si>
  <si>
    <t>a449de3b-b3a2-5a26-acf1-c74a5b4454f9@v1</t>
  </si>
  <si>
    <t>beb715d7-f8df-51b5-b917-eb1452ce1c7b@v1</t>
  </si>
  <si>
    <t>2878eb3b-6d7a-54a3-84d6-dee28b120e3a@v1</t>
  </si>
  <si>
    <t>27f941a6-c5c0-5703-82e6-ae2de6294100@v1</t>
  </si>
  <si>
    <t>512fd063-233b-5a78-832b-1cb853ab3c1f@v1</t>
  </si>
  <si>
    <t>9208bcd8-0bb2-55cd-b61b-9bbeed4bc59d@v1</t>
  </si>
  <si>
    <t>708feb89-bd6e-576b-a231-946e5bd272a9@v1</t>
  </si>
  <si>
    <t>08d10d41-380e-5c0d-9bc4-c4774a7af556@v1</t>
  </si>
  <si>
    <t>05dcc172-54ec-5d48-8cb9-9b1e279a7080@v1</t>
  </si>
  <si>
    <t>14d5a63a-1307-591b-9ea3-4889da646ccd@v1</t>
  </si>
  <si>
    <t>f67c761f-f853-506a-a7e4-cf51ad1cde28@v1</t>
  </si>
  <si>
    <t>39ff58af-f6e5-57aa-b10e-482393b81f32@v1</t>
  </si>
  <si>
    <t>41b3c567-cad9-503a-9f6e-aad0ffdda21f@v1 / MT347-MT756-001-USD-001</t>
  </si>
  <si>
    <t>f64a274e-0715-5468-a9b8-daf8ba2d6bfa@v1</t>
  </si>
  <si>
    <t>466849a9-2eff-5fef-810c-210d93bad27a@v1</t>
  </si>
  <si>
    <t>d9a2e99e-6b69-56fc-8552-c1490b0dc409@v1</t>
  </si>
  <si>
    <t>b2555149-921d-5007-80a4-912f2b5cc158@v1</t>
  </si>
  <si>
    <t>4408e144-f8d6-589e-b8f6-0f036f104863@v1</t>
  </si>
  <si>
    <t>83b0eea7-c5d2-5d68-bd0d-39111d502255@v1</t>
  </si>
  <si>
    <t>55d1cb9e-08ae-51d1-951b-933bfe3ce1ed@v1</t>
  </si>
  <si>
    <t>1a5cafaf-ea84-580d-bd91-ce8d306ff367@v1</t>
  </si>
  <si>
    <t>0287ce80-2378-52d1-aa62-057eba4707d5@v1</t>
  </si>
  <si>
    <t>426c3de9-c3ea-5979-bc2d-7b7365a0732c@v1</t>
  </si>
  <si>
    <t>d5a3171c-ac1f-5474-8997-b06554529d4f@v1</t>
  </si>
  <si>
    <t>f309acb6-13e8-54b4-9d01-922b2952218f@v1</t>
  </si>
  <si>
    <t>8f0174c1-0c72-53b0-a5bb-51fa9f9e5b1f@v1</t>
  </si>
  <si>
    <t>d0e4e438-20d8-511d-bb55-c4af9eef9f12@v1</t>
  </si>
  <si>
    <t>bbd01584-cebc-56b6-9116-4f84b73aa90e@v1</t>
  </si>
  <si>
    <t>beae438c-e381-50ec-b08b-dbf7866fd6d2@v1</t>
  </si>
  <si>
    <t>30959339-334d-5f8c-9032-5e476c36c111@v1</t>
  </si>
  <si>
    <t>a6e8c619-967c-5147-84a3-8d2feb5362f6@v1</t>
  </si>
  <si>
    <t>cc41c92f-8fcc-58f6-8dc4-b82d8acc8570@v1</t>
  </si>
  <si>
    <t>0eb401fd-bfa2-537c-8d4a-9a6ed7b53ffb@v1</t>
  </si>
  <si>
    <t>1c81a25c-2cbc-5169-a677-c05392d6a5ea@v1</t>
  </si>
  <si>
    <t>91563b8f-77bf-5d56-a2dd-afdee8955914@v1</t>
  </si>
  <si>
    <t>323aa60d-c730-5b4b-8c0a-020cabc91035@v1</t>
  </si>
  <si>
    <t>b985dcaf-86a5-520a-a62e-3179edc02882@v1</t>
  </si>
  <si>
    <t>4461785b-1a42-5744-a681-f4ccf3ffc533@v1</t>
  </si>
  <si>
    <t>3eb66e1a-2412-5dae-8878-50da0fd1e81c@v1</t>
  </si>
  <si>
    <t>3ba2f81c-6613-57d4-92bd-2d5e0d458d74@v1</t>
  </si>
  <si>
    <t>e642ebf5-0c1f-514d-84e0-b296d3720b1e@v1</t>
  </si>
  <si>
    <t>ac232d18-5db7-5e77-b536-1725c744ff2a@v1</t>
  </si>
  <si>
    <t>6fbf9181-0cde-52ad-9cec-64102937c424@v1</t>
  </si>
  <si>
    <t>fc72a74c-62eb-5c2a-b737-545a131d14b4@v1</t>
  </si>
  <si>
    <t>7612fd83-a88a-5b39-96a1-b837c5299a16@v1</t>
  </si>
  <si>
    <t>6ce3b012-6751-5151-ac58-0a40290b3210@v1</t>
  </si>
  <si>
    <t>cdd1b135-685e-5f6a-861b-926a2b827619@v1</t>
  </si>
  <si>
    <t>9e7cca2f-f88e-5946-8913-60c5bca54d4e@v1</t>
  </si>
  <si>
    <t>33f9b14f-47d5-5130-bb62-20c7375a63e4@v1</t>
  </si>
  <si>
    <t>84371828-e917-5eff-9716-83ea1ba791f7@v1</t>
  </si>
  <si>
    <t>bb9c1e53-d190-5b17-a030-ad2e3fefa75f@v1</t>
  </si>
  <si>
    <t>f5efc44f-8a01-5dbc-882e-33751c2b496c@v1</t>
  </si>
  <si>
    <t>e9b3e312-a3c3-5c25-85c7-5dd3d65470c6@v1</t>
  </si>
  <si>
    <t>24cb4e78-745f-5c5e-8e21-ef9ced829545@v1</t>
  </si>
  <si>
    <t>f02d1d31-1e2f-5282-96cc-b4ba2d67dd8d@v1</t>
  </si>
  <si>
    <t>29c7d789-a5d4-583e-831f-41fa0a75d1be@v1</t>
  </si>
  <si>
    <t>5de7f3bc-daf6-59aa-89f6-a3bf94794508@v1</t>
  </si>
  <si>
    <t>00acdc81-4277-58da-bb92-62e3c0801291@v1</t>
  </si>
  <si>
    <t>5c281312-96ad-57f8-b4fc-167deba11434@v1 / MT347-MT300-016-USD-001</t>
  </si>
  <si>
    <t>177f10d8-8e5b-539e-912b-e8658e66c09f@v1</t>
  </si>
  <si>
    <t>424eecd9-a84f-5f60-8cf3-16c0300f97c8@v1</t>
  </si>
  <si>
    <t>827e08c2-5a77-5604-a96d-ef5708141f95@v1</t>
  </si>
  <si>
    <t>8a66cba7-ab98-5121-9364-6387ecb26c97@v1 / MT347-MT304-016-USD-001</t>
  </si>
  <si>
    <t>f27a31d0-e18b-5565-a054-22e5d18cd351@v1</t>
  </si>
  <si>
    <t>a258df01-7c1d-5370-b235-478369071e16@v1</t>
  </si>
  <si>
    <t>73f92438-7773-551c-95ed-b41cb21d5c52@v1</t>
  </si>
  <si>
    <t>eef9a893-955e-56f1-8840-9c9c54ea0f17@v1 / MT347-MT305-006-USD-001</t>
  </si>
  <si>
    <t>226b2c58-2310-59d4-a2e2-c646a0f979d7@v1</t>
  </si>
  <si>
    <t>a3bcc694-c723-5ad0-ba6f-79c07faf74ab@v1</t>
  </si>
  <si>
    <t>79ea99ad-5672-5aa3-96c3-cbd76ae0741a@v1</t>
  </si>
  <si>
    <t>fd9513ee-b057-50ee-b7ec-8a2419a25b5e@v1 / MT347-MT306-019-USD-001</t>
  </si>
  <si>
    <t>53ca1645-74ac-5a8c-a10f-52fcf84ea4af@v1</t>
  </si>
  <si>
    <t>a1f68302-ab40-5fee-939a-0b5e637eef1e@v1</t>
  </si>
  <si>
    <t>c121e4cd-ece1-582a-8035-1289aea9b9c7@v1</t>
  </si>
  <si>
    <t>ecb61a66-ad84-5108-95d1-1f0cbca0f569@v1 / MT347-MT320-031-USD-001</t>
  </si>
  <si>
    <t>9af16380-ee2a-589a-b8b9-9325cad1ed3b@v1</t>
  </si>
  <si>
    <t>898b728e-d54a-5bf4-8a61-d2f0b5f53941@v1</t>
  </si>
  <si>
    <t>c0d092d2-bee7-5741-927e-fd2ee7147674@v1</t>
  </si>
  <si>
    <t>c1bd4f0f-2c04-54f4-9613-25a2cb163f5e@v1 / MT347-MT330-025-USD-001</t>
  </si>
  <si>
    <t>2b80af7a-2c39-5ea9-94d1-672b6a77bafd@v1</t>
  </si>
  <si>
    <t>19aa884f-bab0-5075-97c9-518c759b7c5e@v1</t>
  </si>
  <si>
    <t>efc0740e-f121-5d2d-bcb7-7ac31fd9291b@v1</t>
  </si>
  <si>
    <t>1af16026-29f4-5e04-9aa1-97e4c00e5973@v1 / MT347-MT340-019-USD-001</t>
  </si>
  <si>
    <t>4ebe5426-0e41-51f0-9d28-d2df1baae0d9@v1</t>
  </si>
  <si>
    <t>3181e997-d393-5f08-b81e-915253b1b7dc@v1</t>
  </si>
  <si>
    <t>cce30c7d-5d09-55b3-a0da-3f82c145feae@v1</t>
  </si>
  <si>
    <t>3d05591e-a553-53ad-a778-ed73610188a7@v1 / MT347-MT341-007-USD-001</t>
  </si>
  <si>
    <t>45103bde-d279-56e8-a1f7-bb4a124961f3@v1</t>
  </si>
  <si>
    <t>63edb152-3a48-5a7d-a945-e2e8c4db3be0@v1</t>
  </si>
  <si>
    <t>696ded28-108d-5799-a756-fd5659b5e192@v1</t>
  </si>
  <si>
    <t>f81e1aba-4195-5a6b-bcbf-0d526e18a9f5@v1 / MT347-MT350-007-USD-001</t>
  </si>
  <si>
    <t>890f6d5f-e1d2-5977-b80c-f6135cc2da5f@v1</t>
  </si>
  <si>
    <t>753f7e02-8dab-5e40-a027-a14fc9a07d50@v1</t>
  </si>
  <si>
    <t>c8da502c-dff7-5aa0-9db5-a163dc3c0fa3@v1</t>
  </si>
  <si>
    <t>746aa0ba-d118-5e18-b32d-2d52fd140df2@v1 / MT347-MT360-029-USD-001</t>
  </si>
  <si>
    <t>fe2b6016-78a8-5f00-93f5-911fcbbc8300@v1</t>
  </si>
  <si>
    <t>1853d0bc-ab30-5dec-ad8d-3670d27a4c5d@v1</t>
  </si>
  <si>
    <t>5cc76bdc-8dfa-5d53-8f27-0b0eb6fa94f6@v1</t>
  </si>
  <si>
    <t>a60ee13b-e0da-57a3-9172-2b2c3ada0cda@v1 / MT347-MT361-043-USD-001</t>
  </si>
  <si>
    <t>d000495d-8487-5d99-a559-ebd3dcbf67ac@v1</t>
  </si>
  <si>
    <t>f53b75b2-1703-5086-b133-8f2e5dd43dee@v1</t>
  </si>
  <si>
    <t>461a8ca2-f252-5ba9-8364-afe6356baa3f@v1</t>
  </si>
  <si>
    <t>bb0268dc-5b74-5059-87b4-4e5cc0bb3f22@v1 / MT347-MT362-015-USD-001</t>
  </si>
  <si>
    <t>82f3a93b-ad7a-5249-aa56-dcbcc4d29c49@v1</t>
  </si>
  <si>
    <t>326d9d07-ff83-507b-97f3-a81c83892131@v1</t>
  </si>
  <si>
    <t>dd1e44ab-c45c-5dc3-8fac-1b82e9409a66@v1</t>
  </si>
  <si>
    <t>9be7d6b3-e1db-59fc-8e0c-ad8fb5754327@v1 / MT347-MT364-013-USD-001</t>
  </si>
  <si>
    <t>836f2c2d-410e-5c14-9b01-a4187bb40981@v1</t>
  </si>
  <si>
    <t>60a01175-5aac-5f9c-b145-b9e14c9765d8@v1</t>
  </si>
  <si>
    <t>b0f13606-ebbf-551b-8e6c-5ec64c130645@v1</t>
  </si>
  <si>
    <t>1a02098f-f157-5b52-b4f9-155d1744f51d@v1 / MT347-MT365-025-USD-001</t>
  </si>
  <si>
    <t>7eeb3a28-0369-5f57-85f9-5ad58813d066@v1</t>
  </si>
  <si>
    <t>62d52c13-c41a-56ab-a2dc-1883a0440359@v1</t>
  </si>
  <si>
    <t>4c8d32ae-558c-5e83-afb5-b65c1bdfc37a@v1</t>
  </si>
  <si>
    <t>dd5fbd17-5e8d-5845-b1b2-15d530167f8d@v1 / MT347-MT400-007-USD-001</t>
  </si>
  <si>
    <t>0de1f3b5-b069-51d4-aba4-260de35bddc2@v1</t>
  </si>
  <si>
    <t>a6ea29ca-338d-50d4-b804-ed49e9503d9f@v1</t>
  </si>
  <si>
    <t>b684d225-4027-56cc-afb6-187d8e1be05b@v1</t>
  </si>
  <si>
    <t>6efde549-97ee-5ed2-aa35-253756c997fe@v1</t>
  </si>
  <si>
    <t>95919353-c033-52ee-b049-59c36686bad4@v1</t>
  </si>
  <si>
    <t>767289b0-a019-533c-8ebd-6231d84122fb@v1</t>
  </si>
  <si>
    <t>9919428c-e1a5-577a-95dc-4dcb7eb199d9@v1</t>
  </si>
  <si>
    <t>3eca0307-a5a0-5ca3-89a2-b184d51c1499@v1</t>
  </si>
  <si>
    <t>15ad969b-0a98-5e19-aa3f-f4ed7b6d0e9f@v1</t>
  </si>
  <si>
    <t>3c027363-d989-5708-8b06-afe72ddd7fff@v1</t>
  </si>
  <si>
    <t>a8ad6261-43c3-5fc0-b9c2-1bb84289bf8c@v1</t>
  </si>
  <si>
    <t>c738fd9c-012f-5e25-a68c-666469dc9577@v1</t>
  </si>
  <si>
    <t>731de042-c0f2-5c62-b7a9-b320a5fadc8f@v1</t>
  </si>
  <si>
    <t>f7af7ee4-eea5-5bae-9ebe-5eb1f4d4c796@v1</t>
  </si>
  <si>
    <t>d22d62d0-c349-55ec-94f1-70da57f49c85@v1</t>
  </si>
  <si>
    <t>bdded572-59b8-535b-b147-832c8189d50a@v1 / MT347-MT752-005-USD-001</t>
  </si>
  <si>
    <t>cbed0059-7026-5e98-bab2-a5df270ca6af@v1</t>
  </si>
  <si>
    <t>84781e7f-f9fa-5609-8c3e-91bd78e5e204@v1</t>
  </si>
  <si>
    <t>b6f5295a-b096-5d2b-b61e-6f593fce91af@v1</t>
  </si>
  <si>
    <t>f8619fef-229a-5248-9c34-75252744a8f5@v1</t>
  </si>
  <si>
    <t>2a72c87d-dc2d-5a90-89ca-7cf95f74a0df@v1</t>
  </si>
  <si>
    <t>0fa4b8c0-337f-50db-afdf-feb1b2643829@v1</t>
  </si>
  <si>
    <t>0de87ec3-b613-5f81-829f-0c0d7e78b2e0@v1 / MT347-MT756-005-USD-001</t>
  </si>
  <si>
    <t>83c4842b-bf84-511b-ba65-1d42ff625488@v1</t>
  </si>
  <si>
    <t>221417b9-2666-569a-8e9d-f4b3db5c3b57@v1</t>
  </si>
  <si>
    <t>3b508fe3-85d0-5650-83e7-7f9b8348e53d@v1</t>
  </si>
  <si>
    <t>92c8022f-112b-59f6-af57-776801410b12@v1</t>
  </si>
  <si>
    <t>c260da0d-c8ac-58ac-b329-8fcba398a26b@v1</t>
  </si>
  <si>
    <t>594c8498-2a8d-5a53-8949-7f3b2da07376@v1</t>
  </si>
  <si>
    <t>3116f054-75d7-5ce6-a0a4-f6be0bcd02e7@v1</t>
  </si>
  <si>
    <t>ffc33473-e052-568f-be7b-f6e3b7444bc4@v1</t>
  </si>
  <si>
    <t>15ba45cc-0a7f-54ca-a8a5-f6f658a9560a@v1</t>
  </si>
  <si>
    <t>23bf2e12-93ca-5ae3-86b2-28d253fd7236@v1</t>
  </si>
  <si>
    <t>17fecba0-e053-5a6a-bd3c-8237e1a50739@v1</t>
  </si>
  <si>
    <t>d8bd0e80-2516-5c1b-8538-ec54ef9e2f92@v1</t>
  </si>
  <si>
    <t>23e2ca87-d97d-5649-bd2a-010e0647e27a@v1</t>
  </si>
  <si>
    <t>e40fa4ef-7ea0-5488-b5b2-ce86007a4539@v1</t>
  </si>
  <si>
    <t>e7f75b3c-372e-58ff-a89c-18977ce066cb@v1</t>
  </si>
  <si>
    <t>187c850f-d369-574c-b9a4-9e18ab1e419f@v1</t>
  </si>
  <si>
    <t>4cb71de9-c041-59bc-98c9-f20b2c8c37be@v1</t>
  </si>
  <si>
    <t>990588a8-4d39-5d1f-951c-84b4054f9059@v1</t>
  </si>
  <si>
    <t>f3f9770b-70ea-5af0-a825-e7a751bbca17@v1</t>
  </si>
  <si>
    <t>c802d887-c60b-528e-a916-6319ca412bfe@v1</t>
  </si>
  <si>
    <t>c18cfa35-1e19-54eb-8d43-ff496797becd@v1</t>
  </si>
  <si>
    <t>2c5b7520-01b2-5d5f-80fe-1237c670aefa@v1</t>
  </si>
  <si>
    <t>c08b96d8-472d-57e5-bfdd-c950878cb1a3@v1</t>
  </si>
  <si>
    <t>a41f4738-3854-5393-8b62-eca13df5b1a7@v1</t>
  </si>
  <si>
    <t>6e772472-966e-5f05-a5e7-fa6f27350ee7@v1 / MT347-MT756-006-USD-001</t>
  </si>
  <si>
    <t>d4766caf-106f-5520-a21a-161958da1ff6@v1</t>
  </si>
  <si>
    <t>291dbd16-3307-5187-8060-2319c24774e6@v1</t>
  </si>
  <si>
    <t>c094b00b-8c08-5709-9009-e9d6fcc79c12@v1</t>
  </si>
  <si>
    <t>3906083a-5d81-5ac3-a8f2-db21048b8b79@v1</t>
  </si>
  <si>
    <t>f487685c-6556-5cd2-8f2d-9a036ac783a1@v1</t>
  </si>
  <si>
    <t>ded6416d-fb2c-5aa5-896c-94fb3d29d1a7@v1</t>
  </si>
  <si>
    <t>39972689-8f9d-5654-b521-768228270877@v1 / MT347-MT756-012-USD-001</t>
  </si>
  <si>
    <t>2e9ad116-bc89-5052-8837-e4cbd1fc759c@v1</t>
  </si>
  <si>
    <t>de8c9920-b13a-509e-bb11-d90ffb6cedc5@v1</t>
  </si>
  <si>
    <t>81e7e8d1-1542-5604-ac44-c7aad03483e0@v1</t>
  </si>
  <si>
    <t>ccd29a5a-c6e1-58f9-984c-037cef09bcfd@v1</t>
  </si>
  <si>
    <t>0bc47589-93b5-56a8-8a47-a227ec4e27c3@v1</t>
  </si>
  <si>
    <t>24831d5b-6a6e-5771-bae1-bca9438c7ff2@v1</t>
  </si>
  <si>
    <t>f60f926b-9339-5bee-ad23-ac6791fc3a87@v1</t>
  </si>
  <si>
    <t>b11eb36e-4b91-5f52-86dd-b119f9bcf82f@v1</t>
  </si>
  <si>
    <t>3de6f0e5-2ff3-5671-804f-30afabe5b594@v1</t>
  </si>
  <si>
    <t>f18101a0-8113-5d4a-b376-34320dfe3b8f@v1</t>
  </si>
  <si>
    <t>105b1a3c-c40a-559c-b5fa-6ad986c323ac@v1</t>
  </si>
  <si>
    <t>3ed0e22e-2854-5487-a2d3-89b23defed42@v1</t>
  </si>
  <si>
    <t>839668f7-59da-5587-b086-b7535c547661@v1</t>
  </si>
  <si>
    <t>1d4f5f4a-23ff-5ba7-b5ba-17d0b84b5827@v1</t>
  </si>
  <si>
    <t>46b67689-5677-55f0-8297-655e9250e77d@v1</t>
  </si>
  <si>
    <t>1e6b784b-5c5d-588e-ab51-86e0d950fbd7@v1</t>
  </si>
  <si>
    <t>31fb022a-1272-5515-9778-5939fdbd16dc@v1</t>
  </si>
  <si>
    <t>a68a2082-342f-5ed6-885e-90f0f47788b8@v1</t>
  </si>
  <si>
    <t>f53a0faa-6c24-5c45-9618-435855ffda4a@v1</t>
  </si>
  <si>
    <t>705a550b-605d-5c38-b706-ecfa3e9c485b@v1</t>
  </si>
  <si>
    <t>d7bada0e-a267-5514-9fe7-742a60345b9a@v1</t>
  </si>
  <si>
    <t>71a776c1-3207-5d0e-84e7-3d636b92e4d3@v1</t>
  </si>
  <si>
    <t>4a780ec2-d95f-5c3f-898d-f018b5329d3c@v1</t>
  </si>
  <si>
    <t>7bc1f546-edbd-5510-94f9-f65fa42e2776@v1</t>
  </si>
  <si>
    <t>292c77a8-b766-5eb7-921b-6c95b9985ef8@v1</t>
  </si>
  <si>
    <t>f34b9973-84af-5817-b4d1-ffae43bfeebe@v1</t>
  </si>
  <si>
    <t>774ec4ff-660a-5875-8d0d-cf71c9706f1f@v1</t>
  </si>
  <si>
    <t>4460a08a-8c25-5d48-b6f0-c27ad4211838@v1</t>
  </si>
  <si>
    <t>78ef238c-ff99-56a5-a2eb-955d5d021d35@v1</t>
  </si>
  <si>
    <t>f8a2c26b-d2df-58d3-b4d4-01fc5b799beb@v1</t>
  </si>
  <si>
    <t>fdf713c4-24c3-5273-9994-52bfd19151a3@v1</t>
  </si>
  <si>
    <t>d3f1c5cf-70cc-5398-8498-362a46669115@v1</t>
  </si>
  <si>
    <t>dcdc2ae3-fb4d-5a07-a03c-19612fd26842@v1</t>
  </si>
  <si>
    <t>92bd6555-d475-53d4-a7e1-141fd757de15@v1</t>
  </si>
  <si>
    <t>5d292148-c4c8-5259-8212-9bd98a10802b@v1</t>
  </si>
  <si>
    <t>677aaeea-b67f-5923-ba01-a330a6aae866@v1</t>
  </si>
  <si>
    <t>9555643c-37f1-5c16-9999-12db2ec75c90@v1 / MT347-MT304-003-USD-001</t>
  </si>
  <si>
    <t>7698d9bc-b437-5719-8d20-44f1be489896@v1</t>
  </si>
  <si>
    <t>9ff0b29b-947b-5230-9a00-f38ce66bcbcf@v1</t>
  </si>
  <si>
    <t>1c2b1717-bdf8-57c7-8b0c-8977e154d149@v1</t>
  </si>
  <si>
    <t>21bd9b0c-e821-5637-a0b8-85f8d94b3fdb@v1</t>
  </si>
  <si>
    <t>c5cbab7a-be9d-5fcd-85cc-7bdbe5e5fc04@v1</t>
  </si>
  <si>
    <t>70619dae-703c-5c3d-b945-ffa1a380158e@v1</t>
  </si>
  <si>
    <t>4269d1b8-6840-5324-b239-24a66106e467@v1</t>
  </si>
  <si>
    <t>1d2c7893-3051-5a52-afc1-4c1429f2af6e@v1</t>
  </si>
  <si>
    <t>846e7734-786d-5c2b-88f7-da0d7e527ae2@v1</t>
  </si>
  <si>
    <t>ed8afdf6-9cc9-5834-89bd-0d5e9a5e6c3a@v1</t>
  </si>
  <si>
    <t>4f2a670a-f23e-5ca6-bd25-e078924fb2b9@v1</t>
  </si>
  <si>
    <t>0fed1ac4-1d4a-5735-979e-fbff2cdfc8cb@v1</t>
  </si>
  <si>
    <t>7cfdc670-a795-5fbe-b8f6-ee2c91caebe9@v1</t>
  </si>
  <si>
    <t>292ecb9c-d1c7-552c-8157-ef5bef0f3a55@v1</t>
  </si>
  <si>
    <t>18610555-b33c-5532-8ffa-a3a272a9aa5e@v1</t>
  </si>
  <si>
    <t>21039ad1-b8b1-5a39-abeb-52af7a02d093@v1</t>
  </si>
  <si>
    <t>7d88c646-32ff-51f4-acec-8849abf383c4@v1</t>
  </si>
  <si>
    <t>e899019a-0cf7-5277-b51e-19de5894ebaf@v1</t>
  </si>
  <si>
    <t>5446d9ce-514b-5838-b9dc-8494999591d7@v1</t>
  </si>
  <si>
    <t>bcade199-7ec9-540f-84fd-20e9d9204457@v1</t>
  </si>
  <si>
    <t>8552df33-9518-565e-92c9-69f140461b1c@v1</t>
  </si>
  <si>
    <t>4d69d0f3-998b-53be-a8af-21cefeccad3c@v1</t>
  </si>
  <si>
    <t>fb1b13f8-9508-565d-a922-c72445036081@v1</t>
  </si>
  <si>
    <t>f4deb580-47cb-58e6-b6c9-89848267f652@v1</t>
  </si>
  <si>
    <t>171dec41-c03e-5559-9e19-6020a057b7f6@v1</t>
  </si>
  <si>
    <t>5bf1f730-38b2-5e61-9f36-1e26cc3ba247@v1</t>
  </si>
  <si>
    <t>c5a5dc1f-76bf-5db4-8607-7462603a6cbe@v1</t>
  </si>
  <si>
    <t>e109752b-07f3-56fd-aa6a-11d34b18738b@v1</t>
  </si>
  <si>
    <t>79835cbc-1943-5e40-a803-8f976f4fa572@v1</t>
  </si>
  <si>
    <t>d8735208-7a36-59c7-91ff-0a45f098dc21@v1</t>
  </si>
  <si>
    <t>1d3e3dc6-29fc-5262-ba7a-60ee549a5591@v1</t>
  </si>
  <si>
    <t>437de773-8085-5431-ac6a-b60a85cb17bb@v1</t>
  </si>
  <si>
    <t>99b4aea0-75a1-5a3d-817c-715a55509df5@v1</t>
  </si>
  <si>
    <t>604eea09-8117-5c11-9bb0-f2862a71ecfa@v1</t>
  </si>
  <si>
    <t>3898b2ed-7460-5e02-9c02-cf7f5293c43f@v1</t>
  </si>
  <si>
    <t>7b07ea9f-5212-537d-928c-83066767ed78@v1</t>
  </si>
  <si>
    <t>12b80e3b-ab95-5960-8af7-4240b220143f@v1</t>
  </si>
  <si>
    <t>0c3c9111-a5ce-58d0-8576-79388918a382@v1</t>
  </si>
  <si>
    <t>843dc7f4-4715-5c00-a973-2ead13681b6c@v1</t>
  </si>
  <si>
    <t>23c4d4a6-14b9-50be-b8b8-53008d4859c1@v1</t>
  </si>
  <si>
    <t>296f8ac2-3d93-556e-ba1e-e1f7e09300ab@v1</t>
  </si>
  <si>
    <t>63075818-0275-55c1-b15f-5118353b244e@v1</t>
  </si>
  <si>
    <t>495e5bed-b856-5fa2-b3d5-60714e25a5c6@v1</t>
  </si>
  <si>
    <t>b37d7a3c-da99-52fc-8e5f-26b13d22db49@v1</t>
  </si>
  <si>
    <t>238ae53d-afd3-5c43-a24d-d7794da8c406@v1</t>
  </si>
  <si>
    <t>04951198-416f-5487-be69-ad83318f4464@v1</t>
  </si>
  <si>
    <t>2a07516b-8aa8-58eb-9cb2-9f698f17b9e5@v1</t>
  </si>
  <si>
    <t>81d92803-334a-5b5c-9bd9-301cbf64b8c6@v1</t>
  </si>
  <si>
    <t>f3cab0cd-7386-5795-9ea0-c7c15c8ca188@v1</t>
  </si>
  <si>
    <t>1e188ce2-8a52-5097-9119-22e0dbd71b78@v1</t>
  </si>
  <si>
    <t>74c4336e-bfb5-584d-8a1f-d80fc02c23ae@v1</t>
  </si>
  <si>
    <t>1a6712b3-f265-5ea9-b2e3-e4e5b541dac0@v1</t>
  </si>
  <si>
    <t>55550eaa-63f3-5639-baca-dc2afc3abf12@v1</t>
  </si>
  <si>
    <t>56aea9ef-a8a7-5d8d-9558-406cec11400c@v1</t>
  </si>
  <si>
    <t>cfe9db65-a63a-57e2-b919-f096eb4e9fb4@v1</t>
  </si>
  <si>
    <t>5d17c965-d763-5190-b6e2-46270b451d50@v1</t>
  </si>
  <si>
    <t>317fdf3c-bb14-5412-a2f2-c9396a0eb311@v1</t>
  </si>
  <si>
    <t>e4489672-aa92-5cf4-9d19-114f5c63b1b1@v1</t>
  </si>
  <si>
    <t>21abcec9-9cf6-53e4-90ba-86c2d5569ccc@v1</t>
  </si>
  <si>
    <t>9b8500cb-cfdb-59ae-a2b8-9cf06520f6fd@v1</t>
  </si>
  <si>
    <t>1ab8919a-4ec6-5d21-b766-a196fe5daaa0@v1</t>
  </si>
  <si>
    <t>dc9126b4-b905-518c-ad10-9dde56ab1348@v1</t>
  </si>
  <si>
    <t>c250db9a-333d-5246-8256-7d202588033c@v1</t>
  </si>
  <si>
    <t>9141a619-2d98-5b57-8f5c-3087131328a1@v1</t>
  </si>
  <si>
    <t>a19bc03a-6372-56d6-a40e-3003ffd99c6c@v1</t>
  </si>
  <si>
    <t>6d09eed9-d7a4-5a12-a513-c93b14fa27ee@v1</t>
  </si>
  <si>
    <t>85fd27c9-a08f-5ff8-931c-c510c7bd16bb@v1</t>
  </si>
  <si>
    <t>eb59e2df-e26f-51ce-96ae-0e0da140b9de@v1</t>
  </si>
  <si>
    <t>69f2573a-86c4-5d4a-9d76-ce0deff4e9ef@v1</t>
  </si>
  <si>
    <t>ecbf5dd8-6e3b-5405-be49-400a4dc0159a@v1</t>
  </si>
  <si>
    <t>1d4739fc-166e-5a90-aec4-f7697e89d1bf@v1</t>
  </si>
  <si>
    <t>97ac23f5-11f5-51b4-9ad4-7551d54275a8@v1</t>
  </si>
  <si>
    <t>6a3926d5-c3d8-5883-bd33-388eb01452d7@v1</t>
  </si>
  <si>
    <t>11263aa3-9114-5e10-b46a-7d379040145c@v1</t>
  </si>
  <si>
    <t>27a229e5-6d1d-599b-aa4e-fe16e9498a9a@v1</t>
  </si>
  <si>
    <t>125dd8e9-c3d8-5450-bc28-c5ceadc1d561@v1</t>
  </si>
  <si>
    <t>5bf5a7c7-e19b-570b-acde-1a25100ec1c8@v1</t>
  </si>
  <si>
    <t>8cd7095f-24c1-5dfc-8992-a2e6d9d98374@v1</t>
  </si>
  <si>
    <t>0241a52c-0f79-5549-8fa4-64a3b38fbb99@v1</t>
  </si>
  <si>
    <t>95993a5a-da52-5c1e-90e6-19764534e9a6@v1</t>
  </si>
  <si>
    <t>2c9118fc-b944-5d8f-b70d-02e161943806@v1</t>
  </si>
  <si>
    <t>8a063d90-6d7b-57c2-bb5c-db3ed73e299f@v1</t>
  </si>
  <si>
    <t>a1952d06-7c6d-5716-b40c-9d975c581dff@v1</t>
  </si>
  <si>
    <t>5ef5d613-d115-5c51-8a4e-3e0757257d93@v1</t>
  </si>
  <si>
    <t>b05aea0c-cc96-5cdf-b8e6-d28d916cd5af@v1</t>
  </si>
  <si>
    <t>96f68bd3-44da-5439-9be4-88cef41e1142@v1</t>
  </si>
  <si>
    <t>cd9f0deb-784c-5389-93a0-1dd4bd48033f@v1</t>
  </si>
  <si>
    <t>1f5d3c14-0a8a-54d8-82c2-49eb827ed20b@v1</t>
  </si>
  <si>
    <t>d3b47e9b-db35-5b51-b3a6-aae894022d9d@v1</t>
  </si>
  <si>
    <t>9c630d05-ade5-537a-a092-bb572fb91268@v1</t>
  </si>
  <si>
    <t>e146ac77-71d2-5ba4-8d1c-aaf86e3d96f3@v1</t>
  </si>
  <si>
    <t>f14842d7-be30-5481-bddf-e3b25a90aa21@v1</t>
  </si>
  <si>
    <t>1553ab50-77d4-5edb-9ab4-3d3b3710c334@v1</t>
  </si>
  <si>
    <t>6a4705c1-aeff-5cdd-b508-7ff9ac14d077@v1</t>
  </si>
  <si>
    <t>746da3f0-e3aa-52fd-951e-958663ab247b@v1</t>
  </si>
  <si>
    <t>4835a3bd-b536-571e-af4b-a988e7e5f67a@v1</t>
  </si>
  <si>
    <t>248d54a0-fbff-544c-84e1-07564766a80a@v1</t>
  </si>
  <si>
    <t>2e339bff-ba3b-5296-a36d-7c423ab17854@v1</t>
  </si>
  <si>
    <t>a2f10725-fa6b-58ad-a0d5-a20032114419@v1</t>
  </si>
  <si>
    <t>6cd24060-2e12-590b-8ae0-8a7e2c97bfd2@v1</t>
  </si>
  <si>
    <t>85231a0e-b43a-5e94-a3e7-89379bccf1be@v1</t>
  </si>
  <si>
    <t>74435a2d-34a0-5650-87b0-91521f1352d3@v1</t>
  </si>
  <si>
    <t>621f5141-8dae-59c5-b2ee-92c86f33448c@v1</t>
  </si>
  <si>
    <t>c0e7a747-e35b-515d-b64f-c1cbaa4a1ef0@v1</t>
  </si>
  <si>
    <t>7fcb7c40-7f15-562a-aa04-1ef4d59d980f@v1</t>
  </si>
  <si>
    <t>f231980b-279c-5a9e-80c5-2f2a2123d483@v1</t>
  </si>
  <si>
    <t>6f6eb23c-c5bc-5d3c-a6ac-09335e7d627e@v1</t>
  </si>
  <si>
    <t>8457599e-212f-5b5a-94ea-713cfb854be4@v1</t>
  </si>
  <si>
    <t>e684a85b-21ae-50b4-97f4-a439b3eb3d67@v1</t>
  </si>
  <si>
    <t>b2456e98-fbf6-5683-9152-b7c7587b2741@v1</t>
  </si>
  <si>
    <t>58ecda53-79e6-572f-9293-adcea531605e@v1</t>
  </si>
  <si>
    <t>dd2a9260-a589-5959-b45e-677c5b09f880@v1</t>
  </si>
  <si>
    <t>a6051ff4-243a-514b-bb41-c59be0c3da76@v1</t>
  </si>
  <si>
    <t>dd8e3d55-c6ce-5752-8097-8dcd65d68861@v1</t>
  </si>
  <si>
    <t>3fe5d413-01f4-5cca-9a7b-1ccd0ff0dd77@v1</t>
  </si>
  <si>
    <t>529661e6-9a4d-58cb-9980-9fc15804e9d8@v1</t>
  </si>
  <si>
    <t>cb08297b-ed59-556f-8050-d40105a07746@v1</t>
  </si>
  <si>
    <t>c5870a5f-6486-5562-b196-a20959d79377@v1</t>
  </si>
  <si>
    <t>1912c10c-f9de-5322-8038-37ce9b32806a@v1</t>
  </si>
  <si>
    <t>155a40c1-4362-5197-994f-239d8fdce094@v1</t>
  </si>
  <si>
    <t>6aaf84bf-4633-5ae1-b0c4-b8ab8ea81144@v1</t>
  </si>
  <si>
    <t>a234280a-ee36-5520-abe9-710c29c9f42f@v1</t>
  </si>
  <si>
    <t>a24b2886-66ac-5d48-9000-3738ee5debbd@v1</t>
  </si>
  <si>
    <t>b445bbe4-3609-51be-bbab-c20acc47ed93@v1</t>
  </si>
  <si>
    <t>1ff6b25b-cdea-58cc-b085-68f3d04327a7@v1</t>
  </si>
  <si>
    <t>8dd37b42-5e22-5ce0-9794-1e41ab347adb@v1</t>
  </si>
  <si>
    <t>aa843238-24ea-5e41-9223-4cd8792a4427@v1</t>
  </si>
  <si>
    <t>ef9299f8-020d-513a-88d7-f50cfe0f095a@v1</t>
  </si>
  <si>
    <t>80194daf-9d48-581b-8196-0ae9e09ad587@v1</t>
  </si>
  <si>
    <t>3c093f27-2eae-52d7-a0c7-3ec7c7666a9d@v1</t>
  </si>
  <si>
    <t>1fa50f23-557b-54c4-a1d1-50bb3d89d678@v1</t>
  </si>
  <si>
    <t>1929ee94-c166-52d6-987e-956f1d7c2fb9@v1</t>
  </si>
  <si>
    <t>0dd23667-2815-5e16-9c77-be4c24532e5f@v1</t>
  </si>
  <si>
    <t>f7c710b8-9aa6-59a1-b8f3-4a2446efde64@v1</t>
  </si>
  <si>
    <t>0bd21117-0eae-5b34-903f-3d3c91b19316@v1</t>
  </si>
  <si>
    <t>4c3c7f18-f9fb-5593-9419-0af393167fd1@v1</t>
  </si>
  <si>
    <t>a3f7d14e-6337-5fc8-ba56-7d81f4642523@v1</t>
  </si>
  <si>
    <t>f69fe9f2-12ee-54cd-90dd-b6e14c8f3628@v1</t>
  </si>
  <si>
    <t>de532f93-2c95-5713-b44b-755f76c9e59e@v1</t>
  </si>
  <si>
    <t>69892abe-2d15-552c-8f00-f93d34025775@v1</t>
  </si>
  <si>
    <t>01fa3acb-7b76-500d-a109-35344899f938@v1</t>
  </si>
  <si>
    <t>f4b2e32f-2208-5bec-bd06-ffa50248e991@v1</t>
  </si>
  <si>
    <t>590ff4fd-8b83-5220-aac4-d8f4ca7b66b0@v1</t>
  </si>
  <si>
    <t>84c7eabe-aceb-558c-92c7-313c2d2b8378@v1</t>
  </si>
  <si>
    <t>3046e979-5149-5049-9838-faa0a8df07d5@v1</t>
  </si>
  <si>
    <t>18446a2f-0a38-5b7e-90c9-1efafd22e99d@v1</t>
  </si>
  <si>
    <t>6341aa74-8d17-59fc-9506-605b6375a430@v1</t>
  </si>
  <si>
    <t>d62dabd4-c1ce-57b1-be03-204b2fbf9928@v1</t>
  </si>
  <si>
    <t>27b20814-c799-59da-96f9-90e015ee6130@v1</t>
  </si>
  <si>
    <t>16c1ac78-abb8-50ab-84e4-a94c5a96a45f@v1</t>
  </si>
  <si>
    <t>b1b91624-4d03-526c-828e-1e1b0a84c9b9@v1</t>
  </si>
  <si>
    <t>d2a8d438-51a9-5176-bc09-7978c6ca8797@v1</t>
  </si>
  <si>
    <t>ceb91628-1809-576b-9e64-a15cf8189366@v1</t>
  </si>
  <si>
    <t>6d9df27d-9ff0-58aa-a76f-4de3714d92b0@v1</t>
  </si>
  <si>
    <t>fdf6d2f9-cd6e-55a8-ac5a-9af43cd0b86b@v1</t>
  </si>
  <si>
    <t>8fae66df-a681-5b47-b87d-9d2f9c579f1e@v1</t>
  </si>
  <si>
    <t>d775734e-4d98-55f9-b075-a36822e5c5f4@v1</t>
  </si>
  <si>
    <t>3b231d1a-5110-507f-a145-ce010d907349@v1</t>
  </si>
  <si>
    <t>530368c2-581d-55ee-a274-7df7c20e4501@v1</t>
  </si>
  <si>
    <t>6d68ef14-bc69-5e4f-bdff-076891918efc@v1</t>
  </si>
  <si>
    <t>754356d2-e5a7-566b-a1c1-cee70b166fb4@v1</t>
  </si>
  <si>
    <t>f5c0e82f-e63c-511a-a07d-ddcd7612e895@v1</t>
  </si>
  <si>
    <t>cc61fa74-eaad-5f79-9bdf-33411d027d11@v1</t>
  </si>
  <si>
    <t>30eab7a5-b045-549d-8665-dce544e76f18@v1</t>
  </si>
  <si>
    <t>8b381aa8-2ca9-56bf-ba9d-9d37cace9ae6@v1</t>
  </si>
  <si>
    <t>488ee514-bac2-5b62-933b-bd42fe87deeb@v1</t>
  </si>
  <si>
    <t>725b1039-5919-5902-81ca-8cd8b2c1f2bc@v1</t>
  </si>
  <si>
    <t>58ecf8fd-c10a-567d-8cee-f27ded7019f6@v1</t>
  </si>
  <si>
    <t>3f7ca4f2-dff5-5b58-881b-c449469f1e94@v1</t>
  </si>
  <si>
    <t>55363e0a-664e-5edd-95fe-97571c8d2f00@v1</t>
  </si>
  <si>
    <t>9e06a2cf-2b2d-54f3-8d8c-ef5813f8c246@v1</t>
  </si>
  <si>
    <t>b464d2cc-53f1-5ec1-b6d6-9d10f3a1fa9b@v1</t>
  </si>
  <si>
    <t>fc29a789-9595-5316-88a2-ba13f5c06422@v1</t>
  </si>
  <si>
    <t>dbdbd96f-ee7d-5719-85e2-29727752220d@v1</t>
  </si>
  <si>
    <t>d4fb806f-206c-5f40-8f17-ef95152c7852@v1</t>
  </si>
  <si>
    <t>3acadf9a-e516-52fb-9b95-004ae5b6163b@v1</t>
  </si>
  <si>
    <t>50ccfdbf-d55f-5d7f-b589-12fc5e7744f0@v1</t>
  </si>
  <si>
    <t>1daad492-36ef-52c5-92b5-b06afd54f255@v1</t>
  </si>
  <si>
    <t>960bd20f-3f71-55a6-bc5c-fd05ce38fe02@v1</t>
  </si>
  <si>
    <t>8be0460a-882d-5564-a595-664a98d4acec@v1</t>
  </si>
  <si>
    <t>fb96c820-dcf6-57fa-b41e-a00c5f92533b@v1</t>
  </si>
  <si>
    <t>8db2783e-5123-5081-8dc0-f4f1a0bb9d18@v1</t>
  </si>
  <si>
    <t>b862580f-fd3d-50ae-9e23-f061ee2301ac@v1</t>
  </si>
  <si>
    <t>be6763a1-c592-5b4e-b13a-82770239b1c9@v1</t>
  </si>
  <si>
    <t>246f39d4-fcb4-52d5-aee9-01d0b0eb7d6a@v1</t>
  </si>
  <si>
    <t>b38eb4ef-ca8b-5a75-84b9-6557e71be0e0@v1</t>
  </si>
  <si>
    <t>78484337-8f70-580e-90ee-c2ebaa1eaedb@v1</t>
  </si>
  <si>
    <t>2ec62d59-73eb-5b6d-930f-320c74f19548@v1</t>
  </si>
  <si>
    <t>79902bb6-8902-5f9b-8411-ad4038bf8ea1@v1</t>
  </si>
  <si>
    <t>8ba63bea-f105-5d4f-9cae-677ecd36e914@v1</t>
  </si>
  <si>
    <t>dd522bf2-9b1b-5a01-9c46-23aaf8a718da@v1</t>
  </si>
  <si>
    <t>96c5d9e7-d465-58cb-9f07-5a69fdadd781@v1</t>
  </si>
  <si>
    <t>9b42f0ac-193e-56c0-bdb6-7e903263ffbb@v1</t>
  </si>
  <si>
    <t>5fc60c88-1fc7-5873-bda0-3023a1afca75@v1</t>
  </si>
  <si>
    <t>f8bfc4c9-0298-54c7-ade7-635c5d1b430e@v1</t>
  </si>
  <si>
    <t>cb2b7af5-7bdf-5f00-8665-6cf01e811c6c@v1</t>
  </si>
  <si>
    <t>af84974a-b72e-5693-8b7d-316a506f005a@v1</t>
  </si>
  <si>
    <t>2b9fbe94-6545-559d-8ae0-1f56499f7c1e@v1</t>
  </si>
  <si>
    <t>191b9f78-5e58-5587-acfc-3b782a32e44a@v1</t>
  </si>
  <si>
    <t>c1a1c32b-2178-52c8-ab5e-9f716916c40f@v1</t>
  </si>
  <si>
    <t>2affe0a7-c9d6-51ec-995b-aed7850fe7a7@v1</t>
  </si>
  <si>
    <t>8b0575c4-b5cc-5cfb-969d-d1de4053cea1@v1</t>
  </si>
  <si>
    <t>8dcfd8c2-be09-5dac-ae89-37b476bb2b40@v1</t>
  </si>
  <si>
    <t>a2579ccb-5263-516a-bb71-3ada03e82289@v1</t>
  </si>
  <si>
    <t>f2ea0a2b-dbef-5076-817e-f139aa5ab14e@v1</t>
  </si>
  <si>
    <t>240b64d0-7f62-554d-ae21-9173a02dd0c8@v1</t>
  </si>
  <si>
    <t>213a84b6-e9bc-5062-9722-919167fcc5e1@v1</t>
  </si>
  <si>
    <t>45918da6-8cef-548a-8624-3e855e09dfa4@v1</t>
  </si>
  <si>
    <t>c585b7d7-e354-58fe-8f58-e744e98a4780@v1</t>
  </si>
  <si>
    <t>e4c45518-e64d-50a7-9e58-b1540f8cf2d1@v1</t>
  </si>
  <si>
    <t>c3de88b5-69f2-59d7-bb5e-95169b96493e@v1</t>
  </si>
  <si>
    <t>714a80c3-fbde-5b2b-b60d-1a8ed1869c93@v1</t>
  </si>
  <si>
    <t>e374c927-2b9b-518b-b057-29603f65e9b7@v1</t>
  </si>
  <si>
    <t>d361b3b8-97fc-56b1-9864-e8ba7e0039a0@v1</t>
  </si>
  <si>
    <t>166dfe09-e4e5-551c-a146-238eb15a9d1d@v1</t>
  </si>
  <si>
    <t>e7e91381-b279-50e2-954a-a991f2860e42@v1</t>
  </si>
  <si>
    <t>3c59a908-b16c-5a6a-861f-ccb17ff4b3a2@v1</t>
  </si>
  <si>
    <t>ea11e2fc-116b-5d66-a250-1c7f36c39f9a@v1</t>
  </si>
  <si>
    <t>ec7d7f1f-2284-5f2e-99ea-cf89488e5b17@v1</t>
  </si>
  <si>
    <t>74bb2b3c-869f-5fd5-a09e-ea50b48cc39a@v1</t>
  </si>
  <si>
    <t>bfcdd3e6-61cb-5d3b-ab5f-a46c4adc6847@v1</t>
  </si>
  <si>
    <t>0e7bfb01-a211-5343-9f9d-0d05c7b131dd@v1</t>
  </si>
  <si>
    <t>a644bfdb-e975-5bf5-b79f-f367392e7f6f@v1</t>
  </si>
  <si>
    <t>8657f556-dcda-51c5-b1c8-b16e2512a6b6@v1</t>
  </si>
  <si>
    <t>b163d120-6659-515e-a492-91894a607b3d@v1</t>
  </si>
  <si>
    <t>735a31b3-0424-5946-b4ec-2cc60af08bcf@v1</t>
  </si>
  <si>
    <t>806e2523-1896-5981-9c49-d311845be2e9@v1</t>
  </si>
  <si>
    <t>eaa8a78c-1316-5998-8840-e542cc23e958@v1</t>
  </si>
  <si>
    <t>fc79ef38-9462-5309-abf6-14a6be5983a5@v1</t>
  </si>
  <si>
    <t>acb2cab0-25ed-5b66-ab42-a9f2d117299d@v1</t>
  </si>
  <si>
    <t>0042f660-cbb7-534f-beb4-c2c953597899@v1</t>
  </si>
  <si>
    <t>76bf95ba-27bf-5074-a508-193417bb7afd@v1</t>
  </si>
  <si>
    <t>74a158b6-a39b-55ec-8e85-012cffee2250@v1</t>
  </si>
  <si>
    <t>173cd6c7-de1a-5e0c-b9fc-be8775e23616@v1</t>
  </si>
  <si>
    <t>9154d20e-78c8-52a0-a0df-b5d4c03a4749@v1</t>
  </si>
  <si>
    <t>222315e9-0abf-5ea1-8365-98a622739a71@v1</t>
  </si>
  <si>
    <t>3444e8f6-1ee5-5be2-8835-9d11403d2588@v1</t>
  </si>
  <si>
    <t>234a2027-8455-5864-ad00-0d4165beb516@v1</t>
  </si>
  <si>
    <t>5c78201a-d421-5b92-835f-432d46ab452a@v1</t>
  </si>
  <si>
    <t>01249bd2-99b9-5a12-8a96-0ab3506cf81f@v1</t>
  </si>
  <si>
    <t>a7c8f27a-f38d-517e-95fe-deb1d3dbf080@v1</t>
  </si>
  <si>
    <t>32c91c67-17c5-50d7-aaf5-cce82b048da7@v1</t>
  </si>
  <si>
    <t>ab6ce4d0-3e6d-5559-a97a-19bc127584d3@v1</t>
  </si>
  <si>
    <t>caa62bcb-f5e3-5a13-acd8-51dcb4b9d4dc@v1</t>
  </si>
  <si>
    <t>ece26aa6-6ab0-5ea3-8210-747ac5fed1bc@v1</t>
  </si>
  <si>
    <t>4da46b9c-33eb-5350-afa6-b646699bcbb2@v1</t>
  </si>
  <si>
    <t>84b4fe0a-1e75-5794-9607-39a16f4a91a5@v1</t>
  </si>
  <si>
    <t>a8594cba-24cb-5fc9-bc47-8de09c6f5980@v1</t>
  </si>
  <si>
    <t>0ed0a6a2-682f-5cd3-85ea-aa018b61e1a0@v1</t>
  </si>
  <si>
    <t>faebc1dd-9251-5304-8860-3e79b16b4dd8@v1 / MT347-MT360-007-USD-001</t>
  </si>
  <si>
    <t>8839e401-7871-5464-be0e-2ae1e7e4e35b@v1</t>
  </si>
  <si>
    <t>837839dc-97a6-501f-80be-b9111df1a314@v1</t>
  </si>
  <si>
    <t>79263c4a-ff21-596e-aebf-e0586e4cffde@v1</t>
  </si>
  <si>
    <t>c7bafab2-cfca-54c7-a493-ad508cfbcd14@v1</t>
  </si>
  <si>
    <t>d5246f7a-6275-5c32-95cc-a4249728c281@v1</t>
  </si>
  <si>
    <t>190d33f7-4c8b-5619-a508-4963064214a7@v1</t>
  </si>
  <si>
    <t>20626e2b-fdec-5396-b134-edd7d8d7052f@v1</t>
  </si>
  <si>
    <t>1305d9b6-9c32-5aff-955a-7339c2af0bfb@v1</t>
  </si>
  <si>
    <t>fcc056c6-0c3c-5853-ab88-0b544ede8729@v1</t>
  </si>
  <si>
    <t>70b2751b-f4be-5c43-b1fb-da17791d8d28@v1</t>
  </si>
  <si>
    <t>37d403e4-7a20-5e5c-a9b8-1545848848b5@v1</t>
  </si>
  <si>
    <t>c6a2ea4a-e70e-5ab7-865e-0eb1655b7eda@v1</t>
  </si>
  <si>
    <t>e5824275-c49a-5cbb-8ef1-d206ba568c11@v1</t>
  </si>
  <si>
    <t>f8990430-7424-5d38-9105-bdfa38e47391@v1</t>
  </si>
  <si>
    <t>94850dfe-41b1-5b49-a392-7655d1ea97d2@v1</t>
  </si>
  <si>
    <t>db6fa851-0a97-5951-a18e-ae7e2d4425b3@v1 / MT347-MT360-014-USD-001</t>
  </si>
  <si>
    <t>64808d5c-8d5a-5c57-b6cc-12f1a61f9fa3@v1</t>
  </si>
  <si>
    <t>e8752d69-dba7-5e04-9b81-ed4ae8929ab5@v1</t>
  </si>
  <si>
    <t>5f848415-3b71-584f-bfbf-b8ae31cba7e3@v1</t>
  </si>
  <si>
    <t>628bffba-ed06-50a8-9f27-e89f89f2508b@v1</t>
  </si>
  <si>
    <t>f9d38065-d18b-5734-bd5d-181fdd9c8705@v1</t>
  </si>
  <si>
    <t>b65999a9-24d7-5d02-9350-f22386e3276e@v1</t>
  </si>
  <si>
    <t>0ca70397-3839-5341-8ef7-bfbc782bf94c@v1</t>
  </si>
  <si>
    <t>0b568798-c836-5baf-9aa8-d54b66e077b9@v1</t>
  </si>
  <si>
    <t>486159b2-6d12-5a2b-8fa4-0a91fe87b516@v1</t>
  </si>
  <si>
    <t>094741bd-b758-5feb-ad5f-bfc7f393f7c1@v1</t>
  </si>
  <si>
    <t>53e37326-9c2a-5bf9-83c4-cdc26d3785df@v1</t>
  </si>
  <si>
    <t>7fd129f4-b421-5b16-97cb-7ef2eee32ccb@v1</t>
  </si>
  <si>
    <t>6cade616-8611-5d04-bfb5-3e7a2b436b2a@v1 / MT347-MT360-021-USD-001</t>
  </si>
  <si>
    <t>611697f2-83f2-5075-9a6d-ea1b2831cf78@v1</t>
  </si>
  <si>
    <t>0c7d6039-4db4-5d20-b602-54c17b574043@v1</t>
  </si>
  <si>
    <t>e2338fc6-6567-5602-944b-8b259973d7f5@v1</t>
  </si>
  <si>
    <t>e0af457d-f6e1-561e-89a8-8c234757f322@v1</t>
  </si>
  <si>
    <t>17626e3f-0e1e-548c-8b0f-32ec5891e65c@v1</t>
  </si>
  <si>
    <t>ca547f27-5311-57bc-bbf5-095816306914@v1</t>
  </si>
  <si>
    <t>42d4a43a-c6ea-5a0b-b6e7-6711590d024d@v1</t>
  </si>
  <si>
    <t>d40a89c9-3d2e-5dc3-816d-b529050e1a7c@v1</t>
  </si>
  <si>
    <t>7537643b-8f32-5fe7-b773-0a86a1204845@v1</t>
  </si>
  <si>
    <t>06117434-5210-587b-abbb-d9324a9b608d@v1</t>
  </si>
  <si>
    <t>0eee4eed-8357-59e6-be0a-7de03938f1d0@v1</t>
  </si>
  <si>
    <t>b65b2527-543c-571f-b5c4-ba514cef5954@v1</t>
  </si>
  <si>
    <t>b022a14a-d400-5bff-a365-85926efa51d2@v1 / MT347-MT360-028-USD-001</t>
  </si>
  <si>
    <t>fc438606-6b0a-5674-a145-5c871a949948@v1</t>
  </si>
  <si>
    <t>8cbd544d-a339-51a9-ba4b-e37591fac750@v1</t>
  </si>
  <si>
    <t>5b3d8f61-be33-5ab4-bf0f-38bb6e2b79d3@v1</t>
  </si>
  <si>
    <t>ad31c1bc-9025-50ff-a3ca-7374b13dfcc4@v1</t>
  </si>
  <si>
    <t>9185675a-3bf6-544c-a011-30c691f7957f@v1</t>
  </si>
  <si>
    <t>053b9619-5c89-5a53-a0c5-89d2602e0ca2@v1</t>
  </si>
  <si>
    <t>c0e0887d-03fa-5282-9266-216c8fb94261@v1</t>
  </si>
  <si>
    <t>3648625c-0f2e-5fcc-ae75-f9df09daa290@v1</t>
  </si>
  <si>
    <t>b15980b5-dac4-5eb7-ab44-43b47c1b8800@v1</t>
  </si>
  <si>
    <t>ffe57734-c395-5bf4-8c44-551ed5674922@v1</t>
  </si>
  <si>
    <t>4c601b6d-b628-597b-b939-760fd8f32229@v1</t>
  </si>
  <si>
    <t>7bced19e-5371-5922-a912-3f0a05feda74@v1</t>
  </si>
  <si>
    <t>72698a22-d648-5d16-95f9-e1e9bc4c8570@v1</t>
  </si>
  <si>
    <t>861cc092-a569-59b5-a1fd-3ccaffed4647@v1</t>
  </si>
  <si>
    <t>51afdd5a-3a70-5d18-b1fc-22b10becf2aa@v1</t>
  </si>
  <si>
    <t>ea6b5f0c-3505-5b62-b50b-53c3c31951d9@v1 / MT347-MT361-007-USD-001</t>
  </si>
  <si>
    <t>41ddce99-371a-5c85-9abf-eb1c1344a3b2@v1</t>
  </si>
  <si>
    <t>c06a6413-3368-5736-994d-4cbeefa3d5a1@v1</t>
  </si>
  <si>
    <t>d0c97ddf-b961-57b2-ac26-e11be7dfe568@v1</t>
  </si>
  <si>
    <t>fc5a8985-1454-5922-9dbb-54a0a0ffe886@v1</t>
  </si>
  <si>
    <t>11666800-cd5c-5c6d-b851-e9e49e704083@v1</t>
  </si>
  <si>
    <t>13c7f485-38d9-5b9d-96c7-5f8f1234ec01@v1</t>
  </si>
  <si>
    <t>9186934e-eccd-57e8-add9-abae9b9527ee@v1</t>
  </si>
  <si>
    <t>46a4def5-94be-5435-b5b0-49271039cc04@v1</t>
  </si>
  <si>
    <t>1dcbf281-2bc8-5825-b27b-e5b430a3b0d3@v1</t>
  </si>
  <si>
    <t>ce242e0b-27a7-5848-9eb4-92a506b072a4@v1</t>
  </si>
  <si>
    <t>0c2e7b70-02dc-5c3a-9eff-4892dbf5c05e@v1</t>
  </si>
  <si>
    <t>5a4cb11d-69b5-5e2d-b209-3f9269a5464e@v1</t>
  </si>
  <si>
    <t>a1555635-2f7a-551b-a30f-23314e973033@v1</t>
  </si>
  <si>
    <t>57c38422-a53b-500a-8baf-61eabb849d59@v1</t>
  </si>
  <si>
    <t>fd0cfcf9-9869-524e-9e12-6d8644f1f4ea@v1</t>
  </si>
  <si>
    <t>4f00cda6-f1ac-572d-b481-dd9c7ce25ccc@v1 / MT347-MT361-014-USD-001</t>
  </si>
  <si>
    <t>da22bc8f-f3a3-5a56-8ce6-b5e4afd7e22a@v1</t>
  </si>
  <si>
    <t>43887968-b267-5b3a-b70d-04ad053fed3b@v1</t>
  </si>
  <si>
    <t>9adadd97-bef3-5638-b62a-262b069b60c8@v1</t>
  </si>
  <si>
    <t>932e96f3-7a85-50a4-a59f-30da1f043d26@v1</t>
  </si>
  <si>
    <t>de5aaae8-ee8f-578a-82b9-b1c78c8da742@v1</t>
  </si>
  <si>
    <t>bdd68309-c89f-54db-98f8-b756a2ffa9c0@v1</t>
  </si>
  <si>
    <t>09013f68-925a-5fb9-adf6-18363830881c@v1</t>
  </si>
  <si>
    <t>b8748d52-a303-5e2b-94df-328ffcd8d30a@v1</t>
  </si>
  <si>
    <t>19f0b408-7823-52f4-83a2-e5085b2c773d@v1</t>
  </si>
  <si>
    <t>f8e67136-2ec3-5e81-9d09-703a205cfc05@v1</t>
  </si>
  <si>
    <t>a014e308-0a77-5f5e-9181-9a905059eff0@v1</t>
  </si>
  <si>
    <t>9cb39234-e183-5382-940c-54ec1322a566@v1</t>
  </si>
  <si>
    <t>024e5b56-4092-545b-8f0a-bf0b50caa46c@v1</t>
  </si>
  <si>
    <t>9913d391-6a45-5521-890b-b410f9b99570@v1</t>
  </si>
  <si>
    <t>4998fd4e-b923-59fc-b7e3-e75cc3b79a94@v1</t>
  </si>
  <si>
    <t>831fcc8d-5d9a-5611-b89e-7f3f8d3d49ce@v1 / MT347-MT361-021-USD-001</t>
  </si>
  <si>
    <t>1689d115-40a0-5fb9-b933-c3b5d2af246d@v1</t>
  </si>
  <si>
    <t>7c65dc8d-87d8-5f06-b0c4-8a5b9e6e53a4@v1</t>
  </si>
  <si>
    <t>bb282c60-cfd7-597e-8e6d-e0aa999479b3@v1</t>
  </si>
  <si>
    <t>c35875a7-61a2-5437-a83a-50093e7b05a3@v1</t>
  </si>
  <si>
    <t>a5612bff-aa76-54c3-8593-9c8f1f188b55@v1</t>
  </si>
  <si>
    <t>e5cf0989-7cef-550e-990f-8e4fb41962f1@v1</t>
  </si>
  <si>
    <t>589a0f73-afea-53ee-a28e-7be5093d5a63@v1</t>
  </si>
  <si>
    <t>4d5a396d-4dc5-5425-b1ed-5514d05ed2da@v1</t>
  </si>
  <si>
    <t>1a81be28-4af4-5351-bb0a-3ad000140d57@v1</t>
  </si>
  <si>
    <t>88ec182e-a2d6-56b6-915b-079dc06ffc83@v1</t>
  </si>
  <si>
    <t>a17a04b1-a80c-5869-86a8-b2445cac3572@v1</t>
  </si>
  <si>
    <t>724921c0-5a96-53f4-aa05-62440fe5bf08@v1</t>
  </si>
  <si>
    <t>15174de6-2983-5523-a79b-e375c89efb60@v1</t>
  </si>
  <si>
    <t>d48b993a-ca6c-5059-bfe6-7e3e3d297faf@v1</t>
  </si>
  <si>
    <t>8068b387-38f1-529b-b86d-85da12c76384@v1</t>
  </si>
  <si>
    <t>40336278-5e46-5bc8-9b24-fc9dca69de38@v1 / MT347-MT361-028-USD-001</t>
  </si>
  <si>
    <t>9a20c42d-b697-5dd9-8fbc-a7adc5ab621e@v1</t>
  </si>
  <si>
    <t>c0052b28-62a6-5095-bd7b-1d424fb48a11@v1</t>
  </si>
  <si>
    <t>d0eee46c-2cc3-52d6-9f83-99ab719994b2@v1</t>
  </si>
  <si>
    <t>d0d5a09d-3fcd-5326-8412-4fe1cea8caee@v1</t>
  </si>
  <si>
    <t>17e0b297-7236-5d1f-b0ea-0641cca6929c@v1</t>
  </si>
  <si>
    <t>59e734fb-01d6-5ebd-9ada-ceccdf37949d@v1</t>
  </si>
  <si>
    <t>10124746-f7f3-5e5e-8823-f1fe43ff0de8@v1</t>
  </si>
  <si>
    <t>c52409e1-a3f1-5e7a-9af8-e051db01fd20@v1</t>
  </si>
  <si>
    <t>e8fc09f4-22c2-56d7-9ef1-f05f06155f14@v1</t>
  </si>
  <si>
    <t>952e40ad-f988-5e07-a487-d8c5294e55ca@v1</t>
  </si>
  <si>
    <t>399b4db4-73c2-5b1e-9aa6-3ca622fd7f84@v1</t>
  </si>
  <si>
    <t>7ee6fa8f-8d10-55bc-8281-f4301fef1aa5@v1</t>
  </si>
  <si>
    <t>71985a68-60e0-52d8-9d7c-384df7e71964@v1 / MT347-MT361-035-USD-001</t>
  </si>
  <si>
    <t>ef8dd98b-8e54-569f-9661-53785bc55534@v1</t>
  </si>
  <si>
    <t>be505d56-4649-58ac-9436-1cf34d22f42f@v1</t>
  </si>
  <si>
    <t>744e7840-6267-5623-a556-c5943f8d89a9@v1</t>
  </si>
  <si>
    <t>bc6740ab-77b6-57b0-a715-282024dc7cb3@v1</t>
  </si>
  <si>
    <t>d8660484-8090-5c98-a14d-332d896fbf93@v1</t>
  </si>
  <si>
    <t>911edeb4-198a-516a-a67b-2497a8d75e39@v1</t>
  </si>
  <si>
    <t>d9a4fc70-72b6-5319-b715-0db306ad9cd5@v1</t>
  </si>
  <si>
    <t>0a1326c9-6636-57d9-b3e5-a282d0c55f44@v1</t>
  </si>
  <si>
    <t>9832ae9f-6b3c-5c93-b4cb-8f57b1a4acab@v1</t>
  </si>
  <si>
    <t>a71f35f7-047c-5dbc-ae99-50a5b1a1cb32@v1</t>
  </si>
  <si>
    <t>b5885cfd-6fa1-57ec-b1b0-2607dabca450@v1</t>
  </si>
  <si>
    <t>ef2cff81-4e31-597c-9a8c-9b033c61137f@v1</t>
  </si>
  <si>
    <t>069aeb65-81b7-58ca-a365-a1d49e9d0546@v1 / MT347-MT361-042-USD-001</t>
  </si>
  <si>
    <t>e7d84d84-9e64-5f61-8c6f-d15f69fa42b6@v1</t>
  </si>
  <si>
    <t>7199cce8-e3f5-598d-a067-064f54d97236@v1</t>
  </si>
  <si>
    <t>e326d398-130f-5aa9-ae98-4b5537e77fcf@v1</t>
  </si>
  <si>
    <t>98c32541-34e8-52bd-a23b-395ea983af82@v1</t>
  </si>
  <si>
    <t>3f9841c5-17a3-59fa-a150-a2c68d390a1f@v1</t>
  </si>
  <si>
    <t>b6186bea-c613-5e70-83e0-cb20a3e3d773@v1</t>
  </si>
  <si>
    <t>0aa47d8f-9484-53e2-b2ad-dc16aabdc616@v1</t>
  </si>
  <si>
    <t>bd33027e-bb61-51ad-a1e7-59dec2e1d7da@v1</t>
  </si>
  <si>
    <t>73ed51eb-2a9b-581c-b898-d328284063f9@v1</t>
  </si>
  <si>
    <t>e7aaed04-069d-553b-a014-e7eca6d16af4@v1</t>
  </si>
  <si>
    <t>6397606b-43c8-56a9-9d31-afa505064150@v1</t>
  </si>
  <si>
    <t>5a4aa3c5-f6ef-5d00-a9ac-2b286fd22cdd@v1</t>
  </si>
  <si>
    <t>905b9547-eeac-588e-a5b5-a6a8650ef958@v1</t>
  </si>
  <si>
    <t>526b546a-c1b6-5e81-b239-49fba2bf9e98@v1</t>
  </si>
  <si>
    <t>f5785df8-4dd1-5deb-bc2f-aa76e8bc2db6@v1</t>
  </si>
  <si>
    <t>69c21833-2cca-5c89-b296-226a6e02ff16@v1</t>
  </si>
  <si>
    <t>e1afccac-e922-5441-9bc4-4a458cb5825a@v1</t>
  </si>
  <si>
    <t>8742a23d-e60a-5f55-a6b6-239fbffedf7b@v1</t>
  </si>
  <si>
    <t>5a80654b-b96f-5a3d-a4cf-ef6c81ce0c66@v1</t>
  </si>
  <si>
    <t>3860e54b-c6cc-5e25-a59a-22cc56cc61ba@v1</t>
  </si>
  <si>
    <t>a2ad5403-acb0-5a28-876a-d2d0532f1595@v1</t>
  </si>
  <si>
    <t>b6d59397-5b52-5daa-a598-9dd4c543c822@v1</t>
  </si>
  <si>
    <t>1bb64742-cf43-53d9-a8e8-9e5e0be96907@v1</t>
  </si>
  <si>
    <t>51a5bf39-5602-538d-9e78-41ee8f676dcd@v1</t>
  </si>
  <si>
    <t>bfe6c34d-2499-5291-ad08-d6a848977c53@v1</t>
  </si>
  <si>
    <t>45727e69-4da3-54eb-baf0-efcd91c0c1c2@v1</t>
  </si>
  <si>
    <t>6dd6af2f-e095-5c56-8ee7-6a7ae0b47236@v1</t>
  </si>
  <si>
    <t>a33a5d7a-ba17-5e95-af8c-53e3279049f9@v1</t>
  </si>
  <si>
    <t>a76d0f43-6d67-585f-9910-03d720531fc0@v1</t>
  </si>
  <si>
    <t>134e3438-14cd-56b5-b902-e6f66fc3dbfb@v1</t>
  </si>
  <si>
    <t>3a986eda-3551-5f59-aea4-b6b94b038c15@v1</t>
  </si>
  <si>
    <t>1e718568-4005-51a2-ae74-61ca1671d34e@v1</t>
  </si>
  <si>
    <t>ab4b209d-3b5c-5605-bf2a-137e5191832d@v1</t>
  </si>
  <si>
    <t>4774f782-2514-5d22-950b-ba46b4db2cb6@v1</t>
  </si>
  <si>
    <t>1bb0b01e-804a-583b-9137-3b9af8c234e6@v1</t>
  </si>
  <si>
    <t>b7df7b05-a296-5bde-ab83-32edcf8fba09@v1</t>
  </si>
  <si>
    <t>74e601d2-0d3e-577e-8e95-b07c8a25184d@v1</t>
  </si>
  <si>
    <t>602fc131-7b5a-5af2-a759-211c0aecffe3@v1</t>
  </si>
  <si>
    <t>10fe2037-5e30-590a-ab6c-995c3075d27c@v1</t>
  </si>
  <si>
    <t>677adf33-4834-56bf-ba67-52c2c35e08d0@v1</t>
  </si>
  <si>
    <t>01439488-f3a9-57dd-85cd-38bba2f635d9@v1</t>
  </si>
  <si>
    <t>7d7f2bdf-587d-5070-afcb-165d30ad60d6@v1</t>
  </si>
  <si>
    <t>1dee7346-47d5-5bd2-8438-27240ef9dffc@v1</t>
  </si>
  <si>
    <t>ffabaf8f-85ae-54a2-ab68-d879cf303b81@v1</t>
  </si>
  <si>
    <t>40ca6807-e74f-5db1-9a76-162d67f34ecf@v1</t>
  </si>
  <si>
    <t>7a8ee4c8-f92e-5353-a111-de2b09b3614f@v1</t>
  </si>
  <si>
    <t>a2e8838a-37fc-59f6-9312-29f983609f6b@v1</t>
  </si>
  <si>
    <t>5dff9521-1613-56c8-9477-9e2783066a51@v1</t>
  </si>
  <si>
    <t>f44e7172-8445-5556-a7b1-0dbc2b80f8c3@v1</t>
  </si>
  <si>
    <t>877ae68a-e573-5990-97ad-741c7336722e@v1</t>
  </si>
  <si>
    <t>33cf90b1-8872-5fcb-9ce2-7f3e61de4f17@v1</t>
  </si>
  <si>
    <t>67b51db6-0606-54a1-82dc-4a2253582fd9@v1</t>
  </si>
  <si>
    <t>d3f5d838-429b-5d0c-8c3c-42a4ca2ead83@v1</t>
  </si>
  <si>
    <t>c132eae6-daf4-5b8f-aa1a-0598000e5b12@v1</t>
  </si>
  <si>
    <t>10c905e1-1dee-5d1d-a68c-6fd10d769bb2@v1</t>
  </si>
  <si>
    <t>2446f062-b3ad-5256-8424-bb96282807b6@v1</t>
  </si>
  <si>
    <t>502eaa76-56e5-5866-90c6-7c6552adb92a@v1</t>
  </si>
  <si>
    <t>4086c6bb-d34e-583d-8383-2dc5eaff89b5@v1</t>
  </si>
  <si>
    <t>c6362d78-909d-5aab-b6e5-bf3d3317f148@v1</t>
  </si>
  <si>
    <t>3a144b5a-aa58-543b-9f77-629352f761a8@v1</t>
  </si>
  <si>
    <t>a3e3b5d5-d859-5270-be5a-c5bc4b525151@v1</t>
  </si>
  <si>
    <t>be277a3e-71c8-55f7-bd1e-e60dfbe5b9dc@v1</t>
  </si>
  <si>
    <t>38e3ced6-0b21-5bc5-8cbd-c88ae16e28db@v1</t>
  </si>
  <si>
    <t>4e7a862e-d765-5426-8ff1-c6a8858a4845@v1</t>
  </si>
  <si>
    <t>57acf0fd-a3d4-5151-8f02-c19a244df332@v1</t>
  </si>
  <si>
    <t>66b7a3e4-ba03-5097-9ddb-034e9c416eec@v1</t>
  </si>
  <si>
    <t>34caa4c3-f5e0-5ce9-9961-616b446dd834@v1</t>
  </si>
  <si>
    <t>b62b6a03-6cfa-5be5-8ca9-672e2a4bfb19@v1</t>
  </si>
  <si>
    <t>e4e06f51-1181-5fd8-a43b-8c388490796b@v1</t>
  </si>
  <si>
    <t>bbbf489b-f78f-5020-8e6b-9a384172a3f9@v1</t>
  </si>
  <si>
    <t>deb834a0-e585-5065-83c0-71f88aba8c27@v1</t>
  </si>
  <si>
    <t>8cfcae83-21ff-55f7-93af-d088810faa0f@v1</t>
  </si>
  <si>
    <t>88e7f7b1-a2b5-5547-bd1c-49efd5844fe0@v1</t>
  </si>
  <si>
    <t>28d1f2c0-988f-5412-b159-a7e08add2421@v1</t>
  </si>
  <si>
    <t>32e7080c-9fa4-5161-a574-22452c1ffe1a@v1</t>
  </si>
  <si>
    <t>4924fe26-75ae-5d3b-b48d-2a82a40690eb@v1</t>
  </si>
  <si>
    <t>19b030ee-9bcf-5d0b-a79d-8650531cbefc@v1</t>
  </si>
  <si>
    <t>6b3e11f5-323a-50c0-9196-eb04a7a8fb6d@v1</t>
  </si>
  <si>
    <t>497ff345-7bb6-5e96-ba4c-037b9dfec939@v1</t>
  </si>
  <si>
    <t>659b4387-80a4-5beb-9f2b-c407bb91ccaa@v1</t>
  </si>
  <si>
    <t>f89d9291-b95d-5756-869c-29bed5db7c24@v1</t>
  </si>
  <si>
    <t>9d7d9896-a10f-5aca-b9d7-5d14a3bb819e@v1</t>
  </si>
  <si>
    <t>83a10e2c-2f35-5216-992c-b908ab57556c@v1</t>
  </si>
  <si>
    <t>dc698b9e-f3e9-5b5b-bffe-84c7baaf234d@v1</t>
  </si>
  <si>
    <t>74054e7a-0457-5ea1-9d67-368a99c391d7@v1</t>
  </si>
  <si>
    <t>a7f51cf4-6ca8-56b1-9bc3-cd35ca2fa0f3@v1</t>
  </si>
  <si>
    <t>6c712d04-0b4b-588e-afde-eac6bdb271d3@v1</t>
  </si>
  <si>
    <t>8c92ccab-3764-58a9-9945-717df83df63e@v1</t>
  </si>
  <si>
    <t>52fdac61-0dfe-5a3b-8bef-ba17db0ce8f2@v1</t>
  </si>
  <si>
    <t>428ac764-d9ad-538d-8249-9fc6b947dde6@v1</t>
  </si>
  <si>
    <t>e681734d-2c33-5a8d-b94c-1077bd388847@v1</t>
  </si>
  <si>
    <t>fa25fee2-7984-534e-8607-a92e1c693e0d@v1</t>
  </si>
  <si>
    <t>a04a8f03-bb89-5c8b-9ac5-13dfd7a8eb0e@v1</t>
  </si>
  <si>
    <t>4c9b527c-2efa-5030-bc9f-ce6c0302f4d5@v1</t>
  </si>
  <si>
    <t>f96db86c-c9d9-51b6-96b6-a139e48d8829@v1</t>
  </si>
  <si>
    <t>674b3dfd-98de-52b2-a5a3-a17d89afe3a7@v1</t>
  </si>
  <si>
    <t>f1982add-c3ab-5a19-a3d7-32ba90f0755b@v1</t>
  </si>
  <si>
    <t>9c82f6fa-e06d-59a3-950e-bda5b532005f@v1</t>
  </si>
  <si>
    <t>ede726ef-df9d-52e3-8f96-3136f1e59765@v1</t>
  </si>
  <si>
    <t>51fedda7-b144-5cd7-b981-155eb0507f98@v1</t>
  </si>
  <si>
    <t>74d610f3-c8d0-5923-ab90-4d2fe7465caf@v1</t>
  </si>
  <si>
    <t>eadfebd5-f1b2-557c-ab70-d0520a06ecbc@v1</t>
  </si>
  <si>
    <t>41199439-e8c1-5d6a-86f7-4187e165689d@v1</t>
  </si>
  <si>
    <t>d09806b5-0559-5249-877c-860c87bee40d@v1</t>
  </si>
  <si>
    <t>004a2b4b-41be-5105-897a-61e94a568aa4@v1</t>
  </si>
  <si>
    <t>010544e4-bee5-54a8-8594-c5b2175659f6@v1</t>
  </si>
  <si>
    <t>d9146149-8b9a-5f6e-ba05-d8df92f63467@v1</t>
  </si>
  <si>
    <t>699424c4-a90e-5b83-ac72-fef0bef83d8f@v1</t>
  </si>
  <si>
    <t>56f9dbda-beb0-5d75-9d62-51c154207c7d@v1</t>
  </si>
  <si>
    <t>d28737c0-32d7-5ae4-8180-5bad23fcd34b@v1</t>
  </si>
  <si>
    <t>03a2dcd1-f03e-5d67-8f29-6a92e47edc0a@v1</t>
  </si>
  <si>
    <t>f0b875ba-e6dc-5c84-8eb3-64e0f63027e5@v1</t>
  </si>
  <si>
    <t>3051147e-5a20-52e4-939d-ad1399d38aa8@v1</t>
  </si>
  <si>
    <t>594644ec-f2b0-5aeb-a85a-48f570a5f512@v1</t>
  </si>
  <si>
    <t>49fe5d57-095e-5fc6-a6c9-7e804247c203@v1</t>
  </si>
  <si>
    <t>bad4347b-ce1d-52b9-bd19-56f25b1294a8@v1</t>
  </si>
  <si>
    <t>447d98eb-1d8b-5aba-8a26-343b12b3d85e@v1</t>
  </si>
  <si>
    <t>57aea603-357a-5832-a189-a0d40b9b4a1f@v1</t>
  </si>
  <si>
    <t>29ca672e-5918-52b1-aaa1-4b665b6426c8@v1</t>
  </si>
  <si>
    <t>ae34cd26-40b2-5662-8396-23892ca61c31@v1</t>
  </si>
  <si>
    <t>09412e18-e40b-5e67-b3e6-f10e63e61699@v1</t>
  </si>
  <si>
    <t>711342e1-2d0f-54e4-9e9f-a66f58a5a7d4@v1</t>
  </si>
  <si>
    <t>584b29a9-da12-509c-a113-40c5b83a3724@v1</t>
  </si>
  <si>
    <t>cdec06b5-a46d-51b9-86bb-52c030804a8a@v1</t>
  </si>
  <si>
    <t>d756c7f9-09c1-5c9c-ae52-f52888e4601c@v1</t>
  </si>
  <si>
    <t>d98a9d9c-399a-59fc-a271-3c13e695d0c9@v1</t>
  </si>
  <si>
    <t>e1f65eb9-081a-54d2-948b-65b48fed64a6@v1</t>
  </si>
  <si>
    <t>95255886-9c85-5e25-b4e2-9d8c17ff8e1d@v1</t>
  </si>
  <si>
    <t>a61b4776-3adf-5f29-8077-8212fdf140ce@v1</t>
  </si>
  <si>
    <t>8c581e2a-0456-53d1-b0f9-88ed85bdc5eb@v1</t>
  </si>
  <si>
    <t>55fcb509-34da-54e5-80ca-f1d301064790@v1</t>
  </si>
  <si>
    <t>3a84bf94-996f-59db-97fe-31bf31e9f2d5@v1</t>
  </si>
  <si>
    <t>39446059-4b8a-5ed9-aed7-3f9738359f30@v1</t>
  </si>
  <si>
    <t>5af91590-dfc3-5175-80e1-9cc7f47d2408@v1</t>
  </si>
  <si>
    <t>2f108cee-2363-5864-a7e7-84d29a46ad1b@v1</t>
  </si>
  <si>
    <t>270f13b2-e042-55c8-a2e4-f44beceeeafd@v1</t>
  </si>
  <si>
    <t>b03cb126-db75-5d85-83a2-4c8959710243@v1</t>
  </si>
  <si>
    <t>885d96d1-dadc-5e13-9b17-67ff59306ff3@v1</t>
  </si>
  <si>
    <t>c29b8add-4c18-5baf-99bc-bccf1696ec5b@v1</t>
  </si>
  <si>
    <t>ec25c6fc-c6bb-5b5d-b2ab-79ead3836694@v1</t>
  </si>
  <si>
    <t>21d13005-3d8f-5075-a61a-f2617af4de7a@v1</t>
  </si>
  <si>
    <t>8f7fb5d6-44ee-5893-aaea-6d165d99f7d7@v1</t>
  </si>
  <si>
    <t>e692420d-6ec9-597e-9943-6835c78ee352@v1</t>
  </si>
  <si>
    <t>b1d4c574-cbc4-5633-85bc-354681532e9c@v1</t>
  </si>
  <si>
    <t>dcd4767d-88e6-538e-a29b-8ede58ab48e2@v1</t>
  </si>
  <si>
    <t>7d2d8be2-2e0f-5d03-8d00-ef3427b4c6a1@v1</t>
  </si>
  <si>
    <t>b6ab0526-4780-5e7e-8fb3-12ded0226d96@v1</t>
  </si>
  <si>
    <t>19761003-f244-5fb9-89c7-506cc335ac37@v1</t>
  </si>
  <si>
    <t>ae2153df-b997-51e5-80a6-5626ed926e11@v1</t>
  </si>
  <si>
    <t>ba2559d4-6d74-59d7-96b9-ad7ed20424e5@v1</t>
  </si>
  <si>
    <t>13d800c3-19a9-5ea9-9c41-649aff05a031@v1</t>
  </si>
  <si>
    <t>e403fd0d-f19a-595b-b0c6-5d9e5fa7104a@v1</t>
  </si>
  <si>
    <t>1ba0e24a-8589-585c-b3e8-82fddf7099fb@v1</t>
  </si>
  <si>
    <t>b247590d-1dfd-5ad2-907f-e71580f7e864@v1</t>
  </si>
  <si>
    <t>3af5fe34-672b-5fdf-b61c-642e0f721e97@v1</t>
  </si>
  <si>
    <t>bebafe8d-d278-58cf-9a9b-49833ba1009d@v1</t>
  </si>
  <si>
    <t>4964bda7-596e-5024-b5bb-0daf7ead8ab8@v1</t>
  </si>
  <si>
    <t>1e87b366-ceda-5844-b05e-1b204a9faaef@v1</t>
  </si>
  <si>
    <t>7d287155-4d45-5fb6-8f58-222076da8060@v1</t>
  </si>
  <si>
    <t>990dbb92-5664-5215-b2de-fd5a3b16466e@v1</t>
  </si>
  <si>
    <t>ba7f8c5b-3a61-52c2-bbe5-6e7ca38103da@v1</t>
  </si>
  <si>
    <t>38ca5198-53f9-5281-8314-fa329ec62345@v1</t>
  </si>
  <si>
    <t>a33da442-5afc-5dee-8348-968a49cd7216@v1</t>
  </si>
  <si>
    <t>c10f2c43-ed0d-57e3-9664-478774d347c5@v1</t>
  </si>
  <si>
    <t>aeca5f06-f8ed-5898-bbaf-a25d9d3ebd0e@v1</t>
  </si>
  <si>
    <t>67c1fdc3-6b03-5f00-9533-99e617b48f85@v1</t>
  </si>
  <si>
    <t>21ba0104-8417-5593-b263-cfd1216dbff5@v1</t>
  </si>
  <si>
    <t>ca6d3c07-ebfd-59b6-883a-6966b72ce73e@v1</t>
  </si>
  <si>
    <t>5f48468b-0333-5389-825f-e92de66312e9@v1</t>
  </si>
  <si>
    <t>984bc15d-7e7c-5a83-966d-c790ab8137fd@v1</t>
  </si>
  <si>
    <t>7fa49906-da67-55b7-ac9f-c1f2f755b083@v1</t>
  </si>
  <si>
    <t>2e2cd13c-825a-5bc2-af29-1b5b1e63389c@v1</t>
  </si>
  <si>
    <t>58a30b01-a4a8-5183-a427-9f8c767d18ea@v1</t>
  </si>
  <si>
    <t>cbaae954-70ea-523a-ab37-1eb8033ef379@v1</t>
  </si>
  <si>
    <t>fc4ae74f-6f8d-5b07-9fd3-8093c75b7a05@v1</t>
  </si>
  <si>
    <t>2fe4c1d7-3950-5ecd-951d-a1d0935add5b@v1</t>
  </si>
  <si>
    <t>a51f9018-6688-5a58-91b0-70e8af94fe34@v1</t>
  </si>
  <si>
    <t>bfd05bf1-9d40-5e8e-9868-13d3975e1725@v1</t>
  </si>
  <si>
    <t>ee081ae8-249e-5a95-b376-8875237b7346@v1</t>
  </si>
  <si>
    <t>14355d80-b455-5f76-b781-d540acf2d7af@v1</t>
  </si>
  <si>
    <t>ad8838f3-5ca8-5ba6-9d93-bc383f526870@v1</t>
  </si>
  <si>
    <t>5912d6a2-9881-5b42-acf6-1c3b8aed6d65@v1</t>
  </si>
  <si>
    <t>a3407518-aa9c-5efd-9192-403a5365dcdc@v1</t>
  </si>
  <si>
    <t>863cba34-401d-5d15-b4c3-5fae8658fe41@v1</t>
  </si>
  <si>
    <t>ce079ff9-bd90-5acd-8343-c1c8ffce1850@v1</t>
  </si>
  <si>
    <t>e7d3d5e8-5934-59ce-8ed2-3b145e158211@v1</t>
  </si>
  <si>
    <t>a1557c46-b901-5fbf-bacb-f5c85ebc506e@v1</t>
  </si>
  <si>
    <t>d437d036-bde0-577c-a58f-d80f7f67d3ab@v1</t>
  </si>
  <si>
    <t>982f07a8-3dc2-52a1-999a-a61a19313cdd@v1</t>
  </si>
  <si>
    <t>d75ee40d-72b3-5fb4-9bd3-00e07382b195@v1</t>
  </si>
  <si>
    <t>f4c6e8bb-7b71-52ab-b114-e0d6ef4d550e@v1</t>
  </si>
  <si>
    <t>3d7880c5-58f2-5bf3-8d9b-61be768041fb@v1</t>
  </si>
  <si>
    <t>9ad0b3ed-2fdb-553f-bcd9-dac289469713@v1</t>
  </si>
  <si>
    <t>4406994c-6149-5b49-8c6a-41a91cee00c4@v1</t>
  </si>
  <si>
    <t>99d8c89d-79d6-52e1-9969-2efdf22c5701@v1</t>
  </si>
  <si>
    <t>7ac45870-b717-5fea-bfa5-a0224afa02f7@v1</t>
  </si>
  <si>
    <t>e1cf61ed-47dd-5077-a9cb-5878133e2a28@v1</t>
  </si>
  <si>
    <t>d3e04257-6e1a-5eaf-85ff-3139452dcc54@v1</t>
  </si>
  <si>
    <t>5c221a2e-c6d9-5955-b7cd-4f52d63fd999@v1</t>
  </si>
  <si>
    <t>dc951608-641e-503d-a645-3f7f31699ec2@v1</t>
  </si>
  <si>
    <t>d1ba5721-f3f3-5087-976c-841aaface052@v1</t>
  </si>
  <si>
    <t>b91fc4d2-e057-5086-8f64-23ee5a0dbaac@v1</t>
  </si>
  <si>
    <t>63d380e2-5e27-598d-bfdc-6ea177969798@v1</t>
  </si>
  <si>
    <t>8f3fd38a-32f6-5365-98b3-03b165856c6e@v1</t>
  </si>
  <si>
    <t>07a77d37-5a36-59a9-955a-827163816093@v1</t>
  </si>
  <si>
    <t>4fbac20b-b813-52f0-9de1-a490e8a75862@v1</t>
  </si>
  <si>
    <t>87140304-c8b5-5d11-914f-1bca606f834e@v1</t>
  </si>
  <si>
    <t>39a6e51a-18c4-51aa-baba-28ed73ea8944@v1</t>
  </si>
  <si>
    <t>c72a1e24-1a40-5736-9eda-8196459f3fd8@v1</t>
  </si>
  <si>
    <t>997107cd-cfa6-5588-b565-6477e704c216@v1</t>
  </si>
  <si>
    <t>ee2ebcc1-871c-5d8e-be3d-654254585e35@v1 / MT347-MT756-009-USD-001</t>
  </si>
  <si>
    <t>898a1ee8-7938-5153-89d0-f789fad92a4d@v1</t>
  </si>
  <si>
    <t>b75a7892-2034-5461-8560-28184e466082@v1</t>
  </si>
  <si>
    <t>94fec885-e98e-5ba6-b8f5-c0b628063103@v1</t>
  </si>
  <si>
    <t>4ec2d0e9-3008-5641-9c46-babcd1d3cc8c@v1</t>
  </si>
  <si>
    <t>27630ae0-949f-5ae5-be37-76d77d0950b6@v1</t>
  </si>
  <si>
    <t>a59cd755-9e75-588b-b070-2dd407188c4e@v1</t>
  </si>
  <si>
    <t>b77f2b6e-4b92-5901-8876-7943d1ce7de8@v1 / MT347-MT756-011-USD-001</t>
  </si>
  <si>
    <t>4c115764-d7e3-5a11-a82d-fce42dd4db2a@v1</t>
  </si>
  <si>
    <t>183784e1-c9f1-55f2-97c5-d7eb41d912ff@v1</t>
  </si>
  <si>
    <t>912a7f9f-ab60-500b-85d8-89eedd74ff17@v1</t>
  </si>
  <si>
    <t>17b1ad89-0201-5725-986e-64f08bddf213@v1</t>
  </si>
  <si>
    <t>63201a94-e90a-5f0b-b5b6-2158fd58ca8e@v1</t>
  </si>
  <si>
    <t>2420f154-1f54-5145-941a-a051ec3789a8@v1</t>
  </si>
  <si>
    <t>82451a0f-2b05-558a-a779-9f96f525a795@v1</t>
  </si>
  <si>
    <t>Control ID</t>
  </si>
  <si>
    <t>Required artifact / assertion</t>
  </si>
  <si>
    <t>Identity method</t>
  </si>
  <si>
    <t>Acceptance</t>
  </si>
  <si>
    <t>Current status</t>
  </si>
  <si>
    <t>EVID-347-001</t>
  </si>
  <si>
    <t>Controlled workbook + companion SHA-256</t>
  </si>
  <si>
    <t>Raw file bytes</t>
  </si>
  <si>
    <t>SHA matches delivered workbook; version/status are unambiguous</t>
  </si>
  <si>
    <t>COMPLETE / SATISFIED — authoritative hash is stored externally in qa/mt347/tdd/MT347_SR2026_SSI_TDD_CONTROLLED_v1.xlsx.sha256.txt; hash is not embedded in the hashed workbook to avoid circular identity</t>
  </si>
  <si>
    <t>EVID-347-002</t>
  </si>
  <si>
    <t>Canonical positive seed manifest + data file</t>
  </si>
  <si>
    <t>Raw-byte SHA per artifact + manifest role</t>
  </si>
  <si>
    <t>152 positive bindings; exact IDs/versions; no drift by per-case comparison</t>
  </si>
  <si>
    <t>BLOCKED — not created</t>
  </si>
  <si>
    <t>EVID-347-003</t>
  </si>
  <si>
    <t>Separately governed negative manifest + data file</t>
  </si>
  <si>
    <t>208 negative bindings; cannot match positive scopes</t>
  </si>
  <si>
    <t>EVID-347-004</t>
  </si>
  <si>
    <t>Live database snapshot</t>
  </si>
  <si>
    <t>SQLITE_WAL_AWARE_LOGICAL_SNAPSHOT_V1</t>
  </si>
  <si>
    <t>snapshot SHA + method + base seed SHA recorded; WAL/SHM not ignored</t>
  </si>
  <si>
    <t>BLOCKED — MT347 seed not loaded</t>
  </si>
  <si>
    <t>EVID-347-005</t>
  </si>
  <si>
    <t>QA/API case evidence JSON</t>
  </si>
  <si>
    <t>Registered assertion IDs + raw-byte SHA</t>
  </si>
  <si>
    <t>360 approved-scope cases executed failFast=false; expected HTTP/business/5x asserted</t>
  </si>
  <si>
    <t>BLOCKED — not executed</t>
  </si>
  <si>
    <t>EVID-347-006</t>
  </si>
  <si>
    <t>Browser UAT case evidence JSON</t>
  </si>
  <si>
    <t>Same case ID and fixture binding as QA/API</t>
  </si>
  <si>
    <t>All browser-supported approved cases executed; request binding and rendered tags asserted</t>
  </si>
  <si>
    <t>EVID-347-007</t>
  </si>
  <si>
    <t>FIN profile validation</t>
  </si>
  <si>
    <t>MRG filename+SHA+page per rule</t>
  </si>
  <si>
    <t>No unsupported option, missing mandatory-in-present-sequence, cross-sequence role copy or NVR leakage</t>
  </si>
  <si>
    <t>SPECIFIED — execution pending</t>
  </si>
  <si>
    <t>EVID-347-009</t>
  </si>
  <si>
    <t>Build / unit / integration / Sonar</t>
  </si>
  <si>
    <t>Tool reports + raw-byte SHA</t>
  </si>
  <si>
    <t>Build PASS; automated tests PASS; Quality Gate PASS; agreed coverage threshold met</t>
  </si>
  <si>
    <t>BLOCKED — not run for MT347 implementation</t>
  </si>
  <si>
    <t>EVID-347-010</t>
  </si>
  <si>
    <t>Case ledger conservation</t>
  </si>
  <si>
    <t>Coverage Ledger formulas with cached values</t>
  </si>
  <si>
    <t>362=152 positive+208 negative+2 boundary; 362=execution statuses; 360=approved scope</t>
  </si>
  <si>
    <t>SPECIFIED — workbook recalculation required</t>
  </si>
  <si>
    <t>Scenario ID</t>
  </si>
  <si>
    <t>Sequence</t>
  </si>
  <si>
    <t>Field-anchor count</t>
  </si>
  <si>
    <t>Rule IDs</t>
  </si>
  <si>
    <t>MRG evidence</t>
  </si>
  <si>
    <t>SCN-MT300-B1-001</t>
  </si>
  <si>
    <t>B1</t>
  </si>
  <si>
    <t>Amount Bought</t>
  </si>
  <si>
    <t>RULE-MT300-B1-53a; RULE-MT300-B1-56a; RULE-MT300-B1-57a</t>
  </si>
  <si>
    <t>us3ma_20260717.pdf Format table p.18; MT300 B1 53a Field detail No.31 p.47 | us3ma_20260717.pdf Format table p.18; MT300 B1 56a Field detail No.32 p.49 | us3ma_20260717.pdf Format table p.18; MT300 B1 57a Field detail No.33 p.51</t>
  </si>
  <si>
    <t>SCN-MT300-B2-002</t>
  </si>
  <si>
    <t>B2</t>
  </si>
  <si>
    <t>Amount Sold</t>
  </si>
  <si>
    <t>RULE-MT300-B2-53a; RULE-MT300-B2-56a; RULE-MT300-B2-57a; RULE-MT300-B2-58a</t>
  </si>
  <si>
    <t>us3ma_20260717.pdf Format table p.18; MT300 B2 53a Field detail No.35 p.54 | us3ma_20260717.pdf Format table p.18; MT300 B2 56a Field detail No.36 p.56 | us3ma_20260717.pdf Format table p.18; MT300 B2 57a Field detail No.37 p.58 | us3ma_20260717.pdf Format table p.18; MT300 B2 58a Field detail No.38 p.61</t>
  </si>
  <si>
    <t>SCN-MT300-D-003</t>
  </si>
  <si>
    <t>D</t>
  </si>
  <si>
    <t>Split Settlement Details</t>
  </si>
  <si>
    <t>RULE-MT300-D-53a; RULE-MT300-D-56a; RULE-MT300-D-57a; RULE-MT300-D-58a</t>
  </si>
  <si>
    <t>us3ma_20260717.pdf Format table p.19; MT300 D 53a Field detail No.52 p.71 | us3ma_20260717.pdf Format table p.19; MT300 D 56a Field detail No.53 p.72 | us3ma_20260717.pdf Format table p.19; MT300 D 57a Field detail No.54 p.74 | us3ma_20260717.pdf Format table p.19; MT300 D 58a Field detail No.55 p.76</t>
  </si>
  <si>
    <t>SCN-MT304-B1-004</t>
  </si>
  <si>
    <t>RULE-MT304-B1-53a; RULE-MT304-B1-56a; RULE-MT304-B1-57a</t>
  </si>
  <si>
    <t>us3ma_20260717.pdf Format table p.124; MT304 B1 53a Field detail No.30 p.151 | us3ma_20260717.pdf Format table p.124; MT304 B1 56a Field detail No.31 p.153 | us3ma_20260717.pdf Format table p.124; MT304 B1 57a Field detail No.32 p.155</t>
  </si>
  <si>
    <t>SCN-MT304-B2-005</t>
  </si>
  <si>
    <t>RULE-MT304-B2-53a; RULE-MT304-B2-56a; RULE-MT304-B2-57a; RULE-MT304-B2-58a</t>
  </si>
  <si>
    <t>us3ma_20260717.pdf Format table p.124; MT304 B2 53a Field detail No.34 p.157 | us3ma_20260717.pdf Format table p.124; MT304 B2 56a Field detail No.35 p.159 | us3ma_20260717.pdf Format table p.124; MT304 B2 57a Field detail No.36 p.161 | us3ma_20260717.pdf Format table p.124; MT304 B2 58a Field detail No.37 p.164</t>
  </si>
  <si>
    <t>SCN-MT304-E-006</t>
  </si>
  <si>
    <t>E</t>
  </si>
  <si>
    <t>Net Amount to be Settled</t>
  </si>
  <si>
    <t>RULE-MT304-E-53a; RULE-MT304-E-56a; RULE-MT304-E-57a; RULE-MT304-E-58a</t>
  </si>
  <si>
    <t>us3ma_20260717.pdf Format table p.125; MT304 E 53a Field detail No.65 p.180 | us3ma_20260717.pdf Format table p.125; MT304 E 56a Field detail No.66 p.182 | us3ma_20260717.pdf Format table p.126; MT304 E 57a Field detail No.67 p.183 | us3ma_20260717.pdf Format table p.126; MT304 E 58a Field detail No.68 p.185</t>
  </si>
  <si>
    <t>SCN-MT305-A-007</t>
  </si>
  <si>
    <t>A</t>
  </si>
  <si>
    <t>General Information</t>
  </si>
  <si>
    <t>RULE-MT305-A-53a; RULE-MT305-A-56a; RULE-MT305-A-57a</t>
  </si>
  <si>
    <t>us3ma_20260717.pdf Format table p.195; MT305 A 53a Field detail No.26 p.222 | us3ma_20260717.pdf Format table p.195; MT305 A 56a Field detail No.27 p.224 | us3ma_20260717.pdf Format table p.195; MT305 A 57a Field detail No.28 p.226</t>
  </si>
  <si>
    <t>SCN-MT306-C-008</t>
  </si>
  <si>
    <t>C</t>
  </si>
  <si>
    <t>Settlement Instructions for Payment of Premium</t>
  </si>
  <si>
    <t>RULE-MT306-C-53a; RULE-MT306-C-56a; RULE-MT306-C-57a; RULE-MT306-C-58a</t>
  </si>
  <si>
    <t>us3ma_20260717.pdf Format table p.262; MT306 C 53a Field detail No.37 p.315 | us3ma_20260717.pdf Format table p.262; MT306 C 56a Field detail No.39 p.319; NVR refs C8 | us3ma_20260717.pdf Format table p.262; MT306 C 57a Field detail No.40 p.321 | us3ma_20260717.pdf Format table p.262; MT306 C 58a Field detail No.41 p.323</t>
  </si>
  <si>
    <t>SCN-MT306-E-009</t>
  </si>
  <si>
    <t>Binary Payout Amount</t>
  </si>
  <si>
    <t>RULE-MT306-E-53a; RULE-MT306-E-56a; RULE-MT306-E-57a; RULE-MT306-E-58a</t>
  </si>
  <si>
    <t>us3ma_20260717.pdf Format table p.263; MT306 E 53a Field detail No.52 p.330 | us3ma_20260717.pdf Format table p.263; MT306 E 56a Field detail No.54 p.334; NVR refs C8 | us3ma_20260717.pdf Format table p.263; MT306 E 57a Field detail No.55 p.336 | us3ma_20260717.pdf Format table p.263; MT306 E 58a Field detail No.56 p.339</t>
  </si>
  <si>
    <t>SCN-MT306-L-010</t>
  </si>
  <si>
    <t>L</t>
  </si>
  <si>
    <t>Additional Amounts</t>
  </si>
  <si>
    <t>RULE-MT306-L-53a; RULE-MT306-L-56a; RULE-MT306-L-57a</t>
  </si>
  <si>
    <t>us3ma_20260717.pdf Format table p.267; MT306 L 53a Field detail No.122 p.387 | us3ma_20260717.pdf Format table p.267; MT306 L 56a Field detail No.124 p.391; NVR refs C8 | us3ma_20260717.pdf Format table p.267; MT306 L 57a Field detail No.125 p.393</t>
  </si>
  <si>
    <t>SCN-MT320-C-011</t>
  </si>
  <si>
    <t>Settlement Instructions for Amounts Payable by Party A</t>
  </si>
  <si>
    <t>RULE-MT320-C-53a; RULE-MT320-C-56a; RULE-MT320-C-57a; RULE-MT320-C-58a</t>
  </si>
  <si>
    <t>us3ma_20260717.pdf Format table p.425; MT320 C 53a Field detail No.28 p.452 | us3ma_20260717.pdf Format table p.425; MT320 C 56a Field detail No.30 p.455; NVR refs C7 | us3ma_20260717.pdf Format table p.425; MT320 C 57a Field detail No.31 p.457 | us3ma_20260717.pdf Format table p.425; MT320 C 58a Field detail No.32 p.459</t>
  </si>
  <si>
    <t>SCN-MT320-D-012</t>
  </si>
  <si>
    <t>Settlement Instructions for Amounts Payable by Party B</t>
  </si>
  <si>
    <t>RULE-MT320-D-53a; RULE-MT320-D-56a; RULE-MT320-D-57a; RULE-MT320-D-58a</t>
  </si>
  <si>
    <t>us3ma_20260717.pdf Format table p.426; MT320 D 53a Field detail No.34 p.460 | us3ma_20260717.pdf Format table p.426; MT320 D 56a Field detail No.36 p.463; NVR refs C7 | us3ma_20260717.pdf Format table p.426; MT320 D 57a Field detail No.37 p.465 | us3ma_20260717.pdf Format table p.426; MT320 D 58a Field detail No.38 p.467</t>
  </si>
  <si>
    <t>SCN-MT320-E-013</t>
  </si>
  <si>
    <t>Settlement Instructions for Interests Payable by Party A</t>
  </si>
  <si>
    <t>RULE-MT320-E-53a; RULE-MT320-E-56a; RULE-MT320-E-57a; RULE-MT320-E-58a</t>
  </si>
  <si>
    <t>us3ma_20260717.pdf Format table p.426; MT320 E 53a Field detail No.40 p.468 | us3ma_20260717.pdf Format table p.426; MT320 E 56a Field detail No.42 p.471; NVR refs C7 | us3ma_20260717.pdf Format table p.426; MT320 E 57a Field detail No.43 p.473 | us3ma_20260717.pdf Format table p.426; MT320 E 58a Field detail No.44 p.475</t>
  </si>
  <si>
    <t>SCN-MT320-F-014</t>
  </si>
  <si>
    <t>F</t>
  </si>
  <si>
    <t>Settlement Instructions for Interests Payable by Party B</t>
  </si>
  <si>
    <t>RULE-MT320-F-53a; RULE-MT320-F-56a; RULE-MT320-F-57a; RULE-MT320-F-58a</t>
  </si>
  <si>
    <t>us3ma_20260717.pdf Format table p.426; MT320 F 53a Field detail No.46 p.476 | us3ma_20260717.pdf Format table p.426; MT320 F 56a Field detail No.48 p.479; NVR refs C7 | us3ma_20260717.pdf Format table p.426; MT320 F 57a Field detail No.49 p.481 | us3ma_20260717.pdf Format table p.426; MT320 F 58a Field detail No.50 p.483</t>
  </si>
  <si>
    <t>SCN-MT320-I-015</t>
  </si>
  <si>
    <t>I</t>
  </si>
  <si>
    <t>RULE-MT320-I-53a; RULE-MT320-I-56a; RULE-MT320-I-57a</t>
  </si>
  <si>
    <t>us3ma_20260717.pdf Format table p.428; MT320 I 53a Field detail No.71 p.496 | us3ma_20260717.pdf Format table p.428; MT320 I 56a Field detail No.73 p.499; NVR refs C7 | us3ma_20260717.pdf Format table p.428; MT320 I 57a Field detail No.74 p.501</t>
  </si>
  <si>
    <t>SCN-MT330-C-016</t>
  </si>
  <si>
    <t>RULE-MT330-C-53a; RULE-MT330-C-56a; RULE-MT330-C-57a; RULE-MT330-C-58a</t>
  </si>
  <si>
    <t>us3ma_20260717.pdf Format table p.558; MT330 C 53a Field detail No.28 p.584 | us3ma_20260717.pdf Format table p.558; MT330 C 56a Field detail No.30 p.587; NVR refs C8 | us3ma_20260717.pdf Format table p.558; MT330 C 57a Field detail No.31 p.589 | us3ma_20260717.pdf Format table p.558; MT330 C 58a Field detail No.32 p.591</t>
  </si>
  <si>
    <t>SCN-MT330-D-017</t>
  </si>
  <si>
    <t>RULE-MT330-D-53a; RULE-MT330-D-56a; RULE-MT330-D-57a; RULE-MT330-D-58a</t>
  </si>
  <si>
    <t>us3ma_20260717.pdf Format table p.558; MT330 D 53a Field detail No.34 p.592 | us3ma_20260717.pdf Format table p.558; MT330 D 56a Field detail No.36 p.596; NVR refs C8 | us3ma_20260717.pdf Format table p.559; MT330 D 57a Field detail No.37 p.597 | us3ma_20260717.pdf Format table p.559; MT330 D 58a Field detail No.38 p.599</t>
  </si>
  <si>
    <t>SCN-MT330-E-018</t>
  </si>
  <si>
    <t>RULE-MT330-E-53a; RULE-MT330-E-56a; RULE-MT330-E-57a; RULE-MT330-E-58a</t>
  </si>
  <si>
    <t>us3ma_20260717.pdf Format table p.559; MT330 E 53a Field detail No.40 p.601 | us3ma_20260717.pdf Format table p.559; MT330 E 56a Field detail No.42 p.604; NVR refs C8 | us3ma_20260717.pdf Format table p.559; MT330 E 57a Field detail No.43 p.605 | us3ma_20260717.pdf Format table p.559; MT330 E 58a Field detail No.44 p.607</t>
  </si>
  <si>
    <t>SCN-MT330-F-019</t>
  </si>
  <si>
    <t>RULE-MT330-F-53a; RULE-MT330-F-56a; RULE-MT330-F-57a; RULE-MT330-F-58a</t>
  </si>
  <si>
    <t>us3ma_20260717.pdf Format table p.559; MT330 F 53a Field detail No.46 p.609 | us3ma_20260717.pdf Format table p.559; MT330 F 56a Field detail No.48 p.612; NVR refs C8 | us3ma_20260717.pdf Format table p.559; MT330 F 57a Field detail No.49 p.613 | us3ma_20260717.pdf Format table p.559; MT330 F 58a Field detail No.50 p.615</t>
  </si>
  <si>
    <t>SCN-MT340-C-020</t>
  </si>
  <si>
    <t>Settlement Instructions for Settlement Amount Payable by Party B</t>
  </si>
  <si>
    <t>RULE-MT340-C-53a; RULE-MT340-C-56a; RULE-MT340-C-57a; RULE-MT340-C-58a</t>
  </si>
  <si>
    <t>us3ma_20260717.pdf Format table p.640; MT340 C 53a Field detail No.30 p.672 | us3ma_20260717.pdf Format table p.640; MT340 C 56a Field detail No.32 p.675; NVR refs C8 | us3ma_20260717.pdf Format table p.640; MT340 C 57a Field detail No.33 p.677 | us3ma_20260717.pdf Format table p.640; MT340 C 58a Field detail No.34 p.679</t>
  </si>
  <si>
    <t>SCN-MT340-D-021</t>
  </si>
  <si>
    <t>Settlement Instructions for Settlement Amount Payable by Party A</t>
  </si>
  <si>
    <t>RULE-MT340-D-53a; RULE-MT340-D-56a; RULE-MT340-D-57a; RULE-MT340-D-58a</t>
  </si>
  <si>
    <t>us3ma_20260717.pdf Format table p.640; MT340 D 53a Field detail No.36 p.680 | us3ma_20260717.pdf Format table p.640; MT340 D 56a Field detail No.38 p.683; NVR refs C8 | us3ma_20260717.pdf Format table p.640; MT340 D 57a Field detail No.39 p.685 | us3ma_20260717.pdf Format table p.640; MT340 D 58a Field detail No.40 p.687</t>
  </si>
  <si>
    <t>SCN-MT340-F-022</t>
  </si>
  <si>
    <t>RULE-MT340-F-53a; RULE-MT340-F-56a; RULE-MT340-F-57a</t>
  </si>
  <si>
    <t>us3ma_20260717.pdf Format table p.641; MT340 F 53a Field detail No.52 p.693 | us3ma_20260717.pdf Format table p.641; MT340 F 56a Field detail No.54 p.696; NVR refs C8 | us3ma_20260717.pdf Format table p.641; MT340 F 57a Field detail No.55 p.698</t>
  </si>
  <si>
    <t>SCN-MT341-C-023</t>
  </si>
  <si>
    <t>Settlement Instructions for the Settlement Amount</t>
  </si>
  <si>
    <t>RULE-MT341-C-53a; RULE-MT341-C-56a; RULE-MT341-C-57a; RULE-MT341-C-58a</t>
  </si>
  <si>
    <t>us3ma_20260717.pdf Format table p.722; MT341 C 53a Field detail No.26 p.743 | us3ma_20260717.pdf Format table p.722; MT341 C 56a Field detail No.28 p.746; NVR refs C2 | us3ma_20260717.pdf Format table p.722; MT341 C 57a Field detail No.29 p.747 | us3ma_20260717.pdf Format table p.722; MT341 C 58a Field detail No.30 p.749</t>
  </si>
  <si>
    <t>SCN-MT350-C-024</t>
  </si>
  <si>
    <t>Settlement Instructions</t>
  </si>
  <si>
    <t>RULE-MT350-C-53a; RULE-MT350-C-56a; RULE-MT350-C-57a; RULE-MT350-C-58a</t>
  </si>
  <si>
    <t>us3mb_20260717.pdf Format table p.17; MT350 C 53a Field detail No.21 p.34 | us3mb_20260717.pdf Format table p.17; MT350 C 56a Field detail No.23 p.37; NVR refs C3 | us3mb_20260717.pdf Format table p.17; MT350 C 57a Field detail No.24 p.39 | us3mb_20260717.pdf Format table p.17; MT350 C 58a Field detail No.25 p.40</t>
  </si>
  <si>
    <t>SCN-MT360-D-025</t>
  </si>
  <si>
    <t>Payment Instructions for Interest Payable by Party B</t>
  </si>
  <si>
    <t>RULE-MT360-D-53a; RULE-MT360-D-56a; RULE-MT360-D-57a</t>
  </si>
  <si>
    <t>us3mb_20260717.pdf Format table p.51; MT360 D 53a Field detail No.57 p.108; NVR refs C13 | us3mb_20260717.pdf Format table p.51; MT360 D 56a Field detail No.58 p.110; NVR refs C13,C14 | us3mb_20260717.pdf Format table p.51; MT360 D 57a Field detail No.60 p.113; NVR refs C13</t>
  </si>
  <si>
    <t>SCN-MT360-G-026</t>
  </si>
  <si>
    <t>G</t>
  </si>
  <si>
    <t>Payment Instructions for Interest Payable by Party A</t>
  </si>
  <si>
    <t>RULE-MT360-G-53a; RULE-MT360-G-56a; RULE-MT360-G-57a</t>
  </si>
  <si>
    <t>us3mb_20260717.pdf Format table p.53; MT360 G 53a Field detail No.94 p.138; NVR refs C13 | us3mb_20260717.pdf Format table p.53; MT360 G 56a Field detail No.95 p.139; NVR refs C13,C14 | us3mb_20260717.pdf Format table p.53; MT360 G 57a Field detail No.97 p.142; NVR refs C13</t>
  </si>
  <si>
    <t>SCN-MT360-L-027</t>
  </si>
  <si>
    <t>Additional Amounts Payable by Party B</t>
  </si>
  <si>
    <t>RULE-MT360-L-53a; RULE-MT360-L-56a; RULE-MT360-L-57a</t>
  </si>
  <si>
    <t>us3mb_20260717.pdf Format table p.54; MT360 L 53a Field detail No.113 p.156; NVR refs C13 | us3mb_20260717.pdf Format table p.54; MT360 L 56a Field detail No.114 p.157; NVR refs C13,C14 | us3mb_20260717.pdf Format table p.54; MT360 L 57a Field detail No.116 p.160; NVR refs C13</t>
  </si>
  <si>
    <t>SCN-MT360-M-028</t>
  </si>
  <si>
    <t>M</t>
  </si>
  <si>
    <t>Additional Amounts Payable by Party A</t>
  </si>
  <si>
    <t>RULE-MT360-M-53a; RULE-MT360-M-56a; RULE-MT360-M-57a</t>
  </si>
  <si>
    <t>us3mb_20260717.pdf Format table p.55; MT360 M 53a Field detail No.125 p.168; NVR refs C13 | us3mb_20260717.pdf Format table p.55; MT360 M 56a Field detail No.126 p.169; NVR refs C13,C14 | us3mb_20260717.pdf Format table p.55; MT360 M 57a Field detail No.128 p.172; NVR refs C13</t>
  </si>
  <si>
    <t>SCN-MT361-D-029</t>
  </si>
  <si>
    <t>RULE-MT361-D-53a; RULE-MT361-D-56a; RULE-MT361-D-57a</t>
  </si>
  <si>
    <t>us3mb_20260717.pdf Format table p.210; MT361 D 53a Field detail No.58 p.269; NVR refs C13 | us3mb_20260717.pdf Format table p.210; MT361 D 56a Field detail No.59 p.271; NVR refs C13,C14 | us3mb_20260717.pdf Format table p.210; MT361 D 57a Field detail No.61 p.274; NVR refs C13</t>
  </si>
  <si>
    <t>SCN-MT361-G-030</t>
  </si>
  <si>
    <t>RULE-MT361-G-53a; RULE-MT361-G-56a; RULE-MT361-G-57a</t>
  </si>
  <si>
    <t>us3mb_20260717.pdf Format table p.212; MT361 G 53a Field detail No.95 p.299; NVR refs C13 | us3mb_20260717.pdf Format table p.212; MT361 G 56a Field detail No.96 p.300; NVR refs C13,C14 | us3mb_20260717.pdf Format table p.212; MT361 G 57a Field detail No.98 p.303; NVR refs C13</t>
  </si>
  <si>
    <t>SCN-MT361-K-031</t>
  </si>
  <si>
    <t>K</t>
  </si>
  <si>
    <t>Exchanges of Principal Payable by Party B</t>
  </si>
  <si>
    <t>RULE-MT361-K-53a; RULE-MT361-K-56a; RULE-MT361-K-57a</t>
  </si>
  <si>
    <t>us3mb_20260717.pdf Format table p.214; MT361 K 53a Field detail No.129 p.323; NVR refs C13 | us3mb_20260717.pdf Format table p.214; MT361 K 56a Field detail No.130 p.324; NVR refs C13,C14 | us3mb_20260717.pdf Format table p.214; MT361 K 57a Field detail No.132 p.328; NVR refs C13</t>
  </si>
  <si>
    <t>SCN-MT361-L-032</t>
  </si>
  <si>
    <t>Exchanges of Principal Payable by Party A</t>
  </si>
  <si>
    <t>RULE-MT361-L-53a; RULE-MT361-L-56a; RULE-MT361-L-57a</t>
  </si>
  <si>
    <t>us3mb_20260717.pdf Format table p.215; MT361 L 53a Field detail No.141 p.335; NVR refs C13 | us3mb_20260717.pdf Format table p.215; MT361 L 56a Field detail No.142 p.337; NVR refs C13,C14 | us3mb_20260717.pdf Format table p.215; MT361 L 57a Field detail No.144 p.340; NVR refs C13</t>
  </si>
  <si>
    <t>SCN-MT361-M-033</t>
  </si>
  <si>
    <t>RULE-MT361-M-53a; RULE-MT361-M-56a; RULE-MT361-M-57a</t>
  </si>
  <si>
    <t>us3mb_20260717.pdf Format table p.216; MT361 M 53a Field detail No.156 p.351; NVR refs C13 | us3mb_20260717.pdf Format table p.216; MT361 M 56a Field detail No.157 p.352; NVR refs C13,C14 | us3mb_20260717.pdf Format table p.216; MT361 M 57a Field detail No.159 p.356; NVR refs C13</t>
  </si>
  <si>
    <t>SCN-MT361-N-034</t>
  </si>
  <si>
    <t>N</t>
  </si>
  <si>
    <t>RULE-MT361-N-53a; RULE-MT361-N-56a; RULE-MT361-N-57a</t>
  </si>
  <si>
    <t>us3mb_20260717.pdf Format table p.216; MT361 N 53a Field detail No.168 p.363; NVR refs C13 | us3mb_20260717.pdf Format table p.216; MT361 N 56a Field detail No.169 p.365; NVR refs C13,C14 | us3mb_20260717.pdf Format table p.216; MT361 N 57a Field detail No.171 p.368; NVR refs C13</t>
  </si>
  <si>
    <t>SCN-MT362-C-035</t>
  </si>
  <si>
    <t>(Net) Amount(s) Payable by Party B</t>
  </si>
  <si>
    <t>RULE-MT362-C-53a; RULE-MT362-C-56a; RULE-MT362-C-57a</t>
  </si>
  <si>
    <t>us3mb_20260717.pdf Format table p.396; MT362 C 53a Field detail No.34 p.424 | us3mb_20260717.pdf Format table p.396; MT362 C 56a Field detail No.35 p.425; NVR refs C7 | us3mb_20260717.pdf Format table p.396; MT362 C 57a Field detail No.37 p.429; NVR refs C4,C5</t>
  </si>
  <si>
    <t>SCN-MT362-E-036</t>
  </si>
  <si>
    <t>(Net) Amount(s) Payable by Party A</t>
  </si>
  <si>
    <t>RULE-MT362-E-53a; RULE-MT362-E-56a; RULE-MT362-E-57a</t>
  </si>
  <si>
    <t>us3mb_20260717.pdf Format table p.397; MT362 E 53a Field detail No.55 p.438 | us3mb_20260717.pdf Format table p.397; MT362 E 56a Field detail No.56 p.439; NVR refs C7 | us3mb_20260717.pdf Format table p.397; MT362 E 57a Field detail No.58 p.442; NVR refs C4,C5</t>
  </si>
  <si>
    <t>SCN-MT364-L-037</t>
  </si>
  <si>
    <t>Fee Payable by Party B</t>
  </si>
  <si>
    <t>RULE-MT364-L-53a; RULE-MT364-L-56a; RULE-MT364-L-57a</t>
  </si>
  <si>
    <t>us3mb_20260717.pdf Format table p.448; MT364 L 53a Field detail No.33 p.472 | us3mb_20260717.pdf Format table p.448; MT364 L 56a Field detail No.34 p.473; NVR refs C3 | us3mb_20260717.pdf Format table p.448; MT364 L 57a Field detail No.36 p.476</t>
  </si>
  <si>
    <t>SCN-MT364-M-038</t>
  </si>
  <si>
    <t>Fee Payable by Party A</t>
  </si>
  <si>
    <t>RULE-MT364-M-53a; RULE-MT364-M-56a; RULE-MT364-M-57a</t>
  </si>
  <si>
    <t>us3mb_20260717.pdf Format table p.448; MT364 M 53a Field detail No.40 p.479 | us3mb_20260717.pdf Format table p.448; MT364 M 56a Field detail No.41 p.481; NVR refs C3 | us3mb_20260717.pdf Format table p.448; MT364 M 57a Field detail No.43 p.484</t>
  </si>
  <si>
    <t>SCN-MT365-J-039</t>
  </si>
  <si>
    <t>J</t>
  </si>
  <si>
    <t>Re-exchange of Principal Payable by Party B</t>
  </si>
  <si>
    <t>RULE-MT365-J-53a; RULE-MT365-J-56a; RULE-MT365-J-57a</t>
  </si>
  <si>
    <t>us3mb_20260717.pdf Format table p.490; MT365 J 53a Field detail No.35 p.515 | us3mb_20260717.pdf Format table p.490; MT365 J 56a Field detail No.36 p.516; NVR refs C3 | us3mb_20260717.pdf Format table p.490; MT365 J 57a Field detail No.38 p.520</t>
  </si>
  <si>
    <t>SCN-MT365-K-040</t>
  </si>
  <si>
    <t>Re-exchange of Principal Payable by Party A</t>
  </si>
  <si>
    <t>RULE-MT365-K-53a; RULE-MT365-K-56a; RULE-MT365-K-57a</t>
  </si>
  <si>
    <t>us3mb_20260717.pdf Format table p.490; MT365 K 53a Field detail No.42 p.523 | us3mb_20260717.pdf Format table p.490; MT365 K 56a Field detail No.43 p.524; NVR refs C3 | us3mb_20260717.pdf Format table p.490; MT365 K 57a Field detail No.45 p.527</t>
  </si>
  <si>
    <t>SCN-MT365-L-041</t>
  </si>
  <si>
    <t>RULE-MT365-L-53a; RULE-MT365-L-56a; RULE-MT365-L-57a</t>
  </si>
  <si>
    <t>us3mb_20260717.pdf Format table p.490; MT365 L 53a Field detail No.49 p.530 | us3mb_20260717.pdf Format table p.490; MT365 L 56a Field detail No.50 p.532; NVR refs C3 | us3mb_20260717.pdf Format table p.491; MT365 L 57a Field detail No.52 p.535</t>
  </si>
  <si>
    <t>SCN-MT365-M-042</t>
  </si>
  <si>
    <t>RULE-MT365-M-53a; RULE-MT365-M-56a; RULE-MT365-M-57a</t>
  </si>
  <si>
    <t>us3mb_20260717.pdf Format table p.491; MT365 M 53a Field detail No.56 p.538 | us3mb_20260717.pdf Format table p.491; MT365 M 56a Field detail No.57 p.539; NVR refs C3 | us3mb_20260717.pdf Format table p.491; MT365 M 57a Field detail No.59 p.542</t>
  </si>
  <si>
    <t>SCN-MT400-MESSAGE-043</t>
  </si>
  <si>
    <t>MESSAGE</t>
  </si>
  <si>
    <t>Message</t>
  </si>
  <si>
    <t>RULE-MT400-MESSAGE-53a; RULE-MT400-MESSAGE-54a; RULE-MT400-MESSAGE-57a; RULE-MT400-MESSAGE-58a</t>
  </si>
  <si>
    <t>us4m_20260717.pdf Format table p.12; MT400 MESSAGE 53a Field detail No.6 p.16; NVR refs C1 | us4m_20260717.pdf Format table p.12; MT400 MESSAGE 54a Field detail No.7 p.17; NVR refs C1 | us4m_20260717.pdf Format table p.12; MT400 MESSAGE 57a Field detail No.8 p.17; NVR refs C1 | us4m_20260717.pdf Format table p.12; MT400 MESSAGE 58a Field detail No.9 p.18</t>
  </si>
  <si>
    <t>SCN-MT730-MESSAGE-044</t>
  </si>
  <si>
    <t>RULE-MT730-MESSAGE-57a</t>
  </si>
  <si>
    <t>us7m_20260717.pdf Format table p.177; MT730 MESSAGE 57a Field detail No.6 p.180; NVR refs C1,C2</t>
  </si>
  <si>
    <t>SCN-MT734-MESSAGE-045</t>
  </si>
  <si>
    <t>RULE-MT734-MESSAGE-57a</t>
  </si>
  <si>
    <t>us7m_20260717.pdf Format table p.187; MT734 MESSAGE 57a Field detail No.6 p.190</t>
  </si>
  <si>
    <t>SCN-MT742-MESSAGE-046</t>
  </si>
  <si>
    <t>RULE-MT742-MESSAGE-57a; RULE-MT742-MESSAGE-58a</t>
  </si>
  <si>
    <t>us7m_20260717.pdf Format table p.215; MT742 MESSAGE 57a Field detail No.9 p.220 | us7m_20260717.pdf Format table p.215; MT742 MESSAGE 58a Field detail No.10 p.220</t>
  </si>
  <si>
    <t>SCN-MT750-MESSAGE-047</t>
  </si>
  <si>
    <t>RULE-MT750-MESSAGE-57a</t>
  </si>
  <si>
    <t>us7m_20260717.pdf Format table p.244; MT750 MESSAGE 57a Field detail No.8 p.248</t>
  </si>
  <si>
    <t>SCN-MT752-MESSAGE-048</t>
  </si>
  <si>
    <t>RULE-MT752-MESSAGE-53a; RULE-MT752-MESSAGE-54a</t>
  </si>
  <si>
    <t>us7m_20260717.pdf Format table p.252; MT752 MESSAGE 53a Field detail No.8 p.256 | us7m_20260717.pdf Format table p.252; MT752 MESSAGE 54a Field detail No.9 p.257</t>
  </si>
  <si>
    <t>SCN-MT754-MESSAGE-049</t>
  </si>
  <si>
    <t>RULE-MT754-MESSAGE-53a; RULE-MT754-MESSAGE-57a; RULE-MT754-MESSAGE-58a</t>
  </si>
  <si>
    <t>us7m_20260717.pdf Format table p.264; MT754 MESSAGE 53a Field detail No.8 p.270; NVR refs C2 | us7m_20260717.pdf Format table p.264; MT754 MESSAGE 57a Field detail No.9 p.270; NVR refs C2 | us7m_20260717.pdf Format table p.264; MT754 MESSAGE 58a Field detail No.10 p.271</t>
  </si>
  <si>
    <t>SCN-MT756-MESSAGE-050</t>
  </si>
  <si>
    <t>RULE-MT756-MESSAGE-53a; RULE-MT756-MESSAGE-54a</t>
  </si>
  <si>
    <t>us7m_20260717.pdf Format table p.275; MT756 MESSAGE 53a Field detail No.5 p.277 | us7m_20260717.pdf Format table p.275; MT756 MESSAGE 54a Field detail No.6 p.278</t>
  </si>
  <si>
    <t>SCN-MT765-MESSAGE-051</t>
  </si>
  <si>
    <t>RULE-MT765-MESSAGE-56a; RULE-MT765-MESSAGE-57a</t>
  </si>
  <si>
    <t>us7m_20260717.pdf Format table p.355; MT765 56a Field detail No.21 p.363 | us7m_20260717.pdf Format table p.355; MT765 57a Field detail No.22 p.363</t>
  </si>
  <si>
    <t>SCN-MT768-MESSAGE-052</t>
  </si>
  <si>
    <t>RULE-MT768-MESSAGE-57a</t>
  </si>
  <si>
    <t>us7m_20260717.pdf Format table p.389; MT768 MESSAGE 57a Field detail No.6 p.392; NVR refs C1,C2</t>
  </si>
  <si>
    <t>SCN-MT769-MESSAGE-053</t>
  </si>
  <si>
    <t>RULE-MT769-MESSAGE-57a</t>
  </si>
  <si>
    <t>us7m_20260717.pdf Format table p.396; MT769 MESSAGE 57a Field detail No.9 p.400; NVR refs C1,C3</t>
  </si>
  <si>
    <t>Tag</t>
  </si>
  <si>
    <t>Allowed Options</t>
  </si>
  <si>
    <t>Official Field Name</t>
  </si>
  <si>
    <t>Presence</t>
  </si>
  <si>
    <t>BA SSI Classification</t>
  </si>
  <si>
    <t>Ownership/source boundary</t>
  </si>
  <si>
    <t>NVR refs</t>
  </si>
  <si>
    <t>Rule ID</t>
  </si>
  <si>
    <t>MRG verification</t>
  </si>
  <si>
    <t>SSI policy status</t>
  </si>
  <si>
    <t>TDD gate</t>
  </si>
  <si>
    <t>A/J</t>
  </si>
  <si>
    <t>Delivery Agent</t>
  </si>
  <si>
    <t>Optional</t>
  </si>
  <si>
    <t>SSI_RESOLVABLE</t>
  </si>
  <si>
    <t>us3ma_20260717.pdf Format table p.18; MT300 B1 53a Field detail No.31 p.47</t>
  </si>
  <si>
    <t>RULE-MT300-B1-53a</t>
  </si>
  <si>
    <t>CONFIRMED — SR2026 MRG PROFILE</t>
  </si>
  <si>
    <t>BA_CLASSIFIED</t>
  </si>
  <si>
    <t>RED — PROFILE TESTS SPECIFIED</t>
  </si>
  <si>
    <t>56a</t>
  </si>
  <si>
    <t>us3ma_20260717.pdf Format table p.18; MT300 B1 56a Field detail No.32 p.49</t>
  </si>
  <si>
    <t>RULE-MT300-B1-56a</t>
  </si>
  <si>
    <t>Receiving Agent</t>
  </si>
  <si>
    <t>Mandatory in sequence</t>
  </si>
  <si>
    <t>us3ma_20260717.pdf Format table p.18; MT300 B1 57a Field detail No.33 p.51</t>
  </si>
  <si>
    <t>RULE-MT300-B1-57a</t>
  </si>
  <si>
    <t>us3ma_20260717.pdf Format table p.18; MT300 B2 53a Field detail No.35 p.54</t>
  </si>
  <si>
    <t>RULE-MT300-B2-53a</t>
  </si>
  <si>
    <t>us3ma_20260717.pdf Format table p.18; MT300 B2 56a Field detail No.36 p.56</t>
  </si>
  <si>
    <t>RULE-MT300-B2-56a</t>
  </si>
  <si>
    <t>us3ma_20260717.pdf Format table p.18; MT300 B2 57a Field detail No.37 p.58</t>
  </si>
  <si>
    <t>RULE-MT300-B2-57a</t>
  </si>
  <si>
    <t>58a</t>
  </si>
  <si>
    <t>Beneficiary Institution</t>
  </si>
  <si>
    <t>TRANSACTION/UPSTREAM BENEFICIARY; never copied from 53/56/57</t>
  </si>
  <si>
    <t>us3ma_20260717.pdf Format table p.18; MT300 B2 58a Field detail No.38 p.61</t>
  </si>
  <si>
    <t>RULE-MT300-B2-58a</t>
  </si>
  <si>
    <t>A/D/J</t>
  </si>
  <si>
    <t>us3ma_20260717.pdf Format table p.19; MT300 D 53a Field detail No.52 p.71</t>
  </si>
  <si>
    <t>RULE-MT300-D-53a</t>
  </si>
  <si>
    <t>us3ma_20260717.pdf Format table p.19; MT300 D 56a Field detail No.53 p.72</t>
  </si>
  <si>
    <t>RULE-MT300-D-56a</t>
  </si>
  <si>
    <t>us3ma_20260717.pdf Format table p.19; MT300 D 57a Field detail No.54 p.74</t>
  </si>
  <si>
    <t>RULE-MT300-D-57a</t>
  </si>
  <si>
    <t>us3ma_20260717.pdf Format table p.19; MT300 D 58a Field detail No.55 p.76</t>
  </si>
  <si>
    <t>RULE-MT300-D-58a</t>
  </si>
  <si>
    <t>us3ma_20260717.pdf Format table p.124; MT304 B1 53a Field detail No.30 p.151</t>
  </si>
  <si>
    <t>RULE-MT304-B1-53a</t>
  </si>
  <si>
    <t>us3ma_20260717.pdf Format table p.124; MT304 B1 56a Field detail No.31 p.153</t>
  </si>
  <si>
    <t>RULE-MT304-B1-56a</t>
  </si>
  <si>
    <t>us3ma_20260717.pdf Format table p.124; MT304 B1 57a Field detail No.32 p.155</t>
  </si>
  <si>
    <t>RULE-MT304-B1-57a</t>
  </si>
  <si>
    <t>us3ma_20260717.pdf Format table p.124; MT304 B2 53a Field detail No.34 p.157</t>
  </si>
  <si>
    <t>RULE-MT304-B2-53a</t>
  </si>
  <si>
    <t>us3ma_20260717.pdf Format table p.124; MT304 B2 56a Field detail No.35 p.159</t>
  </si>
  <si>
    <t>RULE-MT304-B2-56a</t>
  </si>
  <si>
    <t>us3ma_20260717.pdf Format table p.124; MT304 B2 57a Field detail No.36 p.161</t>
  </si>
  <si>
    <t>RULE-MT304-B2-57a</t>
  </si>
  <si>
    <t>us3ma_20260717.pdf Format table p.124; MT304 B2 58a Field detail No.37 p.164</t>
  </si>
  <si>
    <t>RULE-MT304-B2-58a</t>
  </si>
  <si>
    <t>us3ma_20260717.pdf Format table p.125; MT304 E 53a Field detail No.65 p.180</t>
  </si>
  <si>
    <t>RULE-MT304-E-53a</t>
  </si>
  <si>
    <t>us3ma_20260717.pdf Format table p.125; MT304 E 56a Field detail No.66 p.182</t>
  </si>
  <si>
    <t>RULE-MT304-E-56a</t>
  </si>
  <si>
    <t>us3ma_20260717.pdf Format table p.126; MT304 E 57a Field detail No.67 p.183</t>
  </si>
  <si>
    <t>RULE-MT304-E-57a</t>
  </si>
  <si>
    <t>us3ma_20260717.pdf Format table p.126; MT304 E 58a Field detail No.68 p.185</t>
  </si>
  <si>
    <t>RULE-MT304-E-58a</t>
  </si>
  <si>
    <t>Sender's Correspondent</t>
  </si>
  <si>
    <t>us3ma_20260717.pdf Format table p.195; MT305 A 53a Field detail No.26 p.222</t>
  </si>
  <si>
    <t>RULE-MT305-A-53a</t>
  </si>
  <si>
    <t>us3ma_20260717.pdf Format table p.195; MT305 A 56a Field detail No.27 p.224</t>
  </si>
  <si>
    <t>RULE-MT305-A-56a</t>
  </si>
  <si>
    <t>Account With Institution</t>
  </si>
  <si>
    <t>us3ma_20260717.pdf Format table p.195; MT305 A 57a Field detail No.28 p.226</t>
  </si>
  <si>
    <t>RULE-MT305-A-57a</t>
  </si>
  <si>
    <t>us3ma_20260717.pdf Format table p.262; MT306 C 53a Field detail No.37 p.315</t>
  </si>
  <si>
    <t>RULE-MT306-C-53a</t>
  </si>
  <si>
    <t>C8</t>
  </si>
  <si>
    <t>us3ma_20260717.pdf Format table p.262; MT306 C 56a Field detail No.39 p.319; NVR refs C8</t>
  </si>
  <si>
    <t>RULE-MT306-C-56a</t>
  </si>
  <si>
    <t>us3ma_20260717.pdf Format table p.262; MT306 C 57a Field detail No.40 p.321</t>
  </si>
  <si>
    <t>RULE-MT306-C-57a</t>
  </si>
  <si>
    <t>us3ma_20260717.pdf Format table p.262; MT306 C 58a Field detail No.41 p.323</t>
  </si>
  <si>
    <t>RULE-MT306-C-58a</t>
  </si>
  <si>
    <t>us3ma_20260717.pdf Format table p.263; MT306 E 53a Field detail No.52 p.330</t>
  </si>
  <si>
    <t>RULE-MT306-E-53a</t>
  </si>
  <si>
    <t>us3ma_20260717.pdf Format table p.263; MT306 E 56a Field detail No.54 p.334; NVR refs C8</t>
  </si>
  <si>
    <t>RULE-MT306-E-56a</t>
  </si>
  <si>
    <t>us3ma_20260717.pdf Format table p.263; MT306 E 57a Field detail No.55 p.336</t>
  </si>
  <si>
    <t>RULE-MT306-E-57a</t>
  </si>
  <si>
    <t>us3ma_20260717.pdf Format table p.263; MT306 E 58a Field detail No.56 p.339</t>
  </si>
  <si>
    <t>RULE-MT306-E-58a</t>
  </si>
  <si>
    <t>us3ma_20260717.pdf Format table p.267; MT306 L 53a Field detail No.122 p.387</t>
  </si>
  <si>
    <t>RULE-MT306-L-53a</t>
  </si>
  <si>
    <t>us3ma_20260717.pdf Format table p.267; MT306 L 56a Field detail No.124 p.391; NVR refs C8</t>
  </si>
  <si>
    <t>RULE-MT306-L-56a</t>
  </si>
  <si>
    <t>us3ma_20260717.pdf Format table p.267; MT306 L 57a Field detail No.125 p.393</t>
  </si>
  <si>
    <t>RULE-MT306-L-57a</t>
  </si>
  <si>
    <t>us3ma_20260717.pdf Format table p.425; MT320 C 53a Field detail No.28 p.452</t>
  </si>
  <si>
    <t>RULE-MT320-C-53a</t>
  </si>
  <si>
    <t>C7</t>
  </si>
  <si>
    <t>us3ma_20260717.pdf Format table p.425; MT320 C 56a Field detail No.30 p.455; NVR refs C7</t>
  </si>
  <si>
    <t>RULE-MT320-C-56a</t>
  </si>
  <si>
    <t>us3ma_20260717.pdf Format table p.425; MT320 C 57a Field detail No.31 p.457</t>
  </si>
  <si>
    <t>RULE-MT320-C-57a</t>
  </si>
  <si>
    <t>us3ma_20260717.pdf Format table p.425; MT320 C 58a Field detail No.32 p.459</t>
  </si>
  <si>
    <t>RULE-MT320-C-58a</t>
  </si>
  <si>
    <t>us3ma_20260717.pdf Format table p.426; MT320 D 53a Field detail No.34 p.460</t>
  </si>
  <si>
    <t>RULE-MT320-D-53a</t>
  </si>
  <si>
    <t>us3ma_20260717.pdf Format table p.426; MT320 D 56a Field detail No.36 p.463; NVR refs C7</t>
  </si>
  <si>
    <t>RULE-MT320-D-56a</t>
  </si>
  <si>
    <t>us3ma_20260717.pdf Format table p.426; MT320 D 57a Field detail No.37 p.465</t>
  </si>
  <si>
    <t>RULE-MT320-D-57a</t>
  </si>
  <si>
    <t>us3ma_20260717.pdf Format table p.426; MT320 D 58a Field detail No.38 p.467</t>
  </si>
  <si>
    <t>RULE-MT320-D-58a</t>
  </si>
  <si>
    <t>us3ma_20260717.pdf Format table p.426; MT320 E 53a Field detail No.40 p.468</t>
  </si>
  <si>
    <t>RULE-MT320-E-53a</t>
  </si>
  <si>
    <t>us3ma_20260717.pdf Format table p.426; MT320 E 56a Field detail No.42 p.471; NVR refs C7</t>
  </si>
  <si>
    <t>RULE-MT320-E-56a</t>
  </si>
  <si>
    <t>us3ma_20260717.pdf Format table p.426; MT320 E 57a Field detail No.43 p.473</t>
  </si>
  <si>
    <t>RULE-MT320-E-57a</t>
  </si>
  <si>
    <t>us3ma_20260717.pdf Format table p.426; MT320 E 58a Field detail No.44 p.475</t>
  </si>
  <si>
    <t>RULE-MT320-E-58a</t>
  </si>
  <si>
    <t>us3ma_20260717.pdf Format table p.426; MT320 F 53a Field detail No.46 p.476</t>
  </si>
  <si>
    <t>RULE-MT320-F-53a</t>
  </si>
  <si>
    <t>us3ma_20260717.pdf Format table p.426; MT320 F 56a Field detail No.48 p.479; NVR refs C7</t>
  </si>
  <si>
    <t>RULE-MT320-F-56a</t>
  </si>
  <si>
    <t>us3ma_20260717.pdf Format table p.426; MT320 F 57a Field detail No.49 p.481</t>
  </si>
  <si>
    <t>RULE-MT320-F-57a</t>
  </si>
  <si>
    <t>us3ma_20260717.pdf Format table p.426; MT320 F 58a Field detail No.50 p.483</t>
  </si>
  <si>
    <t>RULE-MT320-F-58a</t>
  </si>
  <si>
    <t>us3ma_20260717.pdf Format table p.428; MT320 I 53a Field detail No.71 p.496</t>
  </si>
  <si>
    <t>RULE-MT320-I-53a</t>
  </si>
  <si>
    <t>us3ma_20260717.pdf Format table p.428; MT320 I 56a Field detail No.73 p.499; NVR refs C7</t>
  </si>
  <si>
    <t>RULE-MT320-I-56a</t>
  </si>
  <si>
    <t>us3ma_20260717.pdf Format table p.428; MT320 I 57a Field detail No.74 p.501</t>
  </si>
  <si>
    <t>RULE-MT320-I-57a</t>
  </si>
  <si>
    <t>us3ma_20260717.pdf Format table p.558; MT330 C 53a Field detail No.28 p.584</t>
  </si>
  <si>
    <t>RULE-MT330-C-53a</t>
  </si>
  <si>
    <t>us3ma_20260717.pdf Format table p.558; MT330 C 56a Field detail No.30 p.587; NVR refs C8</t>
  </si>
  <si>
    <t>RULE-MT330-C-56a</t>
  </si>
  <si>
    <t>us3ma_20260717.pdf Format table p.558; MT330 C 57a Field detail No.31 p.589</t>
  </si>
  <si>
    <t>RULE-MT330-C-57a</t>
  </si>
  <si>
    <t>us3ma_20260717.pdf Format table p.558; MT330 C 58a Field detail No.32 p.591</t>
  </si>
  <si>
    <t>RULE-MT330-C-58a</t>
  </si>
  <si>
    <t>us3ma_20260717.pdf Format table p.558; MT330 D 53a Field detail No.34 p.592</t>
  </si>
  <si>
    <t>RULE-MT330-D-53a</t>
  </si>
  <si>
    <t>us3ma_20260717.pdf Format table p.558; MT330 D 56a Field detail No.36 p.596; NVR refs C8</t>
  </si>
  <si>
    <t>RULE-MT330-D-56a</t>
  </si>
  <si>
    <t>us3ma_20260717.pdf Format table p.559; MT330 D 57a Field detail No.37 p.597</t>
  </si>
  <si>
    <t>RULE-MT330-D-57a</t>
  </si>
  <si>
    <t>us3ma_20260717.pdf Format table p.559; MT330 D 58a Field detail No.38 p.599</t>
  </si>
  <si>
    <t>RULE-MT330-D-58a</t>
  </si>
  <si>
    <t>us3ma_20260717.pdf Format table p.559; MT330 E 53a Field detail No.40 p.601</t>
  </si>
  <si>
    <t>RULE-MT330-E-53a</t>
  </si>
  <si>
    <t>us3ma_20260717.pdf Format table p.559; MT330 E 56a Field detail No.42 p.604; NVR refs C8</t>
  </si>
  <si>
    <t>RULE-MT330-E-56a</t>
  </si>
  <si>
    <t>us3ma_20260717.pdf Format table p.559; MT330 E 57a Field detail No.43 p.605</t>
  </si>
  <si>
    <t>RULE-MT330-E-57a</t>
  </si>
  <si>
    <t>us3ma_20260717.pdf Format table p.559; MT330 E 58a Field detail No.44 p.607</t>
  </si>
  <si>
    <t>RULE-MT330-E-58a</t>
  </si>
  <si>
    <t>us3ma_20260717.pdf Format table p.559; MT330 F 53a Field detail No.46 p.609</t>
  </si>
  <si>
    <t>RULE-MT330-F-53a</t>
  </si>
  <si>
    <t>us3ma_20260717.pdf Format table p.559; MT330 F 56a Field detail No.48 p.612; NVR refs C8</t>
  </si>
  <si>
    <t>RULE-MT330-F-56a</t>
  </si>
  <si>
    <t>us3ma_20260717.pdf Format table p.559; MT330 F 57a Field detail No.49 p.613</t>
  </si>
  <si>
    <t>RULE-MT330-F-57a</t>
  </si>
  <si>
    <t>us3ma_20260717.pdf Format table p.559; MT330 F 58a Field detail No.50 p.615</t>
  </si>
  <si>
    <t>RULE-MT330-F-58a</t>
  </si>
  <si>
    <t>us3ma_20260717.pdf Format table p.640; MT340 C 53a Field detail No.30 p.672</t>
  </si>
  <si>
    <t>RULE-MT340-C-53a</t>
  </si>
  <si>
    <t>us3ma_20260717.pdf Format table p.640; MT340 C 56a Field detail No.32 p.675; NVR refs C8</t>
  </si>
  <si>
    <t>RULE-MT340-C-56a</t>
  </si>
  <si>
    <t>us3ma_20260717.pdf Format table p.640; MT340 C 57a Field detail No.33 p.677</t>
  </si>
  <si>
    <t>RULE-MT340-C-57a</t>
  </si>
  <si>
    <t>us3ma_20260717.pdf Format table p.640; MT340 C 58a Field detail No.34 p.679</t>
  </si>
  <si>
    <t>RULE-MT340-C-58a</t>
  </si>
  <si>
    <t>us3ma_20260717.pdf Format table p.640; MT340 D 53a Field detail No.36 p.680</t>
  </si>
  <si>
    <t>RULE-MT340-D-53a</t>
  </si>
  <si>
    <t>us3ma_20260717.pdf Format table p.640; MT340 D 56a Field detail No.38 p.683; NVR refs C8</t>
  </si>
  <si>
    <t>RULE-MT340-D-56a</t>
  </si>
  <si>
    <t>us3ma_20260717.pdf Format table p.640; MT340 D 57a Field detail No.39 p.685</t>
  </si>
  <si>
    <t>RULE-MT340-D-57a</t>
  </si>
  <si>
    <t>us3ma_20260717.pdf Format table p.640; MT340 D 58a Field detail No.40 p.687</t>
  </si>
  <si>
    <t>RULE-MT340-D-58a</t>
  </si>
  <si>
    <t>us3ma_20260717.pdf Format table p.641; MT340 F 53a Field detail No.52 p.693</t>
  </si>
  <si>
    <t>RULE-MT340-F-53a</t>
  </si>
  <si>
    <t>us3ma_20260717.pdf Format table p.641; MT340 F 56a Field detail No.54 p.696; NVR refs C8</t>
  </si>
  <si>
    <t>RULE-MT340-F-56a</t>
  </si>
  <si>
    <t>us3ma_20260717.pdf Format table p.641; MT340 F 57a Field detail No.55 p.698</t>
  </si>
  <si>
    <t>RULE-MT340-F-57a</t>
  </si>
  <si>
    <t>us3ma_20260717.pdf Format table p.722; MT341 C 53a Field detail No.26 p.743</t>
  </si>
  <si>
    <t>RULE-MT341-C-53a</t>
  </si>
  <si>
    <t>us3ma_20260717.pdf Format table p.722; MT341 C 56a Field detail No.28 p.746; NVR refs C2</t>
  </si>
  <si>
    <t>RULE-MT341-C-56a</t>
  </si>
  <si>
    <t>us3ma_20260717.pdf Format table p.722; MT341 C 57a Field detail No.29 p.747</t>
  </si>
  <si>
    <t>RULE-MT341-C-57a</t>
  </si>
  <si>
    <t>us3ma_20260717.pdf Format table p.722; MT341 C 58a Field detail No.30 p.749</t>
  </si>
  <si>
    <t>RULE-MT341-C-58a</t>
  </si>
  <si>
    <t>us3mb_20260717.pdf Format table p.17; MT350 C 53a Field detail No.21 p.34</t>
  </si>
  <si>
    <t>RULE-MT350-C-53a</t>
  </si>
  <si>
    <t>C3</t>
  </si>
  <si>
    <t>us3mb_20260717.pdf Format table p.17; MT350 C 56a Field detail No.23 p.37; NVR refs C3</t>
  </si>
  <si>
    <t>RULE-MT350-C-56a</t>
  </si>
  <si>
    <t>us3mb_20260717.pdf Format table p.17; MT350 C 57a Field detail No.24 p.39</t>
  </si>
  <si>
    <t>RULE-MT350-C-57a</t>
  </si>
  <si>
    <t>us3mb_20260717.pdf Format table p.17; MT350 C 58a Field detail No.25 p.40</t>
  </si>
  <si>
    <t>RULE-MT350-C-58a</t>
  </si>
  <si>
    <t>C13</t>
  </si>
  <si>
    <t>us3mb_20260717.pdf Format table p.51; MT360 D 53a Field detail No.57 p.108; NVR refs C13</t>
  </si>
  <si>
    <t>RULE-MT360-D-53a</t>
  </si>
  <si>
    <t>C13,C14</t>
  </si>
  <si>
    <t>us3mb_20260717.pdf Format table p.51; MT360 D 56a Field detail No.58 p.110; NVR refs C13,C14</t>
  </si>
  <si>
    <t>RULE-MT360-D-56a</t>
  </si>
  <si>
    <t>us3mb_20260717.pdf Format table p.51; MT360 D 57a Field detail No.60 p.113; NVR refs C13</t>
  </si>
  <si>
    <t>RULE-MT360-D-57a</t>
  </si>
  <si>
    <t>us3mb_20260717.pdf Format table p.53; MT360 G 53a Field detail No.94 p.138; NVR refs C13</t>
  </si>
  <si>
    <t>RULE-MT360-G-53a</t>
  </si>
  <si>
    <t>us3mb_20260717.pdf Format table p.53; MT360 G 56a Field detail No.95 p.139; NVR refs C13,C14</t>
  </si>
  <si>
    <t>RULE-MT360-G-56a</t>
  </si>
  <si>
    <t>us3mb_20260717.pdf Format table p.53; MT360 G 57a Field detail No.97 p.142; NVR refs C13</t>
  </si>
  <si>
    <t>RULE-MT360-G-57a</t>
  </si>
  <si>
    <t>us3mb_20260717.pdf Format table p.54; MT360 L 53a Field detail No.113 p.156; NVR refs C13</t>
  </si>
  <si>
    <t>RULE-MT360-L-53a</t>
  </si>
  <si>
    <t>us3mb_20260717.pdf Format table p.54; MT360 L 56a Field detail No.114 p.157; NVR refs C13,C14</t>
  </si>
  <si>
    <t>RULE-MT360-L-56a</t>
  </si>
  <si>
    <t>us3mb_20260717.pdf Format table p.54; MT360 L 57a Field detail No.116 p.160; NVR refs C13</t>
  </si>
  <si>
    <t>RULE-MT360-L-57a</t>
  </si>
  <si>
    <t>us3mb_20260717.pdf Format table p.55; MT360 M 53a Field detail No.125 p.168; NVR refs C13</t>
  </si>
  <si>
    <t>RULE-MT360-M-53a</t>
  </si>
  <si>
    <t>us3mb_20260717.pdf Format table p.55; MT360 M 56a Field detail No.126 p.169; NVR refs C13,C14</t>
  </si>
  <si>
    <t>RULE-MT360-M-56a</t>
  </si>
  <si>
    <t>us3mb_20260717.pdf Format table p.55; MT360 M 57a Field detail No.128 p.172; NVR refs C13</t>
  </si>
  <si>
    <t>RULE-MT360-M-57a</t>
  </si>
  <si>
    <t>us3mb_20260717.pdf Format table p.210; MT361 D 53a Field detail No.58 p.269; NVR refs C13</t>
  </si>
  <si>
    <t>RULE-MT361-D-53a</t>
  </si>
  <si>
    <t>us3mb_20260717.pdf Format table p.210; MT361 D 56a Field detail No.59 p.271; NVR refs C13,C14</t>
  </si>
  <si>
    <t>RULE-MT361-D-56a</t>
  </si>
  <si>
    <t>us3mb_20260717.pdf Format table p.210; MT361 D 57a Field detail No.61 p.274; NVR refs C13</t>
  </si>
  <si>
    <t>RULE-MT361-D-57a</t>
  </si>
  <si>
    <t>us3mb_20260717.pdf Format table p.212; MT361 G 53a Field detail No.95 p.299; NVR refs C13</t>
  </si>
  <si>
    <t>RULE-MT361-G-53a</t>
  </si>
  <si>
    <t>us3mb_20260717.pdf Format table p.212; MT361 G 56a Field detail No.96 p.300; NVR refs C13,C14</t>
  </si>
  <si>
    <t>RULE-MT361-G-56a</t>
  </si>
  <si>
    <t>us3mb_20260717.pdf Format table p.212; MT361 G 57a Field detail No.98 p.303; NVR refs C13</t>
  </si>
  <si>
    <t>RULE-MT361-G-57a</t>
  </si>
  <si>
    <t>us3mb_20260717.pdf Format table p.214; MT361 K 53a Field detail No.129 p.323; NVR refs C13</t>
  </si>
  <si>
    <t>RULE-MT361-K-53a</t>
  </si>
  <si>
    <t>us3mb_20260717.pdf Format table p.214; MT361 K 56a Field detail No.130 p.324; NVR refs C13,C14</t>
  </si>
  <si>
    <t>RULE-MT361-K-56a</t>
  </si>
  <si>
    <t>us3mb_20260717.pdf Format table p.214; MT361 K 57a Field detail No.132 p.328; NVR refs C13</t>
  </si>
  <si>
    <t>RULE-MT361-K-57a</t>
  </si>
  <si>
    <t>us3mb_20260717.pdf Format table p.215; MT361 L 53a Field detail No.141 p.335; NVR refs C13</t>
  </si>
  <si>
    <t>RULE-MT361-L-53a</t>
  </si>
  <si>
    <t>us3mb_20260717.pdf Format table p.215; MT361 L 56a Field detail No.142 p.337; NVR refs C13,C14</t>
  </si>
  <si>
    <t>RULE-MT361-L-56a</t>
  </si>
  <si>
    <t>us3mb_20260717.pdf Format table p.215; MT361 L 57a Field detail No.144 p.340; NVR refs C13</t>
  </si>
  <si>
    <t>RULE-MT361-L-57a</t>
  </si>
  <si>
    <t>us3mb_20260717.pdf Format table p.216; MT361 M 53a Field detail No.156 p.351; NVR refs C13</t>
  </si>
  <si>
    <t>RULE-MT361-M-53a</t>
  </si>
  <si>
    <t>us3mb_20260717.pdf Format table p.216; MT361 M 56a Field detail No.157 p.352; NVR refs C13,C14</t>
  </si>
  <si>
    <t>RULE-MT361-M-56a</t>
  </si>
  <si>
    <t>us3mb_20260717.pdf Format table p.216; MT361 M 57a Field detail No.159 p.356; NVR refs C13</t>
  </si>
  <si>
    <t>RULE-MT361-M-57a</t>
  </si>
  <si>
    <t>us3mb_20260717.pdf Format table p.216; MT361 N 53a Field detail No.168 p.363; NVR refs C13</t>
  </si>
  <si>
    <t>RULE-MT361-N-53a</t>
  </si>
  <si>
    <t>us3mb_20260717.pdf Format table p.216; MT361 N 56a Field detail No.169 p.365; NVR refs C13,C14</t>
  </si>
  <si>
    <t>RULE-MT361-N-56a</t>
  </si>
  <si>
    <t>us3mb_20260717.pdf Format table p.216; MT361 N 57a Field detail No.171 p.368; NVR refs C13</t>
  </si>
  <si>
    <t>RULE-MT361-N-57a</t>
  </si>
  <si>
    <t>us3mb_20260717.pdf Format table p.396; MT362 C 53a Field detail No.34 p.424</t>
  </si>
  <si>
    <t>RULE-MT362-C-53a</t>
  </si>
  <si>
    <t>us3mb_20260717.pdf Format table p.396; MT362 C 56a Field detail No.35 p.425; NVR refs C7</t>
  </si>
  <si>
    <t>RULE-MT362-C-56a</t>
  </si>
  <si>
    <t>C4,C5</t>
  </si>
  <si>
    <t>us3mb_20260717.pdf Format table p.396; MT362 C 57a Field detail No.37 p.429; NVR refs C4,C5</t>
  </si>
  <si>
    <t>RULE-MT362-C-57a</t>
  </si>
  <si>
    <t>us3mb_20260717.pdf Format table p.397; MT362 E 53a Field detail No.55 p.438</t>
  </si>
  <si>
    <t>RULE-MT362-E-53a</t>
  </si>
  <si>
    <t>us3mb_20260717.pdf Format table p.397; MT362 E 56a Field detail No.56 p.439; NVR refs C7</t>
  </si>
  <si>
    <t>RULE-MT362-E-56a</t>
  </si>
  <si>
    <t>us3mb_20260717.pdf Format table p.397; MT362 E 57a Field detail No.58 p.442; NVR refs C4,C5</t>
  </si>
  <si>
    <t>RULE-MT362-E-57a</t>
  </si>
  <si>
    <t>us3mb_20260717.pdf Format table p.448; MT364 L 53a Field detail No.33 p.472</t>
  </si>
  <si>
    <t>RULE-MT364-L-53a</t>
  </si>
  <si>
    <t>us3mb_20260717.pdf Format table p.448; MT364 L 56a Field detail No.34 p.473; NVR refs C3</t>
  </si>
  <si>
    <t>RULE-MT364-L-56a</t>
  </si>
  <si>
    <t>us3mb_20260717.pdf Format table p.448; MT364 L 57a Field detail No.36 p.476</t>
  </si>
  <si>
    <t>RULE-MT364-L-57a</t>
  </si>
  <si>
    <t>us3mb_20260717.pdf Format table p.448; MT364 M 53a Field detail No.40 p.479</t>
  </si>
  <si>
    <t>RULE-MT364-M-53a</t>
  </si>
  <si>
    <t>us3mb_20260717.pdf Format table p.448; MT364 M 56a Field detail No.41 p.481; NVR refs C3</t>
  </si>
  <si>
    <t>RULE-MT364-M-56a</t>
  </si>
  <si>
    <t>us3mb_20260717.pdf Format table p.448; MT364 M 57a Field detail No.43 p.484</t>
  </si>
  <si>
    <t>RULE-MT364-M-57a</t>
  </si>
  <si>
    <t>us3mb_20260717.pdf Format table p.490; MT365 J 53a Field detail No.35 p.515</t>
  </si>
  <si>
    <t>RULE-MT365-J-53a</t>
  </si>
  <si>
    <t>us3mb_20260717.pdf Format table p.490; MT365 J 56a Field detail No.36 p.516; NVR refs C3</t>
  </si>
  <si>
    <t>RULE-MT365-J-56a</t>
  </si>
  <si>
    <t>us3mb_20260717.pdf Format table p.490; MT365 J 57a Field detail No.38 p.520</t>
  </si>
  <si>
    <t>RULE-MT365-J-57a</t>
  </si>
  <si>
    <t>us3mb_20260717.pdf Format table p.490; MT365 K 53a Field detail No.42 p.523</t>
  </si>
  <si>
    <t>RULE-MT365-K-53a</t>
  </si>
  <si>
    <t>us3mb_20260717.pdf Format table p.490; MT365 K 56a Field detail No.43 p.524; NVR refs C3</t>
  </si>
  <si>
    <t>RULE-MT365-K-56a</t>
  </si>
  <si>
    <t>us3mb_20260717.pdf Format table p.490; MT365 K 57a Field detail No.45 p.527</t>
  </si>
  <si>
    <t>RULE-MT365-K-57a</t>
  </si>
  <si>
    <t>us3mb_20260717.pdf Format table p.490; MT365 L 53a Field detail No.49 p.530</t>
  </si>
  <si>
    <t>RULE-MT365-L-53a</t>
  </si>
  <si>
    <t>us3mb_20260717.pdf Format table p.490; MT365 L 56a Field detail No.50 p.532; NVR refs C3</t>
  </si>
  <si>
    <t>RULE-MT365-L-56a</t>
  </si>
  <si>
    <t>us3mb_20260717.pdf Format table p.491; MT365 L 57a Field detail No.52 p.535</t>
  </si>
  <si>
    <t>RULE-MT365-L-57a</t>
  </si>
  <si>
    <t>us3mb_20260717.pdf Format table p.491; MT365 M 53a Field detail No.56 p.538</t>
  </si>
  <si>
    <t>RULE-MT365-M-53a</t>
  </si>
  <si>
    <t>us3mb_20260717.pdf Format table p.491; MT365 M 56a Field detail No.57 p.539; NVR refs C3</t>
  </si>
  <si>
    <t>RULE-MT365-M-56a</t>
  </si>
  <si>
    <t>us3mb_20260717.pdf Format table p.491; MT365 M 57a Field detail No.59 p.542</t>
  </si>
  <si>
    <t>RULE-MT365-M-57a</t>
  </si>
  <si>
    <t>A/B/D</t>
  </si>
  <si>
    <t>us4m_20260717.pdf Format table p.12; MT400 MESSAGE 53a Field detail No.6 p.16; NVR refs C1</t>
  </si>
  <si>
    <t>RULE-MT400-MESSAGE-53a</t>
  </si>
  <si>
    <t>54a</t>
  </si>
  <si>
    <t>Receiver's Correspondent</t>
  </si>
  <si>
    <t>us4m_20260717.pdf Format table p.12; MT400 MESSAGE 54a Field detail No.7 p.17; NVR refs C1</t>
  </si>
  <si>
    <t>RULE-MT400-MESSAGE-54a</t>
  </si>
  <si>
    <t>A/D</t>
  </si>
  <si>
    <t>Account With Bank</t>
  </si>
  <si>
    <t>us4m_20260717.pdf Format table p.12; MT400 MESSAGE 57a Field detail No.8 p.17; NVR refs C1</t>
  </si>
  <si>
    <t>RULE-MT400-MESSAGE-57a</t>
  </si>
  <si>
    <t>Beneficiary Bank</t>
  </si>
  <si>
    <t>us4m_20260717.pdf Format table p.12; MT400 MESSAGE 58a Field detail No.9 p.18</t>
  </si>
  <si>
    <t>RULE-MT400-MESSAGE-58a</t>
  </si>
  <si>
    <t>C1,C2</t>
  </si>
  <si>
    <t>us7m_20260717.pdf Format table p.215; MT742 MESSAGE 57a Field detail No.9 p.220</t>
  </si>
  <si>
    <t>RULE-MT742-MESSAGE-57a</t>
  </si>
  <si>
    <t>HYBRID_CONDITIONAL_SSI</t>
  </si>
  <si>
    <t>Institution from transaction context; credited account from controlled account data when MRG multiple-relationship condition applies; no route-copy fallback</t>
  </si>
  <si>
    <t>us7m_20260717.pdf Format table p.215; MT742 MESSAGE 58a Field detail No.10 p.220</t>
  </si>
  <si>
    <t>RULE-MT742-MESSAGE-58a</t>
  </si>
  <si>
    <t>RED — HYBRID SOURCE TESTS SPECIFIED</t>
  </si>
  <si>
    <t>us7m_20260717.pdf Format table p.252; MT752 MESSAGE 53a Field detail No.8 p.256</t>
  </si>
  <si>
    <t>RULE-MT752-MESSAGE-53a</t>
  </si>
  <si>
    <t>us7m_20260717.pdf Format table p.252; MT752 MESSAGE 54a Field detail No.9 p.257</t>
  </si>
  <si>
    <t>RULE-MT752-MESSAGE-54a</t>
  </si>
  <si>
    <t>Reimbursing Bank</t>
  </si>
  <si>
    <t>TRADE INSTRUCTION / REIMBURSEMENT AUTHORISATION; not generic SSI</t>
  </si>
  <si>
    <t>us7m_20260717.pdf Format table p.264; MT754 MESSAGE 53a Field detail No.8 p.270; NVR refs C2</t>
  </si>
  <si>
    <t>RULE-MT754-MESSAGE-53a</t>
  </si>
  <si>
    <t>us7m_20260717.pdf Format table p.264; MT754 MESSAGE 57a Field detail No.9 p.270; NVR refs C2</t>
  </si>
  <si>
    <t>RULE-MT754-MESSAGE-57a</t>
  </si>
  <si>
    <t>us7m_20260717.pdf Format table p.264; MT754 MESSAGE 58a Field detail No.10 p.271</t>
  </si>
  <si>
    <t>RULE-MT754-MESSAGE-58a</t>
  </si>
  <si>
    <t>us7m_20260717.pdf Format table p.275; MT756 MESSAGE 53a Field detail No.5 p.277</t>
  </si>
  <si>
    <t>RULE-MT756-MESSAGE-53a</t>
  </si>
  <si>
    <t>us7m_20260717.pdf Format table p.275; MT756 MESSAGE 54a Field detail No.6 p.278</t>
  </si>
  <si>
    <t>RULE-MT756-MESSAGE-54a</t>
  </si>
  <si>
    <t>us7m_20260717.pdf Format table p.355; MT765 56a Field detail No.21 p.363</t>
  </si>
  <si>
    <t>RULE-MT765-MESSAGE-56a</t>
  </si>
  <si>
    <t>us7m_20260717.pdf Format table p.355; MT765 57a Field detail No.22 p.363</t>
  </si>
  <si>
    <t>RULE-MT765-MESSAGE-57a</t>
  </si>
  <si>
    <t>C1,C3</t>
  </si>
  <si>
    <t>Severity</t>
  </si>
  <si>
    <t>Current evidence</t>
  </si>
  <si>
    <t>Required action / acceptance</t>
  </si>
  <si>
    <t>BLOCKER</t>
  </si>
  <si>
    <t>Sequence-qualified SSI fixtures</t>
  </si>
  <si>
    <t>Current prototype data is payment-oriented</t>
  </si>
  <si>
    <t>Isolated fixtures keyed by messageType+sequence+leg+currency+counterparty</t>
  </si>
  <si>
    <t>54a source</t>
  </si>
  <si>
    <t>No dedicated governed receiver-correspondent source</t>
  </si>
  <si>
    <t>Add explicit relationship/provenance; no inference</t>
  </si>
  <si>
    <t>Option D/J/B data</t>
  </si>
  <si>
    <t>BIC snapshot cannot create name/address/location/structured party content</t>
  </si>
  <si>
    <t>Add controlled option-specific records; fail closed</t>
  </si>
  <si>
    <t>Clearing code fidelity</t>
  </si>
  <si>
    <t>No controlled scheme/member directory or golden mapping fixture</t>
  </si>
  <si>
    <t>Validate scheme/member and exact Party Identifier placement</t>
  </si>
  <si>
    <t>Beneficiary provenance</t>
  </si>
  <si>
    <t>Cat3 58a and MT400/742/754 beneficiary roles require transaction/upstream source</t>
  </si>
  <si>
    <t>Add immutable upstream fixtures; forbid generic route-copy fallback</t>
  </si>
  <si>
    <t>Cat7 charges relationship</t>
  </si>
  <si>
    <t>MT730/768/769 omission relies on bilateral account relationship</t>
  </si>
  <si>
    <t>Add currency/effective-date account relationship fixture</t>
  </si>
  <si>
    <t>RELEASE GATE</t>
  </si>
  <si>
    <t>Full FIN validation</t>
  </si>
  <si>
    <t>Only SSI-relevant profile/NVR covered</t>
  </si>
  <si>
    <t>Run complete message validation separately</t>
  </si>
  <si>
    <t>CLOSED — TRACEABILITY</t>
  </si>
  <si>
    <t>BA source workbook</t>
  </si>
  <si>
    <t>Registered under qa/mt347 with SHA-256 C3EC8EB1A5B256C51D707BE342C079DB9DEBE304B03B562046CBAF1C459BECD2</t>
  </si>
  <si>
    <t>Canonical MT347 positive seed</t>
  </si>
  <si>
    <t>Current canonical seed has no ACTIVE SSI route for any MT3/MT4/MT7 FIN messageType</t>
  </si>
  <si>
    <t>Implement Fixture Manifest positive bindings; QA/API and browser UAT must load the same manifest and publish seed SHA + WAL-aware snapshot SHA/method</t>
  </si>
  <si>
    <t>Governed MT347 negative fixture</t>
  </si>
  <si>
    <t>No separately versioned negative manifest is controlled</t>
  </si>
  <si>
    <t>Implement only deliberate case-linked invalid/ambiguous records; prevent any match with positive scopes; publish manifest SHA</t>
  </si>
  <si>
    <t>RMA coverage</t>
  </si>
  <si>
    <t>Absent for MT341/360/361/362/364/365/734/750/752/768/769 in current synthetic configuration</t>
  </si>
  <si>
    <t>Implement exact Fixture Manifest RMA IDs/versions and add positive/negative RMA assertions</t>
  </si>
  <si>
    <t>Source</t>
  </si>
  <si>
    <t>Type</t>
  </si>
  <si>
    <t>SHA-256</t>
  </si>
  <si>
    <t>Pages/scope</t>
  </si>
  <si>
    <t>Use</t>
  </si>
  <si>
    <t>SWIFT_SR2026_MT3_MT4_MT7_SSI_分析_中文版_v7.docx</t>
  </si>
  <si>
    <t>Approved internal BA scope ruling (2026-09-08)</t>
  </si>
  <si>
    <t>1A0B5CDBD6CC3F00CE13C8C978E445D2A54728A956B0240661FFE79230E2B985</t>
  </si>
  <si>
    <t>All 77 Cat3/4/7 messages; section 4.3/4.4 exclusion rationale; section 8 final design decisions</t>
  </si>
  <si>
    <t>Authority for scope inclusion/exclusion; sequence qualification supplied by SR2026 MRG</t>
  </si>
  <si>
    <t>us2m_20260717.pdf</t>
  </si>
  <si>
    <t>Official MRG boundary source</t>
  </si>
  <si>
    <t>64483D7F7C094DB28E03791AB6BBC7A0522DAEC90487A7DD834228E848FA8323</t>
  </si>
  <si>
    <t>211 pages; Cat2 C81/C68 comparison only</t>
  </si>
  <si>
    <t>Prevents cross-message NVR leakage</t>
  </si>
  <si>
    <t>us3ma_20260717.pdf</t>
  </si>
  <si>
    <t>Official SR2026 MRG</t>
  </si>
  <si>
    <t>5B4315EF876FF32C416BF445C0ADB063D6E0A1600EF93F55DF73F98A175457E5</t>
  </si>
  <si>
    <t>774 pages</t>
  </si>
  <si>
    <t>Category 3 volume 1</t>
  </si>
  <si>
    <t>us3mb_20260717.pdf</t>
  </si>
  <si>
    <t>BC510604859CF7C5FE43A90176889AD21050ECE964A6244EBD92AC6E50FAF861</t>
  </si>
  <si>
    <t>635 pages</t>
  </si>
  <si>
    <t>Category 3 volume 2</t>
  </si>
  <si>
    <t>us3u_20260717.pdf</t>
  </si>
  <si>
    <t>Official SR2026 user handbook</t>
  </si>
  <si>
    <t>92F6F7E6D1D7EB1EEA1BFB753ADA171D4099FA5215BA13D130C2E17494EB0E90</t>
  </si>
  <si>
    <t>65 pages</t>
  </si>
  <si>
    <t>Category 3 scope/semantic boundary</t>
  </si>
  <si>
    <t>us4m_20260717.pdf</t>
  </si>
  <si>
    <t>71F865223FD74B19DD5AE721AA84F0288259A1C28600A5B8F8252346BAC1C06B</t>
  </si>
  <si>
    <t>115 pages</t>
  </si>
  <si>
    <t>us7m_20260717.pdf</t>
  </si>
  <si>
    <t>1F748A8262E5528F6C9BD59DDD5FF1A992542CFCF25D0E8DA528241D12FEA2A4</t>
  </si>
  <si>
    <t>443 pages</t>
  </si>
  <si>
    <t>Source QA test plan</t>
  </si>
  <si>
    <t>1FDF15CFF1E78B0A6A3813163E6ADDD76517C0A045B240665003B249F2C5EFF5</t>
  </si>
  <si>
    <t>8 sheets; 358 cases; 164 role anchors</t>
  </si>
  <si>
    <t>Preserved unchanged under qa/mt347</t>
  </si>
  <si>
    <t>Source internal BA scope matrix</t>
  </si>
  <si>
    <t>C3EC8EB1A5B256C51D707BE342C079DB9DEBE304B03B562046CBAF1C459BECD2</t>
  </si>
  <si>
    <t>25 message rows</t>
  </si>
  <si>
    <t>Message-level SSI classification; sequence qualification supplied by MRG</t>
  </si>
  <si>
    <t>Controlled BA memory</t>
  </si>
  <si>
    <t>682075A1EC36AD1A5397382063B1AFEE08F0E88921E139E7E62A8033552A985A</t>
  </si>
  <si>
    <t>25-message FIN-only ruling; MT765 message-level correction; seven active OPENs</t>
  </si>
  <si>
    <t>Primary controlled BA memory for TDD v3</t>
  </si>
  <si>
    <t>qa/mt2/mt2-final/fixtures/overlays/ssi-demo.v15.3-unified-qa-uat.manifest.json</t>
  </si>
  <si>
    <t>Current canonical seed manifest — baseline observation only</t>
  </si>
  <si>
    <t>BB999C7DEE8FC2B4865DD957FD24957D08F1BCE95CE0381CDAF2A73C064ECFBB</t>
  </si>
  <si>
    <t>MT2 v15.3 unified QA/UAT</t>
  </si>
  <si>
    <t>Shows the inherited baseline identity; does not supply MT347 routes</t>
  </si>
  <si>
    <t>qa/mt2/mt2-final/fixtures/overlays/ssi-demo.v15.3-unified-qa-uat.sqlite</t>
  </si>
  <si>
    <t>Current canonical data file — baseline observation only</t>
  </si>
  <si>
    <t>7F7AFE003524300174E93C02060D7447FDE7B08D093808070E466BBCDE8D0101</t>
  </si>
  <si>
    <t>SQLite main file; logical identity must be WAL-aware</t>
  </si>
  <si>
    <t>Current DB has no ACTIVE MT347 route; raw main-file SHA is not a logical snapshot claim</t>
  </si>
  <si>
    <t>qa/mt2/mt2-final/fixtures/negative/ssi-demo.invalid-data-quality.manifest.json</t>
  </si>
  <si>
    <t>Current negative manifest — insufficient for MT347</t>
  </si>
  <si>
    <t>A1CAD6A2798138F3EC5C258ECB90C20115E07CF932BF0DCC29C143063CA8FC72</t>
  </si>
  <si>
    <t>Two MT2 missing-BIC cases</t>
  </si>
  <si>
    <t>Must not be reused as proof of MT347 negative coverage</t>
  </si>
  <si>
    <t>Date</t>
  </si>
  <si>
    <t>Change</t>
  </si>
  <si>
    <t>Authority</t>
  </si>
  <si>
    <t>v1</t>
  </si>
  <si>
    <t>CONTROLLED TDD DRAFT</t>
  </si>
  <si>
    <t>Created from QA plan v4 and BA matrix v5; reconciled hybrid 58a account rules; added conversion gates and four cases</t>
  </si>
  <si>
    <t>memory/swift-mt347.md + SR2026 MRG</t>
  </si>
  <si>
    <t>v1 -&gt; v2</t>
  </si>
  <si>
    <t>BA scope re-ruling: MT-MX/pacs/converter/UG/round-trip removed from MT347 scope (Cat1/2 only); OPEN reduced 11 -&gt; 7 (004,005,006,007,008,009,010); MT765 56a/57a re-anchored from Sequence A (Beneficiary) to MESSAGE level per us7m_20260717.pdf p.355</t>
  </si>
  <si>
    <t>BA 2026-09-12</t>
  </si>
  <si>
    <t>Counts unchanged: 25 messages / 362 cases / 164 rules / 53 scenarios</t>
  </si>
  <si>
    <t>v2 -&gt; v3</t>
  </si>
  <si>
    <t>Created a new controlled version without overwriting v2; corrected MT765-002 to message-level 56a/57a only; removed its Nostro/account-reference fixture; removed remaining converter/MX/pacs/UG/round-trip scope remnants outside this historical Change Log; normalized all non-empty cells to Times New Roman 11</t>
  </si>
  <si>
    <t>Counts unchanged: 25 messages / 362 cases / 164 rules / 53 scenarios / 7 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</si>
</sst>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rgb="FFFFFFFF"/>
      <name val="Times New Roman"/>
      <charset val="1"/>
    </font>
    <font>
      <sz val="11"/>
      <color rgb="FF000000"/>
      <name val="Times New Roman"/>
      <charset val="1"/>
    </font>
    <font>
      <sz val="11"/>
      <color theme="1"/>
      <name val="Times New Roman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FCE5CD"/>
        <bgColor rgb="FFD9EAD3"/>
      </patternFill>
    </fill>
    <fill>
      <patternFill patternType="solid">
        <fgColor rgb="FFD9EAD3"/>
        <bgColor rgb="FFFCE5CD"/>
      </patternFill>
    </fill>
    <fill>
      <patternFill patternType="solid">
        <fgColor rgb="FFF4CCCC"/>
        <bgColor rgb="FFFCE5CD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C9D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3"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D6"/>
      <rgbColor rgb="FF808080"/>
      <rgbColor rgb="FF9999FF"/>
      <rgbColor rgb="FF993366"/>
      <rgbColor rgb="FFFCE5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showGridLines="0" tabSelected="1" zoomScaleNormal="100" workbookViewId="0">
      <pane ySplit="1" topLeftCell="A2" activePane="bottomLeft" state="frozen"/>
      <selection pane="bottomLeft"/>
    </sheetView>
  </sheetViews>
  <sheetFormatPr defaultColWidth="8.703125" defaultRowHeight="14.35" x14ac:dyDescent="0.5"/>
  <cols>
    <col min="1" max="1" width="27" customWidth="1"/>
    <col min="2" max="2" width="62" customWidth="1"/>
    <col min="3" max="3" width="86" customWidth="1"/>
  </cols>
  <sheetData>
    <row r="1" spans="1:3" ht="30" customHeight="1" x14ac:dyDescent="0.5">
      <c r="A1" s="1" t="s">
        <v>0</v>
      </c>
      <c r="B1" s="1" t="s">
        <v>1</v>
      </c>
      <c r="C1" s="1" t="s">
        <v>2</v>
      </c>
    </row>
    <row r="2" spans="1:3" ht="33.75" customHeight="1" x14ac:dyDescent="0.5">
      <c r="A2" s="2" t="s">
        <v>3</v>
      </c>
      <c r="B2" s="2" t="s">
        <v>4</v>
      </c>
      <c r="C2" s="2" t="s">
        <v>5</v>
      </c>
    </row>
    <row r="3" spans="1:3" ht="33.75" customHeight="1" x14ac:dyDescent="0.5">
      <c r="A3" s="2" t="s">
        <v>6</v>
      </c>
      <c r="B3" s="3" t="s">
        <v>7</v>
      </c>
      <c r="C3" s="2" t="s">
        <v>8</v>
      </c>
    </row>
    <row r="4" spans="1:3" ht="33.75" customHeight="1" x14ac:dyDescent="0.5">
      <c r="A4" s="2" t="s">
        <v>9</v>
      </c>
      <c r="B4" s="2" t="s">
        <v>10</v>
      </c>
      <c r="C4" s="2" t="s">
        <v>11</v>
      </c>
    </row>
    <row r="5" spans="1:3" ht="33.75" customHeight="1" x14ac:dyDescent="0.5">
      <c r="A5" s="2" t="s">
        <v>12</v>
      </c>
      <c r="B5" s="2" t="s">
        <v>13</v>
      </c>
      <c r="C5" s="2" t="s">
        <v>14</v>
      </c>
    </row>
    <row r="6" spans="1:3" ht="33.75" customHeight="1" x14ac:dyDescent="0.5">
      <c r="A6" s="2" t="s">
        <v>15</v>
      </c>
      <c r="B6" s="2" t="s">
        <v>16</v>
      </c>
      <c r="C6" s="2" t="s">
        <v>17</v>
      </c>
    </row>
    <row r="7" spans="1:3" ht="33.75" customHeight="1" x14ac:dyDescent="0.5">
      <c r="A7" s="2" t="s">
        <v>18</v>
      </c>
      <c r="B7" s="2" t="s">
        <v>19</v>
      </c>
      <c r="C7" s="2" t="s">
        <v>20</v>
      </c>
    </row>
    <row r="8" spans="1:3" ht="33.75" customHeight="1" x14ac:dyDescent="0.5">
      <c r="A8" s="2" t="s">
        <v>21</v>
      </c>
      <c r="B8" s="2" t="s">
        <v>22</v>
      </c>
      <c r="C8" s="2" t="s">
        <v>23</v>
      </c>
    </row>
    <row r="9" spans="1:3" ht="33.75" customHeight="1" x14ac:dyDescent="0.5">
      <c r="A9" s="2" t="s">
        <v>24</v>
      </c>
      <c r="B9" s="2" t="s">
        <v>25</v>
      </c>
      <c r="C9" s="2" t="s">
        <v>26</v>
      </c>
    </row>
    <row r="10" spans="1:3" ht="33.75" customHeight="1" x14ac:dyDescent="0.5">
      <c r="A10" s="2" t="s">
        <v>27</v>
      </c>
      <c r="B10" s="2" t="s">
        <v>28</v>
      </c>
      <c r="C10" s="2" t="s">
        <v>29</v>
      </c>
    </row>
    <row r="11" spans="1:3" ht="33.75" customHeight="1" x14ac:dyDescent="0.5">
      <c r="A11" s="2" t="s">
        <v>30</v>
      </c>
      <c r="B11" s="2" t="s">
        <v>31</v>
      </c>
      <c r="C11" s="2" t="s">
        <v>32</v>
      </c>
    </row>
    <row r="12" spans="1:3" ht="33.75" customHeight="1" x14ac:dyDescent="0.5">
      <c r="A12" s="2" t="s">
        <v>33</v>
      </c>
      <c r="B12" s="2" t="s">
        <v>34</v>
      </c>
      <c r="C12" s="2" t="s">
        <v>35</v>
      </c>
    </row>
    <row r="13" spans="1:3" ht="33.75" customHeight="1" x14ac:dyDescent="0.5">
      <c r="A13" s="2" t="s">
        <v>36</v>
      </c>
      <c r="B13" s="3" t="s">
        <v>37</v>
      </c>
      <c r="C13" s="2" t="s">
        <v>38</v>
      </c>
    </row>
    <row r="14" spans="1:3" ht="33.75" customHeight="1" x14ac:dyDescent="0.5">
      <c r="A14" s="6" t="s">
        <v>39</v>
      </c>
      <c r="B14" s="6" t="s">
        <v>40</v>
      </c>
      <c r="C14" s="6" t="s">
        <v>41</v>
      </c>
    </row>
    <row r="15" spans="1:3" ht="14.25" customHeight="1" x14ac:dyDescent="0.5"/>
  </sheetData>
  <autoFilter ref="A1:C14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03125" defaultRowHeight="14.35" x14ac:dyDescent="0.5"/>
  <cols>
    <col min="1" max="1" width="24" customWidth="1"/>
    <col min="2" max="2" width="58" customWidth="1"/>
    <col min="3" max="3" width="86" customWidth="1"/>
  </cols>
  <sheetData>
    <row r="1" spans="1:3" ht="30" customHeight="1" x14ac:dyDescent="0.5">
      <c r="A1" s="1" t="s">
        <v>42</v>
      </c>
      <c r="B1" s="1" t="s">
        <v>43</v>
      </c>
      <c r="C1" s="1" t="s">
        <v>44</v>
      </c>
    </row>
    <row r="2" spans="1:3" ht="33.75" customHeight="1" x14ac:dyDescent="0.5">
      <c r="A2" s="2" t="s">
        <v>45</v>
      </c>
      <c r="B2" s="3" t="s">
        <v>46</v>
      </c>
      <c r="C2" s="2" t="s">
        <v>47</v>
      </c>
    </row>
    <row r="3" spans="1:3" ht="33.75" customHeight="1" x14ac:dyDescent="0.5">
      <c r="A3" s="2" t="s">
        <v>48</v>
      </c>
      <c r="B3" s="4" t="s">
        <v>49</v>
      </c>
      <c r="C3" s="2" t="s">
        <v>50</v>
      </c>
    </row>
    <row r="4" spans="1:3" ht="33.75" customHeight="1" x14ac:dyDescent="0.5">
      <c r="A4" s="2" t="s">
        <v>51</v>
      </c>
      <c r="B4" s="2" t="s">
        <v>52</v>
      </c>
      <c r="C4" s="2" t="s">
        <v>53</v>
      </c>
    </row>
    <row r="5" spans="1:3" ht="33.75" customHeight="1" x14ac:dyDescent="0.5">
      <c r="A5" s="2" t="s">
        <v>54</v>
      </c>
      <c r="B5" s="2" t="s">
        <v>55</v>
      </c>
      <c r="C5" s="2" t="s">
        <v>56</v>
      </c>
    </row>
    <row r="6" spans="1:3" ht="33.75" customHeight="1" x14ac:dyDescent="0.5">
      <c r="A6" s="2" t="s">
        <v>57</v>
      </c>
      <c r="B6" s="2" t="s">
        <v>55</v>
      </c>
      <c r="C6" s="2" t="s">
        <v>58</v>
      </c>
    </row>
    <row r="7" spans="1:3" ht="33.75" customHeight="1" x14ac:dyDescent="0.5">
      <c r="A7" s="2" t="s">
        <v>59</v>
      </c>
      <c r="B7" s="2" t="s">
        <v>60</v>
      </c>
      <c r="C7" s="2" t="s">
        <v>61</v>
      </c>
    </row>
    <row r="8" spans="1:3" ht="33.75" customHeight="1" x14ac:dyDescent="0.5">
      <c r="A8" s="2" t="s">
        <v>62</v>
      </c>
      <c r="B8" s="2" t="s">
        <v>63</v>
      </c>
      <c r="C8" s="2" t="s">
        <v>64</v>
      </c>
    </row>
    <row r="9" spans="1:3" ht="33.75" customHeight="1" x14ac:dyDescent="0.5">
      <c r="A9" s="2" t="s">
        <v>65</v>
      </c>
      <c r="B9" s="3" t="s">
        <v>7</v>
      </c>
      <c r="C9" s="2" t="s">
        <v>66</v>
      </c>
    </row>
    <row r="10" spans="1:3" ht="33.75" customHeight="1" x14ac:dyDescent="0.5"/>
  </sheetData>
  <autoFilter ref="A1:C10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8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03125" defaultRowHeight="14.35" x14ac:dyDescent="0.5"/>
  <cols>
    <col min="1" max="1" width="12" customWidth="1"/>
    <col min="2" max="2" width="14" customWidth="1"/>
    <col min="3" max="3" width="55" customWidth="1"/>
    <col min="4" max="4" width="34" customWidth="1"/>
    <col min="5" max="5" width="18" customWidth="1"/>
    <col min="6" max="6" width="55" customWidth="1"/>
    <col min="7" max="7" width="34" customWidth="1"/>
  </cols>
  <sheetData>
    <row r="1" spans="1:7" ht="30" customHeight="1" x14ac:dyDescent="0.5">
      <c r="A1" s="1" t="s">
        <v>67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</row>
    <row r="2" spans="1:7" ht="33.75" customHeight="1" x14ac:dyDescent="0.5">
      <c r="A2" s="2" t="s">
        <v>74</v>
      </c>
      <c r="B2" s="2" t="s">
        <v>75</v>
      </c>
      <c r="C2" s="2" t="s">
        <v>76</v>
      </c>
      <c r="D2" s="2" t="s">
        <v>77</v>
      </c>
      <c r="E2" s="4" t="s">
        <v>78</v>
      </c>
      <c r="F2" s="2" t="s">
        <v>79</v>
      </c>
      <c r="G2" s="4" t="s">
        <v>80</v>
      </c>
    </row>
    <row r="3" spans="1:7" ht="33.75" customHeight="1" x14ac:dyDescent="0.5">
      <c r="A3" s="2" t="s">
        <v>74</v>
      </c>
      <c r="B3" s="2" t="s">
        <v>81</v>
      </c>
      <c r="C3" s="2" t="s">
        <v>82</v>
      </c>
      <c r="D3" s="2" t="s">
        <v>77</v>
      </c>
      <c r="E3" s="4" t="s">
        <v>78</v>
      </c>
      <c r="F3" s="2" t="s">
        <v>83</v>
      </c>
      <c r="G3" s="4" t="s">
        <v>80</v>
      </c>
    </row>
    <row r="4" spans="1:7" ht="33.75" customHeight="1" x14ac:dyDescent="0.5">
      <c r="A4" s="2" t="s">
        <v>74</v>
      </c>
      <c r="B4" s="2" t="s">
        <v>84</v>
      </c>
      <c r="C4" s="2" t="s">
        <v>85</v>
      </c>
      <c r="D4" s="2" t="s">
        <v>86</v>
      </c>
      <c r="E4" s="4" t="s">
        <v>78</v>
      </c>
      <c r="F4" s="2" t="s">
        <v>87</v>
      </c>
      <c r="G4" s="4" t="s">
        <v>80</v>
      </c>
    </row>
    <row r="5" spans="1:7" ht="33.75" customHeight="1" x14ac:dyDescent="0.5">
      <c r="A5" s="2" t="s">
        <v>74</v>
      </c>
      <c r="B5" s="2" t="s">
        <v>88</v>
      </c>
      <c r="C5" s="2" t="s">
        <v>85</v>
      </c>
      <c r="D5" s="2" t="s">
        <v>77</v>
      </c>
      <c r="E5" s="4" t="s">
        <v>78</v>
      </c>
      <c r="F5" s="2" t="s">
        <v>89</v>
      </c>
      <c r="G5" s="4" t="s">
        <v>80</v>
      </c>
    </row>
    <row r="6" spans="1:7" ht="33.75" customHeight="1" x14ac:dyDescent="0.5">
      <c r="A6" s="2" t="s">
        <v>74</v>
      </c>
      <c r="B6" s="2" t="s">
        <v>90</v>
      </c>
      <c r="C6" s="2" t="s">
        <v>91</v>
      </c>
      <c r="D6" s="2" t="s">
        <v>77</v>
      </c>
      <c r="E6" s="4" t="s">
        <v>78</v>
      </c>
      <c r="F6" s="2" t="s">
        <v>92</v>
      </c>
      <c r="G6" s="4" t="s">
        <v>80</v>
      </c>
    </row>
    <row r="7" spans="1:7" ht="33.75" customHeight="1" x14ac:dyDescent="0.5">
      <c r="A7" s="2" t="s">
        <v>74</v>
      </c>
      <c r="B7" s="2" t="s">
        <v>93</v>
      </c>
      <c r="C7" s="2" t="s">
        <v>94</v>
      </c>
      <c r="D7" s="2" t="s">
        <v>77</v>
      </c>
      <c r="E7" s="4" t="s">
        <v>78</v>
      </c>
      <c r="F7" s="2" t="s">
        <v>95</v>
      </c>
      <c r="G7" s="4" t="s">
        <v>80</v>
      </c>
    </row>
    <row r="8" spans="1:7" ht="33.75" customHeight="1" x14ac:dyDescent="0.5">
      <c r="A8" s="2" t="s">
        <v>74</v>
      </c>
      <c r="B8" s="2" t="s">
        <v>96</v>
      </c>
      <c r="C8" s="2" t="s">
        <v>97</v>
      </c>
      <c r="D8" s="2" t="s">
        <v>77</v>
      </c>
      <c r="E8" s="4" t="s">
        <v>78</v>
      </c>
      <c r="F8" s="2" t="s">
        <v>98</v>
      </c>
      <c r="G8" s="4" t="s">
        <v>80</v>
      </c>
    </row>
    <row r="9" spans="1:7" ht="33.75" customHeight="1" x14ac:dyDescent="0.5">
      <c r="A9" s="2" t="s">
        <v>74</v>
      </c>
      <c r="B9" s="2" t="s">
        <v>99</v>
      </c>
      <c r="C9" s="2" t="s">
        <v>100</v>
      </c>
      <c r="D9" s="2" t="s">
        <v>77</v>
      </c>
      <c r="E9" s="4" t="s">
        <v>78</v>
      </c>
      <c r="F9" s="2" t="s">
        <v>101</v>
      </c>
      <c r="G9" s="4" t="s">
        <v>80</v>
      </c>
    </row>
    <row r="10" spans="1:7" ht="33.75" customHeight="1" x14ac:dyDescent="0.5">
      <c r="A10" s="2" t="s">
        <v>74</v>
      </c>
      <c r="B10" s="2" t="s">
        <v>102</v>
      </c>
      <c r="C10" s="2" t="s">
        <v>103</v>
      </c>
      <c r="D10" s="2" t="s">
        <v>77</v>
      </c>
      <c r="E10" s="4" t="s">
        <v>78</v>
      </c>
      <c r="F10" s="2" t="s">
        <v>104</v>
      </c>
      <c r="G10" s="4" t="s">
        <v>80</v>
      </c>
    </row>
    <row r="11" spans="1:7" ht="33.75" customHeight="1" x14ac:dyDescent="0.5">
      <c r="A11" s="2" t="s">
        <v>74</v>
      </c>
      <c r="B11" s="2" t="s">
        <v>105</v>
      </c>
      <c r="C11" s="2" t="s">
        <v>106</v>
      </c>
      <c r="D11" s="2" t="s">
        <v>86</v>
      </c>
      <c r="E11" s="4" t="s">
        <v>78</v>
      </c>
      <c r="F11" s="2" t="s">
        <v>107</v>
      </c>
      <c r="G11" s="4" t="s">
        <v>80</v>
      </c>
    </row>
    <row r="12" spans="1:7" ht="33.75" customHeight="1" x14ac:dyDescent="0.5">
      <c r="A12" s="2" t="s">
        <v>74</v>
      </c>
      <c r="B12" s="2" t="s">
        <v>108</v>
      </c>
      <c r="C12" s="2" t="s">
        <v>109</v>
      </c>
      <c r="D12" s="2" t="s">
        <v>86</v>
      </c>
      <c r="E12" s="4" t="s">
        <v>78</v>
      </c>
      <c r="F12" s="2" t="s">
        <v>110</v>
      </c>
      <c r="G12" s="4" t="s">
        <v>80</v>
      </c>
    </row>
    <row r="13" spans="1:7" ht="33.75" customHeight="1" x14ac:dyDescent="0.5">
      <c r="A13" s="2" t="s">
        <v>74</v>
      </c>
      <c r="B13" s="2" t="s">
        <v>111</v>
      </c>
      <c r="C13" s="2" t="s">
        <v>112</v>
      </c>
      <c r="D13" s="2" t="s">
        <v>86</v>
      </c>
      <c r="E13" s="4" t="s">
        <v>78</v>
      </c>
      <c r="F13" s="2" t="s">
        <v>113</v>
      </c>
      <c r="G13" s="4" t="s">
        <v>80</v>
      </c>
    </row>
    <row r="14" spans="1:7" ht="33.75" customHeight="1" x14ac:dyDescent="0.5">
      <c r="A14" s="2" t="s">
        <v>74</v>
      </c>
      <c r="B14" s="2" t="s">
        <v>114</v>
      </c>
      <c r="C14" s="2" t="s">
        <v>115</v>
      </c>
      <c r="D14" s="2" t="s">
        <v>86</v>
      </c>
      <c r="E14" s="4" t="s">
        <v>78</v>
      </c>
      <c r="F14" s="2" t="s">
        <v>116</v>
      </c>
      <c r="G14" s="4" t="s">
        <v>80</v>
      </c>
    </row>
    <row r="15" spans="1:7" ht="33.75" customHeight="1" x14ac:dyDescent="0.5">
      <c r="A15" s="2" t="s">
        <v>74</v>
      </c>
      <c r="B15" s="2" t="s">
        <v>117</v>
      </c>
      <c r="C15" s="2" t="s">
        <v>118</v>
      </c>
      <c r="D15" s="2" t="s">
        <v>86</v>
      </c>
      <c r="E15" s="4" t="s">
        <v>78</v>
      </c>
      <c r="F15" s="2" t="s">
        <v>119</v>
      </c>
      <c r="G15" s="4" t="s">
        <v>80</v>
      </c>
    </row>
    <row r="16" spans="1:7" ht="33.75" customHeight="1" x14ac:dyDescent="0.5">
      <c r="A16" s="2" t="s">
        <v>120</v>
      </c>
      <c r="B16" s="2" t="s">
        <v>121</v>
      </c>
      <c r="C16" s="2" t="s">
        <v>122</v>
      </c>
      <c r="D16" s="2" t="s">
        <v>123</v>
      </c>
      <c r="E16" s="4" t="s">
        <v>78</v>
      </c>
      <c r="F16" s="2" t="s">
        <v>124</v>
      </c>
      <c r="G16" s="4" t="s">
        <v>80</v>
      </c>
    </row>
    <row r="17" spans="1:7" ht="33.75" customHeight="1" x14ac:dyDescent="0.5">
      <c r="A17" s="2" t="s">
        <v>125</v>
      </c>
      <c r="B17" s="2" t="s">
        <v>126</v>
      </c>
      <c r="C17" s="2" t="s">
        <v>127</v>
      </c>
      <c r="D17" s="2" t="s">
        <v>128</v>
      </c>
      <c r="E17" s="4" t="s">
        <v>78</v>
      </c>
      <c r="F17" s="2" t="s">
        <v>124</v>
      </c>
      <c r="G17" s="4" t="s">
        <v>80</v>
      </c>
    </row>
    <row r="18" spans="1:7" ht="33.75" customHeight="1" x14ac:dyDescent="0.5">
      <c r="A18" s="2" t="s">
        <v>125</v>
      </c>
      <c r="B18" s="2" t="s">
        <v>129</v>
      </c>
      <c r="C18" s="2" t="s">
        <v>130</v>
      </c>
      <c r="D18" s="2" t="s">
        <v>128</v>
      </c>
      <c r="E18" s="4" t="s">
        <v>78</v>
      </c>
      <c r="F18" s="2" t="s">
        <v>124</v>
      </c>
      <c r="G18" s="4" t="s">
        <v>80</v>
      </c>
    </row>
    <row r="19" spans="1:7" ht="33.75" customHeight="1" x14ac:dyDescent="0.5">
      <c r="A19" s="2" t="s">
        <v>125</v>
      </c>
      <c r="B19" s="2" t="s">
        <v>131</v>
      </c>
      <c r="C19" s="2" t="s">
        <v>132</v>
      </c>
      <c r="D19" s="2" t="s">
        <v>133</v>
      </c>
      <c r="E19" s="4" t="s">
        <v>78</v>
      </c>
      <c r="F19" s="2" t="s">
        <v>124</v>
      </c>
      <c r="G19" s="4" t="s">
        <v>134</v>
      </c>
    </row>
    <row r="20" spans="1:7" ht="33.75" customHeight="1" x14ac:dyDescent="0.5">
      <c r="A20" s="2" t="s">
        <v>125</v>
      </c>
      <c r="B20" s="2" t="s">
        <v>135</v>
      </c>
      <c r="C20" s="2" t="s">
        <v>136</v>
      </c>
      <c r="D20" s="2" t="s">
        <v>128</v>
      </c>
      <c r="E20" s="4" t="s">
        <v>78</v>
      </c>
      <c r="F20" s="2" t="s">
        <v>124</v>
      </c>
      <c r="G20" s="4" t="s">
        <v>80</v>
      </c>
    </row>
    <row r="21" spans="1:7" ht="33.75" customHeight="1" x14ac:dyDescent="0.5">
      <c r="A21" s="2" t="s">
        <v>125</v>
      </c>
      <c r="B21" s="2" t="s">
        <v>137</v>
      </c>
      <c r="C21" s="2" t="s">
        <v>138</v>
      </c>
      <c r="D21" s="2" t="s">
        <v>139</v>
      </c>
      <c r="E21" s="4" t="s">
        <v>78</v>
      </c>
      <c r="F21" s="2" t="s">
        <v>124</v>
      </c>
      <c r="G21" s="4" t="s">
        <v>80</v>
      </c>
    </row>
    <row r="22" spans="1:7" ht="33.75" customHeight="1" x14ac:dyDescent="0.5">
      <c r="A22" s="2" t="s">
        <v>125</v>
      </c>
      <c r="B22" s="2" t="s">
        <v>140</v>
      </c>
      <c r="C22" s="2" t="s">
        <v>141</v>
      </c>
      <c r="D22" s="2" t="s">
        <v>133</v>
      </c>
      <c r="E22" s="4" t="s">
        <v>78</v>
      </c>
      <c r="F22" s="2" t="s">
        <v>124</v>
      </c>
      <c r="G22" s="4" t="s">
        <v>134</v>
      </c>
    </row>
    <row r="23" spans="1:7" ht="33.75" customHeight="1" x14ac:dyDescent="0.5">
      <c r="A23" s="2" t="s">
        <v>125</v>
      </c>
      <c r="B23" s="2" t="s">
        <v>142</v>
      </c>
      <c r="C23" s="2" t="s">
        <v>143</v>
      </c>
      <c r="D23" s="2" t="s">
        <v>139</v>
      </c>
      <c r="E23" s="4" t="s">
        <v>78</v>
      </c>
      <c r="F23" s="2" t="s">
        <v>124</v>
      </c>
      <c r="G23" s="4" t="s">
        <v>80</v>
      </c>
    </row>
    <row r="24" spans="1:7" ht="33.75" customHeight="1" x14ac:dyDescent="0.5">
      <c r="A24" s="2" t="s">
        <v>125</v>
      </c>
      <c r="B24" s="2" t="s">
        <v>144</v>
      </c>
      <c r="C24" s="2" t="s">
        <v>145</v>
      </c>
      <c r="D24" s="2" t="s">
        <v>146</v>
      </c>
      <c r="E24" s="4" t="s">
        <v>78</v>
      </c>
      <c r="F24" s="2" t="s">
        <v>124</v>
      </c>
      <c r="G24" s="4" t="s">
        <v>80</v>
      </c>
    </row>
    <row r="25" spans="1:7" ht="33.75" customHeight="1" x14ac:dyDescent="0.5">
      <c r="A25" s="2" t="s">
        <v>125</v>
      </c>
      <c r="B25" s="2" t="s">
        <v>147</v>
      </c>
      <c r="C25" s="2" t="s">
        <v>148</v>
      </c>
      <c r="D25" s="2" t="s">
        <v>128</v>
      </c>
      <c r="E25" s="4" t="s">
        <v>78</v>
      </c>
      <c r="F25" s="2" t="s">
        <v>124</v>
      </c>
      <c r="G25" s="4" t="s">
        <v>80</v>
      </c>
    </row>
    <row r="26" spans="1:7" ht="33.75" customHeight="1" x14ac:dyDescent="0.5">
      <c r="A26" s="2" t="s">
        <v>125</v>
      </c>
      <c r="B26" s="2" t="s">
        <v>149</v>
      </c>
      <c r="C26" s="2" t="s">
        <v>150</v>
      </c>
      <c r="D26" s="2" t="s">
        <v>128</v>
      </c>
      <c r="E26" s="4" t="s">
        <v>78</v>
      </c>
      <c r="F26" s="2" t="s">
        <v>124</v>
      </c>
      <c r="G26" s="4" t="s">
        <v>80</v>
      </c>
    </row>
    <row r="27" spans="1:7" ht="33.75" customHeight="1" x14ac:dyDescent="0.5">
      <c r="A27" s="2" t="s">
        <v>120</v>
      </c>
      <c r="B27" s="2" t="s">
        <v>151</v>
      </c>
      <c r="C27" s="2" t="s">
        <v>152</v>
      </c>
      <c r="D27" s="2" t="s">
        <v>153</v>
      </c>
      <c r="E27" s="2" t="s">
        <v>78</v>
      </c>
      <c r="F27" s="2" t="s">
        <v>87</v>
      </c>
      <c r="G27" s="2" t="s">
        <v>154</v>
      </c>
    </row>
    <row r="28" spans="1:7" ht="33.75" customHeight="1" x14ac:dyDescent="0.5">
      <c r="A28" s="2" t="s">
        <v>125</v>
      </c>
      <c r="B28" s="2" t="s">
        <v>155</v>
      </c>
      <c r="C28" s="2" t="s">
        <v>156</v>
      </c>
      <c r="D28" s="2" t="s">
        <v>146</v>
      </c>
      <c r="E28" s="2" t="s">
        <v>78</v>
      </c>
      <c r="F28" s="2" t="s">
        <v>157</v>
      </c>
      <c r="G28" s="2" t="s">
        <v>158</v>
      </c>
    </row>
  </sheetData>
  <autoFilter ref="A1:G28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03125" defaultRowHeight="14.35" x14ac:dyDescent="0.5"/>
  <cols>
    <col min="1" max="1" width="14" customWidth="1"/>
    <col min="2" max="2" width="18" customWidth="1"/>
    <col min="3" max="4" width="60" customWidth="1"/>
    <col min="5" max="5" width="55" customWidth="1"/>
  </cols>
  <sheetData>
    <row r="1" spans="1:5" ht="30" customHeight="1" x14ac:dyDescent="0.5">
      <c r="A1" s="1" t="s">
        <v>68</v>
      </c>
      <c r="B1" s="1" t="s">
        <v>43</v>
      </c>
      <c r="C1" s="1" t="s">
        <v>159</v>
      </c>
      <c r="D1" s="1" t="s">
        <v>160</v>
      </c>
      <c r="E1" s="1" t="s">
        <v>161</v>
      </c>
    </row>
    <row r="2" spans="1:5" ht="33.75" customHeight="1" x14ac:dyDescent="0.5">
      <c r="A2" s="2" t="s">
        <v>151</v>
      </c>
      <c r="B2" s="2" t="s">
        <v>162</v>
      </c>
      <c r="C2" s="2" t="s">
        <v>163</v>
      </c>
      <c r="D2" s="2" t="s">
        <v>164</v>
      </c>
      <c r="E2" s="2" t="s">
        <v>165</v>
      </c>
    </row>
    <row r="3" spans="1:5" ht="33.75" customHeight="1" x14ac:dyDescent="0.5">
      <c r="A3" s="2" t="s">
        <v>155</v>
      </c>
      <c r="B3" s="2" t="s">
        <v>166</v>
      </c>
      <c r="C3" s="2" t="s">
        <v>167</v>
      </c>
      <c r="D3" s="2" t="s">
        <v>168</v>
      </c>
      <c r="E3" s="2" t="s">
        <v>169</v>
      </c>
    </row>
  </sheetData>
  <autoFilter ref="A1:E3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03125" defaultRowHeight="14.35" x14ac:dyDescent="0.5"/>
  <cols>
    <col min="1" max="1" width="14" customWidth="1"/>
    <col min="2" max="2" width="13" customWidth="1"/>
    <col min="3" max="4" width="12" customWidth="1"/>
    <col min="5" max="5" width="60" customWidth="1"/>
    <col min="6" max="6" width="65" customWidth="1"/>
  </cols>
  <sheetData>
    <row r="1" spans="1:6" ht="30" customHeight="1" x14ac:dyDescent="0.5">
      <c r="A1" s="1" t="s">
        <v>68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</row>
    <row r="2" spans="1:6" ht="33.75" customHeight="1" x14ac:dyDescent="0.5">
      <c r="A2" s="2" t="s">
        <v>155</v>
      </c>
      <c r="B2" s="2" t="s">
        <v>175</v>
      </c>
      <c r="C2" s="2" t="s">
        <v>176</v>
      </c>
      <c r="D2" s="2" t="s">
        <v>177</v>
      </c>
      <c r="E2" s="2" t="s">
        <v>178</v>
      </c>
      <c r="F2" s="2" t="s">
        <v>179</v>
      </c>
    </row>
    <row r="3" spans="1:6" ht="33.75" customHeight="1" x14ac:dyDescent="0.5">
      <c r="A3" s="2" t="s">
        <v>180</v>
      </c>
      <c r="B3" s="2" t="s">
        <v>175</v>
      </c>
      <c r="C3" s="2" t="s">
        <v>176</v>
      </c>
      <c r="D3" s="2" t="s">
        <v>181</v>
      </c>
      <c r="E3" s="2" t="s">
        <v>182</v>
      </c>
      <c r="F3" s="2" t="s">
        <v>183</v>
      </c>
    </row>
    <row r="4" spans="1:6" ht="33.75" customHeight="1" x14ac:dyDescent="0.5">
      <c r="A4" s="2" t="s">
        <v>184</v>
      </c>
      <c r="B4" s="2" t="s">
        <v>175</v>
      </c>
      <c r="C4" s="2" t="s">
        <v>176</v>
      </c>
      <c r="D4" s="2" t="s">
        <v>181</v>
      </c>
      <c r="E4" s="2" t="s">
        <v>185</v>
      </c>
      <c r="F4" s="2" t="s">
        <v>186</v>
      </c>
    </row>
    <row r="5" spans="1:6" ht="33.75" customHeight="1" x14ac:dyDescent="0.5">
      <c r="A5" s="2" t="s">
        <v>187</v>
      </c>
      <c r="B5" s="2" t="s">
        <v>188</v>
      </c>
      <c r="C5" s="2" t="s">
        <v>176</v>
      </c>
      <c r="D5" s="2" t="s">
        <v>181</v>
      </c>
      <c r="E5" s="2" t="s">
        <v>189</v>
      </c>
      <c r="F5" s="2" t="s">
        <v>190</v>
      </c>
    </row>
    <row r="6" spans="1:6" ht="33.75" customHeight="1" x14ac:dyDescent="0.5">
      <c r="A6" s="2" t="s">
        <v>191</v>
      </c>
      <c r="B6" s="2" t="s">
        <v>175</v>
      </c>
      <c r="C6" s="2" t="s">
        <v>176</v>
      </c>
      <c r="D6" s="2" t="s">
        <v>181</v>
      </c>
      <c r="E6" s="2" t="s">
        <v>182</v>
      </c>
      <c r="F6" s="2" t="s">
        <v>192</v>
      </c>
    </row>
    <row r="7" spans="1:6" ht="33.75" customHeight="1" x14ac:dyDescent="0.5">
      <c r="A7" s="2" t="s">
        <v>193</v>
      </c>
      <c r="B7" s="2" t="s">
        <v>175</v>
      </c>
      <c r="C7" s="2" t="s">
        <v>176</v>
      </c>
      <c r="D7" s="2" t="s">
        <v>181</v>
      </c>
      <c r="E7" s="2" t="s">
        <v>185</v>
      </c>
      <c r="F7" s="2" t="s">
        <v>194</v>
      </c>
    </row>
    <row r="8" spans="1:6" ht="33.75" customHeight="1" x14ac:dyDescent="0.5">
      <c r="A8" s="2" t="s">
        <v>184</v>
      </c>
      <c r="B8" s="2" t="s">
        <v>195</v>
      </c>
      <c r="C8" s="2" t="s">
        <v>196</v>
      </c>
      <c r="D8" s="2" t="s">
        <v>181</v>
      </c>
      <c r="E8" s="2" t="s">
        <v>197</v>
      </c>
      <c r="F8" s="2" t="s">
        <v>186</v>
      </c>
    </row>
    <row r="9" spans="1:6" ht="33.75" customHeight="1" x14ac:dyDescent="0.5">
      <c r="A9" s="2" t="s">
        <v>193</v>
      </c>
      <c r="B9" s="2" t="s">
        <v>195</v>
      </c>
      <c r="C9" s="2" t="s">
        <v>196</v>
      </c>
      <c r="D9" s="2" t="s">
        <v>181</v>
      </c>
      <c r="E9" s="2" t="s">
        <v>197</v>
      </c>
      <c r="F9" s="2" t="s">
        <v>194</v>
      </c>
    </row>
  </sheetData>
  <autoFilter ref="A1:F9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2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03125" defaultRowHeight="14.35" x14ac:dyDescent="0.5"/>
  <cols>
    <col min="1" max="1" width="18" customWidth="1"/>
    <col min="2" max="2" width="30" customWidth="1"/>
    <col min="3" max="3" width="60" customWidth="1"/>
    <col min="4" max="5" width="70" customWidth="1"/>
    <col min="6" max="6" width="25" customWidth="1"/>
    <col min="7" max="7" width="14" customWidth="1"/>
  </cols>
  <sheetData>
    <row r="1" spans="1:7" ht="30" customHeight="1" x14ac:dyDescent="0.5">
      <c r="A1" s="1" t="s">
        <v>198</v>
      </c>
      <c r="B1" s="1" t="s">
        <v>199</v>
      </c>
      <c r="C1" s="1" t="s">
        <v>200</v>
      </c>
      <c r="D1" s="1" t="s">
        <v>201</v>
      </c>
      <c r="E1" s="1" t="s">
        <v>202</v>
      </c>
      <c r="F1" s="1" t="s">
        <v>203</v>
      </c>
      <c r="G1" s="1" t="s">
        <v>6</v>
      </c>
    </row>
    <row r="2" spans="1:7" ht="33.75" customHeight="1" x14ac:dyDescent="0.5">
      <c r="A2" s="2" t="s">
        <v>204</v>
      </c>
      <c r="B2" s="2" t="s">
        <v>205</v>
      </c>
      <c r="C2" s="2" t="s">
        <v>206</v>
      </c>
      <c r="D2" s="2" t="s">
        <v>207</v>
      </c>
      <c r="E2" s="2" t="s">
        <v>208</v>
      </c>
      <c r="F2" s="2" t="s">
        <v>209</v>
      </c>
      <c r="G2" s="3" t="s">
        <v>210</v>
      </c>
    </row>
    <row r="3" spans="1:7" ht="33.75" customHeight="1" x14ac:dyDescent="0.5">
      <c r="A3" s="2" t="s">
        <v>211</v>
      </c>
      <c r="B3" s="2" t="s">
        <v>212</v>
      </c>
      <c r="C3" s="2" t="s">
        <v>213</v>
      </c>
      <c r="D3" s="2" t="s">
        <v>214</v>
      </c>
      <c r="E3" s="2" t="s">
        <v>215</v>
      </c>
      <c r="F3" s="2" t="s">
        <v>216</v>
      </c>
      <c r="G3" s="3" t="s">
        <v>210</v>
      </c>
    </row>
    <row r="4" spans="1:7" ht="33.75" customHeight="1" x14ac:dyDescent="0.5">
      <c r="A4" s="2" t="s">
        <v>217</v>
      </c>
      <c r="B4" s="2" t="s">
        <v>218</v>
      </c>
      <c r="C4" s="2" t="s">
        <v>219</v>
      </c>
      <c r="D4" s="2" t="s">
        <v>220</v>
      </c>
      <c r="E4" s="2" t="s">
        <v>221</v>
      </c>
      <c r="F4" s="2" t="s">
        <v>222</v>
      </c>
      <c r="G4" s="3" t="s">
        <v>210</v>
      </c>
    </row>
    <row r="5" spans="1:7" ht="33.75" customHeight="1" x14ac:dyDescent="0.5">
      <c r="A5" s="2" t="s">
        <v>223</v>
      </c>
      <c r="B5" s="2" t="s">
        <v>224</v>
      </c>
      <c r="C5" s="2" t="s">
        <v>225</v>
      </c>
      <c r="D5" s="2" t="s">
        <v>226</v>
      </c>
      <c r="E5" s="2" t="s">
        <v>227</v>
      </c>
      <c r="F5" s="2" t="s">
        <v>228</v>
      </c>
      <c r="G5" s="3" t="s">
        <v>210</v>
      </c>
    </row>
    <row r="6" spans="1:7" ht="33.75" customHeight="1" x14ac:dyDescent="0.5">
      <c r="A6" s="2" t="s">
        <v>229</v>
      </c>
      <c r="B6" s="2" t="s">
        <v>230</v>
      </c>
      <c r="C6" s="2" t="s">
        <v>225</v>
      </c>
      <c r="D6" s="2" t="s">
        <v>231</v>
      </c>
      <c r="E6" s="2" t="s">
        <v>227</v>
      </c>
      <c r="F6" s="2" t="s">
        <v>228</v>
      </c>
      <c r="G6" s="3" t="s">
        <v>210</v>
      </c>
    </row>
    <row r="7" spans="1:7" ht="33.75" customHeight="1" x14ac:dyDescent="0.5">
      <c r="A7" s="2" t="s">
        <v>232</v>
      </c>
      <c r="B7" s="2" t="s">
        <v>233</v>
      </c>
      <c r="C7" s="2" t="s">
        <v>234</v>
      </c>
      <c r="D7" s="2" t="s">
        <v>235</v>
      </c>
      <c r="E7" s="2" t="s">
        <v>236</v>
      </c>
      <c r="F7" s="2" t="s">
        <v>237</v>
      </c>
      <c r="G7" s="3" t="s">
        <v>210</v>
      </c>
    </row>
    <row r="8" spans="1:7" ht="33.75" customHeight="1" x14ac:dyDescent="0.5">
      <c r="A8" s="2" t="s">
        <v>238</v>
      </c>
      <c r="B8" s="2" t="s">
        <v>239</v>
      </c>
      <c r="C8" s="2" t="s">
        <v>240</v>
      </c>
      <c r="D8" s="2" t="s">
        <v>241</v>
      </c>
      <c r="E8" s="2" t="s">
        <v>242</v>
      </c>
      <c r="F8" s="2" t="s">
        <v>243</v>
      </c>
      <c r="G8" s="3" t="s">
        <v>210</v>
      </c>
    </row>
    <row r="9" spans="1:7" ht="33.75" customHeight="1" x14ac:dyDescent="0.5"/>
    <row r="10" spans="1:7" ht="33.75" customHeight="1" x14ac:dyDescent="0.5"/>
    <row r="11" spans="1:7" ht="33.75" customHeight="1" x14ac:dyDescent="0.5"/>
    <row r="12" spans="1:7" ht="33.75" customHeight="1" x14ac:dyDescent="0.5"/>
  </sheetData>
  <autoFilter ref="A1:G12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363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03125" defaultRowHeight="14.35" x14ac:dyDescent="0.5"/>
  <cols>
    <col min="1" max="1" width="15" customWidth="1"/>
    <col min="2" max="2" width="13" customWidth="1"/>
    <col min="3" max="3" width="55" customWidth="1"/>
    <col min="4" max="4" width="62" customWidth="1"/>
    <col min="5" max="5" width="65" customWidth="1"/>
    <col min="6" max="6" width="48" customWidth="1"/>
    <col min="7" max="7" width="66" customWidth="1"/>
    <col min="8" max="8" width="40" customWidth="1"/>
    <col min="9" max="9" width="64" customWidth="1"/>
    <col min="10" max="10" width="47" customWidth="1"/>
    <col min="11" max="11" width="42" customWidth="1"/>
    <col min="12" max="12" width="14" customWidth="1"/>
    <col min="13" max="13" width="28" customWidth="1"/>
    <col min="14" max="14" width="72" customWidth="1"/>
    <col min="15" max="15" width="38" customWidth="1"/>
    <col min="16" max="16" width="68" customWidth="1"/>
    <col min="17" max="17" width="34" customWidth="1"/>
    <col min="18" max="18" width="28" customWidth="1"/>
    <col min="19" max="19" width="38" customWidth="1"/>
    <col min="20" max="20" width="36" customWidth="1"/>
    <col min="21" max="21" width="28" customWidth="1"/>
    <col min="22" max="22" width="20" customWidth="1"/>
    <col min="23" max="23" width="52" customWidth="1"/>
  </cols>
  <sheetData>
    <row r="1" spans="1:21" ht="30" customHeight="1" x14ac:dyDescent="0.5">
      <c r="A1" s="1" t="s">
        <v>244</v>
      </c>
      <c r="B1" s="1" t="s">
        <v>68</v>
      </c>
      <c r="C1" s="1" t="s">
        <v>245</v>
      </c>
      <c r="D1" s="1" t="s">
        <v>246</v>
      </c>
      <c r="E1" s="1" t="s">
        <v>247</v>
      </c>
      <c r="F1" s="1" t="s">
        <v>248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255</v>
      </c>
      <c r="N1" s="1" t="s">
        <v>256</v>
      </c>
      <c r="O1" s="1" t="s">
        <v>257</v>
      </c>
      <c r="P1" s="1" t="s">
        <v>258</v>
      </c>
      <c r="Q1" s="1" t="s">
        <v>259</v>
      </c>
      <c r="R1" s="1" t="s">
        <v>260</v>
      </c>
      <c r="S1" s="1" t="s">
        <v>261</v>
      </c>
      <c r="T1" s="1" t="s">
        <v>262</v>
      </c>
      <c r="U1" s="1" t="s">
        <v>263</v>
      </c>
    </row>
    <row r="2" spans="1:21" ht="43.5" customHeight="1" x14ac:dyDescent="0.5">
      <c r="A2" s="2" t="s">
        <v>264</v>
      </c>
      <c r="B2" s="2" t="s">
        <v>75</v>
      </c>
      <c r="C2" s="2" t="s">
        <v>265</v>
      </c>
      <c r="D2" s="2" t="s">
        <v>266</v>
      </c>
      <c r="E2" s="2" t="s">
        <v>267</v>
      </c>
      <c r="F2" s="2" t="s">
        <v>268</v>
      </c>
      <c r="G2" s="4" t="s">
        <v>269</v>
      </c>
      <c r="H2" s="2" t="s">
        <v>270</v>
      </c>
      <c r="I2" s="2" t="s">
        <v>271</v>
      </c>
      <c r="J2" s="2" t="s">
        <v>272</v>
      </c>
      <c r="K2" s="2" t="s">
        <v>273</v>
      </c>
      <c r="L2" s="2" t="s">
        <v>274</v>
      </c>
      <c r="M2" s="2" t="s">
        <v>275</v>
      </c>
      <c r="N2" s="2" t="s">
        <v>276</v>
      </c>
      <c r="O2" s="2" t="s">
        <v>277</v>
      </c>
      <c r="P2" s="2" t="s">
        <v>278</v>
      </c>
      <c r="Q2" s="2" t="s">
        <v>279</v>
      </c>
      <c r="R2" s="2" t="s">
        <v>280</v>
      </c>
      <c r="S2" s="2"/>
      <c r="T2" s="2" t="s">
        <v>281</v>
      </c>
      <c r="U2" s="2"/>
    </row>
    <row r="3" spans="1:21" ht="43.5" customHeight="1" x14ac:dyDescent="0.5">
      <c r="A3" s="2" t="s">
        <v>282</v>
      </c>
      <c r="B3" s="2" t="s">
        <v>75</v>
      </c>
      <c r="C3" s="2" t="s">
        <v>283</v>
      </c>
      <c r="D3" s="2" t="s">
        <v>284</v>
      </c>
      <c r="E3" s="2" t="s">
        <v>285</v>
      </c>
      <c r="F3" s="2" t="s">
        <v>286</v>
      </c>
      <c r="G3" s="4" t="s">
        <v>269</v>
      </c>
      <c r="H3" s="2" t="s">
        <v>270</v>
      </c>
      <c r="I3" s="2" t="s">
        <v>287</v>
      </c>
      <c r="J3" s="2" t="s">
        <v>272</v>
      </c>
      <c r="K3" s="2" t="s">
        <v>273</v>
      </c>
      <c r="L3" s="2" t="s">
        <v>274</v>
      </c>
      <c r="M3" s="2" t="s">
        <v>288</v>
      </c>
      <c r="N3" s="2" t="s">
        <v>276</v>
      </c>
      <c r="O3" s="2" t="s">
        <v>277</v>
      </c>
      <c r="P3" s="2" t="s">
        <v>278</v>
      </c>
      <c r="Q3" s="2" t="s">
        <v>279</v>
      </c>
      <c r="R3" s="2" t="s">
        <v>280</v>
      </c>
      <c r="S3" s="2"/>
      <c r="T3" s="2" t="s">
        <v>281</v>
      </c>
      <c r="U3" s="2"/>
    </row>
    <row r="4" spans="1:21" ht="43.5" customHeight="1" x14ac:dyDescent="0.5">
      <c r="A4" s="2" t="s">
        <v>289</v>
      </c>
      <c r="B4" s="2" t="s">
        <v>75</v>
      </c>
      <c r="C4" s="2" t="s">
        <v>290</v>
      </c>
      <c r="D4" s="2" t="s">
        <v>291</v>
      </c>
      <c r="E4" s="2" t="s">
        <v>292</v>
      </c>
      <c r="F4" s="2" t="s">
        <v>293</v>
      </c>
      <c r="G4" s="5" t="s">
        <v>294</v>
      </c>
      <c r="H4" s="2" t="s">
        <v>270</v>
      </c>
      <c r="I4" s="2" t="s">
        <v>295</v>
      </c>
      <c r="J4" s="2" t="s">
        <v>272</v>
      </c>
      <c r="K4" s="2" t="s">
        <v>296</v>
      </c>
      <c r="L4" s="2" t="s">
        <v>297</v>
      </c>
      <c r="M4" s="2" t="s">
        <v>298</v>
      </c>
      <c r="N4" s="2" t="s">
        <v>299</v>
      </c>
      <c r="O4" s="2" t="s">
        <v>300</v>
      </c>
      <c r="P4" s="2" t="s">
        <v>278</v>
      </c>
      <c r="Q4" s="2" t="s">
        <v>279</v>
      </c>
      <c r="R4" s="2" t="s">
        <v>280</v>
      </c>
      <c r="S4" s="2"/>
      <c r="T4" s="2" t="s">
        <v>281</v>
      </c>
      <c r="U4" s="2"/>
    </row>
    <row r="5" spans="1:21" ht="43.5" customHeight="1" x14ac:dyDescent="0.5">
      <c r="A5" s="2" t="s">
        <v>301</v>
      </c>
      <c r="B5" s="2" t="s">
        <v>75</v>
      </c>
      <c r="C5" s="2" t="s">
        <v>302</v>
      </c>
      <c r="D5" s="2" t="s">
        <v>303</v>
      </c>
      <c r="E5" s="2" t="s">
        <v>304</v>
      </c>
      <c r="F5" s="2" t="s">
        <v>305</v>
      </c>
      <c r="G5" s="5" t="s">
        <v>306</v>
      </c>
      <c r="H5" s="2" t="s">
        <v>270</v>
      </c>
      <c r="I5" s="2" t="s">
        <v>307</v>
      </c>
      <c r="J5" s="2" t="s">
        <v>272</v>
      </c>
      <c r="K5" s="2" t="s">
        <v>296</v>
      </c>
      <c r="L5" s="2" t="s">
        <v>297</v>
      </c>
      <c r="M5" s="2" t="s">
        <v>308</v>
      </c>
      <c r="N5" s="2" t="s">
        <v>309</v>
      </c>
      <c r="O5" s="2" t="s">
        <v>310</v>
      </c>
      <c r="P5" s="2" t="s">
        <v>278</v>
      </c>
      <c r="Q5" s="2" t="s">
        <v>279</v>
      </c>
      <c r="R5" s="2" t="s">
        <v>280</v>
      </c>
      <c r="S5" s="2"/>
      <c r="T5" s="2" t="s">
        <v>281</v>
      </c>
      <c r="U5" s="2"/>
    </row>
    <row r="6" spans="1:21" ht="43.5" customHeight="1" x14ac:dyDescent="0.5">
      <c r="A6" s="2" t="s">
        <v>311</v>
      </c>
      <c r="B6" s="2" t="s">
        <v>75</v>
      </c>
      <c r="C6" s="2" t="s">
        <v>312</v>
      </c>
      <c r="D6" s="2" t="s">
        <v>313</v>
      </c>
      <c r="E6" s="2" t="s">
        <v>314</v>
      </c>
      <c r="F6" s="2" t="s">
        <v>315</v>
      </c>
      <c r="G6" s="5" t="s">
        <v>294</v>
      </c>
      <c r="H6" s="2" t="s">
        <v>270</v>
      </c>
      <c r="I6" s="2" t="s">
        <v>316</v>
      </c>
      <c r="J6" s="2" t="s">
        <v>272</v>
      </c>
      <c r="K6" s="2" t="s">
        <v>296</v>
      </c>
      <c r="L6" s="2" t="s">
        <v>297</v>
      </c>
      <c r="M6" s="2" t="s">
        <v>317</v>
      </c>
      <c r="N6" s="2" t="s">
        <v>299</v>
      </c>
      <c r="O6" s="2" t="s">
        <v>300</v>
      </c>
      <c r="P6" s="2" t="s">
        <v>278</v>
      </c>
      <c r="Q6" s="2" t="s">
        <v>279</v>
      </c>
      <c r="R6" s="2" t="s">
        <v>280</v>
      </c>
      <c r="S6" s="2"/>
      <c r="T6" s="2" t="s">
        <v>281</v>
      </c>
      <c r="U6" s="2"/>
    </row>
    <row r="7" spans="1:21" ht="43.5" customHeight="1" x14ac:dyDescent="0.5">
      <c r="A7" s="2" t="s">
        <v>318</v>
      </c>
      <c r="B7" s="2" t="s">
        <v>75</v>
      </c>
      <c r="C7" s="2" t="s">
        <v>319</v>
      </c>
      <c r="D7" s="2" t="s">
        <v>266</v>
      </c>
      <c r="E7" s="2" t="s">
        <v>320</v>
      </c>
      <c r="F7" s="2" t="s">
        <v>321</v>
      </c>
      <c r="G7" s="4" t="s">
        <v>269</v>
      </c>
      <c r="H7" s="2" t="s">
        <v>270</v>
      </c>
      <c r="I7" s="2" t="s">
        <v>271</v>
      </c>
      <c r="J7" s="2" t="s">
        <v>272</v>
      </c>
      <c r="K7" s="2" t="s">
        <v>273</v>
      </c>
      <c r="L7" s="2" t="s">
        <v>274</v>
      </c>
      <c r="M7" s="2" t="s">
        <v>322</v>
      </c>
      <c r="N7" s="2" t="s">
        <v>276</v>
      </c>
      <c r="O7" s="2" t="s">
        <v>277</v>
      </c>
      <c r="P7" s="2" t="s">
        <v>278</v>
      </c>
      <c r="Q7" s="2" t="s">
        <v>279</v>
      </c>
      <c r="R7" s="2" t="s">
        <v>280</v>
      </c>
      <c r="S7" s="2"/>
      <c r="T7" s="2" t="s">
        <v>281</v>
      </c>
      <c r="U7" s="2"/>
    </row>
    <row r="8" spans="1:21" ht="43.5" customHeight="1" x14ac:dyDescent="0.5">
      <c r="A8" s="2" t="s">
        <v>323</v>
      </c>
      <c r="B8" s="2" t="s">
        <v>75</v>
      </c>
      <c r="C8" s="2" t="s">
        <v>324</v>
      </c>
      <c r="D8" s="2" t="s">
        <v>284</v>
      </c>
      <c r="E8" s="2" t="s">
        <v>285</v>
      </c>
      <c r="F8" s="2" t="s">
        <v>325</v>
      </c>
      <c r="G8" s="4" t="s">
        <v>269</v>
      </c>
      <c r="H8" s="2" t="s">
        <v>270</v>
      </c>
      <c r="I8" s="2" t="s">
        <v>287</v>
      </c>
      <c r="J8" s="2" t="s">
        <v>272</v>
      </c>
      <c r="K8" s="2" t="s">
        <v>273</v>
      </c>
      <c r="L8" s="2" t="s">
        <v>274</v>
      </c>
      <c r="M8" s="2" t="s">
        <v>326</v>
      </c>
      <c r="N8" s="2" t="s">
        <v>276</v>
      </c>
      <c r="O8" s="2" t="s">
        <v>277</v>
      </c>
      <c r="P8" s="2" t="s">
        <v>278</v>
      </c>
      <c r="Q8" s="2" t="s">
        <v>279</v>
      </c>
      <c r="R8" s="2" t="s">
        <v>280</v>
      </c>
      <c r="S8" s="2"/>
      <c r="T8" s="2" t="s">
        <v>281</v>
      </c>
      <c r="U8" s="2"/>
    </row>
    <row r="9" spans="1:21" ht="43.5" customHeight="1" x14ac:dyDescent="0.5">
      <c r="A9" s="2" t="s">
        <v>327</v>
      </c>
      <c r="B9" s="2" t="s">
        <v>75</v>
      </c>
      <c r="C9" s="2" t="s">
        <v>328</v>
      </c>
      <c r="D9" s="2" t="s">
        <v>291</v>
      </c>
      <c r="E9" s="2" t="s">
        <v>292</v>
      </c>
      <c r="F9" s="2" t="s">
        <v>293</v>
      </c>
      <c r="G9" s="5" t="s">
        <v>294</v>
      </c>
      <c r="H9" s="2" t="s">
        <v>270</v>
      </c>
      <c r="I9" s="2" t="s">
        <v>295</v>
      </c>
      <c r="J9" s="2" t="s">
        <v>272</v>
      </c>
      <c r="K9" s="2" t="s">
        <v>296</v>
      </c>
      <c r="L9" s="2" t="s">
        <v>297</v>
      </c>
      <c r="M9" s="2" t="s">
        <v>329</v>
      </c>
      <c r="N9" s="2" t="s">
        <v>299</v>
      </c>
      <c r="O9" s="2" t="s">
        <v>300</v>
      </c>
      <c r="P9" s="2" t="s">
        <v>278</v>
      </c>
      <c r="Q9" s="2" t="s">
        <v>279</v>
      </c>
      <c r="R9" s="2" t="s">
        <v>280</v>
      </c>
      <c r="S9" s="2"/>
      <c r="T9" s="2" t="s">
        <v>281</v>
      </c>
      <c r="U9" s="2"/>
    </row>
    <row r="10" spans="1:21" ht="43.5" customHeight="1" x14ac:dyDescent="0.5">
      <c r="A10" s="2" t="s">
        <v>330</v>
      </c>
      <c r="B10" s="2" t="s">
        <v>75</v>
      </c>
      <c r="C10" s="2" t="s">
        <v>331</v>
      </c>
      <c r="D10" s="2" t="s">
        <v>332</v>
      </c>
      <c r="E10" s="2" t="s">
        <v>304</v>
      </c>
      <c r="F10" s="2" t="s">
        <v>333</v>
      </c>
      <c r="G10" s="5" t="s">
        <v>306</v>
      </c>
      <c r="H10" s="2" t="s">
        <v>270</v>
      </c>
      <c r="I10" s="2" t="s">
        <v>307</v>
      </c>
      <c r="J10" s="2" t="s">
        <v>272</v>
      </c>
      <c r="K10" s="2" t="s">
        <v>296</v>
      </c>
      <c r="L10" s="2" t="s">
        <v>297</v>
      </c>
      <c r="M10" s="2" t="s">
        <v>334</v>
      </c>
      <c r="N10" s="2" t="s">
        <v>309</v>
      </c>
      <c r="O10" s="2" t="s">
        <v>310</v>
      </c>
      <c r="P10" s="2" t="s">
        <v>278</v>
      </c>
      <c r="Q10" s="2" t="s">
        <v>279</v>
      </c>
      <c r="R10" s="2" t="s">
        <v>280</v>
      </c>
      <c r="S10" s="2"/>
      <c r="T10" s="2" t="s">
        <v>281</v>
      </c>
      <c r="U10" s="2"/>
    </row>
    <row r="11" spans="1:21" ht="43.5" customHeight="1" x14ac:dyDescent="0.5">
      <c r="A11" s="2" t="s">
        <v>335</v>
      </c>
      <c r="B11" s="2" t="s">
        <v>75</v>
      </c>
      <c r="C11" s="2" t="s">
        <v>336</v>
      </c>
      <c r="D11" s="2" t="s">
        <v>337</v>
      </c>
      <c r="E11" s="2" t="s">
        <v>314</v>
      </c>
      <c r="F11" s="2" t="s">
        <v>315</v>
      </c>
      <c r="G11" s="5" t="s">
        <v>294</v>
      </c>
      <c r="H11" s="2" t="s">
        <v>270</v>
      </c>
      <c r="I11" s="2" t="s">
        <v>316</v>
      </c>
      <c r="J11" s="2" t="s">
        <v>272</v>
      </c>
      <c r="K11" s="2" t="s">
        <v>296</v>
      </c>
      <c r="L11" s="2" t="s">
        <v>297</v>
      </c>
      <c r="M11" s="2" t="s">
        <v>338</v>
      </c>
      <c r="N11" s="2" t="s">
        <v>299</v>
      </c>
      <c r="O11" s="2" t="s">
        <v>300</v>
      </c>
      <c r="P11" s="2" t="s">
        <v>278</v>
      </c>
      <c r="Q11" s="2" t="s">
        <v>279</v>
      </c>
      <c r="R11" s="2" t="s">
        <v>280</v>
      </c>
      <c r="S11" s="2"/>
      <c r="T11" s="2" t="s">
        <v>281</v>
      </c>
      <c r="U11" s="2"/>
    </row>
    <row r="12" spans="1:21" ht="43.5" customHeight="1" x14ac:dyDescent="0.5">
      <c r="A12" s="2" t="s">
        <v>339</v>
      </c>
      <c r="B12" s="2" t="s">
        <v>75</v>
      </c>
      <c r="C12" s="2" t="s">
        <v>340</v>
      </c>
      <c r="D12" s="2" t="s">
        <v>266</v>
      </c>
      <c r="E12" s="2" t="s">
        <v>320</v>
      </c>
      <c r="F12" s="2" t="s">
        <v>341</v>
      </c>
      <c r="G12" s="4" t="s">
        <v>269</v>
      </c>
      <c r="H12" s="2" t="s">
        <v>342</v>
      </c>
      <c r="I12" s="2" t="s">
        <v>271</v>
      </c>
      <c r="J12" s="2" t="s">
        <v>272</v>
      </c>
      <c r="K12" s="2" t="s">
        <v>273</v>
      </c>
      <c r="L12" s="2" t="s">
        <v>274</v>
      </c>
      <c r="M12" s="2" t="s">
        <v>343</v>
      </c>
      <c r="N12" s="2" t="s">
        <v>276</v>
      </c>
      <c r="O12" s="2" t="s">
        <v>277</v>
      </c>
      <c r="P12" s="2" t="s">
        <v>278</v>
      </c>
      <c r="Q12" s="2" t="s">
        <v>279</v>
      </c>
      <c r="R12" s="2" t="s">
        <v>280</v>
      </c>
      <c r="S12" s="2"/>
      <c r="T12" s="2" t="s">
        <v>281</v>
      </c>
      <c r="U12" s="2"/>
    </row>
    <row r="13" spans="1:21" ht="43.5" customHeight="1" x14ac:dyDescent="0.5">
      <c r="A13" s="2" t="s">
        <v>344</v>
      </c>
      <c r="B13" s="2" t="s">
        <v>75</v>
      </c>
      <c r="C13" s="2" t="s">
        <v>345</v>
      </c>
      <c r="D13" s="2" t="s">
        <v>284</v>
      </c>
      <c r="E13" s="2" t="s">
        <v>285</v>
      </c>
      <c r="F13" s="2" t="s">
        <v>346</v>
      </c>
      <c r="G13" s="4" t="s">
        <v>269</v>
      </c>
      <c r="H13" s="2" t="s">
        <v>342</v>
      </c>
      <c r="I13" s="2" t="s">
        <v>287</v>
      </c>
      <c r="J13" s="2" t="s">
        <v>272</v>
      </c>
      <c r="K13" s="2" t="s">
        <v>273</v>
      </c>
      <c r="L13" s="2" t="s">
        <v>274</v>
      </c>
      <c r="M13" s="2" t="s">
        <v>347</v>
      </c>
      <c r="N13" s="2" t="s">
        <v>276</v>
      </c>
      <c r="O13" s="2" t="s">
        <v>277</v>
      </c>
      <c r="P13" s="2" t="s">
        <v>278</v>
      </c>
      <c r="Q13" s="2" t="s">
        <v>279</v>
      </c>
      <c r="R13" s="2" t="s">
        <v>280</v>
      </c>
      <c r="S13" s="2"/>
      <c r="T13" s="2" t="s">
        <v>281</v>
      </c>
      <c r="U13" s="2"/>
    </row>
    <row r="14" spans="1:21" ht="43.5" customHeight="1" x14ac:dyDescent="0.5">
      <c r="A14" s="2" t="s">
        <v>348</v>
      </c>
      <c r="B14" s="2" t="s">
        <v>75</v>
      </c>
      <c r="C14" s="2" t="s">
        <v>349</v>
      </c>
      <c r="D14" s="2" t="s">
        <v>291</v>
      </c>
      <c r="E14" s="2" t="s">
        <v>292</v>
      </c>
      <c r="F14" s="2" t="s">
        <v>293</v>
      </c>
      <c r="G14" s="5" t="s">
        <v>294</v>
      </c>
      <c r="H14" s="2" t="s">
        <v>342</v>
      </c>
      <c r="I14" s="2" t="s">
        <v>295</v>
      </c>
      <c r="J14" s="2" t="s">
        <v>272</v>
      </c>
      <c r="K14" s="2" t="s">
        <v>296</v>
      </c>
      <c r="L14" s="2" t="s">
        <v>297</v>
      </c>
      <c r="M14" s="2" t="s">
        <v>350</v>
      </c>
      <c r="N14" s="2" t="s">
        <v>299</v>
      </c>
      <c r="O14" s="2" t="s">
        <v>300</v>
      </c>
      <c r="P14" s="2" t="s">
        <v>278</v>
      </c>
      <c r="Q14" s="2" t="s">
        <v>279</v>
      </c>
      <c r="R14" s="2" t="s">
        <v>280</v>
      </c>
      <c r="S14" s="2"/>
      <c r="T14" s="2" t="s">
        <v>281</v>
      </c>
      <c r="U14" s="2"/>
    </row>
    <row r="15" spans="1:21" ht="43.5" customHeight="1" x14ac:dyDescent="0.5">
      <c r="A15" s="2" t="s">
        <v>351</v>
      </c>
      <c r="B15" s="2" t="s">
        <v>75</v>
      </c>
      <c r="C15" s="2" t="s">
        <v>352</v>
      </c>
      <c r="D15" s="2" t="s">
        <v>353</v>
      </c>
      <c r="E15" s="2" t="s">
        <v>304</v>
      </c>
      <c r="F15" s="2" t="s">
        <v>354</v>
      </c>
      <c r="G15" s="5" t="s">
        <v>306</v>
      </c>
      <c r="H15" s="2" t="s">
        <v>342</v>
      </c>
      <c r="I15" s="2" t="s">
        <v>307</v>
      </c>
      <c r="J15" s="2" t="s">
        <v>272</v>
      </c>
      <c r="K15" s="2" t="s">
        <v>296</v>
      </c>
      <c r="L15" s="2" t="s">
        <v>297</v>
      </c>
      <c r="M15" s="2" t="s">
        <v>355</v>
      </c>
      <c r="N15" s="2" t="s">
        <v>309</v>
      </c>
      <c r="O15" s="2" t="s">
        <v>310</v>
      </c>
      <c r="P15" s="2" t="s">
        <v>278</v>
      </c>
      <c r="Q15" s="2" t="s">
        <v>279</v>
      </c>
      <c r="R15" s="2" t="s">
        <v>280</v>
      </c>
      <c r="S15" s="2"/>
      <c r="T15" s="2" t="s">
        <v>281</v>
      </c>
      <c r="U15" s="2"/>
    </row>
    <row r="16" spans="1:21" ht="43.5" customHeight="1" x14ac:dyDescent="0.5">
      <c r="A16" s="2" t="s">
        <v>356</v>
      </c>
      <c r="B16" s="2" t="s">
        <v>75</v>
      </c>
      <c r="C16" s="2" t="s">
        <v>357</v>
      </c>
      <c r="D16" s="2" t="s">
        <v>358</v>
      </c>
      <c r="E16" s="2" t="s">
        <v>359</v>
      </c>
      <c r="F16" s="2" t="s">
        <v>360</v>
      </c>
      <c r="G16" s="5" t="s">
        <v>294</v>
      </c>
      <c r="H16" s="2" t="s">
        <v>342</v>
      </c>
      <c r="I16" s="2" t="s">
        <v>361</v>
      </c>
      <c r="J16" s="2" t="s">
        <v>272</v>
      </c>
      <c r="K16" s="2" t="s">
        <v>296</v>
      </c>
      <c r="L16" s="2" t="s">
        <v>297</v>
      </c>
      <c r="M16" s="2" t="s">
        <v>362</v>
      </c>
      <c r="N16" s="2" t="s">
        <v>299</v>
      </c>
      <c r="O16" s="2" t="s">
        <v>300</v>
      </c>
      <c r="P16" s="2" t="s">
        <v>278</v>
      </c>
      <c r="Q16" s="2" t="s">
        <v>279</v>
      </c>
      <c r="R16" s="2" t="s">
        <v>280</v>
      </c>
      <c r="S16" s="2"/>
      <c r="T16" s="2" t="s">
        <v>281</v>
      </c>
      <c r="U16" s="2"/>
    </row>
    <row r="17" spans="1:21" ht="43.5" customHeight="1" x14ac:dyDescent="0.5">
      <c r="A17" s="2" t="s">
        <v>363</v>
      </c>
      <c r="B17" s="2" t="s">
        <v>81</v>
      </c>
      <c r="C17" s="2" t="s">
        <v>265</v>
      </c>
      <c r="D17" s="2" t="s">
        <v>266</v>
      </c>
      <c r="E17" s="2" t="s">
        <v>267</v>
      </c>
      <c r="F17" s="2" t="s">
        <v>268</v>
      </c>
      <c r="G17" s="4" t="s">
        <v>269</v>
      </c>
      <c r="H17" s="2" t="s">
        <v>364</v>
      </c>
      <c r="I17" s="2" t="s">
        <v>271</v>
      </c>
      <c r="J17" s="2" t="s">
        <v>272</v>
      </c>
      <c r="K17" s="2" t="s">
        <v>273</v>
      </c>
      <c r="L17" s="2" t="s">
        <v>274</v>
      </c>
      <c r="M17" s="2" t="s">
        <v>365</v>
      </c>
      <c r="N17" s="2" t="s">
        <v>276</v>
      </c>
      <c r="O17" s="2" t="s">
        <v>277</v>
      </c>
      <c r="P17" s="2" t="s">
        <v>278</v>
      </c>
      <c r="Q17" s="2" t="s">
        <v>279</v>
      </c>
      <c r="R17" s="2" t="s">
        <v>280</v>
      </c>
      <c r="S17" s="2"/>
      <c r="T17" s="2" t="s">
        <v>281</v>
      </c>
      <c r="U17" s="2"/>
    </row>
    <row r="18" spans="1:21" ht="43.5" customHeight="1" x14ac:dyDescent="0.5">
      <c r="A18" s="2" t="s">
        <v>366</v>
      </c>
      <c r="B18" s="2" t="s">
        <v>81</v>
      </c>
      <c r="C18" s="2" t="s">
        <v>283</v>
      </c>
      <c r="D18" s="2" t="s">
        <v>284</v>
      </c>
      <c r="E18" s="2" t="s">
        <v>285</v>
      </c>
      <c r="F18" s="2" t="s">
        <v>286</v>
      </c>
      <c r="G18" s="4" t="s">
        <v>269</v>
      </c>
      <c r="H18" s="2" t="s">
        <v>364</v>
      </c>
      <c r="I18" s="2" t="s">
        <v>287</v>
      </c>
      <c r="J18" s="2" t="s">
        <v>272</v>
      </c>
      <c r="K18" s="2" t="s">
        <v>273</v>
      </c>
      <c r="L18" s="2" t="s">
        <v>274</v>
      </c>
      <c r="M18" s="2" t="s">
        <v>367</v>
      </c>
      <c r="N18" s="2" t="s">
        <v>276</v>
      </c>
      <c r="O18" s="2" t="s">
        <v>277</v>
      </c>
      <c r="P18" s="2" t="s">
        <v>278</v>
      </c>
      <c r="Q18" s="2" t="s">
        <v>279</v>
      </c>
      <c r="R18" s="2" t="s">
        <v>280</v>
      </c>
      <c r="S18" s="2"/>
      <c r="T18" s="2" t="s">
        <v>281</v>
      </c>
      <c r="U18" s="2"/>
    </row>
    <row r="19" spans="1:21" ht="43.5" customHeight="1" x14ac:dyDescent="0.5">
      <c r="A19" s="2" t="s">
        <v>368</v>
      </c>
      <c r="B19" s="2" t="s">
        <v>81</v>
      </c>
      <c r="C19" s="2" t="s">
        <v>290</v>
      </c>
      <c r="D19" s="2" t="s">
        <v>369</v>
      </c>
      <c r="E19" s="2" t="s">
        <v>370</v>
      </c>
      <c r="F19" s="2" t="s">
        <v>371</v>
      </c>
      <c r="G19" s="5" t="s">
        <v>294</v>
      </c>
      <c r="H19" s="2" t="s">
        <v>364</v>
      </c>
      <c r="I19" s="2" t="s">
        <v>295</v>
      </c>
      <c r="J19" s="2" t="s">
        <v>272</v>
      </c>
      <c r="K19" s="2" t="s">
        <v>296</v>
      </c>
      <c r="L19" s="2" t="s">
        <v>297</v>
      </c>
      <c r="M19" s="2" t="s">
        <v>372</v>
      </c>
      <c r="N19" s="2" t="s">
        <v>299</v>
      </c>
      <c r="O19" s="2" t="s">
        <v>300</v>
      </c>
      <c r="P19" s="2" t="s">
        <v>278</v>
      </c>
      <c r="Q19" s="2" t="s">
        <v>279</v>
      </c>
      <c r="R19" s="2" t="s">
        <v>280</v>
      </c>
      <c r="S19" s="2"/>
      <c r="T19" s="2" t="s">
        <v>281</v>
      </c>
      <c r="U19" s="2"/>
    </row>
    <row r="20" spans="1:21" ht="43.5" customHeight="1" x14ac:dyDescent="0.5">
      <c r="A20" s="2" t="s">
        <v>373</v>
      </c>
      <c r="B20" s="2" t="s">
        <v>81</v>
      </c>
      <c r="C20" s="2" t="s">
        <v>302</v>
      </c>
      <c r="D20" s="2" t="s">
        <v>303</v>
      </c>
      <c r="E20" s="2" t="s">
        <v>304</v>
      </c>
      <c r="F20" s="2" t="s">
        <v>305</v>
      </c>
      <c r="G20" s="5" t="s">
        <v>306</v>
      </c>
      <c r="H20" s="2" t="s">
        <v>364</v>
      </c>
      <c r="I20" s="2" t="s">
        <v>307</v>
      </c>
      <c r="J20" s="2" t="s">
        <v>272</v>
      </c>
      <c r="K20" s="2" t="s">
        <v>296</v>
      </c>
      <c r="L20" s="2" t="s">
        <v>297</v>
      </c>
      <c r="M20" s="2" t="s">
        <v>374</v>
      </c>
      <c r="N20" s="2" t="s">
        <v>309</v>
      </c>
      <c r="O20" s="2" t="s">
        <v>310</v>
      </c>
      <c r="P20" s="2" t="s">
        <v>278</v>
      </c>
      <c r="Q20" s="2" t="s">
        <v>279</v>
      </c>
      <c r="R20" s="2" t="s">
        <v>280</v>
      </c>
      <c r="S20" s="2"/>
      <c r="T20" s="2" t="s">
        <v>281</v>
      </c>
      <c r="U20" s="2"/>
    </row>
    <row r="21" spans="1:21" ht="43.5" customHeight="1" x14ac:dyDescent="0.5">
      <c r="A21" s="2" t="s">
        <v>375</v>
      </c>
      <c r="B21" s="2" t="s">
        <v>81</v>
      </c>
      <c r="C21" s="2" t="s">
        <v>312</v>
      </c>
      <c r="D21" s="2" t="s">
        <v>313</v>
      </c>
      <c r="E21" s="2" t="s">
        <v>314</v>
      </c>
      <c r="F21" s="2" t="s">
        <v>315</v>
      </c>
      <c r="G21" s="5" t="s">
        <v>294</v>
      </c>
      <c r="H21" s="2" t="s">
        <v>364</v>
      </c>
      <c r="I21" s="2" t="s">
        <v>316</v>
      </c>
      <c r="J21" s="2" t="s">
        <v>272</v>
      </c>
      <c r="K21" s="2" t="s">
        <v>296</v>
      </c>
      <c r="L21" s="2" t="s">
        <v>297</v>
      </c>
      <c r="M21" s="2" t="s">
        <v>376</v>
      </c>
      <c r="N21" s="2" t="s">
        <v>299</v>
      </c>
      <c r="O21" s="2" t="s">
        <v>300</v>
      </c>
      <c r="P21" s="2" t="s">
        <v>278</v>
      </c>
      <c r="Q21" s="2" t="s">
        <v>279</v>
      </c>
      <c r="R21" s="2" t="s">
        <v>280</v>
      </c>
      <c r="S21" s="2"/>
      <c r="T21" s="2" t="s">
        <v>281</v>
      </c>
      <c r="U21" s="2"/>
    </row>
    <row r="22" spans="1:21" ht="43.5" customHeight="1" x14ac:dyDescent="0.5">
      <c r="A22" s="2" t="s">
        <v>377</v>
      </c>
      <c r="B22" s="2" t="s">
        <v>81</v>
      </c>
      <c r="C22" s="2" t="s">
        <v>319</v>
      </c>
      <c r="D22" s="2" t="s">
        <v>266</v>
      </c>
      <c r="E22" s="2" t="s">
        <v>320</v>
      </c>
      <c r="F22" s="2" t="s">
        <v>321</v>
      </c>
      <c r="G22" s="4" t="s">
        <v>269</v>
      </c>
      <c r="H22" s="2" t="s">
        <v>364</v>
      </c>
      <c r="I22" s="2" t="s">
        <v>271</v>
      </c>
      <c r="J22" s="2" t="s">
        <v>272</v>
      </c>
      <c r="K22" s="2" t="s">
        <v>273</v>
      </c>
      <c r="L22" s="2" t="s">
        <v>274</v>
      </c>
      <c r="M22" s="2" t="s">
        <v>378</v>
      </c>
      <c r="N22" s="2" t="s">
        <v>276</v>
      </c>
      <c r="O22" s="2" t="s">
        <v>277</v>
      </c>
      <c r="P22" s="2" t="s">
        <v>278</v>
      </c>
      <c r="Q22" s="2" t="s">
        <v>279</v>
      </c>
      <c r="R22" s="2" t="s">
        <v>280</v>
      </c>
      <c r="S22" s="2"/>
      <c r="T22" s="2" t="s">
        <v>281</v>
      </c>
      <c r="U22" s="2"/>
    </row>
    <row r="23" spans="1:21" ht="43.5" customHeight="1" x14ac:dyDescent="0.5">
      <c r="A23" s="2" t="s">
        <v>379</v>
      </c>
      <c r="B23" s="2" t="s">
        <v>81</v>
      </c>
      <c r="C23" s="2" t="s">
        <v>324</v>
      </c>
      <c r="D23" s="2" t="s">
        <v>284</v>
      </c>
      <c r="E23" s="2" t="s">
        <v>285</v>
      </c>
      <c r="F23" s="2" t="s">
        <v>325</v>
      </c>
      <c r="G23" s="4" t="s">
        <v>269</v>
      </c>
      <c r="H23" s="2" t="s">
        <v>364</v>
      </c>
      <c r="I23" s="2" t="s">
        <v>287</v>
      </c>
      <c r="J23" s="2" t="s">
        <v>272</v>
      </c>
      <c r="K23" s="2" t="s">
        <v>273</v>
      </c>
      <c r="L23" s="2" t="s">
        <v>274</v>
      </c>
      <c r="M23" s="2" t="s">
        <v>380</v>
      </c>
      <c r="N23" s="2" t="s">
        <v>276</v>
      </c>
      <c r="O23" s="2" t="s">
        <v>277</v>
      </c>
      <c r="P23" s="2" t="s">
        <v>278</v>
      </c>
      <c r="Q23" s="2" t="s">
        <v>279</v>
      </c>
      <c r="R23" s="2" t="s">
        <v>280</v>
      </c>
      <c r="S23" s="2"/>
      <c r="T23" s="2" t="s">
        <v>281</v>
      </c>
      <c r="U23" s="2"/>
    </row>
    <row r="24" spans="1:21" ht="43.5" customHeight="1" x14ac:dyDescent="0.5">
      <c r="A24" s="2" t="s">
        <v>381</v>
      </c>
      <c r="B24" s="2" t="s">
        <v>81</v>
      </c>
      <c r="C24" s="2" t="s">
        <v>328</v>
      </c>
      <c r="D24" s="2" t="s">
        <v>291</v>
      </c>
      <c r="E24" s="2" t="s">
        <v>292</v>
      </c>
      <c r="F24" s="2" t="s">
        <v>293</v>
      </c>
      <c r="G24" s="5" t="s">
        <v>294</v>
      </c>
      <c r="H24" s="2" t="s">
        <v>364</v>
      </c>
      <c r="I24" s="2" t="s">
        <v>295</v>
      </c>
      <c r="J24" s="2" t="s">
        <v>272</v>
      </c>
      <c r="K24" s="2" t="s">
        <v>296</v>
      </c>
      <c r="L24" s="2" t="s">
        <v>297</v>
      </c>
      <c r="M24" s="2" t="s">
        <v>382</v>
      </c>
      <c r="N24" s="2" t="s">
        <v>299</v>
      </c>
      <c r="O24" s="2" t="s">
        <v>300</v>
      </c>
      <c r="P24" s="2" t="s">
        <v>278</v>
      </c>
      <c r="Q24" s="2" t="s">
        <v>279</v>
      </c>
      <c r="R24" s="2" t="s">
        <v>280</v>
      </c>
      <c r="S24" s="2"/>
      <c r="T24" s="2" t="s">
        <v>281</v>
      </c>
      <c r="U24" s="2"/>
    </row>
    <row r="25" spans="1:21" ht="43.5" customHeight="1" x14ac:dyDescent="0.5">
      <c r="A25" s="2" t="s">
        <v>383</v>
      </c>
      <c r="B25" s="2" t="s">
        <v>81</v>
      </c>
      <c r="C25" s="2" t="s">
        <v>331</v>
      </c>
      <c r="D25" s="2" t="s">
        <v>332</v>
      </c>
      <c r="E25" s="2" t="s">
        <v>304</v>
      </c>
      <c r="F25" s="2" t="s">
        <v>333</v>
      </c>
      <c r="G25" s="5" t="s">
        <v>306</v>
      </c>
      <c r="H25" s="2" t="s">
        <v>364</v>
      </c>
      <c r="I25" s="2" t="s">
        <v>307</v>
      </c>
      <c r="J25" s="2" t="s">
        <v>272</v>
      </c>
      <c r="K25" s="2" t="s">
        <v>296</v>
      </c>
      <c r="L25" s="2" t="s">
        <v>297</v>
      </c>
      <c r="M25" s="2" t="s">
        <v>384</v>
      </c>
      <c r="N25" s="2" t="s">
        <v>309</v>
      </c>
      <c r="O25" s="2" t="s">
        <v>310</v>
      </c>
      <c r="P25" s="2" t="s">
        <v>278</v>
      </c>
      <c r="Q25" s="2" t="s">
        <v>279</v>
      </c>
      <c r="R25" s="2" t="s">
        <v>280</v>
      </c>
      <c r="S25" s="2"/>
      <c r="T25" s="2" t="s">
        <v>281</v>
      </c>
      <c r="U25" s="2"/>
    </row>
    <row r="26" spans="1:21" ht="43.5" customHeight="1" x14ac:dyDescent="0.5">
      <c r="A26" s="2" t="s">
        <v>385</v>
      </c>
      <c r="B26" s="2" t="s">
        <v>81</v>
      </c>
      <c r="C26" s="2" t="s">
        <v>336</v>
      </c>
      <c r="D26" s="2" t="s">
        <v>337</v>
      </c>
      <c r="E26" s="2" t="s">
        <v>314</v>
      </c>
      <c r="F26" s="2" t="s">
        <v>315</v>
      </c>
      <c r="G26" s="5" t="s">
        <v>294</v>
      </c>
      <c r="H26" s="2" t="s">
        <v>364</v>
      </c>
      <c r="I26" s="2" t="s">
        <v>316</v>
      </c>
      <c r="J26" s="2" t="s">
        <v>272</v>
      </c>
      <c r="K26" s="2" t="s">
        <v>296</v>
      </c>
      <c r="L26" s="2" t="s">
        <v>297</v>
      </c>
      <c r="M26" s="2" t="s">
        <v>386</v>
      </c>
      <c r="N26" s="2" t="s">
        <v>299</v>
      </c>
      <c r="O26" s="2" t="s">
        <v>300</v>
      </c>
      <c r="P26" s="2" t="s">
        <v>278</v>
      </c>
      <c r="Q26" s="2" t="s">
        <v>279</v>
      </c>
      <c r="R26" s="2" t="s">
        <v>280</v>
      </c>
      <c r="S26" s="2"/>
      <c r="T26" s="2" t="s">
        <v>281</v>
      </c>
      <c r="U26" s="2"/>
    </row>
    <row r="27" spans="1:21" ht="43.5" customHeight="1" x14ac:dyDescent="0.5">
      <c r="A27" s="2" t="s">
        <v>387</v>
      </c>
      <c r="B27" s="2" t="s">
        <v>81</v>
      </c>
      <c r="C27" s="2" t="s">
        <v>388</v>
      </c>
      <c r="D27" s="2" t="s">
        <v>266</v>
      </c>
      <c r="E27" s="2" t="s">
        <v>320</v>
      </c>
      <c r="F27" s="2" t="s">
        <v>389</v>
      </c>
      <c r="G27" s="4" t="s">
        <v>269</v>
      </c>
      <c r="H27" s="2" t="s">
        <v>390</v>
      </c>
      <c r="I27" s="2" t="s">
        <v>271</v>
      </c>
      <c r="J27" s="2" t="s">
        <v>272</v>
      </c>
      <c r="K27" s="2" t="s">
        <v>273</v>
      </c>
      <c r="L27" s="2" t="s">
        <v>274</v>
      </c>
      <c r="M27" s="2" t="s">
        <v>391</v>
      </c>
      <c r="N27" s="2" t="s">
        <v>276</v>
      </c>
      <c r="O27" s="2" t="s">
        <v>277</v>
      </c>
      <c r="P27" s="2" t="s">
        <v>278</v>
      </c>
      <c r="Q27" s="2" t="s">
        <v>279</v>
      </c>
      <c r="R27" s="2" t="s">
        <v>280</v>
      </c>
      <c r="S27" s="2"/>
      <c r="T27" s="2" t="s">
        <v>281</v>
      </c>
      <c r="U27" s="2"/>
    </row>
    <row r="28" spans="1:21" ht="43.5" customHeight="1" x14ac:dyDescent="0.5">
      <c r="A28" s="2" t="s">
        <v>392</v>
      </c>
      <c r="B28" s="2" t="s">
        <v>81</v>
      </c>
      <c r="C28" s="2" t="s">
        <v>393</v>
      </c>
      <c r="D28" s="2" t="s">
        <v>284</v>
      </c>
      <c r="E28" s="2" t="s">
        <v>285</v>
      </c>
      <c r="F28" s="2" t="s">
        <v>394</v>
      </c>
      <c r="G28" s="4" t="s">
        <v>269</v>
      </c>
      <c r="H28" s="2" t="s">
        <v>390</v>
      </c>
      <c r="I28" s="2" t="s">
        <v>287</v>
      </c>
      <c r="J28" s="2" t="s">
        <v>272</v>
      </c>
      <c r="K28" s="2" t="s">
        <v>273</v>
      </c>
      <c r="L28" s="2" t="s">
        <v>274</v>
      </c>
      <c r="M28" s="2" t="s">
        <v>395</v>
      </c>
      <c r="N28" s="2" t="s">
        <v>276</v>
      </c>
      <c r="O28" s="2" t="s">
        <v>277</v>
      </c>
      <c r="P28" s="2" t="s">
        <v>278</v>
      </c>
      <c r="Q28" s="2" t="s">
        <v>279</v>
      </c>
      <c r="R28" s="2" t="s">
        <v>280</v>
      </c>
      <c r="S28" s="2"/>
      <c r="T28" s="2" t="s">
        <v>281</v>
      </c>
      <c r="U28" s="2"/>
    </row>
    <row r="29" spans="1:21" ht="43.5" customHeight="1" x14ac:dyDescent="0.5">
      <c r="A29" s="2" t="s">
        <v>396</v>
      </c>
      <c r="B29" s="2" t="s">
        <v>81</v>
      </c>
      <c r="C29" s="2" t="s">
        <v>397</v>
      </c>
      <c r="D29" s="2" t="s">
        <v>398</v>
      </c>
      <c r="E29" s="2" t="s">
        <v>399</v>
      </c>
      <c r="F29" s="2" t="s">
        <v>400</v>
      </c>
      <c r="G29" s="2" t="s">
        <v>401</v>
      </c>
      <c r="H29" s="2" t="s">
        <v>390</v>
      </c>
      <c r="I29" s="2" t="s">
        <v>402</v>
      </c>
      <c r="J29" s="2" t="s">
        <v>272</v>
      </c>
      <c r="K29" s="2" t="s">
        <v>273</v>
      </c>
      <c r="L29" s="2" t="s">
        <v>274</v>
      </c>
      <c r="M29" s="2" t="s">
        <v>403</v>
      </c>
      <c r="N29" s="2" t="s">
        <v>276</v>
      </c>
      <c r="O29" s="2" t="s">
        <v>277</v>
      </c>
      <c r="P29" s="2" t="s">
        <v>278</v>
      </c>
      <c r="Q29" s="2" t="s">
        <v>279</v>
      </c>
      <c r="R29" s="2" t="s">
        <v>280</v>
      </c>
      <c r="S29" s="2"/>
      <c r="T29" s="2" t="s">
        <v>281</v>
      </c>
      <c r="U29" s="2"/>
    </row>
    <row r="30" spans="1:21" ht="43.5" customHeight="1" x14ac:dyDescent="0.5">
      <c r="A30" s="2" t="s">
        <v>404</v>
      </c>
      <c r="B30" s="2" t="s">
        <v>81</v>
      </c>
      <c r="C30" s="2" t="s">
        <v>405</v>
      </c>
      <c r="D30" s="2" t="s">
        <v>406</v>
      </c>
      <c r="E30" s="2" t="s">
        <v>304</v>
      </c>
      <c r="F30" s="2" t="s">
        <v>407</v>
      </c>
      <c r="G30" s="5" t="s">
        <v>306</v>
      </c>
      <c r="H30" s="2" t="s">
        <v>390</v>
      </c>
      <c r="I30" s="2" t="s">
        <v>307</v>
      </c>
      <c r="J30" s="2" t="s">
        <v>272</v>
      </c>
      <c r="K30" s="2" t="s">
        <v>296</v>
      </c>
      <c r="L30" s="2" t="s">
        <v>297</v>
      </c>
      <c r="M30" s="2" t="s">
        <v>408</v>
      </c>
      <c r="N30" s="2" t="s">
        <v>309</v>
      </c>
      <c r="O30" s="2" t="s">
        <v>310</v>
      </c>
      <c r="P30" s="2" t="s">
        <v>278</v>
      </c>
      <c r="Q30" s="2" t="s">
        <v>279</v>
      </c>
      <c r="R30" s="2" t="s">
        <v>280</v>
      </c>
      <c r="S30" s="2"/>
      <c r="T30" s="2" t="s">
        <v>281</v>
      </c>
      <c r="U30" s="2"/>
    </row>
    <row r="31" spans="1:21" ht="43.5" customHeight="1" x14ac:dyDescent="0.5">
      <c r="A31" s="2" t="s">
        <v>409</v>
      </c>
      <c r="B31" s="2" t="s">
        <v>81</v>
      </c>
      <c r="C31" s="2" t="s">
        <v>410</v>
      </c>
      <c r="D31" s="2" t="s">
        <v>411</v>
      </c>
      <c r="E31" s="2" t="s">
        <v>359</v>
      </c>
      <c r="F31" s="2" t="s">
        <v>360</v>
      </c>
      <c r="G31" s="5" t="s">
        <v>294</v>
      </c>
      <c r="H31" s="2" t="s">
        <v>390</v>
      </c>
      <c r="I31" s="2" t="s">
        <v>361</v>
      </c>
      <c r="J31" s="2" t="s">
        <v>272</v>
      </c>
      <c r="K31" s="2" t="s">
        <v>296</v>
      </c>
      <c r="L31" s="2" t="s">
        <v>297</v>
      </c>
      <c r="M31" s="2" t="s">
        <v>412</v>
      </c>
      <c r="N31" s="2" t="s">
        <v>299</v>
      </c>
      <c r="O31" s="2" t="s">
        <v>300</v>
      </c>
      <c r="P31" s="2" t="s">
        <v>278</v>
      </c>
      <c r="Q31" s="2" t="s">
        <v>279</v>
      </c>
      <c r="R31" s="2" t="s">
        <v>280</v>
      </c>
      <c r="S31" s="2"/>
      <c r="T31" s="2" t="s">
        <v>281</v>
      </c>
      <c r="U31" s="2"/>
    </row>
    <row r="32" spans="1:21" ht="43.5" customHeight="1" x14ac:dyDescent="0.5">
      <c r="A32" s="2" t="s">
        <v>413</v>
      </c>
      <c r="B32" s="2" t="s">
        <v>84</v>
      </c>
      <c r="C32" s="2" t="s">
        <v>414</v>
      </c>
      <c r="D32" s="2" t="s">
        <v>266</v>
      </c>
      <c r="E32" s="2" t="s">
        <v>267</v>
      </c>
      <c r="F32" s="2" t="s">
        <v>415</v>
      </c>
      <c r="G32" s="4" t="s">
        <v>269</v>
      </c>
      <c r="H32" s="2" t="s">
        <v>416</v>
      </c>
      <c r="I32" s="2" t="s">
        <v>271</v>
      </c>
      <c r="J32" s="2" t="s">
        <v>272</v>
      </c>
      <c r="K32" s="2" t="s">
        <v>273</v>
      </c>
      <c r="L32" s="2" t="s">
        <v>274</v>
      </c>
      <c r="M32" s="2" t="s">
        <v>417</v>
      </c>
      <c r="N32" s="2" t="s">
        <v>276</v>
      </c>
      <c r="O32" s="2" t="s">
        <v>277</v>
      </c>
      <c r="P32" s="2" t="s">
        <v>278</v>
      </c>
      <c r="Q32" s="2" t="s">
        <v>279</v>
      </c>
      <c r="R32" s="2" t="s">
        <v>280</v>
      </c>
      <c r="S32" s="2"/>
      <c r="T32" s="2" t="s">
        <v>281</v>
      </c>
      <c r="U32" s="2"/>
    </row>
    <row r="33" spans="1:21" ht="43.5" customHeight="1" x14ac:dyDescent="0.5">
      <c r="A33" s="2" t="s">
        <v>418</v>
      </c>
      <c r="B33" s="2" t="s">
        <v>84</v>
      </c>
      <c r="C33" s="2" t="s">
        <v>419</v>
      </c>
      <c r="D33" s="2" t="s">
        <v>284</v>
      </c>
      <c r="E33" s="2" t="s">
        <v>285</v>
      </c>
      <c r="F33" s="2" t="s">
        <v>420</v>
      </c>
      <c r="G33" s="4" t="s">
        <v>269</v>
      </c>
      <c r="H33" s="2" t="s">
        <v>416</v>
      </c>
      <c r="I33" s="2" t="s">
        <v>287</v>
      </c>
      <c r="J33" s="2" t="s">
        <v>272</v>
      </c>
      <c r="K33" s="2" t="s">
        <v>273</v>
      </c>
      <c r="L33" s="2" t="s">
        <v>274</v>
      </c>
      <c r="M33" s="2" t="s">
        <v>421</v>
      </c>
      <c r="N33" s="2" t="s">
        <v>276</v>
      </c>
      <c r="O33" s="2" t="s">
        <v>277</v>
      </c>
      <c r="P33" s="2" t="s">
        <v>278</v>
      </c>
      <c r="Q33" s="2" t="s">
        <v>279</v>
      </c>
      <c r="R33" s="2" t="s">
        <v>280</v>
      </c>
      <c r="S33" s="2"/>
      <c r="T33" s="2" t="s">
        <v>281</v>
      </c>
      <c r="U33" s="2"/>
    </row>
    <row r="34" spans="1:21" ht="43.5" customHeight="1" x14ac:dyDescent="0.5">
      <c r="A34" s="2" t="s">
        <v>422</v>
      </c>
      <c r="B34" s="2" t="s">
        <v>84</v>
      </c>
      <c r="C34" s="2" t="s">
        <v>423</v>
      </c>
      <c r="D34" s="2" t="s">
        <v>291</v>
      </c>
      <c r="E34" s="2" t="s">
        <v>292</v>
      </c>
      <c r="F34" s="2" t="s">
        <v>293</v>
      </c>
      <c r="G34" s="5" t="s">
        <v>294</v>
      </c>
      <c r="H34" s="2" t="s">
        <v>416</v>
      </c>
      <c r="I34" s="2" t="s">
        <v>295</v>
      </c>
      <c r="J34" s="2" t="s">
        <v>272</v>
      </c>
      <c r="K34" s="2" t="s">
        <v>296</v>
      </c>
      <c r="L34" s="2" t="s">
        <v>297</v>
      </c>
      <c r="M34" s="2" t="s">
        <v>424</v>
      </c>
      <c r="N34" s="2" t="s">
        <v>299</v>
      </c>
      <c r="O34" s="2" t="s">
        <v>300</v>
      </c>
      <c r="P34" s="2" t="s">
        <v>278</v>
      </c>
      <c r="Q34" s="2" t="s">
        <v>279</v>
      </c>
      <c r="R34" s="2" t="s">
        <v>280</v>
      </c>
      <c r="S34" s="2"/>
      <c r="T34" s="2" t="s">
        <v>281</v>
      </c>
      <c r="U34" s="2"/>
    </row>
    <row r="35" spans="1:21" ht="43.5" customHeight="1" x14ac:dyDescent="0.5">
      <c r="A35" s="2" t="s">
        <v>425</v>
      </c>
      <c r="B35" s="2" t="s">
        <v>84</v>
      </c>
      <c r="C35" s="2" t="s">
        <v>426</v>
      </c>
      <c r="D35" s="2" t="s">
        <v>427</v>
      </c>
      <c r="E35" s="2" t="s">
        <v>304</v>
      </c>
      <c r="F35" s="2" t="s">
        <v>428</v>
      </c>
      <c r="G35" s="5" t="s">
        <v>306</v>
      </c>
      <c r="H35" s="2" t="s">
        <v>416</v>
      </c>
      <c r="I35" s="2" t="s">
        <v>307</v>
      </c>
      <c r="J35" s="2" t="s">
        <v>272</v>
      </c>
      <c r="K35" s="2" t="s">
        <v>296</v>
      </c>
      <c r="L35" s="2" t="s">
        <v>297</v>
      </c>
      <c r="M35" s="2" t="s">
        <v>429</v>
      </c>
      <c r="N35" s="2" t="s">
        <v>309</v>
      </c>
      <c r="O35" s="2" t="s">
        <v>310</v>
      </c>
      <c r="P35" s="2" t="s">
        <v>278</v>
      </c>
      <c r="Q35" s="2" t="s">
        <v>279</v>
      </c>
      <c r="R35" s="2" t="s">
        <v>280</v>
      </c>
      <c r="S35" s="2"/>
      <c r="T35" s="2" t="s">
        <v>281</v>
      </c>
      <c r="U35" s="2"/>
    </row>
    <row r="36" spans="1:21" ht="43.5" customHeight="1" x14ac:dyDescent="0.5">
      <c r="A36" s="2" t="s">
        <v>430</v>
      </c>
      <c r="B36" s="2" t="s">
        <v>84</v>
      </c>
      <c r="C36" s="2" t="s">
        <v>431</v>
      </c>
      <c r="D36" s="2" t="s">
        <v>432</v>
      </c>
      <c r="E36" s="2" t="s">
        <v>314</v>
      </c>
      <c r="F36" s="2" t="s">
        <v>315</v>
      </c>
      <c r="G36" s="5" t="s">
        <v>294</v>
      </c>
      <c r="H36" s="2" t="s">
        <v>416</v>
      </c>
      <c r="I36" s="2" t="s">
        <v>316</v>
      </c>
      <c r="J36" s="2" t="s">
        <v>272</v>
      </c>
      <c r="K36" s="2" t="s">
        <v>296</v>
      </c>
      <c r="L36" s="2" t="s">
        <v>297</v>
      </c>
      <c r="M36" s="2" t="s">
        <v>433</v>
      </c>
      <c r="N36" s="2" t="s">
        <v>299</v>
      </c>
      <c r="O36" s="2" t="s">
        <v>300</v>
      </c>
      <c r="P36" s="2" t="s">
        <v>278</v>
      </c>
      <c r="Q36" s="2" t="s">
        <v>279</v>
      </c>
      <c r="R36" s="2" t="s">
        <v>280</v>
      </c>
      <c r="S36" s="2"/>
      <c r="T36" s="2" t="s">
        <v>281</v>
      </c>
      <c r="U36" s="2"/>
    </row>
    <row r="37" spans="1:21" ht="43.5" customHeight="1" x14ac:dyDescent="0.5">
      <c r="A37" s="2" t="s">
        <v>434</v>
      </c>
      <c r="B37" s="2" t="s">
        <v>88</v>
      </c>
      <c r="C37" s="2" t="s">
        <v>435</v>
      </c>
      <c r="D37" s="2" t="s">
        <v>266</v>
      </c>
      <c r="E37" s="2" t="s">
        <v>320</v>
      </c>
      <c r="F37" s="2" t="s">
        <v>436</v>
      </c>
      <c r="G37" s="4" t="s">
        <v>269</v>
      </c>
      <c r="H37" s="2" t="s">
        <v>437</v>
      </c>
      <c r="I37" s="2" t="s">
        <v>271</v>
      </c>
      <c r="J37" s="2" t="s">
        <v>272</v>
      </c>
      <c r="K37" s="2" t="s">
        <v>273</v>
      </c>
      <c r="L37" s="2" t="s">
        <v>274</v>
      </c>
      <c r="M37" s="2" t="s">
        <v>438</v>
      </c>
      <c r="N37" s="2" t="s">
        <v>276</v>
      </c>
      <c r="O37" s="2" t="s">
        <v>277</v>
      </c>
      <c r="P37" s="2" t="s">
        <v>278</v>
      </c>
      <c r="Q37" s="2" t="s">
        <v>279</v>
      </c>
      <c r="R37" s="2" t="s">
        <v>280</v>
      </c>
      <c r="S37" s="2"/>
      <c r="T37" s="2" t="s">
        <v>281</v>
      </c>
      <c r="U37" s="2"/>
    </row>
    <row r="38" spans="1:21" ht="43.5" customHeight="1" x14ac:dyDescent="0.5">
      <c r="A38" s="2" t="s">
        <v>439</v>
      </c>
      <c r="B38" s="2" t="s">
        <v>88</v>
      </c>
      <c r="C38" s="2" t="s">
        <v>440</v>
      </c>
      <c r="D38" s="2" t="s">
        <v>284</v>
      </c>
      <c r="E38" s="2" t="s">
        <v>285</v>
      </c>
      <c r="F38" s="2" t="s">
        <v>441</v>
      </c>
      <c r="G38" s="4" t="s">
        <v>269</v>
      </c>
      <c r="H38" s="2" t="s">
        <v>437</v>
      </c>
      <c r="I38" s="2" t="s">
        <v>287</v>
      </c>
      <c r="J38" s="2" t="s">
        <v>272</v>
      </c>
      <c r="K38" s="2" t="s">
        <v>273</v>
      </c>
      <c r="L38" s="2" t="s">
        <v>274</v>
      </c>
      <c r="M38" s="2" t="s">
        <v>442</v>
      </c>
      <c r="N38" s="2" t="s">
        <v>276</v>
      </c>
      <c r="O38" s="2" t="s">
        <v>277</v>
      </c>
      <c r="P38" s="2" t="s">
        <v>278</v>
      </c>
      <c r="Q38" s="2" t="s">
        <v>279</v>
      </c>
      <c r="R38" s="2" t="s">
        <v>280</v>
      </c>
      <c r="S38" s="2"/>
      <c r="T38" s="2" t="s">
        <v>281</v>
      </c>
      <c r="U38" s="2"/>
    </row>
    <row r="39" spans="1:21" ht="43.5" customHeight="1" x14ac:dyDescent="0.5">
      <c r="A39" s="2" t="s">
        <v>443</v>
      </c>
      <c r="B39" s="2" t="s">
        <v>88</v>
      </c>
      <c r="C39" s="2" t="s">
        <v>444</v>
      </c>
      <c r="D39" s="2" t="s">
        <v>291</v>
      </c>
      <c r="E39" s="2" t="s">
        <v>292</v>
      </c>
      <c r="F39" s="2" t="s">
        <v>293</v>
      </c>
      <c r="G39" s="5" t="s">
        <v>294</v>
      </c>
      <c r="H39" s="2" t="s">
        <v>437</v>
      </c>
      <c r="I39" s="2" t="s">
        <v>295</v>
      </c>
      <c r="J39" s="2" t="s">
        <v>272</v>
      </c>
      <c r="K39" s="2" t="s">
        <v>296</v>
      </c>
      <c r="L39" s="2" t="s">
        <v>297</v>
      </c>
      <c r="M39" s="2" t="s">
        <v>445</v>
      </c>
      <c r="N39" s="2" t="s">
        <v>299</v>
      </c>
      <c r="O39" s="2" t="s">
        <v>300</v>
      </c>
      <c r="P39" s="2" t="s">
        <v>278</v>
      </c>
      <c r="Q39" s="2" t="s">
        <v>279</v>
      </c>
      <c r="R39" s="2" t="s">
        <v>280</v>
      </c>
      <c r="S39" s="2"/>
      <c r="T39" s="2" t="s">
        <v>281</v>
      </c>
      <c r="U39" s="2"/>
    </row>
    <row r="40" spans="1:21" ht="43.5" customHeight="1" x14ac:dyDescent="0.5">
      <c r="A40" s="2" t="s">
        <v>446</v>
      </c>
      <c r="B40" s="2" t="s">
        <v>88</v>
      </c>
      <c r="C40" s="2" t="s">
        <v>447</v>
      </c>
      <c r="D40" s="2" t="s">
        <v>448</v>
      </c>
      <c r="E40" s="2" t="s">
        <v>304</v>
      </c>
      <c r="F40" s="2" t="s">
        <v>449</v>
      </c>
      <c r="G40" s="5" t="s">
        <v>306</v>
      </c>
      <c r="H40" s="2" t="s">
        <v>437</v>
      </c>
      <c r="I40" s="2" t="s">
        <v>307</v>
      </c>
      <c r="J40" s="2" t="s">
        <v>272</v>
      </c>
      <c r="K40" s="2" t="s">
        <v>296</v>
      </c>
      <c r="L40" s="2" t="s">
        <v>297</v>
      </c>
      <c r="M40" s="2" t="s">
        <v>450</v>
      </c>
      <c r="N40" s="2" t="s">
        <v>309</v>
      </c>
      <c r="O40" s="2" t="s">
        <v>310</v>
      </c>
      <c r="P40" s="2" t="s">
        <v>278</v>
      </c>
      <c r="Q40" s="2" t="s">
        <v>279</v>
      </c>
      <c r="R40" s="2" t="s">
        <v>280</v>
      </c>
      <c r="S40" s="2"/>
      <c r="T40" s="2" t="s">
        <v>281</v>
      </c>
      <c r="U40" s="2"/>
    </row>
    <row r="41" spans="1:21" ht="43.5" customHeight="1" x14ac:dyDescent="0.5">
      <c r="A41" s="2" t="s">
        <v>451</v>
      </c>
      <c r="B41" s="2" t="s">
        <v>88</v>
      </c>
      <c r="C41" s="2" t="s">
        <v>452</v>
      </c>
      <c r="D41" s="2" t="s">
        <v>453</v>
      </c>
      <c r="E41" s="2" t="s">
        <v>314</v>
      </c>
      <c r="F41" s="2" t="s">
        <v>315</v>
      </c>
      <c r="G41" s="5" t="s">
        <v>294</v>
      </c>
      <c r="H41" s="2" t="s">
        <v>437</v>
      </c>
      <c r="I41" s="2" t="s">
        <v>316</v>
      </c>
      <c r="J41" s="2" t="s">
        <v>272</v>
      </c>
      <c r="K41" s="2" t="s">
        <v>296</v>
      </c>
      <c r="L41" s="2" t="s">
        <v>297</v>
      </c>
      <c r="M41" s="2" t="s">
        <v>454</v>
      </c>
      <c r="N41" s="2" t="s">
        <v>299</v>
      </c>
      <c r="O41" s="2" t="s">
        <v>300</v>
      </c>
      <c r="P41" s="2" t="s">
        <v>278</v>
      </c>
      <c r="Q41" s="2" t="s">
        <v>279</v>
      </c>
      <c r="R41" s="2" t="s">
        <v>280</v>
      </c>
      <c r="S41" s="2"/>
      <c r="T41" s="2" t="s">
        <v>281</v>
      </c>
      <c r="U41" s="2"/>
    </row>
    <row r="42" spans="1:21" ht="43.5" customHeight="1" x14ac:dyDescent="0.5">
      <c r="A42" s="2" t="s">
        <v>455</v>
      </c>
      <c r="B42" s="2" t="s">
        <v>88</v>
      </c>
      <c r="C42" s="2" t="s">
        <v>456</v>
      </c>
      <c r="D42" s="2" t="s">
        <v>457</v>
      </c>
      <c r="E42" s="2" t="s">
        <v>458</v>
      </c>
      <c r="F42" s="2" t="s">
        <v>459</v>
      </c>
      <c r="G42" s="5" t="s">
        <v>460</v>
      </c>
      <c r="H42" s="2" t="s">
        <v>437</v>
      </c>
      <c r="I42" s="2" t="s">
        <v>461</v>
      </c>
      <c r="J42" s="2" t="s">
        <v>272</v>
      </c>
      <c r="K42" s="2" t="s">
        <v>296</v>
      </c>
      <c r="L42" s="2" t="s">
        <v>297</v>
      </c>
      <c r="M42" s="2" t="s">
        <v>462</v>
      </c>
      <c r="N42" s="2" t="s">
        <v>309</v>
      </c>
      <c r="O42" s="2" t="s">
        <v>310</v>
      </c>
      <c r="P42" s="2" t="s">
        <v>278</v>
      </c>
      <c r="Q42" s="2" t="s">
        <v>279</v>
      </c>
      <c r="R42" s="2" t="s">
        <v>280</v>
      </c>
      <c r="S42" s="2"/>
      <c r="T42" s="2" t="s">
        <v>281</v>
      </c>
      <c r="U42" s="2"/>
    </row>
    <row r="43" spans="1:21" ht="43.5" customHeight="1" x14ac:dyDescent="0.5">
      <c r="A43" s="2" t="s">
        <v>463</v>
      </c>
      <c r="B43" s="2" t="s">
        <v>88</v>
      </c>
      <c r="C43" s="2" t="s">
        <v>464</v>
      </c>
      <c r="D43" s="2" t="s">
        <v>266</v>
      </c>
      <c r="E43" s="2" t="s">
        <v>320</v>
      </c>
      <c r="F43" s="2" t="s">
        <v>389</v>
      </c>
      <c r="G43" s="4" t="s">
        <v>269</v>
      </c>
      <c r="H43" s="2" t="s">
        <v>465</v>
      </c>
      <c r="I43" s="2" t="s">
        <v>271</v>
      </c>
      <c r="J43" s="2" t="s">
        <v>272</v>
      </c>
      <c r="K43" s="2" t="s">
        <v>273</v>
      </c>
      <c r="L43" s="2" t="s">
        <v>274</v>
      </c>
      <c r="M43" s="2" t="s">
        <v>466</v>
      </c>
      <c r="N43" s="2" t="s">
        <v>276</v>
      </c>
      <c r="O43" s="2" t="s">
        <v>277</v>
      </c>
      <c r="P43" s="2" t="s">
        <v>278</v>
      </c>
      <c r="Q43" s="2" t="s">
        <v>279</v>
      </c>
      <c r="R43" s="2" t="s">
        <v>280</v>
      </c>
      <c r="S43" s="2"/>
      <c r="T43" s="2" t="s">
        <v>281</v>
      </c>
      <c r="U43" s="2"/>
    </row>
    <row r="44" spans="1:21" ht="43.5" customHeight="1" x14ac:dyDescent="0.5">
      <c r="A44" s="2" t="s">
        <v>467</v>
      </c>
      <c r="B44" s="2" t="s">
        <v>88</v>
      </c>
      <c r="C44" s="2" t="s">
        <v>468</v>
      </c>
      <c r="D44" s="2" t="s">
        <v>284</v>
      </c>
      <c r="E44" s="2" t="s">
        <v>285</v>
      </c>
      <c r="F44" s="2" t="s">
        <v>394</v>
      </c>
      <c r="G44" s="4" t="s">
        <v>269</v>
      </c>
      <c r="H44" s="2" t="s">
        <v>465</v>
      </c>
      <c r="I44" s="2" t="s">
        <v>287</v>
      </c>
      <c r="J44" s="2" t="s">
        <v>272</v>
      </c>
      <c r="K44" s="2" t="s">
        <v>273</v>
      </c>
      <c r="L44" s="2" t="s">
        <v>274</v>
      </c>
      <c r="M44" s="2" t="s">
        <v>469</v>
      </c>
      <c r="N44" s="2" t="s">
        <v>276</v>
      </c>
      <c r="O44" s="2" t="s">
        <v>277</v>
      </c>
      <c r="P44" s="2" t="s">
        <v>278</v>
      </c>
      <c r="Q44" s="2" t="s">
        <v>279</v>
      </c>
      <c r="R44" s="2" t="s">
        <v>280</v>
      </c>
      <c r="S44" s="2"/>
      <c r="T44" s="2" t="s">
        <v>281</v>
      </c>
      <c r="U44" s="2"/>
    </row>
    <row r="45" spans="1:21" ht="43.5" customHeight="1" x14ac:dyDescent="0.5">
      <c r="A45" s="2" t="s">
        <v>470</v>
      </c>
      <c r="B45" s="2" t="s">
        <v>88</v>
      </c>
      <c r="C45" s="2" t="s">
        <v>471</v>
      </c>
      <c r="D45" s="2" t="s">
        <v>291</v>
      </c>
      <c r="E45" s="2" t="s">
        <v>292</v>
      </c>
      <c r="F45" s="2" t="s">
        <v>293</v>
      </c>
      <c r="G45" s="5" t="s">
        <v>294</v>
      </c>
      <c r="H45" s="2" t="s">
        <v>465</v>
      </c>
      <c r="I45" s="2" t="s">
        <v>295</v>
      </c>
      <c r="J45" s="2" t="s">
        <v>272</v>
      </c>
      <c r="K45" s="2" t="s">
        <v>296</v>
      </c>
      <c r="L45" s="2" t="s">
        <v>297</v>
      </c>
      <c r="M45" s="2" t="s">
        <v>472</v>
      </c>
      <c r="N45" s="2" t="s">
        <v>299</v>
      </c>
      <c r="O45" s="2" t="s">
        <v>300</v>
      </c>
      <c r="P45" s="2" t="s">
        <v>278</v>
      </c>
      <c r="Q45" s="2" t="s">
        <v>279</v>
      </c>
      <c r="R45" s="2" t="s">
        <v>280</v>
      </c>
      <c r="S45" s="2"/>
      <c r="T45" s="2" t="s">
        <v>281</v>
      </c>
      <c r="U45" s="2"/>
    </row>
    <row r="46" spans="1:21" ht="43.5" customHeight="1" x14ac:dyDescent="0.5">
      <c r="A46" s="2" t="s">
        <v>473</v>
      </c>
      <c r="B46" s="2" t="s">
        <v>88</v>
      </c>
      <c r="C46" s="2" t="s">
        <v>474</v>
      </c>
      <c r="D46" s="2" t="s">
        <v>475</v>
      </c>
      <c r="E46" s="2" t="s">
        <v>304</v>
      </c>
      <c r="F46" s="2" t="s">
        <v>476</v>
      </c>
      <c r="G46" s="5" t="s">
        <v>306</v>
      </c>
      <c r="H46" s="2" t="s">
        <v>465</v>
      </c>
      <c r="I46" s="2" t="s">
        <v>307</v>
      </c>
      <c r="J46" s="2" t="s">
        <v>272</v>
      </c>
      <c r="K46" s="2" t="s">
        <v>296</v>
      </c>
      <c r="L46" s="2" t="s">
        <v>297</v>
      </c>
      <c r="M46" s="2" t="s">
        <v>477</v>
      </c>
      <c r="N46" s="2" t="s">
        <v>309</v>
      </c>
      <c r="O46" s="2" t="s">
        <v>310</v>
      </c>
      <c r="P46" s="2" t="s">
        <v>278</v>
      </c>
      <c r="Q46" s="2" t="s">
        <v>279</v>
      </c>
      <c r="R46" s="2" t="s">
        <v>280</v>
      </c>
      <c r="S46" s="2"/>
      <c r="T46" s="2" t="s">
        <v>281</v>
      </c>
      <c r="U46" s="2"/>
    </row>
    <row r="47" spans="1:21" ht="43.5" customHeight="1" x14ac:dyDescent="0.5">
      <c r="A47" s="2" t="s">
        <v>478</v>
      </c>
      <c r="B47" s="2" t="s">
        <v>88</v>
      </c>
      <c r="C47" s="2" t="s">
        <v>479</v>
      </c>
      <c r="D47" s="2" t="s">
        <v>480</v>
      </c>
      <c r="E47" s="2" t="s">
        <v>314</v>
      </c>
      <c r="F47" s="2" t="s">
        <v>315</v>
      </c>
      <c r="G47" s="5" t="s">
        <v>294</v>
      </c>
      <c r="H47" s="2" t="s">
        <v>465</v>
      </c>
      <c r="I47" s="2" t="s">
        <v>316</v>
      </c>
      <c r="J47" s="2" t="s">
        <v>272</v>
      </c>
      <c r="K47" s="2" t="s">
        <v>296</v>
      </c>
      <c r="L47" s="2" t="s">
        <v>297</v>
      </c>
      <c r="M47" s="2" t="s">
        <v>481</v>
      </c>
      <c r="N47" s="2" t="s">
        <v>299</v>
      </c>
      <c r="O47" s="2" t="s">
        <v>300</v>
      </c>
      <c r="P47" s="2" t="s">
        <v>278</v>
      </c>
      <c r="Q47" s="2" t="s">
        <v>279</v>
      </c>
      <c r="R47" s="2" t="s">
        <v>280</v>
      </c>
      <c r="S47" s="2"/>
      <c r="T47" s="2" t="s">
        <v>281</v>
      </c>
      <c r="U47" s="2"/>
    </row>
    <row r="48" spans="1:21" ht="43.5" customHeight="1" x14ac:dyDescent="0.5">
      <c r="A48" s="2" t="s">
        <v>482</v>
      </c>
      <c r="B48" s="2" t="s">
        <v>88</v>
      </c>
      <c r="C48" s="2" t="s">
        <v>483</v>
      </c>
      <c r="D48" s="2" t="s">
        <v>484</v>
      </c>
      <c r="E48" s="2" t="s">
        <v>458</v>
      </c>
      <c r="F48" s="2" t="s">
        <v>459</v>
      </c>
      <c r="G48" s="5" t="s">
        <v>460</v>
      </c>
      <c r="H48" s="2" t="s">
        <v>465</v>
      </c>
      <c r="I48" s="2" t="s">
        <v>461</v>
      </c>
      <c r="J48" s="2" t="s">
        <v>272</v>
      </c>
      <c r="K48" s="2" t="s">
        <v>296</v>
      </c>
      <c r="L48" s="2" t="s">
        <v>297</v>
      </c>
      <c r="M48" s="2" t="s">
        <v>485</v>
      </c>
      <c r="N48" s="2" t="s">
        <v>309</v>
      </c>
      <c r="O48" s="2" t="s">
        <v>310</v>
      </c>
      <c r="P48" s="2" t="s">
        <v>278</v>
      </c>
      <c r="Q48" s="2" t="s">
        <v>279</v>
      </c>
      <c r="R48" s="2" t="s">
        <v>280</v>
      </c>
      <c r="S48" s="2"/>
      <c r="T48" s="2" t="s">
        <v>281</v>
      </c>
      <c r="U48" s="2"/>
    </row>
    <row r="49" spans="1:21" ht="43.5" customHeight="1" x14ac:dyDescent="0.5">
      <c r="A49" s="2" t="s">
        <v>486</v>
      </c>
      <c r="B49" s="2" t="s">
        <v>88</v>
      </c>
      <c r="C49" s="2" t="s">
        <v>487</v>
      </c>
      <c r="D49" s="2" t="s">
        <v>266</v>
      </c>
      <c r="E49" s="2" t="s">
        <v>267</v>
      </c>
      <c r="F49" s="2" t="s">
        <v>488</v>
      </c>
      <c r="G49" s="4" t="s">
        <v>269</v>
      </c>
      <c r="H49" s="2" t="s">
        <v>489</v>
      </c>
      <c r="I49" s="2" t="s">
        <v>271</v>
      </c>
      <c r="J49" s="2" t="s">
        <v>272</v>
      </c>
      <c r="K49" s="2" t="s">
        <v>273</v>
      </c>
      <c r="L49" s="2" t="s">
        <v>274</v>
      </c>
      <c r="M49" s="2" t="s">
        <v>490</v>
      </c>
      <c r="N49" s="2" t="s">
        <v>276</v>
      </c>
      <c r="O49" s="2" t="s">
        <v>277</v>
      </c>
      <c r="P49" s="2" t="s">
        <v>278</v>
      </c>
      <c r="Q49" s="2" t="s">
        <v>279</v>
      </c>
      <c r="R49" s="2" t="s">
        <v>280</v>
      </c>
      <c r="S49" s="2"/>
      <c r="T49" s="2" t="s">
        <v>281</v>
      </c>
      <c r="U49" s="2"/>
    </row>
    <row r="50" spans="1:21" ht="43.5" customHeight="1" x14ac:dyDescent="0.5">
      <c r="A50" s="2" t="s">
        <v>491</v>
      </c>
      <c r="B50" s="2" t="s">
        <v>88</v>
      </c>
      <c r="C50" s="2" t="s">
        <v>492</v>
      </c>
      <c r="D50" s="2" t="s">
        <v>284</v>
      </c>
      <c r="E50" s="2" t="s">
        <v>285</v>
      </c>
      <c r="F50" s="2" t="s">
        <v>493</v>
      </c>
      <c r="G50" s="4" t="s">
        <v>269</v>
      </c>
      <c r="H50" s="2" t="s">
        <v>489</v>
      </c>
      <c r="I50" s="2" t="s">
        <v>287</v>
      </c>
      <c r="J50" s="2" t="s">
        <v>272</v>
      </c>
      <c r="K50" s="2" t="s">
        <v>273</v>
      </c>
      <c r="L50" s="2" t="s">
        <v>274</v>
      </c>
      <c r="M50" s="2" t="s">
        <v>494</v>
      </c>
      <c r="N50" s="2" t="s">
        <v>276</v>
      </c>
      <c r="O50" s="2" t="s">
        <v>277</v>
      </c>
      <c r="P50" s="2" t="s">
        <v>278</v>
      </c>
      <c r="Q50" s="2" t="s">
        <v>279</v>
      </c>
      <c r="R50" s="2" t="s">
        <v>280</v>
      </c>
      <c r="S50" s="2"/>
      <c r="T50" s="2" t="s">
        <v>281</v>
      </c>
      <c r="U50" s="2"/>
    </row>
    <row r="51" spans="1:21" ht="43.5" customHeight="1" x14ac:dyDescent="0.5">
      <c r="A51" s="2" t="s">
        <v>495</v>
      </c>
      <c r="B51" s="2" t="s">
        <v>88</v>
      </c>
      <c r="C51" s="2" t="s">
        <v>496</v>
      </c>
      <c r="D51" s="2" t="s">
        <v>291</v>
      </c>
      <c r="E51" s="2" t="s">
        <v>292</v>
      </c>
      <c r="F51" s="2" t="s">
        <v>293</v>
      </c>
      <c r="G51" s="5" t="s">
        <v>294</v>
      </c>
      <c r="H51" s="2" t="s">
        <v>489</v>
      </c>
      <c r="I51" s="2" t="s">
        <v>295</v>
      </c>
      <c r="J51" s="2" t="s">
        <v>272</v>
      </c>
      <c r="K51" s="2" t="s">
        <v>296</v>
      </c>
      <c r="L51" s="2" t="s">
        <v>297</v>
      </c>
      <c r="M51" s="2" t="s">
        <v>497</v>
      </c>
      <c r="N51" s="2" t="s">
        <v>299</v>
      </c>
      <c r="O51" s="2" t="s">
        <v>300</v>
      </c>
      <c r="P51" s="2" t="s">
        <v>278</v>
      </c>
      <c r="Q51" s="2" t="s">
        <v>279</v>
      </c>
      <c r="R51" s="2" t="s">
        <v>280</v>
      </c>
      <c r="S51" s="2"/>
      <c r="T51" s="2" t="s">
        <v>281</v>
      </c>
      <c r="U51" s="2"/>
    </row>
    <row r="52" spans="1:21" ht="43.5" customHeight="1" x14ac:dyDescent="0.5">
      <c r="A52" s="2" t="s">
        <v>498</v>
      </c>
      <c r="B52" s="2" t="s">
        <v>88</v>
      </c>
      <c r="C52" s="2" t="s">
        <v>499</v>
      </c>
      <c r="D52" s="2" t="s">
        <v>500</v>
      </c>
      <c r="E52" s="2" t="s">
        <v>304</v>
      </c>
      <c r="F52" s="2" t="s">
        <v>501</v>
      </c>
      <c r="G52" s="5" t="s">
        <v>306</v>
      </c>
      <c r="H52" s="2" t="s">
        <v>489</v>
      </c>
      <c r="I52" s="2" t="s">
        <v>307</v>
      </c>
      <c r="J52" s="2" t="s">
        <v>272</v>
      </c>
      <c r="K52" s="2" t="s">
        <v>296</v>
      </c>
      <c r="L52" s="2" t="s">
        <v>297</v>
      </c>
      <c r="M52" s="2" t="s">
        <v>502</v>
      </c>
      <c r="N52" s="2" t="s">
        <v>309</v>
      </c>
      <c r="O52" s="2" t="s">
        <v>310</v>
      </c>
      <c r="P52" s="2" t="s">
        <v>278</v>
      </c>
      <c r="Q52" s="2" t="s">
        <v>279</v>
      </c>
      <c r="R52" s="2" t="s">
        <v>280</v>
      </c>
      <c r="S52" s="2"/>
      <c r="T52" s="2" t="s">
        <v>281</v>
      </c>
      <c r="U52" s="2"/>
    </row>
    <row r="53" spans="1:21" ht="43.5" customHeight="1" x14ac:dyDescent="0.5">
      <c r="A53" s="2" t="s">
        <v>503</v>
      </c>
      <c r="B53" s="2" t="s">
        <v>88</v>
      </c>
      <c r="C53" s="2" t="s">
        <v>504</v>
      </c>
      <c r="D53" s="2" t="s">
        <v>505</v>
      </c>
      <c r="E53" s="2" t="s">
        <v>314</v>
      </c>
      <c r="F53" s="2" t="s">
        <v>315</v>
      </c>
      <c r="G53" s="5" t="s">
        <v>294</v>
      </c>
      <c r="H53" s="2" t="s">
        <v>489</v>
      </c>
      <c r="I53" s="2" t="s">
        <v>316</v>
      </c>
      <c r="J53" s="2" t="s">
        <v>272</v>
      </c>
      <c r="K53" s="2" t="s">
        <v>296</v>
      </c>
      <c r="L53" s="2" t="s">
        <v>297</v>
      </c>
      <c r="M53" s="2" t="s">
        <v>506</v>
      </c>
      <c r="N53" s="2" t="s">
        <v>299</v>
      </c>
      <c r="O53" s="2" t="s">
        <v>300</v>
      </c>
      <c r="P53" s="2" t="s">
        <v>278</v>
      </c>
      <c r="Q53" s="2" t="s">
        <v>279</v>
      </c>
      <c r="R53" s="2" t="s">
        <v>280</v>
      </c>
      <c r="S53" s="2"/>
      <c r="T53" s="2" t="s">
        <v>281</v>
      </c>
      <c r="U53" s="2"/>
    </row>
    <row r="54" spans="1:21" ht="43.5" customHeight="1" x14ac:dyDescent="0.5">
      <c r="A54" s="2" t="s">
        <v>507</v>
      </c>
      <c r="B54" s="2" t="s">
        <v>88</v>
      </c>
      <c r="C54" s="2" t="s">
        <v>508</v>
      </c>
      <c r="D54" s="2" t="s">
        <v>509</v>
      </c>
      <c r="E54" s="2" t="s">
        <v>458</v>
      </c>
      <c r="F54" s="2" t="s">
        <v>459</v>
      </c>
      <c r="G54" s="5" t="s">
        <v>460</v>
      </c>
      <c r="H54" s="2" t="s">
        <v>489</v>
      </c>
      <c r="I54" s="2" t="s">
        <v>461</v>
      </c>
      <c r="J54" s="2" t="s">
        <v>272</v>
      </c>
      <c r="K54" s="2" t="s">
        <v>296</v>
      </c>
      <c r="L54" s="2" t="s">
        <v>297</v>
      </c>
      <c r="M54" s="2" t="s">
        <v>510</v>
      </c>
      <c r="N54" s="2" t="s">
        <v>309</v>
      </c>
      <c r="O54" s="2" t="s">
        <v>310</v>
      </c>
      <c r="P54" s="2" t="s">
        <v>278</v>
      </c>
      <c r="Q54" s="2" t="s">
        <v>279</v>
      </c>
      <c r="R54" s="2" t="s">
        <v>280</v>
      </c>
      <c r="S54" s="2"/>
      <c r="T54" s="2" t="s">
        <v>281</v>
      </c>
      <c r="U54" s="2"/>
    </row>
    <row r="55" spans="1:21" ht="43.5" customHeight="1" x14ac:dyDescent="0.5">
      <c r="A55" s="2" t="s">
        <v>511</v>
      </c>
      <c r="B55" s="2" t="s">
        <v>90</v>
      </c>
      <c r="C55" s="2" t="s">
        <v>512</v>
      </c>
      <c r="D55" s="2" t="s">
        <v>266</v>
      </c>
      <c r="E55" s="2" t="s">
        <v>320</v>
      </c>
      <c r="F55" s="2" t="s">
        <v>436</v>
      </c>
      <c r="G55" s="4" t="s">
        <v>269</v>
      </c>
      <c r="H55" s="2" t="s">
        <v>513</v>
      </c>
      <c r="I55" s="2" t="s">
        <v>271</v>
      </c>
      <c r="J55" s="2" t="s">
        <v>272</v>
      </c>
      <c r="K55" s="2" t="s">
        <v>273</v>
      </c>
      <c r="L55" s="2" t="s">
        <v>274</v>
      </c>
      <c r="M55" s="2" t="s">
        <v>514</v>
      </c>
      <c r="N55" s="2" t="s">
        <v>276</v>
      </c>
      <c r="O55" s="2" t="s">
        <v>277</v>
      </c>
      <c r="P55" s="2" t="s">
        <v>278</v>
      </c>
      <c r="Q55" s="2" t="s">
        <v>279</v>
      </c>
      <c r="R55" s="2" t="s">
        <v>280</v>
      </c>
      <c r="S55" s="2"/>
      <c r="T55" s="2" t="s">
        <v>281</v>
      </c>
      <c r="U55" s="2"/>
    </row>
    <row r="56" spans="1:21" ht="43.5" customHeight="1" x14ac:dyDescent="0.5">
      <c r="A56" s="2" t="s">
        <v>515</v>
      </c>
      <c r="B56" s="2" t="s">
        <v>90</v>
      </c>
      <c r="C56" s="2" t="s">
        <v>516</v>
      </c>
      <c r="D56" s="2" t="s">
        <v>284</v>
      </c>
      <c r="E56" s="2" t="s">
        <v>285</v>
      </c>
      <c r="F56" s="2" t="s">
        <v>441</v>
      </c>
      <c r="G56" s="4" t="s">
        <v>269</v>
      </c>
      <c r="H56" s="2" t="s">
        <v>513</v>
      </c>
      <c r="I56" s="2" t="s">
        <v>287</v>
      </c>
      <c r="J56" s="2" t="s">
        <v>272</v>
      </c>
      <c r="K56" s="2" t="s">
        <v>273</v>
      </c>
      <c r="L56" s="2" t="s">
        <v>274</v>
      </c>
      <c r="M56" s="2" t="s">
        <v>517</v>
      </c>
      <c r="N56" s="2" t="s">
        <v>276</v>
      </c>
      <c r="O56" s="2" t="s">
        <v>277</v>
      </c>
      <c r="P56" s="2" t="s">
        <v>278</v>
      </c>
      <c r="Q56" s="2" t="s">
        <v>279</v>
      </c>
      <c r="R56" s="2" t="s">
        <v>280</v>
      </c>
      <c r="S56" s="2"/>
      <c r="T56" s="2" t="s">
        <v>281</v>
      </c>
      <c r="U56" s="2"/>
    </row>
    <row r="57" spans="1:21" ht="43.5" customHeight="1" x14ac:dyDescent="0.5">
      <c r="A57" s="2" t="s">
        <v>518</v>
      </c>
      <c r="B57" s="2" t="s">
        <v>90</v>
      </c>
      <c r="C57" s="2" t="s">
        <v>519</v>
      </c>
      <c r="D57" s="2" t="s">
        <v>291</v>
      </c>
      <c r="E57" s="2" t="s">
        <v>292</v>
      </c>
      <c r="F57" s="2" t="s">
        <v>293</v>
      </c>
      <c r="G57" s="5" t="s">
        <v>294</v>
      </c>
      <c r="H57" s="2" t="s">
        <v>513</v>
      </c>
      <c r="I57" s="2" t="s">
        <v>295</v>
      </c>
      <c r="J57" s="2" t="s">
        <v>272</v>
      </c>
      <c r="K57" s="2" t="s">
        <v>296</v>
      </c>
      <c r="L57" s="2" t="s">
        <v>297</v>
      </c>
      <c r="M57" s="2" t="s">
        <v>520</v>
      </c>
      <c r="N57" s="2" t="s">
        <v>299</v>
      </c>
      <c r="O57" s="2" t="s">
        <v>300</v>
      </c>
      <c r="P57" s="2" t="s">
        <v>278</v>
      </c>
      <c r="Q57" s="2" t="s">
        <v>279</v>
      </c>
      <c r="R57" s="2" t="s">
        <v>280</v>
      </c>
      <c r="S57" s="2"/>
      <c r="T57" s="2" t="s">
        <v>281</v>
      </c>
      <c r="U57" s="2"/>
    </row>
    <row r="58" spans="1:21" ht="43.5" customHeight="1" x14ac:dyDescent="0.5">
      <c r="A58" s="2" t="s">
        <v>521</v>
      </c>
      <c r="B58" s="2" t="s">
        <v>90</v>
      </c>
      <c r="C58" s="2" t="s">
        <v>522</v>
      </c>
      <c r="D58" s="2" t="s">
        <v>523</v>
      </c>
      <c r="E58" s="2" t="s">
        <v>304</v>
      </c>
      <c r="F58" s="2" t="s">
        <v>524</v>
      </c>
      <c r="G58" s="5" t="s">
        <v>306</v>
      </c>
      <c r="H58" s="2" t="s">
        <v>513</v>
      </c>
      <c r="I58" s="2" t="s">
        <v>307</v>
      </c>
      <c r="J58" s="2" t="s">
        <v>272</v>
      </c>
      <c r="K58" s="2" t="s">
        <v>296</v>
      </c>
      <c r="L58" s="2" t="s">
        <v>297</v>
      </c>
      <c r="M58" s="2" t="s">
        <v>525</v>
      </c>
      <c r="N58" s="2" t="s">
        <v>309</v>
      </c>
      <c r="O58" s="2" t="s">
        <v>310</v>
      </c>
      <c r="P58" s="2" t="s">
        <v>278</v>
      </c>
      <c r="Q58" s="2" t="s">
        <v>279</v>
      </c>
      <c r="R58" s="2" t="s">
        <v>280</v>
      </c>
      <c r="S58" s="2"/>
      <c r="T58" s="2" t="s">
        <v>281</v>
      </c>
      <c r="U58" s="2"/>
    </row>
    <row r="59" spans="1:21" ht="43.5" customHeight="1" x14ac:dyDescent="0.5">
      <c r="A59" s="2" t="s">
        <v>526</v>
      </c>
      <c r="B59" s="2" t="s">
        <v>90</v>
      </c>
      <c r="C59" s="2" t="s">
        <v>527</v>
      </c>
      <c r="D59" s="2" t="s">
        <v>528</v>
      </c>
      <c r="E59" s="2" t="s">
        <v>359</v>
      </c>
      <c r="F59" s="2" t="s">
        <v>360</v>
      </c>
      <c r="G59" s="5" t="s">
        <v>294</v>
      </c>
      <c r="H59" s="2" t="s">
        <v>513</v>
      </c>
      <c r="I59" s="2" t="s">
        <v>361</v>
      </c>
      <c r="J59" s="2" t="s">
        <v>272</v>
      </c>
      <c r="K59" s="2" t="s">
        <v>296</v>
      </c>
      <c r="L59" s="2" t="s">
        <v>297</v>
      </c>
      <c r="M59" s="2" t="s">
        <v>529</v>
      </c>
      <c r="N59" s="2" t="s">
        <v>299</v>
      </c>
      <c r="O59" s="2" t="s">
        <v>300</v>
      </c>
      <c r="P59" s="2" t="s">
        <v>278</v>
      </c>
      <c r="Q59" s="2" t="s">
        <v>279</v>
      </c>
      <c r="R59" s="2" t="s">
        <v>280</v>
      </c>
      <c r="S59" s="2"/>
      <c r="T59" s="2" t="s">
        <v>281</v>
      </c>
      <c r="U59" s="2"/>
    </row>
    <row r="60" spans="1:21" ht="43.5" customHeight="1" x14ac:dyDescent="0.5">
      <c r="A60" s="2" t="s">
        <v>530</v>
      </c>
      <c r="B60" s="2" t="s">
        <v>90</v>
      </c>
      <c r="C60" s="2" t="s">
        <v>531</v>
      </c>
      <c r="D60" s="2" t="s">
        <v>457</v>
      </c>
      <c r="E60" s="2" t="s">
        <v>458</v>
      </c>
      <c r="F60" s="2" t="s">
        <v>459</v>
      </c>
      <c r="G60" s="5" t="s">
        <v>460</v>
      </c>
      <c r="H60" s="2" t="s">
        <v>513</v>
      </c>
      <c r="I60" s="2" t="s">
        <v>461</v>
      </c>
      <c r="J60" s="2" t="s">
        <v>272</v>
      </c>
      <c r="K60" s="2" t="s">
        <v>296</v>
      </c>
      <c r="L60" s="2" t="s">
        <v>297</v>
      </c>
      <c r="M60" s="2" t="s">
        <v>532</v>
      </c>
      <c r="N60" s="2" t="s">
        <v>309</v>
      </c>
      <c r="O60" s="2" t="s">
        <v>310</v>
      </c>
      <c r="P60" s="2" t="s">
        <v>278</v>
      </c>
      <c r="Q60" s="2" t="s">
        <v>279</v>
      </c>
      <c r="R60" s="2" t="s">
        <v>280</v>
      </c>
      <c r="S60" s="2"/>
      <c r="T60" s="2" t="s">
        <v>281</v>
      </c>
      <c r="U60" s="2"/>
    </row>
    <row r="61" spans="1:21" ht="43.5" customHeight="1" x14ac:dyDescent="0.5">
      <c r="A61" s="2" t="s">
        <v>533</v>
      </c>
      <c r="B61" s="2" t="s">
        <v>90</v>
      </c>
      <c r="C61" s="2" t="s">
        <v>534</v>
      </c>
      <c r="D61" s="2" t="s">
        <v>266</v>
      </c>
      <c r="E61" s="2" t="s">
        <v>320</v>
      </c>
      <c r="F61" s="2" t="s">
        <v>341</v>
      </c>
      <c r="G61" s="4" t="s">
        <v>269</v>
      </c>
      <c r="H61" s="2" t="s">
        <v>535</v>
      </c>
      <c r="I61" s="2" t="s">
        <v>271</v>
      </c>
      <c r="J61" s="2" t="s">
        <v>272</v>
      </c>
      <c r="K61" s="2" t="s">
        <v>273</v>
      </c>
      <c r="L61" s="2" t="s">
        <v>274</v>
      </c>
      <c r="M61" s="2" t="s">
        <v>536</v>
      </c>
      <c r="N61" s="2" t="s">
        <v>276</v>
      </c>
      <c r="O61" s="2" t="s">
        <v>277</v>
      </c>
      <c r="P61" s="2" t="s">
        <v>278</v>
      </c>
      <c r="Q61" s="2" t="s">
        <v>279</v>
      </c>
      <c r="R61" s="2" t="s">
        <v>280</v>
      </c>
      <c r="S61" s="2"/>
      <c r="T61" s="2" t="s">
        <v>281</v>
      </c>
      <c r="U61" s="2"/>
    </row>
    <row r="62" spans="1:21" ht="43.5" customHeight="1" x14ac:dyDescent="0.5">
      <c r="A62" s="2" t="s">
        <v>537</v>
      </c>
      <c r="B62" s="2" t="s">
        <v>90</v>
      </c>
      <c r="C62" s="2" t="s">
        <v>538</v>
      </c>
      <c r="D62" s="2" t="s">
        <v>284</v>
      </c>
      <c r="E62" s="2" t="s">
        <v>285</v>
      </c>
      <c r="F62" s="2" t="s">
        <v>346</v>
      </c>
      <c r="G62" s="4" t="s">
        <v>269</v>
      </c>
      <c r="H62" s="2" t="s">
        <v>535</v>
      </c>
      <c r="I62" s="2" t="s">
        <v>287</v>
      </c>
      <c r="J62" s="2" t="s">
        <v>272</v>
      </c>
      <c r="K62" s="2" t="s">
        <v>273</v>
      </c>
      <c r="L62" s="2" t="s">
        <v>274</v>
      </c>
      <c r="M62" s="2" t="s">
        <v>539</v>
      </c>
      <c r="N62" s="2" t="s">
        <v>276</v>
      </c>
      <c r="O62" s="2" t="s">
        <v>277</v>
      </c>
      <c r="P62" s="2" t="s">
        <v>278</v>
      </c>
      <c r="Q62" s="2" t="s">
        <v>279</v>
      </c>
      <c r="R62" s="2" t="s">
        <v>280</v>
      </c>
      <c r="S62" s="2"/>
      <c r="T62" s="2" t="s">
        <v>281</v>
      </c>
      <c r="U62" s="2"/>
    </row>
    <row r="63" spans="1:21" ht="43.5" customHeight="1" x14ac:dyDescent="0.5">
      <c r="A63" s="2" t="s">
        <v>540</v>
      </c>
      <c r="B63" s="2" t="s">
        <v>90</v>
      </c>
      <c r="C63" s="2" t="s">
        <v>541</v>
      </c>
      <c r="D63" s="2" t="s">
        <v>291</v>
      </c>
      <c r="E63" s="2" t="s">
        <v>292</v>
      </c>
      <c r="F63" s="2" t="s">
        <v>293</v>
      </c>
      <c r="G63" s="5" t="s">
        <v>294</v>
      </c>
      <c r="H63" s="2" t="s">
        <v>535</v>
      </c>
      <c r="I63" s="2" t="s">
        <v>295</v>
      </c>
      <c r="J63" s="2" t="s">
        <v>272</v>
      </c>
      <c r="K63" s="2" t="s">
        <v>296</v>
      </c>
      <c r="L63" s="2" t="s">
        <v>297</v>
      </c>
      <c r="M63" s="2" t="s">
        <v>542</v>
      </c>
      <c r="N63" s="2" t="s">
        <v>299</v>
      </c>
      <c r="O63" s="2" t="s">
        <v>300</v>
      </c>
      <c r="P63" s="2" t="s">
        <v>278</v>
      </c>
      <c r="Q63" s="2" t="s">
        <v>279</v>
      </c>
      <c r="R63" s="2" t="s">
        <v>280</v>
      </c>
      <c r="S63" s="2"/>
      <c r="T63" s="2" t="s">
        <v>281</v>
      </c>
      <c r="U63" s="2"/>
    </row>
    <row r="64" spans="1:21" ht="43.5" customHeight="1" x14ac:dyDescent="0.5">
      <c r="A64" s="2" t="s">
        <v>543</v>
      </c>
      <c r="B64" s="2" t="s">
        <v>90</v>
      </c>
      <c r="C64" s="2" t="s">
        <v>544</v>
      </c>
      <c r="D64" s="2" t="s">
        <v>353</v>
      </c>
      <c r="E64" s="2" t="s">
        <v>304</v>
      </c>
      <c r="F64" s="2" t="s">
        <v>354</v>
      </c>
      <c r="G64" s="5" t="s">
        <v>306</v>
      </c>
      <c r="H64" s="2" t="s">
        <v>535</v>
      </c>
      <c r="I64" s="2" t="s">
        <v>307</v>
      </c>
      <c r="J64" s="2" t="s">
        <v>272</v>
      </c>
      <c r="K64" s="2" t="s">
        <v>296</v>
      </c>
      <c r="L64" s="2" t="s">
        <v>297</v>
      </c>
      <c r="M64" s="2" t="s">
        <v>545</v>
      </c>
      <c r="N64" s="2" t="s">
        <v>309</v>
      </c>
      <c r="O64" s="2" t="s">
        <v>310</v>
      </c>
      <c r="P64" s="2" t="s">
        <v>278</v>
      </c>
      <c r="Q64" s="2" t="s">
        <v>279</v>
      </c>
      <c r="R64" s="2" t="s">
        <v>280</v>
      </c>
      <c r="S64" s="2"/>
      <c r="T64" s="2" t="s">
        <v>281</v>
      </c>
      <c r="U64" s="2"/>
    </row>
    <row r="65" spans="1:21" ht="43.5" customHeight="1" x14ac:dyDescent="0.5">
      <c r="A65" s="2" t="s">
        <v>546</v>
      </c>
      <c r="B65" s="2" t="s">
        <v>90</v>
      </c>
      <c r="C65" s="2" t="s">
        <v>547</v>
      </c>
      <c r="D65" s="2" t="s">
        <v>358</v>
      </c>
      <c r="E65" s="2" t="s">
        <v>359</v>
      </c>
      <c r="F65" s="2" t="s">
        <v>360</v>
      </c>
      <c r="G65" s="5" t="s">
        <v>294</v>
      </c>
      <c r="H65" s="2" t="s">
        <v>535</v>
      </c>
      <c r="I65" s="2" t="s">
        <v>361</v>
      </c>
      <c r="J65" s="2" t="s">
        <v>272</v>
      </c>
      <c r="K65" s="2" t="s">
        <v>296</v>
      </c>
      <c r="L65" s="2" t="s">
        <v>297</v>
      </c>
      <c r="M65" s="2" t="s">
        <v>548</v>
      </c>
      <c r="N65" s="2" t="s">
        <v>299</v>
      </c>
      <c r="O65" s="2" t="s">
        <v>300</v>
      </c>
      <c r="P65" s="2" t="s">
        <v>278</v>
      </c>
      <c r="Q65" s="2" t="s">
        <v>279</v>
      </c>
      <c r="R65" s="2" t="s">
        <v>280</v>
      </c>
      <c r="S65" s="2"/>
      <c r="T65" s="2" t="s">
        <v>281</v>
      </c>
      <c r="U65" s="2"/>
    </row>
    <row r="66" spans="1:21" ht="43.5" customHeight="1" x14ac:dyDescent="0.5">
      <c r="A66" s="2" t="s">
        <v>549</v>
      </c>
      <c r="B66" s="2" t="s">
        <v>90</v>
      </c>
      <c r="C66" s="2" t="s">
        <v>550</v>
      </c>
      <c r="D66" s="2" t="s">
        <v>551</v>
      </c>
      <c r="E66" s="2" t="s">
        <v>458</v>
      </c>
      <c r="F66" s="2" t="s">
        <v>459</v>
      </c>
      <c r="G66" s="5" t="s">
        <v>460</v>
      </c>
      <c r="H66" s="2" t="s">
        <v>535</v>
      </c>
      <c r="I66" s="2" t="s">
        <v>461</v>
      </c>
      <c r="J66" s="2" t="s">
        <v>272</v>
      </c>
      <c r="K66" s="2" t="s">
        <v>296</v>
      </c>
      <c r="L66" s="2" t="s">
        <v>297</v>
      </c>
      <c r="M66" s="2" t="s">
        <v>552</v>
      </c>
      <c r="N66" s="2" t="s">
        <v>309</v>
      </c>
      <c r="O66" s="2" t="s">
        <v>310</v>
      </c>
      <c r="P66" s="2" t="s">
        <v>278</v>
      </c>
      <c r="Q66" s="2" t="s">
        <v>279</v>
      </c>
      <c r="R66" s="2" t="s">
        <v>280</v>
      </c>
      <c r="S66" s="2"/>
      <c r="T66" s="2" t="s">
        <v>281</v>
      </c>
      <c r="U66" s="2"/>
    </row>
    <row r="67" spans="1:21" ht="43.5" customHeight="1" x14ac:dyDescent="0.5">
      <c r="A67" s="2" t="s">
        <v>553</v>
      </c>
      <c r="B67" s="2" t="s">
        <v>90</v>
      </c>
      <c r="C67" s="2" t="s">
        <v>554</v>
      </c>
      <c r="D67" s="2" t="s">
        <v>266</v>
      </c>
      <c r="E67" s="2" t="s">
        <v>320</v>
      </c>
      <c r="F67" s="2" t="s">
        <v>389</v>
      </c>
      <c r="G67" s="4" t="s">
        <v>269</v>
      </c>
      <c r="H67" s="2" t="s">
        <v>535</v>
      </c>
      <c r="I67" s="2" t="s">
        <v>271</v>
      </c>
      <c r="J67" s="2" t="s">
        <v>272</v>
      </c>
      <c r="K67" s="2" t="s">
        <v>273</v>
      </c>
      <c r="L67" s="2" t="s">
        <v>274</v>
      </c>
      <c r="M67" s="2" t="s">
        <v>555</v>
      </c>
      <c r="N67" s="2" t="s">
        <v>276</v>
      </c>
      <c r="O67" s="2" t="s">
        <v>277</v>
      </c>
      <c r="P67" s="2" t="s">
        <v>278</v>
      </c>
      <c r="Q67" s="2" t="s">
        <v>279</v>
      </c>
      <c r="R67" s="2" t="s">
        <v>280</v>
      </c>
      <c r="S67" s="2"/>
      <c r="T67" s="2" t="s">
        <v>281</v>
      </c>
      <c r="U67" s="2"/>
    </row>
    <row r="68" spans="1:21" ht="43.5" customHeight="1" x14ac:dyDescent="0.5">
      <c r="A68" s="2" t="s">
        <v>556</v>
      </c>
      <c r="B68" s="2" t="s">
        <v>90</v>
      </c>
      <c r="C68" s="2" t="s">
        <v>557</v>
      </c>
      <c r="D68" s="2" t="s">
        <v>284</v>
      </c>
      <c r="E68" s="2" t="s">
        <v>285</v>
      </c>
      <c r="F68" s="2" t="s">
        <v>394</v>
      </c>
      <c r="G68" s="4" t="s">
        <v>269</v>
      </c>
      <c r="H68" s="2" t="s">
        <v>535</v>
      </c>
      <c r="I68" s="2" t="s">
        <v>287</v>
      </c>
      <c r="J68" s="2" t="s">
        <v>272</v>
      </c>
      <c r="K68" s="2" t="s">
        <v>273</v>
      </c>
      <c r="L68" s="2" t="s">
        <v>274</v>
      </c>
      <c r="M68" s="2" t="s">
        <v>558</v>
      </c>
      <c r="N68" s="2" t="s">
        <v>276</v>
      </c>
      <c r="O68" s="2" t="s">
        <v>277</v>
      </c>
      <c r="P68" s="2" t="s">
        <v>278</v>
      </c>
      <c r="Q68" s="2" t="s">
        <v>279</v>
      </c>
      <c r="R68" s="2" t="s">
        <v>280</v>
      </c>
      <c r="S68" s="2"/>
      <c r="T68" s="2" t="s">
        <v>281</v>
      </c>
      <c r="U68" s="2"/>
    </row>
    <row r="69" spans="1:21" ht="43.5" customHeight="1" x14ac:dyDescent="0.5">
      <c r="A69" s="2" t="s">
        <v>559</v>
      </c>
      <c r="B69" s="2" t="s">
        <v>90</v>
      </c>
      <c r="C69" s="2" t="s">
        <v>560</v>
      </c>
      <c r="D69" s="2" t="s">
        <v>291</v>
      </c>
      <c r="E69" s="2" t="s">
        <v>292</v>
      </c>
      <c r="F69" s="2" t="s">
        <v>293</v>
      </c>
      <c r="G69" s="5" t="s">
        <v>294</v>
      </c>
      <c r="H69" s="2" t="s">
        <v>535</v>
      </c>
      <c r="I69" s="2" t="s">
        <v>295</v>
      </c>
      <c r="J69" s="2" t="s">
        <v>272</v>
      </c>
      <c r="K69" s="2" t="s">
        <v>296</v>
      </c>
      <c r="L69" s="2" t="s">
        <v>297</v>
      </c>
      <c r="M69" s="2" t="s">
        <v>561</v>
      </c>
      <c r="N69" s="2" t="s">
        <v>299</v>
      </c>
      <c r="O69" s="2" t="s">
        <v>300</v>
      </c>
      <c r="P69" s="2" t="s">
        <v>278</v>
      </c>
      <c r="Q69" s="2" t="s">
        <v>279</v>
      </c>
      <c r="R69" s="2" t="s">
        <v>280</v>
      </c>
      <c r="S69" s="2"/>
      <c r="T69" s="2" t="s">
        <v>281</v>
      </c>
      <c r="U69" s="2"/>
    </row>
    <row r="70" spans="1:21" ht="43.5" customHeight="1" x14ac:dyDescent="0.5">
      <c r="A70" s="2" t="s">
        <v>562</v>
      </c>
      <c r="B70" s="2" t="s">
        <v>90</v>
      </c>
      <c r="C70" s="2" t="s">
        <v>563</v>
      </c>
      <c r="D70" s="2" t="s">
        <v>406</v>
      </c>
      <c r="E70" s="2" t="s">
        <v>304</v>
      </c>
      <c r="F70" s="2" t="s">
        <v>407</v>
      </c>
      <c r="G70" s="5" t="s">
        <v>306</v>
      </c>
      <c r="H70" s="2" t="s">
        <v>535</v>
      </c>
      <c r="I70" s="2" t="s">
        <v>307</v>
      </c>
      <c r="J70" s="2" t="s">
        <v>272</v>
      </c>
      <c r="K70" s="2" t="s">
        <v>296</v>
      </c>
      <c r="L70" s="2" t="s">
        <v>297</v>
      </c>
      <c r="M70" s="2" t="s">
        <v>564</v>
      </c>
      <c r="N70" s="2" t="s">
        <v>309</v>
      </c>
      <c r="O70" s="2" t="s">
        <v>310</v>
      </c>
      <c r="P70" s="2" t="s">
        <v>278</v>
      </c>
      <c r="Q70" s="2" t="s">
        <v>279</v>
      </c>
      <c r="R70" s="2" t="s">
        <v>280</v>
      </c>
      <c r="S70" s="2"/>
      <c r="T70" s="2" t="s">
        <v>281</v>
      </c>
      <c r="U70" s="2"/>
    </row>
    <row r="71" spans="1:21" ht="43.5" customHeight="1" x14ac:dyDescent="0.5">
      <c r="A71" s="2" t="s">
        <v>565</v>
      </c>
      <c r="B71" s="2" t="s">
        <v>90</v>
      </c>
      <c r="C71" s="2" t="s">
        <v>566</v>
      </c>
      <c r="D71" s="2" t="s">
        <v>411</v>
      </c>
      <c r="E71" s="2" t="s">
        <v>359</v>
      </c>
      <c r="F71" s="2" t="s">
        <v>360</v>
      </c>
      <c r="G71" s="5" t="s">
        <v>294</v>
      </c>
      <c r="H71" s="2" t="s">
        <v>535</v>
      </c>
      <c r="I71" s="2" t="s">
        <v>361</v>
      </c>
      <c r="J71" s="2" t="s">
        <v>272</v>
      </c>
      <c r="K71" s="2" t="s">
        <v>296</v>
      </c>
      <c r="L71" s="2" t="s">
        <v>297</v>
      </c>
      <c r="M71" s="2" t="s">
        <v>567</v>
      </c>
      <c r="N71" s="2" t="s">
        <v>299</v>
      </c>
      <c r="O71" s="2" t="s">
        <v>300</v>
      </c>
      <c r="P71" s="2" t="s">
        <v>278</v>
      </c>
      <c r="Q71" s="2" t="s">
        <v>279</v>
      </c>
      <c r="R71" s="2" t="s">
        <v>280</v>
      </c>
      <c r="S71" s="2"/>
      <c r="T71" s="2" t="s">
        <v>281</v>
      </c>
      <c r="U71" s="2"/>
    </row>
    <row r="72" spans="1:21" ht="43.5" customHeight="1" x14ac:dyDescent="0.5">
      <c r="A72" s="2" t="s">
        <v>568</v>
      </c>
      <c r="B72" s="2" t="s">
        <v>90</v>
      </c>
      <c r="C72" s="2" t="s">
        <v>569</v>
      </c>
      <c r="D72" s="2" t="s">
        <v>484</v>
      </c>
      <c r="E72" s="2" t="s">
        <v>458</v>
      </c>
      <c r="F72" s="2" t="s">
        <v>459</v>
      </c>
      <c r="G72" s="5" t="s">
        <v>460</v>
      </c>
      <c r="H72" s="2" t="s">
        <v>535</v>
      </c>
      <c r="I72" s="2" t="s">
        <v>461</v>
      </c>
      <c r="J72" s="2" t="s">
        <v>272</v>
      </c>
      <c r="K72" s="2" t="s">
        <v>296</v>
      </c>
      <c r="L72" s="2" t="s">
        <v>297</v>
      </c>
      <c r="M72" s="2" t="s">
        <v>570</v>
      </c>
      <c r="N72" s="2" t="s">
        <v>309</v>
      </c>
      <c r="O72" s="2" t="s">
        <v>310</v>
      </c>
      <c r="P72" s="2" t="s">
        <v>278</v>
      </c>
      <c r="Q72" s="2" t="s">
        <v>279</v>
      </c>
      <c r="R72" s="2" t="s">
        <v>280</v>
      </c>
      <c r="S72" s="2"/>
      <c r="T72" s="2" t="s">
        <v>281</v>
      </c>
      <c r="U72" s="2"/>
    </row>
    <row r="73" spans="1:21" ht="43.5" customHeight="1" x14ac:dyDescent="0.5">
      <c r="A73" s="2" t="s">
        <v>571</v>
      </c>
      <c r="B73" s="2" t="s">
        <v>90</v>
      </c>
      <c r="C73" s="2" t="s">
        <v>572</v>
      </c>
      <c r="D73" s="2" t="s">
        <v>266</v>
      </c>
      <c r="E73" s="2" t="s">
        <v>320</v>
      </c>
      <c r="F73" s="2" t="s">
        <v>573</v>
      </c>
      <c r="G73" s="4" t="s">
        <v>269</v>
      </c>
      <c r="H73" s="2" t="s">
        <v>535</v>
      </c>
      <c r="I73" s="2" t="s">
        <v>271</v>
      </c>
      <c r="J73" s="2" t="s">
        <v>272</v>
      </c>
      <c r="K73" s="2" t="s">
        <v>273</v>
      </c>
      <c r="L73" s="2" t="s">
        <v>274</v>
      </c>
      <c r="M73" s="2" t="s">
        <v>574</v>
      </c>
      <c r="N73" s="2" t="s">
        <v>276</v>
      </c>
      <c r="O73" s="2" t="s">
        <v>277</v>
      </c>
      <c r="P73" s="2" t="s">
        <v>278</v>
      </c>
      <c r="Q73" s="2" t="s">
        <v>279</v>
      </c>
      <c r="R73" s="2" t="s">
        <v>280</v>
      </c>
      <c r="S73" s="2"/>
      <c r="T73" s="2" t="s">
        <v>281</v>
      </c>
      <c r="U73" s="2"/>
    </row>
    <row r="74" spans="1:21" ht="43.5" customHeight="1" x14ac:dyDescent="0.5">
      <c r="A74" s="2" t="s">
        <v>575</v>
      </c>
      <c r="B74" s="2" t="s">
        <v>90</v>
      </c>
      <c r="C74" s="2" t="s">
        <v>576</v>
      </c>
      <c r="D74" s="2" t="s">
        <v>284</v>
      </c>
      <c r="E74" s="2" t="s">
        <v>285</v>
      </c>
      <c r="F74" s="2" t="s">
        <v>577</v>
      </c>
      <c r="G74" s="4" t="s">
        <v>269</v>
      </c>
      <c r="H74" s="2" t="s">
        <v>535</v>
      </c>
      <c r="I74" s="2" t="s">
        <v>287</v>
      </c>
      <c r="J74" s="2" t="s">
        <v>272</v>
      </c>
      <c r="K74" s="2" t="s">
        <v>273</v>
      </c>
      <c r="L74" s="2" t="s">
        <v>274</v>
      </c>
      <c r="M74" s="2" t="s">
        <v>578</v>
      </c>
      <c r="N74" s="2" t="s">
        <v>276</v>
      </c>
      <c r="O74" s="2" t="s">
        <v>277</v>
      </c>
      <c r="P74" s="2" t="s">
        <v>278</v>
      </c>
      <c r="Q74" s="2" t="s">
        <v>279</v>
      </c>
      <c r="R74" s="2" t="s">
        <v>280</v>
      </c>
      <c r="S74" s="2"/>
      <c r="T74" s="2" t="s">
        <v>281</v>
      </c>
      <c r="U74" s="2"/>
    </row>
    <row r="75" spans="1:21" ht="43.5" customHeight="1" x14ac:dyDescent="0.5">
      <c r="A75" s="2" t="s">
        <v>579</v>
      </c>
      <c r="B75" s="2" t="s">
        <v>90</v>
      </c>
      <c r="C75" s="2" t="s">
        <v>580</v>
      </c>
      <c r="D75" s="2" t="s">
        <v>291</v>
      </c>
      <c r="E75" s="2" t="s">
        <v>292</v>
      </c>
      <c r="F75" s="2" t="s">
        <v>293</v>
      </c>
      <c r="G75" s="5" t="s">
        <v>294</v>
      </c>
      <c r="H75" s="2" t="s">
        <v>535</v>
      </c>
      <c r="I75" s="2" t="s">
        <v>295</v>
      </c>
      <c r="J75" s="2" t="s">
        <v>272</v>
      </c>
      <c r="K75" s="2" t="s">
        <v>296</v>
      </c>
      <c r="L75" s="2" t="s">
        <v>297</v>
      </c>
      <c r="M75" s="2" t="s">
        <v>581</v>
      </c>
      <c r="N75" s="2" t="s">
        <v>299</v>
      </c>
      <c r="O75" s="2" t="s">
        <v>300</v>
      </c>
      <c r="P75" s="2" t="s">
        <v>278</v>
      </c>
      <c r="Q75" s="2" t="s">
        <v>279</v>
      </c>
      <c r="R75" s="2" t="s">
        <v>280</v>
      </c>
      <c r="S75" s="2"/>
      <c r="T75" s="2" t="s">
        <v>281</v>
      </c>
      <c r="U75" s="2"/>
    </row>
    <row r="76" spans="1:21" ht="43.5" customHeight="1" x14ac:dyDescent="0.5">
      <c r="A76" s="2" t="s">
        <v>582</v>
      </c>
      <c r="B76" s="2" t="s">
        <v>90</v>
      </c>
      <c r="C76" s="2" t="s">
        <v>583</v>
      </c>
      <c r="D76" s="2" t="s">
        <v>584</v>
      </c>
      <c r="E76" s="2" t="s">
        <v>304</v>
      </c>
      <c r="F76" s="2" t="s">
        <v>585</v>
      </c>
      <c r="G76" s="5" t="s">
        <v>306</v>
      </c>
      <c r="H76" s="2" t="s">
        <v>535</v>
      </c>
      <c r="I76" s="2" t="s">
        <v>307</v>
      </c>
      <c r="J76" s="2" t="s">
        <v>272</v>
      </c>
      <c r="K76" s="2" t="s">
        <v>296</v>
      </c>
      <c r="L76" s="2" t="s">
        <v>297</v>
      </c>
      <c r="M76" s="2" t="s">
        <v>586</v>
      </c>
      <c r="N76" s="2" t="s">
        <v>309</v>
      </c>
      <c r="O76" s="2" t="s">
        <v>310</v>
      </c>
      <c r="P76" s="2" t="s">
        <v>278</v>
      </c>
      <c r="Q76" s="2" t="s">
        <v>279</v>
      </c>
      <c r="R76" s="2" t="s">
        <v>280</v>
      </c>
      <c r="S76" s="2"/>
      <c r="T76" s="2" t="s">
        <v>281</v>
      </c>
      <c r="U76" s="2"/>
    </row>
    <row r="77" spans="1:21" ht="43.5" customHeight="1" x14ac:dyDescent="0.5">
      <c r="A77" s="2" t="s">
        <v>587</v>
      </c>
      <c r="B77" s="2" t="s">
        <v>90</v>
      </c>
      <c r="C77" s="2" t="s">
        <v>588</v>
      </c>
      <c r="D77" s="2" t="s">
        <v>589</v>
      </c>
      <c r="E77" s="2" t="s">
        <v>359</v>
      </c>
      <c r="F77" s="2" t="s">
        <v>360</v>
      </c>
      <c r="G77" s="5" t="s">
        <v>294</v>
      </c>
      <c r="H77" s="2" t="s">
        <v>535</v>
      </c>
      <c r="I77" s="2" t="s">
        <v>361</v>
      </c>
      <c r="J77" s="2" t="s">
        <v>272</v>
      </c>
      <c r="K77" s="2" t="s">
        <v>296</v>
      </c>
      <c r="L77" s="2" t="s">
        <v>297</v>
      </c>
      <c r="M77" s="2" t="s">
        <v>590</v>
      </c>
      <c r="N77" s="2" t="s">
        <v>299</v>
      </c>
      <c r="O77" s="2" t="s">
        <v>300</v>
      </c>
      <c r="P77" s="2" t="s">
        <v>278</v>
      </c>
      <c r="Q77" s="2" t="s">
        <v>279</v>
      </c>
      <c r="R77" s="2" t="s">
        <v>280</v>
      </c>
      <c r="S77" s="2"/>
      <c r="T77" s="2" t="s">
        <v>281</v>
      </c>
      <c r="U77" s="2"/>
    </row>
    <row r="78" spans="1:21" ht="43.5" customHeight="1" x14ac:dyDescent="0.5">
      <c r="A78" s="2" t="s">
        <v>591</v>
      </c>
      <c r="B78" s="2" t="s">
        <v>90</v>
      </c>
      <c r="C78" s="2" t="s">
        <v>592</v>
      </c>
      <c r="D78" s="2" t="s">
        <v>593</v>
      </c>
      <c r="E78" s="2" t="s">
        <v>458</v>
      </c>
      <c r="F78" s="2" t="s">
        <v>459</v>
      </c>
      <c r="G78" s="5" t="s">
        <v>460</v>
      </c>
      <c r="H78" s="2" t="s">
        <v>535</v>
      </c>
      <c r="I78" s="2" t="s">
        <v>461</v>
      </c>
      <c r="J78" s="2" t="s">
        <v>272</v>
      </c>
      <c r="K78" s="2" t="s">
        <v>296</v>
      </c>
      <c r="L78" s="2" t="s">
        <v>297</v>
      </c>
      <c r="M78" s="2" t="s">
        <v>594</v>
      </c>
      <c r="N78" s="2" t="s">
        <v>309</v>
      </c>
      <c r="O78" s="2" t="s">
        <v>310</v>
      </c>
      <c r="P78" s="2" t="s">
        <v>278</v>
      </c>
      <c r="Q78" s="2" t="s">
        <v>279</v>
      </c>
      <c r="R78" s="2" t="s">
        <v>280</v>
      </c>
      <c r="S78" s="2"/>
      <c r="T78" s="2" t="s">
        <v>281</v>
      </c>
      <c r="U78" s="2"/>
    </row>
    <row r="79" spans="1:21" ht="43.5" customHeight="1" x14ac:dyDescent="0.5">
      <c r="A79" s="2" t="s">
        <v>595</v>
      </c>
      <c r="B79" s="2" t="s">
        <v>90</v>
      </c>
      <c r="C79" s="2" t="s">
        <v>596</v>
      </c>
      <c r="D79" s="2" t="s">
        <v>266</v>
      </c>
      <c r="E79" s="2" t="s">
        <v>267</v>
      </c>
      <c r="F79" s="2" t="s">
        <v>597</v>
      </c>
      <c r="G79" s="4" t="s">
        <v>269</v>
      </c>
      <c r="H79" s="2" t="s">
        <v>598</v>
      </c>
      <c r="I79" s="2" t="s">
        <v>271</v>
      </c>
      <c r="J79" s="2" t="s">
        <v>272</v>
      </c>
      <c r="K79" s="2" t="s">
        <v>273</v>
      </c>
      <c r="L79" s="2" t="s">
        <v>274</v>
      </c>
      <c r="M79" s="2" t="s">
        <v>599</v>
      </c>
      <c r="N79" s="2" t="s">
        <v>276</v>
      </c>
      <c r="O79" s="2" t="s">
        <v>277</v>
      </c>
      <c r="P79" s="2" t="s">
        <v>278</v>
      </c>
      <c r="Q79" s="2" t="s">
        <v>279</v>
      </c>
      <c r="R79" s="2" t="s">
        <v>280</v>
      </c>
      <c r="S79" s="2"/>
      <c r="T79" s="2" t="s">
        <v>281</v>
      </c>
      <c r="U79" s="2"/>
    </row>
    <row r="80" spans="1:21" ht="43.5" customHeight="1" x14ac:dyDescent="0.5">
      <c r="A80" s="2" t="s">
        <v>600</v>
      </c>
      <c r="B80" s="2" t="s">
        <v>90</v>
      </c>
      <c r="C80" s="2" t="s">
        <v>601</v>
      </c>
      <c r="D80" s="2" t="s">
        <v>284</v>
      </c>
      <c r="E80" s="2" t="s">
        <v>285</v>
      </c>
      <c r="F80" s="2" t="s">
        <v>602</v>
      </c>
      <c r="G80" s="4" t="s">
        <v>269</v>
      </c>
      <c r="H80" s="2" t="s">
        <v>598</v>
      </c>
      <c r="I80" s="2" t="s">
        <v>287</v>
      </c>
      <c r="J80" s="2" t="s">
        <v>272</v>
      </c>
      <c r="K80" s="2" t="s">
        <v>273</v>
      </c>
      <c r="L80" s="2" t="s">
        <v>274</v>
      </c>
      <c r="M80" s="2" t="s">
        <v>603</v>
      </c>
      <c r="N80" s="2" t="s">
        <v>276</v>
      </c>
      <c r="O80" s="2" t="s">
        <v>277</v>
      </c>
      <c r="P80" s="2" t="s">
        <v>278</v>
      </c>
      <c r="Q80" s="2" t="s">
        <v>279</v>
      </c>
      <c r="R80" s="2" t="s">
        <v>280</v>
      </c>
      <c r="S80" s="2"/>
      <c r="T80" s="2" t="s">
        <v>281</v>
      </c>
      <c r="U80" s="2"/>
    </row>
    <row r="81" spans="1:21" ht="43.5" customHeight="1" x14ac:dyDescent="0.5">
      <c r="A81" s="2" t="s">
        <v>604</v>
      </c>
      <c r="B81" s="2" t="s">
        <v>90</v>
      </c>
      <c r="C81" s="2" t="s">
        <v>605</v>
      </c>
      <c r="D81" s="2" t="s">
        <v>291</v>
      </c>
      <c r="E81" s="2" t="s">
        <v>292</v>
      </c>
      <c r="F81" s="2" t="s">
        <v>293</v>
      </c>
      <c r="G81" s="5" t="s">
        <v>294</v>
      </c>
      <c r="H81" s="2" t="s">
        <v>598</v>
      </c>
      <c r="I81" s="2" t="s">
        <v>295</v>
      </c>
      <c r="J81" s="2" t="s">
        <v>272</v>
      </c>
      <c r="K81" s="2" t="s">
        <v>296</v>
      </c>
      <c r="L81" s="2" t="s">
        <v>297</v>
      </c>
      <c r="M81" s="2" t="s">
        <v>606</v>
      </c>
      <c r="N81" s="2" t="s">
        <v>299</v>
      </c>
      <c r="O81" s="2" t="s">
        <v>300</v>
      </c>
      <c r="P81" s="2" t="s">
        <v>278</v>
      </c>
      <c r="Q81" s="2" t="s">
        <v>279</v>
      </c>
      <c r="R81" s="2" t="s">
        <v>280</v>
      </c>
      <c r="S81" s="2"/>
      <c r="T81" s="2" t="s">
        <v>281</v>
      </c>
      <c r="U81" s="2"/>
    </row>
    <row r="82" spans="1:21" ht="43.5" customHeight="1" x14ac:dyDescent="0.5">
      <c r="A82" s="2" t="s">
        <v>607</v>
      </c>
      <c r="B82" s="2" t="s">
        <v>90</v>
      </c>
      <c r="C82" s="2" t="s">
        <v>608</v>
      </c>
      <c r="D82" s="2" t="s">
        <v>609</v>
      </c>
      <c r="E82" s="2" t="s">
        <v>304</v>
      </c>
      <c r="F82" s="2" t="s">
        <v>610</v>
      </c>
      <c r="G82" s="5" t="s">
        <v>306</v>
      </c>
      <c r="H82" s="2" t="s">
        <v>598</v>
      </c>
      <c r="I82" s="2" t="s">
        <v>307</v>
      </c>
      <c r="J82" s="2" t="s">
        <v>272</v>
      </c>
      <c r="K82" s="2" t="s">
        <v>296</v>
      </c>
      <c r="L82" s="2" t="s">
        <v>297</v>
      </c>
      <c r="M82" s="2" t="s">
        <v>611</v>
      </c>
      <c r="N82" s="2" t="s">
        <v>309</v>
      </c>
      <c r="O82" s="2" t="s">
        <v>310</v>
      </c>
      <c r="P82" s="2" t="s">
        <v>278</v>
      </c>
      <c r="Q82" s="2" t="s">
        <v>279</v>
      </c>
      <c r="R82" s="2" t="s">
        <v>280</v>
      </c>
      <c r="S82" s="2"/>
      <c r="T82" s="2" t="s">
        <v>281</v>
      </c>
      <c r="U82" s="2"/>
    </row>
    <row r="83" spans="1:21" ht="43.5" customHeight="1" x14ac:dyDescent="0.5">
      <c r="A83" s="2" t="s">
        <v>612</v>
      </c>
      <c r="B83" s="2" t="s">
        <v>90</v>
      </c>
      <c r="C83" s="2" t="s">
        <v>613</v>
      </c>
      <c r="D83" s="2" t="s">
        <v>614</v>
      </c>
      <c r="E83" s="2" t="s">
        <v>359</v>
      </c>
      <c r="F83" s="2" t="s">
        <v>360</v>
      </c>
      <c r="G83" s="5" t="s">
        <v>294</v>
      </c>
      <c r="H83" s="2" t="s">
        <v>598</v>
      </c>
      <c r="I83" s="2" t="s">
        <v>361</v>
      </c>
      <c r="J83" s="2" t="s">
        <v>272</v>
      </c>
      <c r="K83" s="2" t="s">
        <v>296</v>
      </c>
      <c r="L83" s="2" t="s">
        <v>297</v>
      </c>
      <c r="M83" s="2" t="s">
        <v>615</v>
      </c>
      <c r="N83" s="2" t="s">
        <v>299</v>
      </c>
      <c r="O83" s="2" t="s">
        <v>300</v>
      </c>
      <c r="P83" s="2" t="s">
        <v>278</v>
      </c>
      <c r="Q83" s="2" t="s">
        <v>279</v>
      </c>
      <c r="R83" s="2" t="s">
        <v>280</v>
      </c>
      <c r="S83" s="2"/>
      <c r="T83" s="2" t="s">
        <v>281</v>
      </c>
      <c r="U83" s="2"/>
    </row>
    <row r="84" spans="1:21" ht="43.5" customHeight="1" x14ac:dyDescent="0.5">
      <c r="A84" s="2" t="s">
        <v>616</v>
      </c>
      <c r="B84" s="2" t="s">
        <v>90</v>
      </c>
      <c r="C84" s="2" t="s">
        <v>617</v>
      </c>
      <c r="D84" s="2" t="s">
        <v>618</v>
      </c>
      <c r="E84" s="2" t="s">
        <v>458</v>
      </c>
      <c r="F84" s="2" t="s">
        <v>459</v>
      </c>
      <c r="G84" s="5" t="s">
        <v>460</v>
      </c>
      <c r="H84" s="2" t="s">
        <v>598</v>
      </c>
      <c r="I84" s="2" t="s">
        <v>461</v>
      </c>
      <c r="J84" s="2" t="s">
        <v>272</v>
      </c>
      <c r="K84" s="2" t="s">
        <v>296</v>
      </c>
      <c r="L84" s="2" t="s">
        <v>297</v>
      </c>
      <c r="M84" s="2" t="s">
        <v>619</v>
      </c>
      <c r="N84" s="2" t="s">
        <v>309</v>
      </c>
      <c r="O84" s="2" t="s">
        <v>310</v>
      </c>
      <c r="P84" s="2" t="s">
        <v>278</v>
      </c>
      <c r="Q84" s="2" t="s">
        <v>279</v>
      </c>
      <c r="R84" s="2" t="s">
        <v>280</v>
      </c>
      <c r="S84" s="2"/>
      <c r="T84" s="2" t="s">
        <v>281</v>
      </c>
      <c r="U84" s="2"/>
    </row>
    <row r="85" spans="1:21" ht="43.5" customHeight="1" x14ac:dyDescent="0.5">
      <c r="A85" s="2" t="s">
        <v>620</v>
      </c>
      <c r="B85" s="2" t="s">
        <v>93</v>
      </c>
      <c r="C85" s="2" t="s">
        <v>512</v>
      </c>
      <c r="D85" s="2" t="s">
        <v>266</v>
      </c>
      <c r="E85" s="2" t="s">
        <v>320</v>
      </c>
      <c r="F85" s="2" t="s">
        <v>436</v>
      </c>
      <c r="G85" s="4" t="s">
        <v>269</v>
      </c>
      <c r="H85" s="2" t="s">
        <v>621</v>
      </c>
      <c r="I85" s="2" t="s">
        <v>271</v>
      </c>
      <c r="J85" s="2" t="s">
        <v>272</v>
      </c>
      <c r="K85" s="2" t="s">
        <v>273</v>
      </c>
      <c r="L85" s="2" t="s">
        <v>274</v>
      </c>
      <c r="M85" s="2" t="s">
        <v>622</v>
      </c>
      <c r="N85" s="2" t="s">
        <v>276</v>
      </c>
      <c r="O85" s="2" t="s">
        <v>277</v>
      </c>
      <c r="P85" s="2" t="s">
        <v>278</v>
      </c>
      <c r="Q85" s="2" t="s">
        <v>279</v>
      </c>
      <c r="R85" s="2" t="s">
        <v>280</v>
      </c>
      <c r="S85" s="2"/>
      <c r="T85" s="2" t="s">
        <v>281</v>
      </c>
      <c r="U85" s="2"/>
    </row>
    <row r="86" spans="1:21" ht="43.5" customHeight="1" x14ac:dyDescent="0.5">
      <c r="A86" s="2" t="s">
        <v>623</v>
      </c>
      <c r="B86" s="2" t="s">
        <v>93</v>
      </c>
      <c r="C86" s="2" t="s">
        <v>516</v>
      </c>
      <c r="D86" s="2" t="s">
        <v>284</v>
      </c>
      <c r="E86" s="2" t="s">
        <v>285</v>
      </c>
      <c r="F86" s="2" t="s">
        <v>441</v>
      </c>
      <c r="G86" s="4" t="s">
        <v>269</v>
      </c>
      <c r="H86" s="2" t="s">
        <v>621</v>
      </c>
      <c r="I86" s="2" t="s">
        <v>287</v>
      </c>
      <c r="J86" s="2" t="s">
        <v>272</v>
      </c>
      <c r="K86" s="2" t="s">
        <v>273</v>
      </c>
      <c r="L86" s="2" t="s">
        <v>274</v>
      </c>
      <c r="M86" s="2" t="s">
        <v>624</v>
      </c>
      <c r="N86" s="2" t="s">
        <v>276</v>
      </c>
      <c r="O86" s="2" t="s">
        <v>277</v>
      </c>
      <c r="P86" s="2" t="s">
        <v>278</v>
      </c>
      <c r="Q86" s="2" t="s">
        <v>279</v>
      </c>
      <c r="R86" s="2" t="s">
        <v>280</v>
      </c>
      <c r="S86" s="2"/>
      <c r="T86" s="2" t="s">
        <v>281</v>
      </c>
      <c r="U86" s="2"/>
    </row>
    <row r="87" spans="1:21" ht="43.5" customHeight="1" x14ac:dyDescent="0.5">
      <c r="A87" s="2" t="s">
        <v>625</v>
      </c>
      <c r="B87" s="2" t="s">
        <v>93</v>
      </c>
      <c r="C87" s="2" t="s">
        <v>519</v>
      </c>
      <c r="D87" s="2" t="s">
        <v>291</v>
      </c>
      <c r="E87" s="2" t="s">
        <v>292</v>
      </c>
      <c r="F87" s="2" t="s">
        <v>293</v>
      </c>
      <c r="G87" s="5" t="s">
        <v>294</v>
      </c>
      <c r="H87" s="2" t="s">
        <v>621</v>
      </c>
      <c r="I87" s="2" t="s">
        <v>295</v>
      </c>
      <c r="J87" s="2" t="s">
        <v>272</v>
      </c>
      <c r="K87" s="2" t="s">
        <v>296</v>
      </c>
      <c r="L87" s="2" t="s">
        <v>297</v>
      </c>
      <c r="M87" s="2" t="s">
        <v>626</v>
      </c>
      <c r="N87" s="2" t="s">
        <v>299</v>
      </c>
      <c r="O87" s="2" t="s">
        <v>300</v>
      </c>
      <c r="P87" s="2" t="s">
        <v>278</v>
      </c>
      <c r="Q87" s="2" t="s">
        <v>279</v>
      </c>
      <c r="R87" s="2" t="s">
        <v>280</v>
      </c>
      <c r="S87" s="2"/>
      <c r="T87" s="2" t="s">
        <v>281</v>
      </c>
      <c r="U87" s="2"/>
    </row>
    <row r="88" spans="1:21" ht="43.5" customHeight="1" x14ac:dyDescent="0.5">
      <c r="A88" s="2" t="s">
        <v>627</v>
      </c>
      <c r="B88" s="2" t="s">
        <v>93</v>
      </c>
      <c r="C88" s="2" t="s">
        <v>522</v>
      </c>
      <c r="D88" s="2" t="s">
        <v>523</v>
      </c>
      <c r="E88" s="2" t="s">
        <v>304</v>
      </c>
      <c r="F88" s="2" t="s">
        <v>524</v>
      </c>
      <c r="G88" s="5" t="s">
        <v>306</v>
      </c>
      <c r="H88" s="2" t="s">
        <v>621</v>
      </c>
      <c r="I88" s="2" t="s">
        <v>307</v>
      </c>
      <c r="J88" s="2" t="s">
        <v>272</v>
      </c>
      <c r="K88" s="2" t="s">
        <v>296</v>
      </c>
      <c r="L88" s="2" t="s">
        <v>297</v>
      </c>
      <c r="M88" s="2" t="s">
        <v>628</v>
      </c>
      <c r="N88" s="2" t="s">
        <v>309</v>
      </c>
      <c r="O88" s="2" t="s">
        <v>310</v>
      </c>
      <c r="P88" s="2" t="s">
        <v>278</v>
      </c>
      <c r="Q88" s="2" t="s">
        <v>279</v>
      </c>
      <c r="R88" s="2" t="s">
        <v>280</v>
      </c>
      <c r="S88" s="2"/>
      <c r="T88" s="2" t="s">
        <v>281</v>
      </c>
      <c r="U88" s="2"/>
    </row>
    <row r="89" spans="1:21" ht="43.5" customHeight="1" x14ac:dyDescent="0.5">
      <c r="A89" s="2" t="s">
        <v>629</v>
      </c>
      <c r="B89" s="2" t="s">
        <v>93</v>
      </c>
      <c r="C89" s="2" t="s">
        <v>527</v>
      </c>
      <c r="D89" s="2" t="s">
        <v>528</v>
      </c>
      <c r="E89" s="2" t="s">
        <v>359</v>
      </c>
      <c r="F89" s="2" t="s">
        <v>360</v>
      </c>
      <c r="G89" s="5" t="s">
        <v>294</v>
      </c>
      <c r="H89" s="2" t="s">
        <v>621</v>
      </c>
      <c r="I89" s="2" t="s">
        <v>361</v>
      </c>
      <c r="J89" s="2" t="s">
        <v>272</v>
      </c>
      <c r="K89" s="2" t="s">
        <v>296</v>
      </c>
      <c r="L89" s="2" t="s">
        <v>297</v>
      </c>
      <c r="M89" s="2" t="s">
        <v>630</v>
      </c>
      <c r="N89" s="2" t="s">
        <v>299</v>
      </c>
      <c r="O89" s="2" t="s">
        <v>300</v>
      </c>
      <c r="P89" s="2" t="s">
        <v>278</v>
      </c>
      <c r="Q89" s="2" t="s">
        <v>279</v>
      </c>
      <c r="R89" s="2" t="s">
        <v>280</v>
      </c>
      <c r="S89" s="2"/>
      <c r="T89" s="2" t="s">
        <v>281</v>
      </c>
      <c r="U89" s="2"/>
    </row>
    <row r="90" spans="1:21" ht="43.5" customHeight="1" x14ac:dyDescent="0.5">
      <c r="A90" s="2" t="s">
        <v>631</v>
      </c>
      <c r="B90" s="2" t="s">
        <v>93</v>
      </c>
      <c r="C90" s="2" t="s">
        <v>531</v>
      </c>
      <c r="D90" s="2" t="s">
        <v>457</v>
      </c>
      <c r="E90" s="2" t="s">
        <v>458</v>
      </c>
      <c r="F90" s="2" t="s">
        <v>459</v>
      </c>
      <c r="G90" s="5" t="s">
        <v>460</v>
      </c>
      <c r="H90" s="2" t="s">
        <v>621</v>
      </c>
      <c r="I90" s="2" t="s">
        <v>461</v>
      </c>
      <c r="J90" s="2" t="s">
        <v>272</v>
      </c>
      <c r="K90" s="2" t="s">
        <v>296</v>
      </c>
      <c r="L90" s="2" t="s">
        <v>297</v>
      </c>
      <c r="M90" s="2" t="s">
        <v>632</v>
      </c>
      <c r="N90" s="2" t="s">
        <v>309</v>
      </c>
      <c r="O90" s="2" t="s">
        <v>310</v>
      </c>
      <c r="P90" s="2" t="s">
        <v>278</v>
      </c>
      <c r="Q90" s="2" t="s">
        <v>279</v>
      </c>
      <c r="R90" s="2" t="s">
        <v>280</v>
      </c>
      <c r="S90" s="2"/>
      <c r="T90" s="2" t="s">
        <v>281</v>
      </c>
      <c r="U90" s="2"/>
    </row>
    <row r="91" spans="1:21" ht="43.5" customHeight="1" x14ac:dyDescent="0.5">
      <c r="A91" s="2" t="s">
        <v>633</v>
      </c>
      <c r="B91" s="2" t="s">
        <v>93</v>
      </c>
      <c r="C91" s="2" t="s">
        <v>534</v>
      </c>
      <c r="D91" s="2" t="s">
        <v>266</v>
      </c>
      <c r="E91" s="2" t="s">
        <v>320</v>
      </c>
      <c r="F91" s="2" t="s">
        <v>341</v>
      </c>
      <c r="G91" s="4" t="s">
        <v>269</v>
      </c>
      <c r="H91" s="2" t="s">
        <v>634</v>
      </c>
      <c r="I91" s="2" t="s">
        <v>271</v>
      </c>
      <c r="J91" s="2" t="s">
        <v>272</v>
      </c>
      <c r="K91" s="2" t="s">
        <v>273</v>
      </c>
      <c r="L91" s="2" t="s">
        <v>274</v>
      </c>
      <c r="M91" s="2" t="s">
        <v>635</v>
      </c>
      <c r="N91" s="2" t="s">
        <v>276</v>
      </c>
      <c r="O91" s="2" t="s">
        <v>277</v>
      </c>
      <c r="P91" s="2" t="s">
        <v>278</v>
      </c>
      <c r="Q91" s="2" t="s">
        <v>279</v>
      </c>
      <c r="R91" s="2" t="s">
        <v>280</v>
      </c>
      <c r="S91" s="2"/>
      <c r="T91" s="2" t="s">
        <v>281</v>
      </c>
      <c r="U91" s="2"/>
    </row>
    <row r="92" spans="1:21" ht="43.5" customHeight="1" x14ac:dyDescent="0.5">
      <c r="A92" s="2" t="s">
        <v>636</v>
      </c>
      <c r="B92" s="2" t="s">
        <v>93</v>
      </c>
      <c r="C92" s="2" t="s">
        <v>538</v>
      </c>
      <c r="D92" s="2" t="s">
        <v>284</v>
      </c>
      <c r="E92" s="2" t="s">
        <v>285</v>
      </c>
      <c r="F92" s="2" t="s">
        <v>346</v>
      </c>
      <c r="G92" s="4" t="s">
        <v>269</v>
      </c>
      <c r="H92" s="2" t="s">
        <v>634</v>
      </c>
      <c r="I92" s="2" t="s">
        <v>287</v>
      </c>
      <c r="J92" s="2" t="s">
        <v>272</v>
      </c>
      <c r="K92" s="2" t="s">
        <v>273</v>
      </c>
      <c r="L92" s="2" t="s">
        <v>274</v>
      </c>
      <c r="M92" s="2" t="s">
        <v>637</v>
      </c>
      <c r="N92" s="2" t="s">
        <v>276</v>
      </c>
      <c r="O92" s="2" t="s">
        <v>277</v>
      </c>
      <c r="P92" s="2" t="s">
        <v>278</v>
      </c>
      <c r="Q92" s="2" t="s">
        <v>279</v>
      </c>
      <c r="R92" s="2" t="s">
        <v>280</v>
      </c>
      <c r="S92" s="2"/>
      <c r="T92" s="2" t="s">
        <v>281</v>
      </c>
      <c r="U92" s="2"/>
    </row>
    <row r="93" spans="1:21" ht="43.5" customHeight="1" x14ac:dyDescent="0.5">
      <c r="A93" s="2" t="s">
        <v>638</v>
      </c>
      <c r="B93" s="2" t="s">
        <v>93</v>
      </c>
      <c r="C93" s="2" t="s">
        <v>541</v>
      </c>
      <c r="D93" s="2" t="s">
        <v>291</v>
      </c>
      <c r="E93" s="2" t="s">
        <v>292</v>
      </c>
      <c r="F93" s="2" t="s">
        <v>293</v>
      </c>
      <c r="G93" s="5" t="s">
        <v>294</v>
      </c>
      <c r="H93" s="2" t="s">
        <v>634</v>
      </c>
      <c r="I93" s="2" t="s">
        <v>295</v>
      </c>
      <c r="J93" s="2" t="s">
        <v>272</v>
      </c>
      <c r="K93" s="2" t="s">
        <v>296</v>
      </c>
      <c r="L93" s="2" t="s">
        <v>297</v>
      </c>
      <c r="M93" s="2" t="s">
        <v>639</v>
      </c>
      <c r="N93" s="2" t="s">
        <v>299</v>
      </c>
      <c r="O93" s="2" t="s">
        <v>300</v>
      </c>
      <c r="P93" s="2" t="s">
        <v>278</v>
      </c>
      <c r="Q93" s="2" t="s">
        <v>279</v>
      </c>
      <c r="R93" s="2" t="s">
        <v>280</v>
      </c>
      <c r="S93" s="2"/>
      <c r="T93" s="2" t="s">
        <v>281</v>
      </c>
      <c r="U93" s="2"/>
    </row>
    <row r="94" spans="1:21" ht="43.5" customHeight="1" x14ac:dyDescent="0.5">
      <c r="A94" s="2" t="s">
        <v>640</v>
      </c>
      <c r="B94" s="2" t="s">
        <v>93</v>
      </c>
      <c r="C94" s="2" t="s">
        <v>544</v>
      </c>
      <c r="D94" s="2" t="s">
        <v>353</v>
      </c>
      <c r="E94" s="2" t="s">
        <v>304</v>
      </c>
      <c r="F94" s="2" t="s">
        <v>354</v>
      </c>
      <c r="G94" s="5" t="s">
        <v>306</v>
      </c>
      <c r="H94" s="2" t="s">
        <v>634</v>
      </c>
      <c r="I94" s="2" t="s">
        <v>307</v>
      </c>
      <c r="J94" s="2" t="s">
        <v>272</v>
      </c>
      <c r="K94" s="2" t="s">
        <v>296</v>
      </c>
      <c r="L94" s="2" t="s">
        <v>297</v>
      </c>
      <c r="M94" s="2" t="s">
        <v>641</v>
      </c>
      <c r="N94" s="2" t="s">
        <v>309</v>
      </c>
      <c r="O94" s="2" t="s">
        <v>310</v>
      </c>
      <c r="P94" s="2" t="s">
        <v>278</v>
      </c>
      <c r="Q94" s="2" t="s">
        <v>279</v>
      </c>
      <c r="R94" s="2" t="s">
        <v>280</v>
      </c>
      <c r="S94" s="2"/>
      <c r="T94" s="2" t="s">
        <v>281</v>
      </c>
      <c r="U94" s="2"/>
    </row>
    <row r="95" spans="1:21" ht="43.5" customHeight="1" x14ac:dyDescent="0.5">
      <c r="A95" s="2" t="s">
        <v>642</v>
      </c>
      <c r="B95" s="2" t="s">
        <v>93</v>
      </c>
      <c r="C95" s="2" t="s">
        <v>547</v>
      </c>
      <c r="D95" s="2" t="s">
        <v>358</v>
      </c>
      <c r="E95" s="2" t="s">
        <v>359</v>
      </c>
      <c r="F95" s="2" t="s">
        <v>360</v>
      </c>
      <c r="G95" s="5" t="s">
        <v>294</v>
      </c>
      <c r="H95" s="2" t="s">
        <v>634</v>
      </c>
      <c r="I95" s="2" t="s">
        <v>361</v>
      </c>
      <c r="J95" s="2" t="s">
        <v>272</v>
      </c>
      <c r="K95" s="2" t="s">
        <v>296</v>
      </c>
      <c r="L95" s="2" t="s">
        <v>297</v>
      </c>
      <c r="M95" s="2" t="s">
        <v>643</v>
      </c>
      <c r="N95" s="2" t="s">
        <v>299</v>
      </c>
      <c r="O95" s="2" t="s">
        <v>300</v>
      </c>
      <c r="P95" s="2" t="s">
        <v>278</v>
      </c>
      <c r="Q95" s="2" t="s">
        <v>279</v>
      </c>
      <c r="R95" s="2" t="s">
        <v>280</v>
      </c>
      <c r="S95" s="2"/>
      <c r="T95" s="2" t="s">
        <v>281</v>
      </c>
      <c r="U95" s="2"/>
    </row>
    <row r="96" spans="1:21" ht="43.5" customHeight="1" x14ac:dyDescent="0.5">
      <c r="A96" s="2" t="s">
        <v>644</v>
      </c>
      <c r="B96" s="2" t="s">
        <v>93</v>
      </c>
      <c r="C96" s="2" t="s">
        <v>550</v>
      </c>
      <c r="D96" s="2" t="s">
        <v>551</v>
      </c>
      <c r="E96" s="2" t="s">
        <v>458</v>
      </c>
      <c r="F96" s="2" t="s">
        <v>459</v>
      </c>
      <c r="G96" s="5" t="s">
        <v>460</v>
      </c>
      <c r="H96" s="2" t="s">
        <v>634</v>
      </c>
      <c r="I96" s="2" t="s">
        <v>461</v>
      </c>
      <c r="J96" s="2" t="s">
        <v>272</v>
      </c>
      <c r="K96" s="2" t="s">
        <v>296</v>
      </c>
      <c r="L96" s="2" t="s">
        <v>297</v>
      </c>
      <c r="M96" s="2" t="s">
        <v>645</v>
      </c>
      <c r="N96" s="2" t="s">
        <v>309</v>
      </c>
      <c r="O96" s="2" t="s">
        <v>310</v>
      </c>
      <c r="P96" s="2" t="s">
        <v>278</v>
      </c>
      <c r="Q96" s="2" t="s">
        <v>279</v>
      </c>
      <c r="R96" s="2" t="s">
        <v>280</v>
      </c>
      <c r="S96" s="2"/>
      <c r="T96" s="2" t="s">
        <v>281</v>
      </c>
      <c r="U96" s="2"/>
    </row>
    <row r="97" spans="1:21" ht="43.5" customHeight="1" x14ac:dyDescent="0.5">
      <c r="A97" s="2" t="s">
        <v>646</v>
      </c>
      <c r="B97" s="2" t="s">
        <v>93</v>
      </c>
      <c r="C97" s="2" t="s">
        <v>554</v>
      </c>
      <c r="D97" s="2" t="s">
        <v>266</v>
      </c>
      <c r="E97" s="2" t="s">
        <v>320</v>
      </c>
      <c r="F97" s="2" t="s">
        <v>389</v>
      </c>
      <c r="G97" s="4" t="s">
        <v>269</v>
      </c>
      <c r="H97" s="2" t="s">
        <v>647</v>
      </c>
      <c r="I97" s="2" t="s">
        <v>271</v>
      </c>
      <c r="J97" s="2" t="s">
        <v>272</v>
      </c>
      <c r="K97" s="2" t="s">
        <v>273</v>
      </c>
      <c r="L97" s="2" t="s">
        <v>274</v>
      </c>
      <c r="M97" s="2" t="s">
        <v>648</v>
      </c>
      <c r="N97" s="2" t="s">
        <v>276</v>
      </c>
      <c r="O97" s="2" t="s">
        <v>277</v>
      </c>
      <c r="P97" s="2" t="s">
        <v>278</v>
      </c>
      <c r="Q97" s="2" t="s">
        <v>279</v>
      </c>
      <c r="R97" s="2" t="s">
        <v>280</v>
      </c>
      <c r="S97" s="2"/>
      <c r="T97" s="2" t="s">
        <v>281</v>
      </c>
      <c r="U97" s="2"/>
    </row>
    <row r="98" spans="1:21" ht="43.5" customHeight="1" x14ac:dyDescent="0.5">
      <c r="A98" s="2" t="s">
        <v>649</v>
      </c>
      <c r="B98" s="2" t="s">
        <v>93</v>
      </c>
      <c r="C98" s="2" t="s">
        <v>557</v>
      </c>
      <c r="D98" s="2" t="s">
        <v>284</v>
      </c>
      <c r="E98" s="2" t="s">
        <v>285</v>
      </c>
      <c r="F98" s="2" t="s">
        <v>394</v>
      </c>
      <c r="G98" s="4" t="s">
        <v>269</v>
      </c>
      <c r="H98" s="2" t="s">
        <v>647</v>
      </c>
      <c r="I98" s="2" t="s">
        <v>287</v>
      </c>
      <c r="J98" s="2" t="s">
        <v>272</v>
      </c>
      <c r="K98" s="2" t="s">
        <v>273</v>
      </c>
      <c r="L98" s="2" t="s">
        <v>274</v>
      </c>
      <c r="M98" s="2" t="s">
        <v>650</v>
      </c>
      <c r="N98" s="2" t="s">
        <v>276</v>
      </c>
      <c r="O98" s="2" t="s">
        <v>277</v>
      </c>
      <c r="P98" s="2" t="s">
        <v>278</v>
      </c>
      <c r="Q98" s="2" t="s">
        <v>279</v>
      </c>
      <c r="R98" s="2" t="s">
        <v>280</v>
      </c>
      <c r="S98" s="2"/>
      <c r="T98" s="2" t="s">
        <v>281</v>
      </c>
      <c r="U98" s="2"/>
    </row>
    <row r="99" spans="1:21" ht="43.5" customHeight="1" x14ac:dyDescent="0.5">
      <c r="A99" s="2" t="s">
        <v>651</v>
      </c>
      <c r="B99" s="2" t="s">
        <v>93</v>
      </c>
      <c r="C99" s="2" t="s">
        <v>560</v>
      </c>
      <c r="D99" s="2" t="s">
        <v>291</v>
      </c>
      <c r="E99" s="2" t="s">
        <v>292</v>
      </c>
      <c r="F99" s="2" t="s">
        <v>293</v>
      </c>
      <c r="G99" s="5" t="s">
        <v>294</v>
      </c>
      <c r="H99" s="2" t="s">
        <v>647</v>
      </c>
      <c r="I99" s="2" t="s">
        <v>295</v>
      </c>
      <c r="J99" s="2" t="s">
        <v>272</v>
      </c>
      <c r="K99" s="2" t="s">
        <v>296</v>
      </c>
      <c r="L99" s="2" t="s">
        <v>297</v>
      </c>
      <c r="M99" s="2" t="s">
        <v>652</v>
      </c>
      <c r="N99" s="2" t="s">
        <v>299</v>
      </c>
      <c r="O99" s="2" t="s">
        <v>300</v>
      </c>
      <c r="P99" s="2" t="s">
        <v>278</v>
      </c>
      <c r="Q99" s="2" t="s">
        <v>279</v>
      </c>
      <c r="R99" s="2" t="s">
        <v>280</v>
      </c>
      <c r="S99" s="2"/>
      <c r="T99" s="2" t="s">
        <v>281</v>
      </c>
      <c r="U99" s="2"/>
    </row>
    <row r="100" spans="1:21" ht="43.5" customHeight="1" x14ac:dyDescent="0.5">
      <c r="A100" s="2" t="s">
        <v>653</v>
      </c>
      <c r="B100" s="2" t="s">
        <v>93</v>
      </c>
      <c r="C100" s="2" t="s">
        <v>563</v>
      </c>
      <c r="D100" s="2" t="s">
        <v>406</v>
      </c>
      <c r="E100" s="2" t="s">
        <v>304</v>
      </c>
      <c r="F100" s="2" t="s">
        <v>407</v>
      </c>
      <c r="G100" s="5" t="s">
        <v>306</v>
      </c>
      <c r="H100" s="2" t="s">
        <v>647</v>
      </c>
      <c r="I100" s="2" t="s">
        <v>307</v>
      </c>
      <c r="J100" s="2" t="s">
        <v>272</v>
      </c>
      <c r="K100" s="2" t="s">
        <v>296</v>
      </c>
      <c r="L100" s="2" t="s">
        <v>297</v>
      </c>
      <c r="M100" s="2" t="s">
        <v>654</v>
      </c>
      <c r="N100" s="2" t="s">
        <v>309</v>
      </c>
      <c r="O100" s="2" t="s">
        <v>310</v>
      </c>
      <c r="P100" s="2" t="s">
        <v>278</v>
      </c>
      <c r="Q100" s="2" t="s">
        <v>279</v>
      </c>
      <c r="R100" s="2" t="s">
        <v>280</v>
      </c>
      <c r="S100" s="2"/>
      <c r="T100" s="2" t="s">
        <v>281</v>
      </c>
      <c r="U100" s="2"/>
    </row>
    <row r="101" spans="1:21" ht="43.5" customHeight="1" x14ac:dyDescent="0.5">
      <c r="A101" s="2" t="s">
        <v>655</v>
      </c>
      <c r="B101" s="2" t="s">
        <v>93</v>
      </c>
      <c r="C101" s="2" t="s">
        <v>566</v>
      </c>
      <c r="D101" s="2" t="s">
        <v>411</v>
      </c>
      <c r="E101" s="2" t="s">
        <v>359</v>
      </c>
      <c r="F101" s="2" t="s">
        <v>360</v>
      </c>
      <c r="G101" s="5" t="s">
        <v>294</v>
      </c>
      <c r="H101" s="2" t="s">
        <v>647</v>
      </c>
      <c r="I101" s="2" t="s">
        <v>361</v>
      </c>
      <c r="J101" s="2" t="s">
        <v>272</v>
      </c>
      <c r="K101" s="2" t="s">
        <v>296</v>
      </c>
      <c r="L101" s="2" t="s">
        <v>297</v>
      </c>
      <c r="M101" s="2" t="s">
        <v>656</v>
      </c>
      <c r="N101" s="2" t="s">
        <v>299</v>
      </c>
      <c r="O101" s="2" t="s">
        <v>300</v>
      </c>
      <c r="P101" s="2" t="s">
        <v>278</v>
      </c>
      <c r="Q101" s="2" t="s">
        <v>279</v>
      </c>
      <c r="R101" s="2" t="s">
        <v>280</v>
      </c>
      <c r="S101" s="2"/>
      <c r="T101" s="2" t="s">
        <v>281</v>
      </c>
      <c r="U101" s="2"/>
    </row>
    <row r="102" spans="1:21" ht="43.5" customHeight="1" x14ac:dyDescent="0.5">
      <c r="A102" s="2" t="s">
        <v>657</v>
      </c>
      <c r="B102" s="2" t="s">
        <v>93</v>
      </c>
      <c r="C102" s="2" t="s">
        <v>569</v>
      </c>
      <c r="D102" s="2" t="s">
        <v>484</v>
      </c>
      <c r="E102" s="2" t="s">
        <v>458</v>
      </c>
      <c r="F102" s="2" t="s">
        <v>459</v>
      </c>
      <c r="G102" s="5" t="s">
        <v>460</v>
      </c>
      <c r="H102" s="2" t="s">
        <v>647</v>
      </c>
      <c r="I102" s="2" t="s">
        <v>461</v>
      </c>
      <c r="J102" s="2" t="s">
        <v>272</v>
      </c>
      <c r="K102" s="2" t="s">
        <v>296</v>
      </c>
      <c r="L102" s="2" t="s">
        <v>297</v>
      </c>
      <c r="M102" s="2" t="s">
        <v>658</v>
      </c>
      <c r="N102" s="2" t="s">
        <v>309</v>
      </c>
      <c r="O102" s="2" t="s">
        <v>310</v>
      </c>
      <c r="P102" s="2" t="s">
        <v>278</v>
      </c>
      <c r="Q102" s="2" t="s">
        <v>279</v>
      </c>
      <c r="R102" s="2" t="s">
        <v>280</v>
      </c>
      <c r="S102" s="2"/>
      <c r="T102" s="2" t="s">
        <v>281</v>
      </c>
      <c r="U102" s="2"/>
    </row>
    <row r="103" spans="1:21" ht="43.5" customHeight="1" x14ac:dyDescent="0.5">
      <c r="A103" s="2" t="s">
        <v>659</v>
      </c>
      <c r="B103" s="2" t="s">
        <v>93</v>
      </c>
      <c r="C103" s="2" t="s">
        <v>572</v>
      </c>
      <c r="D103" s="2" t="s">
        <v>266</v>
      </c>
      <c r="E103" s="2" t="s">
        <v>320</v>
      </c>
      <c r="F103" s="2" t="s">
        <v>573</v>
      </c>
      <c r="G103" s="4" t="s">
        <v>269</v>
      </c>
      <c r="H103" s="2" t="s">
        <v>647</v>
      </c>
      <c r="I103" s="2" t="s">
        <v>271</v>
      </c>
      <c r="J103" s="2" t="s">
        <v>272</v>
      </c>
      <c r="K103" s="2" t="s">
        <v>273</v>
      </c>
      <c r="L103" s="2" t="s">
        <v>274</v>
      </c>
      <c r="M103" s="2" t="s">
        <v>660</v>
      </c>
      <c r="N103" s="2" t="s">
        <v>276</v>
      </c>
      <c r="O103" s="2" t="s">
        <v>277</v>
      </c>
      <c r="P103" s="2" t="s">
        <v>278</v>
      </c>
      <c r="Q103" s="2" t="s">
        <v>279</v>
      </c>
      <c r="R103" s="2" t="s">
        <v>280</v>
      </c>
      <c r="S103" s="2"/>
      <c r="T103" s="2" t="s">
        <v>281</v>
      </c>
      <c r="U103" s="2"/>
    </row>
    <row r="104" spans="1:21" ht="43.5" customHeight="1" x14ac:dyDescent="0.5">
      <c r="A104" s="2" t="s">
        <v>661</v>
      </c>
      <c r="B104" s="2" t="s">
        <v>93</v>
      </c>
      <c r="C104" s="2" t="s">
        <v>576</v>
      </c>
      <c r="D104" s="2" t="s">
        <v>284</v>
      </c>
      <c r="E104" s="2" t="s">
        <v>285</v>
      </c>
      <c r="F104" s="2" t="s">
        <v>577</v>
      </c>
      <c r="G104" s="4" t="s">
        <v>269</v>
      </c>
      <c r="H104" s="2" t="s">
        <v>647</v>
      </c>
      <c r="I104" s="2" t="s">
        <v>287</v>
      </c>
      <c r="J104" s="2" t="s">
        <v>272</v>
      </c>
      <c r="K104" s="2" t="s">
        <v>273</v>
      </c>
      <c r="L104" s="2" t="s">
        <v>274</v>
      </c>
      <c r="M104" s="2" t="s">
        <v>662</v>
      </c>
      <c r="N104" s="2" t="s">
        <v>276</v>
      </c>
      <c r="O104" s="2" t="s">
        <v>277</v>
      </c>
      <c r="P104" s="2" t="s">
        <v>278</v>
      </c>
      <c r="Q104" s="2" t="s">
        <v>279</v>
      </c>
      <c r="R104" s="2" t="s">
        <v>280</v>
      </c>
      <c r="S104" s="2"/>
      <c r="T104" s="2" t="s">
        <v>281</v>
      </c>
      <c r="U104" s="2"/>
    </row>
    <row r="105" spans="1:21" ht="43.5" customHeight="1" x14ac:dyDescent="0.5">
      <c r="A105" s="2" t="s">
        <v>663</v>
      </c>
      <c r="B105" s="2" t="s">
        <v>93</v>
      </c>
      <c r="C105" s="2" t="s">
        <v>580</v>
      </c>
      <c r="D105" s="2" t="s">
        <v>291</v>
      </c>
      <c r="E105" s="2" t="s">
        <v>292</v>
      </c>
      <c r="F105" s="2" t="s">
        <v>293</v>
      </c>
      <c r="G105" s="5" t="s">
        <v>294</v>
      </c>
      <c r="H105" s="2" t="s">
        <v>647</v>
      </c>
      <c r="I105" s="2" t="s">
        <v>295</v>
      </c>
      <c r="J105" s="2" t="s">
        <v>272</v>
      </c>
      <c r="K105" s="2" t="s">
        <v>296</v>
      </c>
      <c r="L105" s="2" t="s">
        <v>297</v>
      </c>
      <c r="M105" s="2" t="s">
        <v>664</v>
      </c>
      <c r="N105" s="2" t="s">
        <v>299</v>
      </c>
      <c r="O105" s="2" t="s">
        <v>300</v>
      </c>
      <c r="P105" s="2" t="s">
        <v>278</v>
      </c>
      <c r="Q105" s="2" t="s">
        <v>279</v>
      </c>
      <c r="R105" s="2" t="s">
        <v>280</v>
      </c>
      <c r="S105" s="2"/>
      <c r="T105" s="2" t="s">
        <v>281</v>
      </c>
      <c r="U105" s="2"/>
    </row>
    <row r="106" spans="1:21" ht="43.5" customHeight="1" x14ac:dyDescent="0.5">
      <c r="A106" s="2" t="s">
        <v>665</v>
      </c>
      <c r="B106" s="2" t="s">
        <v>93</v>
      </c>
      <c r="C106" s="2" t="s">
        <v>583</v>
      </c>
      <c r="D106" s="2" t="s">
        <v>584</v>
      </c>
      <c r="E106" s="2" t="s">
        <v>304</v>
      </c>
      <c r="F106" s="2" t="s">
        <v>585</v>
      </c>
      <c r="G106" s="5" t="s">
        <v>306</v>
      </c>
      <c r="H106" s="2" t="s">
        <v>647</v>
      </c>
      <c r="I106" s="2" t="s">
        <v>307</v>
      </c>
      <c r="J106" s="2" t="s">
        <v>272</v>
      </c>
      <c r="K106" s="2" t="s">
        <v>296</v>
      </c>
      <c r="L106" s="2" t="s">
        <v>297</v>
      </c>
      <c r="M106" s="2" t="s">
        <v>666</v>
      </c>
      <c r="N106" s="2" t="s">
        <v>309</v>
      </c>
      <c r="O106" s="2" t="s">
        <v>310</v>
      </c>
      <c r="P106" s="2" t="s">
        <v>278</v>
      </c>
      <c r="Q106" s="2" t="s">
        <v>279</v>
      </c>
      <c r="R106" s="2" t="s">
        <v>280</v>
      </c>
      <c r="S106" s="2"/>
      <c r="T106" s="2" t="s">
        <v>281</v>
      </c>
      <c r="U106" s="2"/>
    </row>
    <row r="107" spans="1:21" ht="43.5" customHeight="1" x14ac:dyDescent="0.5">
      <c r="A107" s="2" t="s">
        <v>667</v>
      </c>
      <c r="B107" s="2" t="s">
        <v>93</v>
      </c>
      <c r="C107" s="2" t="s">
        <v>588</v>
      </c>
      <c r="D107" s="2" t="s">
        <v>589</v>
      </c>
      <c r="E107" s="2" t="s">
        <v>359</v>
      </c>
      <c r="F107" s="2" t="s">
        <v>360</v>
      </c>
      <c r="G107" s="5" t="s">
        <v>294</v>
      </c>
      <c r="H107" s="2" t="s">
        <v>647</v>
      </c>
      <c r="I107" s="2" t="s">
        <v>361</v>
      </c>
      <c r="J107" s="2" t="s">
        <v>272</v>
      </c>
      <c r="K107" s="2" t="s">
        <v>296</v>
      </c>
      <c r="L107" s="2" t="s">
        <v>297</v>
      </c>
      <c r="M107" s="2" t="s">
        <v>668</v>
      </c>
      <c r="N107" s="2" t="s">
        <v>299</v>
      </c>
      <c r="O107" s="2" t="s">
        <v>300</v>
      </c>
      <c r="P107" s="2" t="s">
        <v>278</v>
      </c>
      <c r="Q107" s="2" t="s">
        <v>279</v>
      </c>
      <c r="R107" s="2" t="s">
        <v>280</v>
      </c>
      <c r="S107" s="2"/>
      <c r="T107" s="2" t="s">
        <v>281</v>
      </c>
      <c r="U107" s="2"/>
    </row>
    <row r="108" spans="1:21" ht="43.5" customHeight="1" x14ac:dyDescent="0.5">
      <c r="A108" s="2" t="s">
        <v>669</v>
      </c>
      <c r="B108" s="2" t="s">
        <v>93</v>
      </c>
      <c r="C108" s="2" t="s">
        <v>592</v>
      </c>
      <c r="D108" s="2" t="s">
        <v>593</v>
      </c>
      <c r="E108" s="2" t="s">
        <v>458</v>
      </c>
      <c r="F108" s="2" t="s">
        <v>459</v>
      </c>
      <c r="G108" s="5" t="s">
        <v>460</v>
      </c>
      <c r="H108" s="2" t="s">
        <v>647</v>
      </c>
      <c r="I108" s="2" t="s">
        <v>461</v>
      </c>
      <c r="J108" s="2" t="s">
        <v>272</v>
      </c>
      <c r="K108" s="2" t="s">
        <v>296</v>
      </c>
      <c r="L108" s="2" t="s">
        <v>297</v>
      </c>
      <c r="M108" s="2" t="s">
        <v>670</v>
      </c>
      <c r="N108" s="2" t="s">
        <v>309</v>
      </c>
      <c r="O108" s="2" t="s">
        <v>310</v>
      </c>
      <c r="P108" s="2" t="s">
        <v>278</v>
      </c>
      <c r="Q108" s="2" t="s">
        <v>279</v>
      </c>
      <c r="R108" s="2" t="s">
        <v>280</v>
      </c>
      <c r="S108" s="2"/>
      <c r="T108" s="2" t="s">
        <v>281</v>
      </c>
      <c r="U108" s="2"/>
    </row>
    <row r="109" spans="1:21" ht="43.5" customHeight="1" x14ac:dyDescent="0.5">
      <c r="A109" s="2" t="s">
        <v>671</v>
      </c>
      <c r="B109" s="2" t="s">
        <v>96</v>
      </c>
      <c r="C109" s="2" t="s">
        <v>672</v>
      </c>
      <c r="D109" s="2" t="s">
        <v>266</v>
      </c>
      <c r="E109" s="2" t="s">
        <v>320</v>
      </c>
      <c r="F109" s="2" t="s">
        <v>436</v>
      </c>
      <c r="G109" s="4" t="s">
        <v>269</v>
      </c>
      <c r="H109" s="2" t="s">
        <v>673</v>
      </c>
      <c r="I109" s="2" t="s">
        <v>271</v>
      </c>
      <c r="J109" s="2" t="s">
        <v>272</v>
      </c>
      <c r="K109" s="2" t="s">
        <v>273</v>
      </c>
      <c r="L109" s="2" t="s">
        <v>274</v>
      </c>
      <c r="M109" s="2" t="s">
        <v>674</v>
      </c>
      <c r="N109" s="2" t="s">
        <v>276</v>
      </c>
      <c r="O109" s="2" t="s">
        <v>277</v>
      </c>
      <c r="P109" s="2" t="s">
        <v>278</v>
      </c>
      <c r="Q109" s="2" t="s">
        <v>279</v>
      </c>
      <c r="R109" s="2" t="s">
        <v>280</v>
      </c>
      <c r="S109" s="2"/>
      <c r="T109" s="2" t="s">
        <v>281</v>
      </c>
      <c r="U109" s="2"/>
    </row>
    <row r="110" spans="1:21" ht="43.5" customHeight="1" x14ac:dyDescent="0.5">
      <c r="A110" s="2" t="s">
        <v>675</v>
      </c>
      <c r="B110" s="2" t="s">
        <v>96</v>
      </c>
      <c r="C110" s="2" t="s">
        <v>676</v>
      </c>
      <c r="D110" s="2" t="s">
        <v>284</v>
      </c>
      <c r="E110" s="2" t="s">
        <v>285</v>
      </c>
      <c r="F110" s="2" t="s">
        <v>441</v>
      </c>
      <c r="G110" s="4" t="s">
        <v>269</v>
      </c>
      <c r="H110" s="2" t="s">
        <v>673</v>
      </c>
      <c r="I110" s="2" t="s">
        <v>287</v>
      </c>
      <c r="J110" s="2" t="s">
        <v>272</v>
      </c>
      <c r="K110" s="2" t="s">
        <v>273</v>
      </c>
      <c r="L110" s="2" t="s">
        <v>274</v>
      </c>
      <c r="M110" s="2" t="s">
        <v>677</v>
      </c>
      <c r="N110" s="2" t="s">
        <v>276</v>
      </c>
      <c r="O110" s="2" t="s">
        <v>277</v>
      </c>
      <c r="P110" s="2" t="s">
        <v>278</v>
      </c>
      <c r="Q110" s="2" t="s">
        <v>279</v>
      </c>
      <c r="R110" s="2" t="s">
        <v>280</v>
      </c>
      <c r="S110" s="2"/>
      <c r="T110" s="2" t="s">
        <v>281</v>
      </c>
      <c r="U110" s="2"/>
    </row>
    <row r="111" spans="1:21" ht="43.5" customHeight="1" x14ac:dyDescent="0.5">
      <c r="A111" s="2" t="s">
        <v>678</v>
      </c>
      <c r="B111" s="2" t="s">
        <v>96</v>
      </c>
      <c r="C111" s="2" t="s">
        <v>679</v>
      </c>
      <c r="D111" s="2" t="s">
        <v>291</v>
      </c>
      <c r="E111" s="2" t="s">
        <v>292</v>
      </c>
      <c r="F111" s="2" t="s">
        <v>293</v>
      </c>
      <c r="G111" s="5" t="s">
        <v>294</v>
      </c>
      <c r="H111" s="2" t="s">
        <v>673</v>
      </c>
      <c r="I111" s="2" t="s">
        <v>295</v>
      </c>
      <c r="J111" s="2" t="s">
        <v>272</v>
      </c>
      <c r="K111" s="2" t="s">
        <v>296</v>
      </c>
      <c r="L111" s="2" t="s">
        <v>297</v>
      </c>
      <c r="M111" s="2" t="s">
        <v>680</v>
      </c>
      <c r="N111" s="2" t="s">
        <v>299</v>
      </c>
      <c r="O111" s="2" t="s">
        <v>300</v>
      </c>
      <c r="P111" s="2" t="s">
        <v>278</v>
      </c>
      <c r="Q111" s="2" t="s">
        <v>279</v>
      </c>
      <c r="R111" s="2" t="s">
        <v>280</v>
      </c>
      <c r="S111" s="2"/>
      <c r="T111" s="2" t="s">
        <v>281</v>
      </c>
      <c r="U111" s="2"/>
    </row>
    <row r="112" spans="1:21" ht="43.5" customHeight="1" x14ac:dyDescent="0.5">
      <c r="A112" s="2" t="s">
        <v>681</v>
      </c>
      <c r="B112" s="2" t="s">
        <v>96</v>
      </c>
      <c r="C112" s="2" t="s">
        <v>682</v>
      </c>
      <c r="D112" s="2" t="s">
        <v>523</v>
      </c>
      <c r="E112" s="2" t="s">
        <v>304</v>
      </c>
      <c r="F112" s="2" t="s">
        <v>524</v>
      </c>
      <c r="G112" s="5" t="s">
        <v>306</v>
      </c>
      <c r="H112" s="2" t="s">
        <v>673</v>
      </c>
      <c r="I112" s="2" t="s">
        <v>307</v>
      </c>
      <c r="J112" s="2" t="s">
        <v>272</v>
      </c>
      <c r="K112" s="2" t="s">
        <v>296</v>
      </c>
      <c r="L112" s="2" t="s">
        <v>297</v>
      </c>
      <c r="M112" s="2" t="s">
        <v>683</v>
      </c>
      <c r="N112" s="2" t="s">
        <v>309</v>
      </c>
      <c r="O112" s="2" t="s">
        <v>310</v>
      </c>
      <c r="P112" s="2" t="s">
        <v>278</v>
      </c>
      <c r="Q112" s="2" t="s">
        <v>279</v>
      </c>
      <c r="R112" s="2" t="s">
        <v>280</v>
      </c>
      <c r="S112" s="2"/>
      <c r="T112" s="2" t="s">
        <v>281</v>
      </c>
      <c r="U112" s="2"/>
    </row>
    <row r="113" spans="1:21" ht="43.5" customHeight="1" x14ac:dyDescent="0.5">
      <c r="A113" s="2" t="s">
        <v>684</v>
      </c>
      <c r="B113" s="2" t="s">
        <v>96</v>
      </c>
      <c r="C113" s="2" t="s">
        <v>685</v>
      </c>
      <c r="D113" s="2" t="s">
        <v>528</v>
      </c>
      <c r="E113" s="2" t="s">
        <v>359</v>
      </c>
      <c r="F113" s="2" t="s">
        <v>360</v>
      </c>
      <c r="G113" s="5" t="s">
        <v>294</v>
      </c>
      <c r="H113" s="2" t="s">
        <v>673</v>
      </c>
      <c r="I113" s="2" t="s">
        <v>361</v>
      </c>
      <c r="J113" s="2" t="s">
        <v>272</v>
      </c>
      <c r="K113" s="2" t="s">
        <v>296</v>
      </c>
      <c r="L113" s="2" t="s">
        <v>297</v>
      </c>
      <c r="M113" s="2" t="s">
        <v>686</v>
      </c>
      <c r="N113" s="2" t="s">
        <v>299</v>
      </c>
      <c r="O113" s="2" t="s">
        <v>300</v>
      </c>
      <c r="P113" s="2" t="s">
        <v>278</v>
      </c>
      <c r="Q113" s="2" t="s">
        <v>279</v>
      </c>
      <c r="R113" s="2" t="s">
        <v>280</v>
      </c>
      <c r="S113" s="2"/>
      <c r="T113" s="2" t="s">
        <v>281</v>
      </c>
      <c r="U113" s="2"/>
    </row>
    <row r="114" spans="1:21" ht="43.5" customHeight="1" x14ac:dyDescent="0.5">
      <c r="A114" s="2" t="s">
        <v>687</v>
      </c>
      <c r="B114" s="2" t="s">
        <v>96</v>
      </c>
      <c r="C114" s="2" t="s">
        <v>688</v>
      </c>
      <c r="D114" s="2" t="s">
        <v>457</v>
      </c>
      <c r="E114" s="2" t="s">
        <v>458</v>
      </c>
      <c r="F114" s="2" t="s">
        <v>459</v>
      </c>
      <c r="G114" s="5" t="s">
        <v>460</v>
      </c>
      <c r="H114" s="2" t="s">
        <v>673</v>
      </c>
      <c r="I114" s="2" t="s">
        <v>461</v>
      </c>
      <c r="J114" s="2" t="s">
        <v>272</v>
      </c>
      <c r="K114" s="2" t="s">
        <v>296</v>
      </c>
      <c r="L114" s="2" t="s">
        <v>297</v>
      </c>
      <c r="M114" s="2" t="s">
        <v>689</v>
      </c>
      <c r="N114" s="2" t="s">
        <v>309</v>
      </c>
      <c r="O114" s="2" t="s">
        <v>310</v>
      </c>
      <c r="P114" s="2" t="s">
        <v>278</v>
      </c>
      <c r="Q114" s="2" t="s">
        <v>279</v>
      </c>
      <c r="R114" s="2" t="s">
        <v>280</v>
      </c>
      <c r="S114" s="2"/>
      <c r="T114" s="2" t="s">
        <v>281</v>
      </c>
      <c r="U114" s="2"/>
    </row>
    <row r="115" spans="1:21" ht="43.5" customHeight="1" x14ac:dyDescent="0.5">
      <c r="A115" s="2" t="s">
        <v>690</v>
      </c>
      <c r="B115" s="2" t="s">
        <v>96</v>
      </c>
      <c r="C115" s="2" t="s">
        <v>691</v>
      </c>
      <c r="D115" s="2" t="s">
        <v>266</v>
      </c>
      <c r="E115" s="2" t="s">
        <v>320</v>
      </c>
      <c r="F115" s="2" t="s">
        <v>341</v>
      </c>
      <c r="G115" s="4" t="s">
        <v>269</v>
      </c>
      <c r="H115" s="2" t="s">
        <v>673</v>
      </c>
      <c r="I115" s="2" t="s">
        <v>271</v>
      </c>
      <c r="J115" s="2" t="s">
        <v>272</v>
      </c>
      <c r="K115" s="2" t="s">
        <v>273</v>
      </c>
      <c r="L115" s="2" t="s">
        <v>274</v>
      </c>
      <c r="M115" s="2" t="s">
        <v>692</v>
      </c>
      <c r="N115" s="2" t="s">
        <v>276</v>
      </c>
      <c r="O115" s="2" t="s">
        <v>277</v>
      </c>
      <c r="P115" s="2" t="s">
        <v>278</v>
      </c>
      <c r="Q115" s="2" t="s">
        <v>279</v>
      </c>
      <c r="R115" s="2" t="s">
        <v>280</v>
      </c>
      <c r="S115" s="2"/>
      <c r="T115" s="2" t="s">
        <v>281</v>
      </c>
      <c r="U115" s="2"/>
    </row>
    <row r="116" spans="1:21" ht="43.5" customHeight="1" x14ac:dyDescent="0.5">
      <c r="A116" s="2" t="s">
        <v>693</v>
      </c>
      <c r="B116" s="2" t="s">
        <v>96</v>
      </c>
      <c r="C116" s="2" t="s">
        <v>694</v>
      </c>
      <c r="D116" s="2" t="s">
        <v>284</v>
      </c>
      <c r="E116" s="2" t="s">
        <v>285</v>
      </c>
      <c r="F116" s="2" t="s">
        <v>346</v>
      </c>
      <c r="G116" s="4" t="s">
        <v>269</v>
      </c>
      <c r="H116" s="2" t="s">
        <v>673</v>
      </c>
      <c r="I116" s="2" t="s">
        <v>287</v>
      </c>
      <c r="J116" s="2" t="s">
        <v>272</v>
      </c>
      <c r="K116" s="2" t="s">
        <v>273</v>
      </c>
      <c r="L116" s="2" t="s">
        <v>274</v>
      </c>
      <c r="M116" s="2" t="s">
        <v>695</v>
      </c>
      <c r="N116" s="2" t="s">
        <v>276</v>
      </c>
      <c r="O116" s="2" t="s">
        <v>277</v>
      </c>
      <c r="P116" s="2" t="s">
        <v>278</v>
      </c>
      <c r="Q116" s="2" t="s">
        <v>279</v>
      </c>
      <c r="R116" s="2" t="s">
        <v>280</v>
      </c>
      <c r="S116" s="2"/>
      <c r="T116" s="2" t="s">
        <v>281</v>
      </c>
      <c r="U116" s="2"/>
    </row>
    <row r="117" spans="1:21" ht="43.5" customHeight="1" x14ac:dyDescent="0.5">
      <c r="A117" s="2" t="s">
        <v>696</v>
      </c>
      <c r="B117" s="2" t="s">
        <v>96</v>
      </c>
      <c r="C117" s="2" t="s">
        <v>697</v>
      </c>
      <c r="D117" s="2" t="s">
        <v>291</v>
      </c>
      <c r="E117" s="2" t="s">
        <v>292</v>
      </c>
      <c r="F117" s="2" t="s">
        <v>293</v>
      </c>
      <c r="G117" s="5" t="s">
        <v>294</v>
      </c>
      <c r="H117" s="2" t="s">
        <v>673</v>
      </c>
      <c r="I117" s="2" t="s">
        <v>295</v>
      </c>
      <c r="J117" s="2" t="s">
        <v>272</v>
      </c>
      <c r="K117" s="2" t="s">
        <v>296</v>
      </c>
      <c r="L117" s="2" t="s">
        <v>297</v>
      </c>
      <c r="M117" s="2" t="s">
        <v>698</v>
      </c>
      <c r="N117" s="2" t="s">
        <v>299</v>
      </c>
      <c r="O117" s="2" t="s">
        <v>300</v>
      </c>
      <c r="P117" s="2" t="s">
        <v>278</v>
      </c>
      <c r="Q117" s="2" t="s">
        <v>279</v>
      </c>
      <c r="R117" s="2" t="s">
        <v>280</v>
      </c>
      <c r="S117" s="2"/>
      <c r="T117" s="2" t="s">
        <v>281</v>
      </c>
      <c r="U117" s="2"/>
    </row>
    <row r="118" spans="1:21" ht="43.5" customHeight="1" x14ac:dyDescent="0.5">
      <c r="A118" s="2" t="s">
        <v>699</v>
      </c>
      <c r="B118" s="2" t="s">
        <v>96</v>
      </c>
      <c r="C118" s="2" t="s">
        <v>700</v>
      </c>
      <c r="D118" s="2" t="s">
        <v>353</v>
      </c>
      <c r="E118" s="2" t="s">
        <v>304</v>
      </c>
      <c r="F118" s="2" t="s">
        <v>354</v>
      </c>
      <c r="G118" s="5" t="s">
        <v>306</v>
      </c>
      <c r="H118" s="2" t="s">
        <v>673</v>
      </c>
      <c r="I118" s="2" t="s">
        <v>307</v>
      </c>
      <c r="J118" s="2" t="s">
        <v>272</v>
      </c>
      <c r="K118" s="2" t="s">
        <v>296</v>
      </c>
      <c r="L118" s="2" t="s">
        <v>297</v>
      </c>
      <c r="M118" s="2" t="s">
        <v>701</v>
      </c>
      <c r="N118" s="2" t="s">
        <v>309</v>
      </c>
      <c r="O118" s="2" t="s">
        <v>310</v>
      </c>
      <c r="P118" s="2" t="s">
        <v>278</v>
      </c>
      <c r="Q118" s="2" t="s">
        <v>279</v>
      </c>
      <c r="R118" s="2" t="s">
        <v>280</v>
      </c>
      <c r="S118" s="2"/>
      <c r="T118" s="2" t="s">
        <v>281</v>
      </c>
      <c r="U118" s="2"/>
    </row>
    <row r="119" spans="1:21" ht="43.5" customHeight="1" x14ac:dyDescent="0.5">
      <c r="A119" s="2" t="s">
        <v>702</v>
      </c>
      <c r="B119" s="2" t="s">
        <v>96</v>
      </c>
      <c r="C119" s="2" t="s">
        <v>703</v>
      </c>
      <c r="D119" s="2" t="s">
        <v>358</v>
      </c>
      <c r="E119" s="2" t="s">
        <v>359</v>
      </c>
      <c r="F119" s="2" t="s">
        <v>360</v>
      </c>
      <c r="G119" s="5" t="s">
        <v>294</v>
      </c>
      <c r="H119" s="2" t="s">
        <v>673</v>
      </c>
      <c r="I119" s="2" t="s">
        <v>361</v>
      </c>
      <c r="J119" s="2" t="s">
        <v>272</v>
      </c>
      <c r="K119" s="2" t="s">
        <v>296</v>
      </c>
      <c r="L119" s="2" t="s">
        <v>297</v>
      </c>
      <c r="M119" s="2" t="s">
        <v>704</v>
      </c>
      <c r="N119" s="2" t="s">
        <v>299</v>
      </c>
      <c r="O119" s="2" t="s">
        <v>300</v>
      </c>
      <c r="P119" s="2" t="s">
        <v>278</v>
      </c>
      <c r="Q119" s="2" t="s">
        <v>279</v>
      </c>
      <c r="R119" s="2" t="s">
        <v>280</v>
      </c>
      <c r="S119" s="2"/>
      <c r="T119" s="2" t="s">
        <v>281</v>
      </c>
      <c r="U119" s="2"/>
    </row>
    <row r="120" spans="1:21" ht="43.5" customHeight="1" x14ac:dyDescent="0.5">
      <c r="A120" s="2" t="s">
        <v>705</v>
      </c>
      <c r="B120" s="2" t="s">
        <v>96</v>
      </c>
      <c r="C120" s="2" t="s">
        <v>706</v>
      </c>
      <c r="D120" s="2" t="s">
        <v>551</v>
      </c>
      <c r="E120" s="2" t="s">
        <v>458</v>
      </c>
      <c r="F120" s="2" t="s">
        <v>459</v>
      </c>
      <c r="G120" s="5" t="s">
        <v>460</v>
      </c>
      <c r="H120" s="2" t="s">
        <v>673</v>
      </c>
      <c r="I120" s="2" t="s">
        <v>461</v>
      </c>
      <c r="J120" s="2" t="s">
        <v>272</v>
      </c>
      <c r="K120" s="2" t="s">
        <v>296</v>
      </c>
      <c r="L120" s="2" t="s">
        <v>297</v>
      </c>
      <c r="M120" s="2" t="s">
        <v>707</v>
      </c>
      <c r="N120" s="2" t="s">
        <v>309</v>
      </c>
      <c r="O120" s="2" t="s">
        <v>310</v>
      </c>
      <c r="P120" s="2" t="s">
        <v>278</v>
      </c>
      <c r="Q120" s="2" t="s">
        <v>279</v>
      </c>
      <c r="R120" s="2" t="s">
        <v>280</v>
      </c>
      <c r="S120" s="2"/>
      <c r="T120" s="2" t="s">
        <v>281</v>
      </c>
      <c r="U120" s="2"/>
    </row>
    <row r="121" spans="1:21" ht="43.5" customHeight="1" x14ac:dyDescent="0.5">
      <c r="A121" s="2" t="s">
        <v>708</v>
      </c>
      <c r="B121" s="2" t="s">
        <v>96</v>
      </c>
      <c r="C121" s="2" t="s">
        <v>709</v>
      </c>
      <c r="D121" s="2" t="s">
        <v>266</v>
      </c>
      <c r="E121" s="2" t="s">
        <v>267</v>
      </c>
      <c r="F121" s="2" t="s">
        <v>710</v>
      </c>
      <c r="G121" s="4" t="s">
        <v>269</v>
      </c>
      <c r="H121" s="2" t="s">
        <v>711</v>
      </c>
      <c r="I121" s="2" t="s">
        <v>271</v>
      </c>
      <c r="J121" s="2" t="s">
        <v>272</v>
      </c>
      <c r="K121" s="2" t="s">
        <v>273</v>
      </c>
      <c r="L121" s="2" t="s">
        <v>274</v>
      </c>
      <c r="M121" s="2" t="s">
        <v>712</v>
      </c>
      <c r="N121" s="2" t="s">
        <v>276</v>
      </c>
      <c r="O121" s="2" t="s">
        <v>277</v>
      </c>
      <c r="P121" s="2" t="s">
        <v>278</v>
      </c>
      <c r="Q121" s="2" t="s">
        <v>279</v>
      </c>
      <c r="R121" s="2" t="s">
        <v>280</v>
      </c>
      <c r="S121" s="2"/>
      <c r="T121" s="2" t="s">
        <v>281</v>
      </c>
      <c r="U121" s="2"/>
    </row>
    <row r="122" spans="1:21" ht="43.5" customHeight="1" x14ac:dyDescent="0.5">
      <c r="A122" s="2" t="s">
        <v>713</v>
      </c>
      <c r="B122" s="2" t="s">
        <v>96</v>
      </c>
      <c r="C122" s="2" t="s">
        <v>714</v>
      </c>
      <c r="D122" s="2" t="s">
        <v>284</v>
      </c>
      <c r="E122" s="2" t="s">
        <v>285</v>
      </c>
      <c r="F122" s="2" t="s">
        <v>715</v>
      </c>
      <c r="G122" s="4" t="s">
        <v>269</v>
      </c>
      <c r="H122" s="2" t="s">
        <v>711</v>
      </c>
      <c r="I122" s="2" t="s">
        <v>287</v>
      </c>
      <c r="J122" s="2" t="s">
        <v>272</v>
      </c>
      <c r="K122" s="2" t="s">
        <v>273</v>
      </c>
      <c r="L122" s="2" t="s">
        <v>274</v>
      </c>
      <c r="M122" s="2" t="s">
        <v>716</v>
      </c>
      <c r="N122" s="2" t="s">
        <v>276</v>
      </c>
      <c r="O122" s="2" t="s">
        <v>277</v>
      </c>
      <c r="P122" s="2" t="s">
        <v>278</v>
      </c>
      <c r="Q122" s="2" t="s">
        <v>279</v>
      </c>
      <c r="R122" s="2" t="s">
        <v>280</v>
      </c>
      <c r="S122" s="2"/>
      <c r="T122" s="2" t="s">
        <v>281</v>
      </c>
      <c r="U122" s="2"/>
    </row>
    <row r="123" spans="1:21" ht="43.5" customHeight="1" x14ac:dyDescent="0.5">
      <c r="A123" s="2" t="s">
        <v>717</v>
      </c>
      <c r="B123" s="2" t="s">
        <v>96</v>
      </c>
      <c r="C123" s="2" t="s">
        <v>718</v>
      </c>
      <c r="D123" s="2" t="s">
        <v>291</v>
      </c>
      <c r="E123" s="2" t="s">
        <v>292</v>
      </c>
      <c r="F123" s="2" t="s">
        <v>293</v>
      </c>
      <c r="G123" s="5" t="s">
        <v>294</v>
      </c>
      <c r="H123" s="2" t="s">
        <v>711</v>
      </c>
      <c r="I123" s="2" t="s">
        <v>295</v>
      </c>
      <c r="J123" s="2" t="s">
        <v>272</v>
      </c>
      <c r="K123" s="2" t="s">
        <v>296</v>
      </c>
      <c r="L123" s="2" t="s">
        <v>297</v>
      </c>
      <c r="M123" s="2" t="s">
        <v>719</v>
      </c>
      <c r="N123" s="2" t="s">
        <v>299</v>
      </c>
      <c r="O123" s="2" t="s">
        <v>300</v>
      </c>
      <c r="P123" s="2" t="s">
        <v>278</v>
      </c>
      <c r="Q123" s="2" t="s">
        <v>279</v>
      </c>
      <c r="R123" s="2" t="s">
        <v>280</v>
      </c>
      <c r="S123" s="2"/>
      <c r="T123" s="2" t="s">
        <v>281</v>
      </c>
      <c r="U123" s="2"/>
    </row>
    <row r="124" spans="1:21" ht="43.5" customHeight="1" x14ac:dyDescent="0.5">
      <c r="A124" s="2" t="s">
        <v>720</v>
      </c>
      <c r="B124" s="2" t="s">
        <v>96</v>
      </c>
      <c r="C124" s="2" t="s">
        <v>721</v>
      </c>
      <c r="D124" s="2" t="s">
        <v>584</v>
      </c>
      <c r="E124" s="2" t="s">
        <v>304</v>
      </c>
      <c r="F124" s="2" t="s">
        <v>585</v>
      </c>
      <c r="G124" s="5" t="s">
        <v>306</v>
      </c>
      <c r="H124" s="2" t="s">
        <v>711</v>
      </c>
      <c r="I124" s="2" t="s">
        <v>307</v>
      </c>
      <c r="J124" s="2" t="s">
        <v>272</v>
      </c>
      <c r="K124" s="2" t="s">
        <v>296</v>
      </c>
      <c r="L124" s="2" t="s">
        <v>297</v>
      </c>
      <c r="M124" s="2" t="s">
        <v>722</v>
      </c>
      <c r="N124" s="2" t="s">
        <v>309</v>
      </c>
      <c r="O124" s="2" t="s">
        <v>310</v>
      </c>
      <c r="P124" s="2" t="s">
        <v>278</v>
      </c>
      <c r="Q124" s="2" t="s">
        <v>279</v>
      </c>
      <c r="R124" s="2" t="s">
        <v>280</v>
      </c>
      <c r="S124" s="2"/>
      <c r="T124" s="2" t="s">
        <v>281</v>
      </c>
      <c r="U124" s="2"/>
    </row>
    <row r="125" spans="1:21" ht="43.5" customHeight="1" x14ac:dyDescent="0.5">
      <c r="A125" s="2" t="s">
        <v>723</v>
      </c>
      <c r="B125" s="2" t="s">
        <v>96</v>
      </c>
      <c r="C125" s="2" t="s">
        <v>724</v>
      </c>
      <c r="D125" s="2" t="s">
        <v>589</v>
      </c>
      <c r="E125" s="2" t="s">
        <v>359</v>
      </c>
      <c r="F125" s="2" t="s">
        <v>360</v>
      </c>
      <c r="G125" s="5" t="s">
        <v>294</v>
      </c>
      <c r="H125" s="2" t="s">
        <v>711</v>
      </c>
      <c r="I125" s="2" t="s">
        <v>361</v>
      </c>
      <c r="J125" s="2" t="s">
        <v>272</v>
      </c>
      <c r="K125" s="2" t="s">
        <v>296</v>
      </c>
      <c r="L125" s="2" t="s">
        <v>297</v>
      </c>
      <c r="M125" s="2" t="s">
        <v>725</v>
      </c>
      <c r="N125" s="2" t="s">
        <v>299</v>
      </c>
      <c r="O125" s="2" t="s">
        <v>300</v>
      </c>
      <c r="P125" s="2" t="s">
        <v>278</v>
      </c>
      <c r="Q125" s="2" t="s">
        <v>279</v>
      </c>
      <c r="R125" s="2" t="s">
        <v>280</v>
      </c>
      <c r="S125" s="2"/>
      <c r="T125" s="2" t="s">
        <v>281</v>
      </c>
      <c r="U125" s="2"/>
    </row>
    <row r="126" spans="1:21" ht="43.5" customHeight="1" x14ac:dyDescent="0.5">
      <c r="A126" s="2" t="s">
        <v>726</v>
      </c>
      <c r="B126" s="2" t="s">
        <v>96</v>
      </c>
      <c r="C126" s="2" t="s">
        <v>727</v>
      </c>
      <c r="D126" s="2" t="s">
        <v>593</v>
      </c>
      <c r="E126" s="2" t="s">
        <v>458</v>
      </c>
      <c r="F126" s="2" t="s">
        <v>459</v>
      </c>
      <c r="G126" s="5" t="s">
        <v>460</v>
      </c>
      <c r="H126" s="2" t="s">
        <v>711</v>
      </c>
      <c r="I126" s="2" t="s">
        <v>461</v>
      </c>
      <c r="J126" s="2" t="s">
        <v>272</v>
      </c>
      <c r="K126" s="2" t="s">
        <v>296</v>
      </c>
      <c r="L126" s="2" t="s">
        <v>297</v>
      </c>
      <c r="M126" s="2" t="s">
        <v>728</v>
      </c>
      <c r="N126" s="2" t="s">
        <v>309</v>
      </c>
      <c r="O126" s="2" t="s">
        <v>310</v>
      </c>
      <c r="P126" s="2" t="s">
        <v>278</v>
      </c>
      <c r="Q126" s="2" t="s">
        <v>279</v>
      </c>
      <c r="R126" s="2" t="s">
        <v>280</v>
      </c>
      <c r="S126" s="2"/>
      <c r="T126" s="2" t="s">
        <v>281</v>
      </c>
      <c r="U126" s="2"/>
    </row>
    <row r="127" spans="1:21" ht="43.5" customHeight="1" x14ac:dyDescent="0.5">
      <c r="A127" s="2" t="s">
        <v>729</v>
      </c>
      <c r="B127" s="2" t="s">
        <v>99</v>
      </c>
      <c r="C127" s="2" t="s">
        <v>730</v>
      </c>
      <c r="D127" s="2" t="s">
        <v>266</v>
      </c>
      <c r="E127" s="2" t="s">
        <v>320</v>
      </c>
      <c r="F127" s="2" t="s">
        <v>436</v>
      </c>
      <c r="G127" s="4" t="s">
        <v>269</v>
      </c>
      <c r="H127" s="2" t="s">
        <v>731</v>
      </c>
      <c r="I127" s="2" t="s">
        <v>271</v>
      </c>
      <c r="J127" s="2" t="s">
        <v>272</v>
      </c>
      <c r="K127" s="2" t="s">
        <v>273</v>
      </c>
      <c r="L127" s="2" t="s">
        <v>274</v>
      </c>
      <c r="M127" s="2" t="s">
        <v>732</v>
      </c>
      <c r="N127" s="2" t="s">
        <v>276</v>
      </c>
      <c r="O127" s="2" t="s">
        <v>277</v>
      </c>
      <c r="P127" s="2" t="s">
        <v>278</v>
      </c>
      <c r="Q127" s="2" t="s">
        <v>279</v>
      </c>
      <c r="R127" s="2" t="s">
        <v>280</v>
      </c>
      <c r="S127" s="2"/>
      <c r="T127" s="2" t="s">
        <v>281</v>
      </c>
      <c r="U127" s="2"/>
    </row>
    <row r="128" spans="1:21" ht="43.5" customHeight="1" x14ac:dyDescent="0.5">
      <c r="A128" s="2" t="s">
        <v>733</v>
      </c>
      <c r="B128" s="2" t="s">
        <v>99</v>
      </c>
      <c r="C128" s="2" t="s">
        <v>734</v>
      </c>
      <c r="D128" s="2" t="s">
        <v>284</v>
      </c>
      <c r="E128" s="2" t="s">
        <v>285</v>
      </c>
      <c r="F128" s="2" t="s">
        <v>441</v>
      </c>
      <c r="G128" s="4" t="s">
        <v>269</v>
      </c>
      <c r="H128" s="2" t="s">
        <v>731</v>
      </c>
      <c r="I128" s="2" t="s">
        <v>287</v>
      </c>
      <c r="J128" s="2" t="s">
        <v>272</v>
      </c>
      <c r="K128" s="2" t="s">
        <v>273</v>
      </c>
      <c r="L128" s="2" t="s">
        <v>274</v>
      </c>
      <c r="M128" s="2" t="s">
        <v>735</v>
      </c>
      <c r="N128" s="2" t="s">
        <v>276</v>
      </c>
      <c r="O128" s="2" t="s">
        <v>277</v>
      </c>
      <c r="P128" s="2" t="s">
        <v>278</v>
      </c>
      <c r="Q128" s="2" t="s">
        <v>279</v>
      </c>
      <c r="R128" s="2" t="s">
        <v>280</v>
      </c>
      <c r="S128" s="2"/>
      <c r="T128" s="2" t="s">
        <v>281</v>
      </c>
      <c r="U128" s="2"/>
    </row>
    <row r="129" spans="1:21" ht="43.5" customHeight="1" x14ac:dyDescent="0.5">
      <c r="A129" s="2" t="s">
        <v>736</v>
      </c>
      <c r="B129" s="2" t="s">
        <v>99</v>
      </c>
      <c r="C129" s="2" t="s">
        <v>737</v>
      </c>
      <c r="D129" s="2" t="s">
        <v>291</v>
      </c>
      <c r="E129" s="2" t="s">
        <v>292</v>
      </c>
      <c r="F129" s="2" t="s">
        <v>293</v>
      </c>
      <c r="G129" s="5" t="s">
        <v>294</v>
      </c>
      <c r="H129" s="2" t="s">
        <v>731</v>
      </c>
      <c r="I129" s="2" t="s">
        <v>295</v>
      </c>
      <c r="J129" s="2" t="s">
        <v>272</v>
      </c>
      <c r="K129" s="2" t="s">
        <v>296</v>
      </c>
      <c r="L129" s="2" t="s">
        <v>297</v>
      </c>
      <c r="M129" s="2" t="s">
        <v>738</v>
      </c>
      <c r="N129" s="2" t="s">
        <v>299</v>
      </c>
      <c r="O129" s="2" t="s">
        <v>300</v>
      </c>
      <c r="P129" s="2" t="s">
        <v>278</v>
      </c>
      <c r="Q129" s="2" t="s">
        <v>279</v>
      </c>
      <c r="R129" s="2" t="s">
        <v>280</v>
      </c>
      <c r="S129" s="2"/>
      <c r="T129" s="2" t="s">
        <v>281</v>
      </c>
      <c r="U129" s="2"/>
    </row>
    <row r="130" spans="1:21" ht="43.5" customHeight="1" x14ac:dyDescent="0.5">
      <c r="A130" s="2" t="s">
        <v>739</v>
      </c>
      <c r="B130" s="2" t="s">
        <v>99</v>
      </c>
      <c r="C130" s="2" t="s">
        <v>740</v>
      </c>
      <c r="D130" s="2" t="s">
        <v>523</v>
      </c>
      <c r="E130" s="2" t="s">
        <v>304</v>
      </c>
      <c r="F130" s="2" t="s">
        <v>524</v>
      </c>
      <c r="G130" s="5" t="s">
        <v>306</v>
      </c>
      <c r="H130" s="2" t="s">
        <v>731</v>
      </c>
      <c r="I130" s="2" t="s">
        <v>307</v>
      </c>
      <c r="J130" s="2" t="s">
        <v>272</v>
      </c>
      <c r="K130" s="2" t="s">
        <v>296</v>
      </c>
      <c r="L130" s="2" t="s">
        <v>297</v>
      </c>
      <c r="M130" s="2" t="s">
        <v>741</v>
      </c>
      <c r="N130" s="2" t="s">
        <v>309</v>
      </c>
      <c r="O130" s="2" t="s">
        <v>310</v>
      </c>
      <c r="P130" s="2" t="s">
        <v>278</v>
      </c>
      <c r="Q130" s="2" t="s">
        <v>279</v>
      </c>
      <c r="R130" s="2" t="s">
        <v>280</v>
      </c>
      <c r="S130" s="2"/>
      <c r="T130" s="2" t="s">
        <v>281</v>
      </c>
      <c r="U130" s="2"/>
    </row>
    <row r="131" spans="1:21" ht="43.5" customHeight="1" x14ac:dyDescent="0.5">
      <c r="A131" s="2" t="s">
        <v>742</v>
      </c>
      <c r="B131" s="2" t="s">
        <v>99</v>
      </c>
      <c r="C131" s="2" t="s">
        <v>743</v>
      </c>
      <c r="D131" s="2" t="s">
        <v>528</v>
      </c>
      <c r="E131" s="2" t="s">
        <v>359</v>
      </c>
      <c r="F131" s="2" t="s">
        <v>360</v>
      </c>
      <c r="G131" s="5" t="s">
        <v>294</v>
      </c>
      <c r="H131" s="2" t="s">
        <v>731</v>
      </c>
      <c r="I131" s="2" t="s">
        <v>361</v>
      </c>
      <c r="J131" s="2" t="s">
        <v>272</v>
      </c>
      <c r="K131" s="2" t="s">
        <v>296</v>
      </c>
      <c r="L131" s="2" t="s">
        <v>297</v>
      </c>
      <c r="M131" s="2" t="s">
        <v>744</v>
      </c>
      <c r="N131" s="2" t="s">
        <v>299</v>
      </c>
      <c r="O131" s="2" t="s">
        <v>300</v>
      </c>
      <c r="P131" s="2" t="s">
        <v>278</v>
      </c>
      <c r="Q131" s="2" t="s">
        <v>279</v>
      </c>
      <c r="R131" s="2" t="s">
        <v>280</v>
      </c>
      <c r="S131" s="2"/>
      <c r="T131" s="2" t="s">
        <v>281</v>
      </c>
      <c r="U131" s="2"/>
    </row>
    <row r="132" spans="1:21" ht="43.5" customHeight="1" x14ac:dyDescent="0.5">
      <c r="A132" s="2" t="s">
        <v>745</v>
      </c>
      <c r="B132" s="2" t="s">
        <v>99</v>
      </c>
      <c r="C132" s="2" t="s">
        <v>746</v>
      </c>
      <c r="D132" s="2" t="s">
        <v>457</v>
      </c>
      <c r="E132" s="2" t="s">
        <v>458</v>
      </c>
      <c r="F132" s="2" t="s">
        <v>459</v>
      </c>
      <c r="G132" s="5" t="s">
        <v>460</v>
      </c>
      <c r="H132" s="2" t="s">
        <v>731</v>
      </c>
      <c r="I132" s="2" t="s">
        <v>461</v>
      </c>
      <c r="J132" s="2" t="s">
        <v>272</v>
      </c>
      <c r="K132" s="2" t="s">
        <v>296</v>
      </c>
      <c r="L132" s="2" t="s">
        <v>297</v>
      </c>
      <c r="M132" s="2" t="s">
        <v>747</v>
      </c>
      <c r="N132" s="2" t="s">
        <v>309</v>
      </c>
      <c r="O132" s="2" t="s">
        <v>310</v>
      </c>
      <c r="P132" s="2" t="s">
        <v>278</v>
      </c>
      <c r="Q132" s="2" t="s">
        <v>279</v>
      </c>
      <c r="R132" s="2" t="s">
        <v>280</v>
      </c>
      <c r="S132" s="2"/>
      <c r="T132" s="2" t="s">
        <v>281</v>
      </c>
      <c r="U132" s="2"/>
    </row>
    <row r="133" spans="1:21" ht="43.5" customHeight="1" x14ac:dyDescent="0.5">
      <c r="A133" s="2" t="s">
        <v>748</v>
      </c>
      <c r="B133" s="2" t="s">
        <v>102</v>
      </c>
      <c r="C133" s="2" t="s">
        <v>749</v>
      </c>
      <c r="D133" s="2" t="s">
        <v>266</v>
      </c>
      <c r="E133" s="2" t="s">
        <v>320</v>
      </c>
      <c r="F133" s="2" t="s">
        <v>436</v>
      </c>
      <c r="G133" s="4" t="s">
        <v>269</v>
      </c>
      <c r="H133" s="2" t="s">
        <v>750</v>
      </c>
      <c r="I133" s="2" t="s">
        <v>271</v>
      </c>
      <c r="J133" s="2" t="s">
        <v>272</v>
      </c>
      <c r="K133" s="2" t="s">
        <v>273</v>
      </c>
      <c r="L133" s="2" t="s">
        <v>274</v>
      </c>
      <c r="M133" s="2" t="s">
        <v>751</v>
      </c>
      <c r="N133" s="2" t="s">
        <v>276</v>
      </c>
      <c r="O133" s="2" t="s">
        <v>277</v>
      </c>
      <c r="P133" s="2" t="s">
        <v>278</v>
      </c>
      <c r="Q133" s="2" t="s">
        <v>279</v>
      </c>
      <c r="R133" s="2" t="s">
        <v>280</v>
      </c>
      <c r="S133" s="2"/>
      <c r="T133" s="2" t="s">
        <v>281</v>
      </c>
      <c r="U133" s="2"/>
    </row>
    <row r="134" spans="1:21" ht="43.5" customHeight="1" x14ac:dyDescent="0.5">
      <c r="A134" s="2" t="s">
        <v>752</v>
      </c>
      <c r="B134" s="2" t="s">
        <v>102</v>
      </c>
      <c r="C134" s="2" t="s">
        <v>753</v>
      </c>
      <c r="D134" s="2" t="s">
        <v>284</v>
      </c>
      <c r="E134" s="2" t="s">
        <v>285</v>
      </c>
      <c r="F134" s="2" t="s">
        <v>441</v>
      </c>
      <c r="G134" s="4" t="s">
        <v>269</v>
      </c>
      <c r="H134" s="2" t="s">
        <v>750</v>
      </c>
      <c r="I134" s="2" t="s">
        <v>287</v>
      </c>
      <c r="J134" s="2" t="s">
        <v>272</v>
      </c>
      <c r="K134" s="2" t="s">
        <v>273</v>
      </c>
      <c r="L134" s="2" t="s">
        <v>274</v>
      </c>
      <c r="M134" s="2" t="s">
        <v>754</v>
      </c>
      <c r="N134" s="2" t="s">
        <v>276</v>
      </c>
      <c r="O134" s="2" t="s">
        <v>277</v>
      </c>
      <c r="P134" s="2" t="s">
        <v>278</v>
      </c>
      <c r="Q134" s="2" t="s">
        <v>279</v>
      </c>
      <c r="R134" s="2" t="s">
        <v>280</v>
      </c>
      <c r="S134" s="2"/>
      <c r="T134" s="2" t="s">
        <v>281</v>
      </c>
      <c r="U134" s="2"/>
    </row>
    <row r="135" spans="1:21" ht="43.5" customHeight="1" x14ac:dyDescent="0.5">
      <c r="A135" s="2" t="s">
        <v>755</v>
      </c>
      <c r="B135" s="2" t="s">
        <v>102</v>
      </c>
      <c r="C135" s="2" t="s">
        <v>756</v>
      </c>
      <c r="D135" s="2" t="s">
        <v>291</v>
      </c>
      <c r="E135" s="2" t="s">
        <v>292</v>
      </c>
      <c r="F135" s="2" t="s">
        <v>293</v>
      </c>
      <c r="G135" s="5" t="s">
        <v>294</v>
      </c>
      <c r="H135" s="2" t="s">
        <v>750</v>
      </c>
      <c r="I135" s="2" t="s">
        <v>295</v>
      </c>
      <c r="J135" s="2" t="s">
        <v>272</v>
      </c>
      <c r="K135" s="2" t="s">
        <v>296</v>
      </c>
      <c r="L135" s="2" t="s">
        <v>297</v>
      </c>
      <c r="M135" s="2" t="s">
        <v>757</v>
      </c>
      <c r="N135" s="2" t="s">
        <v>299</v>
      </c>
      <c r="O135" s="2" t="s">
        <v>300</v>
      </c>
      <c r="P135" s="2" t="s">
        <v>278</v>
      </c>
      <c r="Q135" s="2" t="s">
        <v>279</v>
      </c>
      <c r="R135" s="2" t="s">
        <v>280</v>
      </c>
      <c r="S135" s="2"/>
      <c r="T135" s="2" t="s">
        <v>281</v>
      </c>
      <c r="U135" s="2"/>
    </row>
    <row r="136" spans="1:21" ht="43.5" customHeight="1" x14ac:dyDescent="0.5">
      <c r="A136" s="2" t="s">
        <v>758</v>
      </c>
      <c r="B136" s="2" t="s">
        <v>102</v>
      </c>
      <c r="C136" s="2" t="s">
        <v>759</v>
      </c>
      <c r="D136" s="2" t="s">
        <v>523</v>
      </c>
      <c r="E136" s="2" t="s">
        <v>304</v>
      </c>
      <c r="F136" s="2" t="s">
        <v>524</v>
      </c>
      <c r="G136" s="5" t="s">
        <v>306</v>
      </c>
      <c r="H136" s="2" t="s">
        <v>750</v>
      </c>
      <c r="I136" s="2" t="s">
        <v>307</v>
      </c>
      <c r="J136" s="2" t="s">
        <v>272</v>
      </c>
      <c r="K136" s="2" t="s">
        <v>296</v>
      </c>
      <c r="L136" s="2" t="s">
        <v>297</v>
      </c>
      <c r="M136" s="2" t="s">
        <v>760</v>
      </c>
      <c r="N136" s="2" t="s">
        <v>309</v>
      </c>
      <c r="O136" s="2" t="s">
        <v>310</v>
      </c>
      <c r="P136" s="2" t="s">
        <v>278</v>
      </c>
      <c r="Q136" s="2" t="s">
        <v>279</v>
      </c>
      <c r="R136" s="2" t="s">
        <v>280</v>
      </c>
      <c r="S136" s="2"/>
      <c r="T136" s="2" t="s">
        <v>281</v>
      </c>
      <c r="U136" s="2"/>
    </row>
    <row r="137" spans="1:21" ht="43.5" customHeight="1" x14ac:dyDescent="0.5">
      <c r="A137" s="2" t="s">
        <v>761</v>
      </c>
      <c r="B137" s="2" t="s">
        <v>102</v>
      </c>
      <c r="C137" s="2" t="s">
        <v>762</v>
      </c>
      <c r="D137" s="2" t="s">
        <v>528</v>
      </c>
      <c r="E137" s="2" t="s">
        <v>359</v>
      </c>
      <c r="F137" s="2" t="s">
        <v>360</v>
      </c>
      <c r="G137" s="5" t="s">
        <v>294</v>
      </c>
      <c r="H137" s="2" t="s">
        <v>750</v>
      </c>
      <c r="I137" s="2" t="s">
        <v>361</v>
      </c>
      <c r="J137" s="2" t="s">
        <v>272</v>
      </c>
      <c r="K137" s="2" t="s">
        <v>296</v>
      </c>
      <c r="L137" s="2" t="s">
        <v>297</v>
      </c>
      <c r="M137" s="2" t="s">
        <v>763</v>
      </c>
      <c r="N137" s="2" t="s">
        <v>299</v>
      </c>
      <c r="O137" s="2" t="s">
        <v>300</v>
      </c>
      <c r="P137" s="2" t="s">
        <v>278</v>
      </c>
      <c r="Q137" s="2" t="s">
        <v>279</v>
      </c>
      <c r="R137" s="2" t="s">
        <v>280</v>
      </c>
      <c r="S137" s="2"/>
      <c r="T137" s="2" t="s">
        <v>281</v>
      </c>
      <c r="U137" s="2"/>
    </row>
    <row r="138" spans="1:21" ht="43.5" customHeight="1" x14ac:dyDescent="0.5">
      <c r="A138" s="2" t="s">
        <v>764</v>
      </c>
      <c r="B138" s="2" t="s">
        <v>102</v>
      </c>
      <c r="C138" s="2" t="s">
        <v>765</v>
      </c>
      <c r="D138" s="2" t="s">
        <v>457</v>
      </c>
      <c r="E138" s="2" t="s">
        <v>458</v>
      </c>
      <c r="F138" s="2" t="s">
        <v>459</v>
      </c>
      <c r="G138" s="5" t="s">
        <v>460</v>
      </c>
      <c r="H138" s="2" t="s">
        <v>750</v>
      </c>
      <c r="I138" s="2" t="s">
        <v>461</v>
      </c>
      <c r="J138" s="2" t="s">
        <v>272</v>
      </c>
      <c r="K138" s="2" t="s">
        <v>296</v>
      </c>
      <c r="L138" s="2" t="s">
        <v>297</v>
      </c>
      <c r="M138" s="2" t="s">
        <v>766</v>
      </c>
      <c r="N138" s="2" t="s">
        <v>309</v>
      </c>
      <c r="O138" s="2" t="s">
        <v>310</v>
      </c>
      <c r="P138" s="2" t="s">
        <v>278</v>
      </c>
      <c r="Q138" s="2" t="s">
        <v>279</v>
      </c>
      <c r="R138" s="2" t="s">
        <v>280</v>
      </c>
      <c r="S138" s="2"/>
      <c r="T138" s="2" t="s">
        <v>281</v>
      </c>
      <c r="U138" s="2"/>
    </row>
    <row r="139" spans="1:21" ht="43.5" customHeight="1" x14ac:dyDescent="0.5">
      <c r="A139" s="2" t="s">
        <v>767</v>
      </c>
      <c r="B139" s="2" t="s">
        <v>105</v>
      </c>
      <c r="C139" s="2" t="s">
        <v>768</v>
      </c>
      <c r="D139" s="2" t="s">
        <v>266</v>
      </c>
      <c r="E139" s="2" t="s">
        <v>267</v>
      </c>
      <c r="F139" s="2" t="s">
        <v>769</v>
      </c>
      <c r="G139" s="4" t="s">
        <v>269</v>
      </c>
      <c r="H139" s="2" t="s">
        <v>770</v>
      </c>
      <c r="I139" s="2" t="s">
        <v>271</v>
      </c>
      <c r="J139" s="2" t="s">
        <v>272</v>
      </c>
      <c r="K139" s="2" t="s">
        <v>273</v>
      </c>
      <c r="L139" s="2" t="s">
        <v>274</v>
      </c>
      <c r="M139" s="2" t="s">
        <v>771</v>
      </c>
      <c r="N139" s="2" t="s">
        <v>276</v>
      </c>
      <c r="O139" s="2" t="s">
        <v>277</v>
      </c>
      <c r="P139" s="2" t="s">
        <v>278</v>
      </c>
      <c r="Q139" s="2" t="s">
        <v>279</v>
      </c>
      <c r="R139" s="2" t="s">
        <v>280</v>
      </c>
      <c r="S139" s="2"/>
      <c r="T139" s="2" t="s">
        <v>281</v>
      </c>
      <c r="U139" s="2"/>
    </row>
    <row r="140" spans="1:21" ht="43.5" customHeight="1" x14ac:dyDescent="0.5">
      <c r="A140" s="2" t="s">
        <v>772</v>
      </c>
      <c r="B140" s="2" t="s">
        <v>105</v>
      </c>
      <c r="C140" s="2" t="s">
        <v>773</v>
      </c>
      <c r="D140" s="2" t="s">
        <v>284</v>
      </c>
      <c r="E140" s="2" t="s">
        <v>285</v>
      </c>
      <c r="F140" s="2" t="s">
        <v>774</v>
      </c>
      <c r="G140" s="4" t="s">
        <v>269</v>
      </c>
      <c r="H140" s="2" t="s">
        <v>770</v>
      </c>
      <c r="I140" s="2" t="s">
        <v>287</v>
      </c>
      <c r="J140" s="2" t="s">
        <v>272</v>
      </c>
      <c r="K140" s="2" t="s">
        <v>273</v>
      </c>
      <c r="L140" s="2" t="s">
        <v>274</v>
      </c>
      <c r="M140" s="2" t="s">
        <v>775</v>
      </c>
      <c r="N140" s="2" t="s">
        <v>276</v>
      </c>
      <c r="O140" s="2" t="s">
        <v>277</v>
      </c>
      <c r="P140" s="2" t="s">
        <v>278</v>
      </c>
      <c r="Q140" s="2" t="s">
        <v>279</v>
      </c>
      <c r="R140" s="2" t="s">
        <v>280</v>
      </c>
      <c r="S140" s="2"/>
      <c r="T140" s="2" t="s">
        <v>281</v>
      </c>
      <c r="U140" s="2"/>
    </row>
    <row r="141" spans="1:21" ht="43.5" customHeight="1" x14ac:dyDescent="0.5">
      <c r="A141" s="2" t="s">
        <v>776</v>
      </c>
      <c r="B141" s="2" t="s">
        <v>105</v>
      </c>
      <c r="C141" s="2" t="s">
        <v>777</v>
      </c>
      <c r="D141" s="2" t="s">
        <v>291</v>
      </c>
      <c r="E141" s="2" t="s">
        <v>292</v>
      </c>
      <c r="F141" s="2" t="s">
        <v>293</v>
      </c>
      <c r="G141" s="5" t="s">
        <v>294</v>
      </c>
      <c r="H141" s="2" t="s">
        <v>770</v>
      </c>
      <c r="I141" s="2" t="s">
        <v>295</v>
      </c>
      <c r="J141" s="2" t="s">
        <v>272</v>
      </c>
      <c r="K141" s="2" t="s">
        <v>296</v>
      </c>
      <c r="L141" s="2" t="s">
        <v>297</v>
      </c>
      <c r="M141" s="2" t="s">
        <v>778</v>
      </c>
      <c r="N141" s="2" t="s">
        <v>299</v>
      </c>
      <c r="O141" s="2" t="s">
        <v>300</v>
      </c>
      <c r="P141" s="2" t="s">
        <v>278</v>
      </c>
      <c r="Q141" s="2" t="s">
        <v>279</v>
      </c>
      <c r="R141" s="2" t="s">
        <v>280</v>
      </c>
      <c r="S141" s="2"/>
      <c r="T141" s="2" t="s">
        <v>281</v>
      </c>
      <c r="U141" s="2"/>
    </row>
    <row r="142" spans="1:21" ht="43.5" customHeight="1" x14ac:dyDescent="0.5">
      <c r="A142" s="2" t="s">
        <v>779</v>
      </c>
      <c r="B142" s="2" t="s">
        <v>105</v>
      </c>
      <c r="C142" s="2" t="s">
        <v>780</v>
      </c>
      <c r="D142" s="2" t="s">
        <v>353</v>
      </c>
      <c r="E142" s="2" t="s">
        <v>304</v>
      </c>
      <c r="F142" s="2" t="s">
        <v>354</v>
      </c>
      <c r="G142" s="5" t="s">
        <v>306</v>
      </c>
      <c r="H142" s="2" t="s">
        <v>770</v>
      </c>
      <c r="I142" s="2" t="s">
        <v>307</v>
      </c>
      <c r="J142" s="2" t="s">
        <v>272</v>
      </c>
      <c r="K142" s="2" t="s">
        <v>296</v>
      </c>
      <c r="L142" s="2" t="s">
        <v>297</v>
      </c>
      <c r="M142" s="2" t="s">
        <v>781</v>
      </c>
      <c r="N142" s="2" t="s">
        <v>309</v>
      </c>
      <c r="O142" s="2" t="s">
        <v>310</v>
      </c>
      <c r="P142" s="2" t="s">
        <v>278</v>
      </c>
      <c r="Q142" s="2" t="s">
        <v>279</v>
      </c>
      <c r="R142" s="2" t="s">
        <v>280</v>
      </c>
      <c r="S142" s="2"/>
      <c r="T142" s="2" t="s">
        <v>281</v>
      </c>
      <c r="U142" s="2"/>
    </row>
    <row r="143" spans="1:21" ht="43.5" customHeight="1" x14ac:dyDescent="0.5">
      <c r="A143" s="2" t="s">
        <v>782</v>
      </c>
      <c r="B143" s="2" t="s">
        <v>105</v>
      </c>
      <c r="C143" s="2" t="s">
        <v>783</v>
      </c>
      <c r="D143" s="2" t="s">
        <v>358</v>
      </c>
      <c r="E143" s="2" t="s">
        <v>359</v>
      </c>
      <c r="F143" s="2" t="s">
        <v>360</v>
      </c>
      <c r="G143" s="5" t="s">
        <v>294</v>
      </c>
      <c r="H143" s="2" t="s">
        <v>770</v>
      </c>
      <c r="I143" s="2" t="s">
        <v>361</v>
      </c>
      <c r="J143" s="2" t="s">
        <v>272</v>
      </c>
      <c r="K143" s="2" t="s">
        <v>296</v>
      </c>
      <c r="L143" s="2" t="s">
        <v>297</v>
      </c>
      <c r="M143" s="2" t="s">
        <v>784</v>
      </c>
      <c r="N143" s="2" t="s">
        <v>299</v>
      </c>
      <c r="O143" s="2" t="s">
        <v>300</v>
      </c>
      <c r="P143" s="2" t="s">
        <v>278</v>
      </c>
      <c r="Q143" s="2" t="s">
        <v>279</v>
      </c>
      <c r="R143" s="2" t="s">
        <v>280</v>
      </c>
      <c r="S143" s="2"/>
      <c r="T143" s="2" t="s">
        <v>281</v>
      </c>
      <c r="U143" s="2"/>
    </row>
    <row r="144" spans="1:21" ht="43.5" customHeight="1" x14ac:dyDescent="0.5">
      <c r="A144" s="2" t="s">
        <v>785</v>
      </c>
      <c r="B144" s="2" t="s">
        <v>105</v>
      </c>
      <c r="C144" s="2" t="s">
        <v>786</v>
      </c>
      <c r="D144" s="2" t="s">
        <v>551</v>
      </c>
      <c r="E144" s="2" t="s">
        <v>458</v>
      </c>
      <c r="F144" s="2" t="s">
        <v>459</v>
      </c>
      <c r="G144" s="5" t="s">
        <v>460</v>
      </c>
      <c r="H144" s="2" t="s">
        <v>770</v>
      </c>
      <c r="I144" s="2" t="s">
        <v>461</v>
      </c>
      <c r="J144" s="2" t="s">
        <v>272</v>
      </c>
      <c r="K144" s="2" t="s">
        <v>296</v>
      </c>
      <c r="L144" s="2" t="s">
        <v>297</v>
      </c>
      <c r="M144" s="2" t="s">
        <v>787</v>
      </c>
      <c r="N144" s="2" t="s">
        <v>309</v>
      </c>
      <c r="O144" s="2" t="s">
        <v>310</v>
      </c>
      <c r="P144" s="2" t="s">
        <v>278</v>
      </c>
      <c r="Q144" s="2" t="s">
        <v>279</v>
      </c>
      <c r="R144" s="2" t="s">
        <v>280</v>
      </c>
      <c r="S144" s="2"/>
      <c r="T144" s="2" t="s">
        <v>281</v>
      </c>
      <c r="U144" s="2"/>
    </row>
    <row r="145" spans="1:21" ht="43.5" customHeight="1" x14ac:dyDescent="0.5">
      <c r="A145" s="2" t="s">
        <v>788</v>
      </c>
      <c r="B145" s="2" t="s">
        <v>105</v>
      </c>
      <c r="C145" s="2" t="s">
        <v>789</v>
      </c>
      <c r="D145" s="2" t="s">
        <v>790</v>
      </c>
      <c r="E145" s="2" t="s">
        <v>791</v>
      </c>
      <c r="F145" s="2" t="s">
        <v>792</v>
      </c>
      <c r="G145" s="5" t="s">
        <v>460</v>
      </c>
      <c r="H145" s="2" t="s">
        <v>770</v>
      </c>
      <c r="I145" s="2" t="s">
        <v>307</v>
      </c>
      <c r="J145" s="2" t="s">
        <v>272</v>
      </c>
      <c r="K145" s="2" t="s">
        <v>296</v>
      </c>
      <c r="L145" s="2" t="s">
        <v>297</v>
      </c>
      <c r="M145" s="2" t="s">
        <v>793</v>
      </c>
      <c r="N145" s="2" t="s">
        <v>309</v>
      </c>
      <c r="O145" s="2" t="s">
        <v>310</v>
      </c>
      <c r="P145" s="2" t="s">
        <v>278</v>
      </c>
      <c r="Q145" s="2" t="s">
        <v>279</v>
      </c>
      <c r="R145" s="2" t="s">
        <v>280</v>
      </c>
      <c r="S145" s="2"/>
      <c r="T145" s="2" t="s">
        <v>281</v>
      </c>
      <c r="U145" s="2"/>
    </row>
    <row r="146" spans="1:21" ht="43.5" customHeight="1" x14ac:dyDescent="0.5">
      <c r="A146" s="2" t="s">
        <v>794</v>
      </c>
      <c r="B146" s="2" t="s">
        <v>105</v>
      </c>
      <c r="C146" s="2" t="s">
        <v>795</v>
      </c>
      <c r="D146" s="2" t="s">
        <v>266</v>
      </c>
      <c r="E146" s="2" t="s">
        <v>267</v>
      </c>
      <c r="F146" s="2" t="s">
        <v>796</v>
      </c>
      <c r="G146" s="4" t="s">
        <v>269</v>
      </c>
      <c r="H146" s="2" t="s">
        <v>797</v>
      </c>
      <c r="I146" s="2" t="s">
        <v>271</v>
      </c>
      <c r="J146" s="2" t="s">
        <v>272</v>
      </c>
      <c r="K146" s="2" t="s">
        <v>273</v>
      </c>
      <c r="L146" s="2" t="s">
        <v>274</v>
      </c>
      <c r="M146" s="2" t="s">
        <v>798</v>
      </c>
      <c r="N146" s="2" t="s">
        <v>276</v>
      </c>
      <c r="O146" s="2" t="s">
        <v>277</v>
      </c>
      <c r="P146" s="2" t="s">
        <v>278</v>
      </c>
      <c r="Q146" s="2" t="s">
        <v>279</v>
      </c>
      <c r="R146" s="2" t="s">
        <v>280</v>
      </c>
      <c r="S146" s="2"/>
      <c r="T146" s="2" t="s">
        <v>281</v>
      </c>
      <c r="U146" s="2"/>
    </row>
    <row r="147" spans="1:21" ht="43.5" customHeight="1" x14ac:dyDescent="0.5">
      <c r="A147" s="2" t="s">
        <v>799</v>
      </c>
      <c r="B147" s="2" t="s">
        <v>105</v>
      </c>
      <c r="C147" s="2" t="s">
        <v>800</v>
      </c>
      <c r="D147" s="2" t="s">
        <v>284</v>
      </c>
      <c r="E147" s="2" t="s">
        <v>285</v>
      </c>
      <c r="F147" s="2" t="s">
        <v>801</v>
      </c>
      <c r="G147" s="4" t="s">
        <v>269</v>
      </c>
      <c r="H147" s="2" t="s">
        <v>797</v>
      </c>
      <c r="I147" s="2" t="s">
        <v>287</v>
      </c>
      <c r="J147" s="2" t="s">
        <v>272</v>
      </c>
      <c r="K147" s="2" t="s">
        <v>273</v>
      </c>
      <c r="L147" s="2" t="s">
        <v>274</v>
      </c>
      <c r="M147" s="2" t="s">
        <v>802</v>
      </c>
      <c r="N147" s="2" t="s">
        <v>276</v>
      </c>
      <c r="O147" s="2" t="s">
        <v>277</v>
      </c>
      <c r="P147" s="2" t="s">
        <v>278</v>
      </c>
      <c r="Q147" s="2" t="s">
        <v>279</v>
      </c>
      <c r="R147" s="2" t="s">
        <v>280</v>
      </c>
      <c r="S147" s="2"/>
      <c r="T147" s="2" t="s">
        <v>281</v>
      </c>
      <c r="U147" s="2"/>
    </row>
    <row r="148" spans="1:21" ht="43.5" customHeight="1" x14ac:dyDescent="0.5">
      <c r="A148" s="2" t="s">
        <v>803</v>
      </c>
      <c r="B148" s="2" t="s">
        <v>105</v>
      </c>
      <c r="C148" s="2" t="s">
        <v>804</v>
      </c>
      <c r="D148" s="2" t="s">
        <v>291</v>
      </c>
      <c r="E148" s="2" t="s">
        <v>292</v>
      </c>
      <c r="F148" s="2" t="s">
        <v>293</v>
      </c>
      <c r="G148" s="5" t="s">
        <v>294</v>
      </c>
      <c r="H148" s="2" t="s">
        <v>797</v>
      </c>
      <c r="I148" s="2" t="s">
        <v>295</v>
      </c>
      <c r="J148" s="2" t="s">
        <v>272</v>
      </c>
      <c r="K148" s="2" t="s">
        <v>296</v>
      </c>
      <c r="L148" s="2" t="s">
        <v>297</v>
      </c>
      <c r="M148" s="2" t="s">
        <v>805</v>
      </c>
      <c r="N148" s="2" t="s">
        <v>299</v>
      </c>
      <c r="O148" s="2" t="s">
        <v>300</v>
      </c>
      <c r="P148" s="2" t="s">
        <v>278</v>
      </c>
      <c r="Q148" s="2" t="s">
        <v>279</v>
      </c>
      <c r="R148" s="2" t="s">
        <v>280</v>
      </c>
      <c r="S148" s="2"/>
      <c r="T148" s="2" t="s">
        <v>281</v>
      </c>
      <c r="U148" s="2"/>
    </row>
    <row r="149" spans="1:21" ht="43.5" customHeight="1" x14ac:dyDescent="0.5">
      <c r="A149" s="2" t="s">
        <v>806</v>
      </c>
      <c r="B149" s="2" t="s">
        <v>105</v>
      </c>
      <c r="C149" s="2" t="s">
        <v>807</v>
      </c>
      <c r="D149" s="2" t="s">
        <v>808</v>
      </c>
      <c r="E149" s="2" t="s">
        <v>304</v>
      </c>
      <c r="F149" s="2" t="s">
        <v>809</v>
      </c>
      <c r="G149" s="5" t="s">
        <v>306</v>
      </c>
      <c r="H149" s="2" t="s">
        <v>797</v>
      </c>
      <c r="I149" s="2" t="s">
        <v>307</v>
      </c>
      <c r="J149" s="2" t="s">
        <v>272</v>
      </c>
      <c r="K149" s="2" t="s">
        <v>296</v>
      </c>
      <c r="L149" s="2" t="s">
        <v>297</v>
      </c>
      <c r="M149" s="2" t="s">
        <v>810</v>
      </c>
      <c r="N149" s="2" t="s">
        <v>309</v>
      </c>
      <c r="O149" s="2" t="s">
        <v>310</v>
      </c>
      <c r="P149" s="2" t="s">
        <v>278</v>
      </c>
      <c r="Q149" s="2" t="s">
        <v>279</v>
      </c>
      <c r="R149" s="2" t="s">
        <v>280</v>
      </c>
      <c r="S149" s="2"/>
      <c r="T149" s="2" t="s">
        <v>281</v>
      </c>
      <c r="U149" s="2"/>
    </row>
    <row r="150" spans="1:21" ht="43.5" customHeight="1" x14ac:dyDescent="0.5">
      <c r="A150" s="2" t="s">
        <v>811</v>
      </c>
      <c r="B150" s="2" t="s">
        <v>105</v>
      </c>
      <c r="C150" s="2" t="s">
        <v>812</v>
      </c>
      <c r="D150" s="2" t="s">
        <v>813</v>
      </c>
      <c r="E150" s="2" t="s">
        <v>359</v>
      </c>
      <c r="F150" s="2" t="s">
        <v>360</v>
      </c>
      <c r="G150" s="5" t="s">
        <v>294</v>
      </c>
      <c r="H150" s="2" t="s">
        <v>797</v>
      </c>
      <c r="I150" s="2" t="s">
        <v>361</v>
      </c>
      <c r="J150" s="2" t="s">
        <v>272</v>
      </c>
      <c r="K150" s="2" t="s">
        <v>296</v>
      </c>
      <c r="L150" s="2" t="s">
        <v>297</v>
      </c>
      <c r="M150" s="2" t="s">
        <v>814</v>
      </c>
      <c r="N150" s="2" t="s">
        <v>299</v>
      </c>
      <c r="O150" s="2" t="s">
        <v>300</v>
      </c>
      <c r="P150" s="2" t="s">
        <v>278</v>
      </c>
      <c r="Q150" s="2" t="s">
        <v>279</v>
      </c>
      <c r="R150" s="2" t="s">
        <v>280</v>
      </c>
      <c r="S150" s="2"/>
      <c r="T150" s="2" t="s">
        <v>281</v>
      </c>
      <c r="U150" s="2"/>
    </row>
    <row r="151" spans="1:21" ht="43.5" customHeight="1" x14ac:dyDescent="0.5">
      <c r="A151" s="2" t="s">
        <v>815</v>
      </c>
      <c r="B151" s="2" t="s">
        <v>105</v>
      </c>
      <c r="C151" s="2" t="s">
        <v>816</v>
      </c>
      <c r="D151" s="2" t="s">
        <v>817</v>
      </c>
      <c r="E151" s="2" t="s">
        <v>458</v>
      </c>
      <c r="F151" s="2" t="s">
        <v>459</v>
      </c>
      <c r="G151" s="5" t="s">
        <v>460</v>
      </c>
      <c r="H151" s="2" t="s">
        <v>797</v>
      </c>
      <c r="I151" s="2" t="s">
        <v>461</v>
      </c>
      <c r="J151" s="2" t="s">
        <v>272</v>
      </c>
      <c r="K151" s="2" t="s">
        <v>296</v>
      </c>
      <c r="L151" s="2" t="s">
        <v>297</v>
      </c>
      <c r="M151" s="2" t="s">
        <v>818</v>
      </c>
      <c r="N151" s="2" t="s">
        <v>309</v>
      </c>
      <c r="O151" s="2" t="s">
        <v>310</v>
      </c>
      <c r="P151" s="2" t="s">
        <v>278</v>
      </c>
      <c r="Q151" s="2" t="s">
        <v>279</v>
      </c>
      <c r="R151" s="2" t="s">
        <v>280</v>
      </c>
      <c r="S151" s="2"/>
      <c r="T151" s="2" t="s">
        <v>281</v>
      </c>
      <c r="U151" s="2"/>
    </row>
    <row r="152" spans="1:21" ht="43.5" customHeight="1" x14ac:dyDescent="0.5">
      <c r="A152" s="2" t="s">
        <v>819</v>
      </c>
      <c r="B152" s="2" t="s">
        <v>105</v>
      </c>
      <c r="C152" s="2" t="s">
        <v>820</v>
      </c>
      <c r="D152" s="2" t="s">
        <v>821</v>
      </c>
      <c r="E152" s="2" t="s">
        <v>791</v>
      </c>
      <c r="F152" s="2" t="s">
        <v>792</v>
      </c>
      <c r="G152" s="5" t="s">
        <v>460</v>
      </c>
      <c r="H152" s="2" t="s">
        <v>797</v>
      </c>
      <c r="I152" s="2" t="s">
        <v>307</v>
      </c>
      <c r="J152" s="2" t="s">
        <v>272</v>
      </c>
      <c r="K152" s="2" t="s">
        <v>296</v>
      </c>
      <c r="L152" s="2" t="s">
        <v>297</v>
      </c>
      <c r="M152" s="2" t="s">
        <v>822</v>
      </c>
      <c r="N152" s="2" t="s">
        <v>309</v>
      </c>
      <c r="O152" s="2" t="s">
        <v>310</v>
      </c>
      <c r="P152" s="2" t="s">
        <v>278</v>
      </c>
      <c r="Q152" s="2" t="s">
        <v>279</v>
      </c>
      <c r="R152" s="2" t="s">
        <v>280</v>
      </c>
      <c r="S152" s="2"/>
      <c r="T152" s="2" t="s">
        <v>281</v>
      </c>
      <c r="U152" s="2"/>
    </row>
    <row r="153" spans="1:21" ht="43.5" customHeight="1" x14ac:dyDescent="0.5">
      <c r="A153" s="2" t="s">
        <v>823</v>
      </c>
      <c r="B153" s="2" t="s">
        <v>105</v>
      </c>
      <c r="C153" s="2" t="s">
        <v>824</v>
      </c>
      <c r="D153" s="2" t="s">
        <v>266</v>
      </c>
      <c r="E153" s="2" t="s">
        <v>267</v>
      </c>
      <c r="F153" s="2" t="s">
        <v>488</v>
      </c>
      <c r="G153" s="4" t="s">
        <v>269</v>
      </c>
      <c r="H153" s="2" t="s">
        <v>825</v>
      </c>
      <c r="I153" s="2" t="s">
        <v>271</v>
      </c>
      <c r="J153" s="2" t="s">
        <v>272</v>
      </c>
      <c r="K153" s="2" t="s">
        <v>273</v>
      </c>
      <c r="L153" s="2" t="s">
        <v>274</v>
      </c>
      <c r="M153" s="2" t="s">
        <v>826</v>
      </c>
      <c r="N153" s="2" t="s">
        <v>276</v>
      </c>
      <c r="O153" s="2" t="s">
        <v>277</v>
      </c>
      <c r="P153" s="2" t="s">
        <v>278</v>
      </c>
      <c r="Q153" s="2" t="s">
        <v>279</v>
      </c>
      <c r="R153" s="2" t="s">
        <v>280</v>
      </c>
      <c r="S153" s="2"/>
      <c r="T153" s="2" t="s">
        <v>281</v>
      </c>
      <c r="U153" s="2"/>
    </row>
    <row r="154" spans="1:21" ht="43.5" customHeight="1" x14ac:dyDescent="0.5">
      <c r="A154" s="2" t="s">
        <v>827</v>
      </c>
      <c r="B154" s="2" t="s">
        <v>105</v>
      </c>
      <c r="C154" s="2" t="s">
        <v>828</v>
      </c>
      <c r="D154" s="2" t="s">
        <v>284</v>
      </c>
      <c r="E154" s="2" t="s">
        <v>285</v>
      </c>
      <c r="F154" s="2" t="s">
        <v>493</v>
      </c>
      <c r="G154" s="4" t="s">
        <v>269</v>
      </c>
      <c r="H154" s="2" t="s">
        <v>825</v>
      </c>
      <c r="I154" s="2" t="s">
        <v>287</v>
      </c>
      <c r="J154" s="2" t="s">
        <v>272</v>
      </c>
      <c r="K154" s="2" t="s">
        <v>273</v>
      </c>
      <c r="L154" s="2" t="s">
        <v>274</v>
      </c>
      <c r="M154" s="2" t="s">
        <v>829</v>
      </c>
      <c r="N154" s="2" t="s">
        <v>276</v>
      </c>
      <c r="O154" s="2" t="s">
        <v>277</v>
      </c>
      <c r="P154" s="2" t="s">
        <v>278</v>
      </c>
      <c r="Q154" s="2" t="s">
        <v>279</v>
      </c>
      <c r="R154" s="2" t="s">
        <v>280</v>
      </c>
      <c r="S154" s="2"/>
      <c r="T154" s="2" t="s">
        <v>281</v>
      </c>
      <c r="U154" s="2"/>
    </row>
    <row r="155" spans="1:21" ht="43.5" customHeight="1" x14ac:dyDescent="0.5">
      <c r="A155" s="2" t="s">
        <v>830</v>
      </c>
      <c r="B155" s="2" t="s">
        <v>105</v>
      </c>
      <c r="C155" s="2" t="s">
        <v>831</v>
      </c>
      <c r="D155" s="2" t="s">
        <v>398</v>
      </c>
      <c r="E155" s="2" t="s">
        <v>399</v>
      </c>
      <c r="F155" s="2" t="s">
        <v>400</v>
      </c>
      <c r="G155" s="2" t="s">
        <v>401</v>
      </c>
      <c r="H155" s="2" t="s">
        <v>825</v>
      </c>
      <c r="I155" s="2" t="s">
        <v>402</v>
      </c>
      <c r="J155" s="2" t="s">
        <v>272</v>
      </c>
      <c r="K155" s="2" t="s">
        <v>273</v>
      </c>
      <c r="L155" s="2" t="s">
        <v>274</v>
      </c>
      <c r="M155" s="2" t="s">
        <v>832</v>
      </c>
      <c r="N155" s="2" t="s">
        <v>276</v>
      </c>
      <c r="O155" s="2" t="s">
        <v>277</v>
      </c>
      <c r="P155" s="2" t="s">
        <v>278</v>
      </c>
      <c r="Q155" s="2" t="s">
        <v>279</v>
      </c>
      <c r="R155" s="2" t="s">
        <v>280</v>
      </c>
      <c r="S155" s="2"/>
      <c r="T155" s="2" t="s">
        <v>281</v>
      </c>
      <c r="U155" s="2"/>
    </row>
    <row r="156" spans="1:21" ht="43.5" customHeight="1" x14ac:dyDescent="0.5">
      <c r="A156" s="2" t="s">
        <v>833</v>
      </c>
      <c r="B156" s="2" t="s">
        <v>105</v>
      </c>
      <c r="C156" s="2" t="s">
        <v>834</v>
      </c>
      <c r="D156" s="2" t="s">
        <v>835</v>
      </c>
      <c r="E156" s="2" t="s">
        <v>304</v>
      </c>
      <c r="F156" s="2" t="s">
        <v>836</v>
      </c>
      <c r="G156" s="5" t="s">
        <v>306</v>
      </c>
      <c r="H156" s="2" t="s">
        <v>825</v>
      </c>
      <c r="I156" s="2" t="s">
        <v>307</v>
      </c>
      <c r="J156" s="2" t="s">
        <v>272</v>
      </c>
      <c r="K156" s="2" t="s">
        <v>296</v>
      </c>
      <c r="L156" s="2" t="s">
        <v>297</v>
      </c>
      <c r="M156" s="2" t="s">
        <v>837</v>
      </c>
      <c r="N156" s="2" t="s">
        <v>309</v>
      </c>
      <c r="O156" s="2" t="s">
        <v>310</v>
      </c>
      <c r="P156" s="2" t="s">
        <v>278</v>
      </c>
      <c r="Q156" s="2" t="s">
        <v>279</v>
      </c>
      <c r="R156" s="2" t="s">
        <v>280</v>
      </c>
      <c r="S156" s="2"/>
      <c r="T156" s="2" t="s">
        <v>281</v>
      </c>
      <c r="U156" s="2"/>
    </row>
    <row r="157" spans="1:21" ht="43.5" customHeight="1" x14ac:dyDescent="0.5">
      <c r="A157" s="2" t="s">
        <v>838</v>
      </c>
      <c r="B157" s="2" t="s">
        <v>105</v>
      </c>
      <c r="C157" s="2" t="s">
        <v>839</v>
      </c>
      <c r="D157" s="2" t="s">
        <v>840</v>
      </c>
      <c r="E157" s="2" t="s">
        <v>359</v>
      </c>
      <c r="F157" s="2" t="s">
        <v>360</v>
      </c>
      <c r="G157" s="5" t="s">
        <v>294</v>
      </c>
      <c r="H157" s="2" t="s">
        <v>825</v>
      </c>
      <c r="I157" s="2" t="s">
        <v>361</v>
      </c>
      <c r="J157" s="2" t="s">
        <v>272</v>
      </c>
      <c r="K157" s="2" t="s">
        <v>296</v>
      </c>
      <c r="L157" s="2" t="s">
        <v>297</v>
      </c>
      <c r="M157" s="2" t="s">
        <v>841</v>
      </c>
      <c r="N157" s="2" t="s">
        <v>299</v>
      </c>
      <c r="O157" s="2" t="s">
        <v>300</v>
      </c>
      <c r="P157" s="2" t="s">
        <v>278</v>
      </c>
      <c r="Q157" s="2" t="s">
        <v>279</v>
      </c>
      <c r="R157" s="2" t="s">
        <v>280</v>
      </c>
      <c r="S157" s="2"/>
      <c r="T157" s="2" t="s">
        <v>281</v>
      </c>
      <c r="U157" s="2"/>
    </row>
    <row r="158" spans="1:21" ht="43.5" customHeight="1" x14ac:dyDescent="0.5">
      <c r="A158" s="2" t="s">
        <v>842</v>
      </c>
      <c r="B158" s="2" t="s">
        <v>105</v>
      </c>
      <c r="C158" s="2" t="s">
        <v>843</v>
      </c>
      <c r="D158" s="2" t="s">
        <v>509</v>
      </c>
      <c r="E158" s="2" t="s">
        <v>458</v>
      </c>
      <c r="F158" s="2" t="s">
        <v>459</v>
      </c>
      <c r="G158" s="5" t="s">
        <v>460</v>
      </c>
      <c r="H158" s="2" t="s">
        <v>825</v>
      </c>
      <c r="I158" s="2" t="s">
        <v>461</v>
      </c>
      <c r="J158" s="2" t="s">
        <v>272</v>
      </c>
      <c r="K158" s="2" t="s">
        <v>296</v>
      </c>
      <c r="L158" s="2" t="s">
        <v>297</v>
      </c>
      <c r="M158" s="2" t="s">
        <v>844</v>
      </c>
      <c r="N158" s="2" t="s">
        <v>309</v>
      </c>
      <c r="O158" s="2" t="s">
        <v>310</v>
      </c>
      <c r="P158" s="2" t="s">
        <v>278</v>
      </c>
      <c r="Q158" s="2" t="s">
        <v>279</v>
      </c>
      <c r="R158" s="2" t="s">
        <v>280</v>
      </c>
      <c r="S158" s="2"/>
      <c r="T158" s="2" t="s">
        <v>281</v>
      </c>
      <c r="U158" s="2"/>
    </row>
    <row r="159" spans="1:21" ht="43.5" customHeight="1" x14ac:dyDescent="0.5">
      <c r="A159" s="2" t="s">
        <v>845</v>
      </c>
      <c r="B159" s="2" t="s">
        <v>105</v>
      </c>
      <c r="C159" s="2" t="s">
        <v>846</v>
      </c>
      <c r="D159" s="2" t="s">
        <v>847</v>
      </c>
      <c r="E159" s="2" t="s">
        <v>791</v>
      </c>
      <c r="F159" s="2" t="s">
        <v>792</v>
      </c>
      <c r="G159" s="5" t="s">
        <v>460</v>
      </c>
      <c r="H159" s="2" t="s">
        <v>825</v>
      </c>
      <c r="I159" s="2" t="s">
        <v>307</v>
      </c>
      <c r="J159" s="2" t="s">
        <v>272</v>
      </c>
      <c r="K159" s="2" t="s">
        <v>296</v>
      </c>
      <c r="L159" s="2" t="s">
        <v>297</v>
      </c>
      <c r="M159" s="2" t="s">
        <v>848</v>
      </c>
      <c r="N159" s="2" t="s">
        <v>309</v>
      </c>
      <c r="O159" s="2" t="s">
        <v>310</v>
      </c>
      <c r="P159" s="2" t="s">
        <v>278</v>
      </c>
      <c r="Q159" s="2" t="s">
        <v>279</v>
      </c>
      <c r="R159" s="2" t="s">
        <v>280</v>
      </c>
      <c r="S159" s="2"/>
      <c r="T159" s="2" t="s">
        <v>281</v>
      </c>
      <c r="U159" s="2"/>
    </row>
    <row r="160" spans="1:21" ht="43.5" customHeight="1" x14ac:dyDescent="0.5">
      <c r="A160" s="2" t="s">
        <v>849</v>
      </c>
      <c r="B160" s="2" t="s">
        <v>105</v>
      </c>
      <c r="C160" s="2" t="s">
        <v>850</v>
      </c>
      <c r="D160" s="2" t="s">
        <v>266</v>
      </c>
      <c r="E160" s="2" t="s">
        <v>267</v>
      </c>
      <c r="F160" s="2" t="s">
        <v>851</v>
      </c>
      <c r="G160" s="4" t="s">
        <v>269</v>
      </c>
      <c r="H160" s="2" t="s">
        <v>852</v>
      </c>
      <c r="I160" s="2" t="s">
        <v>271</v>
      </c>
      <c r="J160" s="2" t="s">
        <v>272</v>
      </c>
      <c r="K160" s="2" t="s">
        <v>273</v>
      </c>
      <c r="L160" s="2" t="s">
        <v>274</v>
      </c>
      <c r="M160" s="2" t="s">
        <v>853</v>
      </c>
      <c r="N160" s="2" t="s">
        <v>276</v>
      </c>
      <c r="O160" s="2" t="s">
        <v>277</v>
      </c>
      <c r="P160" s="2" t="s">
        <v>278</v>
      </c>
      <c r="Q160" s="2" t="s">
        <v>279</v>
      </c>
      <c r="R160" s="2" t="s">
        <v>280</v>
      </c>
      <c r="S160" s="2"/>
      <c r="T160" s="2" t="s">
        <v>281</v>
      </c>
      <c r="U160" s="2"/>
    </row>
    <row r="161" spans="1:21" ht="43.5" customHeight="1" x14ac:dyDescent="0.5">
      <c r="A161" s="2" t="s">
        <v>854</v>
      </c>
      <c r="B161" s="2" t="s">
        <v>105</v>
      </c>
      <c r="C161" s="2" t="s">
        <v>855</v>
      </c>
      <c r="D161" s="2" t="s">
        <v>284</v>
      </c>
      <c r="E161" s="2" t="s">
        <v>285</v>
      </c>
      <c r="F161" s="2" t="s">
        <v>856</v>
      </c>
      <c r="G161" s="4" t="s">
        <v>269</v>
      </c>
      <c r="H161" s="2" t="s">
        <v>852</v>
      </c>
      <c r="I161" s="2" t="s">
        <v>287</v>
      </c>
      <c r="J161" s="2" t="s">
        <v>272</v>
      </c>
      <c r="K161" s="2" t="s">
        <v>273</v>
      </c>
      <c r="L161" s="2" t="s">
        <v>274</v>
      </c>
      <c r="M161" s="2" t="s">
        <v>857</v>
      </c>
      <c r="N161" s="2" t="s">
        <v>276</v>
      </c>
      <c r="O161" s="2" t="s">
        <v>277</v>
      </c>
      <c r="P161" s="2" t="s">
        <v>278</v>
      </c>
      <c r="Q161" s="2" t="s">
        <v>279</v>
      </c>
      <c r="R161" s="2" t="s">
        <v>280</v>
      </c>
      <c r="S161" s="2"/>
      <c r="T161" s="2" t="s">
        <v>281</v>
      </c>
      <c r="U161" s="2"/>
    </row>
    <row r="162" spans="1:21" ht="43.5" customHeight="1" x14ac:dyDescent="0.5">
      <c r="A162" s="2" t="s">
        <v>858</v>
      </c>
      <c r="B162" s="2" t="s">
        <v>105</v>
      </c>
      <c r="C162" s="2" t="s">
        <v>859</v>
      </c>
      <c r="D162" s="2" t="s">
        <v>398</v>
      </c>
      <c r="E162" s="2" t="s">
        <v>399</v>
      </c>
      <c r="F162" s="2" t="s">
        <v>400</v>
      </c>
      <c r="G162" s="2" t="s">
        <v>401</v>
      </c>
      <c r="H162" s="2" t="s">
        <v>852</v>
      </c>
      <c r="I162" s="2" t="s">
        <v>402</v>
      </c>
      <c r="J162" s="2" t="s">
        <v>272</v>
      </c>
      <c r="K162" s="2" t="s">
        <v>273</v>
      </c>
      <c r="L162" s="2" t="s">
        <v>274</v>
      </c>
      <c r="M162" s="2" t="s">
        <v>860</v>
      </c>
      <c r="N162" s="2" t="s">
        <v>276</v>
      </c>
      <c r="O162" s="2" t="s">
        <v>277</v>
      </c>
      <c r="P162" s="2" t="s">
        <v>278</v>
      </c>
      <c r="Q162" s="2" t="s">
        <v>279</v>
      </c>
      <c r="R162" s="2" t="s">
        <v>280</v>
      </c>
      <c r="S162" s="2"/>
      <c r="T162" s="2" t="s">
        <v>281</v>
      </c>
      <c r="U162" s="2"/>
    </row>
    <row r="163" spans="1:21" ht="43.5" customHeight="1" x14ac:dyDescent="0.5">
      <c r="A163" s="2" t="s">
        <v>861</v>
      </c>
      <c r="B163" s="2" t="s">
        <v>105</v>
      </c>
      <c r="C163" s="2" t="s">
        <v>862</v>
      </c>
      <c r="D163" s="2" t="s">
        <v>863</v>
      </c>
      <c r="E163" s="2" t="s">
        <v>304</v>
      </c>
      <c r="F163" s="2" t="s">
        <v>864</v>
      </c>
      <c r="G163" s="5" t="s">
        <v>306</v>
      </c>
      <c r="H163" s="2" t="s">
        <v>852</v>
      </c>
      <c r="I163" s="2" t="s">
        <v>307</v>
      </c>
      <c r="J163" s="2" t="s">
        <v>272</v>
      </c>
      <c r="K163" s="2" t="s">
        <v>296</v>
      </c>
      <c r="L163" s="2" t="s">
        <v>297</v>
      </c>
      <c r="M163" s="2" t="s">
        <v>865</v>
      </c>
      <c r="N163" s="2" t="s">
        <v>309</v>
      </c>
      <c r="O163" s="2" t="s">
        <v>310</v>
      </c>
      <c r="P163" s="2" t="s">
        <v>278</v>
      </c>
      <c r="Q163" s="2" t="s">
        <v>279</v>
      </c>
      <c r="R163" s="2" t="s">
        <v>280</v>
      </c>
      <c r="S163" s="2"/>
      <c r="T163" s="2" t="s">
        <v>281</v>
      </c>
      <c r="U163" s="2"/>
    </row>
    <row r="164" spans="1:21" ht="43.5" customHeight="1" x14ac:dyDescent="0.5">
      <c r="A164" s="2" t="s">
        <v>866</v>
      </c>
      <c r="B164" s="2" t="s">
        <v>105</v>
      </c>
      <c r="C164" s="2" t="s">
        <v>867</v>
      </c>
      <c r="D164" s="2" t="s">
        <v>868</v>
      </c>
      <c r="E164" s="2" t="s">
        <v>359</v>
      </c>
      <c r="F164" s="2" t="s">
        <v>360</v>
      </c>
      <c r="G164" s="5" t="s">
        <v>294</v>
      </c>
      <c r="H164" s="2" t="s">
        <v>852</v>
      </c>
      <c r="I164" s="2" t="s">
        <v>361</v>
      </c>
      <c r="J164" s="2" t="s">
        <v>272</v>
      </c>
      <c r="K164" s="2" t="s">
        <v>296</v>
      </c>
      <c r="L164" s="2" t="s">
        <v>297</v>
      </c>
      <c r="M164" s="2" t="s">
        <v>869</v>
      </c>
      <c r="N164" s="2" t="s">
        <v>299</v>
      </c>
      <c r="O164" s="2" t="s">
        <v>300</v>
      </c>
      <c r="P164" s="2" t="s">
        <v>278</v>
      </c>
      <c r="Q164" s="2" t="s">
        <v>279</v>
      </c>
      <c r="R164" s="2" t="s">
        <v>280</v>
      </c>
      <c r="S164" s="2"/>
      <c r="T164" s="2" t="s">
        <v>281</v>
      </c>
      <c r="U164" s="2"/>
    </row>
    <row r="165" spans="1:21" ht="43.5" customHeight="1" x14ac:dyDescent="0.5">
      <c r="A165" s="2" t="s">
        <v>870</v>
      </c>
      <c r="B165" s="2" t="s">
        <v>105</v>
      </c>
      <c r="C165" s="2" t="s">
        <v>871</v>
      </c>
      <c r="D165" s="2" t="s">
        <v>872</v>
      </c>
      <c r="E165" s="2" t="s">
        <v>458</v>
      </c>
      <c r="F165" s="2" t="s">
        <v>459</v>
      </c>
      <c r="G165" s="5" t="s">
        <v>460</v>
      </c>
      <c r="H165" s="2" t="s">
        <v>852</v>
      </c>
      <c r="I165" s="2" t="s">
        <v>461</v>
      </c>
      <c r="J165" s="2" t="s">
        <v>272</v>
      </c>
      <c r="K165" s="2" t="s">
        <v>296</v>
      </c>
      <c r="L165" s="2" t="s">
        <v>297</v>
      </c>
      <c r="M165" s="2" t="s">
        <v>873</v>
      </c>
      <c r="N165" s="2" t="s">
        <v>309</v>
      </c>
      <c r="O165" s="2" t="s">
        <v>310</v>
      </c>
      <c r="P165" s="2" t="s">
        <v>278</v>
      </c>
      <c r="Q165" s="2" t="s">
        <v>279</v>
      </c>
      <c r="R165" s="2" t="s">
        <v>280</v>
      </c>
      <c r="S165" s="2"/>
      <c r="T165" s="2" t="s">
        <v>281</v>
      </c>
      <c r="U165" s="2"/>
    </row>
    <row r="166" spans="1:21" ht="43.5" customHeight="1" x14ac:dyDescent="0.5">
      <c r="A166" s="2" t="s">
        <v>874</v>
      </c>
      <c r="B166" s="2" t="s">
        <v>105</v>
      </c>
      <c r="C166" s="2" t="s">
        <v>875</v>
      </c>
      <c r="D166" s="2" t="s">
        <v>876</v>
      </c>
      <c r="E166" s="2" t="s">
        <v>791</v>
      </c>
      <c r="F166" s="2" t="s">
        <v>792</v>
      </c>
      <c r="G166" s="5" t="s">
        <v>460</v>
      </c>
      <c r="H166" s="2" t="s">
        <v>852</v>
      </c>
      <c r="I166" s="2" t="s">
        <v>307</v>
      </c>
      <c r="J166" s="2" t="s">
        <v>272</v>
      </c>
      <c r="K166" s="2" t="s">
        <v>296</v>
      </c>
      <c r="L166" s="2" t="s">
        <v>297</v>
      </c>
      <c r="M166" s="2" t="s">
        <v>877</v>
      </c>
      <c r="N166" s="2" t="s">
        <v>309</v>
      </c>
      <c r="O166" s="2" t="s">
        <v>310</v>
      </c>
      <c r="P166" s="2" t="s">
        <v>278</v>
      </c>
      <c r="Q166" s="2" t="s">
        <v>279</v>
      </c>
      <c r="R166" s="2" t="s">
        <v>280</v>
      </c>
      <c r="S166" s="2"/>
      <c r="T166" s="2" t="s">
        <v>281</v>
      </c>
      <c r="U166" s="2"/>
    </row>
    <row r="167" spans="1:21" ht="43.5" customHeight="1" x14ac:dyDescent="0.5">
      <c r="A167" s="2" t="s">
        <v>878</v>
      </c>
      <c r="B167" s="2" t="s">
        <v>108</v>
      </c>
      <c r="C167" s="2" t="s">
        <v>768</v>
      </c>
      <c r="D167" s="2" t="s">
        <v>266</v>
      </c>
      <c r="E167" s="2" t="s">
        <v>267</v>
      </c>
      <c r="F167" s="2" t="s">
        <v>769</v>
      </c>
      <c r="G167" s="4" t="s">
        <v>269</v>
      </c>
      <c r="H167" s="2" t="s">
        <v>879</v>
      </c>
      <c r="I167" s="2" t="s">
        <v>271</v>
      </c>
      <c r="J167" s="2" t="s">
        <v>272</v>
      </c>
      <c r="K167" s="2" t="s">
        <v>273</v>
      </c>
      <c r="L167" s="2" t="s">
        <v>274</v>
      </c>
      <c r="M167" s="2" t="s">
        <v>880</v>
      </c>
      <c r="N167" s="2" t="s">
        <v>276</v>
      </c>
      <c r="O167" s="2" t="s">
        <v>277</v>
      </c>
      <c r="P167" s="2" t="s">
        <v>278</v>
      </c>
      <c r="Q167" s="2" t="s">
        <v>279</v>
      </c>
      <c r="R167" s="2" t="s">
        <v>280</v>
      </c>
      <c r="S167" s="2"/>
      <c r="T167" s="2" t="s">
        <v>281</v>
      </c>
      <c r="U167" s="2"/>
    </row>
    <row r="168" spans="1:21" ht="43.5" customHeight="1" x14ac:dyDescent="0.5">
      <c r="A168" s="2" t="s">
        <v>881</v>
      </c>
      <c r="B168" s="2" t="s">
        <v>108</v>
      </c>
      <c r="C168" s="2" t="s">
        <v>773</v>
      </c>
      <c r="D168" s="2" t="s">
        <v>284</v>
      </c>
      <c r="E168" s="2" t="s">
        <v>285</v>
      </c>
      <c r="F168" s="2" t="s">
        <v>774</v>
      </c>
      <c r="G168" s="4" t="s">
        <v>269</v>
      </c>
      <c r="H168" s="2" t="s">
        <v>879</v>
      </c>
      <c r="I168" s="2" t="s">
        <v>287</v>
      </c>
      <c r="J168" s="2" t="s">
        <v>272</v>
      </c>
      <c r="K168" s="2" t="s">
        <v>273</v>
      </c>
      <c r="L168" s="2" t="s">
        <v>274</v>
      </c>
      <c r="M168" s="2" t="s">
        <v>882</v>
      </c>
      <c r="N168" s="2" t="s">
        <v>276</v>
      </c>
      <c r="O168" s="2" t="s">
        <v>277</v>
      </c>
      <c r="P168" s="2" t="s">
        <v>278</v>
      </c>
      <c r="Q168" s="2" t="s">
        <v>279</v>
      </c>
      <c r="R168" s="2" t="s">
        <v>280</v>
      </c>
      <c r="S168" s="2"/>
      <c r="T168" s="2" t="s">
        <v>281</v>
      </c>
      <c r="U168" s="2"/>
    </row>
    <row r="169" spans="1:21" ht="43.5" customHeight="1" x14ac:dyDescent="0.5">
      <c r="A169" s="2" t="s">
        <v>883</v>
      </c>
      <c r="B169" s="2" t="s">
        <v>108</v>
      </c>
      <c r="C169" s="2" t="s">
        <v>777</v>
      </c>
      <c r="D169" s="2" t="s">
        <v>291</v>
      </c>
      <c r="E169" s="2" t="s">
        <v>292</v>
      </c>
      <c r="F169" s="2" t="s">
        <v>293</v>
      </c>
      <c r="G169" s="5" t="s">
        <v>294</v>
      </c>
      <c r="H169" s="2" t="s">
        <v>879</v>
      </c>
      <c r="I169" s="2" t="s">
        <v>295</v>
      </c>
      <c r="J169" s="2" t="s">
        <v>272</v>
      </c>
      <c r="K169" s="2" t="s">
        <v>296</v>
      </c>
      <c r="L169" s="2" t="s">
        <v>297</v>
      </c>
      <c r="M169" s="2" t="s">
        <v>884</v>
      </c>
      <c r="N169" s="2" t="s">
        <v>299</v>
      </c>
      <c r="O169" s="2" t="s">
        <v>300</v>
      </c>
      <c r="P169" s="2" t="s">
        <v>278</v>
      </c>
      <c r="Q169" s="2" t="s">
        <v>279</v>
      </c>
      <c r="R169" s="2" t="s">
        <v>280</v>
      </c>
      <c r="S169" s="2"/>
      <c r="T169" s="2" t="s">
        <v>281</v>
      </c>
      <c r="U169" s="2"/>
    </row>
    <row r="170" spans="1:21" ht="43.5" customHeight="1" x14ac:dyDescent="0.5">
      <c r="A170" s="2" t="s">
        <v>885</v>
      </c>
      <c r="B170" s="2" t="s">
        <v>108</v>
      </c>
      <c r="C170" s="2" t="s">
        <v>780</v>
      </c>
      <c r="D170" s="2" t="s">
        <v>353</v>
      </c>
      <c r="E170" s="2" t="s">
        <v>304</v>
      </c>
      <c r="F170" s="2" t="s">
        <v>354</v>
      </c>
      <c r="G170" s="5" t="s">
        <v>306</v>
      </c>
      <c r="H170" s="2" t="s">
        <v>879</v>
      </c>
      <c r="I170" s="2" t="s">
        <v>307</v>
      </c>
      <c r="J170" s="2" t="s">
        <v>272</v>
      </c>
      <c r="K170" s="2" t="s">
        <v>296</v>
      </c>
      <c r="L170" s="2" t="s">
        <v>297</v>
      </c>
      <c r="M170" s="2" t="s">
        <v>886</v>
      </c>
      <c r="N170" s="2" t="s">
        <v>309</v>
      </c>
      <c r="O170" s="2" t="s">
        <v>310</v>
      </c>
      <c r="P170" s="2" t="s">
        <v>278</v>
      </c>
      <c r="Q170" s="2" t="s">
        <v>279</v>
      </c>
      <c r="R170" s="2" t="s">
        <v>280</v>
      </c>
      <c r="S170" s="2"/>
      <c r="T170" s="2" t="s">
        <v>281</v>
      </c>
      <c r="U170" s="2"/>
    </row>
    <row r="171" spans="1:21" ht="43.5" customHeight="1" x14ac:dyDescent="0.5">
      <c r="A171" s="2" t="s">
        <v>887</v>
      </c>
      <c r="B171" s="2" t="s">
        <v>108</v>
      </c>
      <c r="C171" s="2" t="s">
        <v>783</v>
      </c>
      <c r="D171" s="2" t="s">
        <v>358</v>
      </c>
      <c r="E171" s="2" t="s">
        <v>359</v>
      </c>
      <c r="F171" s="2" t="s">
        <v>360</v>
      </c>
      <c r="G171" s="5" t="s">
        <v>294</v>
      </c>
      <c r="H171" s="2" t="s">
        <v>879</v>
      </c>
      <c r="I171" s="2" t="s">
        <v>361</v>
      </c>
      <c r="J171" s="2" t="s">
        <v>272</v>
      </c>
      <c r="K171" s="2" t="s">
        <v>296</v>
      </c>
      <c r="L171" s="2" t="s">
        <v>297</v>
      </c>
      <c r="M171" s="2" t="s">
        <v>888</v>
      </c>
      <c r="N171" s="2" t="s">
        <v>299</v>
      </c>
      <c r="O171" s="2" t="s">
        <v>300</v>
      </c>
      <c r="P171" s="2" t="s">
        <v>278</v>
      </c>
      <c r="Q171" s="2" t="s">
        <v>279</v>
      </c>
      <c r="R171" s="2" t="s">
        <v>280</v>
      </c>
      <c r="S171" s="2"/>
      <c r="T171" s="2" t="s">
        <v>281</v>
      </c>
      <c r="U171" s="2"/>
    </row>
    <row r="172" spans="1:21" ht="43.5" customHeight="1" x14ac:dyDescent="0.5">
      <c r="A172" s="2" t="s">
        <v>889</v>
      </c>
      <c r="B172" s="2" t="s">
        <v>108</v>
      </c>
      <c r="C172" s="2" t="s">
        <v>786</v>
      </c>
      <c r="D172" s="2" t="s">
        <v>551</v>
      </c>
      <c r="E172" s="2" t="s">
        <v>458</v>
      </c>
      <c r="F172" s="2" t="s">
        <v>459</v>
      </c>
      <c r="G172" s="5" t="s">
        <v>460</v>
      </c>
      <c r="H172" s="2" t="s">
        <v>879</v>
      </c>
      <c r="I172" s="2" t="s">
        <v>461</v>
      </c>
      <c r="J172" s="2" t="s">
        <v>272</v>
      </c>
      <c r="K172" s="2" t="s">
        <v>296</v>
      </c>
      <c r="L172" s="2" t="s">
        <v>297</v>
      </c>
      <c r="M172" s="2" t="s">
        <v>890</v>
      </c>
      <c r="N172" s="2" t="s">
        <v>309</v>
      </c>
      <c r="O172" s="2" t="s">
        <v>310</v>
      </c>
      <c r="P172" s="2" t="s">
        <v>278</v>
      </c>
      <c r="Q172" s="2" t="s">
        <v>279</v>
      </c>
      <c r="R172" s="2" t="s">
        <v>280</v>
      </c>
      <c r="S172" s="2"/>
      <c r="T172" s="2" t="s">
        <v>281</v>
      </c>
      <c r="U172" s="2"/>
    </row>
    <row r="173" spans="1:21" ht="43.5" customHeight="1" x14ac:dyDescent="0.5">
      <c r="A173" s="2" t="s">
        <v>891</v>
      </c>
      <c r="B173" s="2" t="s">
        <v>108</v>
      </c>
      <c r="C173" s="2" t="s">
        <v>789</v>
      </c>
      <c r="D173" s="2" t="s">
        <v>790</v>
      </c>
      <c r="E173" s="2" t="s">
        <v>791</v>
      </c>
      <c r="F173" s="2" t="s">
        <v>792</v>
      </c>
      <c r="G173" s="5" t="s">
        <v>460</v>
      </c>
      <c r="H173" s="2" t="s">
        <v>879</v>
      </c>
      <c r="I173" s="2" t="s">
        <v>307</v>
      </c>
      <c r="J173" s="2" t="s">
        <v>272</v>
      </c>
      <c r="K173" s="2" t="s">
        <v>296</v>
      </c>
      <c r="L173" s="2" t="s">
        <v>297</v>
      </c>
      <c r="M173" s="2" t="s">
        <v>892</v>
      </c>
      <c r="N173" s="2" t="s">
        <v>309</v>
      </c>
      <c r="O173" s="2" t="s">
        <v>310</v>
      </c>
      <c r="P173" s="2" t="s">
        <v>278</v>
      </c>
      <c r="Q173" s="2" t="s">
        <v>279</v>
      </c>
      <c r="R173" s="2" t="s">
        <v>280</v>
      </c>
      <c r="S173" s="2"/>
      <c r="T173" s="2" t="s">
        <v>281</v>
      </c>
      <c r="U173" s="2"/>
    </row>
    <row r="174" spans="1:21" ht="43.5" customHeight="1" x14ac:dyDescent="0.5">
      <c r="A174" s="2" t="s">
        <v>893</v>
      </c>
      <c r="B174" s="2" t="s">
        <v>108</v>
      </c>
      <c r="C174" s="2" t="s">
        <v>795</v>
      </c>
      <c r="D174" s="2" t="s">
        <v>266</v>
      </c>
      <c r="E174" s="2" t="s">
        <v>267</v>
      </c>
      <c r="F174" s="2" t="s">
        <v>796</v>
      </c>
      <c r="G174" s="4" t="s">
        <v>269</v>
      </c>
      <c r="H174" s="2" t="s">
        <v>894</v>
      </c>
      <c r="I174" s="2" t="s">
        <v>271</v>
      </c>
      <c r="J174" s="2" t="s">
        <v>272</v>
      </c>
      <c r="K174" s="2" t="s">
        <v>273</v>
      </c>
      <c r="L174" s="2" t="s">
        <v>274</v>
      </c>
      <c r="M174" s="2" t="s">
        <v>895</v>
      </c>
      <c r="N174" s="2" t="s">
        <v>276</v>
      </c>
      <c r="O174" s="2" t="s">
        <v>277</v>
      </c>
      <c r="P174" s="2" t="s">
        <v>278</v>
      </c>
      <c r="Q174" s="2" t="s">
        <v>279</v>
      </c>
      <c r="R174" s="2" t="s">
        <v>280</v>
      </c>
      <c r="S174" s="2"/>
      <c r="T174" s="2" t="s">
        <v>281</v>
      </c>
      <c r="U174" s="2"/>
    </row>
    <row r="175" spans="1:21" ht="43.5" customHeight="1" x14ac:dyDescent="0.5">
      <c r="A175" s="2" t="s">
        <v>896</v>
      </c>
      <c r="B175" s="2" t="s">
        <v>108</v>
      </c>
      <c r="C175" s="2" t="s">
        <v>800</v>
      </c>
      <c r="D175" s="2" t="s">
        <v>284</v>
      </c>
      <c r="E175" s="2" t="s">
        <v>285</v>
      </c>
      <c r="F175" s="2" t="s">
        <v>801</v>
      </c>
      <c r="G175" s="4" t="s">
        <v>269</v>
      </c>
      <c r="H175" s="2" t="s">
        <v>894</v>
      </c>
      <c r="I175" s="2" t="s">
        <v>287</v>
      </c>
      <c r="J175" s="2" t="s">
        <v>272</v>
      </c>
      <c r="K175" s="2" t="s">
        <v>273</v>
      </c>
      <c r="L175" s="2" t="s">
        <v>274</v>
      </c>
      <c r="M175" s="2" t="s">
        <v>897</v>
      </c>
      <c r="N175" s="2" t="s">
        <v>276</v>
      </c>
      <c r="O175" s="2" t="s">
        <v>277</v>
      </c>
      <c r="P175" s="2" t="s">
        <v>278</v>
      </c>
      <c r="Q175" s="2" t="s">
        <v>279</v>
      </c>
      <c r="R175" s="2" t="s">
        <v>280</v>
      </c>
      <c r="S175" s="2"/>
      <c r="T175" s="2" t="s">
        <v>281</v>
      </c>
      <c r="U175" s="2"/>
    </row>
    <row r="176" spans="1:21" ht="43.5" customHeight="1" x14ac:dyDescent="0.5">
      <c r="A176" s="2" t="s">
        <v>898</v>
      </c>
      <c r="B176" s="2" t="s">
        <v>108</v>
      </c>
      <c r="C176" s="2" t="s">
        <v>804</v>
      </c>
      <c r="D176" s="2" t="s">
        <v>291</v>
      </c>
      <c r="E176" s="2" t="s">
        <v>292</v>
      </c>
      <c r="F176" s="2" t="s">
        <v>293</v>
      </c>
      <c r="G176" s="5" t="s">
        <v>294</v>
      </c>
      <c r="H176" s="2" t="s">
        <v>894</v>
      </c>
      <c r="I176" s="2" t="s">
        <v>295</v>
      </c>
      <c r="J176" s="2" t="s">
        <v>272</v>
      </c>
      <c r="K176" s="2" t="s">
        <v>296</v>
      </c>
      <c r="L176" s="2" t="s">
        <v>297</v>
      </c>
      <c r="M176" s="2" t="s">
        <v>899</v>
      </c>
      <c r="N176" s="2" t="s">
        <v>299</v>
      </c>
      <c r="O176" s="2" t="s">
        <v>300</v>
      </c>
      <c r="P176" s="2" t="s">
        <v>278</v>
      </c>
      <c r="Q176" s="2" t="s">
        <v>279</v>
      </c>
      <c r="R176" s="2" t="s">
        <v>280</v>
      </c>
      <c r="S176" s="2"/>
      <c r="T176" s="2" t="s">
        <v>281</v>
      </c>
      <c r="U176" s="2"/>
    </row>
    <row r="177" spans="1:21" ht="43.5" customHeight="1" x14ac:dyDescent="0.5">
      <c r="A177" s="2" t="s">
        <v>900</v>
      </c>
      <c r="B177" s="2" t="s">
        <v>108</v>
      </c>
      <c r="C177" s="2" t="s">
        <v>807</v>
      </c>
      <c r="D177" s="2" t="s">
        <v>808</v>
      </c>
      <c r="E177" s="2" t="s">
        <v>304</v>
      </c>
      <c r="F177" s="2" t="s">
        <v>809</v>
      </c>
      <c r="G177" s="5" t="s">
        <v>306</v>
      </c>
      <c r="H177" s="2" t="s">
        <v>894</v>
      </c>
      <c r="I177" s="2" t="s">
        <v>307</v>
      </c>
      <c r="J177" s="2" t="s">
        <v>272</v>
      </c>
      <c r="K177" s="2" t="s">
        <v>296</v>
      </c>
      <c r="L177" s="2" t="s">
        <v>297</v>
      </c>
      <c r="M177" s="2" t="s">
        <v>901</v>
      </c>
      <c r="N177" s="2" t="s">
        <v>309</v>
      </c>
      <c r="O177" s="2" t="s">
        <v>310</v>
      </c>
      <c r="P177" s="2" t="s">
        <v>278</v>
      </c>
      <c r="Q177" s="2" t="s">
        <v>279</v>
      </c>
      <c r="R177" s="2" t="s">
        <v>280</v>
      </c>
      <c r="S177" s="2"/>
      <c r="T177" s="2" t="s">
        <v>281</v>
      </c>
      <c r="U177" s="2"/>
    </row>
    <row r="178" spans="1:21" ht="43.5" customHeight="1" x14ac:dyDescent="0.5">
      <c r="A178" s="2" t="s">
        <v>902</v>
      </c>
      <c r="B178" s="2" t="s">
        <v>108</v>
      </c>
      <c r="C178" s="2" t="s">
        <v>812</v>
      </c>
      <c r="D178" s="2" t="s">
        <v>813</v>
      </c>
      <c r="E178" s="2" t="s">
        <v>359</v>
      </c>
      <c r="F178" s="2" t="s">
        <v>360</v>
      </c>
      <c r="G178" s="5" t="s">
        <v>294</v>
      </c>
      <c r="H178" s="2" t="s">
        <v>894</v>
      </c>
      <c r="I178" s="2" t="s">
        <v>361</v>
      </c>
      <c r="J178" s="2" t="s">
        <v>272</v>
      </c>
      <c r="K178" s="2" t="s">
        <v>296</v>
      </c>
      <c r="L178" s="2" t="s">
        <v>297</v>
      </c>
      <c r="M178" s="2" t="s">
        <v>903</v>
      </c>
      <c r="N178" s="2" t="s">
        <v>299</v>
      </c>
      <c r="O178" s="2" t="s">
        <v>300</v>
      </c>
      <c r="P178" s="2" t="s">
        <v>278</v>
      </c>
      <c r="Q178" s="2" t="s">
        <v>279</v>
      </c>
      <c r="R178" s="2" t="s">
        <v>280</v>
      </c>
      <c r="S178" s="2"/>
      <c r="T178" s="2" t="s">
        <v>281</v>
      </c>
      <c r="U178" s="2"/>
    </row>
    <row r="179" spans="1:21" ht="43.5" customHeight="1" x14ac:dyDescent="0.5">
      <c r="A179" s="2" t="s">
        <v>904</v>
      </c>
      <c r="B179" s="2" t="s">
        <v>108</v>
      </c>
      <c r="C179" s="2" t="s">
        <v>816</v>
      </c>
      <c r="D179" s="2" t="s">
        <v>817</v>
      </c>
      <c r="E179" s="2" t="s">
        <v>458</v>
      </c>
      <c r="F179" s="2" t="s">
        <v>459</v>
      </c>
      <c r="G179" s="5" t="s">
        <v>460</v>
      </c>
      <c r="H179" s="2" t="s">
        <v>894</v>
      </c>
      <c r="I179" s="2" t="s">
        <v>461</v>
      </c>
      <c r="J179" s="2" t="s">
        <v>272</v>
      </c>
      <c r="K179" s="2" t="s">
        <v>296</v>
      </c>
      <c r="L179" s="2" t="s">
        <v>297</v>
      </c>
      <c r="M179" s="2" t="s">
        <v>905</v>
      </c>
      <c r="N179" s="2" t="s">
        <v>309</v>
      </c>
      <c r="O179" s="2" t="s">
        <v>310</v>
      </c>
      <c r="P179" s="2" t="s">
        <v>278</v>
      </c>
      <c r="Q179" s="2" t="s">
        <v>279</v>
      </c>
      <c r="R179" s="2" t="s">
        <v>280</v>
      </c>
      <c r="S179" s="2"/>
      <c r="T179" s="2" t="s">
        <v>281</v>
      </c>
      <c r="U179" s="2"/>
    </row>
    <row r="180" spans="1:21" ht="43.5" customHeight="1" x14ac:dyDescent="0.5">
      <c r="A180" s="2" t="s">
        <v>906</v>
      </c>
      <c r="B180" s="2" t="s">
        <v>108</v>
      </c>
      <c r="C180" s="2" t="s">
        <v>820</v>
      </c>
      <c r="D180" s="2" t="s">
        <v>821</v>
      </c>
      <c r="E180" s="2" t="s">
        <v>791</v>
      </c>
      <c r="F180" s="2" t="s">
        <v>792</v>
      </c>
      <c r="G180" s="5" t="s">
        <v>460</v>
      </c>
      <c r="H180" s="2" t="s">
        <v>894</v>
      </c>
      <c r="I180" s="2" t="s">
        <v>307</v>
      </c>
      <c r="J180" s="2" t="s">
        <v>272</v>
      </c>
      <c r="K180" s="2" t="s">
        <v>296</v>
      </c>
      <c r="L180" s="2" t="s">
        <v>297</v>
      </c>
      <c r="M180" s="2" t="s">
        <v>907</v>
      </c>
      <c r="N180" s="2" t="s">
        <v>309</v>
      </c>
      <c r="O180" s="2" t="s">
        <v>310</v>
      </c>
      <c r="P180" s="2" t="s">
        <v>278</v>
      </c>
      <c r="Q180" s="2" t="s">
        <v>279</v>
      </c>
      <c r="R180" s="2" t="s">
        <v>280</v>
      </c>
      <c r="S180" s="2"/>
      <c r="T180" s="2" t="s">
        <v>281</v>
      </c>
      <c r="U180" s="2"/>
    </row>
    <row r="181" spans="1:21" ht="43.5" customHeight="1" x14ac:dyDescent="0.5">
      <c r="A181" s="2" t="s">
        <v>908</v>
      </c>
      <c r="B181" s="2" t="s">
        <v>108</v>
      </c>
      <c r="C181" s="2" t="s">
        <v>909</v>
      </c>
      <c r="D181" s="2" t="s">
        <v>266</v>
      </c>
      <c r="E181" s="2" t="s">
        <v>267</v>
      </c>
      <c r="F181" s="2" t="s">
        <v>910</v>
      </c>
      <c r="G181" s="4" t="s">
        <v>269</v>
      </c>
      <c r="H181" s="2" t="s">
        <v>911</v>
      </c>
      <c r="I181" s="2" t="s">
        <v>271</v>
      </c>
      <c r="J181" s="2" t="s">
        <v>272</v>
      </c>
      <c r="K181" s="2" t="s">
        <v>273</v>
      </c>
      <c r="L181" s="2" t="s">
        <v>274</v>
      </c>
      <c r="M181" s="2" t="s">
        <v>912</v>
      </c>
      <c r="N181" s="2" t="s">
        <v>276</v>
      </c>
      <c r="O181" s="2" t="s">
        <v>277</v>
      </c>
      <c r="P181" s="2" t="s">
        <v>278</v>
      </c>
      <c r="Q181" s="2" t="s">
        <v>279</v>
      </c>
      <c r="R181" s="2" t="s">
        <v>280</v>
      </c>
      <c r="S181" s="2"/>
      <c r="T181" s="2" t="s">
        <v>281</v>
      </c>
      <c r="U181" s="2"/>
    </row>
    <row r="182" spans="1:21" ht="43.5" customHeight="1" x14ac:dyDescent="0.5">
      <c r="A182" s="2" t="s">
        <v>913</v>
      </c>
      <c r="B182" s="2" t="s">
        <v>108</v>
      </c>
      <c r="C182" s="2" t="s">
        <v>914</v>
      </c>
      <c r="D182" s="2" t="s">
        <v>284</v>
      </c>
      <c r="E182" s="2" t="s">
        <v>285</v>
      </c>
      <c r="F182" s="2" t="s">
        <v>915</v>
      </c>
      <c r="G182" s="4" t="s">
        <v>269</v>
      </c>
      <c r="H182" s="2" t="s">
        <v>911</v>
      </c>
      <c r="I182" s="2" t="s">
        <v>287</v>
      </c>
      <c r="J182" s="2" t="s">
        <v>272</v>
      </c>
      <c r="K182" s="2" t="s">
        <v>273</v>
      </c>
      <c r="L182" s="2" t="s">
        <v>274</v>
      </c>
      <c r="M182" s="2" t="s">
        <v>916</v>
      </c>
      <c r="N182" s="2" t="s">
        <v>276</v>
      </c>
      <c r="O182" s="2" t="s">
        <v>277</v>
      </c>
      <c r="P182" s="2" t="s">
        <v>278</v>
      </c>
      <c r="Q182" s="2" t="s">
        <v>279</v>
      </c>
      <c r="R182" s="2" t="s">
        <v>280</v>
      </c>
      <c r="S182" s="2"/>
      <c r="T182" s="2" t="s">
        <v>281</v>
      </c>
      <c r="U182" s="2"/>
    </row>
    <row r="183" spans="1:21" ht="43.5" customHeight="1" x14ac:dyDescent="0.5">
      <c r="A183" s="2" t="s">
        <v>917</v>
      </c>
      <c r="B183" s="2" t="s">
        <v>108</v>
      </c>
      <c r="C183" s="2" t="s">
        <v>918</v>
      </c>
      <c r="D183" s="2" t="s">
        <v>291</v>
      </c>
      <c r="E183" s="2" t="s">
        <v>292</v>
      </c>
      <c r="F183" s="2" t="s">
        <v>293</v>
      </c>
      <c r="G183" s="5" t="s">
        <v>294</v>
      </c>
      <c r="H183" s="2" t="s">
        <v>911</v>
      </c>
      <c r="I183" s="2" t="s">
        <v>295</v>
      </c>
      <c r="J183" s="2" t="s">
        <v>272</v>
      </c>
      <c r="K183" s="2" t="s">
        <v>296</v>
      </c>
      <c r="L183" s="2" t="s">
        <v>297</v>
      </c>
      <c r="M183" s="2" t="s">
        <v>919</v>
      </c>
      <c r="N183" s="2" t="s">
        <v>299</v>
      </c>
      <c r="O183" s="2" t="s">
        <v>300</v>
      </c>
      <c r="P183" s="2" t="s">
        <v>278</v>
      </c>
      <c r="Q183" s="2" t="s">
        <v>279</v>
      </c>
      <c r="R183" s="2" t="s">
        <v>280</v>
      </c>
      <c r="S183" s="2"/>
      <c r="T183" s="2" t="s">
        <v>281</v>
      </c>
      <c r="U183" s="2"/>
    </row>
    <row r="184" spans="1:21" ht="43.5" customHeight="1" x14ac:dyDescent="0.5">
      <c r="A184" s="2" t="s">
        <v>920</v>
      </c>
      <c r="B184" s="2" t="s">
        <v>108</v>
      </c>
      <c r="C184" s="2" t="s">
        <v>921</v>
      </c>
      <c r="D184" s="2" t="s">
        <v>922</v>
      </c>
      <c r="E184" s="2" t="s">
        <v>304</v>
      </c>
      <c r="F184" s="2" t="s">
        <v>923</v>
      </c>
      <c r="G184" s="5" t="s">
        <v>306</v>
      </c>
      <c r="H184" s="2" t="s">
        <v>911</v>
      </c>
      <c r="I184" s="2" t="s">
        <v>307</v>
      </c>
      <c r="J184" s="2" t="s">
        <v>272</v>
      </c>
      <c r="K184" s="2" t="s">
        <v>296</v>
      </c>
      <c r="L184" s="2" t="s">
        <v>297</v>
      </c>
      <c r="M184" s="2" t="s">
        <v>924</v>
      </c>
      <c r="N184" s="2" t="s">
        <v>309</v>
      </c>
      <c r="O184" s="2" t="s">
        <v>310</v>
      </c>
      <c r="P184" s="2" t="s">
        <v>278</v>
      </c>
      <c r="Q184" s="2" t="s">
        <v>279</v>
      </c>
      <c r="R184" s="2" t="s">
        <v>280</v>
      </c>
      <c r="S184" s="2"/>
      <c r="T184" s="2" t="s">
        <v>281</v>
      </c>
      <c r="U184" s="2"/>
    </row>
    <row r="185" spans="1:21" ht="43.5" customHeight="1" x14ac:dyDescent="0.5">
      <c r="A185" s="2" t="s">
        <v>925</v>
      </c>
      <c r="B185" s="2" t="s">
        <v>108</v>
      </c>
      <c r="C185" s="2" t="s">
        <v>926</v>
      </c>
      <c r="D185" s="2" t="s">
        <v>927</v>
      </c>
      <c r="E185" s="2" t="s">
        <v>359</v>
      </c>
      <c r="F185" s="2" t="s">
        <v>360</v>
      </c>
      <c r="G185" s="5" t="s">
        <v>294</v>
      </c>
      <c r="H185" s="2" t="s">
        <v>911</v>
      </c>
      <c r="I185" s="2" t="s">
        <v>361</v>
      </c>
      <c r="J185" s="2" t="s">
        <v>272</v>
      </c>
      <c r="K185" s="2" t="s">
        <v>296</v>
      </c>
      <c r="L185" s="2" t="s">
        <v>297</v>
      </c>
      <c r="M185" s="2" t="s">
        <v>928</v>
      </c>
      <c r="N185" s="2" t="s">
        <v>299</v>
      </c>
      <c r="O185" s="2" t="s">
        <v>300</v>
      </c>
      <c r="P185" s="2" t="s">
        <v>278</v>
      </c>
      <c r="Q185" s="2" t="s">
        <v>279</v>
      </c>
      <c r="R185" s="2" t="s">
        <v>280</v>
      </c>
      <c r="S185" s="2"/>
      <c r="T185" s="2" t="s">
        <v>281</v>
      </c>
      <c r="U185" s="2"/>
    </row>
    <row r="186" spans="1:21" ht="43.5" customHeight="1" x14ac:dyDescent="0.5">
      <c r="A186" s="2" t="s">
        <v>929</v>
      </c>
      <c r="B186" s="2" t="s">
        <v>108</v>
      </c>
      <c r="C186" s="2" t="s">
        <v>930</v>
      </c>
      <c r="D186" s="2" t="s">
        <v>931</v>
      </c>
      <c r="E186" s="2" t="s">
        <v>458</v>
      </c>
      <c r="F186" s="2" t="s">
        <v>459</v>
      </c>
      <c r="G186" s="5" t="s">
        <v>460</v>
      </c>
      <c r="H186" s="2" t="s">
        <v>911</v>
      </c>
      <c r="I186" s="2" t="s">
        <v>461</v>
      </c>
      <c r="J186" s="2" t="s">
        <v>272</v>
      </c>
      <c r="K186" s="2" t="s">
        <v>296</v>
      </c>
      <c r="L186" s="2" t="s">
        <v>297</v>
      </c>
      <c r="M186" s="2" t="s">
        <v>932</v>
      </c>
      <c r="N186" s="2" t="s">
        <v>309</v>
      </c>
      <c r="O186" s="2" t="s">
        <v>310</v>
      </c>
      <c r="P186" s="2" t="s">
        <v>278</v>
      </c>
      <c r="Q186" s="2" t="s">
        <v>279</v>
      </c>
      <c r="R186" s="2" t="s">
        <v>280</v>
      </c>
      <c r="S186" s="2"/>
      <c r="T186" s="2" t="s">
        <v>281</v>
      </c>
      <c r="U186" s="2"/>
    </row>
    <row r="187" spans="1:21" ht="43.5" customHeight="1" x14ac:dyDescent="0.5">
      <c r="A187" s="2" t="s">
        <v>933</v>
      </c>
      <c r="B187" s="2" t="s">
        <v>108</v>
      </c>
      <c r="C187" s="2" t="s">
        <v>934</v>
      </c>
      <c r="D187" s="2" t="s">
        <v>935</v>
      </c>
      <c r="E187" s="2" t="s">
        <v>791</v>
      </c>
      <c r="F187" s="2" t="s">
        <v>792</v>
      </c>
      <c r="G187" s="5" t="s">
        <v>460</v>
      </c>
      <c r="H187" s="2" t="s">
        <v>911</v>
      </c>
      <c r="I187" s="2" t="s">
        <v>307</v>
      </c>
      <c r="J187" s="2" t="s">
        <v>272</v>
      </c>
      <c r="K187" s="2" t="s">
        <v>296</v>
      </c>
      <c r="L187" s="2" t="s">
        <v>297</v>
      </c>
      <c r="M187" s="2" t="s">
        <v>936</v>
      </c>
      <c r="N187" s="2" t="s">
        <v>309</v>
      </c>
      <c r="O187" s="2" t="s">
        <v>310</v>
      </c>
      <c r="P187" s="2" t="s">
        <v>278</v>
      </c>
      <c r="Q187" s="2" t="s">
        <v>279</v>
      </c>
      <c r="R187" s="2" t="s">
        <v>280</v>
      </c>
      <c r="S187" s="2"/>
      <c r="T187" s="2" t="s">
        <v>281</v>
      </c>
      <c r="U187" s="2"/>
    </row>
    <row r="188" spans="1:21" ht="43.5" customHeight="1" x14ac:dyDescent="0.5">
      <c r="A188" s="2" t="s">
        <v>937</v>
      </c>
      <c r="B188" s="2" t="s">
        <v>108</v>
      </c>
      <c r="C188" s="2" t="s">
        <v>938</v>
      </c>
      <c r="D188" s="2" t="s">
        <v>266</v>
      </c>
      <c r="E188" s="2" t="s">
        <v>267</v>
      </c>
      <c r="F188" s="2" t="s">
        <v>488</v>
      </c>
      <c r="G188" s="4" t="s">
        <v>269</v>
      </c>
      <c r="H188" s="2" t="s">
        <v>939</v>
      </c>
      <c r="I188" s="2" t="s">
        <v>271</v>
      </c>
      <c r="J188" s="2" t="s">
        <v>272</v>
      </c>
      <c r="K188" s="2" t="s">
        <v>273</v>
      </c>
      <c r="L188" s="2" t="s">
        <v>274</v>
      </c>
      <c r="M188" s="2" t="s">
        <v>940</v>
      </c>
      <c r="N188" s="2" t="s">
        <v>276</v>
      </c>
      <c r="O188" s="2" t="s">
        <v>277</v>
      </c>
      <c r="P188" s="2" t="s">
        <v>278</v>
      </c>
      <c r="Q188" s="2" t="s">
        <v>279</v>
      </c>
      <c r="R188" s="2" t="s">
        <v>280</v>
      </c>
      <c r="S188" s="2"/>
      <c r="T188" s="2" t="s">
        <v>281</v>
      </c>
      <c r="U188" s="2"/>
    </row>
    <row r="189" spans="1:21" ht="43.5" customHeight="1" x14ac:dyDescent="0.5">
      <c r="A189" s="2" t="s">
        <v>941</v>
      </c>
      <c r="B189" s="2" t="s">
        <v>108</v>
      </c>
      <c r="C189" s="2" t="s">
        <v>942</v>
      </c>
      <c r="D189" s="2" t="s">
        <v>284</v>
      </c>
      <c r="E189" s="2" t="s">
        <v>285</v>
      </c>
      <c r="F189" s="2" t="s">
        <v>493</v>
      </c>
      <c r="G189" s="4" t="s">
        <v>269</v>
      </c>
      <c r="H189" s="2" t="s">
        <v>939</v>
      </c>
      <c r="I189" s="2" t="s">
        <v>287</v>
      </c>
      <c r="J189" s="2" t="s">
        <v>272</v>
      </c>
      <c r="K189" s="2" t="s">
        <v>273</v>
      </c>
      <c r="L189" s="2" t="s">
        <v>274</v>
      </c>
      <c r="M189" s="2" t="s">
        <v>943</v>
      </c>
      <c r="N189" s="2" t="s">
        <v>276</v>
      </c>
      <c r="O189" s="2" t="s">
        <v>277</v>
      </c>
      <c r="P189" s="2" t="s">
        <v>278</v>
      </c>
      <c r="Q189" s="2" t="s">
        <v>279</v>
      </c>
      <c r="R189" s="2" t="s">
        <v>280</v>
      </c>
      <c r="S189" s="2"/>
      <c r="T189" s="2" t="s">
        <v>281</v>
      </c>
      <c r="U189" s="2"/>
    </row>
    <row r="190" spans="1:21" ht="43.5" customHeight="1" x14ac:dyDescent="0.5">
      <c r="A190" s="2" t="s">
        <v>944</v>
      </c>
      <c r="B190" s="2" t="s">
        <v>108</v>
      </c>
      <c r="C190" s="2" t="s">
        <v>945</v>
      </c>
      <c r="D190" s="2" t="s">
        <v>291</v>
      </c>
      <c r="E190" s="2" t="s">
        <v>292</v>
      </c>
      <c r="F190" s="2" t="s">
        <v>293</v>
      </c>
      <c r="G190" s="5" t="s">
        <v>294</v>
      </c>
      <c r="H190" s="2" t="s">
        <v>939</v>
      </c>
      <c r="I190" s="2" t="s">
        <v>295</v>
      </c>
      <c r="J190" s="2" t="s">
        <v>272</v>
      </c>
      <c r="K190" s="2" t="s">
        <v>296</v>
      </c>
      <c r="L190" s="2" t="s">
        <v>297</v>
      </c>
      <c r="M190" s="2" t="s">
        <v>946</v>
      </c>
      <c r="N190" s="2" t="s">
        <v>299</v>
      </c>
      <c r="O190" s="2" t="s">
        <v>300</v>
      </c>
      <c r="P190" s="2" t="s">
        <v>278</v>
      </c>
      <c r="Q190" s="2" t="s">
        <v>279</v>
      </c>
      <c r="R190" s="2" t="s">
        <v>280</v>
      </c>
      <c r="S190" s="2"/>
      <c r="T190" s="2" t="s">
        <v>281</v>
      </c>
      <c r="U190" s="2"/>
    </row>
    <row r="191" spans="1:21" ht="43.5" customHeight="1" x14ac:dyDescent="0.5">
      <c r="A191" s="2" t="s">
        <v>947</v>
      </c>
      <c r="B191" s="2" t="s">
        <v>108</v>
      </c>
      <c r="C191" s="2" t="s">
        <v>948</v>
      </c>
      <c r="D191" s="2" t="s">
        <v>835</v>
      </c>
      <c r="E191" s="2" t="s">
        <v>304</v>
      </c>
      <c r="F191" s="2" t="s">
        <v>836</v>
      </c>
      <c r="G191" s="5" t="s">
        <v>306</v>
      </c>
      <c r="H191" s="2" t="s">
        <v>939</v>
      </c>
      <c r="I191" s="2" t="s">
        <v>307</v>
      </c>
      <c r="J191" s="2" t="s">
        <v>272</v>
      </c>
      <c r="K191" s="2" t="s">
        <v>296</v>
      </c>
      <c r="L191" s="2" t="s">
        <v>297</v>
      </c>
      <c r="M191" s="2" t="s">
        <v>949</v>
      </c>
      <c r="N191" s="2" t="s">
        <v>309</v>
      </c>
      <c r="O191" s="2" t="s">
        <v>310</v>
      </c>
      <c r="P191" s="2" t="s">
        <v>278</v>
      </c>
      <c r="Q191" s="2" t="s">
        <v>279</v>
      </c>
      <c r="R191" s="2" t="s">
        <v>280</v>
      </c>
      <c r="S191" s="2"/>
      <c r="T191" s="2" t="s">
        <v>281</v>
      </c>
      <c r="U191" s="2"/>
    </row>
    <row r="192" spans="1:21" ht="43.5" customHeight="1" x14ac:dyDescent="0.5">
      <c r="A192" s="2" t="s">
        <v>950</v>
      </c>
      <c r="B192" s="2" t="s">
        <v>108</v>
      </c>
      <c r="C192" s="2" t="s">
        <v>951</v>
      </c>
      <c r="D192" s="2" t="s">
        <v>840</v>
      </c>
      <c r="E192" s="2" t="s">
        <v>359</v>
      </c>
      <c r="F192" s="2" t="s">
        <v>360</v>
      </c>
      <c r="G192" s="5" t="s">
        <v>294</v>
      </c>
      <c r="H192" s="2" t="s">
        <v>939</v>
      </c>
      <c r="I192" s="2" t="s">
        <v>361</v>
      </c>
      <c r="J192" s="2" t="s">
        <v>272</v>
      </c>
      <c r="K192" s="2" t="s">
        <v>296</v>
      </c>
      <c r="L192" s="2" t="s">
        <v>297</v>
      </c>
      <c r="M192" s="2" t="s">
        <v>952</v>
      </c>
      <c r="N192" s="2" t="s">
        <v>299</v>
      </c>
      <c r="O192" s="2" t="s">
        <v>300</v>
      </c>
      <c r="P192" s="2" t="s">
        <v>278</v>
      </c>
      <c r="Q192" s="2" t="s">
        <v>279</v>
      </c>
      <c r="R192" s="2" t="s">
        <v>280</v>
      </c>
      <c r="S192" s="2"/>
      <c r="T192" s="2" t="s">
        <v>281</v>
      </c>
      <c r="U192" s="2"/>
    </row>
    <row r="193" spans="1:21" ht="43.5" customHeight="1" x14ac:dyDescent="0.5">
      <c r="A193" s="2" t="s">
        <v>953</v>
      </c>
      <c r="B193" s="2" t="s">
        <v>108</v>
      </c>
      <c r="C193" s="2" t="s">
        <v>954</v>
      </c>
      <c r="D193" s="2" t="s">
        <v>509</v>
      </c>
      <c r="E193" s="2" t="s">
        <v>458</v>
      </c>
      <c r="F193" s="2" t="s">
        <v>459</v>
      </c>
      <c r="G193" s="5" t="s">
        <v>460</v>
      </c>
      <c r="H193" s="2" t="s">
        <v>939</v>
      </c>
      <c r="I193" s="2" t="s">
        <v>461</v>
      </c>
      <c r="J193" s="2" t="s">
        <v>272</v>
      </c>
      <c r="K193" s="2" t="s">
        <v>296</v>
      </c>
      <c r="L193" s="2" t="s">
        <v>297</v>
      </c>
      <c r="M193" s="2" t="s">
        <v>955</v>
      </c>
      <c r="N193" s="2" t="s">
        <v>309</v>
      </c>
      <c r="O193" s="2" t="s">
        <v>310</v>
      </c>
      <c r="P193" s="2" t="s">
        <v>278</v>
      </c>
      <c r="Q193" s="2" t="s">
        <v>279</v>
      </c>
      <c r="R193" s="2" t="s">
        <v>280</v>
      </c>
      <c r="S193" s="2"/>
      <c r="T193" s="2" t="s">
        <v>281</v>
      </c>
      <c r="U193" s="2"/>
    </row>
    <row r="194" spans="1:21" ht="43.5" customHeight="1" x14ac:dyDescent="0.5">
      <c r="A194" s="2" t="s">
        <v>956</v>
      </c>
      <c r="B194" s="2" t="s">
        <v>108</v>
      </c>
      <c r="C194" s="2" t="s">
        <v>957</v>
      </c>
      <c r="D194" s="2" t="s">
        <v>847</v>
      </c>
      <c r="E194" s="2" t="s">
        <v>791</v>
      </c>
      <c r="F194" s="2" t="s">
        <v>792</v>
      </c>
      <c r="G194" s="5" t="s">
        <v>460</v>
      </c>
      <c r="H194" s="2" t="s">
        <v>939</v>
      </c>
      <c r="I194" s="2" t="s">
        <v>307</v>
      </c>
      <c r="J194" s="2" t="s">
        <v>272</v>
      </c>
      <c r="K194" s="2" t="s">
        <v>296</v>
      </c>
      <c r="L194" s="2" t="s">
        <v>297</v>
      </c>
      <c r="M194" s="2" t="s">
        <v>958</v>
      </c>
      <c r="N194" s="2" t="s">
        <v>309</v>
      </c>
      <c r="O194" s="2" t="s">
        <v>310</v>
      </c>
      <c r="P194" s="2" t="s">
        <v>278</v>
      </c>
      <c r="Q194" s="2" t="s">
        <v>279</v>
      </c>
      <c r="R194" s="2" t="s">
        <v>280</v>
      </c>
      <c r="S194" s="2"/>
      <c r="T194" s="2" t="s">
        <v>281</v>
      </c>
      <c r="U194" s="2"/>
    </row>
    <row r="195" spans="1:21" ht="43.5" customHeight="1" x14ac:dyDescent="0.5">
      <c r="A195" s="2" t="s">
        <v>959</v>
      </c>
      <c r="B195" s="2" t="s">
        <v>108</v>
      </c>
      <c r="C195" s="2" t="s">
        <v>960</v>
      </c>
      <c r="D195" s="2" t="s">
        <v>266</v>
      </c>
      <c r="E195" s="2" t="s">
        <v>267</v>
      </c>
      <c r="F195" s="2" t="s">
        <v>851</v>
      </c>
      <c r="G195" s="4" t="s">
        <v>269</v>
      </c>
      <c r="H195" s="2" t="s">
        <v>961</v>
      </c>
      <c r="I195" s="2" t="s">
        <v>271</v>
      </c>
      <c r="J195" s="2" t="s">
        <v>272</v>
      </c>
      <c r="K195" s="2" t="s">
        <v>273</v>
      </c>
      <c r="L195" s="2" t="s">
        <v>274</v>
      </c>
      <c r="M195" s="2" t="s">
        <v>962</v>
      </c>
      <c r="N195" s="2" t="s">
        <v>276</v>
      </c>
      <c r="O195" s="2" t="s">
        <v>277</v>
      </c>
      <c r="P195" s="2" t="s">
        <v>278</v>
      </c>
      <c r="Q195" s="2" t="s">
        <v>279</v>
      </c>
      <c r="R195" s="2" t="s">
        <v>280</v>
      </c>
      <c r="S195" s="2"/>
      <c r="T195" s="2" t="s">
        <v>281</v>
      </c>
      <c r="U195" s="2"/>
    </row>
    <row r="196" spans="1:21" ht="43.5" customHeight="1" x14ac:dyDescent="0.5">
      <c r="A196" s="2" t="s">
        <v>963</v>
      </c>
      <c r="B196" s="2" t="s">
        <v>108</v>
      </c>
      <c r="C196" s="2" t="s">
        <v>964</v>
      </c>
      <c r="D196" s="2" t="s">
        <v>284</v>
      </c>
      <c r="E196" s="2" t="s">
        <v>285</v>
      </c>
      <c r="F196" s="2" t="s">
        <v>856</v>
      </c>
      <c r="G196" s="4" t="s">
        <v>269</v>
      </c>
      <c r="H196" s="2" t="s">
        <v>961</v>
      </c>
      <c r="I196" s="2" t="s">
        <v>287</v>
      </c>
      <c r="J196" s="2" t="s">
        <v>272</v>
      </c>
      <c r="K196" s="2" t="s">
        <v>273</v>
      </c>
      <c r="L196" s="2" t="s">
        <v>274</v>
      </c>
      <c r="M196" s="2" t="s">
        <v>965</v>
      </c>
      <c r="N196" s="2" t="s">
        <v>276</v>
      </c>
      <c r="O196" s="2" t="s">
        <v>277</v>
      </c>
      <c r="P196" s="2" t="s">
        <v>278</v>
      </c>
      <c r="Q196" s="2" t="s">
        <v>279</v>
      </c>
      <c r="R196" s="2" t="s">
        <v>280</v>
      </c>
      <c r="S196" s="2"/>
      <c r="T196" s="2" t="s">
        <v>281</v>
      </c>
      <c r="U196" s="2"/>
    </row>
    <row r="197" spans="1:21" ht="43.5" customHeight="1" x14ac:dyDescent="0.5">
      <c r="A197" s="2" t="s">
        <v>966</v>
      </c>
      <c r="B197" s="2" t="s">
        <v>108</v>
      </c>
      <c r="C197" s="2" t="s">
        <v>967</v>
      </c>
      <c r="D197" s="2" t="s">
        <v>398</v>
      </c>
      <c r="E197" s="2" t="s">
        <v>399</v>
      </c>
      <c r="F197" s="2" t="s">
        <v>400</v>
      </c>
      <c r="G197" s="2" t="s">
        <v>401</v>
      </c>
      <c r="H197" s="2" t="s">
        <v>961</v>
      </c>
      <c r="I197" s="2" t="s">
        <v>402</v>
      </c>
      <c r="J197" s="2" t="s">
        <v>272</v>
      </c>
      <c r="K197" s="2" t="s">
        <v>273</v>
      </c>
      <c r="L197" s="2" t="s">
        <v>274</v>
      </c>
      <c r="M197" s="2" t="s">
        <v>968</v>
      </c>
      <c r="N197" s="2" t="s">
        <v>276</v>
      </c>
      <c r="O197" s="2" t="s">
        <v>277</v>
      </c>
      <c r="P197" s="2" t="s">
        <v>278</v>
      </c>
      <c r="Q197" s="2" t="s">
        <v>279</v>
      </c>
      <c r="R197" s="2" t="s">
        <v>280</v>
      </c>
      <c r="S197" s="2"/>
      <c r="T197" s="2" t="s">
        <v>281</v>
      </c>
      <c r="U197" s="2"/>
    </row>
    <row r="198" spans="1:21" ht="43.5" customHeight="1" x14ac:dyDescent="0.5">
      <c r="A198" s="2" t="s">
        <v>969</v>
      </c>
      <c r="B198" s="2" t="s">
        <v>108</v>
      </c>
      <c r="C198" s="2" t="s">
        <v>970</v>
      </c>
      <c r="D198" s="2" t="s">
        <v>863</v>
      </c>
      <c r="E198" s="2" t="s">
        <v>304</v>
      </c>
      <c r="F198" s="2" t="s">
        <v>864</v>
      </c>
      <c r="G198" s="5" t="s">
        <v>306</v>
      </c>
      <c r="H198" s="2" t="s">
        <v>961</v>
      </c>
      <c r="I198" s="2" t="s">
        <v>307</v>
      </c>
      <c r="J198" s="2" t="s">
        <v>272</v>
      </c>
      <c r="K198" s="2" t="s">
        <v>296</v>
      </c>
      <c r="L198" s="2" t="s">
        <v>297</v>
      </c>
      <c r="M198" s="2" t="s">
        <v>971</v>
      </c>
      <c r="N198" s="2" t="s">
        <v>309</v>
      </c>
      <c r="O198" s="2" t="s">
        <v>310</v>
      </c>
      <c r="P198" s="2" t="s">
        <v>278</v>
      </c>
      <c r="Q198" s="2" t="s">
        <v>279</v>
      </c>
      <c r="R198" s="2" t="s">
        <v>280</v>
      </c>
      <c r="S198" s="2"/>
      <c r="T198" s="2" t="s">
        <v>281</v>
      </c>
      <c r="U198" s="2"/>
    </row>
    <row r="199" spans="1:21" ht="43.5" customHeight="1" x14ac:dyDescent="0.5">
      <c r="A199" s="2" t="s">
        <v>972</v>
      </c>
      <c r="B199" s="2" t="s">
        <v>108</v>
      </c>
      <c r="C199" s="2" t="s">
        <v>973</v>
      </c>
      <c r="D199" s="2" t="s">
        <v>868</v>
      </c>
      <c r="E199" s="2" t="s">
        <v>359</v>
      </c>
      <c r="F199" s="2" t="s">
        <v>360</v>
      </c>
      <c r="G199" s="5" t="s">
        <v>294</v>
      </c>
      <c r="H199" s="2" t="s">
        <v>961</v>
      </c>
      <c r="I199" s="2" t="s">
        <v>361</v>
      </c>
      <c r="J199" s="2" t="s">
        <v>272</v>
      </c>
      <c r="K199" s="2" t="s">
        <v>296</v>
      </c>
      <c r="L199" s="2" t="s">
        <v>297</v>
      </c>
      <c r="M199" s="2" t="s">
        <v>974</v>
      </c>
      <c r="N199" s="2" t="s">
        <v>299</v>
      </c>
      <c r="O199" s="2" t="s">
        <v>300</v>
      </c>
      <c r="P199" s="2" t="s">
        <v>278</v>
      </c>
      <c r="Q199" s="2" t="s">
        <v>279</v>
      </c>
      <c r="R199" s="2" t="s">
        <v>280</v>
      </c>
      <c r="S199" s="2"/>
      <c r="T199" s="2" t="s">
        <v>281</v>
      </c>
      <c r="U199" s="2"/>
    </row>
    <row r="200" spans="1:21" ht="43.5" customHeight="1" x14ac:dyDescent="0.5">
      <c r="A200" s="2" t="s">
        <v>975</v>
      </c>
      <c r="B200" s="2" t="s">
        <v>108</v>
      </c>
      <c r="C200" s="2" t="s">
        <v>976</v>
      </c>
      <c r="D200" s="2" t="s">
        <v>872</v>
      </c>
      <c r="E200" s="2" t="s">
        <v>458</v>
      </c>
      <c r="F200" s="2" t="s">
        <v>459</v>
      </c>
      <c r="G200" s="5" t="s">
        <v>460</v>
      </c>
      <c r="H200" s="2" t="s">
        <v>961</v>
      </c>
      <c r="I200" s="2" t="s">
        <v>461</v>
      </c>
      <c r="J200" s="2" t="s">
        <v>272</v>
      </c>
      <c r="K200" s="2" t="s">
        <v>296</v>
      </c>
      <c r="L200" s="2" t="s">
        <v>297</v>
      </c>
      <c r="M200" s="2" t="s">
        <v>977</v>
      </c>
      <c r="N200" s="2" t="s">
        <v>309</v>
      </c>
      <c r="O200" s="2" t="s">
        <v>310</v>
      </c>
      <c r="P200" s="2" t="s">
        <v>278</v>
      </c>
      <c r="Q200" s="2" t="s">
        <v>279</v>
      </c>
      <c r="R200" s="2" t="s">
        <v>280</v>
      </c>
      <c r="S200" s="2"/>
      <c r="T200" s="2" t="s">
        <v>281</v>
      </c>
      <c r="U200" s="2"/>
    </row>
    <row r="201" spans="1:21" ht="43.5" customHeight="1" x14ac:dyDescent="0.5">
      <c r="A201" s="2" t="s">
        <v>978</v>
      </c>
      <c r="B201" s="2" t="s">
        <v>108</v>
      </c>
      <c r="C201" s="2" t="s">
        <v>979</v>
      </c>
      <c r="D201" s="2" t="s">
        <v>876</v>
      </c>
      <c r="E201" s="2" t="s">
        <v>791</v>
      </c>
      <c r="F201" s="2" t="s">
        <v>792</v>
      </c>
      <c r="G201" s="5" t="s">
        <v>460</v>
      </c>
      <c r="H201" s="2" t="s">
        <v>961</v>
      </c>
      <c r="I201" s="2" t="s">
        <v>307</v>
      </c>
      <c r="J201" s="2" t="s">
        <v>272</v>
      </c>
      <c r="K201" s="2" t="s">
        <v>296</v>
      </c>
      <c r="L201" s="2" t="s">
        <v>297</v>
      </c>
      <c r="M201" s="2" t="s">
        <v>980</v>
      </c>
      <c r="N201" s="2" t="s">
        <v>309</v>
      </c>
      <c r="O201" s="2" t="s">
        <v>310</v>
      </c>
      <c r="P201" s="2" t="s">
        <v>278</v>
      </c>
      <c r="Q201" s="2" t="s">
        <v>279</v>
      </c>
      <c r="R201" s="2" t="s">
        <v>280</v>
      </c>
      <c r="S201" s="2"/>
      <c r="T201" s="2" t="s">
        <v>281</v>
      </c>
      <c r="U201" s="2"/>
    </row>
    <row r="202" spans="1:21" ht="43.5" customHeight="1" x14ac:dyDescent="0.5">
      <c r="A202" s="2" t="s">
        <v>981</v>
      </c>
      <c r="B202" s="2" t="s">
        <v>108</v>
      </c>
      <c r="C202" s="2" t="s">
        <v>982</v>
      </c>
      <c r="D202" s="2" t="s">
        <v>266</v>
      </c>
      <c r="E202" s="2" t="s">
        <v>267</v>
      </c>
      <c r="F202" s="2" t="s">
        <v>983</v>
      </c>
      <c r="G202" s="4" t="s">
        <v>269</v>
      </c>
      <c r="H202" s="2" t="s">
        <v>961</v>
      </c>
      <c r="I202" s="2" t="s">
        <v>271</v>
      </c>
      <c r="J202" s="2" t="s">
        <v>272</v>
      </c>
      <c r="K202" s="2" t="s">
        <v>273</v>
      </c>
      <c r="L202" s="2" t="s">
        <v>274</v>
      </c>
      <c r="M202" s="2" t="s">
        <v>984</v>
      </c>
      <c r="N202" s="2" t="s">
        <v>276</v>
      </c>
      <c r="O202" s="2" t="s">
        <v>277</v>
      </c>
      <c r="P202" s="2" t="s">
        <v>278</v>
      </c>
      <c r="Q202" s="2" t="s">
        <v>279</v>
      </c>
      <c r="R202" s="2" t="s">
        <v>280</v>
      </c>
      <c r="S202" s="2"/>
      <c r="T202" s="2" t="s">
        <v>281</v>
      </c>
      <c r="U202" s="2"/>
    </row>
    <row r="203" spans="1:21" ht="43.5" customHeight="1" x14ac:dyDescent="0.5">
      <c r="A203" s="2" t="s">
        <v>985</v>
      </c>
      <c r="B203" s="2" t="s">
        <v>108</v>
      </c>
      <c r="C203" s="2" t="s">
        <v>986</v>
      </c>
      <c r="D203" s="2" t="s">
        <v>284</v>
      </c>
      <c r="E203" s="2" t="s">
        <v>285</v>
      </c>
      <c r="F203" s="2" t="s">
        <v>987</v>
      </c>
      <c r="G203" s="4" t="s">
        <v>269</v>
      </c>
      <c r="H203" s="2" t="s">
        <v>961</v>
      </c>
      <c r="I203" s="2" t="s">
        <v>287</v>
      </c>
      <c r="J203" s="2" t="s">
        <v>272</v>
      </c>
      <c r="K203" s="2" t="s">
        <v>273</v>
      </c>
      <c r="L203" s="2" t="s">
        <v>274</v>
      </c>
      <c r="M203" s="2" t="s">
        <v>988</v>
      </c>
      <c r="N203" s="2" t="s">
        <v>276</v>
      </c>
      <c r="O203" s="2" t="s">
        <v>277</v>
      </c>
      <c r="P203" s="2" t="s">
        <v>278</v>
      </c>
      <c r="Q203" s="2" t="s">
        <v>279</v>
      </c>
      <c r="R203" s="2" t="s">
        <v>280</v>
      </c>
      <c r="S203" s="2"/>
      <c r="T203" s="2" t="s">
        <v>281</v>
      </c>
      <c r="U203" s="2"/>
    </row>
    <row r="204" spans="1:21" ht="43.5" customHeight="1" x14ac:dyDescent="0.5">
      <c r="A204" s="2" t="s">
        <v>989</v>
      </c>
      <c r="B204" s="2" t="s">
        <v>108</v>
      </c>
      <c r="C204" s="2" t="s">
        <v>990</v>
      </c>
      <c r="D204" s="2" t="s">
        <v>398</v>
      </c>
      <c r="E204" s="2" t="s">
        <v>399</v>
      </c>
      <c r="F204" s="2" t="s">
        <v>400</v>
      </c>
      <c r="G204" s="2" t="s">
        <v>401</v>
      </c>
      <c r="H204" s="2" t="s">
        <v>961</v>
      </c>
      <c r="I204" s="2" t="s">
        <v>402</v>
      </c>
      <c r="J204" s="2" t="s">
        <v>272</v>
      </c>
      <c r="K204" s="2" t="s">
        <v>273</v>
      </c>
      <c r="L204" s="2" t="s">
        <v>274</v>
      </c>
      <c r="M204" s="2" t="s">
        <v>991</v>
      </c>
      <c r="N204" s="2" t="s">
        <v>276</v>
      </c>
      <c r="O204" s="2" t="s">
        <v>277</v>
      </c>
      <c r="P204" s="2" t="s">
        <v>278</v>
      </c>
      <c r="Q204" s="2" t="s">
        <v>279</v>
      </c>
      <c r="R204" s="2" t="s">
        <v>280</v>
      </c>
      <c r="S204" s="2"/>
      <c r="T204" s="2" t="s">
        <v>281</v>
      </c>
      <c r="U204" s="2"/>
    </row>
    <row r="205" spans="1:21" ht="43.5" customHeight="1" x14ac:dyDescent="0.5">
      <c r="A205" s="2" t="s">
        <v>992</v>
      </c>
      <c r="B205" s="2" t="s">
        <v>108</v>
      </c>
      <c r="C205" s="2" t="s">
        <v>993</v>
      </c>
      <c r="D205" s="2" t="s">
        <v>994</v>
      </c>
      <c r="E205" s="2" t="s">
        <v>304</v>
      </c>
      <c r="F205" s="2" t="s">
        <v>995</v>
      </c>
      <c r="G205" s="5" t="s">
        <v>306</v>
      </c>
      <c r="H205" s="2" t="s">
        <v>961</v>
      </c>
      <c r="I205" s="2" t="s">
        <v>307</v>
      </c>
      <c r="J205" s="2" t="s">
        <v>272</v>
      </c>
      <c r="K205" s="2" t="s">
        <v>296</v>
      </c>
      <c r="L205" s="2" t="s">
        <v>297</v>
      </c>
      <c r="M205" s="2" t="s">
        <v>996</v>
      </c>
      <c r="N205" s="2" t="s">
        <v>309</v>
      </c>
      <c r="O205" s="2" t="s">
        <v>310</v>
      </c>
      <c r="P205" s="2" t="s">
        <v>278</v>
      </c>
      <c r="Q205" s="2" t="s">
        <v>279</v>
      </c>
      <c r="R205" s="2" t="s">
        <v>280</v>
      </c>
      <c r="S205" s="2"/>
      <c r="T205" s="2" t="s">
        <v>281</v>
      </c>
      <c r="U205" s="2"/>
    </row>
    <row r="206" spans="1:21" ht="43.5" customHeight="1" x14ac:dyDescent="0.5">
      <c r="A206" s="2" t="s">
        <v>997</v>
      </c>
      <c r="B206" s="2" t="s">
        <v>108</v>
      </c>
      <c r="C206" s="2" t="s">
        <v>998</v>
      </c>
      <c r="D206" s="2" t="s">
        <v>999</v>
      </c>
      <c r="E206" s="2" t="s">
        <v>359</v>
      </c>
      <c r="F206" s="2" t="s">
        <v>360</v>
      </c>
      <c r="G206" s="5" t="s">
        <v>294</v>
      </c>
      <c r="H206" s="2" t="s">
        <v>961</v>
      </c>
      <c r="I206" s="2" t="s">
        <v>361</v>
      </c>
      <c r="J206" s="2" t="s">
        <v>272</v>
      </c>
      <c r="K206" s="2" t="s">
        <v>296</v>
      </c>
      <c r="L206" s="2" t="s">
        <v>297</v>
      </c>
      <c r="M206" s="2" t="s">
        <v>1000</v>
      </c>
      <c r="N206" s="2" t="s">
        <v>299</v>
      </c>
      <c r="O206" s="2" t="s">
        <v>300</v>
      </c>
      <c r="P206" s="2" t="s">
        <v>278</v>
      </c>
      <c r="Q206" s="2" t="s">
        <v>279</v>
      </c>
      <c r="R206" s="2" t="s">
        <v>280</v>
      </c>
      <c r="S206" s="2"/>
      <c r="T206" s="2" t="s">
        <v>281</v>
      </c>
      <c r="U206" s="2"/>
    </row>
    <row r="207" spans="1:21" ht="43.5" customHeight="1" x14ac:dyDescent="0.5">
      <c r="A207" s="2" t="s">
        <v>1001</v>
      </c>
      <c r="B207" s="2" t="s">
        <v>108</v>
      </c>
      <c r="C207" s="2" t="s">
        <v>1002</v>
      </c>
      <c r="D207" s="2" t="s">
        <v>1003</v>
      </c>
      <c r="E207" s="2" t="s">
        <v>458</v>
      </c>
      <c r="F207" s="2" t="s">
        <v>459</v>
      </c>
      <c r="G207" s="5" t="s">
        <v>460</v>
      </c>
      <c r="H207" s="2" t="s">
        <v>961</v>
      </c>
      <c r="I207" s="2" t="s">
        <v>461</v>
      </c>
      <c r="J207" s="2" t="s">
        <v>272</v>
      </c>
      <c r="K207" s="2" t="s">
        <v>296</v>
      </c>
      <c r="L207" s="2" t="s">
        <v>297</v>
      </c>
      <c r="M207" s="2" t="s">
        <v>1004</v>
      </c>
      <c r="N207" s="2" t="s">
        <v>309</v>
      </c>
      <c r="O207" s="2" t="s">
        <v>310</v>
      </c>
      <c r="P207" s="2" t="s">
        <v>278</v>
      </c>
      <c r="Q207" s="2" t="s">
        <v>279</v>
      </c>
      <c r="R207" s="2" t="s">
        <v>280</v>
      </c>
      <c r="S207" s="2"/>
      <c r="T207" s="2" t="s">
        <v>281</v>
      </c>
      <c r="U207" s="2"/>
    </row>
    <row r="208" spans="1:21" ht="43.5" customHeight="1" x14ac:dyDescent="0.5">
      <c r="A208" s="2" t="s">
        <v>1005</v>
      </c>
      <c r="B208" s="2" t="s">
        <v>108</v>
      </c>
      <c r="C208" s="2" t="s">
        <v>1006</v>
      </c>
      <c r="D208" s="2" t="s">
        <v>1007</v>
      </c>
      <c r="E208" s="2" t="s">
        <v>791</v>
      </c>
      <c r="F208" s="2" t="s">
        <v>792</v>
      </c>
      <c r="G208" s="5" t="s">
        <v>460</v>
      </c>
      <c r="H208" s="2" t="s">
        <v>961</v>
      </c>
      <c r="I208" s="2" t="s">
        <v>307</v>
      </c>
      <c r="J208" s="2" t="s">
        <v>272</v>
      </c>
      <c r="K208" s="2" t="s">
        <v>296</v>
      </c>
      <c r="L208" s="2" t="s">
        <v>297</v>
      </c>
      <c r="M208" s="2" t="s">
        <v>1008</v>
      </c>
      <c r="N208" s="2" t="s">
        <v>309</v>
      </c>
      <c r="O208" s="2" t="s">
        <v>310</v>
      </c>
      <c r="P208" s="2" t="s">
        <v>278</v>
      </c>
      <c r="Q208" s="2" t="s">
        <v>279</v>
      </c>
      <c r="R208" s="2" t="s">
        <v>280</v>
      </c>
      <c r="S208" s="2"/>
      <c r="T208" s="2" t="s">
        <v>281</v>
      </c>
      <c r="U208" s="2"/>
    </row>
    <row r="209" spans="1:21" ht="43.5" customHeight="1" x14ac:dyDescent="0.5">
      <c r="A209" s="2" t="s">
        <v>1009</v>
      </c>
      <c r="B209" s="2" t="s">
        <v>111</v>
      </c>
      <c r="C209" s="2" t="s">
        <v>1010</v>
      </c>
      <c r="D209" s="2" t="s">
        <v>266</v>
      </c>
      <c r="E209" s="2" t="s">
        <v>267</v>
      </c>
      <c r="F209" s="2" t="s">
        <v>1011</v>
      </c>
      <c r="G209" s="4" t="s">
        <v>269</v>
      </c>
      <c r="H209" s="2" t="s">
        <v>1012</v>
      </c>
      <c r="I209" s="2" t="s">
        <v>271</v>
      </c>
      <c r="J209" s="2" t="s">
        <v>272</v>
      </c>
      <c r="K209" s="2" t="s">
        <v>273</v>
      </c>
      <c r="L209" s="2" t="s">
        <v>274</v>
      </c>
      <c r="M209" s="2" t="s">
        <v>1013</v>
      </c>
      <c r="N209" s="2" t="s">
        <v>276</v>
      </c>
      <c r="O209" s="2" t="s">
        <v>277</v>
      </c>
      <c r="P209" s="2" t="s">
        <v>278</v>
      </c>
      <c r="Q209" s="2" t="s">
        <v>279</v>
      </c>
      <c r="R209" s="2" t="s">
        <v>280</v>
      </c>
      <c r="S209" s="2"/>
      <c r="T209" s="2" t="s">
        <v>281</v>
      </c>
      <c r="U209" s="2"/>
    </row>
    <row r="210" spans="1:21" ht="43.5" customHeight="1" x14ac:dyDescent="0.5">
      <c r="A210" s="2" t="s">
        <v>1014</v>
      </c>
      <c r="B210" s="2" t="s">
        <v>111</v>
      </c>
      <c r="C210" s="2" t="s">
        <v>1015</v>
      </c>
      <c r="D210" s="2" t="s">
        <v>284</v>
      </c>
      <c r="E210" s="2" t="s">
        <v>285</v>
      </c>
      <c r="F210" s="2" t="s">
        <v>1016</v>
      </c>
      <c r="G210" s="4" t="s">
        <v>269</v>
      </c>
      <c r="H210" s="2" t="s">
        <v>1012</v>
      </c>
      <c r="I210" s="2" t="s">
        <v>287</v>
      </c>
      <c r="J210" s="2" t="s">
        <v>272</v>
      </c>
      <c r="K210" s="2" t="s">
        <v>273</v>
      </c>
      <c r="L210" s="2" t="s">
        <v>274</v>
      </c>
      <c r="M210" s="2" t="s">
        <v>1017</v>
      </c>
      <c r="N210" s="2" t="s">
        <v>276</v>
      </c>
      <c r="O210" s="2" t="s">
        <v>277</v>
      </c>
      <c r="P210" s="2" t="s">
        <v>278</v>
      </c>
      <c r="Q210" s="2" t="s">
        <v>279</v>
      </c>
      <c r="R210" s="2" t="s">
        <v>280</v>
      </c>
      <c r="S210" s="2"/>
      <c r="T210" s="2" t="s">
        <v>281</v>
      </c>
      <c r="U210" s="2"/>
    </row>
    <row r="211" spans="1:21" ht="43.5" customHeight="1" x14ac:dyDescent="0.5">
      <c r="A211" s="2" t="s">
        <v>1018</v>
      </c>
      <c r="B211" s="2" t="s">
        <v>111</v>
      </c>
      <c r="C211" s="2" t="s">
        <v>1019</v>
      </c>
      <c r="D211" s="2" t="s">
        <v>291</v>
      </c>
      <c r="E211" s="2" t="s">
        <v>292</v>
      </c>
      <c r="F211" s="2" t="s">
        <v>293</v>
      </c>
      <c r="G211" s="5" t="s">
        <v>294</v>
      </c>
      <c r="H211" s="2" t="s">
        <v>1012</v>
      </c>
      <c r="I211" s="2" t="s">
        <v>295</v>
      </c>
      <c r="J211" s="2" t="s">
        <v>272</v>
      </c>
      <c r="K211" s="2" t="s">
        <v>296</v>
      </c>
      <c r="L211" s="2" t="s">
        <v>297</v>
      </c>
      <c r="M211" s="2" t="s">
        <v>1020</v>
      </c>
      <c r="N211" s="2" t="s">
        <v>299</v>
      </c>
      <c r="O211" s="2" t="s">
        <v>300</v>
      </c>
      <c r="P211" s="2" t="s">
        <v>278</v>
      </c>
      <c r="Q211" s="2" t="s">
        <v>279</v>
      </c>
      <c r="R211" s="2" t="s">
        <v>280</v>
      </c>
      <c r="S211" s="2"/>
      <c r="T211" s="2" t="s">
        <v>281</v>
      </c>
      <c r="U211" s="2"/>
    </row>
    <row r="212" spans="1:21" ht="43.5" customHeight="1" x14ac:dyDescent="0.5">
      <c r="A212" s="2" t="s">
        <v>1021</v>
      </c>
      <c r="B212" s="2" t="s">
        <v>111</v>
      </c>
      <c r="C212" s="2" t="s">
        <v>1022</v>
      </c>
      <c r="D212" s="2" t="s">
        <v>523</v>
      </c>
      <c r="E212" s="2" t="s">
        <v>304</v>
      </c>
      <c r="F212" s="2" t="s">
        <v>524</v>
      </c>
      <c r="G212" s="5" t="s">
        <v>306</v>
      </c>
      <c r="H212" s="2" t="s">
        <v>1012</v>
      </c>
      <c r="I212" s="2" t="s">
        <v>307</v>
      </c>
      <c r="J212" s="2" t="s">
        <v>272</v>
      </c>
      <c r="K212" s="2" t="s">
        <v>296</v>
      </c>
      <c r="L212" s="2" t="s">
        <v>297</v>
      </c>
      <c r="M212" s="2" t="s">
        <v>1023</v>
      </c>
      <c r="N212" s="2" t="s">
        <v>309</v>
      </c>
      <c r="O212" s="2" t="s">
        <v>310</v>
      </c>
      <c r="P212" s="2" t="s">
        <v>278</v>
      </c>
      <c r="Q212" s="2" t="s">
        <v>279</v>
      </c>
      <c r="R212" s="2" t="s">
        <v>280</v>
      </c>
      <c r="S212" s="2"/>
      <c r="T212" s="2" t="s">
        <v>281</v>
      </c>
      <c r="U212" s="2"/>
    </row>
    <row r="213" spans="1:21" ht="43.5" customHeight="1" x14ac:dyDescent="0.5">
      <c r="A213" s="2" t="s">
        <v>1024</v>
      </c>
      <c r="B213" s="2" t="s">
        <v>111</v>
      </c>
      <c r="C213" s="2" t="s">
        <v>1025</v>
      </c>
      <c r="D213" s="2" t="s">
        <v>528</v>
      </c>
      <c r="E213" s="2" t="s">
        <v>359</v>
      </c>
      <c r="F213" s="2" t="s">
        <v>360</v>
      </c>
      <c r="G213" s="5" t="s">
        <v>294</v>
      </c>
      <c r="H213" s="2" t="s">
        <v>1012</v>
      </c>
      <c r="I213" s="2" t="s">
        <v>361</v>
      </c>
      <c r="J213" s="2" t="s">
        <v>272</v>
      </c>
      <c r="K213" s="2" t="s">
        <v>296</v>
      </c>
      <c r="L213" s="2" t="s">
        <v>297</v>
      </c>
      <c r="M213" s="2" t="s">
        <v>1026</v>
      </c>
      <c r="N213" s="2" t="s">
        <v>299</v>
      </c>
      <c r="O213" s="2" t="s">
        <v>300</v>
      </c>
      <c r="P213" s="2" t="s">
        <v>278</v>
      </c>
      <c r="Q213" s="2" t="s">
        <v>279</v>
      </c>
      <c r="R213" s="2" t="s">
        <v>280</v>
      </c>
      <c r="S213" s="2"/>
      <c r="T213" s="2" t="s">
        <v>281</v>
      </c>
      <c r="U213" s="2"/>
    </row>
    <row r="214" spans="1:21" ht="43.5" customHeight="1" x14ac:dyDescent="0.5">
      <c r="A214" s="2" t="s">
        <v>1027</v>
      </c>
      <c r="B214" s="2" t="s">
        <v>111</v>
      </c>
      <c r="C214" s="2" t="s">
        <v>1028</v>
      </c>
      <c r="D214" s="2" t="s">
        <v>457</v>
      </c>
      <c r="E214" s="2" t="s">
        <v>458</v>
      </c>
      <c r="F214" s="2" t="s">
        <v>459</v>
      </c>
      <c r="G214" s="5" t="s">
        <v>460</v>
      </c>
      <c r="H214" s="2" t="s">
        <v>1012</v>
      </c>
      <c r="I214" s="2" t="s">
        <v>461</v>
      </c>
      <c r="J214" s="2" t="s">
        <v>272</v>
      </c>
      <c r="K214" s="2" t="s">
        <v>296</v>
      </c>
      <c r="L214" s="2" t="s">
        <v>297</v>
      </c>
      <c r="M214" s="2" t="s">
        <v>1029</v>
      </c>
      <c r="N214" s="2" t="s">
        <v>309</v>
      </c>
      <c r="O214" s="2" t="s">
        <v>310</v>
      </c>
      <c r="P214" s="2" t="s">
        <v>278</v>
      </c>
      <c r="Q214" s="2" t="s">
        <v>279</v>
      </c>
      <c r="R214" s="2" t="s">
        <v>280</v>
      </c>
      <c r="S214" s="2"/>
      <c r="T214" s="2" t="s">
        <v>281</v>
      </c>
      <c r="U214" s="2"/>
    </row>
    <row r="215" spans="1:21" ht="43.5" customHeight="1" x14ac:dyDescent="0.5">
      <c r="A215" s="2" t="s">
        <v>1030</v>
      </c>
      <c r="B215" s="2" t="s">
        <v>111</v>
      </c>
      <c r="C215" s="2" t="s">
        <v>1031</v>
      </c>
      <c r="D215" s="2" t="s">
        <v>1032</v>
      </c>
      <c r="E215" s="2" t="s">
        <v>1033</v>
      </c>
      <c r="F215" s="2" t="s">
        <v>1034</v>
      </c>
      <c r="G215" s="5" t="s">
        <v>460</v>
      </c>
      <c r="H215" s="2" t="s">
        <v>1012</v>
      </c>
      <c r="I215" s="2" t="s">
        <v>1035</v>
      </c>
      <c r="J215" s="2" t="s">
        <v>272</v>
      </c>
      <c r="K215" s="2" t="s">
        <v>296</v>
      </c>
      <c r="L215" s="2" t="s">
        <v>297</v>
      </c>
      <c r="M215" s="2" t="s">
        <v>1036</v>
      </c>
      <c r="N215" s="2" t="s">
        <v>309</v>
      </c>
      <c r="O215" s="2" t="s">
        <v>310</v>
      </c>
      <c r="P215" s="2" t="s">
        <v>278</v>
      </c>
      <c r="Q215" s="2" t="s">
        <v>279</v>
      </c>
      <c r="R215" s="2" t="s">
        <v>280</v>
      </c>
      <c r="S215" s="2"/>
      <c r="T215" s="2" t="s">
        <v>281</v>
      </c>
      <c r="U215" s="2"/>
    </row>
    <row r="216" spans="1:21" ht="43.5" customHeight="1" x14ac:dyDescent="0.5">
      <c r="A216" s="2" t="s">
        <v>1037</v>
      </c>
      <c r="B216" s="2" t="s">
        <v>111</v>
      </c>
      <c r="C216" s="2" t="s">
        <v>1038</v>
      </c>
      <c r="D216" s="2" t="s">
        <v>266</v>
      </c>
      <c r="E216" s="2" t="s">
        <v>267</v>
      </c>
      <c r="F216" s="2" t="s">
        <v>1039</v>
      </c>
      <c r="G216" s="4" t="s">
        <v>269</v>
      </c>
      <c r="H216" s="2" t="s">
        <v>1040</v>
      </c>
      <c r="I216" s="2" t="s">
        <v>271</v>
      </c>
      <c r="J216" s="2" t="s">
        <v>272</v>
      </c>
      <c r="K216" s="2" t="s">
        <v>273</v>
      </c>
      <c r="L216" s="2" t="s">
        <v>274</v>
      </c>
      <c r="M216" s="2" t="s">
        <v>1041</v>
      </c>
      <c r="N216" s="2" t="s">
        <v>276</v>
      </c>
      <c r="O216" s="2" t="s">
        <v>277</v>
      </c>
      <c r="P216" s="2" t="s">
        <v>278</v>
      </c>
      <c r="Q216" s="2" t="s">
        <v>279</v>
      </c>
      <c r="R216" s="2" t="s">
        <v>280</v>
      </c>
      <c r="S216" s="2"/>
      <c r="T216" s="2" t="s">
        <v>281</v>
      </c>
      <c r="U216" s="2"/>
    </row>
    <row r="217" spans="1:21" ht="43.5" customHeight="1" x14ac:dyDescent="0.5">
      <c r="A217" s="2" t="s">
        <v>1042</v>
      </c>
      <c r="B217" s="2" t="s">
        <v>111</v>
      </c>
      <c r="C217" s="2" t="s">
        <v>1043</v>
      </c>
      <c r="D217" s="2" t="s">
        <v>284</v>
      </c>
      <c r="E217" s="2" t="s">
        <v>285</v>
      </c>
      <c r="F217" s="2" t="s">
        <v>1044</v>
      </c>
      <c r="G217" s="4" t="s">
        <v>269</v>
      </c>
      <c r="H217" s="2" t="s">
        <v>1040</v>
      </c>
      <c r="I217" s="2" t="s">
        <v>287</v>
      </c>
      <c r="J217" s="2" t="s">
        <v>272</v>
      </c>
      <c r="K217" s="2" t="s">
        <v>273</v>
      </c>
      <c r="L217" s="2" t="s">
        <v>274</v>
      </c>
      <c r="M217" s="2" t="s">
        <v>1045</v>
      </c>
      <c r="N217" s="2" t="s">
        <v>276</v>
      </c>
      <c r="O217" s="2" t="s">
        <v>277</v>
      </c>
      <c r="P217" s="2" t="s">
        <v>278</v>
      </c>
      <c r="Q217" s="2" t="s">
        <v>279</v>
      </c>
      <c r="R217" s="2" t="s">
        <v>280</v>
      </c>
      <c r="S217" s="2"/>
      <c r="T217" s="2" t="s">
        <v>281</v>
      </c>
      <c r="U217" s="2"/>
    </row>
    <row r="218" spans="1:21" ht="43.5" customHeight="1" x14ac:dyDescent="0.5">
      <c r="A218" s="2" t="s">
        <v>1046</v>
      </c>
      <c r="B218" s="2" t="s">
        <v>111</v>
      </c>
      <c r="C218" s="2" t="s">
        <v>1047</v>
      </c>
      <c r="D218" s="2" t="s">
        <v>291</v>
      </c>
      <c r="E218" s="2" t="s">
        <v>292</v>
      </c>
      <c r="F218" s="2" t="s">
        <v>293</v>
      </c>
      <c r="G218" s="5" t="s">
        <v>294</v>
      </c>
      <c r="H218" s="2" t="s">
        <v>1040</v>
      </c>
      <c r="I218" s="2" t="s">
        <v>295</v>
      </c>
      <c r="J218" s="2" t="s">
        <v>272</v>
      </c>
      <c r="K218" s="2" t="s">
        <v>296</v>
      </c>
      <c r="L218" s="2" t="s">
        <v>297</v>
      </c>
      <c r="M218" s="2" t="s">
        <v>1048</v>
      </c>
      <c r="N218" s="2" t="s">
        <v>299</v>
      </c>
      <c r="O218" s="2" t="s">
        <v>300</v>
      </c>
      <c r="P218" s="2" t="s">
        <v>278</v>
      </c>
      <c r="Q218" s="2" t="s">
        <v>279</v>
      </c>
      <c r="R218" s="2" t="s">
        <v>280</v>
      </c>
      <c r="S218" s="2"/>
      <c r="T218" s="2" t="s">
        <v>281</v>
      </c>
      <c r="U218" s="2"/>
    </row>
    <row r="219" spans="1:21" ht="43.5" customHeight="1" x14ac:dyDescent="0.5">
      <c r="A219" s="2" t="s">
        <v>1049</v>
      </c>
      <c r="B219" s="2" t="s">
        <v>111</v>
      </c>
      <c r="C219" s="2" t="s">
        <v>1050</v>
      </c>
      <c r="D219" s="2" t="s">
        <v>406</v>
      </c>
      <c r="E219" s="2" t="s">
        <v>304</v>
      </c>
      <c r="F219" s="2" t="s">
        <v>407</v>
      </c>
      <c r="G219" s="5" t="s">
        <v>306</v>
      </c>
      <c r="H219" s="2" t="s">
        <v>1040</v>
      </c>
      <c r="I219" s="2" t="s">
        <v>307</v>
      </c>
      <c r="J219" s="2" t="s">
        <v>272</v>
      </c>
      <c r="K219" s="2" t="s">
        <v>296</v>
      </c>
      <c r="L219" s="2" t="s">
        <v>297</v>
      </c>
      <c r="M219" s="2" t="s">
        <v>1051</v>
      </c>
      <c r="N219" s="2" t="s">
        <v>309</v>
      </c>
      <c r="O219" s="2" t="s">
        <v>310</v>
      </c>
      <c r="P219" s="2" t="s">
        <v>278</v>
      </c>
      <c r="Q219" s="2" t="s">
        <v>279</v>
      </c>
      <c r="R219" s="2" t="s">
        <v>280</v>
      </c>
      <c r="S219" s="2"/>
      <c r="T219" s="2" t="s">
        <v>281</v>
      </c>
      <c r="U219" s="2"/>
    </row>
    <row r="220" spans="1:21" ht="43.5" customHeight="1" x14ac:dyDescent="0.5">
      <c r="A220" s="2" t="s">
        <v>1052</v>
      </c>
      <c r="B220" s="2" t="s">
        <v>111</v>
      </c>
      <c r="C220" s="2" t="s">
        <v>1053</v>
      </c>
      <c r="D220" s="2" t="s">
        <v>411</v>
      </c>
      <c r="E220" s="2" t="s">
        <v>359</v>
      </c>
      <c r="F220" s="2" t="s">
        <v>360</v>
      </c>
      <c r="G220" s="5" t="s">
        <v>294</v>
      </c>
      <c r="H220" s="2" t="s">
        <v>1040</v>
      </c>
      <c r="I220" s="2" t="s">
        <v>361</v>
      </c>
      <c r="J220" s="2" t="s">
        <v>272</v>
      </c>
      <c r="K220" s="2" t="s">
        <v>296</v>
      </c>
      <c r="L220" s="2" t="s">
        <v>297</v>
      </c>
      <c r="M220" s="2" t="s">
        <v>1054</v>
      </c>
      <c r="N220" s="2" t="s">
        <v>299</v>
      </c>
      <c r="O220" s="2" t="s">
        <v>300</v>
      </c>
      <c r="P220" s="2" t="s">
        <v>278</v>
      </c>
      <c r="Q220" s="2" t="s">
        <v>279</v>
      </c>
      <c r="R220" s="2" t="s">
        <v>280</v>
      </c>
      <c r="S220" s="2"/>
      <c r="T220" s="2" t="s">
        <v>281</v>
      </c>
      <c r="U220" s="2"/>
    </row>
    <row r="221" spans="1:21" ht="43.5" customHeight="1" x14ac:dyDescent="0.5">
      <c r="A221" s="2" t="s">
        <v>1055</v>
      </c>
      <c r="B221" s="2" t="s">
        <v>111</v>
      </c>
      <c r="C221" s="2" t="s">
        <v>1056</v>
      </c>
      <c r="D221" s="2" t="s">
        <v>484</v>
      </c>
      <c r="E221" s="2" t="s">
        <v>458</v>
      </c>
      <c r="F221" s="2" t="s">
        <v>459</v>
      </c>
      <c r="G221" s="5" t="s">
        <v>460</v>
      </c>
      <c r="H221" s="2" t="s">
        <v>1040</v>
      </c>
      <c r="I221" s="2" t="s">
        <v>461</v>
      </c>
      <c r="J221" s="2" t="s">
        <v>272</v>
      </c>
      <c r="K221" s="2" t="s">
        <v>296</v>
      </c>
      <c r="L221" s="2" t="s">
        <v>297</v>
      </c>
      <c r="M221" s="2" t="s">
        <v>1057</v>
      </c>
      <c r="N221" s="2" t="s">
        <v>309</v>
      </c>
      <c r="O221" s="2" t="s">
        <v>310</v>
      </c>
      <c r="P221" s="2" t="s">
        <v>278</v>
      </c>
      <c r="Q221" s="2" t="s">
        <v>279</v>
      </c>
      <c r="R221" s="2" t="s">
        <v>280</v>
      </c>
      <c r="S221" s="2"/>
      <c r="T221" s="2" t="s">
        <v>281</v>
      </c>
      <c r="U221" s="2"/>
    </row>
    <row r="222" spans="1:21" ht="43.5" customHeight="1" x14ac:dyDescent="0.5">
      <c r="A222" s="2" t="s">
        <v>1058</v>
      </c>
      <c r="B222" s="2" t="s">
        <v>111</v>
      </c>
      <c r="C222" s="2" t="s">
        <v>1059</v>
      </c>
      <c r="D222" s="2" t="s">
        <v>1032</v>
      </c>
      <c r="E222" s="2" t="s">
        <v>1033</v>
      </c>
      <c r="F222" s="2" t="s">
        <v>1034</v>
      </c>
      <c r="G222" s="5" t="s">
        <v>460</v>
      </c>
      <c r="H222" s="2" t="s">
        <v>1040</v>
      </c>
      <c r="I222" s="2" t="s">
        <v>1035</v>
      </c>
      <c r="J222" s="2" t="s">
        <v>272</v>
      </c>
      <c r="K222" s="2" t="s">
        <v>296</v>
      </c>
      <c r="L222" s="2" t="s">
        <v>297</v>
      </c>
      <c r="M222" s="2" t="s">
        <v>1060</v>
      </c>
      <c r="N222" s="2" t="s">
        <v>309</v>
      </c>
      <c r="O222" s="2" t="s">
        <v>310</v>
      </c>
      <c r="P222" s="2" t="s">
        <v>278</v>
      </c>
      <c r="Q222" s="2" t="s">
        <v>279</v>
      </c>
      <c r="R222" s="2" t="s">
        <v>280</v>
      </c>
      <c r="S222" s="2"/>
      <c r="T222" s="2" t="s">
        <v>281</v>
      </c>
      <c r="U222" s="2"/>
    </row>
    <row r="223" spans="1:21" ht="43.5" customHeight="1" x14ac:dyDescent="0.5">
      <c r="A223" s="2" t="s">
        <v>1061</v>
      </c>
      <c r="B223" s="2" t="s">
        <v>114</v>
      </c>
      <c r="C223" s="2" t="s">
        <v>1062</v>
      </c>
      <c r="D223" s="2" t="s">
        <v>266</v>
      </c>
      <c r="E223" s="2" t="s">
        <v>267</v>
      </c>
      <c r="F223" s="2" t="s">
        <v>488</v>
      </c>
      <c r="G223" s="4" t="s">
        <v>269</v>
      </c>
      <c r="H223" s="2" t="s">
        <v>1063</v>
      </c>
      <c r="I223" s="2" t="s">
        <v>271</v>
      </c>
      <c r="J223" s="2" t="s">
        <v>272</v>
      </c>
      <c r="K223" s="2" t="s">
        <v>273</v>
      </c>
      <c r="L223" s="2" t="s">
        <v>274</v>
      </c>
      <c r="M223" s="2" t="s">
        <v>1064</v>
      </c>
      <c r="N223" s="2" t="s">
        <v>276</v>
      </c>
      <c r="O223" s="2" t="s">
        <v>277</v>
      </c>
      <c r="P223" s="2" t="s">
        <v>278</v>
      </c>
      <c r="Q223" s="2" t="s">
        <v>279</v>
      </c>
      <c r="R223" s="2" t="s">
        <v>280</v>
      </c>
      <c r="S223" s="2"/>
      <c r="T223" s="2" t="s">
        <v>281</v>
      </c>
      <c r="U223" s="2"/>
    </row>
    <row r="224" spans="1:21" ht="43.5" customHeight="1" x14ac:dyDescent="0.5">
      <c r="A224" s="2" t="s">
        <v>1065</v>
      </c>
      <c r="B224" s="2" t="s">
        <v>114</v>
      </c>
      <c r="C224" s="2" t="s">
        <v>1066</v>
      </c>
      <c r="D224" s="2" t="s">
        <v>284</v>
      </c>
      <c r="E224" s="2" t="s">
        <v>285</v>
      </c>
      <c r="F224" s="2" t="s">
        <v>493</v>
      </c>
      <c r="G224" s="4" t="s">
        <v>269</v>
      </c>
      <c r="H224" s="2" t="s">
        <v>1063</v>
      </c>
      <c r="I224" s="2" t="s">
        <v>287</v>
      </c>
      <c r="J224" s="2" t="s">
        <v>272</v>
      </c>
      <c r="K224" s="2" t="s">
        <v>273</v>
      </c>
      <c r="L224" s="2" t="s">
        <v>274</v>
      </c>
      <c r="M224" s="2" t="s">
        <v>1067</v>
      </c>
      <c r="N224" s="2" t="s">
        <v>276</v>
      </c>
      <c r="O224" s="2" t="s">
        <v>277</v>
      </c>
      <c r="P224" s="2" t="s">
        <v>278</v>
      </c>
      <c r="Q224" s="2" t="s">
        <v>279</v>
      </c>
      <c r="R224" s="2" t="s">
        <v>280</v>
      </c>
      <c r="S224" s="2"/>
      <c r="T224" s="2" t="s">
        <v>281</v>
      </c>
      <c r="U224" s="2"/>
    </row>
    <row r="225" spans="1:21" ht="43.5" customHeight="1" x14ac:dyDescent="0.5">
      <c r="A225" s="2" t="s">
        <v>1068</v>
      </c>
      <c r="B225" s="2" t="s">
        <v>114</v>
      </c>
      <c r="C225" s="2" t="s">
        <v>1069</v>
      </c>
      <c r="D225" s="2" t="s">
        <v>291</v>
      </c>
      <c r="E225" s="2" t="s">
        <v>292</v>
      </c>
      <c r="F225" s="2" t="s">
        <v>293</v>
      </c>
      <c r="G225" s="5" t="s">
        <v>294</v>
      </c>
      <c r="H225" s="2" t="s">
        <v>1063</v>
      </c>
      <c r="I225" s="2" t="s">
        <v>295</v>
      </c>
      <c r="J225" s="2" t="s">
        <v>272</v>
      </c>
      <c r="K225" s="2" t="s">
        <v>296</v>
      </c>
      <c r="L225" s="2" t="s">
        <v>297</v>
      </c>
      <c r="M225" s="2" t="s">
        <v>1070</v>
      </c>
      <c r="N225" s="2" t="s">
        <v>299</v>
      </c>
      <c r="O225" s="2" t="s">
        <v>300</v>
      </c>
      <c r="P225" s="2" t="s">
        <v>278</v>
      </c>
      <c r="Q225" s="2" t="s">
        <v>279</v>
      </c>
      <c r="R225" s="2" t="s">
        <v>280</v>
      </c>
      <c r="S225" s="2"/>
      <c r="T225" s="2" t="s">
        <v>281</v>
      </c>
      <c r="U225" s="2"/>
    </row>
    <row r="226" spans="1:21" ht="43.5" customHeight="1" x14ac:dyDescent="0.5">
      <c r="A226" s="2" t="s">
        <v>1071</v>
      </c>
      <c r="B226" s="2" t="s">
        <v>114</v>
      </c>
      <c r="C226" s="2" t="s">
        <v>1072</v>
      </c>
      <c r="D226" s="2" t="s">
        <v>835</v>
      </c>
      <c r="E226" s="2" t="s">
        <v>304</v>
      </c>
      <c r="F226" s="2" t="s">
        <v>836</v>
      </c>
      <c r="G226" s="5" t="s">
        <v>306</v>
      </c>
      <c r="H226" s="2" t="s">
        <v>1063</v>
      </c>
      <c r="I226" s="2" t="s">
        <v>307</v>
      </c>
      <c r="J226" s="2" t="s">
        <v>272</v>
      </c>
      <c r="K226" s="2" t="s">
        <v>296</v>
      </c>
      <c r="L226" s="2" t="s">
        <v>297</v>
      </c>
      <c r="M226" s="2" t="s">
        <v>1073</v>
      </c>
      <c r="N226" s="2" t="s">
        <v>309</v>
      </c>
      <c r="O226" s="2" t="s">
        <v>310</v>
      </c>
      <c r="P226" s="2" t="s">
        <v>278</v>
      </c>
      <c r="Q226" s="2" t="s">
        <v>279</v>
      </c>
      <c r="R226" s="2" t="s">
        <v>280</v>
      </c>
      <c r="S226" s="2"/>
      <c r="T226" s="2" t="s">
        <v>281</v>
      </c>
      <c r="U226" s="2"/>
    </row>
    <row r="227" spans="1:21" ht="43.5" customHeight="1" x14ac:dyDescent="0.5">
      <c r="A227" s="2" t="s">
        <v>1074</v>
      </c>
      <c r="B227" s="2" t="s">
        <v>114</v>
      </c>
      <c r="C227" s="2" t="s">
        <v>1075</v>
      </c>
      <c r="D227" s="2" t="s">
        <v>840</v>
      </c>
      <c r="E227" s="2" t="s">
        <v>359</v>
      </c>
      <c r="F227" s="2" t="s">
        <v>360</v>
      </c>
      <c r="G227" s="5" t="s">
        <v>294</v>
      </c>
      <c r="H227" s="2" t="s">
        <v>1063</v>
      </c>
      <c r="I227" s="2" t="s">
        <v>361</v>
      </c>
      <c r="J227" s="2" t="s">
        <v>272</v>
      </c>
      <c r="K227" s="2" t="s">
        <v>296</v>
      </c>
      <c r="L227" s="2" t="s">
        <v>297</v>
      </c>
      <c r="M227" s="2" t="s">
        <v>1076</v>
      </c>
      <c r="N227" s="2" t="s">
        <v>299</v>
      </c>
      <c r="O227" s="2" t="s">
        <v>300</v>
      </c>
      <c r="P227" s="2" t="s">
        <v>278</v>
      </c>
      <c r="Q227" s="2" t="s">
        <v>279</v>
      </c>
      <c r="R227" s="2" t="s">
        <v>280</v>
      </c>
      <c r="S227" s="2"/>
      <c r="T227" s="2" t="s">
        <v>281</v>
      </c>
      <c r="U227" s="2"/>
    </row>
    <row r="228" spans="1:21" ht="43.5" customHeight="1" x14ac:dyDescent="0.5">
      <c r="A228" s="2" t="s">
        <v>1077</v>
      </c>
      <c r="B228" s="2" t="s">
        <v>114</v>
      </c>
      <c r="C228" s="2" t="s">
        <v>1078</v>
      </c>
      <c r="D228" s="2" t="s">
        <v>509</v>
      </c>
      <c r="E228" s="2" t="s">
        <v>458</v>
      </c>
      <c r="F228" s="2" t="s">
        <v>459</v>
      </c>
      <c r="G228" s="5" t="s">
        <v>460</v>
      </c>
      <c r="H228" s="2" t="s">
        <v>1063</v>
      </c>
      <c r="I228" s="2" t="s">
        <v>461</v>
      </c>
      <c r="J228" s="2" t="s">
        <v>272</v>
      </c>
      <c r="K228" s="2" t="s">
        <v>296</v>
      </c>
      <c r="L228" s="2" t="s">
        <v>297</v>
      </c>
      <c r="M228" s="2" t="s">
        <v>1079</v>
      </c>
      <c r="N228" s="2" t="s">
        <v>309</v>
      </c>
      <c r="O228" s="2" t="s">
        <v>310</v>
      </c>
      <c r="P228" s="2" t="s">
        <v>278</v>
      </c>
      <c r="Q228" s="2" t="s">
        <v>279</v>
      </c>
      <c r="R228" s="2" t="s">
        <v>280</v>
      </c>
      <c r="S228" s="2"/>
      <c r="T228" s="2" t="s">
        <v>281</v>
      </c>
      <c r="U228" s="2"/>
    </row>
    <row r="229" spans="1:21" ht="43.5" customHeight="1" x14ac:dyDescent="0.5">
      <c r="A229" s="2" t="s">
        <v>1080</v>
      </c>
      <c r="B229" s="2" t="s">
        <v>114</v>
      </c>
      <c r="C229" s="2" t="s">
        <v>1081</v>
      </c>
      <c r="D229" s="2" t="s">
        <v>266</v>
      </c>
      <c r="E229" s="2" t="s">
        <v>267</v>
      </c>
      <c r="F229" s="2" t="s">
        <v>851</v>
      </c>
      <c r="G229" s="4" t="s">
        <v>269</v>
      </c>
      <c r="H229" s="2" t="s">
        <v>1063</v>
      </c>
      <c r="I229" s="2" t="s">
        <v>271</v>
      </c>
      <c r="J229" s="2" t="s">
        <v>272</v>
      </c>
      <c r="K229" s="2" t="s">
        <v>273</v>
      </c>
      <c r="L229" s="2" t="s">
        <v>274</v>
      </c>
      <c r="M229" s="2" t="s">
        <v>1082</v>
      </c>
      <c r="N229" s="2" t="s">
        <v>276</v>
      </c>
      <c r="O229" s="2" t="s">
        <v>277</v>
      </c>
      <c r="P229" s="2" t="s">
        <v>278</v>
      </c>
      <c r="Q229" s="2" t="s">
        <v>279</v>
      </c>
      <c r="R229" s="2" t="s">
        <v>280</v>
      </c>
      <c r="S229" s="2"/>
      <c r="T229" s="2" t="s">
        <v>281</v>
      </c>
      <c r="U229" s="2"/>
    </row>
    <row r="230" spans="1:21" ht="43.5" customHeight="1" x14ac:dyDescent="0.5">
      <c r="A230" s="2" t="s">
        <v>1083</v>
      </c>
      <c r="B230" s="2" t="s">
        <v>114</v>
      </c>
      <c r="C230" s="2" t="s">
        <v>1084</v>
      </c>
      <c r="D230" s="2" t="s">
        <v>284</v>
      </c>
      <c r="E230" s="2" t="s">
        <v>285</v>
      </c>
      <c r="F230" s="2" t="s">
        <v>856</v>
      </c>
      <c r="G230" s="4" t="s">
        <v>269</v>
      </c>
      <c r="H230" s="2" t="s">
        <v>1063</v>
      </c>
      <c r="I230" s="2" t="s">
        <v>287</v>
      </c>
      <c r="J230" s="2" t="s">
        <v>272</v>
      </c>
      <c r="K230" s="2" t="s">
        <v>273</v>
      </c>
      <c r="L230" s="2" t="s">
        <v>274</v>
      </c>
      <c r="M230" s="2" t="s">
        <v>1085</v>
      </c>
      <c r="N230" s="2" t="s">
        <v>276</v>
      </c>
      <c r="O230" s="2" t="s">
        <v>277</v>
      </c>
      <c r="P230" s="2" t="s">
        <v>278</v>
      </c>
      <c r="Q230" s="2" t="s">
        <v>279</v>
      </c>
      <c r="R230" s="2" t="s">
        <v>280</v>
      </c>
      <c r="S230" s="2"/>
      <c r="T230" s="2" t="s">
        <v>281</v>
      </c>
      <c r="U230" s="2"/>
    </row>
    <row r="231" spans="1:21" ht="43.5" customHeight="1" x14ac:dyDescent="0.5">
      <c r="A231" s="2" t="s">
        <v>1086</v>
      </c>
      <c r="B231" s="2" t="s">
        <v>114</v>
      </c>
      <c r="C231" s="2" t="s">
        <v>1087</v>
      </c>
      <c r="D231" s="2" t="s">
        <v>291</v>
      </c>
      <c r="E231" s="2" t="s">
        <v>292</v>
      </c>
      <c r="F231" s="2" t="s">
        <v>293</v>
      </c>
      <c r="G231" s="5" t="s">
        <v>294</v>
      </c>
      <c r="H231" s="2" t="s">
        <v>1063</v>
      </c>
      <c r="I231" s="2" t="s">
        <v>295</v>
      </c>
      <c r="J231" s="2" t="s">
        <v>272</v>
      </c>
      <c r="K231" s="2" t="s">
        <v>296</v>
      </c>
      <c r="L231" s="2" t="s">
        <v>297</v>
      </c>
      <c r="M231" s="2" t="s">
        <v>1088</v>
      </c>
      <c r="N231" s="2" t="s">
        <v>299</v>
      </c>
      <c r="O231" s="2" t="s">
        <v>300</v>
      </c>
      <c r="P231" s="2" t="s">
        <v>278</v>
      </c>
      <c r="Q231" s="2" t="s">
        <v>279</v>
      </c>
      <c r="R231" s="2" t="s">
        <v>280</v>
      </c>
      <c r="S231" s="2"/>
      <c r="T231" s="2" t="s">
        <v>281</v>
      </c>
      <c r="U231" s="2"/>
    </row>
    <row r="232" spans="1:21" ht="43.5" customHeight="1" x14ac:dyDescent="0.5">
      <c r="A232" s="2" t="s">
        <v>1089</v>
      </c>
      <c r="B232" s="2" t="s">
        <v>114</v>
      </c>
      <c r="C232" s="2" t="s">
        <v>1090</v>
      </c>
      <c r="D232" s="2" t="s">
        <v>863</v>
      </c>
      <c r="E232" s="2" t="s">
        <v>304</v>
      </c>
      <c r="F232" s="2" t="s">
        <v>864</v>
      </c>
      <c r="G232" s="5" t="s">
        <v>306</v>
      </c>
      <c r="H232" s="2" t="s">
        <v>1063</v>
      </c>
      <c r="I232" s="2" t="s">
        <v>307</v>
      </c>
      <c r="J232" s="2" t="s">
        <v>272</v>
      </c>
      <c r="K232" s="2" t="s">
        <v>296</v>
      </c>
      <c r="L232" s="2" t="s">
        <v>297</v>
      </c>
      <c r="M232" s="2" t="s">
        <v>1091</v>
      </c>
      <c r="N232" s="2" t="s">
        <v>309</v>
      </c>
      <c r="O232" s="2" t="s">
        <v>310</v>
      </c>
      <c r="P232" s="2" t="s">
        <v>278</v>
      </c>
      <c r="Q232" s="2" t="s">
        <v>279</v>
      </c>
      <c r="R232" s="2" t="s">
        <v>280</v>
      </c>
      <c r="S232" s="2"/>
      <c r="T232" s="2" t="s">
        <v>281</v>
      </c>
      <c r="U232" s="2"/>
    </row>
    <row r="233" spans="1:21" ht="43.5" customHeight="1" x14ac:dyDescent="0.5">
      <c r="A233" s="2" t="s">
        <v>1092</v>
      </c>
      <c r="B233" s="2" t="s">
        <v>114</v>
      </c>
      <c r="C233" s="2" t="s">
        <v>1093</v>
      </c>
      <c r="D233" s="2" t="s">
        <v>868</v>
      </c>
      <c r="E233" s="2" t="s">
        <v>359</v>
      </c>
      <c r="F233" s="2" t="s">
        <v>360</v>
      </c>
      <c r="G233" s="5" t="s">
        <v>294</v>
      </c>
      <c r="H233" s="2" t="s">
        <v>1063</v>
      </c>
      <c r="I233" s="2" t="s">
        <v>361</v>
      </c>
      <c r="J233" s="2" t="s">
        <v>272</v>
      </c>
      <c r="K233" s="2" t="s">
        <v>296</v>
      </c>
      <c r="L233" s="2" t="s">
        <v>297</v>
      </c>
      <c r="M233" s="2" t="s">
        <v>1094</v>
      </c>
      <c r="N233" s="2" t="s">
        <v>299</v>
      </c>
      <c r="O233" s="2" t="s">
        <v>300</v>
      </c>
      <c r="P233" s="2" t="s">
        <v>278</v>
      </c>
      <c r="Q233" s="2" t="s">
        <v>279</v>
      </c>
      <c r="R233" s="2" t="s">
        <v>280</v>
      </c>
      <c r="S233" s="2"/>
      <c r="T233" s="2" t="s">
        <v>281</v>
      </c>
      <c r="U233" s="2"/>
    </row>
    <row r="234" spans="1:21" ht="43.5" customHeight="1" x14ac:dyDescent="0.5">
      <c r="A234" s="2" t="s">
        <v>1095</v>
      </c>
      <c r="B234" s="2" t="s">
        <v>114</v>
      </c>
      <c r="C234" s="2" t="s">
        <v>1096</v>
      </c>
      <c r="D234" s="2" t="s">
        <v>872</v>
      </c>
      <c r="E234" s="2" t="s">
        <v>458</v>
      </c>
      <c r="F234" s="2" t="s">
        <v>459</v>
      </c>
      <c r="G234" s="5" t="s">
        <v>460</v>
      </c>
      <c r="H234" s="2" t="s">
        <v>1063</v>
      </c>
      <c r="I234" s="2" t="s">
        <v>461</v>
      </c>
      <c r="J234" s="2" t="s">
        <v>272</v>
      </c>
      <c r="K234" s="2" t="s">
        <v>296</v>
      </c>
      <c r="L234" s="2" t="s">
        <v>297</v>
      </c>
      <c r="M234" s="2" t="s">
        <v>1097</v>
      </c>
      <c r="N234" s="2" t="s">
        <v>309</v>
      </c>
      <c r="O234" s="2" t="s">
        <v>310</v>
      </c>
      <c r="P234" s="2" t="s">
        <v>278</v>
      </c>
      <c r="Q234" s="2" t="s">
        <v>279</v>
      </c>
      <c r="R234" s="2" t="s">
        <v>280</v>
      </c>
      <c r="S234" s="2"/>
      <c r="T234" s="2" t="s">
        <v>281</v>
      </c>
      <c r="U234" s="2"/>
    </row>
    <row r="235" spans="1:21" ht="43.5" customHeight="1" x14ac:dyDescent="0.5">
      <c r="A235" s="2" t="s">
        <v>1098</v>
      </c>
      <c r="B235" s="2" t="s">
        <v>117</v>
      </c>
      <c r="C235" s="2" t="s">
        <v>1099</v>
      </c>
      <c r="D235" s="2" t="s">
        <v>266</v>
      </c>
      <c r="E235" s="2" t="s">
        <v>267</v>
      </c>
      <c r="F235" s="2" t="s">
        <v>1100</v>
      </c>
      <c r="G235" s="4" t="s">
        <v>269</v>
      </c>
      <c r="H235" s="2" t="s">
        <v>1101</v>
      </c>
      <c r="I235" s="2" t="s">
        <v>271</v>
      </c>
      <c r="J235" s="2" t="s">
        <v>272</v>
      </c>
      <c r="K235" s="2" t="s">
        <v>273</v>
      </c>
      <c r="L235" s="2" t="s">
        <v>274</v>
      </c>
      <c r="M235" s="2" t="s">
        <v>1102</v>
      </c>
      <c r="N235" s="2" t="s">
        <v>276</v>
      </c>
      <c r="O235" s="2" t="s">
        <v>277</v>
      </c>
      <c r="P235" s="2" t="s">
        <v>278</v>
      </c>
      <c r="Q235" s="2" t="s">
        <v>279</v>
      </c>
      <c r="R235" s="2" t="s">
        <v>280</v>
      </c>
      <c r="S235" s="2"/>
      <c r="T235" s="2" t="s">
        <v>281</v>
      </c>
      <c r="U235" s="2"/>
    </row>
    <row r="236" spans="1:21" ht="43.5" customHeight="1" x14ac:dyDescent="0.5">
      <c r="A236" s="2" t="s">
        <v>1103</v>
      </c>
      <c r="B236" s="2" t="s">
        <v>117</v>
      </c>
      <c r="C236" s="2" t="s">
        <v>1104</v>
      </c>
      <c r="D236" s="2" t="s">
        <v>284</v>
      </c>
      <c r="E236" s="2" t="s">
        <v>285</v>
      </c>
      <c r="F236" s="2" t="s">
        <v>1105</v>
      </c>
      <c r="G236" s="4" t="s">
        <v>269</v>
      </c>
      <c r="H236" s="2" t="s">
        <v>1101</v>
      </c>
      <c r="I236" s="2" t="s">
        <v>287</v>
      </c>
      <c r="J236" s="2" t="s">
        <v>272</v>
      </c>
      <c r="K236" s="2" t="s">
        <v>273</v>
      </c>
      <c r="L236" s="2" t="s">
        <v>274</v>
      </c>
      <c r="M236" s="2" t="s">
        <v>1106</v>
      </c>
      <c r="N236" s="2" t="s">
        <v>276</v>
      </c>
      <c r="O236" s="2" t="s">
        <v>277</v>
      </c>
      <c r="P236" s="2" t="s">
        <v>278</v>
      </c>
      <c r="Q236" s="2" t="s">
        <v>279</v>
      </c>
      <c r="R236" s="2" t="s">
        <v>280</v>
      </c>
      <c r="S236" s="2"/>
      <c r="T236" s="2" t="s">
        <v>281</v>
      </c>
      <c r="U236" s="2"/>
    </row>
    <row r="237" spans="1:21" ht="43.5" customHeight="1" x14ac:dyDescent="0.5">
      <c r="A237" s="2" t="s">
        <v>1107</v>
      </c>
      <c r="B237" s="2" t="s">
        <v>117</v>
      </c>
      <c r="C237" s="2" t="s">
        <v>1108</v>
      </c>
      <c r="D237" s="2" t="s">
        <v>291</v>
      </c>
      <c r="E237" s="2" t="s">
        <v>292</v>
      </c>
      <c r="F237" s="2" t="s">
        <v>293</v>
      </c>
      <c r="G237" s="5" t="s">
        <v>294</v>
      </c>
      <c r="H237" s="2" t="s">
        <v>1101</v>
      </c>
      <c r="I237" s="2" t="s">
        <v>295</v>
      </c>
      <c r="J237" s="2" t="s">
        <v>272</v>
      </c>
      <c r="K237" s="2" t="s">
        <v>296</v>
      </c>
      <c r="L237" s="2" t="s">
        <v>297</v>
      </c>
      <c r="M237" s="2" t="s">
        <v>1109</v>
      </c>
      <c r="N237" s="2" t="s">
        <v>299</v>
      </c>
      <c r="O237" s="2" t="s">
        <v>300</v>
      </c>
      <c r="P237" s="2" t="s">
        <v>278</v>
      </c>
      <c r="Q237" s="2" t="s">
        <v>279</v>
      </c>
      <c r="R237" s="2" t="s">
        <v>280</v>
      </c>
      <c r="S237" s="2"/>
      <c r="T237" s="2" t="s">
        <v>281</v>
      </c>
      <c r="U237" s="2"/>
    </row>
    <row r="238" spans="1:21" ht="43.5" customHeight="1" x14ac:dyDescent="0.5">
      <c r="A238" s="2" t="s">
        <v>1110</v>
      </c>
      <c r="B238" s="2" t="s">
        <v>117</v>
      </c>
      <c r="C238" s="2" t="s">
        <v>1111</v>
      </c>
      <c r="D238" s="2" t="s">
        <v>1112</v>
      </c>
      <c r="E238" s="2" t="s">
        <v>304</v>
      </c>
      <c r="F238" s="2" t="s">
        <v>1113</v>
      </c>
      <c r="G238" s="5" t="s">
        <v>306</v>
      </c>
      <c r="H238" s="2" t="s">
        <v>1101</v>
      </c>
      <c r="I238" s="2" t="s">
        <v>307</v>
      </c>
      <c r="J238" s="2" t="s">
        <v>272</v>
      </c>
      <c r="K238" s="2" t="s">
        <v>296</v>
      </c>
      <c r="L238" s="2" t="s">
        <v>297</v>
      </c>
      <c r="M238" s="2" t="s">
        <v>1114</v>
      </c>
      <c r="N238" s="2" t="s">
        <v>309</v>
      </c>
      <c r="O238" s="2" t="s">
        <v>310</v>
      </c>
      <c r="P238" s="2" t="s">
        <v>278</v>
      </c>
      <c r="Q238" s="2" t="s">
        <v>279</v>
      </c>
      <c r="R238" s="2" t="s">
        <v>280</v>
      </c>
      <c r="S238" s="2"/>
      <c r="T238" s="2" t="s">
        <v>281</v>
      </c>
      <c r="U238" s="2"/>
    </row>
    <row r="239" spans="1:21" ht="43.5" customHeight="1" x14ac:dyDescent="0.5">
      <c r="A239" s="2" t="s">
        <v>1115</v>
      </c>
      <c r="B239" s="2" t="s">
        <v>117</v>
      </c>
      <c r="C239" s="2" t="s">
        <v>1116</v>
      </c>
      <c r="D239" s="2" t="s">
        <v>1117</v>
      </c>
      <c r="E239" s="2" t="s">
        <v>359</v>
      </c>
      <c r="F239" s="2" t="s">
        <v>360</v>
      </c>
      <c r="G239" s="5" t="s">
        <v>294</v>
      </c>
      <c r="H239" s="2" t="s">
        <v>1101</v>
      </c>
      <c r="I239" s="2" t="s">
        <v>361</v>
      </c>
      <c r="J239" s="2" t="s">
        <v>272</v>
      </c>
      <c r="K239" s="2" t="s">
        <v>296</v>
      </c>
      <c r="L239" s="2" t="s">
        <v>297</v>
      </c>
      <c r="M239" s="2" t="s">
        <v>1118</v>
      </c>
      <c r="N239" s="2" t="s">
        <v>299</v>
      </c>
      <c r="O239" s="2" t="s">
        <v>300</v>
      </c>
      <c r="P239" s="2" t="s">
        <v>278</v>
      </c>
      <c r="Q239" s="2" t="s">
        <v>279</v>
      </c>
      <c r="R239" s="2" t="s">
        <v>280</v>
      </c>
      <c r="S239" s="2"/>
      <c r="T239" s="2" t="s">
        <v>281</v>
      </c>
      <c r="U239" s="2"/>
    </row>
    <row r="240" spans="1:21" ht="43.5" customHeight="1" x14ac:dyDescent="0.5">
      <c r="A240" s="2" t="s">
        <v>1119</v>
      </c>
      <c r="B240" s="2" t="s">
        <v>117</v>
      </c>
      <c r="C240" s="2" t="s">
        <v>1120</v>
      </c>
      <c r="D240" s="2" t="s">
        <v>1121</v>
      </c>
      <c r="E240" s="2" t="s">
        <v>458</v>
      </c>
      <c r="F240" s="2" t="s">
        <v>459</v>
      </c>
      <c r="G240" s="5" t="s">
        <v>460</v>
      </c>
      <c r="H240" s="2" t="s">
        <v>1101</v>
      </c>
      <c r="I240" s="2" t="s">
        <v>461</v>
      </c>
      <c r="J240" s="2" t="s">
        <v>272</v>
      </c>
      <c r="K240" s="2" t="s">
        <v>296</v>
      </c>
      <c r="L240" s="2" t="s">
        <v>297</v>
      </c>
      <c r="M240" s="2" t="s">
        <v>1122</v>
      </c>
      <c r="N240" s="2" t="s">
        <v>309</v>
      </c>
      <c r="O240" s="2" t="s">
        <v>310</v>
      </c>
      <c r="P240" s="2" t="s">
        <v>278</v>
      </c>
      <c r="Q240" s="2" t="s">
        <v>279</v>
      </c>
      <c r="R240" s="2" t="s">
        <v>280</v>
      </c>
      <c r="S240" s="2"/>
      <c r="T240" s="2" t="s">
        <v>281</v>
      </c>
      <c r="U240" s="2"/>
    </row>
    <row r="241" spans="1:21" ht="43.5" customHeight="1" x14ac:dyDescent="0.5">
      <c r="A241" s="2" t="s">
        <v>1123</v>
      </c>
      <c r="B241" s="2" t="s">
        <v>117</v>
      </c>
      <c r="C241" s="2" t="s">
        <v>1124</v>
      </c>
      <c r="D241" s="2" t="s">
        <v>266</v>
      </c>
      <c r="E241" s="2" t="s">
        <v>267</v>
      </c>
      <c r="F241" s="2" t="s">
        <v>910</v>
      </c>
      <c r="G241" s="4" t="s">
        <v>269</v>
      </c>
      <c r="H241" s="2" t="s">
        <v>1101</v>
      </c>
      <c r="I241" s="2" t="s">
        <v>271</v>
      </c>
      <c r="J241" s="2" t="s">
        <v>272</v>
      </c>
      <c r="K241" s="2" t="s">
        <v>273</v>
      </c>
      <c r="L241" s="2" t="s">
        <v>274</v>
      </c>
      <c r="M241" s="2" t="s">
        <v>1125</v>
      </c>
      <c r="N241" s="2" t="s">
        <v>276</v>
      </c>
      <c r="O241" s="2" t="s">
        <v>277</v>
      </c>
      <c r="P241" s="2" t="s">
        <v>278</v>
      </c>
      <c r="Q241" s="2" t="s">
        <v>279</v>
      </c>
      <c r="R241" s="2" t="s">
        <v>280</v>
      </c>
      <c r="S241" s="2"/>
      <c r="T241" s="2" t="s">
        <v>281</v>
      </c>
      <c r="U241" s="2"/>
    </row>
    <row r="242" spans="1:21" ht="43.5" customHeight="1" x14ac:dyDescent="0.5">
      <c r="A242" s="2" t="s">
        <v>1126</v>
      </c>
      <c r="B242" s="2" t="s">
        <v>117</v>
      </c>
      <c r="C242" s="2" t="s">
        <v>1127</v>
      </c>
      <c r="D242" s="2" t="s">
        <v>284</v>
      </c>
      <c r="E242" s="2" t="s">
        <v>285</v>
      </c>
      <c r="F242" s="2" t="s">
        <v>915</v>
      </c>
      <c r="G242" s="4" t="s">
        <v>269</v>
      </c>
      <c r="H242" s="2" t="s">
        <v>1101</v>
      </c>
      <c r="I242" s="2" t="s">
        <v>287</v>
      </c>
      <c r="J242" s="2" t="s">
        <v>272</v>
      </c>
      <c r="K242" s="2" t="s">
        <v>273</v>
      </c>
      <c r="L242" s="2" t="s">
        <v>274</v>
      </c>
      <c r="M242" s="2" t="s">
        <v>1128</v>
      </c>
      <c r="N242" s="2" t="s">
        <v>276</v>
      </c>
      <c r="O242" s="2" t="s">
        <v>277</v>
      </c>
      <c r="P242" s="2" t="s">
        <v>278</v>
      </c>
      <c r="Q242" s="2" t="s">
        <v>279</v>
      </c>
      <c r="R242" s="2" t="s">
        <v>280</v>
      </c>
      <c r="S242" s="2"/>
      <c r="T242" s="2" t="s">
        <v>281</v>
      </c>
      <c r="U242" s="2"/>
    </row>
    <row r="243" spans="1:21" ht="43.5" customHeight="1" x14ac:dyDescent="0.5">
      <c r="A243" s="2" t="s">
        <v>1129</v>
      </c>
      <c r="B243" s="2" t="s">
        <v>117</v>
      </c>
      <c r="C243" s="2" t="s">
        <v>1130</v>
      </c>
      <c r="D243" s="2" t="s">
        <v>291</v>
      </c>
      <c r="E243" s="2" t="s">
        <v>292</v>
      </c>
      <c r="F243" s="2" t="s">
        <v>293</v>
      </c>
      <c r="G243" s="5" t="s">
        <v>294</v>
      </c>
      <c r="H243" s="2" t="s">
        <v>1101</v>
      </c>
      <c r="I243" s="2" t="s">
        <v>295</v>
      </c>
      <c r="J243" s="2" t="s">
        <v>272</v>
      </c>
      <c r="K243" s="2" t="s">
        <v>296</v>
      </c>
      <c r="L243" s="2" t="s">
        <v>297</v>
      </c>
      <c r="M243" s="2" t="s">
        <v>1131</v>
      </c>
      <c r="N243" s="2" t="s">
        <v>299</v>
      </c>
      <c r="O243" s="2" t="s">
        <v>300</v>
      </c>
      <c r="P243" s="2" t="s">
        <v>278</v>
      </c>
      <c r="Q243" s="2" t="s">
        <v>279</v>
      </c>
      <c r="R243" s="2" t="s">
        <v>280</v>
      </c>
      <c r="S243" s="2"/>
      <c r="T243" s="2" t="s">
        <v>281</v>
      </c>
      <c r="U243" s="2"/>
    </row>
    <row r="244" spans="1:21" ht="43.5" customHeight="1" x14ac:dyDescent="0.5">
      <c r="A244" s="2" t="s">
        <v>1132</v>
      </c>
      <c r="B244" s="2" t="s">
        <v>117</v>
      </c>
      <c r="C244" s="2" t="s">
        <v>1133</v>
      </c>
      <c r="D244" s="2" t="s">
        <v>922</v>
      </c>
      <c r="E244" s="2" t="s">
        <v>304</v>
      </c>
      <c r="F244" s="2" t="s">
        <v>923</v>
      </c>
      <c r="G244" s="5" t="s">
        <v>306</v>
      </c>
      <c r="H244" s="2" t="s">
        <v>1101</v>
      </c>
      <c r="I244" s="2" t="s">
        <v>307</v>
      </c>
      <c r="J244" s="2" t="s">
        <v>272</v>
      </c>
      <c r="K244" s="2" t="s">
        <v>296</v>
      </c>
      <c r="L244" s="2" t="s">
        <v>297</v>
      </c>
      <c r="M244" s="2" t="s">
        <v>1134</v>
      </c>
      <c r="N244" s="2" t="s">
        <v>309</v>
      </c>
      <c r="O244" s="2" t="s">
        <v>310</v>
      </c>
      <c r="P244" s="2" t="s">
        <v>278</v>
      </c>
      <c r="Q244" s="2" t="s">
        <v>279</v>
      </c>
      <c r="R244" s="2" t="s">
        <v>280</v>
      </c>
      <c r="S244" s="2"/>
      <c r="T244" s="2" t="s">
        <v>281</v>
      </c>
      <c r="U244" s="2"/>
    </row>
    <row r="245" spans="1:21" ht="43.5" customHeight="1" x14ac:dyDescent="0.5">
      <c r="A245" s="2" t="s">
        <v>1135</v>
      </c>
      <c r="B245" s="2" t="s">
        <v>117</v>
      </c>
      <c r="C245" s="2" t="s">
        <v>1136</v>
      </c>
      <c r="D245" s="2" t="s">
        <v>927</v>
      </c>
      <c r="E245" s="2" t="s">
        <v>359</v>
      </c>
      <c r="F245" s="2" t="s">
        <v>360</v>
      </c>
      <c r="G245" s="5" t="s">
        <v>294</v>
      </c>
      <c r="H245" s="2" t="s">
        <v>1101</v>
      </c>
      <c r="I245" s="2" t="s">
        <v>361</v>
      </c>
      <c r="J245" s="2" t="s">
        <v>272</v>
      </c>
      <c r="K245" s="2" t="s">
        <v>296</v>
      </c>
      <c r="L245" s="2" t="s">
        <v>297</v>
      </c>
      <c r="M245" s="2" t="s">
        <v>1137</v>
      </c>
      <c r="N245" s="2" t="s">
        <v>299</v>
      </c>
      <c r="O245" s="2" t="s">
        <v>300</v>
      </c>
      <c r="P245" s="2" t="s">
        <v>278</v>
      </c>
      <c r="Q245" s="2" t="s">
        <v>279</v>
      </c>
      <c r="R245" s="2" t="s">
        <v>280</v>
      </c>
      <c r="S245" s="2"/>
      <c r="T245" s="2" t="s">
        <v>281</v>
      </c>
      <c r="U245" s="2"/>
    </row>
    <row r="246" spans="1:21" ht="43.5" customHeight="1" x14ac:dyDescent="0.5">
      <c r="A246" s="2" t="s">
        <v>1138</v>
      </c>
      <c r="B246" s="2" t="s">
        <v>117</v>
      </c>
      <c r="C246" s="2" t="s">
        <v>1139</v>
      </c>
      <c r="D246" s="2" t="s">
        <v>931</v>
      </c>
      <c r="E246" s="2" t="s">
        <v>458</v>
      </c>
      <c r="F246" s="2" t="s">
        <v>459</v>
      </c>
      <c r="G246" s="5" t="s">
        <v>460</v>
      </c>
      <c r="H246" s="2" t="s">
        <v>1101</v>
      </c>
      <c r="I246" s="2" t="s">
        <v>461</v>
      </c>
      <c r="J246" s="2" t="s">
        <v>272</v>
      </c>
      <c r="K246" s="2" t="s">
        <v>296</v>
      </c>
      <c r="L246" s="2" t="s">
        <v>297</v>
      </c>
      <c r="M246" s="2" t="s">
        <v>1140</v>
      </c>
      <c r="N246" s="2" t="s">
        <v>309</v>
      </c>
      <c r="O246" s="2" t="s">
        <v>310</v>
      </c>
      <c r="P246" s="2" t="s">
        <v>278</v>
      </c>
      <c r="Q246" s="2" t="s">
        <v>279</v>
      </c>
      <c r="R246" s="2" t="s">
        <v>280</v>
      </c>
      <c r="S246" s="2"/>
      <c r="T246" s="2" t="s">
        <v>281</v>
      </c>
      <c r="U246" s="2"/>
    </row>
    <row r="247" spans="1:21" ht="43.5" customHeight="1" x14ac:dyDescent="0.5">
      <c r="A247" s="2" t="s">
        <v>1141</v>
      </c>
      <c r="B247" s="2" t="s">
        <v>117</v>
      </c>
      <c r="C247" s="2" t="s">
        <v>1062</v>
      </c>
      <c r="D247" s="2" t="s">
        <v>266</v>
      </c>
      <c r="E247" s="2" t="s">
        <v>267</v>
      </c>
      <c r="F247" s="2" t="s">
        <v>488</v>
      </c>
      <c r="G247" s="4" t="s">
        <v>269</v>
      </c>
      <c r="H247" s="2" t="s">
        <v>1142</v>
      </c>
      <c r="I247" s="2" t="s">
        <v>271</v>
      </c>
      <c r="J247" s="2" t="s">
        <v>272</v>
      </c>
      <c r="K247" s="2" t="s">
        <v>273</v>
      </c>
      <c r="L247" s="2" t="s">
        <v>274</v>
      </c>
      <c r="M247" s="2" t="s">
        <v>1143</v>
      </c>
      <c r="N247" s="2" t="s">
        <v>276</v>
      </c>
      <c r="O247" s="2" t="s">
        <v>277</v>
      </c>
      <c r="P247" s="2" t="s">
        <v>278</v>
      </c>
      <c r="Q247" s="2" t="s">
        <v>279</v>
      </c>
      <c r="R247" s="2" t="s">
        <v>280</v>
      </c>
      <c r="S247" s="2"/>
      <c r="T247" s="2" t="s">
        <v>281</v>
      </c>
      <c r="U247" s="2"/>
    </row>
    <row r="248" spans="1:21" ht="43.5" customHeight="1" x14ac:dyDescent="0.5">
      <c r="A248" s="2" t="s">
        <v>1144</v>
      </c>
      <c r="B248" s="2" t="s">
        <v>117</v>
      </c>
      <c r="C248" s="2" t="s">
        <v>1066</v>
      </c>
      <c r="D248" s="2" t="s">
        <v>284</v>
      </c>
      <c r="E248" s="2" t="s">
        <v>285</v>
      </c>
      <c r="F248" s="2" t="s">
        <v>493</v>
      </c>
      <c r="G248" s="4" t="s">
        <v>269</v>
      </c>
      <c r="H248" s="2" t="s">
        <v>1142</v>
      </c>
      <c r="I248" s="2" t="s">
        <v>287</v>
      </c>
      <c r="J248" s="2" t="s">
        <v>272</v>
      </c>
      <c r="K248" s="2" t="s">
        <v>273</v>
      </c>
      <c r="L248" s="2" t="s">
        <v>274</v>
      </c>
      <c r="M248" s="2" t="s">
        <v>1145</v>
      </c>
      <c r="N248" s="2" t="s">
        <v>276</v>
      </c>
      <c r="O248" s="2" t="s">
        <v>277</v>
      </c>
      <c r="P248" s="2" t="s">
        <v>278</v>
      </c>
      <c r="Q248" s="2" t="s">
        <v>279</v>
      </c>
      <c r="R248" s="2" t="s">
        <v>280</v>
      </c>
      <c r="S248" s="2"/>
      <c r="T248" s="2" t="s">
        <v>281</v>
      </c>
      <c r="U248" s="2"/>
    </row>
    <row r="249" spans="1:21" ht="43.5" customHeight="1" x14ac:dyDescent="0.5">
      <c r="A249" s="2" t="s">
        <v>1146</v>
      </c>
      <c r="B249" s="2" t="s">
        <v>117</v>
      </c>
      <c r="C249" s="2" t="s">
        <v>1069</v>
      </c>
      <c r="D249" s="2" t="s">
        <v>291</v>
      </c>
      <c r="E249" s="2" t="s">
        <v>292</v>
      </c>
      <c r="F249" s="2" t="s">
        <v>293</v>
      </c>
      <c r="G249" s="5" t="s">
        <v>294</v>
      </c>
      <c r="H249" s="2" t="s">
        <v>1142</v>
      </c>
      <c r="I249" s="2" t="s">
        <v>295</v>
      </c>
      <c r="J249" s="2" t="s">
        <v>272</v>
      </c>
      <c r="K249" s="2" t="s">
        <v>296</v>
      </c>
      <c r="L249" s="2" t="s">
        <v>297</v>
      </c>
      <c r="M249" s="2" t="s">
        <v>1147</v>
      </c>
      <c r="N249" s="2" t="s">
        <v>299</v>
      </c>
      <c r="O249" s="2" t="s">
        <v>300</v>
      </c>
      <c r="P249" s="2" t="s">
        <v>278</v>
      </c>
      <c r="Q249" s="2" t="s">
        <v>279</v>
      </c>
      <c r="R249" s="2" t="s">
        <v>280</v>
      </c>
      <c r="S249" s="2"/>
      <c r="T249" s="2" t="s">
        <v>281</v>
      </c>
      <c r="U249" s="2"/>
    </row>
    <row r="250" spans="1:21" ht="43.5" customHeight="1" x14ac:dyDescent="0.5">
      <c r="A250" s="2" t="s">
        <v>1148</v>
      </c>
      <c r="B250" s="2" t="s">
        <v>117</v>
      </c>
      <c r="C250" s="2" t="s">
        <v>1072</v>
      </c>
      <c r="D250" s="2" t="s">
        <v>835</v>
      </c>
      <c r="E250" s="2" t="s">
        <v>304</v>
      </c>
      <c r="F250" s="2" t="s">
        <v>836</v>
      </c>
      <c r="G250" s="5" t="s">
        <v>306</v>
      </c>
      <c r="H250" s="2" t="s">
        <v>1142</v>
      </c>
      <c r="I250" s="2" t="s">
        <v>307</v>
      </c>
      <c r="J250" s="2" t="s">
        <v>272</v>
      </c>
      <c r="K250" s="2" t="s">
        <v>296</v>
      </c>
      <c r="L250" s="2" t="s">
        <v>297</v>
      </c>
      <c r="M250" s="2" t="s">
        <v>1149</v>
      </c>
      <c r="N250" s="2" t="s">
        <v>309</v>
      </c>
      <c r="O250" s="2" t="s">
        <v>310</v>
      </c>
      <c r="P250" s="2" t="s">
        <v>278</v>
      </c>
      <c r="Q250" s="2" t="s">
        <v>279</v>
      </c>
      <c r="R250" s="2" t="s">
        <v>280</v>
      </c>
      <c r="S250" s="2"/>
      <c r="T250" s="2" t="s">
        <v>281</v>
      </c>
      <c r="U250" s="2"/>
    </row>
    <row r="251" spans="1:21" ht="43.5" customHeight="1" x14ac:dyDescent="0.5">
      <c r="A251" s="2" t="s">
        <v>1150</v>
      </c>
      <c r="B251" s="2" t="s">
        <v>117</v>
      </c>
      <c r="C251" s="2" t="s">
        <v>1075</v>
      </c>
      <c r="D251" s="2" t="s">
        <v>840</v>
      </c>
      <c r="E251" s="2" t="s">
        <v>359</v>
      </c>
      <c r="F251" s="2" t="s">
        <v>360</v>
      </c>
      <c r="G251" s="5" t="s">
        <v>294</v>
      </c>
      <c r="H251" s="2" t="s">
        <v>1142</v>
      </c>
      <c r="I251" s="2" t="s">
        <v>361</v>
      </c>
      <c r="J251" s="2" t="s">
        <v>272</v>
      </c>
      <c r="K251" s="2" t="s">
        <v>296</v>
      </c>
      <c r="L251" s="2" t="s">
        <v>297</v>
      </c>
      <c r="M251" s="2" t="s">
        <v>1151</v>
      </c>
      <c r="N251" s="2" t="s">
        <v>299</v>
      </c>
      <c r="O251" s="2" t="s">
        <v>300</v>
      </c>
      <c r="P251" s="2" t="s">
        <v>278</v>
      </c>
      <c r="Q251" s="2" t="s">
        <v>279</v>
      </c>
      <c r="R251" s="2" t="s">
        <v>280</v>
      </c>
      <c r="S251" s="2"/>
      <c r="T251" s="2" t="s">
        <v>281</v>
      </c>
      <c r="U251" s="2"/>
    </row>
    <row r="252" spans="1:21" ht="43.5" customHeight="1" x14ac:dyDescent="0.5">
      <c r="A252" s="2" t="s">
        <v>1152</v>
      </c>
      <c r="B252" s="2" t="s">
        <v>117</v>
      </c>
      <c r="C252" s="2" t="s">
        <v>1078</v>
      </c>
      <c r="D252" s="2" t="s">
        <v>509</v>
      </c>
      <c r="E252" s="2" t="s">
        <v>458</v>
      </c>
      <c r="F252" s="2" t="s">
        <v>459</v>
      </c>
      <c r="G252" s="5" t="s">
        <v>460</v>
      </c>
      <c r="H252" s="2" t="s">
        <v>1142</v>
      </c>
      <c r="I252" s="2" t="s">
        <v>461</v>
      </c>
      <c r="J252" s="2" t="s">
        <v>272</v>
      </c>
      <c r="K252" s="2" t="s">
        <v>296</v>
      </c>
      <c r="L252" s="2" t="s">
        <v>297</v>
      </c>
      <c r="M252" s="2" t="s">
        <v>1153</v>
      </c>
      <c r="N252" s="2" t="s">
        <v>309</v>
      </c>
      <c r="O252" s="2" t="s">
        <v>310</v>
      </c>
      <c r="P252" s="2" t="s">
        <v>278</v>
      </c>
      <c r="Q252" s="2" t="s">
        <v>279</v>
      </c>
      <c r="R252" s="2" t="s">
        <v>280</v>
      </c>
      <c r="S252" s="2"/>
      <c r="T252" s="2" t="s">
        <v>281</v>
      </c>
      <c r="U252" s="2"/>
    </row>
    <row r="253" spans="1:21" ht="43.5" customHeight="1" x14ac:dyDescent="0.5">
      <c r="A253" s="2" t="s">
        <v>1154</v>
      </c>
      <c r="B253" s="2" t="s">
        <v>117</v>
      </c>
      <c r="C253" s="2" t="s">
        <v>1081</v>
      </c>
      <c r="D253" s="2" t="s">
        <v>266</v>
      </c>
      <c r="E253" s="2" t="s">
        <v>267</v>
      </c>
      <c r="F253" s="2" t="s">
        <v>851</v>
      </c>
      <c r="G253" s="4" t="s">
        <v>269</v>
      </c>
      <c r="H253" s="2" t="s">
        <v>1155</v>
      </c>
      <c r="I253" s="2" t="s">
        <v>271</v>
      </c>
      <c r="J253" s="2" t="s">
        <v>272</v>
      </c>
      <c r="K253" s="2" t="s">
        <v>273</v>
      </c>
      <c r="L253" s="2" t="s">
        <v>274</v>
      </c>
      <c r="M253" s="2" t="s">
        <v>1156</v>
      </c>
      <c r="N253" s="2" t="s">
        <v>276</v>
      </c>
      <c r="O253" s="2" t="s">
        <v>277</v>
      </c>
      <c r="P253" s="2" t="s">
        <v>278</v>
      </c>
      <c r="Q253" s="2" t="s">
        <v>279</v>
      </c>
      <c r="R253" s="2" t="s">
        <v>280</v>
      </c>
      <c r="S253" s="2"/>
      <c r="T253" s="2" t="s">
        <v>281</v>
      </c>
      <c r="U253" s="2"/>
    </row>
    <row r="254" spans="1:21" ht="43.5" customHeight="1" x14ac:dyDescent="0.5">
      <c r="A254" s="2" t="s">
        <v>1157</v>
      </c>
      <c r="B254" s="2" t="s">
        <v>117</v>
      </c>
      <c r="C254" s="2" t="s">
        <v>1084</v>
      </c>
      <c r="D254" s="2" t="s">
        <v>284</v>
      </c>
      <c r="E254" s="2" t="s">
        <v>285</v>
      </c>
      <c r="F254" s="2" t="s">
        <v>856</v>
      </c>
      <c r="G254" s="4" t="s">
        <v>269</v>
      </c>
      <c r="H254" s="2" t="s">
        <v>1155</v>
      </c>
      <c r="I254" s="2" t="s">
        <v>287</v>
      </c>
      <c r="J254" s="2" t="s">
        <v>272</v>
      </c>
      <c r="K254" s="2" t="s">
        <v>273</v>
      </c>
      <c r="L254" s="2" t="s">
        <v>274</v>
      </c>
      <c r="M254" s="2" t="s">
        <v>1158</v>
      </c>
      <c r="N254" s="2" t="s">
        <v>276</v>
      </c>
      <c r="O254" s="2" t="s">
        <v>277</v>
      </c>
      <c r="P254" s="2" t="s">
        <v>278</v>
      </c>
      <c r="Q254" s="2" t="s">
        <v>279</v>
      </c>
      <c r="R254" s="2" t="s">
        <v>280</v>
      </c>
      <c r="S254" s="2"/>
      <c r="T254" s="2" t="s">
        <v>281</v>
      </c>
      <c r="U254" s="2"/>
    </row>
    <row r="255" spans="1:21" ht="43.5" customHeight="1" x14ac:dyDescent="0.5">
      <c r="A255" s="2" t="s">
        <v>1159</v>
      </c>
      <c r="B255" s="2" t="s">
        <v>117</v>
      </c>
      <c r="C255" s="2" t="s">
        <v>1087</v>
      </c>
      <c r="D255" s="2" t="s">
        <v>291</v>
      </c>
      <c r="E255" s="2" t="s">
        <v>292</v>
      </c>
      <c r="F255" s="2" t="s">
        <v>293</v>
      </c>
      <c r="G255" s="5" t="s">
        <v>294</v>
      </c>
      <c r="H255" s="2" t="s">
        <v>1155</v>
      </c>
      <c r="I255" s="2" t="s">
        <v>295</v>
      </c>
      <c r="J255" s="2" t="s">
        <v>272</v>
      </c>
      <c r="K255" s="2" t="s">
        <v>296</v>
      </c>
      <c r="L255" s="2" t="s">
        <v>297</v>
      </c>
      <c r="M255" s="2" t="s">
        <v>1160</v>
      </c>
      <c r="N255" s="2" t="s">
        <v>299</v>
      </c>
      <c r="O255" s="2" t="s">
        <v>300</v>
      </c>
      <c r="P255" s="2" t="s">
        <v>278</v>
      </c>
      <c r="Q255" s="2" t="s">
        <v>279</v>
      </c>
      <c r="R255" s="2" t="s">
        <v>280</v>
      </c>
      <c r="S255" s="2"/>
      <c r="T255" s="2" t="s">
        <v>281</v>
      </c>
      <c r="U255" s="2"/>
    </row>
    <row r="256" spans="1:21" ht="43.5" customHeight="1" x14ac:dyDescent="0.5">
      <c r="A256" s="2" t="s">
        <v>1161</v>
      </c>
      <c r="B256" s="2" t="s">
        <v>117</v>
      </c>
      <c r="C256" s="2" t="s">
        <v>1090</v>
      </c>
      <c r="D256" s="2" t="s">
        <v>863</v>
      </c>
      <c r="E256" s="2" t="s">
        <v>304</v>
      </c>
      <c r="F256" s="2" t="s">
        <v>864</v>
      </c>
      <c r="G256" s="5" t="s">
        <v>306</v>
      </c>
      <c r="H256" s="2" t="s">
        <v>1155</v>
      </c>
      <c r="I256" s="2" t="s">
        <v>307</v>
      </c>
      <c r="J256" s="2" t="s">
        <v>272</v>
      </c>
      <c r="K256" s="2" t="s">
        <v>296</v>
      </c>
      <c r="L256" s="2" t="s">
        <v>297</v>
      </c>
      <c r="M256" s="2" t="s">
        <v>1162</v>
      </c>
      <c r="N256" s="2" t="s">
        <v>309</v>
      </c>
      <c r="O256" s="2" t="s">
        <v>310</v>
      </c>
      <c r="P256" s="2" t="s">
        <v>278</v>
      </c>
      <c r="Q256" s="2" t="s">
        <v>279</v>
      </c>
      <c r="R256" s="2" t="s">
        <v>280</v>
      </c>
      <c r="S256" s="2"/>
      <c r="T256" s="2" t="s">
        <v>281</v>
      </c>
      <c r="U256" s="2"/>
    </row>
    <row r="257" spans="1:21" ht="43.5" customHeight="1" x14ac:dyDescent="0.5">
      <c r="A257" s="2" t="s">
        <v>1163</v>
      </c>
      <c r="B257" s="2" t="s">
        <v>117</v>
      </c>
      <c r="C257" s="2" t="s">
        <v>1093</v>
      </c>
      <c r="D257" s="2" t="s">
        <v>868</v>
      </c>
      <c r="E257" s="2" t="s">
        <v>359</v>
      </c>
      <c r="F257" s="2" t="s">
        <v>360</v>
      </c>
      <c r="G257" s="5" t="s">
        <v>294</v>
      </c>
      <c r="H257" s="2" t="s">
        <v>1155</v>
      </c>
      <c r="I257" s="2" t="s">
        <v>361</v>
      </c>
      <c r="J257" s="2" t="s">
        <v>272</v>
      </c>
      <c r="K257" s="2" t="s">
        <v>296</v>
      </c>
      <c r="L257" s="2" t="s">
        <v>297</v>
      </c>
      <c r="M257" s="2" t="s">
        <v>1164</v>
      </c>
      <c r="N257" s="2" t="s">
        <v>299</v>
      </c>
      <c r="O257" s="2" t="s">
        <v>300</v>
      </c>
      <c r="P257" s="2" t="s">
        <v>278</v>
      </c>
      <c r="Q257" s="2" t="s">
        <v>279</v>
      </c>
      <c r="R257" s="2" t="s">
        <v>280</v>
      </c>
      <c r="S257" s="2"/>
      <c r="T257" s="2" t="s">
        <v>281</v>
      </c>
      <c r="U257" s="2"/>
    </row>
    <row r="258" spans="1:21" ht="43.5" customHeight="1" x14ac:dyDescent="0.5">
      <c r="A258" s="2" t="s">
        <v>1165</v>
      </c>
      <c r="B258" s="2" t="s">
        <v>117</v>
      </c>
      <c r="C258" s="2" t="s">
        <v>1096</v>
      </c>
      <c r="D258" s="2" t="s">
        <v>872</v>
      </c>
      <c r="E258" s="2" t="s">
        <v>458</v>
      </c>
      <c r="F258" s="2" t="s">
        <v>459</v>
      </c>
      <c r="G258" s="5" t="s">
        <v>460</v>
      </c>
      <c r="H258" s="2" t="s">
        <v>1155</v>
      </c>
      <c r="I258" s="2" t="s">
        <v>461</v>
      </c>
      <c r="J258" s="2" t="s">
        <v>272</v>
      </c>
      <c r="K258" s="2" t="s">
        <v>296</v>
      </c>
      <c r="L258" s="2" t="s">
        <v>297</v>
      </c>
      <c r="M258" s="2" t="s">
        <v>1166</v>
      </c>
      <c r="N258" s="2" t="s">
        <v>309</v>
      </c>
      <c r="O258" s="2" t="s">
        <v>310</v>
      </c>
      <c r="P258" s="2" t="s">
        <v>278</v>
      </c>
      <c r="Q258" s="2" t="s">
        <v>279</v>
      </c>
      <c r="R258" s="2" t="s">
        <v>280</v>
      </c>
      <c r="S258" s="2"/>
      <c r="T258" s="2" t="s">
        <v>281</v>
      </c>
      <c r="U258" s="2"/>
    </row>
    <row r="259" spans="1:21" ht="43.5" customHeight="1" x14ac:dyDescent="0.5">
      <c r="A259" s="2" t="s">
        <v>1167</v>
      </c>
      <c r="B259" s="2" t="s">
        <v>121</v>
      </c>
      <c r="C259" s="2" t="s">
        <v>1168</v>
      </c>
      <c r="D259" s="2" t="s">
        <v>266</v>
      </c>
      <c r="E259" s="2" t="s">
        <v>1169</v>
      </c>
      <c r="F259" s="2" t="s">
        <v>1170</v>
      </c>
      <c r="G259" s="4" t="s">
        <v>269</v>
      </c>
      <c r="H259" s="2" t="s">
        <v>1171</v>
      </c>
      <c r="I259" s="2" t="s">
        <v>271</v>
      </c>
      <c r="J259" s="2" t="s">
        <v>272</v>
      </c>
      <c r="K259" s="2" t="s">
        <v>273</v>
      </c>
      <c r="L259" s="2" t="s">
        <v>274</v>
      </c>
      <c r="M259" s="2" t="s">
        <v>1172</v>
      </c>
      <c r="N259" s="2" t="s">
        <v>276</v>
      </c>
      <c r="O259" s="2" t="s">
        <v>277</v>
      </c>
      <c r="P259" s="2" t="s">
        <v>278</v>
      </c>
      <c r="Q259" s="2" t="s">
        <v>279</v>
      </c>
      <c r="R259" s="2" t="s">
        <v>280</v>
      </c>
      <c r="S259" s="2"/>
      <c r="T259" s="2" t="s">
        <v>281</v>
      </c>
      <c r="U259" s="2"/>
    </row>
    <row r="260" spans="1:21" ht="43.5" customHeight="1" x14ac:dyDescent="0.5">
      <c r="A260" s="2" t="s">
        <v>1173</v>
      </c>
      <c r="B260" s="2" t="s">
        <v>121</v>
      </c>
      <c r="C260" s="2" t="s">
        <v>1174</v>
      </c>
      <c r="D260" s="2" t="s">
        <v>398</v>
      </c>
      <c r="E260" s="2" t="s">
        <v>399</v>
      </c>
      <c r="F260" s="2" t="s">
        <v>400</v>
      </c>
      <c r="G260" s="2" t="s">
        <v>401</v>
      </c>
      <c r="H260" s="2" t="s">
        <v>1171</v>
      </c>
      <c r="I260" s="2" t="s">
        <v>402</v>
      </c>
      <c r="J260" s="2" t="s">
        <v>272</v>
      </c>
      <c r="K260" s="2" t="s">
        <v>273</v>
      </c>
      <c r="L260" s="2" t="s">
        <v>274</v>
      </c>
      <c r="M260" s="2" t="s">
        <v>1175</v>
      </c>
      <c r="N260" s="2" t="s">
        <v>276</v>
      </c>
      <c r="O260" s="2" t="s">
        <v>277</v>
      </c>
      <c r="P260" s="2" t="s">
        <v>278</v>
      </c>
      <c r="Q260" s="2" t="s">
        <v>279</v>
      </c>
      <c r="R260" s="2" t="s">
        <v>280</v>
      </c>
      <c r="S260" s="2"/>
      <c r="T260" s="2" t="s">
        <v>281</v>
      </c>
      <c r="U260" s="2"/>
    </row>
    <row r="261" spans="1:21" ht="43.5" customHeight="1" x14ac:dyDescent="0.5">
      <c r="A261" s="2" t="s">
        <v>1176</v>
      </c>
      <c r="B261" s="2" t="s">
        <v>121</v>
      </c>
      <c r="C261" s="2" t="s">
        <v>1177</v>
      </c>
      <c r="D261" s="2" t="s">
        <v>1178</v>
      </c>
      <c r="E261" s="2" t="s">
        <v>304</v>
      </c>
      <c r="F261" s="2" t="s">
        <v>1179</v>
      </c>
      <c r="G261" s="5" t="s">
        <v>306</v>
      </c>
      <c r="H261" s="2" t="s">
        <v>1171</v>
      </c>
      <c r="I261" s="2" t="s">
        <v>307</v>
      </c>
      <c r="J261" s="2" t="s">
        <v>272</v>
      </c>
      <c r="K261" s="2" t="s">
        <v>296</v>
      </c>
      <c r="L261" s="2" t="s">
        <v>297</v>
      </c>
      <c r="M261" s="2" t="s">
        <v>1180</v>
      </c>
      <c r="N261" s="2" t="s">
        <v>309</v>
      </c>
      <c r="O261" s="2" t="s">
        <v>310</v>
      </c>
      <c r="P261" s="2" t="s">
        <v>278</v>
      </c>
      <c r="Q261" s="2" t="s">
        <v>279</v>
      </c>
      <c r="R261" s="2" t="s">
        <v>280</v>
      </c>
      <c r="S261" s="2"/>
      <c r="T261" s="2" t="s">
        <v>281</v>
      </c>
      <c r="U261" s="2"/>
    </row>
    <row r="262" spans="1:21" ht="43.5" customHeight="1" x14ac:dyDescent="0.5">
      <c r="A262" s="2" t="s">
        <v>1181</v>
      </c>
      <c r="B262" s="2" t="s">
        <v>121</v>
      </c>
      <c r="C262" s="2" t="s">
        <v>1182</v>
      </c>
      <c r="D262" s="2" t="s">
        <v>1183</v>
      </c>
      <c r="E262" s="2" t="s">
        <v>1184</v>
      </c>
      <c r="F262" s="2" t="s">
        <v>1185</v>
      </c>
      <c r="G262" s="5" t="s">
        <v>294</v>
      </c>
      <c r="H262" s="2" t="s">
        <v>1171</v>
      </c>
      <c r="I262" s="2" t="s">
        <v>1186</v>
      </c>
      <c r="J262" s="2" t="s">
        <v>272</v>
      </c>
      <c r="K262" s="2" t="s">
        <v>296</v>
      </c>
      <c r="L262" s="2" t="s">
        <v>297</v>
      </c>
      <c r="M262" s="2" t="s">
        <v>1187</v>
      </c>
      <c r="N262" s="2" t="s">
        <v>299</v>
      </c>
      <c r="O262" s="2" t="s">
        <v>300</v>
      </c>
      <c r="P262" s="2" t="s">
        <v>278</v>
      </c>
      <c r="Q262" s="2" t="s">
        <v>279</v>
      </c>
      <c r="R262" s="2" t="s">
        <v>280</v>
      </c>
      <c r="S262" s="2"/>
      <c r="T262" s="2" t="s">
        <v>281</v>
      </c>
      <c r="U262" s="2"/>
    </row>
    <row r="263" spans="1:21" ht="43.5" customHeight="1" x14ac:dyDescent="0.5">
      <c r="A263" s="2" t="s">
        <v>1188</v>
      </c>
      <c r="B263" s="2" t="s">
        <v>126</v>
      </c>
      <c r="C263" s="2" t="s">
        <v>1168</v>
      </c>
      <c r="D263" s="2" t="s">
        <v>266</v>
      </c>
      <c r="E263" s="2" t="s">
        <v>1189</v>
      </c>
      <c r="F263" s="2" t="s">
        <v>1190</v>
      </c>
      <c r="G263" s="4" t="s">
        <v>269</v>
      </c>
      <c r="H263" s="2" t="s">
        <v>1191</v>
      </c>
      <c r="I263" s="2" t="s">
        <v>271</v>
      </c>
      <c r="J263" s="2" t="s">
        <v>272</v>
      </c>
      <c r="K263" s="2" t="s">
        <v>273</v>
      </c>
      <c r="L263" s="2" t="s">
        <v>274</v>
      </c>
      <c r="M263" s="2" t="s">
        <v>1192</v>
      </c>
      <c r="N263" s="2" t="s">
        <v>276</v>
      </c>
      <c r="O263" s="2" t="s">
        <v>277</v>
      </c>
      <c r="P263" s="2" t="s">
        <v>278</v>
      </c>
      <c r="Q263" s="2" t="s">
        <v>279</v>
      </c>
      <c r="R263" s="2" t="s">
        <v>280</v>
      </c>
      <c r="S263" s="2"/>
      <c r="T263" s="2" t="s">
        <v>281</v>
      </c>
      <c r="U263" s="2"/>
    </row>
    <row r="264" spans="1:21" ht="43.5" customHeight="1" x14ac:dyDescent="0.5">
      <c r="A264" s="2" t="s">
        <v>1193</v>
      </c>
      <c r="B264" s="2" t="s">
        <v>126</v>
      </c>
      <c r="C264" s="2" t="s">
        <v>1174</v>
      </c>
      <c r="D264" s="2" t="s">
        <v>398</v>
      </c>
      <c r="E264" s="2" t="s">
        <v>399</v>
      </c>
      <c r="F264" s="2" t="s">
        <v>400</v>
      </c>
      <c r="G264" s="2" t="s">
        <v>401</v>
      </c>
      <c r="H264" s="2" t="s">
        <v>1191</v>
      </c>
      <c r="I264" s="2" t="s">
        <v>402</v>
      </c>
      <c r="J264" s="2" t="s">
        <v>272</v>
      </c>
      <c r="K264" s="2" t="s">
        <v>273</v>
      </c>
      <c r="L264" s="2" t="s">
        <v>274</v>
      </c>
      <c r="M264" s="2" t="s">
        <v>1194</v>
      </c>
      <c r="N264" s="2" t="s">
        <v>276</v>
      </c>
      <c r="O264" s="2" t="s">
        <v>277</v>
      </c>
      <c r="P264" s="2" t="s">
        <v>278</v>
      </c>
      <c r="Q264" s="2" t="s">
        <v>279</v>
      </c>
      <c r="R264" s="2" t="s">
        <v>280</v>
      </c>
      <c r="S264" s="2"/>
      <c r="T264" s="2" t="s">
        <v>281</v>
      </c>
      <c r="U264" s="2"/>
    </row>
    <row r="265" spans="1:21" ht="43.5" customHeight="1" x14ac:dyDescent="0.5">
      <c r="A265" s="2" t="s">
        <v>1195</v>
      </c>
      <c r="B265" s="2" t="s">
        <v>126</v>
      </c>
      <c r="C265" s="2" t="s">
        <v>1177</v>
      </c>
      <c r="D265" s="2" t="s">
        <v>1196</v>
      </c>
      <c r="E265" s="2" t="s">
        <v>304</v>
      </c>
      <c r="F265" s="2" t="s">
        <v>1197</v>
      </c>
      <c r="G265" s="5" t="s">
        <v>306</v>
      </c>
      <c r="H265" s="2" t="s">
        <v>1191</v>
      </c>
      <c r="I265" s="2" t="s">
        <v>307</v>
      </c>
      <c r="J265" s="2" t="s">
        <v>272</v>
      </c>
      <c r="K265" s="2" t="s">
        <v>296</v>
      </c>
      <c r="L265" s="2" t="s">
        <v>297</v>
      </c>
      <c r="M265" s="2" t="s">
        <v>1198</v>
      </c>
      <c r="N265" s="2" t="s">
        <v>309</v>
      </c>
      <c r="O265" s="2" t="s">
        <v>310</v>
      </c>
      <c r="P265" s="2" t="s">
        <v>278</v>
      </c>
      <c r="Q265" s="2" t="s">
        <v>279</v>
      </c>
      <c r="R265" s="2" t="s">
        <v>280</v>
      </c>
      <c r="S265" s="2"/>
      <c r="T265" s="2" t="s">
        <v>281</v>
      </c>
      <c r="U265" s="2"/>
    </row>
    <row r="266" spans="1:21" ht="43.5" customHeight="1" x14ac:dyDescent="0.5">
      <c r="A266" s="2" t="s">
        <v>1199</v>
      </c>
      <c r="B266" s="2" t="s">
        <v>126</v>
      </c>
      <c r="C266" s="2" t="s">
        <v>1200</v>
      </c>
      <c r="D266" s="2" t="s">
        <v>1201</v>
      </c>
      <c r="E266" s="2" t="s">
        <v>1202</v>
      </c>
      <c r="F266" s="2" t="s">
        <v>360</v>
      </c>
      <c r="G266" s="5" t="s">
        <v>294</v>
      </c>
      <c r="H266" s="2" t="s">
        <v>1191</v>
      </c>
      <c r="I266" s="2" t="s">
        <v>361</v>
      </c>
      <c r="J266" s="2" t="s">
        <v>272</v>
      </c>
      <c r="K266" s="2" t="s">
        <v>296</v>
      </c>
      <c r="L266" s="2" t="s">
        <v>297</v>
      </c>
      <c r="M266" s="2" t="s">
        <v>1203</v>
      </c>
      <c r="N266" s="2" t="s">
        <v>299</v>
      </c>
      <c r="O266" s="2" t="s">
        <v>300</v>
      </c>
      <c r="P266" s="2" t="s">
        <v>278</v>
      </c>
      <c r="Q266" s="2" t="s">
        <v>279</v>
      </c>
      <c r="R266" s="2" t="s">
        <v>280</v>
      </c>
      <c r="S266" s="2"/>
      <c r="T266" s="2" t="s">
        <v>281</v>
      </c>
      <c r="U266" s="2"/>
    </row>
    <row r="267" spans="1:21" ht="43.5" customHeight="1" x14ac:dyDescent="0.5">
      <c r="A267" s="2" t="s">
        <v>1204</v>
      </c>
      <c r="B267" s="2" t="s">
        <v>129</v>
      </c>
      <c r="C267" s="2" t="s">
        <v>1168</v>
      </c>
      <c r="D267" s="2" t="s">
        <v>266</v>
      </c>
      <c r="E267" s="2" t="s">
        <v>1189</v>
      </c>
      <c r="F267" s="2" t="s">
        <v>1190</v>
      </c>
      <c r="G267" s="4" t="s">
        <v>269</v>
      </c>
      <c r="H267" s="2" t="s">
        <v>1205</v>
      </c>
      <c r="I267" s="2" t="s">
        <v>271</v>
      </c>
      <c r="J267" s="2" t="s">
        <v>272</v>
      </c>
      <c r="K267" s="2" t="s">
        <v>273</v>
      </c>
      <c r="L267" s="2" t="s">
        <v>274</v>
      </c>
      <c r="M267" s="2" t="s">
        <v>1206</v>
      </c>
      <c r="N267" s="2" t="s">
        <v>276</v>
      </c>
      <c r="O267" s="2" t="s">
        <v>277</v>
      </c>
      <c r="P267" s="2" t="s">
        <v>278</v>
      </c>
      <c r="Q267" s="2" t="s">
        <v>279</v>
      </c>
      <c r="R267" s="2" t="s">
        <v>280</v>
      </c>
      <c r="S267" s="2"/>
      <c r="T267" s="2" t="s">
        <v>281</v>
      </c>
      <c r="U267" s="2"/>
    </row>
    <row r="268" spans="1:21" ht="43.5" customHeight="1" x14ac:dyDescent="0.5">
      <c r="A268" s="2" t="s">
        <v>1207</v>
      </c>
      <c r="B268" s="2" t="s">
        <v>129</v>
      </c>
      <c r="C268" s="2" t="s">
        <v>1174</v>
      </c>
      <c r="D268" s="2" t="s">
        <v>398</v>
      </c>
      <c r="E268" s="2" t="s">
        <v>399</v>
      </c>
      <c r="F268" s="2" t="s">
        <v>400</v>
      </c>
      <c r="G268" s="2" t="s">
        <v>401</v>
      </c>
      <c r="H268" s="2" t="s">
        <v>1205</v>
      </c>
      <c r="I268" s="2" t="s">
        <v>402</v>
      </c>
      <c r="J268" s="2" t="s">
        <v>272</v>
      </c>
      <c r="K268" s="2" t="s">
        <v>273</v>
      </c>
      <c r="L268" s="2" t="s">
        <v>274</v>
      </c>
      <c r="M268" s="2" t="s">
        <v>1208</v>
      </c>
      <c r="N268" s="2" t="s">
        <v>276</v>
      </c>
      <c r="O268" s="2" t="s">
        <v>277</v>
      </c>
      <c r="P268" s="2" t="s">
        <v>278</v>
      </c>
      <c r="Q268" s="2" t="s">
        <v>279</v>
      </c>
      <c r="R268" s="2" t="s">
        <v>280</v>
      </c>
      <c r="S268" s="2"/>
      <c r="T268" s="2" t="s">
        <v>281</v>
      </c>
      <c r="U268" s="2"/>
    </row>
    <row r="269" spans="1:21" ht="43.5" customHeight="1" x14ac:dyDescent="0.5">
      <c r="A269" s="2" t="s">
        <v>1209</v>
      </c>
      <c r="B269" s="2" t="s">
        <v>129</v>
      </c>
      <c r="C269" s="2" t="s">
        <v>1177</v>
      </c>
      <c r="D269" s="2" t="s">
        <v>1210</v>
      </c>
      <c r="E269" s="2" t="s">
        <v>304</v>
      </c>
      <c r="F269" s="2" t="s">
        <v>1211</v>
      </c>
      <c r="G269" s="5" t="s">
        <v>306</v>
      </c>
      <c r="H269" s="2" t="s">
        <v>1205</v>
      </c>
      <c r="I269" s="2" t="s">
        <v>307</v>
      </c>
      <c r="J269" s="2" t="s">
        <v>272</v>
      </c>
      <c r="K269" s="2" t="s">
        <v>296</v>
      </c>
      <c r="L269" s="2" t="s">
        <v>297</v>
      </c>
      <c r="M269" s="2" t="s">
        <v>1212</v>
      </c>
      <c r="N269" s="2" t="s">
        <v>309</v>
      </c>
      <c r="O269" s="2" t="s">
        <v>310</v>
      </c>
      <c r="P269" s="2" t="s">
        <v>278</v>
      </c>
      <c r="Q269" s="2" t="s">
        <v>279</v>
      </c>
      <c r="R269" s="2" t="s">
        <v>280</v>
      </c>
      <c r="S269" s="2"/>
      <c r="T269" s="2" t="s">
        <v>281</v>
      </c>
      <c r="U269" s="2"/>
    </row>
    <row r="270" spans="1:21" ht="43.5" customHeight="1" x14ac:dyDescent="0.5">
      <c r="A270" s="2" t="s">
        <v>1213</v>
      </c>
      <c r="B270" s="2" t="s">
        <v>129</v>
      </c>
      <c r="C270" s="2" t="s">
        <v>1182</v>
      </c>
      <c r="D270" s="2" t="s">
        <v>1214</v>
      </c>
      <c r="E270" s="2" t="s">
        <v>1215</v>
      </c>
      <c r="F270" s="2" t="s">
        <v>1185</v>
      </c>
      <c r="G270" s="5" t="s">
        <v>294</v>
      </c>
      <c r="H270" s="2" t="s">
        <v>1205</v>
      </c>
      <c r="I270" s="2" t="s">
        <v>1186</v>
      </c>
      <c r="J270" s="2" t="s">
        <v>272</v>
      </c>
      <c r="K270" s="2" t="s">
        <v>296</v>
      </c>
      <c r="L270" s="2" t="s">
        <v>297</v>
      </c>
      <c r="M270" s="2" t="s">
        <v>1216</v>
      </c>
      <c r="N270" s="2" t="s">
        <v>299</v>
      </c>
      <c r="O270" s="2" t="s">
        <v>300</v>
      </c>
      <c r="P270" s="2" t="s">
        <v>278</v>
      </c>
      <c r="Q270" s="2" t="s">
        <v>279</v>
      </c>
      <c r="R270" s="2" t="s">
        <v>280</v>
      </c>
      <c r="S270" s="2"/>
      <c r="T270" s="2" t="s">
        <v>281</v>
      </c>
      <c r="U270" s="2"/>
    </row>
    <row r="271" spans="1:21" ht="43.5" customHeight="1" x14ac:dyDescent="0.5">
      <c r="A271" s="2" t="s">
        <v>1217</v>
      </c>
      <c r="B271" s="2" t="s">
        <v>131</v>
      </c>
      <c r="C271" s="2" t="s">
        <v>1168</v>
      </c>
      <c r="D271" s="2" t="s">
        <v>266</v>
      </c>
      <c r="E271" s="2" t="s">
        <v>1189</v>
      </c>
      <c r="F271" s="2" t="s">
        <v>1190</v>
      </c>
      <c r="G271" s="4" t="s">
        <v>269</v>
      </c>
      <c r="H271" s="2" t="s">
        <v>1218</v>
      </c>
      <c r="I271" s="2" t="s">
        <v>271</v>
      </c>
      <c r="J271" s="2" t="s">
        <v>272</v>
      </c>
      <c r="K271" s="2" t="s">
        <v>273</v>
      </c>
      <c r="L271" s="2" t="s">
        <v>274</v>
      </c>
      <c r="M271" s="2" t="s">
        <v>1219</v>
      </c>
      <c r="N271" s="2" t="s">
        <v>276</v>
      </c>
      <c r="O271" s="2" t="s">
        <v>277</v>
      </c>
      <c r="P271" s="2" t="s">
        <v>278</v>
      </c>
      <c r="Q271" s="2" t="s">
        <v>279</v>
      </c>
      <c r="R271" s="2" t="s">
        <v>280</v>
      </c>
      <c r="S271" s="2"/>
      <c r="T271" s="2" t="s">
        <v>281</v>
      </c>
      <c r="U271" s="2"/>
    </row>
    <row r="272" spans="1:21" ht="43.5" customHeight="1" x14ac:dyDescent="0.5">
      <c r="A272" s="2" t="s">
        <v>1220</v>
      </c>
      <c r="B272" s="2" t="s">
        <v>131</v>
      </c>
      <c r="C272" s="2" t="s">
        <v>1174</v>
      </c>
      <c r="D272" s="2" t="s">
        <v>398</v>
      </c>
      <c r="E272" s="2" t="s">
        <v>399</v>
      </c>
      <c r="F272" s="2" t="s">
        <v>400</v>
      </c>
      <c r="G272" s="2" t="s">
        <v>401</v>
      </c>
      <c r="H272" s="2" t="s">
        <v>1218</v>
      </c>
      <c r="I272" s="2" t="s">
        <v>402</v>
      </c>
      <c r="J272" s="2" t="s">
        <v>272</v>
      </c>
      <c r="K272" s="2" t="s">
        <v>273</v>
      </c>
      <c r="L272" s="2" t="s">
        <v>274</v>
      </c>
      <c r="M272" s="2" t="s">
        <v>1221</v>
      </c>
      <c r="N272" s="2" t="s">
        <v>276</v>
      </c>
      <c r="O272" s="2" t="s">
        <v>277</v>
      </c>
      <c r="P272" s="2" t="s">
        <v>278</v>
      </c>
      <c r="Q272" s="2" t="s">
        <v>279</v>
      </c>
      <c r="R272" s="2" t="s">
        <v>280</v>
      </c>
      <c r="S272" s="2"/>
      <c r="T272" s="2" t="s">
        <v>281</v>
      </c>
      <c r="U272" s="2"/>
    </row>
    <row r="273" spans="1:21" ht="43.5" customHeight="1" x14ac:dyDescent="0.5">
      <c r="A273" s="2" t="s">
        <v>1222</v>
      </c>
      <c r="B273" s="2" t="s">
        <v>131</v>
      </c>
      <c r="C273" s="2" t="s">
        <v>1177</v>
      </c>
      <c r="D273" s="2" t="s">
        <v>1210</v>
      </c>
      <c r="E273" s="2" t="s">
        <v>304</v>
      </c>
      <c r="F273" s="2" t="s">
        <v>1211</v>
      </c>
      <c r="G273" s="5" t="s">
        <v>306</v>
      </c>
      <c r="H273" s="2" t="s">
        <v>1218</v>
      </c>
      <c r="I273" s="2" t="s">
        <v>307</v>
      </c>
      <c r="J273" s="2" t="s">
        <v>272</v>
      </c>
      <c r="K273" s="2" t="s">
        <v>296</v>
      </c>
      <c r="L273" s="2" t="s">
        <v>297</v>
      </c>
      <c r="M273" s="2" t="s">
        <v>1223</v>
      </c>
      <c r="N273" s="2" t="s">
        <v>309</v>
      </c>
      <c r="O273" s="2" t="s">
        <v>310</v>
      </c>
      <c r="P273" s="2" t="s">
        <v>278</v>
      </c>
      <c r="Q273" s="2" t="s">
        <v>279</v>
      </c>
      <c r="R273" s="2" t="s">
        <v>280</v>
      </c>
      <c r="S273" s="2"/>
      <c r="T273" s="2" t="s">
        <v>281</v>
      </c>
      <c r="U273" s="2"/>
    </row>
    <row r="274" spans="1:21" ht="43.5" customHeight="1" x14ac:dyDescent="0.5">
      <c r="A274" s="2" t="s">
        <v>1224</v>
      </c>
      <c r="B274" s="2" t="s">
        <v>131</v>
      </c>
      <c r="C274" s="2" t="s">
        <v>1182</v>
      </c>
      <c r="D274" s="2" t="s">
        <v>1214</v>
      </c>
      <c r="E274" s="2" t="s">
        <v>1215</v>
      </c>
      <c r="F274" s="2" t="s">
        <v>1185</v>
      </c>
      <c r="G274" s="5" t="s">
        <v>294</v>
      </c>
      <c r="H274" s="2" t="s">
        <v>1218</v>
      </c>
      <c r="I274" s="2" t="s">
        <v>1186</v>
      </c>
      <c r="J274" s="2" t="s">
        <v>272</v>
      </c>
      <c r="K274" s="2" t="s">
        <v>296</v>
      </c>
      <c r="L274" s="2" t="s">
        <v>297</v>
      </c>
      <c r="M274" s="2" t="s">
        <v>1225</v>
      </c>
      <c r="N274" s="2" t="s">
        <v>299</v>
      </c>
      <c r="O274" s="2" t="s">
        <v>300</v>
      </c>
      <c r="P274" s="2" t="s">
        <v>278</v>
      </c>
      <c r="Q274" s="2" t="s">
        <v>279</v>
      </c>
      <c r="R274" s="2" t="s">
        <v>280</v>
      </c>
      <c r="S274" s="2"/>
      <c r="T274" s="2" t="s">
        <v>281</v>
      </c>
      <c r="U274" s="2"/>
    </row>
    <row r="275" spans="1:21" ht="43.5" customHeight="1" x14ac:dyDescent="0.5">
      <c r="A275" s="2" t="s">
        <v>1226</v>
      </c>
      <c r="B275" s="2" t="s">
        <v>135</v>
      </c>
      <c r="C275" s="2" t="s">
        <v>1168</v>
      </c>
      <c r="D275" s="2" t="s">
        <v>266</v>
      </c>
      <c r="E275" s="2" t="s">
        <v>1189</v>
      </c>
      <c r="F275" s="2" t="s">
        <v>1190</v>
      </c>
      <c r="G275" s="4" t="s">
        <v>269</v>
      </c>
      <c r="H275" s="2" t="s">
        <v>1227</v>
      </c>
      <c r="I275" s="2" t="s">
        <v>271</v>
      </c>
      <c r="J275" s="2" t="s">
        <v>272</v>
      </c>
      <c r="K275" s="2" t="s">
        <v>273</v>
      </c>
      <c r="L275" s="2" t="s">
        <v>274</v>
      </c>
      <c r="M275" s="2" t="s">
        <v>1228</v>
      </c>
      <c r="N275" s="2" t="s">
        <v>276</v>
      </c>
      <c r="O275" s="2" t="s">
        <v>277</v>
      </c>
      <c r="P275" s="2" t="s">
        <v>278</v>
      </c>
      <c r="Q275" s="2" t="s">
        <v>279</v>
      </c>
      <c r="R275" s="2" t="s">
        <v>280</v>
      </c>
      <c r="S275" s="2"/>
      <c r="T275" s="2" t="s">
        <v>281</v>
      </c>
      <c r="U275" s="2"/>
    </row>
    <row r="276" spans="1:21" ht="43.5" customHeight="1" x14ac:dyDescent="0.5">
      <c r="A276" s="2" t="s">
        <v>1229</v>
      </c>
      <c r="B276" s="2" t="s">
        <v>135</v>
      </c>
      <c r="C276" s="2" t="s">
        <v>1174</v>
      </c>
      <c r="D276" s="2" t="s">
        <v>398</v>
      </c>
      <c r="E276" s="2" t="s">
        <v>399</v>
      </c>
      <c r="F276" s="2" t="s">
        <v>400</v>
      </c>
      <c r="G276" s="2" t="s">
        <v>401</v>
      </c>
      <c r="H276" s="2" t="s">
        <v>1227</v>
      </c>
      <c r="I276" s="2" t="s">
        <v>402</v>
      </c>
      <c r="J276" s="2" t="s">
        <v>272</v>
      </c>
      <c r="K276" s="2" t="s">
        <v>273</v>
      </c>
      <c r="L276" s="2" t="s">
        <v>274</v>
      </c>
      <c r="M276" s="2" t="s">
        <v>1230</v>
      </c>
      <c r="N276" s="2" t="s">
        <v>276</v>
      </c>
      <c r="O276" s="2" t="s">
        <v>277</v>
      </c>
      <c r="P276" s="2" t="s">
        <v>278</v>
      </c>
      <c r="Q276" s="2" t="s">
        <v>279</v>
      </c>
      <c r="R276" s="2" t="s">
        <v>280</v>
      </c>
      <c r="S276" s="2"/>
      <c r="T276" s="2" t="s">
        <v>281</v>
      </c>
      <c r="U276" s="2"/>
    </row>
    <row r="277" spans="1:21" ht="43.5" customHeight="1" x14ac:dyDescent="0.5">
      <c r="A277" s="2" t="s">
        <v>1231</v>
      </c>
      <c r="B277" s="2" t="s">
        <v>135</v>
      </c>
      <c r="C277" s="2" t="s">
        <v>1177</v>
      </c>
      <c r="D277" s="2" t="s">
        <v>1210</v>
      </c>
      <c r="E277" s="2" t="s">
        <v>304</v>
      </c>
      <c r="F277" s="2" t="s">
        <v>1211</v>
      </c>
      <c r="G277" s="5" t="s">
        <v>306</v>
      </c>
      <c r="H277" s="2" t="s">
        <v>1227</v>
      </c>
      <c r="I277" s="2" t="s">
        <v>307</v>
      </c>
      <c r="J277" s="2" t="s">
        <v>272</v>
      </c>
      <c r="K277" s="2" t="s">
        <v>296</v>
      </c>
      <c r="L277" s="2" t="s">
        <v>297</v>
      </c>
      <c r="M277" s="2" t="s">
        <v>1232</v>
      </c>
      <c r="N277" s="2" t="s">
        <v>309</v>
      </c>
      <c r="O277" s="2" t="s">
        <v>310</v>
      </c>
      <c r="P277" s="2" t="s">
        <v>278</v>
      </c>
      <c r="Q277" s="2" t="s">
        <v>279</v>
      </c>
      <c r="R277" s="2" t="s">
        <v>280</v>
      </c>
      <c r="S277" s="2"/>
      <c r="T277" s="2" t="s">
        <v>281</v>
      </c>
      <c r="U277" s="2"/>
    </row>
    <row r="278" spans="1:21" ht="43.5" customHeight="1" x14ac:dyDescent="0.5">
      <c r="A278" s="2" t="s">
        <v>1233</v>
      </c>
      <c r="B278" s="2" t="s">
        <v>135</v>
      </c>
      <c r="C278" s="2" t="s">
        <v>1182</v>
      </c>
      <c r="D278" s="2" t="s">
        <v>1214</v>
      </c>
      <c r="E278" s="2" t="s">
        <v>1215</v>
      </c>
      <c r="F278" s="2" t="s">
        <v>1185</v>
      </c>
      <c r="G278" s="5" t="s">
        <v>294</v>
      </c>
      <c r="H278" s="2" t="s">
        <v>1227</v>
      </c>
      <c r="I278" s="2" t="s">
        <v>1186</v>
      </c>
      <c r="J278" s="2" t="s">
        <v>272</v>
      </c>
      <c r="K278" s="2" t="s">
        <v>296</v>
      </c>
      <c r="L278" s="2" t="s">
        <v>297</v>
      </c>
      <c r="M278" s="2" t="s">
        <v>1234</v>
      </c>
      <c r="N278" s="2" t="s">
        <v>299</v>
      </c>
      <c r="O278" s="2" t="s">
        <v>300</v>
      </c>
      <c r="P278" s="2" t="s">
        <v>278</v>
      </c>
      <c r="Q278" s="2" t="s">
        <v>279</v>
      </c>
      <c r="R278" s="2" t="s">
        <v>280</v>
      </c>
      <c r="S278" s="2"/>
      <c r="T278" s="2" t="s">
        <v>281</v>
      </c>
      <c r="U278" s="2"/>
    </row>
    <row r="279" spans="1:21" ht="43.5" customHeight="1" x14ac:dyDescent="0.5">
      <c r="A279" s="2" t="s">
        <v>1235</v>
      </c>
      <c r="B279" s="2" t="s">
        <v>137</v>
      </c>
      <c r="C279" s="2" t="s">
        <v>1168</v>
      </c>
      <c r="D279" s="2" t="s">
        <v>266</v>
      </c>
      <c r="E279" s="2" t="s">
        <v>1236</v>
      </c>
      <c r="F279" s="2" t="s">
        <v>1237</v>
      </c>
      <c r="G279" s="4" t="s">
        <v>269</v>
      </c>
      <c r="H279" s="2" t="s">
        <v>1238</v>
      </c>
      <c r="I279" s="2" t="s">
        <v>271</v>
      </c>
      <c r="J279" s="2" t="s">
        <v>272</v>
      </c>
      <c r="K279" s="2" t="s">
        <v>273</v>
      </c>
      <c r="L279" s="2" t="s">
        <v>274</v>
      </c>
      <c r="M279" s="2" t="s">
        <v>1239</v>
      </c>
      <c r="N279" s="2" t="s">
        <v>276</v>
      </c>
      <c r="O279" s="2" t="s">
        <v>277</v>
      </c>
      <c r="P279" s="2" t="s">
        <v>278</v>
      </c>
      <c r="Q279" s="2" t="s">
        <v>279</v>
      </c>
      <c r="R279" s="2" t="s">
        <v>280</v>
      </c>
      <c r="S279" s="2"/>
      <c r="T279" s="2" t="s">
        <v>281</v>
      </c>
      <c r="U279" s="2"/>
    </row>
    <row r="280" spans="1:21" ht="43.5" customHeight="1" x14ac:dyDescent="0.5">
      <c r="A280" s="2" t="s">
        <v>1240</v>
      </c>
      <c r="B280" s="2" t="s">
        <v>137</v>
      </c>
      <c r="C280" s="2" t="s">
        <v>1174</v>
      </c>
      <c r="D280" s="2" t="s">
        <v>398</v>
      </c>
      <c r="E280" s="2" t="s">
        <v>399</v>
      </c>
      <c r="F280" s="2" t="s">
        <v>400</v>
      </c>
      <c r="G280" s="2" t="s">
        <v>401</v>
      </c>
      <c r="H280" s="2" t="s">
        <v>1238</v>
      </c>
      <c r="I280" s="2" t="s">
        <v>402</v>
      </c>
      <c r="J280" s="2" t="s">
        <v>272</v>
      </c>
      <c r="K280" s="2" t="s">
        <v>273</v>
      </c>
      <c r="L280" s="2" t="s">
        <v>274</v>
      </c>
      <c r="M280" s="2" t="s">
        <v>1241</v>
      </c>
      <c r="N280" s="2" t="s">
        <v>276</v>
      </c>
      <c r="O280" s="2" t="s">
        <v>277</v>
      </c>
      <c r="P280" s="2" t="s">
        <v>278</v>
      </c>
      <c r="Q280" s="2" t="s">
        <v>279</v>
      </c>
      <c r="R280" s="2" t="s">
        <v>280</v>
      </c>
      <c r="S280" s="2"/>
      <c r="T280" s="2" t="s">
        <v>281</v>
      </c>
      <c r="U280" s="2"/>
    </row>
    <row r="281" spans="1:21" ht="43.5" customHeight="1" x14ac:dyDescent="0.5">
      <c r="A281" s="2" t="s">
        <v>1242</v>
      </c>
      <c r="B281" s="2" t="s">
        <v>137</v>
      </c>
      <c r="C281" s="2" t="s">
        <v>1177</v>
      </c>
      <c r="D281" s="2" t="s">
        <v>1178</v>
      </c>
      <c r="E281" s="2" t="s">
        <v>304</v>
      </c>
      <c r="F281" s="2" t="s">
        <v>1179</v>
      </c>
      <c r="G281" s="5" t="s">
        <v>306</v>
      </c>
      <c r="H281" s="2" t="s">
        <v>1238</v>
      </c>
      <c r="I281" s="2" t="s">
        <v>307</v>
      </c>
      <c r="J281" s="2" t="s">
        <v>272</v>
      </c>
      <c r="K281" s="2" t="s">
        <v>296</v>
      </c>
      <c r="L281" s="2" t="s">
        <v>297</v>
      </c>
      <c r="M281" s="2" t="s">
        <v>1243</v>
      </c>
      <c r="N281" s="2" t="s">
        <v>309</v>
      </c>
      <c r="O281" s="2" t="s">
        <v>310</v>
      </c>
      <c r="P281" s="2" t="s">
        <v>278</v>
      </c>
      <c r="Q281" s="2" t="s">
        <v>279</v>
      </c>
      <c r="R281" s="2" t="s">
        <v>280</v>
      </c>
      <c r="S281" s="2"/>
      <c r="T281" s="2" t="s">
        <v>281</v>
      </c>
      <c r="U281" s="2"/>
    </row>
    <row r="282" spans="1:21" ht="43.5" customHeight="1" x14ac:dyDescent="0.5">
      <c r="A282" s="2" t="s">
        <v>1244</v>
      </c>
      <c r="B282" s="2" t="s">
        <v>137</v>
      </c>
      <c r="C282" s="2" t="s">
        <v>1182</v>
      </c>
      <c r="D282" s="2" t="s">
        <v>1183</v>
      </c>
      <c r="E282" s="2" t="s">
        <v>1184</v>
      </c>
      <c r="F282" s="2" t="s">
        <v>1185</v>
      </c>
      <c r="G282" s="5" t="s">
        <v>294</v>
      </c>
      <c r="H282" s="2" t="s">
        <v>1238</v>
      </c>
      <c r="I282" s="2" t="s">
        <v>1186</v>
      </c>
      <c r="J282" s="2" t="s">
        <v>272</v>
      </c>
      <c r="K282" s="2" t="s">
        <v>296</v>
      </c>
      <c r="L282" s="2" t="s">
        <v>297</v>
      </c>
      <c r="M282" s="2" t="s">
        <v>1245</v>
      </c>
      <c r="N282" s="2" t="s">
        <v>299</v>
      </c>
      <c r="O282" s="2" t="s">
        <v>300</v>
      </c>
      <c r="P282" s="2" t="s">
        <v>278</v>
      </c>
      <c r="Q282" s="2" t="s">
        <v>279</v>
      </c>
      <c r="R282" s="2" t="s">
        <v>280</v>
      </c>
      <c r="S282" s="2"/>
      <c r="T282" s="2" t="s">
        <v>281</v>
      </c>
      <c r="U282" s="2"/>
    </row>
    <row r="283" spans="1:21" ht="43.5" customHeight="1" x14ac:dyDescent="0.5">
      <c r="A283" s="2" t="s">
        <v>1246</v>
      </c>
      <c r="B283" s="2" t="s">
        <v>140</v>
      </c>
      <c r="C283" s="2" t="s">
        <v>1168</v>
      </c>
      <c r="D283" s="2" t="s">
        <v>266</v>
      </c>
      <c r="E283" s="2" t="s">
        <v>1189</v>
      </c>
      <c r="F283" s="2" t="s">
        <v>1190</v>
      </c>
      <c r="G283" s="4" t="s">
        <v>269</v>
      </c>
      <c r="H283" s="2" t="s">
        <v>1247</v>
      </c>
      <c r="I283" s="2" t="s">
        <v>271</v>
      </c>
      <c r="J283" s="2" t="s">
        <v>272</v>
      </c>
      <c r="K283" s="2" t="s">
        <v>273</v>
      </c>
      <c r="L283" s="2" t="s">
        <v>274</v>
      </c>
      <c r="M283" s="2" t="s">
        <v>1248</v>
      </c>
      <c r="N283" s="2" t="s">
        <v>276</v>
      </c>
      <c r="O283" s="2" t="s">
        <v>277</v>
      </c>
      <c r="P283" s="2" t="s">
        <v>278</v>
      </c>
      <c r="Q283" s="2" t="s">
        <v>279</v>
      </c>
      <c r="R283" s="2" t="s">
        <v>280</v>
      </c>
      <c r="S283" s="2"/>
      <c r="T283" s="2" t="s">
        <v>281</v>
      </c>
      <c r="U283" s="2"/>
    </row>
    <row r="284" spans="1:21" ht="43.5" customHeight="1" x14ac:dyDescent="0.5">
      <c r="A284" s="2" t="s">
        <v>1249</v>
      </c>
      <c r="B284" s="2" t="s">
        <v>140</v>
      </c>
      <c r="C284" s="2" t="s">
        <v>1174</v>
      </c>
      <c r="D284" s="2" t="s">
        <v>398</v>
      </c>
      <c r="E284" s="2" t="s">
        <v>399</v>
      </c>
      <c r="F284" s="2" t="s">
        <v>400</v>
      </c>
      <c r="G284" s="2" t="s">
        <v>401</v>
      </c>
      <c r="H284" s="2" t="s">
        <v>1247</v>
      </c>
      <c r="I284" s="2" t="s">
        <v>402</v>
      </c>
      <c r="J284" s="2" t="s">
        <v>272</v>
      </c>
      <c r="K284" s="2" t="s">
        <v>273</v>
      </c>
      <c r="L284" s="2" t="s">
        <v>274</v>
      </c>
      <c r="M284" s="2" t="s">
        <v>1250</v>
      </c>
      <c r="N284" s="2" t="s">
        <v>276</v>
      </c>
      <c r="O284" s="2" t="s">
        <v>277</v>
      </c>
      <c r="P284" s="2" t="s">
        <v>278</v>
      </c>
      <c r="Q284" s="2" t="s">
        <v>279</v>
      </c>
      <c r="R284" s="2" t="s">
        <v>280</v>
      </c>
      <c r="S284" s="2"/>
      <c r="T284" s="2" t="s">
        <v>281</v>
      </c>
      <c r="U284" s="2"/>
    </row>
    <row r="285" spans="1:21" ht="43.5" customHeight="1" x14ac:dyDescent="0.5">
      <c r="A285" s="2" t="s">
        <v>1251</v>
      </c>
      <c r="B285" s="2" t="s">
        <v>140</v>
      </c>
      <c r="C285" s="2" t="s">
        <v>1177</v>
      </c>
      <c r="D285" s="2" t="s">
        <v>1210</v>
      </c>
      <c r="E285" s="2" t="s">
        <v>304</v>
      </c>
      <c r="F285" s="2" t="s">
        <v>1211</v>
      </c>
      <c r="G285" s="5" t="s">
        <v>306</v>
      </c>
      <c r="H285" s="2" t="s">
        <v>1247</v>
      </c>
      <c r="I285" s="2" t="s">
        <v>307</v>
      </c>
      <c r="J285" s="2" t="s">
        <v>272</v>
      </c>
      <c r="K285" s="2" t="s">
        <v>296</v>
      </c>
      <c r="L285" s="2" t="s">
        <v>297</v>
      </c>
      <c r="M285" s="2" t="s">
        <v>1252</v>
      </c>
      <c r="N285" s="2" t="s">
        <v>309</v>
      </c>
      <c r="O285" s="2" t="s">
        <v>310</v>
      </c>
      <c r="P285" s="2" t="s">
        <v>278</v>
      </c>
      <c r="Q285" s="2" t="s">
        <v>279</v>
      </c>
      <c r="R285" s="2" t="s">
        <v>280</v>
      </c>
      <c r="S285" s="2"/>
      <c r="T285" s="2" t="s">
        <v>281</v>
      </c>
      <c r="U285" s="2"/>
    </row>
    <row r="286" spans="1:21" ht="43.5" customHeight="1" x14ac:dyDescent="0.5">
      <c r="A286" s="2" t="s">
        <v>1253</v>
      </c>
      <c r="B286" s="2" t="s">
        <v>140</v>
      </c>
      <c r="C286" s="2" t="s">
        <v>1182</v>
      </c>
      <c r="D286" s="2" t="s">
        <v>1214</v>
      </c>
      <c r="E286" s="2" t="s">
        <v>1215</v>
      </c>
      <c r="F286" s="2" t="s">
        <v>1185</v>
      </c>
      <c r="G286" s="5" t="s">
        <v>294</v>
      </c>
      <c r="H286" s="2" t="s">
        <v>1247</v>
      </c>
      <c r="I286" s="2" t="s">
        <v>1186</v>
      </c>
      <c r="J286" s="2" t="s">
        <v>272</v>
      </c>
      <c r="K286" s="2" t="s">
        <v>296</v>
      </c>
      <c r="L286" s="2" t="s">
        <v>297</v>
      </c>
      <c r="M286" s="2" t="s">
        <v>1254</v>
      </c>
      <c r="N286" s="2" t="s">
        <v>299</v>
      </c>
      <c r="O286" s="2" t="s">
        <v>300</v>
      </c>
      <c r="P286" s="2" t="s">
        <v>278</v>
      </c>
      <c r="Q286" s="2" t="s">
        <v>279</v>
      </c>
      <c r="R286" s="2" t="s">
        <v>280</v>
      </c>
      <c r="S286" s="2"/>
      <c r="T286" s="2" t="s">
        <v>281</v>
      </c>
      <c r="U286" s="2"/>
    </row>
    <row r="287" spans="1:21" ht="43.5" customHeight="1" x14ac:dyDescent="0.5">
      <c r="A287" s="2" t="s">
        <v>1255</v>
      </c>
      <c r="B287" s="2" t="s">
        <v>142</v>
      </c>
      <c r="C287" s="2" t="s">
        <v>1168</v>
      </c>
      <c r="D287" s="2" t="s">
        <v>266</v>
      </c>
      <c r="E287" s="2" t="s">
        <v>1236</v>
      </c>
      <c r="F287" s="2" t="s">
        <v>1237</v>
      </c>
      <c r="G287" s="4" t="s">
        <v>269</v>
      </c>
      <c r="H287" s="2" t="s">
        <v>1256</v>
      </c>
      <c r="I287" s="2" t="s">
        <v>271</v>
      </c>
      <c r="J287" s="2" t="s">
        <v>272</v>
      </c>
      <c r="K287" s="2" t="s">
        <v>273</v>
      </c>
      <c r="L287" s="2" t="s">
        <v>274</v>
      </c>
      <c r="M287" s="2" t="s">
        <v>1257</v>
      </c>
      <c r="N287" s="2" t="s">
        <v>276</v>
      </c>
      <c r="O287" s="2" t="s">
        <v>277</v>
      </c>
      <c r="P287" s="2" t="s">
        <v>278</v>
      </c>
      <c r="Q287" s="2" t="s">
        <v>279</v>
      </c>
      <c r="R287" s="2" t="s">
        <v>280</v>
      </c>
      <c r="S287" s="2"/>
      <c r="T287" s="2" t="s">
        <v>281</v>
      </c>
      <c r="U287" s="2"/>
    </row>
    <row r="288" spans="1:21" ht="43.5" customHeight="1" x14ac:dyDescent="0.5">
      <c r="A288" s="2" t="s">
        <v>1258</v>
      </c>
      <c r="B288" s="2" t="s">
        <v>142</v>
      </c>
      <c r="C288" s="2" t="s">
        <v>1174</v>
      </c>
      <c r="D288" s="2" t="s">
        <v>398</v>
      </c>
      <c r="E288" s="2" t="s">
        <v>399</v>
      </c>
      <c r="F288" s="2" t="s">
        <v>400</v>
      </c>
      <c r="G288" s="2" t="s">
        <v>401</v>
      </c>
      <c r="H288" s="2" t="s">
        <v>1256</v>
      </c>
      <c r="I288" s="2" t="s">
        <v>402</v>
      </c>
      <c r="J288" s="2" t="s">
        <v>272</v>
      </c>
      <c r="K288" s="2" t="s">
        <v>273</v>
      </c>
      <c r="L288" s="2" t="s">
        <v>274</v>
      </c>
      <c r="M288" s="2" t="s">
        <v>1259</v>
      </c>
      <c r="N288" s="2" t="s">
        <v>276</v>
      </c>
      <c r="O288" s="2" t="s">
        <v>277</v>
      </c>
      <c r="P288" s="2" t="s">
        <v>278</v>
      </c>
      <c r="Q288" s="2" t="s">
        <v>279</v>
      </c>
      <c r="R288" s="2" t="s">
        <v>280</v>
      </c>
      <c r="S288" s="2"/>
      <c r="T288" s="2" t="s">
        <v>281</v>
      </c>
      <c r="U288" s="2"/>
    </row>
    <row r="289" spans="1:21" ht="43.5" customHeight="1" x14ac:dyDescent="0.5">
      <c r="A289" s="2" t="s">
        <v>1260</v>
      </c>
      <c r="B289" s="2" t="s">
        <v>142</v>
      </c>
      <c r="C289" s="2" t="s">
        <v>1177</v>
      </c>
      <c r="D289" s="2" t="s">
        <v>1178</v>
      </c>
      <c r="E289" s="2" t="s">
        <v>304</v>
      </c>
      <c r="F289" s="2" t="s">
        <v>1179</v>
      </c>
      <c r="G289" s="5" t="s">
        <v>306</v>
      </c>
      <c r="H289" s="2" t="s">
        <v>1256</v>
      </c>
      <c r="I289" s="2" t="s">
        <v>307</v>
      </c>
      <c r="J289" s="2" t="s">
        <v>272</v>
      </c>
      <c r="K289" s="2" t="s">
        <v>296</v>
      </c>
      <c r="L289" s="2" t="s">
        <v>297</v>
      </c>
      <c r="M289" s="2" t="s">
        <v>1261</v>
      </c>
      <c r="N289" s="2" t="s">
        <v>309</v>
      </c>
      <c r="O289" s="2" t="s">
        <v>310</v>
      </c>
      <c r="P289" s="2" t="s">
        <v>278</v>
      </c>
      <c r="Q289" s="2" t="s">
        <v>279</v>
      </c>
      <c r="R289" s="2" t="s">
        <v>280</v>
      </c>
      <c r="S289" s="2"/>
      <c r="T289" s="2" t="s">
        <v>281</v>
      </c>
      <c r="U289" s="2"/>
    </row>
    <row r="290" spans="1:21" ht="43.5" customHeight="1" x14ac:dyDescent="0.5">
      <c r="A290" s="2" t="s">
        <v>1262</v>
      </c>
      <c r="B290" s="2" t="s">
        <v>142</v>
      </c>
      <c r="C290" s="2" t="s">
        <v>1182</v>
      </c>
      <c r="D290" s="2" t="s">
        <v>1183</v>
      </c>
      <c r="E290" s="2" t="s">
        <v>1184</v>
      </c>
      <c r="F290" s="2" t="s">
        <v>1185</v>
      </c>
      <c r="G290" s="5" t="s">
        <v>294</v>
      </c>
      <c r="H290" s="2" t="s">
        <v>1256</v>
      </c>
      <c r="I290" s="2" t="s">
        <v>1186</v>
      </c>
      <c r="J290" s="2" t="s">
        <v>272</v>
      </c>
      <c r="K290" s="2" t="s">
        <v>296</v>
      </c>
      <c r="L290" s="2" t="s">
        <v>297</v>
      </c>
      <c r="M290" s="2" t="s">
        <v>1263</v>
      </c>
      <c r="N290" s="2" t="s">
        <v>299</v>
      </c>
      <c r="O290" s="2" t="s">
        <v>300</v>
      </c>
      <c r="P290" s="2" t="s">
        <v>278</v>
      </c>
      <c r="Q290" s="2" t="s">
        <v>279</v>
      </c>
      <c r="R290" s="2" t="s">
        <v>280</v>
      </c>
      <c r="S290" s="2"/>
      <c r="T290" s="2" t="s">
        <v>281</v>
      </c>
      <c r="U290" s="2"/>
    </row>
    <row r="291" spans="1:21" ht="43.5" customHeight="1" x14ac:dyDescent="0.5">
      <c r="A291" s="2" t="s">
        <v>1264</v>
      </c>
      <c r="B291" s="2" t="s">
        <v>144</v>
      </c>
      <c r="C291" s="2" t="s">
        <v>1168</v>
      </c>
      <c r="D291" s="2" t="s">
        <v>266</v>
      </c>
      <c r="E291" s="2" t="s">
        <v>1265</v>
      </c>
      <c r="F291" s="2" t="s">
        <v>1190</v>
      </c>
      <c r="G291" s="4" t="s">
        <v>269</v>
      </c>
      <c r="H291" s="2" t="s">
        <v>1266</v>
      </c>
      <c r="I291" s="2" t="s">
        <v>271</v>
      </c>
      <c r="J291" s="2" t="s">
        <v>272</v>
      </c>
      <c r="K291" s="2" t="s">
        <v>273</v>
      </c>
      <c r="L291" s="2" t="s">
        <v>274</v>
      </c>
      <c r="M291" s="2" t="s">
        <v>1267</v>
      </c>
      <c r="N291" s="2" t="s">
        <v>276</v>
      </c>
      <c r="O291" s="2" t="s">
        <v>277</v>
      </c>
      <c r="P291" s="2" t="s">
        <v>278</v>
      </c>
      <c r="Q291" s="2" t="s">
        <v>279</v>
      </c>
      <c r="R291" s="2" t="s">
        <v>280</v>
      </c>
      <c r="S291" s="2"/>
      <c r="T291" s="2" t="s">
        <v>281</v>
      </c>
      <c r="U291" s="2"/>
    </row>
    <row r="292" spans="1:21" ht="43.5" customHeight="1" x14ac:dyDescent="0.5">
      <c r="A292" s="2" t="s">
        <v>1268</v>
      </c>
      <c r="B292" s="2" t="s">
        <v>144</v>
      </c>
      <c r="C292" s="2" t="s">
        <v>1269</v>
      </c>
      <c r="D292" s="2" t="s">
        <v>1270</v>
      </c>
      <c r="E292" s="2" t="s">
        <v>1271</v>
      </c>
      <c r="F292" s="2" t="s">
        <v>1272</v>
      </c>
      <c r="G292" s="4" t="s">
        <v>269</v>
      </c>
      <c r="H292" s="2" t="s">
        <v>1266</v>
      </c>
      <c r="I292" s="2" t="s">
        <v>287</v>
      </c>
      <c r="J292" s="2" t="s">
        <v>272</v>
      </c>
      <c r="K292" s="2" t="s">
        <v>273</v>
      </c>
      <c r="L292" s="2" t="s">
        <v>274</v>
      </c>
      <c r="M292" s="2" t="s">
        <v>1273</v>
      </c>
      <c r="N292" s="2" t="s">
        <v>276</v>
      </c>
      <c r="O292" s="2" t="s">
        <v>277</v>
      </c>
      <c r="P292" s="2" t="s">
        <v>278</v>
      </c>
      <c r="Q292" s="2" t="s">
        <v>279</v>
      </c>
      <c r="R292" s="2" t="s">
        <v>280</v>
      </c>
      <c r="S292" s="2"/>
      <c r="T292" s="2" t="s">
        <v>281</v>
      </c>
      <c r="U292" s="2"/>
    </row>
    <row r="293" spans="1:21" ht="43.5" customHeight="1" x14ac:dyDescent="0.5">
      <c r="A293" s="2" t="s">
        <v>1274</v>
      </c>
      <c r="B293" s="2" t="s">
        <v>144</v>
      </c>
      <c r="C293" s="2" t="s">
        <v>1174</v>
      </c>
      <c r="D293" s="2" t="s">
        <v>398</v>
      </c>
      <c r="E293" s="2" t="s">
        <v>399</v>
      </c>
      <c r="F293" s="2" t="s">
        <v>400</v>
      </c>
      <c r="G293" s="2" t="s">
        <v>401</v>
      </c>
      <c r="H293" s="2" t="s">
        <v>1266</v>
      </c>
      <c r="I293" s="2" t="s">
        <v>402</v>
      </c>
      <c r="J293" s="2" t="s">
        <v>272</v>
      </c>
      <c r="K293" s="2" t="s">
        <v>273</v>
      </c>
      <c r="L293" s="2" t="s">
        <v>274</v>
      </c>
      <c r="M293" s="2" t="s">
        <v>1275</v>
      </c>
      <c r="N293" s="2" t="s">
        <v>276</v>
      </c>
      <c r="O293" s="2" t="s">
        <v>277</v>
      </c>
      <c r="P293" s="2" t="s">
        <v>278</v>
      </c>
      <c r="Q293" s="2" t="s">
        <v>279</v>
      </c>
      <c r="R293" s="2" t="s">
        <v>280</v>
      </c>
      <c r="S293" s="2"/>
      <c r="T293" s="2" t="s">
        <v>281</v>
      </c>
      <c r="U293" s="2"/>
    </row>
    <row r="294" spans="1:21" ht="43.5" customHeight="1" x14ac:dyDescent="0.5">
      <c r="A294" s="2" t="s">
        <v>1276</v>
      </c>
      <c r="B294" s="2" t="s">
        <v>144</v>
      </c>
      <c r="C294" s="2" t="s">
        <v>1177</v>
      </c>
      <c r="D294" s="2" t="s">
        <v>1277</v>
      </c>
      <c r="E294" s="2" t="s">
        <v>304</v>
      </c>
      <c r="F294" s="2" t="s">
        <v>1278</v>
      </c>
      <c r="G294" s="5" t="s">
        <v>306</v>
      </c>
      <c r="H294" s="2" t="s">
        <v>1266</v>
      </c>
      <c r="I294" s="2" t="s">
        <v>307</v>
      </c>
      <c r="J294" s="2" t="s">
        <v>272</v>
      </c>
      <c r="K294" s="2" t="s">
        <v>296</v>
      </c>
      <c r="L294" s="2" t="s">
        <v>297</v>
      </c>
      <c r="M294" s="2" t="s">
        <v>1279</v>
      </c>
      <c r="N294" s="2" t="s">
        <v>309</v>
      </c>
      <c r="O294" s="2" t="s">
        <v>310</v>
      </c>
      <c r="P294" s="2" t="s">
        <v>278</v>
      </c>
      <c r="Q294" s="2" t="s">
        <v>279</v>
      </c>
      <c r="R294" s="2" t="s">
        <v>280</v>
      </c>
      <c r="S294" s="2"/>
      <c r="T294" s="2" t="s">
        <v>281</v>
      </c>
      <c r="U294" s="2"/>
    </row>
    <row r="295" spans="1:21" ht="43.5" customHeight="1" x14ac:dyDescent="0.5">
      <c r="A295" s="2" t="s">
        <v>1280</v>
      </c>
      <c r="B295" s="2" t="s">
        <v>144</v>
      </c>
      <c r="C295" s="2" t="s">
        <v>1182</v>
      </c>
      <c r="D295" s="2" t="s">
        <v>1281</v>
      </c>
      <c r="E295" s="2" t="s">
        <v>1282</v>
      </c>
      <c r="F295" s="2" t="s">
        <v>1185</v>
      </c>
      <c r="G295" s="5" t="s">
        <v>294</v>
      </c>
      <c r="H295" s="2" t="s">
        <v>1266</v>
      </c>
      <c r="I295" s="2" t="s">
        <v>1186</v>
      </c>
      <c r="J295" s="2" t="s">
        <v>272</v>
      </c>
      <c r="K295" s="2" t="s">
        <v>296</v>
      </c>
      <c r="L295" s="2" t="s">
        <v>297</v>
      </c>
      <c r="M295" s="2" t="s">
        <v>1283</v>
      </c>
      <c r="N295" s="2" t="s">
        <v>299</v>
      </c>
      <c r="O295" s="2" t="s">
        <v>300</v>
      </c>
      <c r="P295" s="2" t="s">
        <v>278</v>
      </c>
      <c r="Q295" s="2" t="s">
        <v>279</v>
      </c>
      <c r="R295" s="2" t="s">
        <v>280</v>
      </c>
      <c r="S295" s="2"/>
      <c r="T295" s="2" t="s">
        <v>281</v>
      </c>
      <c r="U295" s="2"/>
    </row>
    <row r="296" spans="1:21" ht="43.5" customHeight="1" x14ac:dyDescent="0.5">
      <c r="A296" s="2" t="s">
        <v>1284</v>
      </c>
      <c r="B296" s="2" t="s">
        <v>147</v>
      </c>
      <c r="C296" s="2" t="s">
        <v>1168</v>
      </c>
      <c r="D296" s="2" t="s">
        <v>266</v>
      </c>
      <c r="E296" s="2" t="s">
        <v>1189</v>
      </c>
      <c r="F296" s="2" t="s">
        <v>1190</v>
      </c>
      <c r="G296" s="4" t="s">
        <v>269</v>
      </c>
      <c r="H296" s="2" t="s">
        <v>1285</v>
      </c>
      <c r="I296" s="2" t="s">
        <v>271</v>
      </c>
      <c r="J296" s="2" t="s">
        <v>272</v>
      </c>
      <c r="K296" s="2" t="s">
        <v>273</v>
      </c>
      <c r="L296" s="2" t="s">
        <v>274</v>
      </c>
      <c r="M296" s="2" t="s">
        <v>1286</v>
      </c>
      <c r="N296" s="2" t="s">
        <v>276</v>
      </c>
      <c r="O296" s="2" t="s">
        <v>277</v>
      </c>
      <c r="P296" s="2" t="s">
        <v>278</v>
      </c>
      <c r="Q296" s="2" t="s">
        <v>279</v>
      </c>
      <c r="R296" s="2" t="s">
        <v>280</v>
      </c>
      <c r="S296" s="2"/>
      <c r="T296" s="2" t="s">
        <v>281</v>
      </c>
      <c r="U296" s="2"/>
    </row>
    <row r="297" spans="1:21" ht="43.5" customHeight="1" x14ac:dyDescent="0.5">
      <c r="A297" s="2" t="s">
        <v>1287</v>
      </c>
      <c r="B297" s="2" t="s">
        <v>147</v>
      </c>
      <c r="C297" s="2" t="s">
        <v>1174</v>
      </c>
      <c r="D297" s="2" t="s">
        <v>398</v>
      </c>
      <c r="E297" s="2" t="s">
        <v>399</v>
      </c>
      <c r="F297" s="2" t="s">
        <v>400</v>
      </c>
      <c r="G297" s="2" t="s">
        <v>401</v>
      </c>
      <c r="H297" s="2" t="s">
        <v>1285</v>
      </c>
      <c r="I297" s="2" t="s">
        <v>402</v>
      </c>
      <c r="J297" s="2" t="s">
        <v>272</v>
      </c>
      <c r="K297" s="2" t="s">
        <v>273</v>
      </c>
      <c r="L297" s="2" t="s">
        <v>274</v>
      </c>
      <c r="M297" s="2" t="s">
        <v>1288</v>
      </c>
      <c r="N297" s="2" t="s">
        <v>276</v>
      </c>
      <c r="O297" s="2" t="s">
        <v>277</v>
      </c>
      <c r="P297" s="2" t="s">
        <v>278</v>
      </c>
      <c r="Q297" s="2" t="s">
        <v>279</v>
      </c>
      <c r="R297" s="2" t="s">
        <v>280</v>
      </c>
      <c r="S297" s="2"/>
      <c r="T297" s="2" t="s">
        <v>281</v>
      </c>
      <c r="U297" s="2"/>
    </row>
    <row r="298" spans="1:21" ht="43.5" customHeight="1" x14ac:dyDescent="0.5">
      <c r="A298" s="2" t="s">
        <v>1289</v>
      </c>
      <c r="B298" s="2" t="s">
        <v>147</v>
      </c>
      <c r="C298" s="2" t="s">
        <v>1177</v>
      </c>
      <c r="D298" s="2" t="s">
        <v>1210</v>
      </c>
      <c r="E298" s="2" t="s">
        <v>304</v>
      </c>
      <c r="F298" s="2" t="s">
        <v>1211</v>
      </c>
      <c r="G298" s="5" t="s">
        <v>306</v>
      </c>
      <c r="H298" s="2" t="s">
        <v>1285</v>
      </c>
      <c r="I298" s="2" t="s">
        <v>307</v>
      </c>
      <c r="J298" s="2" t="s">
        <v>272</v>
      </c>
      <c r="K298" s="2" t="s">
        <v>296</v>
      </c>
      <c r="L298" s="2" t="s">
        <v>297</v>
      </c>
      <c r="M298" s="2" t="s">
        <v>1290</v>
      </c>
      <c r="N298" s="2" t="s">
        <v>309</v>
      </c>
      <c r="O298" s="2" t="s">
        <v>310</v>
      </c>
      <c r="P298" s="2" t="s">
        <v>278</v>
      </c>
      <c r="Q298" s="2" t="s">
        <v>279</v>
      </c>
      <c r="R298" s="2" t="s">
        <v>280</v>
      </c>
      <c r="S298" s="2"/>
      <c r="T298" s="2" t="s">
        <v>281</v>
      </c>
      <c r="U298" s="2"/>
    </row>
    <row r="299" spans="1:21" ht="43.5" customHeight="1" x14ac:dyDescent="0.5">
      <c r="A299" s="2" t="s">
        <v>1291</v>
      </c>
      <c r="B299" s="2" t="s">
        <v>147</v>
      </c>
      <c r="C299" s="2" t="s">
        <v>1182</v>
      </c>
      <c r="D299" s="2" t="s">
        <v>1214</v>
      </c>
      <c r="E299" s="2" t="s">
        <v>1215</v>
      </c>
      <c r="F299" s="2" t="s">
        <v>1185</v>
      </c>
      <c r="G299" s="5" t="s">
        <v>294</v>
      </c>
      <c r="H299" s="2" t="s">
        <v>1285</v>
      </c>
      <c r="I299" s="2" t="s">
        <v>1186</v>
      </c>
      <c r="J299" s="2" t="s">
        <v>272</v>
      </c>
      <c r="K299" s="2" t="s">
        <v>296</v>
      </c>
      <c r="L299" s="2" t="s">
        <v>297</v>
      </c>
      <c r="M299" s="2" t="s">
        <v>1292</v>
      </c>
      <c r="N299" s="2" t="s">
        <v>299</v>
      </c>
      <c r="O299" s="2" t="s">
        <v>300</v>
      </c>
      <c r="P299" s="2" t="s">
        <v>278</v>
      </c>
      <c r="Q299" s="2" t="s">
        <v>279</v>
      </c>
      <c r="R299" s="2" t="s">
        <v>280</v>
      </c>
      <c r="S299" s="2"/>
      <c r="T299" s="2" t="s">
        <v>281</v>
      </c>
      <c r="U299" s="2"/>
    </row>
    <row r="300" spans="1:21" ht="43.5" customHeight="1" x14ac:dyDescent="0.5">
      <c r="A300" s="2" t="s">
        <v>1293</v>
      </c>
      <c r="B300" s="2" t="s">
        <v>149</v>
      </c>
      <c r="C300" s="2" t="s">
        <v>1168</v>
      </c>
      <c r="D300" s="2" t="s">
        <v>266</v>
      </c>
      <c r="E300" s="2" t="s">
        <v>1189</v>
      </c>
      <c r="F300" s="2" t="s">
        <v>1190</v>
      </c>
      <c r="G300" s="4" t="s">
        <v>269</v>
      </c>
      <c r="H300" s="2" t="s">
        <v>1294</v>
      </c>
      <c r="I300" s="2" t="s">
        <v>271</v>
      </c>
      <c r="J300" s="2" t="s">
        <v>272</v>
      </c>
      <c r="K300" s="2" t="s">
        <v>273</v>
      </c>
      <c r="L300" s="2" t="s">
        <v>274</v>
      </c>
      <c r="M300" s="2" t="s">
        <v>1295</v>
      </c>
      <c r="N300" s="2" t="s">
        <v>276</v>
      </c>
      <c r="O300" s="2" t="s">
        <v>277</v>
      </c>
      <c r="P300" s="2" t="s">
        <v>278</v>
      </c>
      <c r="Q300" s="2" t="s">
        <v>279</v>
      </c>
      <c r="R300" s="2" t="s">
        <v>280</v>
      </c>
      <c r="S300" s="2"/>
      <c r="T300" s="2" t="s">
        <v>281</v>
      </c>
      <c r="U300" s="2"/>
    </row>
    <row r="301" spans="1:21" ht="43.5" customHeight="1" x14ac:dyDescent="0.5">
      <c r="A301" s="2" t="s">
        <v>1296</v>
      </c>
      <c r="B301" s="2" t="s">
        <v>149</v>
      </c>
      <c r="C301" s="2" t="s">
        <v>1174</v>
      </c>
      <c r="D301" s="2" t="s">
        <v>398</v>
      </c>
      <c r="E301" s="2" t="s">
        <v>399</v>
      </c>
      <c r="F301" s="2" t="s">
        <v>400</v>
      </c>
      <c r="G301" s="2" t="s">
        <v>401</v>
      </c>
      <c r="H301" s="2" t="s">
        <v>1294</v>
      </c>
      <c r="I301" s="2" t="s">
        <v>402</v>
      </c>
      <c r="J301" s="2" t="s">
        <v>272</v>
      </c>
      <c r="K301" s="2" t="s">
        <v>273</v>
      </c>
      <c r="L301" s="2" t="s">
        <v>274</v>
      </c>
      <c r="M301" s="2" t="s">
        <v>1297</v>
      </c>
      <c r="N301" s="2" t="s">
        <v>276</v>
      </c>
      <c r="O301" s="2" t="s">
        <v>277</v>
      </c>
      <c r="P301" s="2" t="s">
        <v>278</v>
      </c>
      <c r="Q301" s="2" t="s">
        <v>279</v>
      </c>
      <c r="R301" s="2" t="s">
        <v>280</v>
      </c>
      <c r="S301" s="2"/>
      <c r="T301" s="2" t="s">
        <v>281</v>
      </c>
      <c r="U301" s="2"/>
    </row>
    <row r="302" spans="1:21" ht="43.5" customHeight="1" x14ac:dyDescent="0.5">
      <c r="A302" s="2" t="s">
        <v>1298</v>
      </c>
      <c r="B302" s="2" t="s">
        <v>149</v>
      </c>
      <c r="C302" s="2" t="s">
        <v>1177</v>
      </c>
      <c r="D302" s="2" t="s">
        <v>1210</v>
      </c>
      <c r="E302" s="2" t="s">
        <v>304</v>
      </c>
      <c r="F302" s="2" t="s">
        <v>1211</v>
      </c>
      <c r="G302" s="5" t="s">
        <v>306</v>
      </c>
      <c r="H302" s="2" t="s">
        <v>1294</v>
      </c>
      <c r="I302" s="2" t="s">
        <v>307</v>
      </c>
      <c r="J302" s="2" t="s">
        <v>272</v>
      </c>
      <c r="K302" s="2" t="s">
        <v>296</v>
      </c>
      <c r="L302" s="2" t="s">
        <v>297</v>
      </c>
      <c r="M302" s="2" t="s">
        <v>1299</v>
      </c>
      <c r="N302" s="2" t="s">
        <v>309</v>
      </c>
      <c r="O302" s="2" t="s">
        <v>310</v>
      </c>
      <c r="P302" s="2" t="s">
        <v>278</v>
      </c>
      <c r="Q302" s="2" t="s">
        <v>279</v>
      </c>
      <c r="R302" s="2" t="s">
        <v>280</v>
      </c>
      <c r="S302" s="2"/>
      <c r="T302" s="2" t="s">
        <v>281</v>
      </c>
      <c r="U302" s="2"/>
    </row>
    <row r="303" spans="1:21" ht="43.5" customHeight="1" x14ac:dyDescent="0.5">
      <c r="A303" s="2" t="s">
        <v>1300</v>
      </c>
      <c r="B303" s="2" t="s">
        <v>149</v>
      </c>
      <c r="C303" s="2" t="s">
        <v>1182</v>
      </c>
      <c r="D303" s="2" t="s">
        <v>1214</v>
      </c>
      <c r="E303" s="2" t="s">
        <v>1215</v>
      </c>
      <c r="F303" s="2" t="s">
        <v>1185</v>
      </c>
      <c r="G303" s="5" t="s">
        <v>294</v>
      </c>
      <c r="H303" s="2" t="s">
        <v>1294</v>
      </c>
      <c r="I303" s="2" t="s">
        <v>1186</v>
      </c>
      <c r="J303" s="2" t="s">
        <v>272</v>
      </c>
      <c r="K303" s="2" t="s">
        <v>296</v>
      </c>
      <c r="L303" s="2" t="s">
        <v>297</v>
      </c>
      <c r="M303" s="2" t="s">
        <v>1301</v>
      </c>
      <c r="N303" s="2" t="s">
        <v>299</v>
      </c>
      <c r="O303" s="2" t="s">
        <v>300</v>
      </c>
      <c r="P303" s="2" t="s">
        <v>278</v>
      </c>
      <c r="Q303" s="2" t="s">
        <v>279</v>
      </c>
      <c r="R303" s="2" t="s">
        <v>280</v>
      </c>
      <c r="S303" s="2"/>
      <c r="T303" s="2" t="s">
        <v>281</v>
      </c>
      <c r="U303" s="2"/>
    </row>
    <row r="304" spans="1:21" ht="43.5" customHeight="1" x14ac:dyDescent="0.5">
      <c r="A304" s="2" t="s">
        <v>1302</v>
      </c>
      <c r="B304" s="2" t="s">
        <v>121</v>
      </c>
      <c r="C304" s="2" t="s">
        <v>1303</v>
      </c>
      <c r="D304" s="2" t="s">
        <v>1304</v>
      </c>
      <c r="E304" s="2" t="s">
        <v>1305</v>
      </c>
      <c r="F304" s="2" t="s">
        <v>1306</v>
      </c>
      <c r="G304" s="2" t="s">
        <v>1307</v>
      </c>
      <c r="H304" s="2" t="s">
        <v>1308</v>
      </c>
      <c r="I304" s="2" t="s">
        <v>307</v>
      </c>
      <c r="J304" s="2" t="s">
        <v>272</v>
      </c>
      <c r="K304" s="2" t="s">
        <v>273</v>
      </c>
      <c r="L304" s="2" t="s">
        <v>274</v>
      </c>
      <c r="M304" s="2" t="s">
        <v>1309</v>
      </c>
      <c r="N304" s="2" t="s">
        <v>276</v>
      </c>
      <c r="O304" s="2" t="s">
        <v>277</v>
      </c>
      <c r="P304" s="2" t="s">
        <v>278</v>
      </c>
      <c r="Q304" s="2" t="s">
        <v>279</v>
      </c>
      <c r="R304" s="2" t="s">
        <v>280</v>
      </c>
      <c r="S304" s="2"/>
      <c r="T304" s="2" t="s">
        <v>281</v>
      </c>
      <c r="U304" s="2"/>
    </row>
    <row r="305" spans="1:21" ht="43.5" customHeight="1" x14ac:dyDescent="0.5">
      <c r="A305" s="2" t="s">
        <v>1310</v>
      </c>
      <c r="B305" s="2" t="s">
        <v>121</v>
      </c>
      <c r="C305" s="2" t="s">
        <v>1311</v>
      </c>
      <c r="D305" s="2" t="s">
        <v>1312</v>
      </c>
      <c r="E305" s="2" t="s">
        <v>1313</v>
      </c>
      <c r="F305" s="2" t="s">
        <v>1314</v>
      </c>
      <c r="G305" s="5" t="s">
        <v>1315</v>
      </c>
      <c r="H305" s="2" t="s">
        <v>1316</v>
      </c>
      <c r="I305" s="2" t="s">
        <v>307</v>
      </c>
      <c r="J305" s="2" t="s">
        <v>272</v>
      </c>
      <c r="K305" s="2" t="s">
        <v>296</v>
      </c>
      <c r="L305" s="2" t="s">
        <v>297</v>
      </c>
      <c r="M305" s="2" t="s">
        <v>1317</v>
      </c>
      <c r="N305" s="2" t="s">
        <v>309</v>
      </c>
      <c r="O305" s="2" t="s">
        <v>310</v>
      </c>
      <c r="P305" s="2" t="s">
        <v>278</v>
      </c>
      <c r="Q305" s="2" t="s">
        <v>279</v>
      </c>
      <c r="R305" s="2" t="s">
        <v>280</v>
      </c>
      <c r="S305" s="2"/>
      <c r="T305" s="2" t="s">
        <v>281</v>
      </c>
      <c r="U305" s="2"/>
    </row>
    <row r="306" spans="1:21" ht="43.5" customHeight="1" x14ac:dyDescent="0.5">
      <c r="A306" s="2" t="s">
        <v>1318</v>
      </c>
      <c r="B306" s="2" t="s">
        <v>126</v>
      </c>
      <c r="C306" s="2" t="s">
        <v>1319</v>
      </c>
      <c r="D306" s="2" t="s">
        <v>1320</v>
      </c>
      <c r="E306" s="2" t="s">
        <v>1305</v>
      </c>
      <c r="F306" s="2" t="s">
        <v>1321</v>
      </c>
      <c r="G306" s="2" t="s">
        <v>1307</v>
      </c>
      <c r="H306" s="2" t="s">
        <v>1322</v>
      </c>
      <c r="I306" s="2" t="s">
        <v>307</v>
      </c>
      <c r="J306" s="2" t="s">
        <v>272</v>
      </c>
      <c r="K306" s="2" t="s">
        <v>273</v>
      </c>
      <c r="L306" s="2" t="s">
        <v>274</v>
      </c>
      <c r="M306" s="2" t="s">
        <v>1323</v>
      </c>
      <c r="N306" s="2" t="s">
        <v>276</v>
      </c>
      <c r="O306" s="2" t="s">
        <v>277</v>
      </c>
      <c r="P306" s="2" t="s">
        <v>278</v>
      </c>
      <c r="Q306" s="2" t="s">
        <v>279</v>
      </c>
      <c r="R306" s="2" t="s">
        <v>280</v>
      </c>
      <c r="S306" s="2"/>
      <c r="T306" s="2" t="s">
        <v>281</v>
      </c>
      <c r="U306" s="2"/>
    </row>
    <row r="307" spans="1:21" ht="43.5" customHeight="1" x14ac:dyDescent="0.5">
      <c r="A307" s="2" t="s">
        <v>1324</v>
      </c>
      <c r="B307" s="2" t="s">
        <v>126</v>
      </c>
      <c r="C307" s="2" t="s">
        <v>1325</v>
      </c>
      <c r="D307" s="2" t="s">
        <v>1326</v>
      </c>
      <c r="E307" s="2" t="s">
        <v>1327</v>
      </c>
      <c r="F307" s="2" t="s">
        <v>1314</v>
      </c>
      <c r="G307" s="5" t="s">
        <v>1328</v>
      </c>
      <c r="H307" s="2" t="s">
        <v>1329</v>
      </c>
      <c r="I307" s="2" t="s">
        <v>307</v>
      </c>
      <c r="J307" s="2" t="s">
        <v>272</v>
      </c>
      <c r="K307" s="2" t="s">
        <v>296</v>
      </c>
      <c r="L307" s="2" t="s">
        <v>297</v>
      </c>
      <c r="M307" s="2" t="s">
        <v>1330</v>
      </c>
      <c r="N307" s="2" t="s">
        <v>309</v>
      </c>
      <c r="O307" s="2" t="s">
        <v>310</v>
      </c>
      <c r="P307" s="2" t="s">
        <v>278</v>
      </c>
      <c r="Q307" s="2" t="s">
        <v>279</v>
      </c>
      <c r="R307" s="2" t="s">
        <v>280</v>
      </c>
      <c r="S307" s="2"/>
      <c r="T307" s="2" t="s">
        <v>281</v>
      </c>
      <c r="U307" s="2"/>
    </row>
    <row r="308" spans="1:21" ht="43.5" customHeight="1" x14ac:dyDescent="0.5">
      <c r="A308" s="2" t="s">
        <v>1331</v>
      </c>
      <c r="B308" s="2" t="s">
        <v>140</v>
      </c>
      <c r="C308" s="2" t="s">
        <v>1332</v>
      </c>
      <c r="D308" s="2" t="s">
        <v>1333</v>
      </c>
      <c r="E308" s="2" t="s">
        <v>1334</v>
      </c>
      <c r="F308" s="2" t="s">
        <v>1335</v>
      </c>
      <c r="G308" s="4" t="s">
        <v>269</v>
      </c>
      <c r="H308" s="2" t="s">
        <v>1336</v>
      </c>
      <c r="I308" s="2" t="s">
        <v>307</v>
      </c>
      <c r="J308" s="2" t="s">
        <v>272</v>
      </c>
      <c r="K308" s="2" t="s">
        <v>273</v>
      </c>
      <c r="L308" s="2" t="s">
        <v>274</v>
      </c>
      <c r="M308" s="2" t="s">
        <v>1337</v>
      </c>
      <c r="N308" s="2" t="s">
        <v>276</v>
      </c>
      <c r="O308" s="2" t="s">
        <v>277</v>
      </c>
      <c r="P308" s="2" t="s">
        <v>278</v>
      </c>
      <c r="Q308" s="2" t="s">
        <v>279</v>
      </c>
      <c r="R308" s="2" t="s">
        <v>280</v>
      </c>
      <c r="S308" s="2"/>
      <c r="T308" s="2" t="s">
        <v>281</v>
      </c>
      <c r="U308" s="2"/>
    </row>
    <row r="309" spans="1:21" ht="43.5" customHeight="1" x14ac:dyDescent="0.5">
      <c r="A309" s="2" t="s">
        <v>1338</v>
      </c>
      <c r="B309" s="2" t="s">
        <v>140</v>
      </c>
      <c r="C309" s="2" t="s">
        <v>1339</v>
      </c>
      <c r="D309" s="2" t="s">
        <v>1340</v>
      </c>
      <c r="E309" s="2" t="s">
        <v>1341</v>
      </c>
      <c r="F309" s="2" t="s">
        <v>1342</v>
      </c>
      <c r="G309" s="4" t="s">
        <v>269</v>
      </c>
      <c r="H309" s="2" t="s">
        <v>1336</v>
      </c>
      <c r="I309" s="2" t="s">
        <v>307</v>
      </c>
      <c r="J309" s="2" t="s">
        <v>272</v>
      </c>
      <c r="K309" s="2" t="s">
        <v>273</v>
      </c>
      <c r="L309" s="2" t="s">
        <v>274</v>
      </c>
      <c r="M309" s="2" t="s">
        <v>1343</v>
      </c>
      <c r="N309" s="2" t="s">
        <v>276</v>
      </c>
      <c r="O309" s="2" t="s">
        <v>277</v>
      </c>
      <c r="P309" s="2" t="s">
        <v>278</v>
      </c>
      <c r="Q309" s="2" t="s">
        <v>279</v>
      </c>
      <c r="R309" s="2" t="s">
        <v>280</v>
      </c>
      <c r="S309" s="2"/>
      <c r="T309" s="2" t="s">
        <v>281</v>
      </c>
      <c r="U309" s="2"/>
    </row>
    <row r="310" spans="1:21" ht="43.5" customHeight="1" x14ac:dyDescent="0.5">
      <c r="A310" s="2" t="s">
        <v>1344</v>
      </c>
      <c r="B310" s="2" t="s">
        <v>140</v>
      </c>
      <c r="C310" s="2" t="s">
        <v>1345</v>
      </c>
      <c r="D310" s="2" t="s">
        <v>1346</v>
      </c>
      <c r="E310" s="2" t="s">
        <v>1327</v>
      </c>
      <c r="F310" s="2" t="s">
        <v>1314</v>
      </c>
      <c r="G310" s="5" t="s">
        <v>1347</v>
      </c>
      <c r="H310" s="2" t="s">
        <v>1348</v>
      </c>
      <c r="I310" s="2" t="s">
        <v>307</v>
      </c>
      <c r="J310" s="2" t="s">
        <v>272</v>
      </c>
      <c r="K310" s="2" t="s">
        <v>296</v>
      </c>
      <c r="L310" s="2" t="s">
        <v>297</v>
      </c>
      <c r="M310" s="2" t="s">
        <v>1349</v>
      </c>
      <c r="N310" s="2" t="s">
        <v>309</v>
      </c>
      <c r="O310" s="2" t="s">
        <v>310</v>
      </c>
      <c r="P310" s="2" t="s">
        <v>278</v>
      </c>
      <c r="Q310" s="2" t="s">
        <v>279</v>
      </c>
      <c r="R310" s="2" t="s">
        <v>280</v>
      </c>
      <c r="S310" s="2"/>
      <c r="T310" s="2" t="s">
        <v>281</v>
      </c>
      <c r="U310" s="2"/>
    </row>
    <row r="311" spans="1:21" ht="43.5" customHeight="1" x14ac:dyDescent="0.5">
      <c r="A311" s="2" t="s">
        <v>1350</v>
      </c>
      <c r="B311" s="2" t="s">
        <v>147</v>
      </c>
      <c r="C311" s="2" t="s">
        <v>1319</v>
      </c>
      <c r="D311" s="2" t="s">
        <v>1320</v>
      </c>
      <c r="E311" s="2" t="s">
        <v>1305</v>
      </c>
      <c r="F311" s="2" t="s">
        <v>1321</v>
      </c>
      <c r="G311" s="2" t="s">
        <v>1307</v>
      </c>
      <c r="H311" s="2" t="s">
        <v>1351</v>
      </c>
      <c r="I311" s="2" t="s">
        <v>307</v>
      </c>
      <c r="J311" s="2" t="s">
        <v>272</v>
      </c>
      <c r="K311" s="2" t="s">
        <v>273</v>
      </c>
      <c r="L311" s="2" t="s">
        <v>274</v>
      </c>
      <c r="M311" s="2" t="s">
        <v>1352</v>
      </c>
      <c r="N311" s="2" t="s">
        <v>276</v>
      </c>
      <c r="O311" s="2" t="s">
        <v>277</v>
      </c>
      <c r="P311" s="2" t="s">
        <v>278</v>
      </c>
      <c r="Q311" s="2" t="s">
        <v>279</v>
      </c>
      <c r="R311" s="2" t="s">
        <v>280</v>
      </c>
      <c r="S311" s="2"/>
      <c r="T311" s="2" t="s">
        <v>281</v>
      </c>
      <c r="U311" s="2"/>
    </row>
    <row r="312" spans="1:21" ht="43.5" customHeight="1" x14ac:dyDescent="0.5">
      <c r="A312" s="2" t="s">
        <v>1353</v>
      </c>
      <c r="B312" s="2" t="s">
        <v>147</v>
      </c>
      <c r="C312" s="2" t="s">
        <v>1325</v>
      </c>
      <c r="D312" s="2" t="s">
        <v>1326</v>
      </c>
      <c r="E312" s="2" t="s">
        <v>1327</v>
      </c>
      <c r="F312" s="2" t="s">
        <v>1314</v>
      </c>
      <c r="G312" s="5" t="s">
        <v>1328</v>
      </c>
      <c r="H312" s="2" t="s">
        <v>1354</v>
      </c>
      <c r="I312" s="2" t="s">
        <v>307</v>
      </c>
      <c r="J312" s="2" t="s">
        <v>272</v>
      </c>
      <c r="K312" s="2" t="s">
        <v>296</v>
      </c>
      <c r="L312" s="2" t="s">
        <v>297</v>
      </c>
      <c r="M312" s="2" t="s">
        <v>1355</v>
      </c>
      <c r="N312" s="2" t="s">
        <v>309</v>
      </c>
      <c r="O312" s="2" t="s">
        <v>310</v>
      </c>
      <c r="P312" s="2" t="s">
        <v>278</v>
      </c>
      <c r="Q312" s="2" t="s">
        <v>279</v>
      </c>
      <c r="R312" s="2" t="s">
        <v>280</v>
      </c>
      <c r="S312" s="2"/>
      <c r="T312" s="2" t="s">
        <v>281</v>
      </c>
      <c r="U312" s="2"/>
    </row>
    <row r="313" spans="1:21" ht="43.5" customHeight="1" x14ac:dyDescent="0.5">
      <c r="A313" s="2" t="s">
        <v>1356</v>
      </c>
      <c r="B313" s="2" t="s">
        <v>149</v>
      </c>
      <c r="C313" s="2" t="s">
        <v>1319</v>
      </c>
      <c r="D313" s="2" t="s">
        <v>1320</v>
      </c>
      <c r="E313" s="2" t="s">
        <v>1305</v>
      </c>
      <c r="F313" s="2" t="s">
        <v>1321</v>
      </c>
      <c r="G313" s="2" t="s">
        <v>1307</v>
      </c>
      <c r="H313" s="2" t="s">
        <v>1357</v>
      </c>
      <c r="I313" s="2" t="s">
        <v>307</v>
      </c>
      <c r="J313" s="2" t="s">
        <v>272</v>
      </c>
      <c r="K313" s="2" t="s">
        <v>273</v>
      </c>
      <c r="L313" s="2" t="s">
        <v>274</v>
      </c>
      <c r="M313" s="2" t="s">
        <v>1358</v>
      </c>
      <c r="N313" s="2" t="s">
        <v>276</v>
      </c>
      <c r="O313" s="2" t="s">
        <v>277</v>
      </c>
      <c r="P313" s="2" t="s">
        <v>278</v>
      </c>
      <c r="Q313" s="2" t="s">
        <v>279</v>
      </c>
      <c r="R313" s="2" t="s">
        <v>280</v>
      </c>
      <c r="S313" s="2"/>
      <c r="T313" s="2" t="s">
        <v>281</v>
      </c>
      <c r="U313" s="2"/>
    </row>
    <row r="314" spans="1:21" ht="43.5" customHeight="1" x14ac:dyDescent="0.5">
      <c r="A314" s="2" t="s">
        <v>1359</v>
      </c>
      <c r="B314" s="2" t="s">
        <v>149</v>
      </c>
      <c r="C314" s="2" t="s">
        <v>1360</v>
      </c>
      <c r="D314" s="2" t="s">
        <v>1326</v>
      </c>
      <c r="E314" s="2" t="s">
        <v>1327</v>
      </c>
      <c r="F314" s="2" t="s">
        <v>1314</v>
      </c>
      <c r="G314" s="5" t="s">
        <v>1328</v>
      </c>
      <c r="H314" s="2" t="s">
        <v>1357</v>
      </c>
      <c r="I314" s="2" t="s">
        <v>307</v>
      </c>
      <c r="J314" s="2" t="s">
        <v>272</v>
      </c>
      <c r="K314" s="2" t="s">
        <v>296</v>
      </c>
      <c r="L314" s="2" t="s">
        <v>297</v>
      </c>
      <c r="M314" s="2" t="s">
        <v>1361</v>
      </c>
      <c r="N314" s="2" t="s">
        <v>309</v>
      </c>
      <c r="O314" s="2" t="s">
        <v>310</v>
      </c>
      <c r="P314" s="2" t="s">
        <v>278</v>
      </c>
      <c r="Q314" s="2" t="s">
        <v>279</v>
      </c>
      <c r="R314" s="2" t="s">
        <v>280</v>
      </c>
      <c r="S314" s="2"/>
      <c r="T314" s="2" t="s">
        <v>281</v>
      </c>
      <c r="U314" s="2"/>
    </row>
    <row r="315" spans="1:21" ht="43.5" customHeight="1" x14ac:dyDescent="0.5">
      <c r="A315" s="2" t="s">
        <v>1362</v>
      </c>
      <c r="B315" s="2" t="s">
        <v>75</v>
      </c>
      <c r="C315" s="2" t="s">
        <v>1363</v>
      </c>
      <c r="D315" s="2" t="s">
        <v>1364</v>
      </c>
      <c r="E315" s="2" t="s">
        <v>1365</v>
      </c>
      <c r="F315" s="2" t="s">
        <v>1366</v>
      </c>
      <c r="G315" s="2" t="s">
        <v>1367</v>
      </c>
      <c r="H315" s="2" t="s">
        <v>1368</v>
      </c>
      <c r="I315" s="2" t="s">
        <v>1369</v>
      </c>
      <c r="J315" s="2" t="s">
        <v>272</v>
      </c>
      <c r="K315" s="2" t="s">
        <v>273</v>
      </c>
      <c r="L315" s="2" t="s">
        <v>274</v>
      </c>
      <c r="M315" s="2" t="s">
        <v>1370</v>
      </c>
      <c r="N315" s="2" t="s">
        <v>276</v>
      </c>
      <c r="O315" s="2" t="s">
        <v>277</v>
      </c>
      <c r="P315" s="2" t="s">
        <v>278</v>
      </c>
      <c r="Q315" s="2" t="s">
        <v>279</v>
      </c>
      <c r="R315" s="2" t="s">
        <v>280</v>
      </c>
      <c r="S315" s="2"/>
      <c r="T315" s="2" t="s">
        <v>281</v>
      </c>
      <c r="U315" s="2"/>
    </row>
    <row r="316" spans="1:21" ht="43.5" customHeight="1" x14ac:dyDescent="0.5">
      <c r="A316" s="2" t="s">
        <v>1371</v>
      </c>
      <c r="B316" s="2" t="s">
        <v>81</v>
      </c>
      <c r="C316" s="2" t="s">
        <v>1363</v>
      </c>
      <c r="D316" s="2" t="s">
        <v>1364</v>
      </c>
      <c r="E316" s="2" t="s">
        <v>1365</v>
      </c>
      <c r="F316" s="2" t="s">
        <v>1366</v>
      </c>
      <c r="G316" s="2" t="s">
        <v>1367</v>
      </c>
      <c r="H316" s="2" t="s">
        <v>1372</v>
      </c>
      <c r="I316" s="2" t="s">
        <v>1369</v>
      </c>
      <c r="J316" s="2" t="s">
        <v>272</v>
      </c>
      <c r="K316" s="2" t="s">
        <v>273</v>
      </c>
      <c r="L316" s="2" t="s">
        <v>274</v>
      </c>
      <c r="M316" s="2" t="s">
        <v>1373</v>
      </c>
      <c r="N316" s="2" t="s">
        <v>276</v>
      </c>
      <c r="O316" s="2" t="s">
        <v>277</v>
      </c>
      <c r="P316" s="2" t="s">
        <v>278</v>
      </c>
      <c r="Q316" s="2" t="s">
        <v>279</v>
      </c>
      <c r="R316" s="2" t="s">
        <v>280</v>
      </c>
      <c r="S316" s="2"/>
      <c r="T316" s="2" t="s">
        <v>281</v>
      </c>
      <c r="U316" s="2"/>
    </row>
    <row r="317" spans="1:21" ht="43.5" customHeight="1" x14ac:dyDescent="0.5">
      <c r="A317" s="2" t="s">
        <v>1374</v>
      </c>
      <c r="B317" s="2" t="s">
        <v>84</v>
      </c>
      <c r="C317" s="2" t="s">
        <v>1363</v>
      </c>
      <c r="D317" s="2" t="s">
        <v>1375</v>
      </c>
      <c r="E317" s="2" t="s">
        <v>1365</v>
      </c>
      <c r="F317" s="2" t="s">
        <v>1376</v>
      </c>
      <c r="G317" s="2" t="s">
        <v>1367</v>
      </c>
      <c r="H317" s="2" t="s">
        <v>1377</v>
      </c>
      <c r="I317" s="2" t="s">
        <v>1369</v>
      </c>
      <c r="J317" s="2" t="s">
        <v>272</v>
      </c>
      <c r="K317" s="2" t="s">
        <v>273</v>
      </c>
      <c r="L317" s="2" t="s">
        <v>274</v>
      </c>
      <c r="M317" s="2" t="s">
        <v>1378</v>
      </c>
      <c r="N317" s="2" t="s">
        <v>276</v>
      </c>
      <c r="O317" s="2" t="s">
        <v>277</v>
      </c>
      <c r="P317" s="2" t="s">
        <v>278</v>
      </c>
      <c r="Q317" s="2" t="s">
        <v>279</v>
      </c>
      <c r="R317" s="2" t="s">
        <v>280</v>
      </c>
      <c r="S317" s="2"/>
      <c r="T317" s="2" t="s">
        <v>281</v>
      </c>
      <c r="U317" s="2"/>
    </row>
    <row r="318" spans="1:21" ht="43.5" customHeight="1" x14ac:dyDescent="0.5">
      <c r="A318" s="2" t="s">
        <v>1379</v>
      </c>
      <c r="B318" s="2" t="s">
        <v>88</v>
      </c>
      <c r="C318" s="2" t="s">
        <v>1363</v>
      </c>
      <c r="D318" s="2" t="s">
        <v>1380</v>
      </c>
      <c r="E318" s="2" t="s">
        <v>1365</v>
      </c>
      <c r="F318" s="2" t="s">
        <v>1381</v>
      </c>
      <c r="G318" s="2" t="s">
        <v>1367</v>
      </c>
      <c r="H318" s="2" t="s">
        <v>1382</v>
      </c>
      <c r="I318" s="2" t="s">
        <v>1369</v>
      </c>
      <c r="J318" s="2" t="s">
        <v>272</v>
      </c>
      <c r="K318" s="2" t="s">
        <v>273</v>
      </c>
      <c r="L318" s="2" t="s">
        <v>274</v>
      </c>
      <c r="M318" s="2" t="s">
        <v>1383</v>
      </c>
      <c r="N318" s="2" t="s">
        <v>276</v>
      </c>
      <c r="O318" s="2" t="s">
        <v>277</v>
      </c>
      <c r="P318" s="2" t="s">
        <v>278</v>
      </c>
      <c r="Q318" s="2" t="s">
        <v>279</v>
      </c>
      <c r="R318" s="2" t="s">
        <v>280</v>
      </c>
      <c r="S318" s="2"/>
      <c r="T318" s="2" t="s">
        <v>281</v>
      </c>
      <c r="U318" s="2"/>
    </row>
    <row r="319" spans="1:21" ht="43.5" customHeight="1" x14ac:dyDescent="0.5">
      <c r="A319" s="2" t="s">
        <v>1384</v>
      </c>
      <c r="B319" s="2" t="s">
        <v>90</v>
      </c>
      <c r="C319" s="2" t="s">
        <v>1363</v>
      </c>
      <c r="D319" s="2" t="s">
        <v>1380</v>
      </c>
      <c r="E319" s="2" t="s">
        <v>1365</v>
      </c>
      <c r="F319" s="2" t="s">
        <v>1381</v>
      </c>
      <c r="G319" s="2" t="s">
        <v>1367</v>
      </c>
      <c r="H319" s="2" t="s">
        <v>1385</v>
      </c>
      <c r="I319" s="2" t="s">
        <v>1369</v>
      </c>
      <c r="J319" s="2" t="s">
        <v>272</v>
      </c>
      <c r="K319" s="2" t="s">
        <v>273</v>
      </c>
      <c r="L319" s="2" t="s">
        <v>274</v>
      </c>
      <c r="M319" s="2" t="s">
        <v>1386</v>
      </c>
      <c r="N319" s="2" t="s">
        <v>276</v>
      </c>
      <c r="O319" s="2" t="s">
        <v>277</v>
      </c>
      <c r="P319" s="2" t="s">
        <v>278</v>
      </c>
      <c r="Q319" s="2" t="s">
        <v>279</v>
      </c>
      <c r="R319" s="2" t="s">
        <v>280</v>
      </c>
      <c r="S319" s="2"/>
      <c r="T319" s="2" t="s">
        <v>281</v>
      </c>
      <c r="U319" s="2"/>
    </row>
    <row r="320" spans="1:21" ht="43.5" customHeight="1" x14ac:dyDescent="0.5">
      <c r="A320" s="2" t="s">
        <v>1387</v>
      </c>
      <c r="B320" s="2" t="s">
        <v>93</v>
      </c>
      <c r="C320" s="2" t="s">
        <v>1363</v>
      </c>
      <c r="D320" s="2" t="s">
        <v>1380</v>
      </c>
      <c r="E320" s="2" t="s">
        <v>1365</v>
      </c>
      <c r="F320" s="2" t="s">
        <v>1381</v>
      </c>
      <c r="G320" s="2" t="s">
        <v>1367</v>
      </c>
      <c r="H320" s="2" t="s">
        <v>1388</v>
      </c>
      <c r="I320" s="2" t="s">
        <v>1369</v>
      </c>
      <c r="J320" s="2" t="s">
        <v>272</v>
      </c>
      <c r="K320" s="2" t="s">
        <v>273</v>
      </c>
      <c r="L320" s="2" t="s">
        <v>274</v>
      </c>
      <c r="M320" s="2" t="s">
        <v>1389</v>
      </c>
      <c r="N320" s="2" t="s">
        <v>276</v>
      </c>
      <c r="O320" s="2" t="s">
        <v>277</v>
      </c>
      <c r="P320" s="2" t="s">
        <v>278</v>
      </c>
      <c r="Q320" s="2" t="s">
        <v>279</v>
      </c>
      <c r="R320" s="2" t="s">
        <v>280</v>
      </c>
      <c r="S320" s="2"/>
      <c r="T320" s="2" t="s">
        <v>281</v>
      </c>
      <c r="U320" s="2"/>
    </row>
    <row r="321" spans="1:21" ht="43.5" customHeight="1" x14ac:dyDescent="0.5">
      <c r="A321" s="2" t="s">
        <v>1390</v>
      </c>
      <c r="B321" s="2" t="s">
        <v>96</v>
      </c>
      <c r="C321" s="2" t="s">
        <v>1363</v>
      </c>
      <c r="D321" s="2" t="s">
        <v>1380</v>
      </c>
      <c r="E321" s="2" t="s">
        <v>1365</v>
      </c>
      <c r="F321" s="2" t="s">
        <v>1381</v>
      </c>
      <c r="G321" s="2" t="s">
        <v>1367</v>
      </c>
      <c r="H321" s="2" t="s">
        <v>1391</v>
      </c>
      <c r="I321" s="2" t="s">
        <v>1369</v>
      </c>
      <c r="J321" s="2" t="s">
        <v>272</v>
      </c>
      <c r="K321" s="2" t="s">
        <v>273</v>
      </c>
      <c r="L321" s="2" t="s">
        <v>274</v>
      </c>
      <c r="M321" s="2" t="s">
        <v>1392</v>
      </c>
      <c r="N321" s="2" t="s">
        <v>276</v>
      </c>
      <c r="O321" s="2" t="s">
        <v>277</v>
      </c>
      <c r="P321" s="2" t="s">
        <v>278</v>
      </c>
      <c r="Q321" s="2" t="s">
        <v>279</v>
      </c>
      <c r="R321" s="2" t="s">
        <v>280</v>
      </c>
      <c r="S321" s="2"/>
      <c r="T321" s="2" t="s">
        <v>281</v>
      </c>
      <c r="U321" s="2"/>
    </row>
    <row r="322" spans="1:21" ht="43.5" customHeight="1" x14ac:dyDescent="0.5">
      <c r="A322" s="2" t="s">
        <v>1393</v>
      </c>
      <c r="B322" s="2" t="s">
        <v>99</v>
      </c>
      <c r="C322" s="2" t="s">
        <v>1363</v>
      </c>
      <c r="D322" s="2" t="s">
        <v>1380</v>
      </c>
      <c r="E322" s="2" t="s">
        <v>1365</v>
      </c>
      <c r="F322" s="2" t="s">
        <v>1381</v>
      </c>
      <c r="G322" s="2" t="s">
        <v>1367</v>
      </c>
      <c r="H322" s="2" t="s">
        <v>1394</v>
      </c>
      <c r="I322" s="2" t="s">
        <v>1369</v>
      </c>
      <c r="J322" s="2" t="s">
        <v>272</v>
      </c>
      <c r="K322" s="2" t="s">
        <v>273</v>
      </c>
      <c r="L322" s="2" t="s">
        <v>274</v>
      </c>
      <c r="M322" s="2" t="s">
        <v>1395</v>
      </c>
      <c r="N322" s="2" t="s">
        <v>276</v>
      </c>
      <c r="O322" s="2" t="s">
        <v>277</v>
      </c>
      <c r="P322" s="2" t="s">
        <v>278</v>
      </c>
      <c r="Q322" s="2" t="s">
        <v>279</v>
      </c>
      <c r="R322" s="2" t="s">
        <v>280</v>
      </c>
      <c r="S322" s="2"/>
      <c r="T322" s="2" t="s">
        <v>281</v>
      </c>
      <c r="U322" s="2"/>
    </row>
    <row r="323" spans="1:21" ht="43.5" customHeight="1" x14ac:dyDescent="0.5">
      <c r="A323" s="2" t="s">
        <v>1396</v>
      </c>
      <c r="B323" s="2" t="s">
        <v>102</v>
      </c>
      <c r="C323" s="2" t="s">
        <v>1363</v>
      </c>
      <c r="D323" s="2" t="s">
        <v>1380</v>
      </c>
      <c r="E323" s="2" t="s">
        <v>1365</v>
      </c>
      <c r="F323" s="2" t="s">
        <v>1381</v>
      </c>
      <c r="G323" s="2" t="s">
        <v>1367</v>
      </c>
      <c r="H323" s="2" t="s">
        <v>1397</v>
      </c>
      <c r="I323" s="2" t="s">
        <v>1369</v>
      </c>
      <c r="J323" s="2" t="s">
        <v>272</v>
      </c>
      <c r="K323" s="2" t="s">
        <v>273</v>
      </c>
      <c r="L323" s="2" t="s">
        <v>274</v>
      </c>
      <c r="M323" s="2" t="s">
        <v>1398</v>
      </c>
      <c r="N323" s="2" t="s">
        <v>276</v>
      </c>
      <c r="O323" s="2" t="s">
        <v>277</v>
      </c>
      <c r="P323" s="2" t="s">
        <v>278</v>
      </c>
      <c r="Q323" s="2" t="s">
        <v>279</v>
      </c>
      <c r="R323" s="2" t="s">
        <v>280</v>
      </c>
      <c r="S323" s="2"/>
      <c r="T323" s="2" t="s">
        <v>281</v>
      </c>
      <c r="U323" s="2"/>
    </row>
    <row r="324" spans="1:21" ht="43.5" customHeight="1" x14ac:dyDescent="0.5">
      <c r="A324" s="2" t="s">
        <v>1399</v>
      </c>
      <c r="B324" s="2" t="s">
        <v>105</v>
      </c>
      <c r="C324" s="2" t="s">
        <v>1363</v>
      </c>
      <c r="D324" s="2" t="s">
        <v>1400</v>
      </c>
      <c r="E324" s="2" t="s">
        <v>1365</v>
      </c>
      <c r="F324" s="2" t="s">
        <v>1401</v>
      </c>
      <c r="G324" s="2" t="s">
        <v>1367</v>
      </c>
      <c r="H324" s="2" t="s">
        <v>1402</v>
      </c>
      <c r="I324" s="2" t="s">
        <v>1369</v>
      </c>
      <c r="J324" s="2" t="s">
        <v>272</v>
      </c>
      <c r="K324" s="2" t="s">
        <v>273</v>
      </c>
      <c r="L324" s="2" t="s">
        <v>274</v>
      </c>
      <c r="M324" s="2" t="s">
        <v>1403</v>
      </c>
      <c r="N324" s="2" t="s">
        <v>276</v>
      </c>
      <c r="O324" s="2" t="s">
        <v>277</v>
      </c>
      <c r="P324" s="2" t="s">
        <v>278</v>
      </c>
      <c r="Q324" s="2" t="s">
        <v>279</v>
      </c>
      <c r="R324" s="2" t="s">
        <v>280</v>
      </c>
      <c r="S324" s="2"/>
      <c r="T324" s="2" t="s">
        <v>281</v>
      </c>
      <c r="U324" s="2"/>
    </row>
    <row r="325" spans="1:21" ht="43.5" customHeight="1" x14ac:dyDescent="0.5">
      <c r="A325" s="2" t="s">
        <v>1404</v>
      </c>
      <c r="B325" s="2" t="s">
        <v>108</v>
      </c>
      <c r="C325" s="2" t="s">
        <v>1363</v>
      </c>
      <c r="D325" s="2" t="s">
        <v>1400</v>
      </c>
      <c r="E325" s="2" t="s">
        <v>1365</v>
      </c>
      <c r="F325" s="2" t="s">
        <v>1401</v>
      </c>
      <c r="G325" s="2" t="s">
        <v>1367</v>
      </c>
      <c r="H325" s="2" t="s">
        <v>1405</v>
      </c>
      <c r="I325" s="2" t="s">
        <v>1369</v>
      </c>
      <c r="J325" s="2" t="s">
        <v>272</v>
      </c>
      <c r="K325" s="2" t="s">
        <v>273</v>
      </c>
      <c r="L325" s="2" t="s">
        <v>274</v>
      </c>
      <c r="M325" s="2" t="s">
        <v>1406</v>
      </c>
      <c r="N325" s="2" t="s">
        <v>276</v>
      </c>
      <c r="O325" s="2" t="s">
        <v>277</v>
      </c>
      <c r="P325" s="2" t="s">
        <v>278</v>
      </c>
      <c r="Q325" s="2" t="s">
        <v>279</v>
      </c>
      <c r="R325" s="2" t="s">
        <v>280</v>
      </c>
      <c r="S325" s="2"/>
      <c r="T325" s="2" t="s">
        <v>281</v>
      </c>
      <c r="U325" s="2"/>
    </row>
    <row r="326" spans="1:21" ht="43.5" customHeight="1" x14ac:dyDescent="0.5">
      <c r="A326" s="2" t="s">
        <v>1407</v>
      </c>
      <c r="B326" s="2" t="s">
        <v>111</v>
      </c>
      <c r="C326" s="2" t="s">
        <v>1363</v>
      </c>
      <c r="D326" s="2" t="s">
        <v>1380</v>
      </c>
      <c r="E326" s="2" t="s">
        <v>1365</v>
      </c>
      <c r="F326" s="2" t="s">
        <v>1381</v>
      </c>
      <c r="G326" s="2" t="s">
        <v>1367</v>
      </c>
      <c r="H326" s="2" t="s">
        <v>1408</v>
      </c>
      <c r="I326" s="2" t="s">
        <v>1369</v>
      </c>
      <c r="J326" s="2" t="s">
        <v>272</v>
      </c>
      <c r="K326" s="2" t="s">
        <v>273</v>
      </c>
      <c r="L326" s="2" t="s">
        <v>274</v>
      </c>
      <c r="M326" s="2" t="s">
        <v>1409</v>
      </c>
      <c r="N326" s="2" t="s">
        <v>276</v>
      </c>
      <c r="O326" s="2" t="s">
        <v>277</v>
      </c>
      <c r="P326" s="2" t="s">
        <v>278</v>
      </c>
      <c r="Q326" s="2" t="s">
        <v>279</v>
      </c>
      <c r="R326" s="2" t="s">
        <v>280</v>
      </c>
      <c r="S326" s="2"/>
      <c r="T326" s="2" t="s">
        <v>281</v>
      </c>
      <c r="U326" s="2"/>
    </row>
    <row r="327" spans="1:21" ht="43.5" customHeight="1" x14ac:dyDescent="0.5">
      <c r="A327" s="2" t="s">
        <v>1410</v>
      </c>
      <c r="B327" s="2" t="s">
        <v>114</v>
      </c>
      <c r="C327" s="2" t="s">
        <v>1363</v>
      </c>
      <c r="D327" s="2" t="s">
        <v>1411</v>
      </c>
      <c r="E327" s="2" t="s">
        <v>1365</v>
      </c>
      <c r="F327" s="2" t="s">
        <v>1412</v>
      </c>
      <c r="G327" s="2" t="s">
        <v>1367</v>
      </c>
      <c r="H327" s="2" t="s">
        <v>1413</v>
      </c>
      <c r="I327" s="2" t="s">
        <v>1369</v>
      </c>
      <c r="J327" s="2" t="s">
        <v>272</v>
      </c>
      <c r="K327" s="2" t="s">
        <v>273</v>
      </c>
      <c r="L327" s="2" t="s">
        <v>274</v>
      </c>
      <c r="M327" s="2" t="s">
        <v>1414</v>
      </c>
      <c r="N327" s="2" t="s">
        <v>276</v>
      </c>
      <c r="O327" s="2" t="s">
        <v>277</v>
      </c>
      <c r="P327" s="2" t="s">
        <v>278</v>
      </c>
      <c r="Q327" s="2" t="s">
        <v>279</v>
      </c>
      <c r="R327" s="2" t="s">
        <v>280</v>
      </c>
      <c r="S327" s="2"/>
      <c r="T327" s="2" t="s">
        <v>281</v>
      </c>
      <c r="U327" s="2"/>
    </row>
    <row r="328" spans="1:21" ht="43.5" customHeight="1" x14ac:dyDescent="0.5">
      <c r="A328" s="2" t="s">
        <v>1415</v>
      </c>
      <c r="B328" s="2" t="s">
        <v>117</v>
      </c>
      <c r="C328" s="2" t="s">
        <v>1363</v>
      </c>
      <c r="D328" s="2" t="s">
        <v>1416</v>
      </c>
      <c r="E328" s="2" t="s">
        <v>1365</v>
      </c>
      <c r="F328" s="2" t="s">
        <v>1417</v>
      </c>
      <c r="G328" s="2" t="s">
        <v>1367</v>
      </c>
      <c r="H328" s="2" t="s">
        <v>1418</v>
      </c>
      <c r="I328" s="2" t="s">
        <v>1369</v>
      </c>
      <c r="J328" s="2" t="s">
        <v>272</v>
      </c>
      <c r="K328" s="2" t="s">
        <v>273</v>
      </c>
      <c r="L328" s="2" t="s">
        <v>274</v>
      </c>
      <c r="M328" s="2" t="s">
        <v>1419</v>
      </c>
      <c r="N328" s="2" t="s">
        <v>276</v>
      </c>
      <c r="O328" s="2" t="s">
        <v>277</v>
      </c>
      <c r="P328" s="2" t="s">
        <v>278</v>
      </c>
      <c r="Q328" s="2" t="s">
        <v>279</v>
      </c>
      <c r="R328" s="2" t="s">
        <v>280</v>
      </c>
      <c r="S328" s="2"/>
      <c r="T328" s="2" t="s">
        <v>281</v>
      </c>
      <c r="U328" s="2"/>
    </row>
    <row r="329" spans="1:21" ht="43.5" customHeight="1" x14ac:dyDescent="0.5">
      <c r="A329" s="2" t="s">
        <v>1420</v>
      </c>
      <c r="B329" s="2" t="s">
        <v>121</v>
      </c>
      <c r="C329" s="2" t="s">
        <v>1363</v>
      </c>
      <c r="D329" s="2" t="s">
        <v>1421</v>
      </c>
      <c r="E329" s="2" t="s">
        <v>1365</v>
      </c>
      <c r="F329" s="2" t="s">
        <v>1422</v>
      </c>
      <c r="G329" s="2" t="s">
        <v>1367</v>
      </c>
      <c r="H329" s="2" t="s">
        <v>1423</v>
      </c>
      <c r="I329" s="2" t="s">
        <v>1369</v>
      </c>
      <c r="J329" s="2" t="s">
        <v>272</v>
      </c>
      <c r="K329" s="2" t="s">
        <v>273</v>
      </c>
      <c r="L329" s="2" t="s">
        <v>274</v>
      </c>
      <c r="M329" s="2" t="s">
        <v>1424</v>
      </c>
      <c r="N329" s="2" t="s">
        <v>276</v>
      </c>
      <c r="O329" s="2" t="s">
        <v>277</v>
      </c>
      <c r="P329" s="2" t="s">
        <v>278</v>
      </c>
      <c r="Q329" s="2" t="s">
        <v>279</v>
      </c>
      <c r="R329" s="2" t="s">
        <v>280</v>
      </c>
      <c r="S329" s="2"/>
      <c r="T329" s="2" t="s">
        <v>281</v>
      </c>
      <c r="U329" s="2"/>
    </row>
    <row r="330" spans="1:21" ht="43.5" customHeight="1" x14ac:dyDescent="0.5">
      <c r="A330" s="2" t="s">
        <v>1425</v>
      </c>
      <c r="B330" s="2" t="s">
        <v>126</v>
      </c>
      <c r="C330" s="2" t="s">
        <v>1363</v>
      </c>
      <c r="D330" s="2" t="s">
        <v>1426</v>
      </c>
      <c r="E330" s="2" t="s">
        <v>1427</v>
      </c>
      <c r="F330" s="2" t="s">
        <v>1428</v>
      </c>
      <c r="G330" s="2" t="s">
        <v>1367</v>
      </c>
      <c r="H330" s="2" t="s">
        <v>1429</v>
      </c>
      <c r="I330" s="2" t="s">
        <v>1369</v>
      </c>
      <c r="J330" s="2" t="s">
        <v>272</v>
      </c>
      <c r="K330" s="2" t="s">
        <v>273</v>
      </c>
      <c r="L330" s="2" t="s">
        <v>274</v>
      </c>
      <c r="M330" s="2" t="s">
        <v>1430</v>
      </c>
      <c r="N330" s="2" t="s">
        <v>276</v>
      </c>
      <c r="O330" s="2" t="s">
        <v>277</v>
      </c>
      <c r="P330" s="2" t="s">
        <v>278</v>
      </c>
      <c r="Q330" s="2" t="s">
        <v>279</v>
      </c>
      <c r="R330" s="2" t="s">
        <v>280</v>
      </c>
      <c r="S330" s="2"/>
      <c r="T330" s="2" t="s">
        <v>281</v>
      </c>
      <c r="U330" s="2"/>
    </row>
    <row r="331" spans="1:21" ht="43.5" customHeight="1" x14ac:dyDescent="0.5">
      <c r="A331" s="2" t="s">
        <v>1431</v>
      </c>
      <c r="B331" s="2" t="s">
        <v>129</v>
      </c>
      <c r="C331" s="2" t="s">
        <v>1363</v>
      </c>
      <c r="D331" s="2" t="s">
        <v>1426</v>
      </c>
      <c r="E331" s="2" t="s">
        <v>1427</v>
      </c>
      <c r="F331" s="2" t="s">
        <v>1428</v>
      </c>
      <c r="G331" s="2" t="s">
        <v>1367</v>
      </c>
      <c r="H331" s="2" t="s">
        <v>1432</v>
      </c>
      <c r="I331" s="2" t="s">
        <v>1369</v>
      </c>
      <c r="J331" s="2" t="s">
        <v>272</v>
      </c>
      <c r="K331" s="2" t="s">
        <v>273</v>
      </c>
      <c r="L331" s="2" t="s">
        <v>274</v>
      </c>
      <c r="M331" s="2" t="s">
        <v>1433</v>
      </c>
      <c r="N331" s="2" t="s">
        <v>276</v>
      </c>
      <c r="O331" s="2" t="s">
        <v>277</v>
      </c>
      <c r="P331" s="2" t="s">
        <v>278</v>
      </c>
      <c r="Q331" s="2" t="s">
        <v>279</v>
      </c>
      <c r="R331" s="2" t="s">
        <v>280</v>
      </c>
      <c r="S331" s="2"/>
      <c r="T331" s="2" t="s">
        <v>281</v>
      </c>
      <c r="U331" s="2"/>
    </row>
    <row r="332" spans="1:21" ht="43.5" customHeight="1" x14ac:dyDescent="0.5">
      <c r="A332" s="2" t="s">
        <v>1434</v>
      </c>
      <c r="B332" s="2" t="s">
        <v>131</v>
      </c>
      <c r="C332" s="2" t="s">
        <v>1363</v>
      </c>
      <c r="D332" s="2" t="s">
        <v>1426</v>
      </c>
      <c r="E332" s="2" t="s">
        <v>1427</v>
      </c>
      <c r="F332" s="2" t="s">
        <v>1428</v>
      </c>
      <c r="G332" s="2" t="s">
        <v>1367</v>
      </c>
      <c r="H332" s="2" t="s">
        <v>1435</v>
      </c>
      <c r="I332" s="2" t="s">
        <v>1369</v>
      </c>
      <c r="J332" s="2" t="s">
        <v>272</v>
      </c>
      <c r="K332" s="2" t="s">
        <v>273</v>
      </c>
      <c r="L332" s="2" t="s">
        <v>274</v>
      </c>
      <c r="M332" s="2" t="s">
        <v>1436</v>
      </c>
      <c r="N332" s="2" t="s">
        <v>276</v>
      </c>
      <c r="O332" s="2" t="s">
        <v>277</v>
      </c>
      <c r="P332" s="2" t="s">
        <v>278</v>
      </c>
      <c r="Q332" s="2" t="s">
        <v>279</v>
      </c>
      <c r="R332" s="2" t="s">
        <v>280</v>
      </c>
      <c r="S332" s="2"/>
      <c r="T332" s="2" t="s">
        <v>281</v>
      </c>
      <c r="U332" s="2"/>
    </row>
    <row r="333" spans="1:21" ht="43.5" customHeight="1" x14ac:dyDescent="0.5">
      <c r="A333" s="2" t="s">
        <v>1437</v>
      </c>
      <c r="B333" s="2" t="s">
        <v>135</v>
      </c>
      <c r="C333" s="2" t="s">
        <v>1363</v>
      </c>
      <c r="D333" s="2" t="s">
        <v>1426</v>
      </c>
      <c r="E333" s="2" t="s">
        <v>1427</v>
      </c>
      <c r="F333" s="2" t="s">
        <v>1428</v>
      </c>
      <c r="G333" s="2" t="s">
        <v>1367</v>
      </c>
      <c r="H333" s="2" t="s">
        <v>1438</v>
      </c>
      <c r="I333" s="2" t="s">
        <v>1369</v>
      </c>
      <c r="J333" s="2" t="s">
        <v>272</v>
      </c>
      <c r="K333" s="2" t="s">
        <v>273</v>
      </c>
      <c r="L333" s="2" t="s">
        <v>274</v>
      </c>
      <c r="M333" s="2" t="s">
        <v>1439</v>
      </c>
      <c r="N333" s="2" t="s">
        <v>276</v>
      </c>
      <c r="O333" s="2" t="s">
        <v>277</v>
      </c>
      <c r="P333" s="2" t="s">
        <v>278</v>
      </c>
      <c r="Q333" s="2" t="s">
        <v>279</v>
      </c>
      <c r="R333" s="2" t="s">
        <v>280</v>
      </c>
      <c r="S333" s="2"/>
      <c r="T333" s="2" t="s">
        <v>281</v>
      </c>
      <c r="U333" s="2"/>
    </row>
    <row r="334" spans="1:21" ht="43.5" customHeight="1" x14ac:dyDescent="0.5">
      <c r="A334" s="2" t="s">
        <v>1440</v>
      </c>
      <c r="B334" s="2" t="s">
        <v>137</v>
      </c>
      <c r="C334" s="2" t="s">
        <v>1363</v>
      </c>
      <c r="D334" s="2" t="s">
        <v>1421</v>
      </c>
      <c r="E334" s="2" t="s">
        <v>1365</v>
      </c>
      <c r="F334" s="2" t="s">
        <v>1422</v>
      </c>
      <c r="G334" s="2" t="s">
        <v>1367</v>
      </c>
      <c r="H334" s="2" t="s">
        <v>1441</v>
      </c>
      <c r="I334" s="2" t="s">
        <v>1369</v>
      </c>
      <c r="J334" s="2" t="s">
        <v>272</v>
      </c>
      <c r="K334" s="2" t="s">
        <v>273</v>
      </c>
      <c r="L334" s="2" t="s">
        <v>274</v>
      </c>
      <c r="M334" s="2" t="s">
        <v>1442</v>
      </c>
      <c r="N334" s="2" t="s">
        <v>276</v>
      </c>
      <c r="O334" s="2" t="s">
        <v>277</v>
      </c>
      <c r="P334" s="2" t="s">
        <v>278</v>
      </c>
      <c r="Q334" s="2" t="s">
        <v>279</v>
      </c>
      <c r="R334" s="2" t="s">
        <v>280</v>
      </c>
      <c r="S334" s="2"/>
      <c r="T334" s="2" t="s">
        <v>281</v>
      </c>
      <c r="U334" s="2"/>
    </row>
    <row r="335" spans="1:21" ht="43.5" customHeight="1" x14ac:dyDescent="0.5">
      <c r="A335" s="2" t="s">
        <v>1443</v>
      </c>
      <c r="B335" s="2" t="s">
        <v>140</v>
      </c>
      <c r="C335" s="2" t="s">
        <v>1363</v>
      </c>
      <c r="D335" s="2" t="s">
        <v>1426</v>
      </c>
      <c r="E335" s="2" t="s">
        <v>1427</v>
      </c>
      <c r="F335" s="2" t="s">
        <v>1428</v>
      </c>
      <c r="G335" s="2" t="s">
        <v>1367</v>
      </c>
      <c r="H335" s="2" t="s">
        <v>1444</v>
      </c>
      <c r="I335" s="2" t="s">
        <v>1369</v>
      </c>
      <c r="J335" s="2" t="s">
        <v>272</v>
      </c>
      <c r="K335" s="2" t="s">
        <v>273</v>
      </c>
      <c r="L335" s="2" t="s">
        <v>274</v>
      </c>
      <c r="M335" s="2" t="s">
        <v>1445</v>
      </c>
      <c r="N335" s="2" t="s">
        <v>276</v>
      </c>
      <c r="O335" s="2" t="s">
        <v>277</v>
      </c>
      <c r="P335" s="2" t="s">
        <v>278</v>
      </c>
      <c r="Q335" s="2" t="s">
        <v>279</v>
      </c>
      <c r="R335" s="2" t="s">
        <v>280</v>
      </c>
      <c r="S335" s="2"/>
      <c r="T335" s="2" t="s">
        <v>281</v>
      </c>
      <c r="U335" s="2"/>
    </row>
    <row r="336" spans="1:21" ht="43.5" customHeight="1" x14ac:dyDescent="0.5">
      <c r="A336" s="2" t="s">
        <v>1446</v>
      </c>
      <c r="B336" s="2" t="s">
        <v>142</v>
      </c>
      <c r="C336" s="2" t="s">
        <v>1363</v>
      </c>
      <c r="D336" s="2" t="s">
        <v>1421</v>
      </c>
      <c r="E336" s="2" t="s">
        <v>1365</v>
      </c>
      <c r="F336" s="2" t="s">
        <v>1422</v>
      </c>
      <c r="G336" s="2" t="s">
        <v>1367</v>
      </c>
      <c r="H336" s="2" t="s">
        <v>1447</v>
      </c>
      <c r="I336" s="2" t="s">
        <v>1369</v>
      </c>
      <c r="J336" s="2" t="s">
        <v>272</v>
      </c>
      <c r="K336" s="2" t="s">
        <v>273</v>
      </c>
      <c r="L336" s="2" t="s">
        <v>274</v>
      </c>
      <c r="M336" s="2" t="s">
        <v>1448</v>
      </c>
      <c r="N336" s="2" t="s">
        <v>276</v>
      </c>
      <c r="O336" s="2" t="s">
        <v>277</v>
      </c>
      <c r="P336" s="2" t="s">
        <v>278</v>
      </c>
      <c r="Q336" s="2" t="s">
        <v>279</v>
      </c>
      <c r="R336" s="2" t="s">
        <v>280</v>
      </c>
      <c r="S336" s="2"/>
      <c r="T336" s="2" t="s">
        <v>281</v>
      </c>
      <c r="U336" s="2"/>
    </row>
    <row r="337" spans="1:21" ht="43.5" customHeight="1" x14ac:dyDescent="0.5">
      <c r="A337" s="2" t="s">
        <v>1449</v>
      </c>
      <c r="B337" s="2" t="s">
        <v>144</v>
      </c>
      <c r="C337" s="2" t="s">
        <v>1450</v>
      </c>
      <c r="D337" s="2" t="s">
        <v>1451</v>
      </c>
      <c r="E337" s="2" t="s">
        <v>1427</v>
      </c>
      <c r="F337" s="2" t="s">
        <v>1452</v>
      </c>
      <c r="G337" s="2" t="s">
        <v>1367</v>
      </c>
      <c r="H337" s="2" t="s">
        <v>1453</v>
      </c>
      <c r="I337" s="2" t="s">
        <v>1369</v>
      </c>
      <c r="J337" s="2" t="s">
        <v>272</v>
      </c>
      <c r="K337" s="2" t="s">
        <v>273</v>
      </c>
      <c r="L337" s="2" t="s">
        <v>274</v>
      </c>
      <c r="M337" s="2" t="s">
        <v>1454</v>
      </c>
      <c r="N337" s="2" t="s">
        <v>276</v>
      </c>
      <c r="O337" s="2" t="s">
        <v>277</v>
      </c>
      <c r="P337" s="2" t="s">
        <v>278</v>
      </c>
      <c r="Q337" s="2" t="s">
        <v>279</v>
      </c>
      <c r="R337" s="2" t="s">
        <v>280</v>
      </c>
      <c r="S337" s="2"/>
      <c r="T337" s="2" t="s">
        <v>281</v>
      </c>
      <c r="U337" s="2"/>
    </row>
    <row r="338" spans="1:21" ht="43.5" customHeight="1" x14ac:dyDescent="0.5">
      <c r="A338" s="2" t="s">
        <v>1455</v>
      </c>
      <c r="B338" s="2" t="s">
        <v>147</v>
      </c>
      <c r="C338" s="2" t="s">
        <v>1363</v>
      </c>
      <c r="D338" s="2" t="s">
        <v>1426</v>
      </c>
      <c r="E338" s="2" t="s">
        <v>1427</v>
      </c>
      <c r="F338" s="2" t="s">
        <v>1428</v>
      </c>
      <c r="G338" s="2" t="s">
        <v>1367</v>
      </c>
      <c r="H338" s="2" t="s">
        <v>1456</v>
      </c>
      <c r="I338" s="2" t="s">
        <v>1369</v>
      </c>
      <c r="J338" s="2" t="s">
        <v>272</v>
      </c>
      <c r="K338" s="2" t="s">
        <v>273</v>
      </c>
      <c r="L338" s="2" t="s">
        <v>274</v>
      </c>
      <c r="M338" s="2" t="s">
        <v>1457</v>
      </c>
      <c r="N338" s="2" t="s">
        <v>276</v>
      </c>
      <c r="O338" s="2" t="s">
        <v>277</v>
      </c>
      <c r="P338" s="2" t="s">
        <v>278</v>
      </c>
      <c r="Q338" s="2" t="s">
        <v>279</v>
      </c>
      <c r="R338" s="2" t="s">
        <v>280</v>
      </c>
      <c r="S338" s="2"/>
      <c r="T338" s="2" t="s">
        <v>281</v>
      </c>
      <c r="U338" s="2"/>
    </row>
    <row r="339" spans="1:21" ht="43.5" customHeight="1" x14ac:dyDescent="0.5">
      <c r="A339" s="2" t="s">
        <v>1458</v>
      </c>
      <c r="B339" s="2" t="s">
        <v>149</v>
      </c>
      <c r="C339" s="2" t="s">
        <v>1363</v>
      </c>
      <c r="D339" s="2" t="s">
        <v>1426</v>
      </c>
      <c r="E339" s="2" t="s">
        <v>1427</v>
      </c>
      <c r="F339" s="2" t="s">
        <v>1428</v>
      </c>
      <c r="G339" s="2" t="s">
        <v>1367</v>
      </c>
      <c r="H339" s="2" t="s">
        <v>1459</v>
      </c>
      <c r="I339" s="2" t="s">
        <v>1369</v>
      </c>
      <c r="J339" s="2" t="s">
        <v>272</v>
      </c>
      <c r="K339" s="2" t="s">
        <v>273</v>
      </c>
      <c r="L339" s="2" t="s">
        <v>274</v>
      </c>
      <c r="M339" s="2" t="s">
        <v>1460</v>
      </c>
      <c r="N339" s="2" t="s">
        <v>276</v>
      </c>
      <c r="O339" s="2" t="s">
        <v>277</v>
      </c>
      <c r="P339" s="2" t="s">
        <v>278</v>
      </c>
      <c r="Q339" s="2" t="s">
        <v>279</v>
      </c>
      <c r="R339" s="2" t="s">
        <v>280</v>
      </c>
      <c r="S339" s="2"/>
      <c r="T339" s="2" t="s">
        <v>281</v>
      </c>
      <c r="U339" s="2"/>
    </row>
    <row r="340" spans="1:21" ht="43.5" customHeight="1" x14ac:dyDescent="0.5">
      <c r="A340" s="2" t="s">
        <v>1461</v>
      </c>
      <c r="B340" s="2" t="s">
        <v>131</v>
      </c>
      <c r="C340" s="2" t="s">
        <v>1462</v>
      </c>
      <c r="D340" s="2" t="s">
        <v>1463</v>
      </c>
      <c r="E340" s="2" t="s">
        <v>1464</v>
      </c>
      <c r="F340" s="2" t="s">
        <v>1465</v>
      </c>
      <c r="G340" s="2" t="s">
        <v>269</v>
      </c>
      <c r="H340" s="2" t="s">
        <v>1466</v>
      </c>
      <c r="I340" s="2" t="s">
        <v>1467</v>
      </c>
      <c r="J340" s="2" t="s">
        <v>272</v>
      </c>
      <c r="K340" s="2" t="s">
        <v>273</v>
      </c>
      <c r="L340" s="2" t="s">
        <v>274</v>
      </c>
      <c r="M340" s="2" t="s">
        <v>1468</v>
      </c>
      <c r="N340" s="2" t="s">
        <v>276</v>
      </c>
      <c r="O340" s="2" t="s">
        <v>277</v>
      </c>
      <c r="P340" s="2" t="s">
        <v>278</v>
      </c>
      <c r="Q340" s="2" t="s">
        <v>279</v>
      </c>
      <c r="R340" s="2" t="s">
        <v>280</v>
      </c>
      <c r="S340" s="2"/>
      <c r="T340" s="2" t="s">
        <v>281</v>
      </c>
      <c r="U340" s="2"/>
    </row>
    <row r="341" spans="1:21" ht="43.5" customHeight="1" x14ac:dyDescent="0.5">
      <c r="A341" s="2" t="s">
        <v>1469</v>
      </c>
      <c r="B341" s="2" t="s">
        <v>131</v>
      </c>
      <c r="C341" s="2" t="s">
        <v>1470</v>
      </c>
      <c r="D341" s="2" t="s">
        <v>1471</v>
      </c>
      <c r="E341" s="2" t="s">
        <v>1472</v>
      </c>
      <c r="F341" s="2" t="s">
        <v>1473</v>
      </c>
      <c r="G341" s="2" t="s">
        <v>1474</v>
      </c>
      <c r="H341" s="2" t="s">
        <v>1466</v>
      </c>
      <c r="I341" s="2" t="s">
        <v>307</v>
      </c>
      <c r="J341" s="2" t="s">
        <v>1475</v>
      </c>
      <c r="K341" s="2" t="s">
        <v>296</v>
      </c>
      <c r="L341" s="2" t="s">
        <v>297</v>
      </c>
      <c r="M341" s="2" t="s">
        <v>1476</v>
      </c>
      <c r="N341" s="2" t="s">
        <v>309</v>
      </c>
      <c r="O341" s="2" t="s">
        <v>310</v>
      </c>
      <c r="P341" s="2" t="s">
        <v>278</v>
      </c>
      <c r="Q341" s="2" t="s">
        <v>279</v>
      </c>
      <c r="R341" s="2" t="s">
        <v>280</v>
      </c>
      <c r="S341" s="2"/>
      <c r="T341" s="2" t="s">
        <v>281</v>
      </c>
      <c r="U341" s="2"/>
    </row>
    <row r="342" spans="1:21" ht="43.5" customHeight="1" x14ac:dyDescent="0.5">
      <c r="A342" s="2" t="s">
        <v>1477</v>
      </c>
      <c r="B342" s="2" t="s">
        <v>131</v>
      </c>
      <c r="C342" s="2" t="s">
        <v>1478</v>
      </c>
      <c r="D342" s="2" t="s">
        <v>1479</v>
      </c>
      <c r="E342" s="2" t="s">
        <v>1480</v>
      </c>
      <c r="F342" s="2" t="s">
        <v>1481</v>
      </c>
      <c r="G342" s="2" t="s">
        <v>1482</v>
      </c>
      <c r="H342" s="2" t="s">
        <v>1466</v>
      </c>
      <c r="I342" s="2" t="s">
        <v>1483</v>
      </c>
      <c r="J342" s="2" t="s">
        <v>272</v>
      </c>
      <c r="K342" s="2" t="s">
        <v>296</v>
      </c>
      <c r="L342" s="2" t="s">
        <v>297</v>
      </c>
      <c r="M342" s="2" t="s">
        <v>1484</v>
      </c>
      <c r="N342" s="2" t="s">
        <v>309</v>
      </c>
      <c r="O342" s="2" t="s">
        <v>310</v>
      </c>
      <c r="P342" s="2" t="s">
        <v>278</v>
      </c>
      <c r="Q342" s="2" t="s">
        <v>279</v>
      </c>
      <c r="R342" s="2" t="s">
        <v>280</v>
      </c>
      <c r="S342" s="2"/>
      <c r="T342" s="2" t="s">
        <v>281</v>
      </c>
      <c r="U342" s="2"/>
    </row>
    <row r="343" spans="1:21" ht="43.5" customHeight="1" x14ac:dyDescent="0.5">
      <c r="A343" s="2" t="s">
        <v>1485</v>
      </c>
      <c r="B343" s="2" t="s">
        <v>131</v>
      </c>
      <c r="C343" s="2" t="s">
        <v>1486</v>
      </c>
      <c r="D343" s="2" t="s">
        <v>1487</v>
      </c>
      <c r="E343" s="2" t="s">
        <v>1488</v>
      </c>
      <c r="F343" s="2" t="s">
        <v>1489</v>
      </c>
      <c r="G343" s="2" t="s">
        <v>1490</v>
      </c>
      <c r="H343" s="2" t="s">
        <v>1491</v>
      </c>
      <c r="I343" s="2" t="s">
        <v>307</v>
      </c>
      <c r="J343" s="2" t="s">
        <v>272</v>
      </c>
      <c r="K343" s="2" t="s">
        <v>296</v>
      </c>
      <c r="L343" s="2" t="s">
        <v>297</v>
      </c>
      <c r="M343" s="2" t="s">
        <v>1492</v>
      </c>
      <c r="N343" s="2" t="s">
        <v>309</v>
      </c>
      <c r="O343" s="2" t="s">
        <v>310</v>
      </c>
      <c r="P343" s="2" t="s">
        <v>278</v>
      </c>
      <c r="Q343" s="2" t="s">
        <v>279</v>
      </c>
      <c r="R343" s="2" t="s">
        <v>280</v>
      </c>
      <c r="S343" s="2"/>
      <c r="T343" s="2" t="s">
        <v>281</v>
      </c>
      <c r="U343" s="2"/>
    </row>
    <row r="344" spans="1:21" ht="43.5" customHeight="1" x14ac:dyDescent="0.5">
      <c r="A344" s="2" t="s">
        <v>1493</v>
      </c>
      <c r="B344" s="2" t="s">
        <v>131</v>
      </c>
      <c r="C344" s="2" t="s">
        <v>1494</v>
      </c>
      <c r="D344" s="2" t="s">
        <v>1495</v>
      </c>
      <c r="E344" s="2" t="s">
        <v>1496</v>
      </c>
      <c r="F344" s="2" t="s">
        <v>1497</v>
      </c>
      <c r="G344" s="2" t="s">
        <v>1498</v>
      </c>
      <c r="H344" s="2" t="s">
        <v>1499</v>
      </c>
      <c r="I344" s="2" t="s">
        <v>1500</v>
      </c>
      <c r="J344" s="2" t="s">
        <v>272</v>
      </c>
      <c r="K344" s="2" t="s">
        <v>296</v>
      </c>
      <c r="L344" s="2" t="s">
        <v>297</v>
      </c>
      <c r="M344" s="2" t="s">
        <v>1501</v>
      </c>
      <c r="N344" s="2" t="s">
        <v>309</v>
      </c>
      <c r="O344" s="2" t="s">
        <v>310</v>
      </c>
      <c r="P344" s="2" t="s">
        <v>278</v>
      </c>
      <c r="Q344" s="2" t="s">
        <v>279</v>
      </c>
      <c r="R344" s="2" t="s">
        <v>280</v>
      </c>
      <c r="S344" s="2"/>
      <c r="T344" s="2" t="s">
        <v>281</v>
      </c>
      <c r="U344" s="2"/>
    </row>
    <row r="345" spans="1:21" ht="43.5" customHeight="1" x14ac:dyDescent="0.5">
      <c r="A345" s="2" t="s">
        <v>1502</v>
      </c>
      <c r="B345" s="2" t="s">
        <v>131</v>
      </c>
      <c r="C345" s="2" t="s">
        <v>1503</v>
      </c>
      <c r="D345" s="2" t="s">
        <v>1504</v>
      </c>
      <c r="E345" s="2" t="s">
        <v>1505</v>
      </c>
      <c r="F345" s="2" t="s">
        <v>1506</v>
      </c>
      <c r="G345" s="2" t="s">
        <v>294</v>
      </c>
      <c r="H345" s="2" t="s">
        <v>1507</v>
      </c>
      <c r="I345" s="2" t="s">
        <v>1508</v>
      </c>
      <c r="J345" s="2" t="s">
        <v>272</v>
      </c>
      <c r="K345" s="2" t="s">
        <v>296</v>
      </c>
      <c r="L345" s="2" t="s">
        <v>297</v>
      </c>
      <c r="M345" s="2" t="s">
        <v>1509</v>
      </c>
      <c r="N345" s="2" t="s">
        <v>299</v>
      </c>
      <c r="O345" s="2" t="s">
        <v>300</v>
      </c>
      <c r="P345" s="2" t="s">
        <v>278</v>
      </c>
      <c r="Q345" s="2" t="s">
        <v>279</v>
      </c>
      <c r="R345" s="2" t="s">
        <v>280</v>
      </c>
      <c r="S345" s="2"/>
      <c r="T345" s="2" t="s">
        <v>281</v>
      </c>
      <c r="U345" s="2"/>
    </row>
    <row r="346" spans="1:21" ht="43.5" customHeight="1" x14ac:dyDescent="0.5">
      <c r="A346" s="2" t="s">
        <v>1510</v>
      </c>
      <c r="B346" s="2" t="s">
        <v>131</v>
      </c>
      <c r="C346" s="2" t="s">
        <v>1511</v>
      </c>
      <c r="D346" s="2" t="s">
        <v>1512</v>
      </c>
      <c r="E346" s="2" t="s">
        <v>1513</v>
      </c>
      <c r="F346" s="2" t="s">
        <v>1514</v>
      </c>
      <c r="G346" s="2" t="s">
        <v>269</v>
      </c>
      <c r="H346" s="2" t="s">
        <v>1466</v>
      </c>
      <c r="I346" s="2" t="s">
        <v>1515</v>
      </c>
      <c r="J346" s="2" t="s">
        <v>272</v>
      </c>
      <c r="K346" s="2" t="s">
        <v>273</v>
      </c>
      <c r="L346" s="2" t="s">
        <v>274</v>
      </c>
      <c r="M346" s="2" t="s">
        <v>1516</v>
      </c>
      <c r="N346" s="2" t="s">
        <v>276</v>
      </c>
      <c r="O346" s="2" t="s">
        <v>277</v>
      </c>
      <c r="P346" s="2" t="s">
        <v>278</v>
      </c>
      <c r="Q346" s="2" t="s">
        <v>279</v>
      </c>
      <c r="R346" s="2" t="s">
        <v>280</v>
      </c>
      <c r="S346" s="2"/>
      <c r="T346" s="2" t="s">
        <v>281</v>
      </c>
      <c r="U346" s="2"/>
    </row>
    <row r="347" spans="1:21" ht="43.5" customHeight="1" x14ac:dyDescent="0.5">
      <c r="A347" s="2" t="s">
        <v>1517</v>
      </c>
      <c r="B347" s="2" t="s">
        <v>140</v>
      </c>
      <c r="C347" s="2" t="s">
        <v>1518</v>
      </c>
      <c r="D347" s="2" t="s">
        <v>1519</v>
      </c>
      <c r="E347" s="2" t="s">
        <v>1520</v>
      </c>
      <c r="F347" s="2" t="s">
        <v>1521</v>
      </c>
      <c r="G347" s="2" t="s">
        <v>1522</v>
      </c>
      <c r="H347" s="2" t="s">
        <v>1523</v>
      </c>
      <c r="I347" s="2" t="s">
        <v>1524</v>
      </c>
      <c r="J347" s="2" t="s">
        <v>272</v>
      </c>
      <c r="K347" s="2" t="s">
        <v>296</v>
      </c>
      <c r="L347" s="2" t="s">
        <v>297</v>
      </c>
      <c r="M347" s="2" t="s">
        <v>1525</v>
      </c>
      <c r="N347" s="2" t="s">
        <v>309</v>
      </c>
      <c r="O347" s="2" t="s">
        <v>310</v>
      </c>
      <c r="P347" s="2" t="s">
        <v>278</v>
      </c>
      <c r="Q347" s="2" t="s">
        <v>279</v>
      </c>
      <c r="R347" s="2" t="s">
        <v>280</v>
      </c>
      <c r="S347" s="2"/>
      <c r="T347" s="2" t="s">
        <v>281</v>
      </c>
      <c r="U347" s="2"/>
    </row>
    <row r="348" spans="1:21" ht="43.5" customHeight="1" x14ac:dyDescent="0.5">
      <c r="A348" s="2" t="s">
        <v>1526</v>
      </c>
      <c r="B348" s="2" t="s">
        <v>140</v>
      </c>
      <c r="C348" s="2" t="s">
        <v>1527</v>
      </c>
      <c r="D348" s="2" t="s">
        <v>1528</v>
      </c>
      <c r="E348" s="2" t="s">
        <v>1529</v>
      </c>
      <c r="F348" s="2" t="s">
        <v>1530</v>
      </c>
      <c r="G348" s="2" t="s">
        <v>1490</v>
      </c>
      <c r="H348" s="2" t="s">
        <v>1531</v>
      </c>
      <c r="I348" s="2" t="s">
        <v>307</v>
      </c>
      <c r="J348" s="2" t="s">
        <v>272</v>
      </c>
      <c r="K348" s="2" t="s">
        <v>296</v>
      </c>
      <c r="L348" s="2" t="s">
        <v>297</v>
      </c>
      <c r="M348" s="2" t="s">
        <v>1532</v>
      </c>
      <c r="N348" s="2" t="s">
        <v>309</v>
      </c>
      <c r="O348" s="2" t="s">
        <v>310</v>
      </c>
      <c r="P348" s="2" t="s">
        <v>278</v>
      </c>
      <c r="Q348" s="2" t="s">
        <v>279</v>
      </c>
      <c r="R348" s="2" t="s">
        <v>280</v>
      </c>
      <c r="S348" s="2"/>
      <c r="T348" s="2" t="s">
        <v>281</v>
      </c>
      <c r="U348" s="2"/>
    </row>
    <row r="349" spans="1:21" ht="43.5" customHeight="1" x14ac:dyDescent="0.5">
      <c r="A349" s="2" t="s">
        <v>1533</v>
      </c>
      <c r="B349" s="2" t="s">
        <v>140</v>
      </c>
      <c r="C349" s="2" t="s">
        <v>1462</v>
      </c>
      <c r="D349" s="2" t="s">
        <v>1534</v>
      </c>
      <c r="E349" s="2" t="s">
        <v>1535</v>
      </c>
      <c r="F349" s="2" t="s">
        <v>1465</v>
      </c>
      <c r="G349" s="2" t="s">
        <v>269</v>
      </c>
      <c r="H349" s="2" t="s">
        <v>1536</v>
      </c>
      <c r="I349" s="2" t="s">
        <v>1467</v>
      </c>
      <c r="J349" s="2" t="s">
        <v>272</v>
      </c>
      <c r="K349" s="2" t="s">
        <v>273</v>
      </c>
      <c r="L349" s="2" t="s">
        <v>274</v>
      </c>
      <c r="M349" s="2" t="s">
        <v>1537</v>
      </c>
      <c r="N349" s="2" t="s">
        <v>276</v>
      </c>
      <c r="O349" s="2" t="s">
        <v>277</v>
      </c>
      <c r="P349" s="2" t="s">
        <v>278</v>
      </c>
      <c r="Q349" s="2" t="s">
        <v>279</v>
      </c>
      <c r="R349" s="2" t="s">
        <v>280</v>
      </c>
      <c r="S349" s="2"/>
      <c r="T349" s="2" t="s">
        <v>281</v>
      </c>
      <c r="U349" s="2"/>
    </row>
    <row r="350" spans="1:21" ht="43.5" customHeight="1" x14ac:dyDescent="0.5">
      <c r="A350" s="2" t="s">
        <v>1538</v>
      </c>
      <c r="B350" s="2" t="s">
        <v>140</v>
      </c>
      <c r="C350" s="2" t="s">
        <v>1511</v>
      </c>
      <c r="D350" s="2" t="s">
        <v>1539</v>
      </c>
      <c r="E350" s="2" t="s">
        <v>1513</v>
      </c>
      <c r="F350" s="2" t="s">
        <v>1540</v>
      </c>
      <c r="G350" s="2" t="s">
        <v>269</v>
      </c>
      <c r="H350" s="2" t="s">
        <v>1523</v>
      </c>
      <c r="I350" s="2" t="s">
        <v>1515</v>
      </c>
      <c r="J350" s="2" t="s">
        <v>272</v>
      </c>
      <c r="K350" s="2" t="s">
        <v>273</v>
      </c>
      <c r="L350" s="2" t="s">
        <v>274</v>
      </c>
      <c r="M350" s="2" t="s">
        <v>1541</v>
      </c>
      <c r="N350" s="2" t="s">
        <v>276</v>
      </c>
      <c r="O350" s="2" t="s">
        <v>277</v>
      </c>
      <c r="P350" s="2" t="s">
        <v>278</v>
      </c>
      <c r="Q350" s="2" t="s">
        <v>279</v>
      </c>
      <c r="R350" s="2" t="s">
        <v>280</v>
      </c>
      <c r="S350" s="2"/>
      <c r="T350" s="2" t="s">
        <v>281</v>
      </c>
      <c r="U350" s="2"/>
    </row>
    <row r="351" spans="1:21" ht="43.5" customHeight="1" x14ac:dyDescent="0.5">
      <c r="A351" s="2" t="s">
        <v>1542</v>
      </c>
      <c r="B351" s="2" t="s">
        <v>142</v>
      </c>
      <c r="C351" s="2" t="s">
        <v>1543</v>
      </c>
      <c r="D351" s="2" t="s">
        <v>1544</v>
      </c>
      <c r="E351" s="2" t="s">
        <v>1545</v>
      </c>
      <c r="F351" s="2" t="s">
        <v>1546</v>
      </c>
      <c r="G351" s="2" t="s">
        <v>269</v>
      </c>
      <c r="H351" s="2" t="s">
        <v>1547</v>
      </c>
      <c r="I351" s="2" t="s">
        <v>1548</v>
      </c>
      <c r="J351" s="2" t="s">
        <v>272</v>
      </c>
      <c r="K351" s="2" t="s">
        <v>273</v>
      </c>
      <c r="L351" s="2" t="s">
        <v>274</v>
      </c>
      <c r="M351" s="2" t="s">
        <v>1549</v>
      </c>
      <c r="N351" s="2" t="s">
        <v>276</v>
      </c>
      <c r="O351" s="2" t="s">
        <v>277</v>
      </c>
      <c r="P351" s="2" t="s">
        <v>278</v>
      </c>
      <c r="Q351" s="2" t="s">
        <v>279</v>
      </c>
      <c r="R351" s="2" t="s">
        <v>280</v>
      </c>
      <c r="S351" s="2"/>
      <c r="T351" s="2" t="s">
        <v>281</v>
      </c>
      <c r="U351" s="2"/>
    </row>
    <row r="352" spans="1:21" ht="43.5" customHeight="1" x14ac:dyDescent="0.5">
      <c r="A352" s="2" t="s">
        <v>1550</v>
      </c>
      <c r="B352" s="2" t="s">
        <v>142</v>
      </c>
      <c r="C352" s="2" t="s">
        <v>1551</v>
      </c>
      <c r="D352" s="2" t="s">
        <v>1552</v>
      </c>
      <c r="E352" s="2" t="s">
        <v>1553</v>
      </c>
      <c r="F352" s="2" t="s">
        <v>1554</v>
      </c>
      <c r="G352" s="2" t="s">
        <v>294</v>
      </c>
      <c r="H352" s="2" t="s">
        <v>1547</v>
      </c>
      <c r="I352" s="2" t="s">
        <v>1555</v>
      </c>
      <c r="J352" s="2" t="s">
        <v>272</v>
      </c>
      <c r="K352" s="2" t="s">
        <v>296</v>
      </c>
      <c r="L352" s="2" t="s">
        <v>297</v>
      </c>
      <c r="M352" s="2" t="s">
        <v>1556</v>
      </c>
      <c r="N352" s="2" t="s">
        <v>299</v>
      </c>
      <c r="O352" s="2" t="s">
        <v>300</v>
      </c>
      <c r="P352" s="2" t="s">
        <v>278</v>
      </c>
      <c r="Q352" s="2" t="s">
        <v>279</v>
      </c>
      <c r="R352" s="2" t="s">
        <v>280</v>
      </c>
      <c r="S352" s="2"/>
      <c r="T352" s="2" t="s">
        <v>281</v>
      </c>
      <c r="U352" s="2"/>
    </row>
    <row r="353" spans="1:21" ht="43.5" customHeight="1" x14ac:dyDescent="0.5">
      <c r="A353" s="2" t="s">
        <v>1557</v>
      </c>
      <c r="B353" s="2" t="s">
        <v>142</v>
      </c>
      <c r="C353" s="2" t="s">
        <v>1558</v>
      </c>
      <c r="D353" s="2" t="s">
        <v>1559</v>
      </c>
      <c r="E353" s="2" t="s">
        <v>1560</v>
      </c>
      <c r="F353" s="2" t="s">
        <v>1561</v>
      </c>
      <c r="G353" s="2" t="s">
        <v>1562</v>
      </c>
      <c r="H353" s="2" t="s">
        <v>1547</v>
      </c>
      <c r="I353" s="2" t="s">
        <v>1563</v>
      </c>
      <c r="J353" s="2" t="s">
        <v>272</v>
      </c>
      <c r="K353" s="2" t="s">
        <v>273</v>
      </c>
      <c r="L353" s="2" t="s">
        <v>274</v>
      </c>
      <c r="M353" s="2" t="s">
        <v>1564</v>
      </c>
      <c r="N353" s="2" t="s">
        <v>276</v>
      </c>
      <c r="O353" s="2" t="s">
        <v>277</v>
      </c>
      <c r="P353" s="2" t="s">
        <v>278</v>
      </c>
      <c r="Q353" s="2" t="s">
        <v>279</v>
      </c>
      <c r="R353" s="2" t="s">
        <v>280</v>
      </c>
      <c r="S353" s="2"/>
      <c r="T353" s="2" t="s">
        <v>281</v>
      </c>
      <c r="U353" s="2"/>
    </row>
    <row r="354" spans="1:21" ht="43.5" customHeight="1" x14ac:dyDescent="0.5">
      <c r="A354" s="2" t="s">
        <v>1565</v>
      </c>
      <c r="B354" s="2" t="s">
        <v>142</v>
      </c>
      <c r="C354" s="2" t="s">
        <v>1566</v>
      </c>
      <c r="D354" s="2" t="s">
        <v>1567</v>
      </c>
      <c r="E354" s="2" t="s">
        <v>1568</v>
      </c>
      <c r="F354" s="2" t="s">
        <v>1569</v>
      </c>
      <c r="G354" s="2" t="s">
        <v>1522</v>
      </c>
      <c r="H354" s="2" t="s">
        <v>1547</v>
      </c>
      <c r="I354" s="2" t="s">
        <v>307</v>
      </c>
      <c r="J354" s="2" t="s">
        <v>272</v>
      </c>
      <c r="K354" s="2" t="s">
        <v>296</v>
      </c>
      <c r="L354" s="2" t="s">
        <v>297</v>
      </c>
      <c r="M354" s="2" t="s">
        <v>1570</v>
      </c>
      <c r="N354" s="2" t="s">
        <v>309</v>
      </c>
      <c r="O354" s="2" t="s">
        <v>310</v>
      </c>
      <c r="P354" s="2" t="s">
        <v>278</v>
      </c>
      <c r="Q354" s="2" t="s">
        <v>279</v>
      </c>
      <c r="R354" s="2" t="s">
        <v>280</v>
      </c>
      <c r="S354" s="2"/>
      <c r="T354" s="2" t="s">
        <v>281</v>
      </c>
      <c r="U354" s="2"/>
    </row>
    <row r="355" spans="1:21" ht="43.5" customHeight="1" x14ac:dyDescent="0.5">
      <c r="A355" s="2" t="s">
        <v>1571</v>
      </c>
      <c r="B355" s="2" t="s">
        <v>142</v>
      </c>
      <c r="C355" s="2" t="s">
        <v>1572</v>
      </c>
      <c r="D355" s="2" t="s">
        <v>1573</v>
      </c>
      <c r="E355" s="2" t="s">
        <v>1574</v>
      </c>
      <c r="F355" s="2" t="s">
        <v>1497</v>
      </c>
      <c r="G355" s="2" t="s">
        <v>1575</v>
      </c>
      <c r="H355" s="2" t="s">
        <v>1547</v>
      </c>
      <c r="I355" s="2" t="s">
        <v>1576</v>
      </c>
      <c r="J355" s="2" t="s">
        <v>272</v>
      </c>
      <c r="K355" s="2" t="s">
        <v>296</v>
      </c>
      <c r="L355" s="2" t="s">
        <v>297</v>
      </c>
      <c r="M355" s="2" t="s">
        <v>1577</v>
      </c>
      <c r="N355" s="2" t="s">
        <v>299</v>
      </c>
      <c r="O355" s="2" t="s">
        <v>300</v>
      </c>
      <c r="P355" s="2" t="s">
        <v>278</v>
      </c>
      <c r="Q355" s="2" t="s">
        <v>279</v>
      </c>
      <c r="R355" s="2" t="s">
        <v>280</v>
      </c>
      <c r="S355" s="2"/>
      <c r="T355" s="2" t="s">
        <v>281</v>
      </c>
      <c r="U355" s="2"/>
    </row>
    <row r="356" spans="1:21" ht="43.5" customHeight="1" x14ac:dyDescent="0.5">
      <c r="A356" s="2" t="s">
        <v>1578</v>
      </c>
      <c r="B356" s="2" t="s">
        <v>142</v>
      </c>
      <c r="C356" s="2" t="s">
        <v>1579</v>
      </c>
      <c r="D356" s="2" t="s">
        <v>1580</v>
      </c>
      <c r="E356" s="2" t="s">
        <v>1581</v>
      </c>
      <c r="F356" s="2" t="s">
        <v>1497</v>
      </c>
      <c r="G356" s="2" t="s">
        <v>1474</v>
      </c>
      <c r="H356" s="2" t="s">
        <v>1547</v>
      </c>
      <c r="I356" s="2" t="s">
        <v>1582</v>
      </c>
      <c r="J356" s="2" t="s">
        <v>272</v>
      </c>
      <c r="K356" s="2" t="s">
        <v>296</v>
      </c>
      <c r="L356" s="2" t="s">
        <v>297</v>
      </c>
      <c r="M356" s="2" t="s">
        <v>1583</v>
      </c>
      <c r="N356" s="2" t="s">
        <v>309</v>
      </c>
      <c r="O356" s="2" t="s">
        <v>310</v>
      </c>
      <c r="P356" s="2" t="s">
        <v>278</v>
      </c>
      <c r="Q356" s="2" t="s">
        <v>279</v>
      </c>
      <c r="R356" s="2" t="s">
        <v>280</v>
      </c>
      <c r="S356" s="2"/>
      <c r="T356" s="2" t="s">
        <v>281</v>
      </c>
      <c r="U356" s="2"/>
    </row>
    <row r="357" spans="1:21" ht="43.5" customHeight="1" x14ac:dyDescent="0.5">
      <c r="A357" s="2" t="s">
        <v>1584</v>
      </c>
      <c r="B357" s="2" t="s">
        <v>142</v>
      </c>
      <c r="C357" s="2" t="s">
        <v>1511</v>
      </c>
      <c r="D357" s="2" t="s">
        <v>1585</v>
      </c>
      <c r="E357" s="2" t="s">
        <v>1586</v>
      </c>
      <c r="F357" s="2" t="s">
        <v>1587</v>
      </c>
      <c r="G357" s="2" t="s">
        <v>269</v>
      </c>
      <c r="H357" s="2" t="s">
        <v>1547</v>
      </c>
      <c r="I357" s="2" t="s">
        <v>1515</v>
      </c>
      <c r="J357" s="2" t="s">
        <v>272</v>
      </c>
      <c r="K357" s="2" t="s">
        <v>273</v>
      </c>
      <c r="L357" s="2" t="s">
        <v>274</v>
      </c>
      <c r="M357" s="2" t="s">
        <v>1588</v>
      </c>
      <c r="N357" s="2" t="s">
        <v>276</v>
      </c>
      <c r="O357" s="2" t="s">
        <v>277</v>
      </c>
      <c r="P357" s="2" t="s">
        <v>278</v>
      </c>
      <c r="Q357" s="2" t="s">
        <v>279</v>
      </c>
      <c r="R357" s="2" t="s">
        <v>280</v>
      </c>
      <c r="S357" s="2"/>
      <c r="T357" s="2" t="s">
        <v>281</v>
      </c>
      <c r="U357" s="2"/>
    </row>
    <row r="358" spans="1:21" ht="43.5" customHeight="1" x14ac:dyDescent="0.5">
      <c r="A358" s="2" t="s">
        <v>1589</v>
      </c>
      <c r="B358" s="2" t="s">
        <v>151</v>
      </c>
      <c r="C358" s="2" t="s">
        <v>1590</v>
      </c>
      <c r="D358" s="2" t="s">
        <v>1591</v>
      </c>
      <c r="E358" s="2" t="s">
        <v>1592</v>
      </c>
      <c r="F358" s="2" t="s">
        <v>1593</v>
      </c>
      <c r="G358" s="2" t="s">
        <v>1594</v>
      </c>
      <c r="H358" s="2" t="s">
        <v>164</v>
      </c>
      <c r="I358" s="2" t="s">
        <v>1595</v>
      </c>
      <c r="J358" s="2" t="s">
        <v>1596</v>
      </c>
      <c r="K358" s="2" t="s">
        <v>1597</v>
      </c>
      <c r="L358" s="2" t="s">
        <v>1598</v>
      </c>
      <c r="M358" s="2" t="s">
        <v>1599</v>
      </c>
      <c r="N358" s="2" t="s">
        <v>309</v>
      </c>
      <c r="O358" s="2" t="s">
        <v>310</v>
      </c>
      <c r="P358" s="2" t="s">
        <v>278</v>
      </c>
      <c r="Q358" s="2" t="s">
        <v>1600</v>
      </c>
      <c r="R358" s="2" t="s">
        <v>280</v>
      </c>
      <c r="S358" s="2"/>
      <c r="T358" s="2" t="s">
        <v>281</v>
      </c>
      <c r="U358" s="2"/>
    </row>
    <row r="359" spans="1:21" ht="43.5" customHeight="1" x14ac:dyDescent="0.5">
      <c r="A359" s="2" t="s">
        <v>1601</v>
      </c>
      <c r="B359" s="2" t="s">
        <v>155</v>
      </c>
      <c r="C359" s="2" t="s">
        <v>1602</v>
      </c>
      <c r="D359" s="2" t="s">
        <v>1603</v>
      </c>
      <c r="E359" s="2" t="s">
        <v>1604</v>
      </c>
      <c r="F359" s="2" t="s">
        <v>1593</v>
      </c>
      <c r="G359" s="2" t="s">
        <v>1605</v>
      </c>
      <c r="H359" s="2" t="s">
        <v>168</v>
      </c>
      <c r="I359" s="2" t="s">
        <v>307</v>
      </c>
      <c r="J359" s="2" t="s">
        <v>1596</v>
      </c>
      <c r="K359" s="2" t="s">
        <v>1597</v>
      </c>
      <c r="L359" s="2" t="s">
        <v>1598</v>
      </c>
      <c r="M359" s="2" t="s">
        <v>1606</v>
      </c>
      <c r="N359" s="2" t="s">
        <v>309</v>
      </c>
      <c r="O359" s="2" t="s">
        <v>310</v>
      </c>
      <c r="P359" s="2" t="s">
        <v>278</v>
      </c>
      <c r="Q359" s="2" t="s">
        <v>1600</v>
      </c>
      <c r="R359" s="2" t="s">
        <v>280</v>
      </c>
      <c r="S359" s="2"/>
      <c r="T359" s="2" t="s">
        <v>281</v>
      </c>
      <c r="U359" s="2"/>
    </row>
    <row r="360" spans="1:21" ht="43.5" customHeight="1" x14ac:dyDescent="0.5">
      <c r="A360" s="2" t="s">
        <v>1607</v>
      </c>
      <c r="B360" s="2" t="s">
        <v>131</v>
      </c>
      <c r="C360" s="2" t="s">
        <v>1608</v>
      </c>
      <c r="D360" s="2" t="s">
        <v>1609</v>
      </c>
      <c r="E360" s="2" t="s">
        <v>1610</v>
      </c>
      <c r="F360" s="2" t="s">
        <v>1611</v>
      </c>
      <c r="G360" s="2" t="s">
        <v>1612</v>
      </c>
      <c r="H360" s="2" t="s">
        <v>1613</v>
      </c>
      <c r="I360" s="2" t="s">
        <v>1614</v>
      </c>
      <c r="J360" s="2" t="s">
        <v>1475</v>
      </c>
      <c r="K360" s="2" t="s">
        <v>273</v>
      </c>
      <c r="L360" s="2" t="s">
        <v>274</v>
      </c>
      <c r="M360" s="2" t="s">
        <v>1615</v>
      </c>
      <c r="N360" s="2" t="s">
        <v>276</v>
      </c>
      <c r="O360" s="2" t="s">
        <v>1616</v>
      </c>
      <c r="P360" s="2" t="s">
        <v>278</v>
      </c>
      <c r="Q360" s="2" t="s">
        <v>1617</v>
      </c>
      <c r="R360" s="2" t="s">
        <v>280</v>
      </c>
      <c r="S360" s="2"/>
      <c r="T360" s="2" t="s">
        <v>281</v>
      </c>
      <c r="U360" s="2"/>
    </row>
    <row r="361" spans="1:21" ht="43.5" customHeight="1" x14ac:dyDescent="0.5">
      <c r="A361" s="2" t="s">
        <v>1618</v>
      </c>
      <c r="B361" s="2" t="s">
        <v>131</v>
      </c>
      <c r="C361" s="2" t="s">
        <v>1619</v>
      </c>
      <c r="D361" s="2" t="s">
        <v>1620</v>
      </c>
      <c r="E361" s="2" t="s">
        <v>1621</v>
      </c>
      <c r="F361" s="2" t="s">
        <v>1622</v>
      </c>
      <c r="G361" s="2" t="s">
        <v>1623</v>
      </c>
      <c r="H361" s="2" t="s">
        <v>1613</v>
      </c>
      <c r="I361" s="2" t="s">
        <v>1624</v>
      </c>
      <c r="J361" s="2" t="s">
        <v>1475</v>
      </c>
      <c r="K361" s="2" t="s">
        <v>296</v>
      </c>
      <c r="L361" s="2" t="s">
        <v>297</v>
      </c>
      <c r="M361" s="2" t="s">
        <v>1625</v>
      </c>
      <c r="N361" s="2" t="s">
        <v>299</v>
      </c>
      <c r="O361" s="2" t="s">
        <v>1626</v>
      </c>
      <c r="P361" s="2" t="s">
        <v>278</v>
      </c>
      <c r="Q361" s="2" t="s">
        <v>1627</v>
      </c>
      <c r="R361" s="2" t="s">
        <v>280</v>
      </c>
      <c r="S361" s="2"/>
      <c r="T361" s="2" t="s">
        <v>281</v>
      </c>
      <c r="U361" s="2"/>
    </row>
    <row r="362" spans="1:21" ht="43.5" customHeight="1" x14ac:dyDescent="0.5">
      <c r="A362" s="2" t="s">
        <v>1628</v>
      </c>
      <c r="B362" s="2" t="s">
        <v>140</v>
      </c>
      <c r="C362" s="2" t="s">
        <v>1608</v>
      </c>
      <c r="D362" s="2" t="s">
        <v>1629</v>
      </c>
      <c r="E362" s="2" t="s">
        <v>1610</v>
      </c>
      <c r="F362" s="2" t="s">
        <v>1630</v>
      </c>
      <c r="G362" s="2" t="s">
        <v>1612</v>
      </c>
      <c r="H362" s="2" t="s">
        <v>1631</v>
      </c>
      <c r="I362" s="2" t="s">
        <v>1614</v>
      </c>
      <c r="J362" s="2" t="s">
        <v>1475</v>
      </c>
      <c r="K362" s="2" t="s">
        <v>273</v>
      </c>
      <c r="L362" s="2" t="s">
        <v>274</v>
      </c>
      <c r="M362" s="2" t="s">
        <v>1632</v>
      </c>
      <c r="N362" s="2" t="s">
        <v>276</v>
      </c>
      <c r="O362" s="2" t="s">
        <v>1616</v>
      </c>
      <c r="P362" s="2" t="s">
        <v>278</v>
      </c>
      <c r="Q362" s="2" t="s">
        <v>1617</v>
      </c>
      <c r="R362" s="2" t="s">
        <v>280</v>
      </c>
      <c r="S362" s="2"/>
      <c r="T362" s="2" t="s">
        <v>281</v>
      </c>
      <c r="U362" s="2"/>
    </row>
    <row r="363" spans="1:21" ht="43.5" customHeight="1" x14ac:dyDescent="0.5">
      <c r="A363" s="2" t="s">
        <v>1633</v>
      </c>
      <c r="B363" s="2" t="s">
        <v>140</v>
      </c>
      <c r="C363" s="2" t="s">
        <v>1619</v>
      </c>
      <c r="D363" s="2" t="s">
        <v>1620</v>
      </c>
      <c r="E363" s="2" t="s">
        <v>1634</v>
      </c>
      <c r="F363" s="2" t="s">
        <v>1622</v>
      </c>
      <c r="G363" s="2" t="s">
        <v>1635</v>
      </c>
      <c r="H363" s="2" t="s">
        <v>1631</v>
      </c>
      <c r="I363" s="2" t="s">
        <v>1624</v>
      </c>
      <c r="J363" s="2" t="s">
        <v>1475</v>
      </c>
      <c r="K363" s="2" t="s">
        <v>296</v>
      </c>
      <c r="L363" s="2" t="s">
        <v>297</v>
      </c>
      <c r="M363" s="2" t="s">
        <v>1636</v>
      </c>
      <c r="N363" s="2" t="s">
        <v>299</v>
      </c>
      <c r="O363" s="2" t="s">
        <v>1626</v>
      </c>
      <c r="P363" s="2" t="s">
        <v>278</v>
      </c>
      <c r="Q363" s="2" t="s">
        <v>1627</v>
      </c>
      <c r="R363" s="2" t="s">
        <v>280</v>
      </c>
      <c r="S363" s="2"/>
      <c r="T363" s="2" t="s">
        <v>281</v>
      </c>
      <c r="U363" s="2"/>
    </row>
  </sheetData>
  <autoFilter ref="A1:W363" xr:uid="{00000000-0009-0000-0000-000006000000}"/>
  <conditionalFormatting sqref="V2:V363">
    <cfRule type="expression" dxfId="2" priority="2">
      <formula>V2="PASS"</formula>
    </cfRule>
    <cfRule type="expression" dxfId="1" priority="3">
      <formula>V2="FAIL"</formula>
    </cfRule>
  </conditionalFormatting>
  <dataValidations count="1">
    <dataValidation type="list" errorTitle="Invalid execution status" error="Use the controlled execution status list." sqref="V2:V363" xr:uid="{00000000-0002-0000-0600-000000000000}">
      <formula1>"NOT_EXECUTED,PASS,FAIL,BLOCKED"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03125" defaultRowHeight="14.35" x14ac:dyDescent="0.5"/>
  <cols>
    <col min="1" max="1" width="31" customWidth="1"/>
    <col min="2" max="2" width="45" customWidth="1"/>
    <col min="3" max="3" width="74" customWidth="1"/>
    <col min="4" max="4" width="66" customWidth="1"/>
    <col min="5" max="5" width="34" customWidth="1"/>
    <col min="6" max="6" width="78" customWidth="1"/>
    <col min="7" max="7" width="27" customWidth="1"/>
  </cols>
  <sheetData>
    <row r="1" spans="1:7" ht="30" customHeight="1" x14ac:dyDescent="0.5">
      <c r="A1" s="1" t="s">
        <v>1637</v>
      </c>
      <c r="B1" s="1" t="s">
        <v>1638</v>
      </c>
      <c r="C1" s="1" t="s">
        <v>1639</v>
      </c>
      <c r="D1" s="1" t="s">
        <v>1640</v>
      </c>
      <c r="E1" s="1" t="s">
        <v>1641</v>
      </c>
      <c r="F1" s="1" t="s">
        <v>1642</v>
      </c>
      <c r="G1" s="1" t="s">
        <v>6</v>
      </c>
    </row>
    <row r="2" spans="1:7" ht="33.75" customHeight="1" x14ac:dyDescent="0.5">
      <c r="A2" s="2" t="s">
        <v>274</v>
      </c>
      <c r="B2" s="2" t="s">
        <v>1643</v>
      </c>
      <c r="C2" s="2" t="s">
        <v>1644</v>
      </c>
      <c r="D2" s="2" t="s">
        <v>1645</v>
      </c>
      <c r="E2" s="2" t="s">
        <v>1646</v>
      </c>
      <c r="F2" s="2" t="s">
        <v>1647</v>
      </c>
      <c r="G2" s="3" t="s">
        <v>1648</v>
      </c>
    </row>
    <row r="3" spans="1:7" ht="33.75" customHeight="1" x14ac:dyDescent="0.5">
      <c r="A3" s="2" t="s">
        <v>297</v>
      </c>
      <c r="B3" s="2" t="s">
        <v>1649</v>
      </c>
      <c r="C3" s="2" t="s">
        <v>1650</v>
      </c>
      <c r="D3" s="2" t="s">
        <v>1651</v>
      </c>
      <c r="E3" s="2" t="s">
        <v>1646</v>
      </c>
      <c r="F3" s="2" t="s">
        <v>1652</v>
      </c>
      <c r="G3" s="3" t="s">
        <v>1653</v>
      </c>
    </row>
    <row r="4" spans="1:7" ht="33.75" customHeight="1" x14ac:dyDescent="0.5">
      <c r="A4" s="2" t="s">
        <v>1598</v>
      </c>
      <c r="B4" s="2" t="s">
        <v>1654</v>
      </c>
      <c r="C4" s="2" t="s">
        <v>1655</v>
      </c>
      <c r="D4" s="2" t="s">
        <v>1656</v>
      </c>
      <c r="E4" s="2" t="s">
        <v>1657</v>
      </c>
      <c r="F4" s="2" t="s">
        <v>1658</v>
      </c>
      <c r="G4" s="3" t="s">
        <v>1659</v>
      </c>
    </row>
  </sheetData>
  <autoFilter ref="A1:G4" xr:uid="{00000000-0009-0000-0000-000007000000}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0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03125" defaultRowHeight="14.35" x14ac:dyDescent="0.5"/>
  <cols>
    <col min="1" max="1" width="34" customWidth="1"/>
    <col min="2" max="2" width="19" customWidth="1"/>
    <col min="3" max="3" width="15" customWidth="1"/>
    <col min="4" max="4" width="16" customWidth="1"/>
    <col min="5" max="5" width="65" customWidth="1"/>
  </cols>
  <sheetData>
    <row r="1" spans="1:5" ht="30" customHeight="1" x14ac:dyDescent="0.5">
      <c r="A1" s="1" t="s">
        <v>1660</v>
      </c>
      <c r="B1" s="1" t="s">
        <v>1661</v>
      </c>
      <c r="C1" s="1" t="s">
        <v>1662</v>
      </c>
      <c r="D1" s="1" t="s">
        <v>1663</v>
      </c>
      <c r="E1" s="1" t="s">
        <v>1664</v>
      </c>
    </row>
    <row r="2" spans="1:5" ht="33.75" customHeight="1" x14ac:dyDescent="0.5">
      <c r="A2" s="2" t="s">
        <v>1665</v>
      </c>
      <c r="B2" s="2">
        <f>COUNTA('TDD Cases'!A2:A363)</f>
        <v>362</v>
      </c>
      <c r="C2" s="2">
        <v>362</v>
      </c>
      <c r="D2" s="2">
        <f t="shared" ref="D2:D20" si="0">B2-C2</f>
        <v>0</v>
      </c>
      <c r="E2" s="2" t="s">
        <v>1666</v>
      </c>
    </row>
    <row r="3" spans="1:5" ht="33.75" customHeight="1" x14ac:dyDescent="0.5">
      <c r="A3" s="2" t="s">
        <v>1667</v>
      </c>
      <c r="B3" s="2">
        <f>COUNTIF('TDD Cases'!J2:J363,"&lt;&gt;OUT_OF_SCOPE_CONFIRMED")</f>
        <v>360</v>
      </c>
      <c r="C3" s="2">
        <v>360</v>
      </c>
      <c r="D3" s="2">
        <f t="shared" si="0"/>
        <v>0</v>
      </c>
      <c r="E3" s="2" t="s">
        <v>1668</v>
      </c>
    </row>
    <row r="4" spans="1:5" ht="33.75" customHeight="1" x14ac:dyDescent="0.5">
      <c r="A4" s="2" t="s">
        <v>1669</v>
      </c>
      <c r="B4" s="2">
        <f>COUNTIF('TDD Cases'!J2:J363,"OUT_OF_SCOPE_CONFIRMED")</f>
        <v>2</v>
      </c>
      <c r="C4" s="2">
        <v>2</v>
      </c>
      <c r="D4" s="2">
        <f t="shared" si="0"/>
        <v>0</v>
      </c>
      <c r="E4" s="2" t="s">
        <v>1670</v>
      </c>
    </row>
    <row r="5" spans="1:5" ht="33.75" customHeight="1" x14ac:dyDescent="0.5">
      <c r="A5" s="2" t="s">
        <v>1671</v>
      </c>
      <c r="B5" s="2">
        <f>COUNTIF('TDD Cases'!K2:K363,"POSITIVE")</f>
        <v>152</v>
      </c>
      <c r="C5" s="2">
        <v>152</v>
      </c>
      <c r="D5" s="2">
        <f t="shared" si="0"/>
        <v>0</v>
      </c>
      <c r="E5" s="2" t="s">
        <v>1672</v>
      </c>
    </row>
    <row r="6" spans="1:5" ht="33.75" customHeight="1" x14ac:dyDescent="0.5">
      <c r="A6" s="2" t="s">
        <v>1673</v>
      </c>
      <c r="B6" s="2">
        <f>COUNTIF('TDD Cases'!K2:K363,"NEGATIVE")</f>
        <v>208</v>
      </c>
      <c r="C6" s="2">
        <v>208</v>
      </c>
      <c r="D6" s="2">
        <f t="shared" si="0"/>
        <v>0</v>
      </c>
      <c r="E6" s="2" t="s">
        <v>1674</v>
      </c>
    </row>
    <row r="7" spans="1:5" ht="33.75" customHeight="1" x14ac:dyDescent="0.5">
      <c r="A7" s="2" t="s">
        <v>1675</v>
      </c>
      <c r="B7" s="2">
        <f>COUNTIF('TDD Cases'!K2:K363,"BOUNDARY")</f>
        <v>2</v>
      </c>
      <c r="C7" s="2">
        <v>2</v>
      </c>
      <c r="D7" s="2">
        <f t="shared" si="0"/>
        <v>0</v>
      </c>
      <c r="E7" s="2" t="s">
        <v>1676</v>
      </c>
    </row>
    <row r="8" spans="1:5" ht="33.75" customHeight="1" x14ac:dyDescent="0.5">
      <c r="A8" s="2" t="s">
        <v>1677</v>
      </c>
      <c r="B8" s="2">
        <f>B2-SUM(B5:B7)</f>
        <v>0</v>
      </c>
      <c r="C8" s="2">
        <v>0</v>
      </c>
      <c r="D8" s="2">
        <f t="shared" si="0"/>
        <v>0</v>
      </c>
      <c r="E8" s="2" t="s">
        <v>1678</v>
      </c>
    </row>
    <row r="9" spans="1:5" ht="33.75" customHeight="1" x14ac:dyDescent="0.5">
      <c r="A9" s="2" t="s">
        <v>1679</v>
      </c>
      <c r="B9" s="2">
        <f>COUNTIF('TDD Cases'!T2:T363,"NOT_EXECUTED")</f>
        <v>362</v>
      </c>
      <c r="C9" s="2">
        <v>362</v>
      </c>
      <c r="D9" s="2">
        <f t="shared" si="0"/>
        <v>0</v>
      </c>
      <c r="E9" s="2" t="s">
        <v>1680</v>
      </c>
    </row>
    <row r="10" spans="1:5" ht="33.75" customHeight="1" x14ac:dyDescent="0.5">
      <c r="A10" s="2" t="s">
        <v>1681</v>
      </c>
      <c r="B10" s="2">
        <f>COUNTIF('TDD Cases'!T2:T363,"PASS")</f>
        <v>0</v>
      </c>
      <c r="C10" s="2">
        <v>0</v>
      </c>
      <c r="D10" s="2">
        <f t="shared" si="0"/>
        <v>0</v>
      </c>
      <c r="E10" s="2" t="s">
        <v>1682</v>
      </c>
    </row>
    <row r="11" spans="1:5" ht="33.75" customHeight="1" x14ac:dyDescent="0.5">
      <c r="A11" s="2" t="s">
        <v>1683</v>
      </c>
      <c r="B11" s="2">
        <f>COUNTIF('TDD Cases'!T2:T363,"FAIL")</f>
        <v>0</v>
      </c>
      <c r="C11" s="2">
        <v>0</v>
      </c>
      <c r="D11" s="2">
        <f t="shared" si="0"/>
        <v>0</v>
      </c>
      <c r="E11" s="2" t="s">
        <v>1682</v>
      </c>
    </row>
    <row r="12" spans="1:5" ht="33.75" customHeight="1" x14ac:dyDescent="0.5">
      <c r="A12" s="2" t="s">
        <v>1684</v>
      </c>
      <c r="B12" s="2">
        <f>COUNTIF('TDD Cases'!T2:T363,"BLOCKED")</f>
        <v>0</v>
      </c>
      <c r="C12" s="2">
        <v>0</v>
      </c>
      <c r="D12" s="2">
        <f t="shared" si="0"/>
        <v>0</v>
      </c>
      <c r="E12" s="2" t="s">
        <v>1685</v>
      </c>
    </row>
    <row r="13" spans="1:5" ht="33.75" customHeight="1" x14ac:dyDescent="0.5">
      <c r="A13" s="2" t="s">
        <v>1686</v>
      </c>
      <c r="B13" s="2">
        <f>B2-SUM(B9:B12)</f>
        <v>0</v>
      </c>
      <c r="C13" s="2">
        <v>0</v>
      </c>
      <c r="D13" s="2">
        <f t="shared" si="0"/>
        <v>0</v>
      </c>
      <c r="E13" s="2" t="s">
        <v>1678</v>
      </c>
    </row>
    <row r="14" spans="1:5" ht="33.75" customHeight="1" x14ac:dyDescent="0.5">
      <c r="A14" s="2" t="s">
        <v>1687</v>
      </c>
      <c r="B14" s="2">
        <f>COUNTIF(Scope!G2:G28,"IN_SCOPE*")</f>
        <v>25</v>
      </c>
      <c r="C14" s="2">
        <v>25</v>
      </c>
      <c r="D14" s="2">
        <f t="shared" si="0"/>
        <v>0</v>
      </c>
      <c r="E14" s="2" t="s">
        <v>1688</v>
      </c>
    </row>
    <row r="15" spans="1:5" ht="33.75" customHeight="1" x14ac:dyDescent="0.5">
      <c r="A15" s="2" t="s">
        <v>1689</v>
      </c>
      <c r="B15" s="2">
        <f>COUNTA('Scenario Registry'!A2:A54)</f>
        <v>53</v>
      </c>
      <c r="C15" s="2">
        <v>53</v>
      </c>
      <c r="D15" s="2">
        <f t="shared" si="0"/>
        <v>0</v>
      </c>
      <c r="E15" s="2" t="s">
        <v>1690</v>
      </c>
    </row>
    <row r="16" spans="1:5" ht="33.75" customHeight="1" x14ac:dyDescent="0.5">
      <c r="A16" s="2" t="s">
        <v>1691</v>
      </c>
      <c r="B16" s="2">
        <f>COUNTA('Confirmed Rules'!A2:A165)</f>
        <v>164</v>
      </c>
      <c r="C16" s="2">
        <v>164</v>
      </c>
      <c r="D16" s="2">
        <f t="shared" si="0"/>
        <v>0</v>
      </c>
      <c r="E16" s="2" t="s">
        <v>1692</v>
      </c>
    </row>
    <row r="17" spans="1:5" ht="33.75" customHeight="1" x14ac:dyDescent="0.5">
      <c r="A17" s="2" t="s">
        <v>1693</v>
      </c>
      <c r="B17" s="2">
        <f>COUNTIF('Confirmed Rules'!H2:H165,"HYBRID_CONDITIONAL_SSI")</f>
        <v>2</v>
      </c>
      <c r="C17" s="2">
        <v>2</v>
      </c>
      <c r="D17" s="2">
        <f t="shared" si="0"/>
        <v>0</v>
      </c>
      <c r="E17" s="2" t="s">
        <v>1694</v>
      </c>
    </row>
    <row r="18" spans="1:5" ht="33.75" customHeight="1" x14ac:dyDescent="0.5">
      <c r="A18" s="2" t="s">
        <v>1695</v>
      </c>
      <c r="B18" s="2">
        <f>COUNTIF('BA Open Decisions'!G2:G8,"OPEN")</f>
        <v>7</v>
      </c>
      <c r="C18" s="2">
        <v>7</v>
      </c>
      <c r="D18" s="2">
        <f t="shared" si="0"/>
        <v>0</v>
      </c>
      <c r="E18" s="2" t="s">
        <v>1696</v>
      </c>
    </row>
    <row r="19" spans="1:5" ht="33.75" customHeight="1" x14ac:dyDescent="0.5">
      <c r="A19" s="2" t="s">
        <v>1697</v>
      </c>
      <c r="B19" s="2">
        <f>COUNTA('Fixture Manifest'!A2:A363)</f>
        <v>362</v>
      </c>
      <c r="C19" s="2">
        <v>362</v>
      </c>
      <c r="D19" s="2">
        <f t="shared" si="0"/>
        <v>0</v>
      </c>
      <c r="E19" s="2" t="s">
        <v>1698</v>
      </c>
    </row>
    <row r="20" spans="1:5" ht="33.75" customHeight="1" x14ac:dyDescent="0.5">
      <c r="A20" s="2" t="s">
        <v>1699</v>
      </c>
      <c r="B20" s="2">
        <f>COUNTIF(D2:D19,"&lt;&gt;0")</f>
        <v>0</v>
      </c>
      <c r="C20" s="2">
        <v>0</v>
      </c>
      <c r="D20" s="2">
        <f t="shared" si="0"/>
        <v>0</v>
      </c>
      <c r="E20" s="2" t="s">
        <v>1678</v>
      </c>
    </row>
  </sheetData>
  <autoFilter ref="A1:E20" xr:uid="{00000000-0009-0000-0000-000008000000}"/>
  <conditionalFormatting sqref="D2:D20">
    <cfRule type="expression" dxfId="0" priority="2">
      <formula>D2&lt;&gt;0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3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03125" defaultRowHeight="14.35" x14ac:dyDescent="0.5"/>
  <cols>
    <col min="1" max="1" width="16" customWidth="1"/>
    <col min="2" max="2" width="63" customWidth="1"/>
    <col min="3" max="3" width="70" customWidth="1"/>
    <col min="4" max="4" width="68" customWidth="1"/>
    <col min="5" max="5" width="55" customWidth="1"/>
  </cols>
  <sheetData>
    <row r="1" spans="1:5" ht="30" customHeight="1" x14ac:dyDescent="0.5">
      <c r="A1" s="1" t="s">
        <v>1700</v>
      </c>
      <c r="B1" s="1" t="s">
        <v>1701</v>
      </c>
      <c r="C1" s="1" t="s">
        <v>1702</v>
      </c>
      <c r="D1" s="1" t="s">
        <v>1703</v>
      </c>
      <c r="E1" s="1" t="s">
        <v>1704</v>
      </c>
    </row>
    <row r="2" spans="1:5" ht="33.75" customHeight="1" x14ac:dyDescent="0.5">
      <c r="A2" s="2" t="s">
        <v>1705</v>
      </c>
      <c r="B2" s="2" t="s">
        <v>1706</v>
      </c>
      <c r="C2" s="2" t="s">
        <v>1707</v>
      </c>
      <c r="D2" s="2" t="s">
        <v>1708</v>
      </c>
      <c r="E2" s="2" t="s">
        <v>1709</v>
      </c>
    </row>
    <row r="3" spans="1:5" ht="33.75" customHeight="1" x14ac:dyDescent="0.5">
      <c r="A3" s="2" t="s">
        <v>1710</v>
      </c>
      <c r="B3" s="2" t="s">
        <v>1711</v>
      </c>
      <c r="C3" s="2" t="s">
        <v>1707</v>
      </c>
      <c r="D3" s="2" t="s">
        <v>1712</v>
      </c>
      <c r="E3" s="2" t="s">
        <v>1709</v>
      </c>
    </row>
    <row r="4" spans="1:5" ht="33.75" customHeight="1" x14ac:dyDescent="0.5">
      <c r="A4" s="2" t="s">
        <v>1713</v>
      </c>
      <c r="B4" s="2" t="s">
        <v>1714</v>
      </c>
      <c r="C4" s="2" t="s">
        <v>1715</v>
      </c>
      <c r="D4" s="2" t="s">
        <v>1716</v>
      </c>
      <c r="E4" s="2" t="s">
        <v>1717</v>
      </c>
    </row>
    <row r="5" spans="1:5" ht="33.75" customHeight="1" x14ac:dyDescent="0.5">
      <c r="A5" s="2" t="s">
        <v>1718</v>
      </c>
      <c r="B5" s="2" t="s">
        <v>1719</v>
      </c>
      <c r="C5" s="2" t="s">
        <v>1720</v>
      </c>
      <c r="D5" s="2" t="s">
        <v>1721</v>
      </c>
      <c r="E5" s="2" t="s">
        <v>1722</v>
      </c>
    </row>
    <row r="6" spans="1:5" ht="33.75" customHeight="1" x14ac:dyDescent="0.5">
      <c r="A6" s="2" t="s">
        <v>1723</v>
      </c>
      <c r="B6" s="2" t="s">
        <v>1724</v>
      </c>
      <c r="C6" s="2" t="s">
        <v>1725</v>
      </c>
      <c r="D6" s="2" t="s">
        <v>1726</v>
      </c>
      <c r="E6" s="2" t="s">
        <v>1727</v>
      </c>
    </row>
    <row r="7" spans="1:5" ht="33.75" customHeight="1" x14ac:dyDescent="0.5">
      <c r="A7" s="2" t="s">
        <v>1728</v>
      </c>
      <c r="B7" s="2" t="s">
        <v>1729</v>
      </c>
      <c r="C7" s="2" t="s">
        <v>1730</v>
      </c>
      <c r="D7" s="2" t="s">
        <v>1731</v>
      </c>
      <c r="E7" s="2" t="s">
        <v>1732</v>
      </c>
    </row>
    <row r="8" spans="1:5" ht="33.75" customHeight="1" x14ac:dyDescent="0.5">
      <c r="A8" s="2" t="s">
        <v>1733</v>
      </c>
      <c r="B8" s="2" t="s">
        <v>1734</v>
      </c>
      <c r="C8" s="2" t="s">
        <v>1735</v>
      </c>
      <c r="D8" s="2" t="s">
        <v>1736</v>
      </c>
      <c r="E8" s="2" t="s">
        <v>238</v>
      </c>
    </row>
    <row r="9" spans="1:5" ht="33.75" customHeight="1" x14ac:dyDescent="0.5">
      <c r="A9" s="2" t="s">
        <v>1737</v>
      </c>
      <c r="B9" s="2" t="s">
        <v>1738</v>
      </c>
      <c r="C9" s="2" t="s">
        <v>1739</v>
      </c>
      <c r="D9" s="2" t="s">
        <v>1740</v>
      </c>
      <c r="E9" s="2" t="s">
        <v>1741</v>
      </c>
    </row>
    <row r="10" spans="1:5" ht="33.75" customHeight="1" x14ac:dyDescent="0.5">
      <c r="A10" s="2" t="s">
        <v>1742</v>
      </c>
      <c r="B10" s="2" t="s">
        <v>1743</v>
      </c>
      <c r="C10" s="2" t="s">
        <v>1744</v>
      </c>
      <c r="D10" s="2" t="s">
        <v>1745</v>
      </c>
      <c r="E10" s="2" t="s">
        <v>1746</v>
      </c>
    </row>
    <row r="11" spans="1:5" ht="33.75" customHeight="1" x14ac:dyDescent="0.5">
      <c r="A11" s="2" t="s">
        <v>1747</v>
      </c>
      <c r="B11" s="2" t="s">
        <v>1748</v>
      </c>
      <c r="C11" s="2" t="s">
        <v>1749</v>
      </c>
      <c r="D11" s="2" t="s">
        <v>1750</v>
      </c>
      <c r="E11" s="2" t="s">
        <v>1751</v>
      </c>
    </row>
    <row r="12" spans="1:5" ht="33.75" customHeight="1" x14ac:dyDescent="0.5">
      <c r="A12" s="2" t="s">
        <v>1752</v>
      </c>
      <c r="B12" s="2" t="s">
        <v>1753</v>
      </c>
      <c r="C12" s="2" t="s">
        <v>1754</v>
      </c>
      <c r="D12" s="2" t="s">
        <v>1755</v>
      </c>
      <c r="E12" s="2" t="s">
        <v>1756</v>
      </c>
    </row>
    <row r="13" spans="1:5" ht="33.75" customHeight="1" x14ac:dyDescent="0.5">
      <c r="A13" s="2" t="s">
        <v>1757</v>
      </c>
      <c r="B13" s="2" t="s">
        <v>1758</v>
      </c>
      <c r="C13" s="2" t="s">
        <v>1759</v>
      </c>
      <c r="D13" s="2" t="s">
        <v>1755</v>
      </c>
      <c r="E13" s="2" t="s">
        <v>1760</v>
      </c>
    </row>
  </sheetData>
  <autoFilter ref="A1:E13" xr:uid="{00000000-0009-0000-0000-000009000000}"/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63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03125" defaultRowHeight="14.35" x14ac:dyDescent="0.5"/>
  <cols>
    <col min="1" max="1" width="17" customWidth="1"/>
    <col min="2" max="2" width="24" customWidth="1"/>
    <col min="3" max="3" width="28" customWidth="1"/>
    <col min="4" max="4" width="78" customWidth="1"/>
    <col min="5" max="5" width="58" customWidth="1"/>
    <col min="6" max="6" width="42" customWidth="1"/>
    <col min="7" max="7" width="48" customWidth="1"/>
    <col min="8" max="8" width="40" customWidth="1"/>
    <col min="9" max="9" width="42" customWidth="1"/>
    <col min="10" max="10" width="70" customWidth="1"/>
    <col min="11" max="11" width="35" customWidth="1"/>
  </cols>
  <sheetData>
    <row r="1" spans="1:11" ht="30" customHeight="1" x14ac:dyDescent="0.5">
      <c r="A1" s="1" t="s">
        <v>244</v>
      </c>
      <c r="B1" s="1" t="s">
        <v>1761</v>
      </c>
      <c r="C1" s="1" t="s">
        <v>254</v>
      </c>
      <c r="D1" s="1" t="s">
        <v>1762</v>
      </c>
      <c r="E1" s="1" t="s">
        <v>1763</v>
      </c>
      <c r="F1" s="1" t="s">
        <v>1764</v>
      </c>
      <c r="G1" s="1" t="s">
        <v>1765</v>
      </c>
      <c r="H1" s="1" t="s">
        <v>1766</v>
      </c>
      <c r="I1" s="1" t="s">
        <v>1767</v>
      </c>
      <c r="J1" s="1" t="s">
        <v>1768</v>
      </c>
      <c r="K1" s="1" t="s">
        <v>1769</v>
      </c>
    </row>
    <row r="2" spans="1:11" ht="43.5" customHeight="1" x14ac:dyDescent="0.5">
      <c r="A2" s="2" t="s">
        <v>264</v>
      </c>
      <c r="B2" s="2" t="s">
        <v>1770</v>
      </c>
      <c r="C2" s="2" t="s">
        <v>274</v>
      </c>
      <c r="D2" s="2" t="s">
        <v>1771</v>
      </c>
      <c r="E2" s="2" t="s">
        <v>1772</v>
      </c>
      <c r="F2" s="2" t="s">
        <v>1773</v>
      </c>
      <c r="G2" s="2" t="s">
        <v>1774</v>
      </c>
      <c r="H2" s="2" t="s">
        <v>1775</v>
      </c>
      <c r="I2" s="2" t="s">
        <v>1776</v>
      </c>
      <c r="J2" s="2" t="s">
        <v>1777</v>
      </c>
      <c r="K2" s="2" t="s">
        <v>1778</v>
      </c>
    </row>
    <row r="3" spans="1:11" ht="43.5" customHeight="1" x14ac:dyDescent="0.5">
      <c r="A3" s="2" t="s">
        <v>282</v>
      </c>
      <c r="B3" s="2" t="s">
        <v>1779</v>
      </c>
      <c r="C3" s="2" t="s">
        <v>274</v>
      </c>
      <c r="D3" s="2" t="s">
        <v>1771</v>
      </c>
      <c r="E3" s="2" t="s">
        <v>1780</v>
      </c>
      <c r="F3" s="2" t="s">
        <v>1781</v>
      </c>
      <c r="G3" s="2" t="s">
        <v>1782</v>
      </c>
      <c r="H3" s="2" t="s">
        <v>1783</v>
      </c>
      <c r="I3" s="2" t="s">
        <v>1784</v>
      </c>
      <c r="J3" s="2" t="s">
        <v>1777</v>
      </c>
      <c r="K3" s="2" t="s">
        <v>1778</v>
      </c>
    </row>
    <row r="4" spans="1:11" ht="43.5" customHeight="1" x14ac:dyDescent="0.5">
      <c r="A4" s="2" t="s">
        <v>289</v>
      </c>
      <c r="B4" s="2" t="s">
        <v>1785</v>
      </c>
      <c r="C4" s="2" t="s">
        <v>297</v>
      </c>
      <c r="D4" s="2" t="s">
        <v>1771</v>
      </c>
      <c r="E4" s="2" t="s">
        <v>1786</v>
      </c>
      <c r="F4" s="2" t="s">
        <v>1787</v>
      </c>
      <c r="G4" s="2" t="s">
        <v>1788</v>
      </c>
      <c r="H4" s="2" t="s">
        <v>1789</v>
      </c>
      <c r="I4" s="2" t="s">
        <v>1790</v>
      </c>
      <c r="J4" s="2" t="s">
        <v>1777</v>
      </c>
      <c r="K4" s="2" t="s">
        <v>1778</v>
      </c>
    </row>
    <row r="5" spans="1:11" ht="43.5" customHeight="1" x14ac:dyDescent="0.5">
      <c r="A5" s="2" t="s">
        <v>301</v>
      </c>
      <c r="B5" s="2" t="s">
        <v>1791</v>
      </c>
      <c r="C5" s="2" t="s">
        <v>297</v>
      </c>
      <c r="D5" s="2" t="s">
        <v>1771</v>
      </c>
      <c r="E5" s="2" t="s">
        <v>1792</v>
      </c>
      <c r="F5" s="2" t="s">
        <v>1793</v>
      </c>
      <c r="G5" s="2" t="s">
        <v>1788</v>
      </c>
      <c r="H5" s="2" t="s">
        <v>1789</v>
      </c>
      <c r="I5" s="2" t="s">
        <v>1794</v>
      </c>
      <c r="J5" s="2" t="s">
        <v>1777</v>
      </c>
      <c r="K5" s="2" t="s">
        <v>1778</v>
      </c>
    </row>
    <row r="6" spans="1:11" ht="43.5" customHeight="1" x14ac:dyDescent="0.5">
      <c r="A6" s="2" t="s">
        <v>311</v>
      </c>
      <c r="B6" s="2" t="s">
        <v>1795</v>
      </c>
      <c r="C6" s="2" t="s">
        <v>297</v>
      </c>
      <c r="D6" s="2" t="s">
        <v>1771</v>
      </c>
      <c r="E6" s="2" t="s">
        <v>1796</v>
      </c>
      <c r="F6" s="2" t="s">
        <v>1797</v>
      </c>
      <c r="G6" s="2" t="s">
        <v>1788</v>
      </c>
      <c r="H6" s="2" t="s">
        <v>1789</v>
      </c>
      <c r="I6" s="2" t="s">
        <v>1798</v>
      </c>
      <c r="J6" s="2" t="s">
        <v>1777</v>
      </c>
      <c r="K6" s="2" t="s">
        <v>1778</v>
      </c>
    </row>
    <row r="7" spans="1:11" ht="43.5" customHeight="1" x14ac:dyDescent="0.5">
      <c r="A7" s="2" t="s">
        <v>318</v>
      </c>
      <c r="B7" s="2" t="s">
        <v>1799</v>
      </c>
      <c r="C7" s="2" t="s">
        <v>274</v>
      </c>
      <c r="D7" s="2" t="s">
        <v>1771</v>
      </c>
      <c r="E7" s="2" t="s">
        <v>1800</v>
      </c>
      <c r="F7" s="2" t="s">
        <v>1801</v>
      </c>
      <c r="G7" s="2" t="s">
        <v>1802</v>
      </c>
      <c r="H7" s="2" t="s">
        <v>1803</v>
      </c>
      <c r="I7" s="2" t="s">
        <v>1804</v>
      </c>
      <c r="J7" s="2" t="s">
        <v>1777</v>
      </c>
      <c r="K7" s="2" t="s">
        <v>1778</v>
      </c>
    </row>
    <row r="8" spans="1:11" ht="43.5" customHeight="1" x14ac:dyDescent="0.5">
      <c r="A8" s="2" t="s">
        <v>323</v>
      </c>
      <c r="B8" s="2" t="s">
        <v>1805</v>
      </c>
      <c r="C8" s="2" t="s">
        <v>274</v>
      </c>
      <c r="D8" s="2" t="s">
        <v>1771</v>
      </c>
      <c r="E8" s="2" t="s">
        <v>1806</v>
      </c>
      <c r="F8" s="2" t="s">
        <v>1807</v>
      </c>
      <c r="G8" s="2" t="s">
        <v>1808</v>
      </c>
      <c r="H8" s="2" t="s">
        <v>1809</v>
      </c>
      <c r="I8" s="2" t="s">
        <v>1810</v>
      </c>
      <c r="J8" s="2" t="s">
        <v>1777</v>
      </c>
      <c r="K8" s="2" t="s">
        <v>1778</v>
      </c>
    </row>
    <row r="9" spans="1:11" ht="43.5" customHeight="1" x14ac:dyDescent="0.5">
      <c r="A9" s="2" t="s">
        <v>327</v>
      </c>
      <c r="B9" s="2" t="s">
        <v>1811</v>
      </c>
      <c r="C9" s="2" t="s">
        <v>297</v>
      </c>
      <c r="D9" s="2" t="s">
        <v>1771</v>
      </c>
      <c r="E9" s="2" t="s">
        <v>1812</v>
      </c>
      <c r="F9" s="2" t="s">
        <v>1813</v>
      </c>
      <c r="G9" s="2" t="s">
        <v>1788</v>
      </c>
      <c r="H9" s="2" t="s">
        <v>1789</v>
      </c>
      <c r="I9" s="2" t="s">
        <v>1814</v>
      </c>
      <c r="J9" s="2" t="s">
        <v>1777</v>
      </c>
      <c r="K9" s="2" t="s">
        <v>1778</v>
      </c>
    </row>
    <row r="10" spans="1:11" ht="43.5" customHeight="1" x14ac:dyDescent="0.5">
      <c r="A10" s="2" t="s">
        <v>330</v>
      </c>
      <c r="B10" s="2" t="s">
        <v>1815</v>
      </c>
      <c r="C10" s="2" t="s">
        <v>297</v>
      </c>
      <c r="D10" s="2" t="s">
        <v>1771</v>
      </c>
      <c r="E10" s="2" t="s">
        <v>1816</v>
      </c>
      <c r="F10" s="2" t="s">
        <v>1817</v>
      </c>
      <c r="G10" s="2" t="s">
        <v>1788</v>
      </c>
      <c r="H10" s="2" t="s">
        <v>1789</v>
      </c>
      <c r="I10" s="2" t="s">
        <v>1818</v>
      </c>
      <c r="J10" s="2" t="s">
        <v>1777</v>
      </c>
      <c r="K10" s="2" t="s">
        <v>1778</v>
      </c>
    </row>
    <row r="11" spans="1:11" ht="43.5" customHeight="1" x14ac:dyDescent="0.5">
      <c r="A11" s="2" t="s">
        <v>335</v>
      </c>
      <c r="B11" s="2" t="s">
        <v>1819</v>
      </c>
      <c r="C11" s="2" t="s">
        <v>297</v>
      </c>
      <c r="D11" s="2" t="s">
        <v>1771</v>
      </c>
      <c r="E11" s="2" t="s">
        <v>1820</v>
      </c>
      <c r="F11" s="2" t="s">
        <v>1821</v>
      </c>
      <c r="G11" s="2" t="s">
        <v>1788</v>
      </c>
      <c r="H11" s="2" t="s">
        <v>1789</v>
      </c>
      <c r="I11" s="2" t="s">
        <v>1822</v>
      </c>
      <c r="J11" s="2" t="s">
        <v>1777</v>
      </c>
      <c r="K11" s="2" t="s">
        <v>1778</v>
      </c>
    </row>
    <row r="12" spans="1:11" ht="43.5" customHeight="1" x14ac:dyDescent="0.5">
      <c r="A12" s="2" t="s">
        <v>339</v>
      </c>
      <c r="B12" s="2" t="s">
        <v>1823</v>
      </c>
      <c r="C12" s="2" t="s">
        <v>274</v>
      </c>
      <c r="D12" s="2" t="s">
        <v>1771</v>
      </c>
      <c r="E12" s="2" t="s">
        <v>1824</v>
      </c>
      <c r="F12" s="2" t="s">
        <v>1825</v>
      </c>
      <c r="G12" s="2" t="s">
        <v>1826</v>
      </c>
      <c r="H12" s="2" t="s">
        <v>1827</v>
      </c>
      <c r="I12" s="2" t="s">
        <v>1828</v>
      </c>
      <c r="J12" s="2" t="s">
        <v>1777</v>
      </c>
      <c r="K12" s="2" t="s">
        <v>1778</v>
      </c>
    </row>
    <row r="13" spans="1:11" ht="43.5" customHeight="1" x14ac:dyDescent="0.5">
      <c r="A13" s="2" t="s">
        <v>344</v>
      </c>
      <c r="B13" s="2" t="s">
        <v>1829</v>
      </c>
      <c r="C13" s="2" t="s">
        <v>274</v>
      </c>
      <c r="D13" s="2" t="s">
        <v>1771</v>
      </c>
      <c r="E13" s="2" t="s">
        <v>1830</v>
      </c>
      <c r="F13" s="2" t="s">
        <v>1831</v>
      </c>
      <c r="G13" s="2" t="s">
        <v>1832</v>
      </c>
      <c r="H13" s="2" t="s">
        <v>1833</v>
      </c>
      <c r="I13" s="2" t="s">
        <v>1834</v>
      </c>
      <c r="J13" s="2" t="s">
        <v>1777</v>
      </c>
      <c r="K13" s="2" t="s">
        <v>1778</v>
      </c>
    </row>
    <row r="14" spans="1:11" ht="43.5" customHeight="1" x14ac:dyDescent="0.5">
      <c r="A14" s="2" t="s">
        <v>348</v>
      </c>
      <c r="B14" s="2" t="s">
        <v>1835</v>
      </c>
      <c r="C14" s="2" t="s">
        <v>297</v>
      </c>
      <c r="D14" s="2" t="s">
        <v>1771</v>
      </c>
      <c r="E14" s="2" t="s">
        <v>1836</v>
      </c>
      <c r="F14" s="2" t="s">
        <v>1837</v>
      </c>
      <c r="G14" s="2" t="s">
        <v>1788</v>
      </c>
      <c r="H14" s="2" t="s">
        <v>1789</v>
      </c>
      <c r="I14" s="2" t="s">
        <v>1838</v>
      </c>
      <c r="J14" s="2" t="s">
        <v>1777</v>
      </c>
      <c r="K14" s="2" t="s">
        <v>1778</v>
      </c>
    </row>
    <row r="15" spans="1:11" ht="43.5" customHeight="1" x14ac:dyDescent="0.5">
      <c r="A15" s="2" t="s">
        <v>351</v>
      </c>
      <c r="B15" s="2" t="s">
        <v>1839</v>
      </c>
      <c r="C15" s="2" t="s">
        <v>297</v>
      </c>
      <c r="D15" s="2" t="s">
        <v>1771</v>
      </c>
      <c r="E15" s="2" t="s">
        <v>1840</v>
      </c>
      <c r="F15" s="2" t="s">
        <v>1841</v>
      </c>
      <c r="G15" s="2" t="s">
        <v>1788</v>
      </c>
      <c r="H15" s="2" t="s">
        <v>1789</v>
      </c>
      <c r="I15" s="2" t="s">
        <v>1842</v>
      </c>
      <c r="J15" s="2" t="s">
        <v>1777</v>
      </c>
      <c r="K15" s="2" t="s">
        <v>1778</v>
      </c>
    </row>
    <row r="16" spans="1:11" ht="43.5" customHeight="1" x14ac:dyDescent="0.5">
      <c r="A16" s="2" t="s">
        <v>356</v>
      </c>
      <c r="B16" s="2" t="s">
        <v>1843</v>
      </c>
      <c r="C16" s="2" t="s">
        <v>297</v>
      </c>
      <c r="D16" s="2" t="s">
        <v>1771</v>
      </c>
      <c r="E16" s="2" t="s">
        <v>1844</v>
      </c>
      <c r="F16" s="2" t="s">
        <v>1845</v>
      </c>
      <c r="G16" s="2" t="s">
        <v>1788</v>
      </c>
      <c r="H16" s="2" t="s">
        <v>1789</v>
      </c>
      <c r="I16" s="2" t="s">
        <v>1846</v>
      </c>
      <c r="J16" s="2" t="s">
        <v>1777</v>
      </c>
      <c r="K16" s="2" t="s">
        <v>1778</v>
      </c>
    </row>
    <row r="17" spans="1:11" ht="43.5" customHeight="1" x14ac:dyDescent="0.5">
      <c r="A17" s="2" t="s">
        <v>363</v>
      </c>
      <c r="B17" s="2" t="s">
        <v>1847</v>
      </c>
      <c r="C17" s="2" t="s">
        <v>274</v>
      </c>
      <c r="D17" s="2" t="s">
        <v>1771</v>
      </c>
      <c r="E17" s="2" t="s">
        <v>1848</v>
      </c>
      <c r="F17" s="2" t="s">
        <v>1849</v>
      </c>
      <c r="G17" s="2" t="s">
        <v>1850</v>
      </c>
      <c r="H17" s="2" t="s">
        <v>1851</v>
      </c>
      <c r="I17" s="2" t="s">
        <v>1852</v>
      </c>
      <c r="J17" s="2" t="s">
        <v>1777</v>
      </c>
      <c r="K17" s="2" t="s">
        <v>1778</v>
      </c>
    </row>
    <row r="18" spans="1:11" ht="43.5" customHeight="1" x14ac:dyDescent="0.5">
      <c r="A18" s="2" t="s">
        <v>366</v>
      </c>
      <c r="B18" s="2" t="s">
        <v>1853</v>
      </c>
      <c r="C18" s="2" t="s">
        <v>274</v>
      </c>
      <c r="D18" s="2" t="s">
        <v>1771</v>
      </c>
      <c r="E18" s="2" t="s">
        <v>1854</v>
      </c>
      <c r="F18" s="2" t="s">
        <v>1855</v>
      </c>
      <c r="G18" s="2" t="s">
        <v>1856</v>
      </c>
      <c r="H18" s="2" t="s">
        <v>1857</v>
      </c>
      <c r="I18" s="2" t="s">
        <v>1858</v>
      </c>
      <c r="J18" s="2" t="s">
        <v>1777</v>
      </c>
      <c r="K18" s="2" t="s">
        <v>1778</v>
      </c>
    </row>
    <row r="19" spans="1:11" ht="43.5" customHeight="1" x14ac:dyDescent="0.5">
      <c r="A19" s="2" t="s">
        <v>368</v>
      </c>
      <c r="B19" s="2" t="s">
        <v>1859</v>
      </c>
      <c r="C19" s="2" t="s">
        <v>297</v>
      </c>
      <c r="D19" s="2" t="s">
        <v>1771</v>
      </c>
      <c r="E19" s="2" t="s">
        <v>1860</v>
      </c>
      <c r="F19" s="2" t="s">
        <v>1861</v>
      </c>
      <c r="G19" s="2" t="s">
        <v>1862</v>
      </c>
      <c r="H19" s="2" t="s">
        <v>1863</v>
      </c>
      <c r="I19" s="2" t="s">
        <v>1864</v>
      </c>
      <c r="J19" s="2" t="s">
        <v>1777</v>
      </c>
      <c r="K19" s="2" t="s">
        <v>1778</v>
      </c>
    </row>
    <row r="20" spans="1:11" ht="43.5" customHeight="1" x14ac:dyDescent="0.5">
      <c r="A20" s="2" t="s">
        <v>373</v>
      </c>
      <c r="B20" s="2" t="s">
        <v>1865</v>
      </c>
      <c r="C20" s="2" t="s">
        <v>297</v>
      </c>
      <c r="D20" s="2" t="s">
        <v>1771</v>
      </c>
      <c r="E20" s="2" t="s">
        <v>1866</v>
      </c>
      <c r="F20" s="2" t="s">
        <v>1867</v>
      </c>
      <c r="G20" s="2" t="s">
        <v>1788</v>
      </c>
      <c r="H20" s="2" t="s">
        <v>1789</v>
      </c>
      <c r="I20" s="2" t="s">
        <v>1868</v>
      </c>
      <c r="J20" s="2" t="s">
        <v>1777</v>
      </c>
      <c r="K20" s="2" t="s">
        <v>1778</v>
      </c>
    </row>
    <row r="21" spans="1:11" ht="43.5" customHeight="1" x14ac:dyDescent="0.5">
      <c r="A21" s="2" t="s">
        <v>375</v>
      </c>
      <c r="B21" s="2" t="s">
        <v>1869</v>
      </c>
      <c r="C21" s="2" t="s">
        <v>297</v>
      </c>
      <c r="D21" s="2" t="s">
        <v>1771</v>
      </c>
      <c r="E21" s="2" t="s">
        <v>1870</v>
      </c>
      <c r="F21" s="2" t="s">
        <v>1871</v>
      </c>
      <c r="G21" s="2" t="s">
        <v>1788</v>
      </c>
      <c r="H21" s="2" t="s">
        <v>1789</v>
      </c>
      <c r="I21" s="2" t="s">
        <v>1872</v>
      </c>
      <c r="J21" s="2" t="s">
        <v>1777</v>
      </c>
      <c r="K21" s="2" t="s">
        <v>1778</v>
      </c>
    </row>
    <row r="22" spans="1:11" ht="43.5" customHeight="1" x14ac:dyDescent="0.5">
      <c r="A22" s="2" t="s">
        <v>377</v>
      </c>
      <c r="B22" s="2" t="s">
        <v>1873</v>
      </c>
      <c r="C22" s="2" t="s">
        <v>274</v>
      </c>
      <c r="D22" s="2" t="s">
        <v>1771</v>
      </c>
      <c r="E22" s="2" t="s">
        <v>1874</v>
      </c>
      <c r="F22" s="2" t="s">
        <v>1875</v>
      </c>
      <c r="G22" s="2" t="s">
        <v>1876</v>
      </c>
      <c r="H22" s="2" t="s">
        <v>1877</v>
      </c>
      <c r="I22" s="2" t="s">
        <v>1878</v>
      </c>
      <c r="J22" s="2" t="s">
        <v>1777</v>
      </c>
      <c r="K22" s="2" t="s">
        <v>1778</v>
      </c>
    </row>
    <row r="23" spans="1:11" ht="43.5" customHeight="1" x14ac:dyDescent="0.5">
      <c r="A23" s="2" t="s">
        <v>379</v>
      </c>
      <c r="B23" s="2" t="s">
        <v>1879</v>
      </c>
      <c r="C23" s="2" t="s">
        <v>274</v>
      </c>
      <c r="D23" s="2" t="s">
        <v>1771</v>
      </c>
      <c r="E23" s="2" t="s">
        <v>1880</v>
      </c>
      <c r="F23" s="2" t="s">
        <v>1881</v>
      </c>
      <c r="G23" s="2" t="s">
        <v>1882</v>
      </c>
      <c r="H23" s="2" t="s">
        <v>1883</v>
      </c>
      <c r="I23" s="2" t="s">
        <v>1884</v>
      </c>
      <c r="J23" s="2" t="s">
        <v>1777</v>
      </c>
      <c r="K23" s="2" t="s">
        <v>1778</v>
      </c>
    </row>
    <row r="24" spans="1:11" ht="43.5" customHeight="1" x14ac:dyDescent="0.5">
      <c r="A24" s="2" t="s">
        <v>381</v>
      </c>
      <c r="B24" s="2" t="s">
        <v>1885</v>
      </c>
      <c r="C24" s="2" t="s">
        <v>297</v>
      </c>
      <c r="D24" s="2" t="s">
        <v>1771</v>
      </c>
      <c r="E24" s="2" t="s">
        <v>1886</v>
      </c>
      <c r="F24" s="2" t="s">
        <v>1887</v>
      </c>
      <c r="G24" s="2" t="s">
        <v>1788</v>
      </c>
      <c r="H24" s="2" t="s">
        <v>1789</v>
      </c>
      <c r="I24" s="2" t="s">
        <v>1888</v>
      </c>
      <c r="J24" s="2" t="s">
        <v>1777</v>
      </c>
      <c r="K24" s="2" t="s">
        <v>1778</v>
      </c>
    </row>
    <row r="25" spans="1:11" ht="43.5" customHeight="1" x14ac:dyDescent="0.5">
      <c r="A25" s="2" t="s">
        <v>383</v>
      </c>
      <c r="B25" s="2" t="s">
        <v>1889</v>
      </c>
      <c r="C25" s="2" t="s">
        <v>297</v>
      </c>
      <c r="D25" s="2" t="s">
        <v>1771</v>
      </c>
      <c r="E25" s="2" t="s">
        <v>1890</v>
      </c>
      <c r="F25" s="2" t="s">
        <v>1891</v>
      </c>
      <c r="G25" s="2" t="s">
        <v>1788</v>
      </c>
      <c r="H25" s="2" t="s">
        <v>1789</v>
      </c>
      <c r="I25" s="2" t="s">
        <v>1892</v>
      </c>
      <c r="J25" s="2" t="s">
        <v>1777</v>
      </c>
      <c r="K25" s="2" t="s">
        <v>1778</v>
      </c>
    </row>
    <row r="26" spans="1:11" ht="43.5" customHeight="1" x14ac:dyDescent="0.5">
      <c r="A26" s="2" t="s">
        <v>385</v>
      </c>
      <c r="B26" s="2" t="s">
        <v>1893</v>
      </c>
      <c r="C26" s="2" t="s">
        <v>297</v>
      </c>
      <c r="D26" s="2" t="s">
        <v>1771</v>
      </c>
      <c r="E26" s="2" t="s">
        <v>1894</v>
      </c>
      <c r="F26" s="2" t="s">
        <v>1895</v>
      </c>
      <c r="G26" s="2" t="s">
        <v>1788</v>
      </c>
      <c r="H26" s="2" t="s">
        <v>1789</v>
      </c>
      <c r="I26" s="2" t="s">
        <v>1896</v>
      </c>
      <c r="J26" s="2" t="s">
        <v>1777</v>
      </c>
      <c r="K26" s="2" t="s">
        <v>1778</v>
      </c>
    </row>
    <row r="27" spans="1:11" ht="43.5" customHeight="1" x14ac:dyDescent="0.5">
      <c r="A27" s="2" t="s">
        <v>387</v>
      </c>
      <c r="B27" s="2" t="s">
        <v>1897</v>
      </c>
      <c r="C27" s="2" t="s">
        <v>274</v>
      </c>
      <c r="D27" s="2" t="s">
        <v>1771</v>
      </c>
      <c r="E27" s="2" t="s">
        <v>1898</v>
      </c>
      <c r="F27" s="2" t="s">
        <v>1899</v>
      </c>
      <c r="G27" s="2" t="s">
        <v>1900</v>
      </c>
      <c r="H27" s="2" t="s">
        <v>1901</v>
      </c>
      <c r="I27" s="2" t="s">
        <v>1902</v>
      </c>
      <c r="J27" s="2" t="s">
        <v>1777</v>
      </c>
      <c r="K27" s="2" t="s">
        <v>1778</v>
      </c>
    </row>
    <row r="28" spans="1:11" ht="43.5" customHeight="1" x14ac:dyDescent="0.5">
      <c r="A28" s="2" t="s">
        <v>392</v>
      </c>
      <c r="B28" s="2" t="s">
        <v>1903</v>
      </c>
      <c r="C28" s="2" t="s">
        <v>274</v>
      </c>
      <c r="D28" s="2" t="s">
        <v>1771</v>
      </c>
      <c r="E28" s="2" t="s">
        <v>1904</v>
      </c>
      <c r="F28" s="2" t="s">
        <v>1905</v>
      </c>
      <c r="G28" s="2" t="s">
        <v>1906</v>
      </c>
      <c r="H28" s="2" t="s">
        <v>1907</v>
      </c>
      <c r="I28" s="2" t="s">
        <v>1908</v>
      </c>
      <c r="J28" s="2" t="s">
        <v>1777</v>
      </c>
      <c r="K28" s="2" t="s">
        <v>1778</v>
      </c>
    </row>
    <row r="29" spans="1:11" ht="43.5" customHeight="1" x14ac:dyDescent="0.5">
      <c r="A29" s="2" t="s">
        <v>396</v>
      </c>
      <c r="B29" s="2" t="s">
        <v>1909</v>
      </c>
      <c r="C29" s="2" t="s">
        <v>274</v>
      </c>
      <c r="D29" s="2" t="s">
        <v>1771</v>
      </c>
      <c r="E29" s="2" t="s">
        <v>1910</v>
      </c>
      <c r="F29" s="2" t="s">
        <v>1911</v>
      </c>
      <c r="G29" s="2" t="s">
        <v>1788</v>
      </c>
      <c r="H29" s="2" t="s">
        <v>1789</v>
      </c>
      <c r="I29" s="2" t="s">
        <v>1912</v>
      </c>
      <c r="J29" s="2" t="s">
        <v>1777</v>
      </c>
      <c r="K29" s="2" t="s">
        <v>1778</v>
      </c>
    </row>
    <row r="30" spans="1:11" ht="43.5" customHeight="1" x14ac:dyDescent="0.5">
      <c r="A30" s="2" t="s">
        <v>404</v>
      </c>
      <c r="B30" s="2" t="s">
        <v>1913</v>
      </c>
      <c r="C30" s="2" t="s">
        <v>297</v>
      </c>
      <c r="D30" s="2" t="s">
        <v>1771</v>
      </c>
      <c r="E30" s="2" t="s">
        <v>1914</v>
      </c>
      <c r="F30" s="2" t="s">
        <v>1915</v>
      </c>
      <c r="G30" s="2" t="s">
        <v>1788</v>
      </c>
      <c r="H30" s="2" t="s">
        <v>1789</v>
      </c>
      <c r="I30" s="2" t="s">
        <v>1916</v>
      </c>
      <c r="J30" s="2" t="s">
        <v>1777</v>
      </c>
      <c r="K30" s="2" t="s">
        <v>1778</v>
      </c>
    </row>
    <row r="31" spans="1:11" ht="43.5" customHeight="1" x14ac:dyDescent="0.5">
      <c r="A31" s="2" t="s">
        <v>409</v>
      </c>
      <c r="B31" s="2" t="s">
        <v>1917</v>
      </c>
      <c r="C31" s="2" t="s">
        <v>297</v>
      </c>
      <c r="D31" s="2" t="s">
        <v>1771</v>
      </c>
      <c r="E31" s="2" t="s">
        <v>1918</v>
      </c>
      <c r="F31" s="2" t="s">
        <v>1919</v>
      </c>
      <c r="G31" s="2" t="s">
        <v>1788</v>
      </c>
      <c r="H31" s="2" t="s">
        <v>1789</v>
      </c>
      <c r="I31" s="2" t="s">
        <v>1920</v>
      </c>
      <c r="J31" s="2" t="s">
        <v>1777</v>
      </c>
      <c r="K31" s="2" t="s">
        <v>1778</v>
      </c>
    </row>
    <row r="32" spans="1:11" ht="43.5" customHeight="1" x14ac:dyDescent="0.5">
      <c r="A32" s="2" t="s">
        <v>413</v>
      </c>
      <c r="B32" s="2" t="s">
        <v>1921</v>
      </c>
      <c r="C32" s="2" t="s">
        <v>274</v>
      </c>
      <c r="D32" s="2" t="s">
        <v>1771</v>
      </c>
      <c r="E32" s="2" t="s">
        <v>1922</v>
      </c>
      <c r="F32" s="2" t="s">
        <v>1923</v>
      </c>
      <c r="G32" s="2" t="s">
        <v>1924</v>
      </c>
      <c r="H32" s="2" t="s">
        <v>1925</v>
      </c>
      <c r="I32" s="2" t="s">
        <v>1926</v>
      </c>
      <c r="J32" s="2" t="s">
        <v>1777</v>
      </c>
      <c r="K32" s="2" t="s">
        <v>1778</v>
      </c>
    </row>
    <row r="33" spans="1:11" ht="43.5" customHeight="1" x14ac:dyDescent="0.5">
      <c r="A33" s="2" t="s">
        <v>418</v>
      </c>
      <c r="B33" s="2" t="s">
        <v>1927</v>
      </c>
      <c r="C33" s="2" t="s">
        <v>274</v>
      </c>
      <c r="D33" s="2" t="s">
        <v>1771</v>
      </c>
      <c r="E33" s="2" t="s">
        <v>1928</v>
      </c>
      <c r="F33" s="2" t="s">
        <v>1929</v>
      </c>
      <c r="G33" s="2" t="s">
        <v>1930</v>
      </c>
      <c r="H33" s="2" t="s">
        <v>1931</v>
      </c>
      <c r="I33" s="2" t="s">
        <v>1932</v>
      </c>
      <c r="J33" s="2" t="s">
        <v>1777</v>
      </c>
      <c r="K33" s="2" t="s">
        <v>1778</v>
      </c>
    </row>
    <row r="34" spans="1:11" ht="43.5" customHeight="1" x14ac:dyDescent="0.5">
      <c r="A34" s="2" t="s">
        <v>422</v>
      </c>
      <c r="B34" s="2" t="s">
        <v>1933</v>
      </c>
      <c r="C34" s="2" t="s">
        <v>297</v>
      </c>
      <c r="D34" s="2" t="s">
        <v>1771</v>
      </c>
      <c r="E34" s="2" t="s">
        <v>1934</v>
      </c>
      <c r="F34" s="2" t="s">
        <v>1935</v>
      </c>
      <c r="G34" s="2" t="s">
        <v>1788</v>
      </c>
      <c r="H34" s="2" t="s">
        <v>1789</v>
      </c>
      <c r="I34" s="2" t="s">
        <v>1936</v>
      </c>
      <c r="J34" s="2" t="s">
        <v>1777</v>
      </c>
      <c r="K34" s="2" t="s">
        <v>1778</v>
      </c>
    </row>
    <row r="35" spans="1:11" ht="43.5" customHeight="1" x14ac:dyDescent="0.5">
      <c r="A35" s="2" t="s">
        <v>425</v>
      </c>
      <c r="B35" s="2" t="s">
        <v>1937</v>
      </c>
      <c r="C35" s="2" t="s">
        <v>297</v>
      </c>
      <c r="D35" s="2" t="s">
        <v>1771</v>
      </c>
      <c r="E35" s="2" t="s">
        <v>1938</v>
      </c>
      <c r="F35" s="2" t="s">
        <v>1939</v>
      </c>
      <c r="G35" s="2" t="s">
        <v>1788</v>
      </c>
      <c r="H35" s="2" t="s">
        <v>1789</v>
      </c>
      <c r="I35" s="2" t="s">
        <v>1940</v>
      </c>
      <c r="J35" s="2" t="s">
        <v>1777</v>
      </c>
      <c r="K35" s="2" t="s">
        <v>1778</v>
      </c>
    </row>
    <row r="36" spans="1:11" ht="43.5" customHeight="1" x14ac:dyDescent="0.5">
      <c r="A36" s="2" t="s">
        <v>430</v>
      </c>
      <c r="B36" s="2" t="s">
        <v>1941</v>
      </c>
      <c r="C36" s="2" t="s">
        <v>297</v>
      </c>
      <c r="D36" s="2" t="s">
        <v>1771</v>
      </c>
      <c r="E36" s="2" t="s">
        <v>1942</v>
      </c>
      <c r="F36" s="2" t="s">
        <v>1943</v>
      </c>
      <c r="G36" s="2" t="s">
        <v>1788</v>
      </c>
      <c r="H36" s="2" t="s">
        <v>1789</v>
      </c>
      <c r="I36" s="2" t="s">
        <v>1944</v>
      </c>
      <c r="J36" s="2" t="s">
        <v>1777</v>
      </c>
      <c r="K36" s="2" t="s">
        <v>1778</v>
      </c>
    </row>
    <row r="37" spans="1:11" ht="43.5" customHeight="1" x14ac:dyDescent="0.5">
      <c r="A37" s="2" t="s">
        <v>434</v>
      </c>
      <c r="B37" s="2" t="s">
        <v>1945</v>
      </c>
      <c r="C37" s="2" t="s">
        <v>274</v>
      </c>
      <c r="D37" s="2" t="s">
        <v>1771</v>
      </c>
      <c r="E37" s="2" t="s">
        <v>1946</v>
      </c>
      <c r="F37" s="2" t="s">
        <v>1947</v>
      </c>
      <c r="G37" s="2" t="s">
        <v>1948</v>
      </c>
      <c r="H37" s="2" t="s">
        <v>1949</v>
      </c>
      <c r="I37" s="2" t="s">
        <v>1950</v>
      </c>
      <c r="J37" s="2" t="s">
        <v>1777</v>
      </c>
      <c r="K37" s="2" t="s">
        <v>1778</v>
      </c>
    </row>
    <row r="38" spans="1:11" ht="43.5" customHeight="1" x14ac:dyDescent="0.5">
      <c r="A38" s="2" t="s">
        <v>439</v>
      </c>
      <c r="B38" s="2" t="s">
        <v>1951</v>
      </c>
      <c r="C38" s="2" t="s">
        <v>274</v>
      </c>
      <c r="D38" s="2" t="s">
        <v>1771</v>
      </c>
      <c r="E38" s="2" t="s">
        <v>1952</v>
      </c>
      <c r="F38" s="2" t="s">
        <v>1953</v>
      </c>
      <c r="G38" s="2" t="s">
        <v>1954</v>
      </c>
      <c r="H38" s="2" t="s">
        <v>1955</v>
      </c>
      <c r="I38" s="2" t="s">
        <v>1956</v>
      </c>
      <c r="J38" s="2" t="s">
        <v>1777</v>
      </c>
      <c r="K38" s="2" t="s">
        <v>1778</v>
      </c>
    </row>
    <row r="39" spans="1:11" ht="43.5" customHeight="1" x14ac:dyDescent="0.5">
      <c r="A39" s="2" t="s">
        <v>443</v>
      </c>
      <c r="B39" s="2" t="s">
        <v>1957</v>
      </c>
      <c r="C39" s="2" t="s">
        <v>297</v>
      </c>
      <c r="D39" s="2" t="s">
        <v>1771</v>
      </c>
      <c r="E39" s="2" t="s">
        <v>1958</v>
      </c>
      <c r="F39" s="2" t="s">
        <v>1959</v>
      </c>
      <c r="G39" s="2" t="s">
        <v>1788</v>
      </c>
      <c r="H39" s="2" t="s">
        <v>1789</v>
      </c>
      <c r="I39" s="2" t="s">
        <v>1960</v>
      </c>
      <c r="J39" s="2" t="s">
        <v>1777</v>
      </c>
      <c r="K39" s="2" t="s">
        <v>1778</v>
      </c>
    </row>
    <row r="40" spans="1:11" ht="43.5" customHeight="1" x14ac:dyDescent="0.5">
      <c r="A40" s="2" t="s">
        <v>446</v>
      </c>
      <c r="B40" s="2" t="s">
        <v>1961</v>
      </c>
      <c r="C40" s="2" t="s">
        <v>297</v>
      </c>
      <c r="D40" s="2" t="s">
        <v>1771</v>
      </c>
      <c r="E40" s="2" t="s">
        <v>1962</v>
      </c>
      <c r="F40" s="2" t="s">
        <v>1963</v>
      </c>
      <c r="G40" s="2" t="s">
        <v>1788</v>
      </c>
      <c r="H40" s="2" t="s">
        <v>1789</v>
      </c>
      <c r="I40" s="2" t="s">
        <v>1964</v>
      </c>
      <c r="J40" s="2" t="s">
        <v>1777</v>
      </c>
      <c r="K40" s="2" t="s">
        <v>1778</v>
      </c>
    </row>
    <row r="41" spans="1:11" ht="43.5" customHeight="1" x14ac:dyDescent="0.5">
      <c r="A41" s="2" t="s">
        <v>451</v>
      </c>
      <c r="B41" s="2" t="s">
        <v>1965</v>
      </c>
      <c r="C41" s="2" t="s">
        <v>297</v>
      </c>
      <c r="D41" s="2" t="s">
        <v>1771</v>
      </c>
      <c r="E41" s="2" t="s">
        <v>1966</v>
      </c>
      <c r="F41" s="2" t="s">
        <v>1967</v>
      </c>
      <c r="G41" s="2" t="s">
        <v>1788</v>
      </c>
      <c r="H41" s="2" t="s">
        <v>1789</v>
      </c>
      <c r="I41" s="2" t="s">
        <v>1968</v>
      </c>
      <c r="J41" s="2" t="s">
        <v>1777</v>
      </c>
      <c r="K41" s="2" t="s">
        <v>1778</v>
      </c>
    </row>
    <row r="42" spans="1:11" ht="43.5" customHeight="1" x14ac:dyDescent="0.5">
      <c r="A42" s="2" t="s">
        <v>455</v>
      </c>
      <c r="B42" s="2" t="s">
        <v>1969</v>
      </c>
      <c r="C42" s="2" t="s">
        <v>297</v>
      </c>
      <c r="D42" s="2" t="s">
        <v>1771</v>
      </c>
      <c r="E42" s="2" t="s">
        <v>1970</v>
      </c>
      <c r="F42" s="2" t="s">
        <v>1971</v>
      </c>
      <c r="G42" s="2" t="s">
        <v>1788</v>
      </c>
      <c r="H42" s="2" t="s">
        <v>1789</v>
      </c>
      <c r="I42" s="2" t="s">
        <v>1972</v>
      </c>
      <c r="J42" s="2" t="s">
        <v>1777</v>
      </c>
      <c r="K42" s="2" t="s">
        <v>1778</v>
      </c>
    </row>
    <row r="43" spans="1:11" ht="43.5" customHeight="1" x14ac:dyDescent="0.5">
      <c r="A43" s="2" t="s">
        <v>463</v>
      </c>
      <c r="B43" s="2" t="s">
        <v>1973</v>
      </c>
      <c r="C43" s="2" t="s">
        <v>274</v>
      </c>
      <c r="D43" s="2" t="s">
        <v>1771</v>
      </c>
      <c r="E43" s="2" t="s">
        <v>1974</v>
      </c>
      <c r="F43" s="2" t="s">
        <v>1975</v>
      </c>
      <c r="G43" s="2" t="s">
        <v>1976</v>
      </c>
      <c r="H43" s="2" t="s">
        <v>1977</v>
      </c>
      <c r="I43" s="2" t="s">
        <v>1978</v>
      </c>
      <c r="J43" s="2" t="s">
        <v>1777</v>
      </c>
      <c r="K43" s="2" t="s">
        <v>1778</v>
      </c>
    </row>
    <row r="44" spans="1:11" ht="43.5" customHeight="1" x14ac:dyDescent="0.5">
      <c r="A44" s="2" t="s">
        <v>467</v>
      </c>
      <c r="B44" s="2" t="s">
        <v>1979</v>
      </c>
      <c r="C44" s="2" t="s">
        <v>274</v>
      </c>
      <c r="D44" s="2" t="s">
        <v>1771</v>
      </c>
      <c r="E44" s="2" t="s">
        <v>1980</v>
      </c>
      <c r="F44" s="2" t="s">
        <v>1981</v>
      </c>
      <c r="G44" s="2" t="s">
        <v>1982</v>
      </c>
      <c r="H44" s="2" t="s">
        <v>1983</v>
      </c>
      <c r="I44" s="2" t="s">
        <v>1984</v>
      </c>
      <c r="J44" s="2" t="s">
        <v>1777</v>
      </c>
      <c r="K44" s="2" t="s">
        <v>1778</v>
      </c>
    </row>
    <row r="45" spans="1:11" ht="43.5" customHeight="1" x14ac:dyDescent="0.5">
      <c r="A45" s="2" t="s">
        <v>470</v>
      </c>
      <c r="B45" s="2" t="s">
        <v>1985</v>
      </c>
      <c r="C45" s="2" t="s">
        <v>297</v>
      </c>
      <c r="D45" s="2" t="s">
        <v>1771</v>
      </c>
      <c r="E45" s="2" t="s">
        <v>1986</v>
      </c>
      <c r="F45" s="2" t="s">
        <v>1987</v>
      </c>
      <c r="G45" s="2" t="s">
        <v>1788</v>
      </c>
      <c r="H45" s="2" t="s">
        <v>1789</v>
      </c>
      <c r="I45" s="2" t="s">
        <v>1988</v>
      </c>
      <c r="J45" s="2" t="s">
        <v>1777</v>
      </c>
      <c r="K45" s="2" t="s">
        <v>1778</v>
      </c>
    </row>
    <row r="46" spans="1:11" ht="43.5" customHeight="1" x14ac:dyDescent="0.5">
      <c r="A46" s="2" t="s">
        <v>473</v>
      </c>
      <c r="B46" s="2" t="s">
        <v>1989</v>
      </c>
      <c r="C46" s="2" t="s">
        <v>297</v>
      </c>
      <c r="D46" s="2" t="s">
        <v>1771</v>
      </c>
      <c r="E46" s="2" t="s">
        <v>1990</v>
      </c>
      <c r="F46" s="2" t="s">
        <v>1991</v>
      </c>
      <c r="G46" s="2" t="s">
        <v>1788</v>
      </c>
      <c r="H46" s="2" t="s">
        <v>1789</v>
      </c>
      <c r="I46" s="2" t="s">
        <v>1992</v>
      </c>
      <c r="J46" s="2" t="s">
        <v>1777</v>
      </c>
      <c r="K46" s="2" t="s">
        <v>1778</v>
      </c>
    </row>
    <row r="47" spans="1:11" ht="43.5" customHeight="1" x14ac:dyDescent="0.5">
      <c r="A47" s="2" t="s">
        <v>478</v>
      </c>
      <c r="B47" s="2" t="s">
        <v>1993</v>
      </c>
      <c r="C47" s="2" t="s">
        <v>297</v>
      </c>
      <c r="D47" s="2" t="s">
        <v>1771</v>
      </c>
      <c r="E47" s="2" t="s">
        <v>1994</v>
      </c>
      <c r="F47" s="2" t="s">
        <v>1995</v>
      </c>
      <c r="G47" s="2" t="s">
        <v>1788</v>
      </c>
      <c r="H47" s="2" t="s">
        <v>1789</v>
      </c>
      <c r="I47" s="2" t="s">
        <v>1996</v>
      </c>
      <c r="J47" s="2" t="s">
        <v>1777</v>
      </c>
      <c r="K47" s="2" t="s">
        <v>1778</v>
      </c>
    </row>
    <row r="48" spans="1:11" ht="43.5" customHeight="1" x14ac:dyDescent="0.5">
      <c r="A48" s="2" t="s">
        <v>482</v>
      </c>
      <c r="B48" s="2" t="s">
        <v>1997</v>
      </c>
      <c r="C48" s="2" t="s">
        <v>297</v>
      </c>
      <c r="D48" s="2" t="s">
        <v>1771</v>
      </c>
      <c r="E48" s="2" t="s">
        <v>1998</v>
      </c>
      <c r="F48" s="2" t="s">
        <v>1999</v>
      </c>
      <c r="G48" s="2" t="s">
        <v>1788</v>
      </c>
      <c r="H48" s="2" t="s">
        <v>1789</v>
      </c>
      <c r="I48" s="2" t="s">
        <v>2000</v>
      </c>
      <c r="J48" s="2" t="s">
        <v>1777</v>
      </c>
      <c r="K48" s="2" t="s">
        <v>1778</v>
      </c>
    </row>
    <row r="49" spans="1:11" ht="43.5" customHeight="1" x14ac:dyDescent="0.5">
      <c r="A49" s="2" t="s">
        <v>486</v>
      </c>
      <c r="B49" s="2" t="s">
        <v>2001</v>
      </c>
      <c r="C49" s="2" t="s">
        <v>274</v>
      </c>
      <c r="D49" s="2" t="s">
        <v>1771</v>
      </c>
      <c r="E49" s="2" t="s">
        <v>2002</v>
      </c>
      <c r="F49" s="2" t="s">
        <v>2003</v>
      </c>
      <c r="G49" s="2" t="s">
        <v>2004</v>
      </c>
      <c r="H49" s="2" t="s">
        <v>2005</v>
      </c>
      <c r="I49" s="2" t="s">
        <v>2006</v>
      </c>
      <c r="J49" s="2" t="s">
        <v>1777</v>
      </c>
      <c r="K49" s="2" t="s">
        <v>1778</v>
      </c>
    </row>
    <row r="50" spans="1:11" ht="43.5" customHeight="1" x14ac:dyDescent="0.5">
      <c r="A50" s="2" t="s">
        <v>491</v>
      </c>
      <c r="B50" s="2" t="s">
        <v>2007</v>
      </c>
      <c r="C50" s="2" t="s">
        <v>274</v>
      </c>
      <c r="D50" s="2" t="s">
        <v>1771</v>
      </c>
      <c r="E50" s="2" t="s">
        <v>2008</v>
      </c>
      <c r="F50" s="2" t="s">
        <v>2009</v>
      </c>
      <c r="G50" s="2" t="s">
        <v>2010</v>
      </c>
      <c r="H50" s="2" t="s">
        <v>2011</v>
      </c>
      <c r="I50" s="2" t="s">
        <v>2012</v>
      </c>
      <c r="J50" s="2" t="s">
        <v>1777</v>
      </c>
      <c r="K50" s="2" t="s">
        <v>1778</v>
      </c>
    </row>
    <row r="51" spans="1:11" ht="43.5" customHeight="1" x14ac:dyDescent="0.5">
      <c r="A51" s="2" t="s">
        <v>495</v>
      </c>
      <c r="B51" s="2" t="s">
        <v>2013</v>
      </c>
      <c r="C51" s="2" t="s">
        <v>297</v>
      </c>
      <c r="D51" s="2" t="s">
        <v>1771</v>
      </c>
      <c r="E51" s="2" t="s">
        <v>2014</v>
      </c>
      <c r="F51" s="2" t="s">
        <v>2015</v>
      </c>
      <c r="G51" s="2" t="s">
        <v>1788</v>
      </c>
      <c r="H51" s="2" t="s">
        <v>1789</v>
      </c>
      <c r="I51" s="2" t="s">
        <v>2016</v>
      </c>
      <c r="J51" s="2" t="s">
        <v>1777</v>
      </c>
      <c r="K51" s="2" t="s">
        <v>1778</v>
      </c>
    </row>
    <row r="52" spans="1:11" ht="43.5" customHeight="1" x14ac:dyDescent="0.5">
      <c r="A52" s="2" t="s">
        <v>498</v>
      </c>
      <c r="B52" s="2" t="s">
        <v>2017</v>
      </c>
      <c r="C52" s="2" t="s">
        <v>297</v>
      </c>
      <c r="D52" s="2" t="s">
        <v>1771</v>
      </c>
      <c r="E52" s="2" t="s">
        <v>2018</v>
      </c>
      <c r="F52" s="2" t="s">
        <v>2019</v>
      </c>
      <c r="G52" s="2" t="s">
        <v>1788</v>
      </c>
      <c r="H52" s="2" t="s">
        <v>1789</v>
      </c>
      <c r="I52" s="2" t="s">
        <v>2020</v>
      </c>
      <c r="J52" s="2" t="s">
        <v>1777</v>
      </c>
      <c r="K52" s="2" t="s">
        <v>1778</v>
      </c>
    </row>
    <row r="53" spans="1:11" ht="43.5" customHeight="1" x14ac:dyDescent="0.5">
      <c r="A53" s="2" t="s">
        <v>503</v>
      </c>
      <c r="B53" s="2" t="s">
        <v>2021</v>
      </c>
      <c r="C53" s="2" t="s">
        <v>297</v>
      </c>
      <c r="D53" s="2" t="s">
        <v>1771</v>
      </c>
      <c r="E53" s="2" t="s">
        <v>2022</v>
      </c>
      <c r="F53" s="2" t="s">
        <v>2023</v>
      </c>
      <c r="G53" s="2" t="s">
        <v>1788</v>
      </c>
      <c r="H53" s="2" t="s">
        <v>1789</v>
      </c>
      <c r="I53" s="2" t="s">
        <v>2024</v>
      </c>
      <c r="J53" s="2" t="s">
        <v>1777</v>
      </c>
      <c r="K53" s="2" t="s">
        <v>1778</v>
      </c>
    </row>
    <row r="54" spans="1:11" ht="43.5" customHeight="1" x14ac:dyDescent="0.5">
      <c r="A54" s="2" t="s">
        <v>507</v>
      </c>
      <c r="B54" s="2" t="s">
        <v>2025</v>
      </c>
      <c r="C54" s="2" t="s">
        <v>297</v>
      </c>
      <c r="D54" s="2" t="s">
        <v>1771</v>
      </c>
      <c r="E54" s="2" t="s">
        <v>2026</v>
      </c>
      <c r="F54" s="2" t="s">
        <v>2027</v>
      </c>
      <c r="G54" s="2" t="s">
        <v>1788</v>
      </c>
      <c r="H54" s="2" t="s">
        <v>1789</v>
      </c>
      <c r="I54" s="2" t="s">
        <v>2028</v>
      </c>
      <c r="J54" s="2" t="s">
        <v>1777</v>
      </c>
      <c r="K54" s="2" t="s">
        <v>1778</v>
      </c>
    </row>
    <row r="55" spans="1:11" ht="43.5" customHeight="1" x14ac:dyDescent="0.5">
      <c r="A55" s="2" t="s">
        <v>511</v>
      </c>
      <c r="B55" s="2" t="s">
        <v>2029</v>
      </c>
      <c r="C55" s="2" t="s">
        <v>274</v>
      </c>
      <c r="D55" s="2" t="s">
        <v>1771</v>
      </c>
      <c r="E55" s="2" t="s">
        <v>2030</v>
      </c>
      <c r="F55" s="2" t="s">
        <v>2031</v>
      </c>
      <c r="G55" s="2" t="s">
        <v>2032</v>
      </c>
      <c r="H55" s="2" t="s">
        <v>2033</v>
      </c>
      <c r="I55" s="2" t="s">
        <v>2034</v>
      </c>
      <c r="J55" s="2" t="s">
        <v>1777</v>
      </c>
      <c r="K55" s="2" t="s">
        <v>1778</v>
      </c>
    </row>
    <row r="56" spans="1:11" ht="43.5" customHeight="1" x14ac:dyDescent="0.5">
      <c r="A56" s="2" t="s">
        <v>515</v>
      </c>
      <c r="B56" s="2" t="s">
        <v>2035</v>
      </c>
      <c r="C56" s="2" t="s">
        <v>274</v>
      </c>
      <c r="D56" s="2" t="s">
        <v>1771</v>
      </c>
      <c r="E56" s="2" t="s">
        <v>2036</v>
      </c>
      <c r="F56" s="2" t="s">
        <v>2037</v>
      </c>
      <c r="G56" s="2" t="s">
        <v>2038</v>
      </c>
      <c r="H56" s="2" t="s">
        <v>2039</v>
      </c>
      <c r="I56" s="2" t="s">
        <v>2040</v>
      </c>
      <c r="J56" s="2" t="s">
        <v>1777</v>
      </c>
      <c r="K56" s="2" t="s">
        <v>1778</v>
      </c>
    </row>
    <row r="57" spans="1:11" ht="43.5" customHeight="1" x14ac:dyDescent="0.5">
      <c r="A57" s="2" t="s">
        <v>518</v>
      </c>
      <c r="B57" s="2" t="s">
        <v>2041</v>
      </c>
      <c r="C57" s="2" t="s">
        <v>297</v>
      </c>
      <c r="D57" s="2" t="s">
        <v>1771</v>
      </c>
      <c r="E57" s="2" t="s">
        <v>2042</v>
      </c>
      <c r="F57" s="2" t="s">
        <v>2043</v>
      </c>
      <c r="G57" s="2" t="s">
        <v>1788</v>
      </c>
      <c r="H57" s="2" t="s">
        <v>1789</v>
      </c>
      <c r="I57" s="2" t="s">
        <v>2044</v>
      </c>
      <c r="J57" s="2" t="s">
        <v>1777</v>
      </c>
      <c r="K57" s="2" t="s">
        <v>1778</v>
      </c>
    </row>
    <row r="58" spans="1:11" ht="43.5" customHeight="1" x14ac:dyDescent="0.5">
      <c r="A58" s="2" t="s">
        <v>521</v>
      </c>
      <c r="B58" s="2" t="s">
        <v>2045</v>
      </c>
      <c r="C58" s="2" t="s">
        <v>297</v>
      </c>
      <c r="D58" s="2" t="s">
        <v>1771</v>
      </c>
      <c r="E58" s="2" t="s">
        <v>2046</v>
      </c>
      <c r="F58" s="2" t="s">
        <v>2047</v>
      </c>
      <c r="G58" s="2" t="s">
        <v>1788</v>
      </c>
      <c r="H58" s="2" t="s">
        <v>1789</v>
      </c>
      <c r="I58" s="2" t="s">
        <v>2048</v>
      </c>
      <c r="J58" s="2" t="s">
        <v>1777</v>
      </c>
      <c r="K58" s="2" t="s">
        <v>1778</v>
      </c>
    </row>
    <row r="59" spans="1:11" ht="43.5" customHeight="1" x14ac:dyDescent="0.5">
      <c r="A59" s="2" t="s">
        <v>526</v>
      </c>
      <c r="B59" s="2" t="s">
        <v>2049</v>
      </c>
      <c r="C59" s="2" t="s">
        <v>297</v>
      </c>
      <c r="D59" s="2" t="s">
        <v>1771</v>
      </c>
      <c r="E59" s="2" t="s">
        <v>2050</v>
      </c>
      <c r="F59" s="2" t="s">
        <v>2051</v>
      </c>
      <c r="G59" s="2" t="s">
        <v>1788</v>
      </c>
      <c r="H59" s="2" t="s">
        <v>1789</v>
      </c>
      <c r="I59" s="2" t="s">
        <v>2052</v>
      </c>
      <c r="J59" s="2" t="s">
        <v>1777</v>
      </c>
      <c r="K59" s="2" t="s">
        <v>1778</v>
      </c>
    </row>
    <row r="60" spans="1:11" ht="43.5" customHeight="1" x14ac:dyDescent="0.5">
      <c r="A60" s="2" t="s">
        <v>530</v>
      </c>
      <c r="B60" s="2" t="s">
        <v>2053</v>
      </c>
      <c r="C60" s="2" t="s">
        <v>297</v>
      </c>
      <c r="D60" s="2" t="s">
        <v>1771</v>
      </c>
      <c r="E60" s="2" t="s">
        <v>2054</v>
      </c>
      <c r="F60" s="2" t="s">
        <v>2055</v>
      </c>
      <c r="G60" s="2" t="s">
        <v>1788</v>
      </c>
      <c r="H60" s="2" t="s">
        <v>1789</v>
      </c>
      <c r="I60" s="2" t="s">
        <v>2056</v>
      </c>
      <c r="J60" s="2" t="s">
        <v>1777</v>
      </c>
      <c r="K60" s="2" t="s">
        <v>1778</v>
      </c>
    </row>
    <row r="61" spans="1:11" ht="43.5" customHeight="1" x14ac:dyDescent="0.5">
      <c r="A61" s="2" t="s">
        <v>533</v>
      </c>
      <c r="B61" s="2" t="s">
        <v>2057</v>
      </c>
      <c r="C61" s="2" t="s">
        <v>274</v>
      </c>
      <c r="D61" s="2" t="s">
        <v>1771</v>
      </c>
      <c r="E61" s="2" t="s">
        <v>2058</v>
      </c>
      <c r="F61" s="2" t="s">
        <v>2059</v>
      </c>
      <c r="G61" s="2" t="s">
        <v>2060</v>
      </c>
      <c r="H61" s="2" t="s">
        <v>2061</v>
      </c>
      <c r="I61" s="2" t="s">
        <v>2062</v>
      </c>
      <c r="J61" s="2" t="s">
        <v>1777</v>
      </c>
      <c r="K61" s="2" t="s">
        <v>1778</v>
      </c>
    </row>
    <row r="62" spans="1:11" ht="43.5" customHeight="1" x14ac:dyDescent="0.5">
      <c r="A62" s="2" t="s">
        <v>537</v>
      </c>
      <c r="B62" s="2" t="s">
        <v>2063</v>
      </c>
      <c r="C62" s="2" t="s">
        <v>274</v>
      </c>
      <c r="D62" s="2" t="s">
        <v>1771</v>
      </c>
      <c r="E62" s="2" t="s">
        <v>2064</v>
      </c>
      <c r="F62" s="2" t="s">
        <v>2065</v>
      </c>
      <c r="G62" s="2" t="s">
        <v>2066</v>
      </c>
      <c r="H62" s="2" t="s">
        <v>2067</v>
      </c>
      <c r="I62" s="2" t="s">
        <v>2068</v>
      </c>
      <c r="J62" s="2" t="s">
        <v>1777</v>
      </c>
      <c r="K62" s="2" t="s">
        <v>1778</v>
      </c>
    </row>
    <row r="63" spans="1:11" ht="43.5" customHeight="1" x14ac:dyDescent="0.5">
      <c r="A63" s="2" t="s">
        <v>540</v>
      </c>
      <c r="B63" s="2" t="s">
        <v>2069</v>
      </c>
      <c r="C63" s="2" t="s">
        <v>297</v>
      </c>
      <c r="D63" s="2" t="s">
        <v>1771</v>
      </c>
      <c r="E63" s="2" t="s">
        <v>2070</v>
      </c>
      <c r="F63" s="2" t="s">
        <v>2071</v>
      </c>
      <c r="G63" s="2" t="s">
        <v>1788</v>
      </c>
      <c r="H63" s="2" t="s">
        <v>1789</v>
      </c>
      <c r="I63" s="2" t="s">
        <v>2072</v>
      </c>
      <c r="J63" s="2" t="s">
        <v>1777</v>
      </c>
      <c r="K63" s="2" t="s">
        <v>1778</v>
      </c>
    </row>
    <row r="64" spans="1:11" ht="43.5" customHeight="1" x14ac:dyDescent="0.5">
      <c r="A64" s="2" t="s">
        <v>543</v>
      </c>
      <c r="B64" s="2" t="s">
        <v>2073</v>
      </c>
      <c r="C64" s="2" t="s">
        <v>297</v>
      </c>
      <c r="D64" s="2" t="s">
        <v>1771</v>
      </c>
      <c r="E64" s="2" t="s">
        <v>2074</v>
      </c>
      <c r="F64" s="2" t="s">
        <v>2075</v>
      </c>
      <c r="G64" s="2" t="s">
        <v>1788</v>
      </c>
      <c r="H64" s="2" t="s">
        <v>1789</v>
      </c>
      <c r="I64" s="2" t="s">
        <v>2076</v>
      </c>
      <c r="J64" s="2" t="s">
        <v>1777</v>
      </c>
      <c r="K64" s="2" t="s">
        <v>1778</v>
      </c>
    </row>
    <row r="65" spans="1:11" ht="43.5" customHeight="1" x14ac:dyDescent="0.5">
      <c r="A65" s="2" t="s">
        <v>546</v>
      </c>
      <c r="B65" s="2" t="s">
        <v>2077</v>
      </c>
      <c r="C65" s="2" t="s">
        <v>297</v>
      </c>
      <c r="D65" s="2" t="s">
        <v>1771</v>
      </c>
      <c r="E65" s="2" t="s">
        <v>2078</v>
      </c>
      <c r="F65" s="2" t="s">
        <v>2079</v>
      </c>
      <c r="G65" s="2" t="s">
        <v>1788</v>
      </c>
      <c r="H65" s="2" t="s">
        <v>1789</v>
      </c>
      <c r="I65" s="2" t="s">
        <v>2080</v>
      </c>
      <c r="J65" s="2" t="s">
        <v>1777</v>
      </c>
      <c r="K65" s="2" t="s">
        <v>1778</v>
      </c>
    </row>
    <row r="66" spans="1:11" ht="43.5" customHeight="1" x14ac:dyDescent="0.5">
      <c r="A66" s="2" t="s">
        <v>549</v>
      </c>
      <c r="B66" s="2" t="s">
        <v>2081</v>
      </c>
      <c r="C66" s="2" t="s">
        <v>297</v>
      </c>
      <c r="D66" s="2" t="s">
        <v>1771</v>
      </c>
      <c r="E66" s="2" t="s">
        <v>2082</v>
      </c>
      <c r="F66" s="2" t="s">
        <v>2083</v>
      </c>
      <c r="G66" s="2" t="s">
        <v>1788</v>
      </c>
      <c r="H66" s="2" t="s">
        <v>1789</v>
      </c>
      <c r="I66" s="2" t="s">
        <v>2084</v>
      </c>
      <c r="J66" s="2" t="s">
        <v>1777</v>
      </c>
      <c r="K66" s="2" t="s">
        <v>1778</v>
      </c>
    </row>
    <row r="67" spans="1:11" ht="43.5" customHeight="1" x14ac:dyDescent="0.5">
      <c r="A67" s="2" t="s">
        <v>553</v>
      </c>
      <c r="B67" s="2" t="s">
        <v>2085</v>
      </c>
      <c r="C67" s="2" t="s">
        <v>274</v>
      </c>
      <c r="D67" s="2" t="s">
        <v>1771</v>
      </c>
      <c r="E67" s="2" t="s">
        <v>2086</v>
      </c>
      <c r="F67" s="2" t="s">
        <v>2087</v>
      </c>
      <c r="G67" s="2" t="s">
        <v>2088</v>
      </c>
      <c r="H67" s="2" t="s">
        <v>2089</v>
      </c>
      <c r="I67" s="2" t="s">
        <v>2090</v>
      </c>
      <c r="J67" s="2" t="s">
        <v>1777</v>
      </c>
      <c r="K67" s="2" t="s">
        <v>1778</v>
      </c>
    </row>
    <row r="68" spans="1:11" ht="43.5" customHeight="1" x14ac:dyDescent="0.5">
      <c r="A68" s="2" t="s">
        <v>556</v>
      </c>
      <c r="B68" s="2" t="s">
        <v>2091</v>
      </c>
      <c r="C68" s="2" t="s">
        <v>274</v>
      </c>
      <c r="D68" s="2" t="s">
        <v>1771</v>
      </c>
      <c r="E68" s="2" t="s">
        <v>2092</v>
      </c>
      <c r="F68" s="2" t="s">
        <v>2093</v>
      </c>
      <c r="G68" s="2" t="s">
        <v>2094</v>
      </c>
      <c r="H68" s="2" t="s">
        <v>2095</v>
      </c>
      <c r="I68" s="2" t="s">
        <v>2096</v>
      </c>
      <c r="J68" s="2" t="s">
        <v>1777</v>
      </c>
      <c r="K68" s="2" t="s">
        <v>1778</v>
      </c>
    </row>
    <row r="69" spans="1:11" ht="43.5" customHeight="1" x14ac:dyDescent="0.5">
      <c r="A69" s="2" t="s">
        <v>559</v>
      </c>
      <c r="B69" s="2" t="s">
        <v>2097</v>
      </c>
      <c r="C69" s="2" t="s">
        <v>297</v>
      </c>
      <c r="D69" s="2" t="s">
        <v>1771</v>
      </c>
      <c r="E69" s="2" t="s">
        <v>2098</v>
      </c>
      <c r="F69" s="2" t="s">
        <v>2099</v>
      </c>
      <c r="G69" s="2" t="s">
        <v>1788</v>
      </c>
      <c r="H69" s="2" t="s">
        <v>1789</v>
      </c>
      <c r="I69" s="2" t="s">
        <v>2100</v>
      </c>
      <c r="J69" s="2" t="s">
        <v>1777</v>
      </c>
      <c r="K69" s="2" t="s">
        <v>1778</v>
      </c>
    </row>
    <row r="70" spans="1:11" ht="43.5" customHeight="1" x14ac:dyDescent="0.5">
      <c r="A70" s="2" t="s">
        <v>562</v>
      </c>
      <c r="B70" s="2" t="s">
        <v>2101</v>
      </c>
      <c r="C70" s="2" t="s">
        <v>297</v>
      </c>
      <c r="D70" s="2" t="s">
        <v>1771</v>
      </c>
      <c r="E70" s="2" t="s">
        <v>2102</v>
      </c>
      <c r="F70" s="2" t="s">
        <v>2103</v>
      </c>
      <c r="G70" s="2" t="s">
        <v>1788</v>
      </c>
      <c r="H70" s="2" t="s">
        <v>1789</v>
      </c>
      <c r="I70" s="2" t="s">
        <v>2104</v>
      </c>
      <c r="J70" s="2" t="s">
        <v>1777</v>
      </c>
      <c r="K70" s="2" t="s">
        <v>1778</v>
      </c>
    </row>
    <row r="71" spans="1:11" ht="43.5" customHeight="1" x14ac:dyDescent="0.5">
      <c r="A71" s="2" t="s">
        <v>565</v>
      </c>
      <c r="B71" s="2" t="s">
        <v>2105</v>
      </c>
      <c r="C71" s="2" t="s">
        <v>297</v>
      </c>
      <c r="D71" s="2" t="s">
        <v>1771</v>
      </c>
      <c r="E71" s="2" t="s">
        <v>2106</v>
      </c>
      <c r="F71" s="2" t="s">
        <v>2107</v>
      </c>
      <c r="G71" s="2" t="s">
        <v>1788</v>
      </c>
      <c r="H71" s="2" t="s">
        <v>1789</v>
      </c>
      <c r="I71" s="2" t="s">
        <v>2108</v>
      </c>
      <c r="J71" s="2" t="s">
        <v>1777</v>
      </c>
      <c r="K71" s="2" t="s">
        <v>1778</v>
      </c>
    </row>
    <row r="72" spans="1:11" ht="43.5" customHeight="1" x14ac:dyDescent="0.5">
      <c r="A72" s="2" t="s">
        <v>568</v>
      </c>
      <c r="B72" s="2" t="s">
        <v>2109</v>
      </c>
      <c r="C72" s="2" t="s">
        <v>297</v>
      </c>
      <c r="D72" s="2" t="s">
        <v>1771</v>
      </c>
      <c r="E72" s="2" t="s">
        <v>2110</v>
      </c>
      <c r="F72" s="2" t="s">
        <v>2111</v>
      </c>
      <c r="G72" s="2" t="s">
        <v>1788</v>
      </c>
      <c r="H72" s="2" t="s">
        <v>1789</v>
      </c>
      <c r="I72" s="2" t="s">
        <v>2112</v>
      </c>
      <c r="J72" s="2" t="s">
        <v>1777</v>
      </c>
      <c r="K72" s="2" t="s">
        <v>1778</v>
      </c>
    </row>
    <row r="73" spans="1:11" ht="43.5" customHeight="1" x14ac:dyDescent="0.5">
      <c r="A73" s="2" t="s">
        <v>571</v>
      </c>
      <c r="B73" s="2" t="s">
        <v>2113</v>
      </c>
      <c r="C73" s="2" t="s">
        <v>274</v>
      </c>
      <c r="D73" s="2" t="s">
        <v>1771</v>
      </c>
      <c r="E73" s="2" t="s">
        <v>2114</v>
      </c>
      <c r="F73" s="2" t="s">
        <v>2115</v>
      </c>
      <c r="G73" s="2" t="s">
        <v>2116</v>
      </c>
      <c r="H73" s="2" t="s">
        <v>2117</v>
      </c>
      <c r="I73" s="2" t="s">
        <v>2118</v>
      </c>
      <c r="J73" s="2" t="s">
        <v>1777</v>
      </c>
      <c r="K73" s="2" t="s">
        <v>1778</v>
      </c>
    </row>
    <row r="74" spans="1:11" ht="43.5" customHeight="1" x14ac:dyDescent="0.5">
      <c r="A74" s="2" t="s">
        <v>575</v>
      </c>
      <c r="B74" s="2" t="s">
        <v>2119</v>
      </c>
      <c r="C74" s="2" t="s">
        <v>274</v>
      </c>
      <c r="D74" s="2" t="s">
        <v>1771</v>
      </c>
      <c r="E74" s="2" t="s">
        <v>2120</v>
      </c>
      <c r="F74" s="2" t="s">
        <v>2121</v>
      </c>
      <c r="G74" s="2" t="s">
        <v>2122</v>
      </c>
      <c r="H74" s="2" t="s">
        <v>2123</v>
      </c>
      <c r="I74" s="2" t="s">
        <v>2124</v>
      </c>
      <c r="J74" s="2" t="s">
        <v>1777</v>
      </c>
      <c r="K74" s="2" t="s">
        <v>1778</v>
      </c>
    </row>
    <row r="75" spans="1:11" ht="43.5" customHeight="1" x14ac:dyDescent="0.5">
      <c r="A75" s="2" t="s">
        <v>579</v>
      </c>
      <c r="B75" s="2" t="s">
        <v>2125</v>
      </c>
      <c r="C75" s="2" t="s">
        <v>297</v>
      </c>
      <c r="D75" s="2" t="s">
        <v>1771</v>
      </c>
      <c r="E75" s="2" t="s">
        <v>2126</v>
      </c>
      <c r="F75" s="2" t="s">
        <v>2127</v>
      </c>
      <c r="G75" s="2" t="s">
        <v>1788</v>
      </c>
      <c r="H75" s="2" t="s">
        <v>1789</v>
      </c>
      <c r="I75" s="2" t="s">
        <v>2128</v>
      </c>
      <c r="J75" s="2" t="s">
        <v>1777</v>
      </c>
      <c r="K75" s="2" t="s">
        <v>1778</v>
      </c>
    </row>
    <row r="76" spans="1:11" ht="43.5" customHeight="1" x14ac:dyDescent="0.5">
      <c r="A76" s="2" t="s">
        <v>582</v>
      </c>
      <c r="B76" s="2" t="s">
        <v>2129</v>
      </c>
      <c r="C76" s="2" t="s">
        <v>297</v>
      </c>
      <c r="D76" s="2" t="s">
        <v>1771</v>
      </c>
      <c r="E76" s="2" t="s">
        <v>2130</v>
      </c>
      <c r="F76" s="2" t="s">
        <v>2131</v>
      </c>
      <c r="G76" s="2" t="s">
        <v>1788</v>
      </c>
      <c r="H76" s="2" t="s">
        <v>1789</v>
      </c>
      <c r="I76" s="2" t="s">
        <v>2132</v>
      </c>
      <c r="J76" s="2" t="s">
        <v>1777</v>
      </c>
      <c r="K76" s="2" t="s">
        <v>1778</v>
      </c>
    </row>
    <row r="77" spans="1:11" ht="43.5" customHeight="1" x14ac:dyDescent="0.5">
      <c r="A77" s="2" t="s">
        <v>587</v>
      </c>
      <c r="B77" s="2" t="s">
        <v>2133</v>
      </c>
      <c r="C77" s="2" t="s">
        <v>297</v>
      </c>
      <c r="D77" s="2" t="s">
        <v>1771</v>
      </c>
      <c r="E77" s="2" t="s">
        <v>2134</v>
      </c>
      <c r="F77" s="2" t="s">
        <v>2135</v>
      </c>
      <c r="G77" s="2" t="s">
        <v>1788</v>
      </c>
      <c r="H77" s="2" t="s">
        <v>1789</v>
      </c>
      <c r="I77" s="2" t="s">
        <v>2136</v>
      </c>
      <c r="J77" s="2" t="s">
        <v>1777</v>
      </c>
      <c r="K77" s="2" t="s">
        <v>1778</v>
      </c>
    </row>
    <row r="78" spans="1:11" ht="43.5" customHeight="1" x14ac:dyDescent="0.5">
      <c r="A78" s="2" t="s">
        <v>591</v>
      </c>
      <c r="B78" s="2" t="s">
        <v>2137</v>
      </c>
      <c r="C78" s="2" t="s">
        <v>297</v>
      </c>
      <c r="D78" s="2" t="s">
        <v>1771</v>
      </c>
      <c r="E78" s="2" t="s">
        <v>2138</v>
      </c>
      <c r="F78" s="2" t="s">
        <v>2139</v>
      </c>
      <c r="G78" s="2" t="s">
        <v>1788</v>
      </c>
      <c r="H78" s="2" t="s">
        <v>1789</v>
      </c>
      <c r="I78" s="2" t="s">
        <v>2140</v>
      </c>
      <c r="J78" s="2" t="s">
        <v>1777</v>
      </c>
      <c r="K78" s="2" t="s">
        <v>1778</v>
      </c>
    </row>
    <row r="79" spans="1:11" ht="43.5" customHeight="1" x14ac:dyDescent="0.5">
      <c r="A79" s="2" t="s">
        <v>595</v>
      </c>
      <c r="B79" s="2" t="s">
        <v>2141</v>
      </c>
      <c r="C79" s="2" t="s">
        <v>274</v>
      </c>
      <c r="D79" s="2" t="s">
        <v>1771</v>
      </c>
      <c r="E79" s="2" t="s">
        <v>2142</v>
      </c>
      <c r="F79" s="2" t="s">
        <v>2143</v>
      </c>
      <c r="G79" s="2" t="s">
        <v>2144</v>
      </c>
      <c r="H79" s="2" t="s">
        <v>2145</v>
      </c>
      <c r="I79" s="2" t="s">
        <v>2146</v>
      </c>
      <c r="J79" s="2" t="s">
        <v>1777</v>
      </c>
      <c r="K79" s="2" t="s">
        <v>1778</v>
      </c>
    </row>
    <row r="80" spans="1:11" ht="43.5" customHeight="1" x14ac:dyDescent="0.5">
      <c r="A80" s="2" t="s">
        <v>600</v>
      </c>
      <c r="B80" s="2" t="s">
        <v>2147</v>
      </c>
      <c r="C80" s="2" t="s">
        <v>274</v>
      </c>
      <c r="D80" s="2" t="s">
        <v>1771</v>
      </c>
      <c r="E80" s="2" t="s">
        <v>2148</v>
      </c>
      <c r="F80" s="2" t="s">
        <v>2149</v>
      </c>
      <c r="G80" s="2" t="s">
        <v>2150</v>
      </c>
      <c r="H80" s="2" t="s">
        <v>2151</v>
      </c>
      <c r="I80" s="2" t="s">
        <v>2152</v>
      </c>
      <c r="J80" s="2" t="s">
        <v>1777</v>
      </c>
      <c r="K80" s="2" t="s">
        <v>1778</v>
      </c>
    </row>
    <row r="81" spans="1:11" ht="43.5" customHeight="1" x14ac:dyDescent="0.5">
      <c r="A81" s="2" t="s">
        <v>604</v>
      </c>
      <c r="B81" s="2" t="s">
        <v>2153</v>
      </c>
      <c r="C81" s="2" t="s">
        <v>297</v>
      </c>
      <c r="D81" s="2" t="s">
        <v>1771</v>
      </c>
      <c r="E81" s="2" t="s">
        <v>2154</v>
      </c>
      <c r="F81" s="2" t="s">
        <v>2155</v>
      </c>
      <c r="G81" s="2" t="s">
        <v>1788</v>
      </c>
      <c r="H81" s="2" t="s">
        <v>1789</v>
      </c>
      <c r="I81" s="2" t="s">
        <v>2156</v>
      </c>
      <c r="J81" s="2" t="s">
        <v>1777</v>
      </c>
      <c r="K81" s="2" t="s">
        <v>1778</v>
      </c>
    </row>
    <row r="82" spans="1:11" ht="43.5" customHeight="1" x14ac:dyDescent="0.5">
      <c r="A82" s="2" t="s">
        <v>607</v>
      </c>
      <c r="B82" s="2" t="s">
        <v>2157</v>
      </c>
      <c r="C82" s="2" t="s">
        <v>297</v>
      </c>
      <c r="D82" s="2" t="s">
        <v>1771</v>
      </c>
      <c r="E82" s="2" t="s">
        <v>2158</v>
      </c>
      <c r="F82" s="2" t="s">
        <v>2159</v>
      </c>
      <c r="G82" s="2" t="s">
        <v>1788</v>
      </c>
      <c r="H82" s="2" t="s">
        <v>1789</v>
      </c>
      <c r="I82" s="2" t="s">
        <v>2160</v>
      </c>
      <c r="J82" s="2" t="s">
        <v>1777</v>
      </c>
      <c r="K82" s="2" t="s">
        <v>1778</v>
      </c>
    </row>
    <row r="83" spans="1:11" ht="43.5" customHeight="1" x14ac:dyDescent="0.5">
      <c r="A83" s="2" t="s">
        <v>612</v>
      </c>
      <c r="B83" s="2" t="s">
        <v>2161</v>
      </c>
      <c r="C83" s="2" t="s">
        <v>297</v>
      </c>
      <c r="D83" s="2" t="s">
        <v>1771</v>
      </c>
      <c r="E83" s="2" t="s">
        <v>2162</v>
      </c>
      <c r="F83" s="2" t="s">
        <v>2163</v>
      </c>
      <c r="G83" s="2" t="s">
        <v>1788</v>
      </c>
      <c r="H83" s="2" t="s">
        <v>1789</v>
      </c>
      <c r="I83" s="2" t="s">
        <v>2164</v>
      </c>
      <c r="J83" s="2" t="s">
        <v>1777</v>
      </c>
      <c r="K83" s="2" t="s">
        <v>1778</v>
      </c>
    </row>
    <row r="84" spans="1:11" ht="43.5" customHeight="1" x14ac:dyDescent="0.5">
      <c r="A84" s="2" t="s">
        <v>616</v>
      </c>
      <c r="B84" s="2" t="s">
        <v>2165</v>
      </c>
      <c r="C84" s="2" t="s">
        <v>297</v>
      </c>
      <c r="D84" s="2" t="s">
        <v>1771</v>
      </c>
      <c r="E84" s="2" t="s">
        <v>2166</v>
      </c>
      <c r="F84" s="2" t="s">
        <v>2167</v>
      </c>
      <c r="G84" s="2" t="s">
        <v>1788</v>
      </c>
      <c r="H84" s="2" t="s">
        <v>1789</v>
      </c>
      <c r="I84" s="2" t="s">
        <v>2168</v>
      </c>
      <c r="J84" s="2" t="s">
        <v>1777</v>
      </c>
      <c r="K84" s="2" t="s">
        <v>1778</v>
      </c>
    </row>
    <row r="85" spans="1:11" ht="43.5" customHeight="1" x14ac:dyDescent="0.5">
      <c r="A85" s="2" t="s">
        <v>620</v>
      </c>
      <c r="B85" s="2" t="s">
        <v>2169</v>
      </c>
      <c r="C85" s="2" t="s">
        <v>274</v>
      </c>
      <c r="D85" s="2" t="s">
        <v>1771</v>
      </c>
      <c r="E85" s="2" t="s">
        <v>2170</v>
      </c>
      <c r="F85" s="2" t="s">
        <v>2171</v>
      </c>
      <c r="G85" s="2" t="s">
        <v>2172</v>
      </c>
      <c r="H85" s="2" t="s">
        <v>2173</v>
      </c>
      <c r="I85" s="2" t="s">
        <v>2174</v>
      </c>
      <c r="J85" s="2" t="s">
        <v>1777</v>
      </c>
      <c r="K85" s="2" t="s">
        <v>1778</v>
      </c>
    </row>
    <row r="86" spans="1:11" ht="43.5" customHeight="1" x14ac:dyDescent="0.5">
      <c r="A86" s="2" t="s">
        <v>623</v>
      </c>
      <c r="B86" s="2" t="s">
        <v>2175</v>
      </c>
      <c r="C86" s="2" t="s">
        <v>274</v>
      </c>
      <c r="D86" s="2" t="s">
        <v>1771</v>
      </c>
      <c r="E86" s="2" t="s">
        <v>2176</v>
      </c>
      <c r="F86" s="2" t="s">
        <v>2177</v>
      </c>
      <c r="G86" s="2" t="s">
        <v>2178</v>
      </c>
      <c r="H86" s="2" t="s">
        <v>2179</v>
      </c>
      <c r="I86" s="2" t="s">
        <v>2180</v>
      </c>
      <c r="J86" s="2" t="s">
        <v>1777</v>
      </c>
      <c r="K86" s="2" t="s">
        <v>1778</v>
      </c>
    </row>
    <row r="87" spans="1:11" ht="43.5" customHeight="1" x14ac:dyDescent="0.5">
      <c r="A87" s="2" t="s">
        <v>625</v>
      </c>
      <c r="B87" s="2" t="s">
        <v>2181</v>
      </c>
      <c r="C87" s="2" t="s">
        <v>297</v>
      </c>
      <c r="D87" s="2" t="s">
        <v>1771</v>
      </c>
      <c r="E87" s="2" t="s">
        <v>2182</v>
      </c>
      <c r="F87" s="2" t="s">
        <v>2183</v>
      </c>
      <c r="G87" s="2" t="s">
        <v>1788</v>
      </c>
      <c r="H87" s="2" t="s">
        <v>1789</v>
      </c>
      <c r="I87" s="2" t="s">
        <v>2184</v>
      </c>
      <c r="J87" s="2" t="s">
        <v>1777</v>
      </c>
      <c r="K87" s="2" t="s">
        <v>1778</v>
      </c>
    </row>
    <row r="88" spans="1:11" ht="43.5" customHeight="1" x14ac:dyDescent="0.5">
      <c r="A88" s="2" t="s">
        <v>627</v>
      </c>
      <c r="B88" s="2" t="s">
        <v>2185</v>
      </c>
      <c r="C88" s="2" t="s">
        <v>297</v>
      </c>
      <c r="D88" s="2" t="s">
        <v>1771</v>
      </c>
      <c r="E88" s="2" t="s">
        <v>2186</v>
      </c>
      <c r="F88" s="2" t="s">
        <v>2187</v>
      </c>
      <c r="G88" s="2" t="s">
        <v>1788</v>
      </c>
      <c r="H88" s="2" t="s">
        <v>1789</v>
      </c>
      <c r="I88" s="2" t="s">
        <v>2188</v>
      </c>
      <c r="J88" s="2" t="s">
        <v>1777</v>
      </c>
      <c r="K88" s="2" t="s">
        <v>1778</v>
      </c>
    </row>
    <row r="89" spans="1:11" ht="43.5" customHeight="1" x14ac:dyDescent="0.5">
      <c r="A89" s="2" t="s">
        <v>629</v>
      </c>
      <c r="B89" s="2" t="s">
        <v>2189</v>
      </c>
      <c r="C89" s="2" t="s">
        <v>297</v>
      </c>
      <c r="D89" s="2" t="s">
        <v>1771</v>
      </c>
      <c r="E89" s="2" t="s">
        <v>2190</v>
      </c>
      <c r="F89" s="2" t="s">
        <v>2191</v>
      </c>
      <c r="G89" s="2" t="s">
        <v>1788</v>
      </c>
      <c r="H89" s="2" t="s">
        <v>1789</v>
      </c>
      <c r="I89" s="2" t="s">
        <v>2192</v>
      </c>
      <c r="J89" s="2" t="s">
        <v>1777</v>
      </c>
      <c r="K89" s="2" t="s">
        <v>1778</v>
      </c>
    </row>
    <row r="90" spans="1:11" ht="43.5" customHeight="1" x14ac:dyDescent="0.5">
      <c r="A90" s="2" t="s">
        <v>631</v>
      </c>
      <c r="B90" s="2" t="s">
        <v>2193</v>
      </c>
      <c r="C90" s="2" t="s">
        <v>297</v>
      </c>
      <c r="D90" s="2" t="s">
        <v>1771</v>
      </c>
      <c r="E90" s="2" t="s">
        <v>2194</v>
      </c>
      <c r="F90" s="2" t="s">
        <v>2195</v>
      </c>
      <c r="G90" s="2" t="s">
        <v>1788</v>
      </c>
      <c r="H90" s="2" t="s">
        <v>1789</v>
      </c>
      <c r="I90" s="2" t="s">
        <v>2196</v>
      </c>
      <c r="J90" s="2" t="s">
        <v>1777</v>
      </c>
      <c r="K90" s="2" t="s">
        <v>1778</v>
      </c>
    </row>
    <row r="91" spans="1:11" ht="43.5" customHeight="1" x14ac:dyDescent="0.5">
      <c r="A91" s="2" t="s">
        <v>633</v>
      </c>
      <c r="B91" s="2" t="s">
        <v>2197</v>
      </c>
      <c r="C91" s="2" t="s">
        <v>274</v>
      </c>
      <c r="D91" s="2" t="s">
        <v>1771</v>
      </c>
      <c r="E91" s="2" t="s">
        <v>2198</v>
      </c>
      <c r="F91" s="2" t="s">
        <v>2199</v>
      </c>
      <c r="G91" s="2" t="s">
        <v>2200</v>
      </c>
      <c r="H91" s="2" t="s">
        <v>2201</v>
      </c>
      <c r="I91" s="2" t="s">
        <v>2202</v>
      </c>
      <c r="J91" s="2" t="s">
        <v>1777</v>
      </c>
      <c r="K91" s="2" t="s">
        <v>1778</v>
      </c>
    </row>
    <row r="92" spans="1:11" ht="43.5" customHeight="1" x14ac:dyDescent="0.5">
      <c r="A92" s="2" t="s">
        <v>636</v>
      </c>
      <c r="B92" s="2" t="s">
        <v>2203</v>
      </c>
      <c r="C92" s="2" t="s">
        <v>274</v>
      </c>
      <c r="D92" s="2" t="s">
        <v>1771</v>
      </c>
      <c r="E92" s="2" t="s">
        <v>2204</v>
      </c>
      <c r="F92" s="2" t="s">
        <v>2205</v>
      </c>
      <c r="G92" s="2" t="s">
        <v>2206</v>
      </c>
      <c r="H92" s="2" t="s">
        <v>2207</v>
      </c>
      <c r="I92" s="2" t="s">
        <v>2208</v>
      </c>
      <c r="J92" s="2" t="s">
        <v>1777</v>
      </c>
      <c r="K92" s="2" t="s">
        <v>1778</v>
      </c>
    </row>
    <row r="93" spans="1:11" ht="43.5" customHeight="1" x14ac:dyDescent="0.5">
      <c r="A93" s="2" t="s">
        <v>638</v>
      </c>
      <c r="B93" s="2" t="s">
        <v>2209</v>
      </c>
      <c r="C93" s="2" t="s">
        <v>297</v>
      </c>
      <c r="D93" s="2" t="s">
        <v>1771</v>
      </c>
      <c r="E93" s="2" t="s">
        <v>2210</v>
      </c>
      <c r="F93" s="2" t="s">
        <v>2211</v>
      </c>
      <c r="G93" s="2" t="s">
        <v>1788</v>
      </c>
      <c r="H93" s="2" t="s">
        <v>1789</v>
      </c>
      <c r="I93" s="2" t="s">
        <v>2212</v>
      </c>
      <c r="J93" s="2" t="s">
        <v>1777</v>
      </c>
      <c r="K93" s="2" t="s">
        <v>1778</v>
      </c>
    </row>
    <row r="94" spans="1:11" ht="43.5" customHeight="1" x14ac:dyDescent="0.5">
      <c r="A94" s="2" t="s">
        <v>640</v>
      </c>
      <c r="B94" s="2" t="s">
        <v>2213</v>
      </c>
      <c r="C94" s="2" t="s">
        <v>297</v>
      </c>
      <c r="D94" s="2" t="s">
        <v>1771</v>
      </c>
      <c r="E94" s="2" t="s">
        <v>2214</v>
      </c>
      <c r="F94" s="2" t="s">
        <v>2215</v>
      </c>
      <c r="G94" s="2" t="s">
        <v>1788</v>
      </c>
      <c r="H94" s="2" t="s">
        <v>1789</v>
      </c>
      <c r="I94" s="2" t="s">
        <v>2216</v>
      </c>
      <c r="J94" s="2" t="s">
        <v>1777</v>
      </c>
      <c r="K94" s="2" t="s">
        <v>1778</v>
      </c>
    </row>
    <row r="95" spans="1:11" ht="43.5" customHeight="1" x14ac:dyDescent="0.5">
      <c r="A95" s="2" t="s">
        <v>642</v>
      </c>
      <c r="B95" s="2" t="s">
        <v>2217</v>
      </c>
      <c r="C95" s="2" t="s">
        <v>297</v>
      </c>
      <c r="D95" s="2" t="s">
        <v>1771</v>
      </c>
      <c r="E95" s="2" t="s">
        <v>2218</v>
      </c>
      <c r="F95" s="2" t="s">
        <v>2219</v>
      </c>
      <c r="G95" s="2" t="s">
        <v>1788</v>
      </c>
      <c r="H95" s="2" t="s">
        <v>1789</v>
      </c>
      <c r="I95" s="2" t="s">
        <v>2220</v>
      </c>
      <c r="J95" s="2" t="s">
        <v>1777</v>
      </c>
      <c r="K95" s="2" t="s">
        <v>1778</v>
      </c>
    </row>
    <row r="96" spans="1:11" ht="43.5" customHeight="1" x14ac:dyDescent="0.5">
      <c r="A96" s="2" t="s">
        <v>644</v>
      </c>
      <c r="B96" s="2" t="s">
        <v>2221</v>
      </c>
      <c r="C96" s="2" t="s">
        <v>297</v>
      </c>
      <c r="D96" s="2" t="s">
        <v>1771</v>
      </c>
      <c r="E96" s="2" t="s">
        <v>2222</v>
      </c>
      <c r="F96" s="2" t="s">
        <v>2223</v>
      </c>
      <c r="G96" s="2" t="s">
        <v>1788</v>
      </c>
      <c r="H96" s="2" t="s">
        <v>1789</v>
      </c>
      <c r="I96" s="2" t="s">
        <v>2224</v>
      </c>
      <c r="J96" s="2" t="s">
        <v>1777</v>
      </c>
      <c r="K96" s="2" t="s">
        <v>1778</v>
      </c>
    </row>
    <row r="97" spans="1:11" ht="43.5" customHeight="1" x14ac:dyDescent="0.5">
      <c r="A97" s="2" t="s">
        <v>646</v>
      </c>
      <c r="B97" s="2" t="s">
        <v>2225</v>
      </c>
      <c r="C97" s="2" t="s">
        <v>274</v>
      </c>
      <c r="D97" s="2" t="s">
        <v>1771</v>
      </c>
      <c r="E97" s="2" t="s">
        <v>2226</v>
      </c>
      <c r="F97" s="2" t="s">
        <v>2227</v>
      </c>
      <c r="G97" s="2" t="s">
        <v>2228</v>
      </c>
      <c r="H97" s="2" t="s">
        <v>2229</v>
      </c>
      <c r="I97" s="2" t="s">
        <v>2230</v>
      </c>
      <c r="J97" s="2" t="s">
        <v>1777</v>
      </c>
      <c r="K97" s="2" t="s">
        <v>1778</v>
      </c>
    </row>
    <row r="98" spans="1:11" ht="43.5" customHeight="1" x14ac:dyDescent="0.5">
      <c r="A98" s="2" t="s">
        <v>649</v>
      </c>
      <c r="B98" s="2" t="s">
        <v>2231</v>
      </c>
      <c r="C98" s="2" t="s">
        <v>274</v>
      </c>
      <c r="D98" s="2" t="s">
        <v>1771</v>
      </c>
      <c r="E98" s="2" t="s">
        <v>2232</v>
      </c>
      <c r="F98" s="2" t="s">
        <v>2233</v>
      </c>
      <c r="G98" s="2" t="s">
        <v>2234</v>
      </c>
      <c r="H98" s="2" t="s">
        <v>2235</v>
      </c>
      <c r="I98" s="2" t="s">
        <v>2236</v>
      </c>
      <c r="J98" s="2" t="s">
        <v>1777</v>
      </c>
      <c r="K98" s="2" t="s">
        <v>1778</v>
      </c>
    </row>
    <row r="99" spans="1:11" ht="43.5" customHeight="1" x14ac:dyDescent="0.5">
      <c r="A99" s="2" t="s">
        <v>651</v>
      </c>
      <c r="B99" s="2" t="s">
        <v>2237</v>
      </c>
      <c r="C99" s="2" t="s">
        <v>297</v>
      </c>
      <c r="D99" s="2" t="s">
        <v>1771</v>
      </c>
      <c r="E99" s="2" t="s">
        <v>2238</v>
      </c>
      <c r="F99" s="2" t="s">
        <v>2239</v>
      </c>
      <c r="G99" s="2" t="s">
        <v>1788</v>
      </c>
      <c r="H99" s="2" t="s">
        <v>1789</v>
      </c>
      <c r="I99" s="2" t="s">
        <v>2240</v>
      </c>
      <c r="J99" s="2" t="s">
        <v>1777</v>
      </c>
      <c r="K99" s="2" t="s">
        <v>1778</v>
      </c>
    </row>
    <row r="100" spans="1:11" ht="43.5" customHeight="1" x14ac:dyDescent="0.5">
      <c r="A100" s="2" t="s">
        <v>653</v>
      </c>
      <c r="B100" s="2" t="s">
        <v>2241</v>
      </c>
      <c r="C100" s="2" t="s">
        <v>297</v>
      </c>
      <c r="D100" s="2" t="s">
        <v>1771</v>
      </c>
      <c r="E100" s="2" t="s">
        <v>2242</v>
      </c>
      <c r="F100" s="2" t="s">
        <v>2243</v>
      </c>
      <c r="G100" s="2" t="s">
        <v>1788</v>
      </c>
      <c r="H100" s="2" t="s">
        <v>1789</v>
      </c>
      <c r="I100" s="2" t="s">
        <v>2244</v>
      </c>
      <c r="J100" s="2" t="s">
        <v>1777</v>
      </c>
      <c r="K100" s="2" t="s">
        <v>1778</v>
      </c>
    </row>
    <row r="101" spans="1:11" ht="43.5" customHeight="1" x14ac:dyDescent="0.5">
      <c r="A101" s="2" t="s">
        <v>655</v>
      </c>
      <c r="B101" s="2" t="s">
        <v>2245</v>
      </c>
      <c r="C101" s="2" t="s">
        <v>297</v>
      </c>
      <c r="D101" s="2" t="s">
        <v>1771</v>
      </c>
      <c r="E101" s="2" t="s">
        <v>2246</v>
      </c>
      <c r="F101" s="2" t="s">
        <v>2247</v>
      </c>
      <c r="G101" s="2" t="s">
        <v>1788</v>
      </c>
      <c r="H101" s="2" t="s">
        <v>1789</v>
      </c>
      <c r="I101" s="2" t="s">
        <v>2248</v>
      </c>
      <c r="J101" s="2" t="s">
        <v>1777</v>
      </c>
      <c r="K101" s="2" t="s">
        <v>1778</v>
      </c>
    </row>
    <row r="102" spans="1:11" ht="43.5" customHeight="1" x14ac:dyDescent="0.5">
      <c r="A102" s="2" t="s">
        <v>657</v>
      </c>
      <c r="B102" s="2" t="s">
        <v>2249</v>
      </c>
      <c r="C102" s="2" t="s">
        <v>297</v>
      </c>
      <c r="D102" s="2" t="s">
        <v>1771</v>
      </c>
      <c r="E102" s="2" t="s">
        <v>2250</v>
      </c>
      <c r="F102" s="2" t="s">
        <v>2251</v>
      </c>
      <c r="G102" s="2" t="s">
        <v>1788</v>
      </c>
      <c r="H102" s="2" t="s">
        <v>1789</v>
      </c>
      <c r="I102" s="2" t="s">
        <v>2252</v>
      </c>
      <c r="J102" s="2" t="s">
        <v>1777</v>
      </c>
      <c r="K102" s="2" t="s">
        <v>1778</v>
      </c>
    </row>
    <row r="103" spans="1:11" ht="43.5" customHeight="1" x14ac:dyDescent="0.5">
      <c r="A103" s="2" t="s">
        <v>659</v>
      </c>
      <c r="B103" s="2" t="s">
        <v>2253</v>
      </c>
      <c r="C103" s="2" t="s">
        <v>274</v>
      </c>
      <c r="D103" s="2" t="s">
        <v>1771</v>
      </c>
      <c r="E103" s="2" t="s">
        <v>2254</v>
      </c>
      <c r="F103" s="2" t="s">
        <v>2255</v>
      </c>
      <c r="G103" s="2" t="s">
        <v>2256</v>
      </c>
      <c r="H103" s="2" t="s">
        <v>2257</v>
      </c>
      <c r="I103" s="2" t="s">
        <v>2258</v>
      </c>
      <c r="J103" s="2" t="s">
        <v>1777</v>
      </c>
      <c r="K103" s="2" t="s">
        <v>1778</v>
      </c>
    </row>
    <row r="104" spans="1:11" ht="43.5" customHeight="1" x14ac:dyDescent="0.5">
      <c r="A104" s="2" t="s">
        <v>661</v>
      </c>
      <c r="B104" s="2" t="s">
        <v>2259</v>
      </c>
      <c r="C104" s="2" t="s">
        <v>274</v>
      </c>
      <c r="D104" s="2" t="s">
        <v>1771</v>
      </c>
      <c r="E104" s="2" t="s">
        <v>2260</v>
      </c>
      <c r="F104" s="2" t="s">
        <v>2261</v>
      </c>
      <c r="G104" s="2" t="s">
        <v>2262</v>
      </c>
      <c r="H104" s="2" t="s">
        <v>2263</v>
      </c>
      <c r="I104" s="2" t="s">
        <v>2264</v>
      </c>
      <c r="J104" s="2" t="s">
        <v>1777</v>
      </c>
      <c r="K104" s="2" t="s">
        <v>1778</v>
      </c>
    </row>
    <row r="105" spans="1:11" ht="43.5" customHeight="1" x14ac:dyDescent="0.5">
      <c r="A105" s="2" t="s">
        <v>663</v>
      </c>
      <c r="B105" s="2" t="s">
        <v>2265</v>
      </c>
      <c r="C105" s="2" t="s">
        <v>297</v>
      </c>
      <c r="D105" s="2" t="s">
        <v>1771</v>
      </c>
      <c r="E105" s="2" t="s">
        <v>2266</v>
      </c>
      <c r="F105" s="2" t="s">
        <v>2267</v>
      </c>
      <c r="G105" s="2" t="s">
        <v>1788</v>
      </c>
      <c r="H105" s="2" t="s">
        <v>1789</v>
      </c>
      <c r="I105" s="2" t="s">
        <v>2268</v>
      </c>
      <c r="J105" s="2" t="s">
        <v>1777</v>
      </c>
      <c r="K105" s="2" t="s">
        <v>1778</v>
      </c>
    </row>
    <row r="106" spans="1:11" ht="43.5" customHeight="1" x14ac:dyDescent="0.5">
      <c r="A106" s="2" t="s">
        <v>665</v>
      </c>
      <c r="B106" s="2" t="s">
        <v>2269</v>
      </c>
      <c r="C106" s="2" t="s">
        <v>297</v>
      </c>
      <c r="D106" s="2" t="s">
        <v>1771</v>
      </c>
      <c r="E106" s="2" t="s">
        <v>2270</v>
      </c>
      <c r="F106" s="2" t="s">
        <v>2271</v>
      </c>
      <c r="G106" s="2" t="s">
        <v>1788</v>
      </c>
      <c r="H106" s="2" t="s">
        <v>1789</v>
      </c>
      <c r="I106" s="2" t="s">
        <v>2272</v>
      </c>
      <c r="J106" s="2" t="s">
        <v>1777</v>
      </c>
      <c r="K106" s="2" t="s">
        <v>1778</v>
      </c>
    </row>
    <row r="107" spans="1:11" ht="43.5" customHeight="1" x14ac:dyDescent="0.5">
      <c r="A107" s="2" t="s">
        <v>667</v>
      </c>
      <c r="B107" s="2" t="s">
        <v>2273</v>
      </c>
      <c r="C107" s="2" t="s">
        <v>297</v>
      </c>
      <c r="D107" s="2" t="s">
        <v>1771</v>
      </c>
      <c r="E107" s="2" t="s">
        <v>2274</v>
      </c>
      <c r="F107" s="2" t="s">
        <v>2275</v>
      </c>
      <c r="G107" s="2" t="s">
        <v>1788</v>
      </c>
      <c r="H107" s="2" t="s">
        <v>1789</v>
      </c>
      <c r="I107" s="2" t="s">
        <v>2276</v>
      </c>
      <c r="J107" s="2" t="s">
        <v>1777</v>
      </c>
      <c r="K107" s="2" t="s">
        <v>1778</v>
      </c>
    </row>
    <row r="108" spans="1:11" ht="43.5" customHeight="1" x14ac:dyDescent="0.5">
      <c r="A108" s="2" t="s">
        <v>669</v>
      </c>
      <c r="B108" s="2" t="s">
        <v>2277</v>
      </c>
      <c r="C108" s="2" t="s">
        <v>297</v>
      </c>
      <c r="D108" s="2" t="s">
        <v>1771</v>
      </c>
      <c r="E108" s="2" t="s">
        <v>2278</v>
      </c>
      <c r="F108" s="2" t="s">
        <v>2279</v>
      </c>
      <c r="G108" s="2" t="s">
        <v>1788</v>
      </c>
      <c r="H108" s="2" t="s">
        <v>1789</v>
      </c>
      <c r="I108" s="2" t="s">
        <v>2280</v>
      </c>
      <c r="J108" s="2" t="s">
        <v>1777</v>
      </c>
      <c r="K108" s="2" t="s">
        <v>1778</v>
      </c>
    </row>
    <row r="109" spans="1:11" ht="43.5" customHeight="1" x14ac:dyDescent="0.5">
      <c r="A109" s="2" t="s">
        <v>671</v>
      </c>
      <c r="B109" s="2" t="s">
        <v>2281</v>
      </c>
      <c r="C109" s="2" t="s">
        <v>274</v>
      </c>
      <c r="D109" s="2" t="s">
        <v>1771</v>
      </c>
      <c r="E109" s="2" t="s">
        <v>2282</v>
      </c>
      <c r="F109" s="2" t="s">
        <v>2283</v>
      </c>
      <c r="G109" s="2" t="s">
        <v>2284</v>
      </c>
      <c r="H109" s="2" t="s">
        <v>2285</v>
      </c>
      <c r="I109" s="2" t="s">
        <v>2286</v>
      </c>
      <c r="J109" s="2" t="s">
        <v>1777</v>
      </c>
      <c r="K109" s="2" t="s">
        <v>1778</v>
      </c>
    </row>
    <row r="110" spans="1:11" ht="43.5" customHeight="1" x14ac:dyDescent="0.5">
      <c r="A110" s="2" t="s">
        <v>675</v>
      </c>
      <c r="B110" s="2" t="s">
        <v>2287</v>
      </c>
      <c r="C110" s="2" t="s">
        <v>274</v>
      </c>
      <c r="D110" s="2" t="s">
        <v>1771</v>
      </c>
      <c r="E110" s="2" t="s">
        <v>2288</v>
      </c>
      <c r="F110" s="2" t="s">
        <v>2289</v>
      </c>
      <c r="G110" s="2" t="s">
        <v>2290</v>
      </c>
      <c r="H110" s="2" t="s">
        <v>2291</v>
      </c>
      <c r="I110" s="2" t="s">
        <v>2292</v>
      </c>
      <c r="J110" s="2" t="s">
        <v>1777</v>
      </c>
      <c r="K110" s="2" t="s">
        <v>1778</v>
      </c>
    </row>
    <row r="111" spans="1:11" ht="43.5" customHeight="1" x14ac:dyDescent="0.5">
      <c r="A111" s="2" t="s">
        <v>678</v>
      </c>
      <c r="B111" s="2" t="s">
        <v>2293</v>
      </c>
      <c r="C111" s="2" t="s">
        <v>297</v>
      </c>
      <c r="D111" s="2" t="s">
        <v>1771</v>
      </c>
      <c r="E111" s="2" t="s">
        <v>2294</v>
      </c>
      <c r="F111" s="2" t="s">
        <v>2295</v>
      </c>
      <c r="G111" s="2" t="s">
        <v>1788</v>
      </c>
      <c r="H111" s="2" t="s">
        <v>1789</v>
      </c>
      <c r="I111" s="2" t="s">
        <v>2296</v>
      </c>
      <c r="J111" s="2" t="s">
        <v>1777</v>
      </c>
      <c r="K111" s="2" t="s">
        <v>1778</v>
      </c>
    </row>
    <row r="112" spans="1:11" ht="43.5" customHeight="1" x14ac:dyDescent="0.5">
      <c r="A112" s="2" t="s">
        <v>681</v>
      </c>
      <c r="B112" s="2" t="s">
        <v>2297</v>
      </c>
      <c r="C112" s="2" t="s">
        <v>297</v>
      </c>
      <c r="D112" s="2" t="s">
        <v>1771</v>
      </c>
      <c r="E112" s="2" t="s">
        <v>2298</v>
      </c>
      <c r="F112" s="2" t="s">
        <v>2299</v>
      </c>
      <c r="G112" s="2" t="s">
        <v>1788</v>
      </c>
      <c r="H112" s="2" t="s">
        <v>1789</v>
      </c>
      <c r="I112" s="2" t="s">
        <v>2300</v>
      </c>
      <c r="J112" s="2" t="s">
        <v>1777</v>
      </c>
      <c r="K112" s="2" t="s">
        <v>1778</v>
      </c>
    </row>
    <row r="113" spans="1:11" ht="43.5" customHeight="1" x14ac:dyDescent="0.5">
      <c r="A113" s="2" t="s">
        <v>684</v>
      </c>
      <c r="B113" s="2" t="s">
        <v>2301</v>
      </c>
      <c r="C113" s="2" t="s">
        <v>297</v>
      </c>
      <c r="D113" s="2" t="s">
        <v>1771</v>
      </c>
      <c r="E113" s="2" t="s">
        <v>2302</v>
      </c>
      <c r="F113" s="2" t="s">
        <v>2303</v>
      </c>
      <c r="G113" s="2" t="s">
        <v>1788</v>
      </c>
      <c r="H113" s="2" t="s">
        <v>1789</v>
      </c>
      <c r="I113" s="2" t="s">
        <v>2304</v>
      </c>
      <c r="J113" s="2" t="s">
        <v>1777</v>
      </c>
      <c r="K113" s="2" t="s">
        <v>1778</v>
      </c>
    </row>
    <row r="114" spans="1:11" ht="43.5" customHeight="1" x14ac:dyDescent="0.5">
      <c r="A114" s="2" t="s">
        <v>687</v>
      </c>
      <c r="B114" s="2" t="s">
        <v>2305</v>
      </c>
      <c r="C114" s="2" t="s">
        <v>297</v>
      </c>
      <c r="D114" s="2" t="s">
        <v>1771</v>
      </c>
      <c r="E114" s="2" t="s">
        <v>2306</v>
      </c>
      <c r="F114" s="2" t="s">
        <v>2307</v>
      </c>
      <c r="G114" s="2" t="s">
        <v>1788</v>
      </c>
      <c r="H114" s="2" t="s">
        <v>1789</v>
      </c>
      <c r="I114" s="2" t="s">
        <v>2308</v>
      </c>
      <c r="J114" s="2" t="s">
        <v>1777</v>
      </c>
      <c r="K114" s="2" t="s">
        <v>1778</v>
      </c>
    </row>
    <row r="115" spans="1:11" ht="43.5" customHeight="1" x14ac:dyDescent="0.5">
      <c r="A115" s="2" t="s">
        <v>690</v>
      </c>
      <c r="B115" s="2" t="s">
        <v>2309</v>
      </c>
      <c r="C115" s="2" t="s">
        <v>274</v>
      </c>
      <c r="D115" s="2" t="s">
        <v>1771</v>
      </c>
      <c r="E115" s="2" t="s">
        <v>2310</v>
      </c>
      <c r="F115" s="2" t="s">
        <v>2311</v>
      </c>
      <c r="G115" s="2" t="s">
        <v>2312</v>
      </c>
      <c r="H115" s="2" t="s">
        <v>2313</v>
      </c>
      <c r="I115" s="2" t="s">
        <v>2314</v>
      </c>
      <c r="J115" s="2" t="s">
        <v>1777</v>
      </c>
      <c r="K115" s="2" t="s">
        <v>1778</v>
      </c>
    </row>
    <row r="116" spans="1:11" ht="43.5" customHeight="1" x14ac:dyDescent="0.5">
      <c r="A116" s="2" t="s">
        <v>693</v>
      </c>
      <c r="B116" s="2" t="s">
        <v>2315</v>
      </c>
      <c r="C116" s="2" t="s">
        <v>274</v>
      </c>
      <c r="D116" s="2" t="s">
        <v>1771</v>
      </c>
      <c r="E116" s="2" t="s">
        <v>2316</v>
      </c>
      <c r="F116" s="2" t="s">
        <v>2317</v>
      </c>
      <c r="G116" s="2" t="s">
        <v>2318</v>
      </c>
      <c r="H116" s="2" t="s">
        <v>2319</v>
      </c>
      <c r="I116" s="2" t="s">
        <v>2320</v>
      </c>
      <c r="J116" s="2" t="s">
        <v>1777</v>
      </c>
      <c r="K116" s="2" t="s">
        <v>1778</v>
      </c>
    </row>
    <row r="117" spans="1:11" ht="43.5" customHeight="1" x14ac:dyDescent="0.5">
      <c r="A117" s="2" t="s">
        <v>696</v>
      </c>
      <c r="B117" s="2" t="s">
        <v>2321</v>
      </c>
      <c r="C117" s="2" t="s">
        <v>297</v>
      </c>
      <c r="D117" s="2" t="s">
        <v>1771</v>
      </c>
      <c r="E117" s="2" t="s">
        <v>2322</v>
      </c>
      <c r="F117" s="2" t="s">
        <v>2323</v>
      </c>
      <c r="G117" s="2" t="s">
        <v>1788</v>
      </c>
      <c r="H117" s="2" t="s">
        <v>1789</v>
      </c>
      <c r="I117" s="2" t="s">
        <v>2324</v>
      </c>
      <c r="J117" s="2" t="s">
        <v>1777</v>
      </c>
      <c r="K117" s="2" t="s">
        <v>1778</v>
      </c>
    </row>
    <row r="118" spans="1:11" ht="43.5" customHeight="1" x14ac:dyDescent="0.5">
      <c r="A118" s="2" t="s">
        <v>699</v>
      </c>
      <c r="B118" s="2" t="s">
        <v>2325</v>
      </c>
      <c r="C118" s="2" t="s">
        <v>297</v>
      </c>
      <c r="D118" s="2" t="s">
        <v>1771</v>
      </c>
      <c r="E118" s="2" t="s">
        <v>2326</v>
      </c>
      <c r="F118" s="2" t="s">
        <v>2327</v>
      </c>
      <c r="G118" s="2" t="s">
        <v>1788</v>
      </c>
      <c r="H118" s="2" t="s">
        <v>1789</v>
      </c>
      <c r="I118" s="2" t="s">
        <v>2328</v>
      </c>
      <c r="J118" s="2" t="s">
        <v>1777</v>
      </c>
      <c r="K118" s="2" t="s">
        <v>1778</v>
      </c>
    </row>
    <row r="119" spans="1:11" ht="43.5" customHeight="1" x14ac:dyDescent="0.5">
      <c r="A119" s="2" t="s">
        <v>702</v>
      </c>
      <c r="B119" s="2" t="s">
        <v>2329</v>
      </c>
      <c r="C119" s="2" t="s">
        <v>297</v>
      </c>
      <c r="D119" s="2" t="s">
        <v>1771</v>
      </c>
      <c r="E119" s="2" t="s">
        <v>2330</v>
      </c>
      <c r="F119" s="2" t="s">
        <v>2331</v>
      </c>
      <c r="G119" s="2" t="s">
        <v>1788</v>
      </c>
      <c r="H119" s="2" t="s">
        <v>1789</v>
      </c>
      <c r="I119" s="2" t="s">
        <v>2332</v>
      </c>
      <c r="J119" s="2" t="s">
        <v>1777</v>
      </c>
      <c r="K119" s="2" t="s">
        <v>1778</v>
      </c>
    </row>
    <row r="120" spans="1:11" ht="43.5" customHeight="1" x14ac:dyDescent="0.5">
      <c r="A120" s="2" t="s">
        <v>705</v>
      </c>
      <c r="B120" s="2" t="s">
        <v>2333</v>
      </c>
      <c r="C120" s="2" t="s">
        <v>297</v>
      </c>
      <c r="D120" s="2" t="s">
        <v>1771</v>
      </c>
      <c r="E120" s="2" t="s">
        <v>2334</v>
      </c>
      <c r="F120" s="2" t="s">
        <v>2335</v>
      </c>
      <c r="G120" s="2" t="s">
        <v>1788</v>
      </c>
      <c r="H120" s="2" t="s">
        <v>1789</v>
      </c>
      <c r="I120" s="2" t="s">
        <v>2336</v>
      </c>
      <c r="J120" s="2" t="s">
        <v>1777</v>
      </c>
      <c r="K120" s="2" t="s">
        <v>1778</v>
      </c>
    </row>
    <row r="121" spans="1:11" ht="43.5" customHeight="1" x14ac:dyDescent="0.5">
      <c r="A121" s="2" t="s">
        <v>708</v>
      </c>
      <c r="B121" s="2" t="s">
        <v>2337</v>
      </c>
      <c r="C121" s="2" t="s">
        <v>274</v>
      </c>
      <c r="D121" s="2" t="s">
        <v>1771</v>
      </c>
      <c r="E121" s="2" t="s">
        <v>2338</v>
      </c>
      <c r="F121" s="2" t="s">
        <v>2339</v>
      </c>
      <c r="G121" s="2" t="s">
        <v>2340</v>
      </c>
      <c r="H121" s="2" t="s">
        <v>2341</v>
      </c>
      <c r="I121" s="2" t="s">
        <v>2342</v>
      </c>
      <c r="J121" s="2" t="s">
        <v>1777</v>
      </c>
      <c r="K121" s="2" t="s">
        <v>1778</v>
      </c>
    </row>
    <row r="122" spans="1:11" ht="43.5" customHeight="1" x14ac:dyDescent="0.5">
      <c r="A122" s="2" t="s">
        <v>713</v>
      </c>
      <c r="B122" s="2" t="s">
        <v>2343</v>
      </c>
      <c r="C122" s="2" t="s">
        <v>274</v>
      </c>
      <c r="D122" s="2" t="s">
        <v>1771</v>
      </c>
      <c r="E122" s="2" t="s">
        <v>2344</v>
      </c>
      <c r="F122" s="2" t="s">
        <v>2345</v>
      </c>
      <c r="G122" s="2" t="s">
        <v>2346</v>
      </c>
      <c r="H122" s="2" t="s">
        <v>2347</v>
      </c>
      <c r="I122" s="2" t="s">
        <v>2348</v>
      </c>
      <c r="J122" s="2" t="s">
        <v>1777</v>
      </c>
      <c r="K122" s="2" t="s">
        <v>1778</v>
      </c>
    </row>
    <row r="123" spans="1:11" ht="43.5" customHeight="1" x14ac:dyDescent="0.5">
      <c r="A123" s="2" t="s">
        <v>717</v>
      </c>
      <c r="B123" s="2" t="s">
        <v>2349</v>
      </c>
      <c r="C123" s="2" t="s">
        <v>297</v>
      </c>
      <c r="D123" s="2" t="s">
        <v>1771</v>
      </c>
      <c r="E123" s="2" t="s">
        <v>2350</v>
      </c>
      <c r="F123" s="2" t="s">
        <v>2351</v>
      </c>
      <c r="G123" s="2" t="s">
        <v>1788</v>
      </c>
      <c r="H123" s="2" t="s">
        <v>1789</v>
      </c>
      <c r="I123" s="2" t="s">
        <v>2352</v>
      </c>
      <c r="J123" s="2" t="s">
        <v>1777</v>
      </c>
      <c r="K123" s="2" t="s">
        <v>1778</v>
      </c>
    </row>
    <row r="124" spans="1:11" ht="43.5" customHeight="1" x14ac:dyDescent="0.5">
      <c r="A124" s="2" t="s">
        <v>720</v>
      </c>
      <c r="B124" s="2" t="s">
        <v>2353</v>
      </c>
      <c r="C124" s="2" t="s">
        <v>297</v>
      </c>
      <c r="D124" s="2" t="s">
        <v>1771</v>
      </c>
      <c r="E124" s="2" t="s">
        <v>2354</v>
      </c>
      <c r="F124" s="2" t="s">
        <v>2355</v>
      </c>
      <c r="G124" s="2" t="s">
        <v>1788</v>
      </c>
      <c r="H124" s="2" t="s">
        <v>1789</v>
      </c>
      <c r="I124" s="2" t="s">
        <v>2356</v>
      </c>
      <c r="J124" s="2" t="s">
        <v>1777</v>
      </c>
      <c r="K124" s="2" t="s">
        <v>1778</v>
      </c>
    </row>
    <row r="125" spans="1:11" ht="43.5" customHeight="1" x14ac:dyDescent="0.5">
      <c r="A125" s="2" t="s">
        <v>723</v>
      </c>
      <c r="B125" s="2" t="s">
        <v>2357</v>
      </c>
      <c r="C125" s="2" t="s">
        <v>297</v>
      </c>
      <c r="D125" s="2" t="s">
        <v>1771</v>
      </c>
      <c r="E125" s="2" t="s">
        <v>2358</v>
      </c>
      <c r="F125" s="2" t="s">
        <v>2359</v>
      </c>
      <c r="G125" s="2" t="s">
        <v>1788</v>
      </c>
      <c r="H125" s="2" t="s">
        <v>1789</v>
      </c>
      <c r="I125" s="2" t="s">
        <v>2360</v>
      </c>
      <c r="J125" s="2" t="s">
        <v>1777</v>
      </c>
      <c r="K125" s="2" t="s">
        <v>1778</v>
      </c>
    </row>
    <row r="126" spans="1:11" ht="43.5" customHeight="1" x14ac:dyDescent="0.5">
      <c r="A126" s="2" t="s">
        <v>726</v>
      </c>
      <c r="B126" s="2" t="s">
        <v>2361</v>
      </c>
      <c r="C126" s="2" t="s">
        <v>297</v>
      </c>
      <c r="D126" s="2" t="s">
        <v>1771</v>
      </c>
      <c r="E126" s="2" t="s">
        <v>2362</v>
      </c>
      <c r="F126" s="2" t="s">
        <v>2363</v>
      </c>
      <c r="G126" s="2" t="s">
        <v>1788</v>
      </c>
      <c r="H126" s="2" t="s">
        <v>1789</v>
      </c>
      <c r="I126" s="2" t="s">
        <v>2364</v>
      </c>
      <c r="J126" s="2" t="s">
        <v>1777</v>
      </c>
      <c r="K126" s="2" t="s">
        <v>1778</v>
      </c>
    </row>
    <row r="127" spans="1:11" ht="43.5" customHeight="1" x14ac:dyDescent="0.5">
      <c r="A127" s="2" t="s">
        <v>729</v>
      </c>
      <c r="B127" s="2" t="s">
        <v>2365</v>
      </c>
      <c r="C127" s="2" t="s">
        <v>274</v>
      </c>
      <c r="D127" s="2" t="s">
        <v>1771</v>
      </c>
      <c r="E127" s="2" t="s">
        <v>2366</v>
      </c>
      <c r="F127" s="2" t="s">
        <v>2367</v>
      </c>
      <c r="G127" s="2" t="s">
        <v>2368</v>
      </c>
      <c r="H127" s="2" t="s">
        <v>2369</v>
      </c>
      <c r="I127" s="2" t="s">
        <v>2370</v>
      </c>
      <c r="J127" s="2" t="s">
        <v>1777</v>
      </c>
      <c r="K127" s="2" t="s">
        <v>1778</v>
      </c>
    </row>
    <row r="128" spans="1:11" ht="43.5" customHeight="1" x14ac:dyDescent="0.5">
      <c r="A128" s="2" t="s">
        <v>733</v>
      </c>
      <c r="B128" s="2" t="s">
        <v>2371</v>
      </c>
      <c r="C128" s="2" t="s">
        <v>274</v>
      </c>
      <c r="D128" s="2" t="s">
        <v>1771</v>
      </c>
      <c r="E128" s="2" t="s">
        <v>2372</v>
      </c>
      <c r="F128" s="2" t="s">
        <v>2373</v>
      </c>
      <c r="G128" s="2" t="s">
        <v>2374</v>
      </c>
      <c r="H128" s="2" t="s">
        <v>2375</v>
      </c>
      <c r="I128" s="2" t="s">
        <v>2376</v>
      </c>
      <c r="J128" s="2" t="s">
        <v>1777</v>
      </c>
      <c r="K128" s="2" t="s">
        <v>1778</v>
      </c>
    </row>
    <row r="129" spans="1:11" ht="43.5" customHeight="1" x14ac:dyDescent="0.5">
      <c r="A129" s="2" t="s">
        <v>736</v>
      </c>
      <c r="B129" s="2" t="s">
        <v>2377</v>
      </c>
      <c r="C129" s="2" t="s">
        <v>297</v>
      </c>
      <c r="D129" s="2" t="s">
        <v>1771</v>
      </c>
      <c r="E129" s="2" t="s">
        <v>2378</v>
      </c>
      <c r="F129" s="2" t="s">
        <v>2379</v>
      </c>
      <c r="G129" s="2" t="s">
        <v>1788</v>
      </c>
      <c r="H129" s="2" t="s">
        <v>1789</v>
      </c>
      <c r="I129" s="2" t="s">
        <v>2380</v>
      </c>
      <c r="J129" s="2" t="s">
        <v>1777</v>
      </c>
      <c r="K129" s="2" t="s">
        <v>1778</v>
      </c>
    </row>
    <row r="130" spans="1:11" ht="43.5" customHeight="1" x14ac:dyDescent="0.5">
      <c r="A130" s="2" t="s">
        <v>739</v>
      </c>
      <c r="B130" s="2" t="s">
        <v>2381</v>
      </c>
      <c r="C130" s="2" t="s">
        <v>297</v>
      </c>
      <c r="D130" s="2" t="s">
        <v>1771</v>
      </c>
      <c r="E130" s="2" t="s">
        <v>2382</v>
      </c>
      <c r="F130" s="2" t="s">
        <v>2383</v>
      </c>
      <c r="G130" s="2" t="s">
        <v>1788</v>
      </c>
      <c r="H130" s="2" t="s">
        <v>1789</v>
      </c>
      <c r="I130" s="2" t="s">
        <v>2384</v>
      </c>
      <c r="J130" s="2" t="s">
        <v>1777</v>
      </c>
      <c r="K130" s="2" t="s">
        <v>1778</v>
      </c>
    </row>
    <row r="131" spans="1:11" ht="43.5" customHeight="1" x14ac:dyDescent="0.5">
      <c r="A131" s="2" t="s">
        <v>742</v>
      </c>
      <c r="B131" s="2" t="s">
        <v>2385</v>
      </c>
      <c r="C131" s="2" t="s">
        <v>297</v>
      </c>
      <c r="D131" s="2" t="s">
        <v>1771</v>
      </c>
      <c r="E131" s="2" t="s">
        <v>2386</v>
      </c>
      <c r="F131" s="2" t="s">
        <v>2387</v>
      </c>
      <c r="G131" s="2" t="s">
        <v>1788</v>
      </c>
      <c r="H131" s="2" t="s">
        <v>1789</v>
      </c>
      <c r="I131" s="2" t="s">
        <v>2388</v>
      </c>
      <c r="J131" s="2" t="s">
        <v>1777</v>
      </c>
      <c r="K131" s="2" t="s">
        <v>1778</v>
      </c>
    </row>
    <row r="132" spans="1:11" ht="43.5" customHeight="1" x14ac:dyDescent="0.5">
      <c r="A132" s="2" t="s">
        <v>745</v>
      </c>
      <c r="B132" s="2" t="s">
        <v>2389</v>
      </c>
      <c r="C132" s="2" t="s">
        <v>297</v>
      </c>
      <c r="D132" s="2" t="s">
        <v>1771</v>
      </c>
      <c r="E132" s="2" t="s">
        <v>2390</v>
      </c>
      <c r="F132" s="2" t="s">
        <v>2391</v>
      </c>
      <c r="G132" s="2" t="s">
        <v>1788</v>
      </c>
      <c r="H132" s="2" t="s">
        <v>1789</v>
      </c>
      <c r="I132" s="2" t="s">
        <v>2392</v>
      </c>
      <c r="J132" s="2" t="s">
        <v>1777</v>
      </c>
      <c r="K132" s="2" t="s">
        <v>1778</v>
      </c>
    </row>
    <row r="133" spans="1:11" ht="43.5" customHeight="1" x14ac:dyDescent="0.5">
      <c r="A133" s="2" t="s">
        <v>748</v>
      </c>
      <c r="B133" s="2" t="s">
        <v>2393</v>
      </c>
      <c r="C133" s="2" t="s">
        <v>274</v>
      </c>
      <c r="D133" s="2" t="s">
        <v>1771</v>
      </c>
      <c r="E133" s="2" t="s">
        <v>2394</v>
      </c>
      <c r="F133" s="2" t="s">
        <v>2395</v>
      </c>
      <c r="G133" s="2" t="s">
        <v>2396</v>
      </c>
      <c r="H133" s="2" t="s">
        <v>2397</v>
      </c>
      <c r="I133" s="2" t="s">
        <v>2398</v>
      </c>
      <c r="J133" s="2" t="s">
        <v>1777</v>
      </c>
      <c r="K133" s="2" t="s">
        <v>1778</v>
      </c>
    </row>
    <row r="134" spans="1:11" ht="43.5" customHeight="1" x14ac:dyDescent="0.5">
      <c r="A134" s="2" t="s">
        <v>752</v>
      </c>
      <c r="B134" s="2" t="s">
        <v>2399</v>
      </c>
      <c r="C134" s="2" t="s">
        <v>274</v>
      </c>
      <c r="D134" s="2" t="s">
        <v>1771</v>
      </c>
      <c r="E134" s="2" t="s">
        <v>2400</v>
      </c>
      <c r="F134" s="2" t="s">
        <v>2401</v>
      </c>
      <c r="G134" s="2" t="s">
        <v>2402</v>
      </c>
      <c r="H134" s="2" t="s">
        <v>2403</v>
      </c>
      <c r="I134" s="2" t="s">
        <v>2404</v>
      </c>
      <c r="J134" s="2" t="s">
        <v>1777</v>
      </c>
      <c r="K134" s="2" t="s">
        <v>1778</v>
      </c>
    </row>
    <row r="135" spans="1:11" ht="43.5" customHeight="1" x14ac:dyDescent="0.5">
      <c r="A135" s="2" t="s">
        <v>755</v>
      </c>
      <c r="B135" s="2" t="s">
        <v>2405</v>
      </c>
      <c r="C135" s="2" t="s">
        <v>297</v>
      </c>
      <c r="D135" s="2" t="s">
        <v>1771</v>
      </c>
      <c r="E135" s="2" t="s">
        <v>2406</v>
      </c>
      <c r="F135" s="2" t="s">
        <v>2407</v>
      </c>
      <c r="G135" s="2" t="s">
        <v>1788</v>
      </c>
      <c r="H135" s="2" t="s">
        <v>1789</v>
      </c>
      <c r="I135" s="2" t="s">
        <v>2408</v>
      </c>
      <c r="J135" s="2" t="s">
        <v>1777</v>
      </c>
      <c r="K135" s="2" t="s">
        <v>1778</v>
      </c>
    </row>
    <row r="136" spans="1:11" ht="43.5" customHeight="1" x14ac:dyDescent="0.5">
      <c r="A136" s="2" t="s">
        <v>758</v>
      </c>
      <c r="B136" s="2" t="s">
        <v>2409</v>
      </c>
      <c r="C136" s="2" t="s">
        <v>297</v>
      </c>
      <c r="D136" s="2" t="s">
        <v>1771</v>
      </c>
      <c r="E136" s="2" t="s">
        <v>2410</v>
      </c>
      <c r="F136" s="2" t="s">
        <v>2411</v>
      </c>
      <c r="G136" s="2" t="s">
        <v>1788</v>
      </c>
      <c r="H136" s="2" t="s">
        <v>1789</v>
      </c>
      <c r="I136" s="2" t="s">
        <v>2412</v>
      </c>
      <c r="J136" s="2" t="s">
        <v>1777</v>
      </c>
      <c r="K136" s="2" t="s">
        <v>1778</v>
      </c>
    </row>
    <row r="137" spans="1:11" ht="43.5" customHeight="1" x14ac:dyDescent="0.5">
      <c r="A137" s="2" t="s">
        <v>761</v>
      </c>
      <c r="B137" s="2" t="s">
        <v>2413</v>
      </c>
      <c r="C137" s="2" t="s">
        <v>297</v>
      </c>
      <c r="D137" s="2" t="s">
        <v>1771</v>
      </c>
      <c r="E137" s="2" t="s">
        <v>2414</v>
      </c>
      <c r="F137" s="2" t="s">
        <v>2415</v>
      </c>
      <c r="G137" s="2" t="s">
        <v>1788</v>
      </c>
      <c r="H137" s="2" t="s">
        <v>1789</v>
      </c>
      <c r="I137" s="2" t="s">
        <v>2416</v>
      </c>
      <c r="J137" s="2" t="s">
        <v>1777</v>
      </c>
      <c r="K137" s="2" t="s">
        <v>1778</v>
      </c>
    </row>
    <row r="138" spans="1:11" ht="43.5" customHeight="1" x14ac:dyDescent="0.5">
      <c r="A138" s="2" t="s">
        <v>764</v>
      </c>
      <c r="B138" s="2" t="s">
        <v>2417</v>
      </c>
      <c r="C138" s="2" t="s">
        <v>297</v>
      </c>
      <c r="D138" s="2" t="s">
        <v>1771</v>
      </c>
      <c r="E138" s="2" t="s">
        <v>2418</v>
      </c>
      <c r="F138" s="2" t="s">
        <v>2419</v>
      </c>
      <c r="G138" s="2" t="s">
        <v>1788</v>
      </c>
      <c r="H138" s="2" t="s">
        <v>1789</v>
      </c>
      <c r="I138" s="2" t="s">
        <v>2420</v>
      </c>
      <c r="J138" s="2" t="s">
        <v>1777</v>
      </c>
      <c r="K138" s="2" t="s">
        <v>1778</v>
      </c>
    </row>
    <row r="139" spans="1:11" ht="43.5" customHeight="1" x14ac:dyDescent="0.5">
      <c r="A139" s="2" t="s">
        <v>767</v>
      </c>
      <c r="B139" s="2" t="s">
        <v>2421</v>
      </c>
      <c r="C139" s="2" t="s">
        <v>274</v>
      </c>
      <c r="D139" s="2" t="s">
        <v>1771</v>
      </c>
      <c r="E139" s="2" t="s">
        <v>2422</v>
      </c>
      <c r="F139" s="2" t="s">
        <v>2423</v>
      </c>
      <c r="G139" s="2" t="s">
        <v>2424</v>
      </c>
      <c r="H139" s="2" t="s">
        <v>2425</v>
      </c>
      <c r="I139" s="2" t="s">
        <v>2426</v>
      </c>
      <c r="J139" s="2" t="s">
        <v>1777</v>
      </c>
      <c r="K139" s="2" t="s">
        <v>1778</v>
      </c>
    </row>
    <row r="140" spans="1:11" ht="43.5" customHeight="1" x14ac:dyDescent="0.5">
      <c r="A140" s="2" t="s">
        <v>772</v>
      </c>
      <c r="B140" s="2" t="s">
        <v>2427</v>
      </c>
      <c r="C140" s="2" t="s">
        <v>274</v>
      </c>
      <c r="D140" s="2" t="s">
        <v>1771</v>
      </c>
      <c r="E140" s="2" t="s">
        <v>2428</v>
      </c>
      <c r="F140" s="2" t="s">
        <v>2429</v>
      </c>
      <c r="G140" s="2" t="s">
        <v>2430</v>
      </c>
      <c r="H140" s="2" t="s">
        <v>2431</v>
      </c>
      <c r="I140" s="2" t="s">
        <v>2432</v>
      </c>
      <c r="J140" s="2" t="s">
        <v>1777</v>
      </c>
      <c r="K140" s="2" t="s">
        <v>1778</v>
      </c>
    </row>
    <row r="141" spans="1:11" ht="43.5" customHeight="1" x14ac:dyDescent="0.5">
      <c r="A141" s="2" t="s">
        <v>776</v>
      </c>
      <c r="B141" s="2" t="s">
        <v>2433</v>
      </c>
      <c r="C141" s="2" t="s">
        <v>297</v>
      </c>
      <c r="D141" s="2" t="s">
        <v>1771</v>
      </c>
      <c r="E141" s="2" t="s">
        <v>2434</v>
      </c>
      <c r="F141" s="2" t="s">
        <v>2435</v>
      </c>
      <c r="G141" s="2" t="s">
        <v>1788</v>
      </c>
      <c r="H141" s="2" t="s">
        <v>1789</v>
      </c>
      <c r="I141" s="2" t="s">
        <v>2436</v>
      </c>
      <c r="J141" s="2" t="s">
        <v>1777</v>
      </c>
      <c r="K141" s="2" t="s">
        <v>1778</v>
      </c>
    </row>
    <row r="142" spans="1:11" ht="43.5" customHeight="1" x14ac:dyDescent="0.5">
      <c r="A142" s="2" t="s">
        <v>779</v>
      </c>
      <c r="B142" s="2" t="s">
        <v>2437</v>
      </c>
      <c r="C142" s="2" t="s">
        <v>297</v>
      </c>
      <c r="D142" s="2" t="s">
        <v>1771</v>
      </c>
      <c r="E142" s="2" t="s">
        <v>2438</v>
      </c>
      <c r="F142" s="2" t="s">
        <v>2439</v>
      </c>
      <c r="G142" s="2" t="s">
        <v>1788</v>
      </c>
      <c r="H142" s="2" t="s">
        <v>1789</v>
      </c>
      <c r="I142" s="2" t="s">
        <v>2440</v>
      </c>
      <c r="J142" s="2" t="s">
        <v>1777</v>
      </c>
      <c r="K142" s="2" t="s">
        <v>1778</v>
      </c>
    </row>
    <row r="143" spans="1:11" ht="43.5" customHeight="1" x14ac:dyDescent="0.5">
      <c r="A143" s="2" t="s">
        <v>782</v>
      </c>
      <c r="B143" s="2" t="s">
        <v>2441</v>
      </c>
      <c r="C143" s="2" t="s">
        <v>297</v>
      </c>
      <c r="D143" s="2" t="s">
        <v>1771</v>
      </c>
      <c r="E143" s="2" t="s">
        <v>2442</v>
      </c>
      <c r="F143" s="2" t="s">
        <v>2443</v>
      </c>
      <c r="G143" s="2" t="s">
        <v>1788</v>
      </c>
      <c r="H143" s="2" t="s">
        <v>1789</v>
      </c>
      <c r="I143" s="2" t="s">
        <v>2444</v>
      </c>
      <c r="J143" s="2" t="s">
        <v>1777</v>
      </c>
      <c r="K143" s="2" t="s">
        <v>1778</v>
      </c>
    </row>
    <row r="144" spans="1:11" ht="43.5" customHeight="1" x14ac:dyDescent="0.5">
      <c r="A144" s="2" t="s">
        <v>785</v>
      </c>
      <c r="B144" s="2" t="s">
        <v>2445</v>
      </c>
      <c r="C144" s="2" t="s">
        <v>297</v>
      </c>
      <c r="D144" s="2" t="s">
        <v>1771</v>
      </c>
      <c r="E144" s="2" t="s">
        <v>2446</v>
      </c>
      <c r="F144" s="2" t="s">
        <v>2447</v>
      </c>
      <c r="G144" s="2" t="s">
        <v>1788</v>
      </c>
      <c r="H144" s="2" t="s">
        <v>1789</v>
      </c>
      <c r="I144" s="2" t="s">
        <v>2448</v>
      </c>
      <c r="J144" s="2" t="s">
        <v>1777</v>
      </c>
      <c r="K144" s="2" t="s">
        <v>1778</v>
      </c>
    </row>
    <row r="145" spans="1:11" ht="43.5" customHeight="1" x14ac:dyDescent="0.5">
      <c r="A145" s="2" t="s">
        <v>788</v>
      </c>
      <c r="B145" s="2" t="s">
        <v>2449</v>
      </c>
      <c r="C145" s="2" t="s">
        <v>297</v>
      </c>
      <c r="D145" s="2" t="s">
        <v>1771</v>
      </c>
      <c r="E145" s="2" t="s">
        <v>2450</v>
      </c>
      <c r="F145" s="2" t="s">
        <v>2451</v>
      </c>
      <c r="G145" s="2" t="s">
        <v>2452</v>
      </c>
      <c r="H145" s="2" t="s">
        <v>2453</v>
      </c>
      <c r="I145" s="2" t="s">
        <v>2454</v>
      </c>
      <c r="J145" s="2" t="s">
        <v>1777</v>
      </c>
      <c r="K145" s="2" t="s">
        <v>1778</v>
      </c>
    </row>
    <row r="146" spans="1:11" ht="43.5" customHeight="1" x14ac:dyDescent="0.5">
      <c r="A146" s="2" t="s">
        <v>794</v>
      </c>
      <c r="B146" s="2" t="s">
        <v>2455</v>
      </c>
      <c r="C146" s="2" t="s">
        <v>274</v>
      </c>
      <c r="D146" s="2" t="s">
        <v>1771</v>
      </c>
      <c r="E146" s="2" t="s">
        <v>2456</v>
      </c>
      <c r="F146" s="2" t="s">
        <v>2457</v>
      </c>
      <c r="G146" s="2" t="s">
        <v>2458</v>
      </c>
      <c r="H146" s="2" t="s">
        <v>2459</v>
      </c>
      <c r="I146" s="2" t="s">
        <v>2460</v>
      </c>
      <c r="J146" s="2" t="s">
        <v>1777</v>
      </c>
      <c r="K146" s="2" t="s">
        <v>1778</v>
      </c>
    </row>
    <row r="147" spans="1:11" ht="43.5" customHeight="1" x14ac:dyDescent="0.5">
      <c r="A147" s="2" t="s">
        <v>799</v>
      </c>
      <c r="B147" s="2" t="s">
        <v>2461</v>
      </c>
      <c r="C147" s="2" t="s">
        <v>274</v>
      </c>
      <c r="D147" s="2" t="s">
        <v>1771</v>
      </c>
      <c r="E147" s="2" t="s">
        <v>2462</v>
      </c>
      <c r="F147" s="2" t="s">
        <v>2463</v>
      </c>
      <c r="G147" s="2" t="s">
        <v>2464</v>
      </c>
      <c r="H147" s="2" t="s">
        <v>2465</v>
      </c>
      <c r="I147" s="2" t="s">
        <v>2466</v>
      </c>
      <c r="J147" s="2" t="s">
        <v>1777</v>
      </c>
      <c r="K147" s="2" t="s">
        <v>1778</v>
      </c>
    </row>
    <row r="148" spans="1:11" ht="43.5" customHeight="1" x14ac:dyDescent="0.5">
      <c r="A148" s="2" t="s">
        <v>803</v>
      </c>
      <c r="B148" s="2" t="s">
        <v>2467</v>
      </c>
      <c r="C148" s="2" t="s">
        <v>297</v>
      </c>
      <c r="D148" s="2" t="s">
        <v>1771</v>
      </c>
      <c r="E148" s="2" t="s">
        <v>2468</v>
      </c>
      <c r="F148" s="2" t="s">
        <v>2469</v>
      </c>
      <c r="G148" s="2" t="s">
        <v>1788</v>
      </c>
      <c r="H148" s="2" t="s">
        <v>1789</v>
      </c>
      <c r="I148" s="2" t="s">
        <v>2470</v>
      </c>
      <c r="J148" s="2" t="s">
        <v>1777</v>
      </c>
      <c r="K148" s="2" t="s">
        <v>1778</v>
      </c>
    </row>
    <row r="149" spans="1:11" ht="43.5" customHeight="1" x14ac:dyDescent="0.5">
      <c r="A149" s="2" t="s">
        <v>806</v>
      </c>
      <c r="B149" s="2" t="s">
        <v>2471</v>
      </c>
      <c r="C149" s="2" t="s">
        <v>297</v>
      </c>
      <c r="D149" s="2" t="s">
        <v>1771</v>
      </c>
      <c r="E149" s="2" t="s">
        <v>2472</v>
      </c>
      <c r="F149" s="2" t="s">
        <v>2473</v>
      </c>
      <c r="G149" s="2" t="s">
        <v>1788</v>
      </c>
      <c r="H149" s="2" t="s">
        <v>1789</v>
      </c>
      <c r="I149" s="2" t="s">
        <v>2474</v>
      </c>
      <c r="J149" s="2" t="s">
        <v>1777</v>
      </c>
      <c r="K149" s="2" t="s">
        <v>1778</v>
      </c>
    </row>
    <row r="150" spans="1:11" ht="43.5" customHeight="1" x14ac:dyDescent="0.5">
      <c r="A150" s="2" t="s">
        <v>811</v>
      </c>
      <c r="B150" s="2" t="s">
        <v>2475</v>
      </c>
      <c r="C150" s="2" t="s">
        <v>297</v>
      </c>
      <c r="D150" s="2" t="s">
        <v>1771</v>
      </c>
      <c r="E150" s="2" t="s">
        <v>2476</v>
      </c>
      <c r="F150" s="2" t="s">
        <v>2477</v>
      </c>
      <c r="G150" s="2" t="s">
        <v>1788</v>
      </c>
      <c r="H150" s="2" t="s">
        <v>1789</v>
      </c>
      <c r="I150" s="2" t="s">
        <v>2478</v>
      </c>
      <c r="J150" s="2" t="s">
        <v>1777</v>
      </c>
      <c r="K150" s="2" t="s">
        <v>1778</v>
      </c>
    </row>
    <row r="151" spans="1:11" ht="43.5" customHeight="1" x14ac:dyDescent="0.5">
      <c r="A151" s="2" t="s">
        <v>815</v>
      </c>
      <c r="B151" s="2" t="s">
        <v>2479</v>
      </c>
      <c r="C151" s="2" t="s">
        <v>297</v>
      </c>
      <c r="D151" s="2" t="s">
        <v>1771</v>
      </c>
      <c r="E151" s="2" t="s">
        <v>2480</v>
      </c>
      <c r="F151" s="2" t="s">
        <v>2481</v>
      </c>
      <c r="G151" s="2" t="s">
        <v>1788</v>
      </c>
      <c r="H151" s="2" t="s">
        <v>1789</v>
      </c>
      <c r="I151" s="2" t="s">
        <v>2482</v>
      </c>
      <c r="J151" s="2" t="s">
        <v>1777</v>
      </c>
      <c r="K151" s="2" t="s">
        <v>1778</v>
      </c>
    </row>
    <row r="152" spans="1:11" ht="43.5" customHeight="1" x14ac:dyDescent="0.5">
      <c r="A152" s="2" t="s">
        <v>819</v>
      </c>
      <c r="B152" s="2" t="s">
        <v>2483</v>
      </c>
      <c r="C152" s="2" t="s">
        <v>297</v>
      </c>
      <c r="D152" s="2" t="s">
        <v>1771</v>
      </c>
      <c r="E152" s="2" t="s">
        <v>2484</v>
      </c>
      <c r="F152" s="2" t="s">
        <v>2485</v>
      </c>
      <c r="G152" s="2" t="s">
        <v>2486</v>
      </c>
      <c r="H152" s="2" t="s">
        <v>2487</v>
      </c>
      <c r="I152" s="2" t="s">
        <v>2488</v>
      </c>
      <c r="J152" s="2" t="s">
        <v>1777</v>
      </c>
      <c r="K152" s="2" t="s">
        <v>1778</v>
      </c>
    </row>
    <row r="153" spans="1:11" ht="43.5" customHeight="1" x14ac:dyDescent="0.5">
      <c r="A153" s="2" t="s">
        <v>823</v>
      </c>
      <c r="B153" s="2" t="s">
        <v>2489</v>
      </c>
      <c r="C153" s="2" t="s">
        <v>274</v>
      </c>
      <c r="D153" s="2" t="s">
        <v>1771</v>
      </c>
      <c r="E153" s="2" t="s">
        <v>2490</v>
      </c>
      <c r="F153" s="2" t="s">
        <v>2491</v>
      </c>
      <c r="G153" s="2" t="s">
        <v>2492</v>
      </c>
      <c r="H153" s="2" t="s">
        <v>2493</v>
      </c>
      <c r="I153" s="2" t="s">
        <v>2494</v>
      </c>
      <c r="J153" s="2" t="s">
        <v>1777</v>
      </c>
      <c r="K153" s="2" t="s">
        <v>1778</v>
      </c>
    </row>
    <row r="154" spans="1:11" ht="43.5" customHeight="1" x14ac:dyDescent="0.5">
      <c r="A154" s="2" t="s">
        <v>827</v>
      </c>
      <c r="B154" s="2" t="s">
        <v>2495</v>
      </c>
      <c r="C154" s="2" t="s">
        <v>274</v>
      </c>
      <c r="D154" s="2" t="s">
        <v>1771</v>
      </c>
      <c r="E154" s="2" t="s">
        <v>2496</v>
      </c>
      <c r="F154" s="2" t="s">
        <v>2497</v>
      </c>
      <c r="G154" s="2" t="s">
        <v>2498</v>
      </c>
      <c r="H154" s="2" t="s">
        <v>2499</v>
      </c>
      <c r="I154" s="2" t="s">
        <v>2500</v>
      </c>
      <c r="J154" s="2" t="s">
        <v>1777</v>
      </c>
      <c r="K154" s="2" t="s">
        <v>1778</v>
      </c>
    </row>
    <row r="155" spans="1:11" ht="43.5" customHeight="1" x14ac:dyDescent="0.5">
      <c r="A155" s="2" t="s">
        <v>830</v>
      </c>
      <c r="B155" s="2" t="s">
        <v>2501</v>
      </c>
      <c r="C155" s="2" t="s">
        <v>274</v>
      </c>
      <c r="D155" s="2" t="s">
        <v>1771</v>
      </c>
      <c r="E155" s="2" t="s">
        <v>2502</v>
      </c>
      <c r="F155" s="2" t="s">
        <v>2503</v>
      </c>
      <c r="G155" s="2" t="s">
        <v>1788</v>
      </c>
      <c r="H155" s="2" t="s">
        <v>1789</v>
      </c>
      <c r="I155" s="2" t="s">
        <v>2504</v>
      </c>
      <c r="J155" s="2" t="s">
        <v>1777</v>
      </c>
      <c r="K155" s="2" t="s">
        <v>1778</v>
      </c>
    </row>
    <row r="156" spans="1:11" ht="43.5" customHeight="1" x14ac:dyDescent="0.5">
      <c r="A156" s="2" t="s">
        <v>833</v>
      </c>
      <c r="B156" s="2" t="s">
        <v>2505</v>
      </c>
      <c r="C156" s="2" t="s">
        <v>297</v>
      </c>
      <c r="D156" s="2" t="s">
        <v>1771</v>
      </c>
      <c r="E156" s="2" t="s">
        <v>2506</v>
      </c>
      <c r="F156" s="2" t="s">
        <v>2507</v>
      </c>
      <c r="G156" s="2" t="s">
        <v>1788</v>
      </c>
      <c r="H156" s="2" t="s">
        <v>1789</v>
      </c>
      <c r="I156" s="2" t="s">
        <v>2508</v>
      </c>
      <c r="J156" s="2" t="s">
        <v>1777</v>
      </c>
      <c r="K156" s="2" t="s">
        <v>1778</v>
      </c>
    </row>
    <row r="157" spans="1:11" ht="43.5" customHeight="1" x14ac:dyDescent="0.5">
      <c r="A157" s="2" t="s">
        <v>838</v>
      </c>
      <c r="B157" s="2" t="s">
        <v>2509</v>
      </c>
      <c r="C157" s="2" t="s">
        <v>297</v>
      </c>
      <c r="D157" s="2" t="s">
        <v>1771</v>
      </c>
      <c r="E157" s="2" t="s">
        <v>2510</v>
      </c>
      <c r="F157" s="2" t="s">
        <v>2511</v>
      </c>
      <c r="G157" s="2" t="s">
        <v>1788</v>
      </c>
      <c r="H157" s="2" t="s">
        <v>1789</v>
      </c>
      <c r="I157" s="2" t="s">
        <v>2512</v>
      </c>
      <c r="J157" s="2" t="s">
        <v>1777</v>
      </c>
      <c r="K157" s="2" t="s">
        <v>1778</v>
      </c>
    </row>
    <row r="158" spans="1:11" ht="43.5" customHeight="1" x14ac:dyDescent="0.5">
      <c r="A158" s="2" t="s">
        <v>842</v>
      </c>
      <c r="B158" s="2" t="s">
        <v>2513</v>
      </c>
      <c r="C158" s="2" t="s">
        <v>297</v>
      </c>
      <c r="D158" s="2" t="s">
        <v>1771</v>
      </c>
      <c r="E158" s="2" t="s">
        <v>2514</v>
      </c>
      <c r="F158" s="2" t="s">
        <v>2515</v>
      </c>
      <c r="G158" s="2" t="s">
        <v>1788</v>
      </c>
      <c r="H158" s="2" t="s">
        <v>1789</v>
      </c>
      <c r="I158" s="2" t="s">
        <v>2516</v>
      </c>
      <c r="J158" s="2" t="s">
        <v>1777</v>
      </c>
      <c r="K158" s="2" t="s">
        <v>1778</v>
      </c>
    </row>
    <row r="159" spans="1:11" ht="43.5" customHeight="1" x14ac:dyDescent="0.5">
      <c r="A159" s="2" t="s">
        <v>845</v>
      </c>
      <c r="B159" s="2" t="s">
        <v>2517</v>
      </c>
      <c r="C159" s="2" t="s">
        <v>297</v>
      </c>
      <c r="D159" s="2" t="s">
        <v>1771</v>
      </c>
      <c r="E159" s="2" t="s">
        <v>2518</v>
      </c>
      <c r="F159" s="2" t="s">
        <v>2519</v>
      </c>
      <c r="G159" s="2" t="s">
        <v>2520</v>
      </c>
      <c r="H159" s="2" t="s">
        <v>2521</v>
      </c>
      <c r="I159" s="2" t="s">
        <v>2522</v>
      </c>
      <c r="J159" s="2" t="s">
        <v>1777</v>
      </c>
      <c r="K159" s="2" t="s">
        <v>1778</v>
      </c>
    </row>
    <row r="160" spans="1:11" ht="43.5" customHeight="1" x14ac:dyDescent="0.5">
      <c r="A160" s="2" t="s">
        <v>849</v>
      </c>
      <c r="B160" s="2" t="s">
        <v>2523</v>
      </c>
      <c r="C160" s="2" t="s">
        <v>274</v>
      </c>
      <c r="D160" s="2" t="s">
        <v>1771</v>
      </c>
      <c r="E160" s="2" t="s">
        <v>2524</v>
      </c>
      <c r="F160" s="2" t="s">
        <v>2525</v>
      </c>
      <c r="G160" s="2" t="s">
        <v>2526</v>
      </c>
      <c r="H160" s="2" t="s">
        <v>2527</v>
      </c>
      <c r="I160" s="2" t="s">
        <v>2528</v>
      </c>
      <c r="J160" s="2" t="s">
        <v>1777</v>
      </c>
      <c r="K160" s="2" t="s">
        <v>1778</v>
      </c>
    </row>
    <row r="161" spans="1:11" ht="43.5" customHeight="1" x14ac:dyDescent="0.5">
      <c r="A161" s="2" t="s">
        <v>854</v>
      </c>
      <c r="B161" s="2" t="s">
        <v>2529</v>
      </c>
      <c r="C161" s="2" t="s">
        <v>274</v>
      </c>
      <c r="D161" s="2" t="s">
        <v>1771</v>
      </c>
      <c r="E161" s="2" t="s">
        <v>2530</v>
      </c>
      <c r="F161" s="2" t="s">
        <v>2531</v>
      </c>
      <c r="G161" s="2" t="s">
        <v>2532</v>
      </c>
      <c r="H161" s="2" t="s">
        <v>2533</v>
      </c>
      <c r="I161" s="2" t="s">
        <v>2534</v>
      </c>
      <c r="J161" s="2" t="s">
        <v>1777</v>
      </c>
      <c r="K161" s="2" t="s">
        <v>1778</v>
      </c>
    </row>
    <row r="162" spans="1:11" ht="43.5" customHeight="1" x14ac:dyDescent="0.5">
      <c r="A162" s="2" t="s">
        <v>858</v>
      </c>
      <c r="B162" s="2" t="s">
        <v>2535</v>
      </c>
      <c r="C162" s="2" t="s">
        <v>274</v>
      </c>
      <c r="D162" s="2" t="s">
        <v>1771</v>
      </c>
      <c r="E162" s="2" t="s">
        <v>2536</v>
      </c>
      <c r="F162" s="2" t="s">
        <v>2537</v>
      </c>
      <c r="G162" s="2" t="s">
        <v>1788</v>
      </c>
      <c r="H162" s="2" t="s">
        <v>1789</v>
      </c>
      <c r="I162" s="2" t="s">
        <v>2538</v>
      </c>
      <c r="J162" s="2" t="s">
        <v>1777</v>
      </c>
      <c r="K162" s="2" t="s">
        <v>1778</v>
      </c>
    </row>
    <row r="163" spans="1:11" ht="43.5" customHeight="1" x14ac:dyDescent="0.5">
      <c r="A163" s="2" t="s">
        <v>861</v>
      </c>
      <c r="B163" s="2" t="s">
        <v>2539</v>
      </c>
      <c r="C163" s="2" t="s">
        <v>297</v>
      </c>
      <c r="D163" s="2" t="s">
        <v>1771</v>
      </c>
      <c r="E163" s="2" t="s">
        <v>2540</v>
      </c>
      <c r="F163" s="2" t="s">
        <v>2541</v>
      </c>
      <c r="G163" s="2" t="s">
        <v>1788</v>
      </c>
      <c r="H163" s="2" t="s">
        <v>1789</v>
      </c>
      <c r="I163" s="2" t="s">
        <v>2542</v>
      </c>
      <c r="J163" s="2" t="s">
        <v>1777</v>
      </c>
      <c r="K163" s="2" t="s">
        <v>1778</v>
      </c>
    </row>
    <row r="164" spans="1:11" ht="43.5" customHeight="1" x14ac:dyDescent="0.5">
      <c r="A164" s="2" t="s">
        <v>866</v>
      </c>
      <c r="B164" s="2" t="s">
        <v>2543</v>
      </c>
      <c r="C164" s="2" t="s">
        <v>297</v>
      </c>
      <c r="D164" s="2" t="s">
        <v>1771</v>
      </c>
      <c r="E164" s="2" t="s">
        <v>2544</v>
      </c>
      <c r="F164" s="2" t="s">
        <v>2545</v>
      </c>
      <c r="G164" s="2" t="s">
        <v>1788</v>
      </c>
      <c r="H164" s="2" t="s">
        <v>1789</v>
      </c>
      <c r="I164" s="2" t="s">
        <v>2546</v>
      </c>
      <c r="J164" s="2" t="s">
        <v>1777</v>
      </c>
      <c r="K164" s="2" t="s">
        <v>1778</v>
      </c>
    </row>
    <row r="165" spans="1:11" ht="43.5" customHeight="1" x14ac:dyDescent="0.5">
      <c r="A165" s="2" t="s">
        <v>870</v>
      </c>
      <c r="B165" s="2" t="s">
        <v>2547</v>
      </c>
      <c r="C165" s="2" t="s">
        <v>297</v>
      </c>
      <c r="D165" s="2" t="s">
        <v>1771</v>
      </c>
      <c r="E165" s="2" t="s">
        <v>2548</v>
      </c>
      <c r="F165" s="2" t="s">
        <v>2549</v>
      </c>
      <c r="G165" s="2" t="s">
        <v>1788</v>
      </c>
      <c r="H165" s="2" t="s">
        <v>1789</v>
      </c>
      <c r="I165" s="2" t="s">
        <v>2550</v>
      </c>
      <c r="J165" s="2" t="s">
        <v>1777</v>
      </c>
      <c r="K165" s="2" t="s">
        <v>1778</v>
      </c>
    </row>
    <row r="166" spans="1:11" ht="43.5" customHeight="1" x14ac:dyDescent="0.5">
      <c r="A166" s="2" t="s">
        <v>874</v>
      </c>
      <c r="B166" s="2" t="s">
        <v>2551</v>
      </c>
      <c r="C166" s="2" t="s">
        <v>297</v>
      </c>
      <c r="D166" s="2" t="s">
        <v>1771</v>
      </c>
      <c r="E166" s="2" t="s">
        <v>2552</v>
      </c>
      <c r="F166" s="2" t="s">
        <v>2553</v>
      </c>
      <c r="G166" s="2" t="s">
        <v>2554</v>
      </c>
      <c r="H166" s="2" t="s">
        <v>2555</v>
      </c>
      <c r="I166" s="2" t="s">
        <v>2556</v>
      </c>
      <c r="J166" s="2" t="s">
        <v>1777</v>
      </c>
      <c r="K166" s="2" t="s">
        <v>1778</v>
      </c>
    </row>
    <row r="167" spans="1:11" ht="43.5" customHeight="1" x14ac:dyDescent="0.5">
      <c r="A167" s="2" t="s">
        <v>878</v>
      </c>
      <c r="B167" s="2" t="s">
        <v>2557</v>
      </c>
      <c r="C167" s="2" t="s">
        <v>274</v>
      </c>
      <c r="D167" s="2" t="s">
        <v>1771</v>
      </c>
      <c r="E167" s="2" t="s">
        <v>2558</v>
      </c>
      <c r="F167" s="2" t="s">
        <v>2559</v>
      </c>
      <c r="G167" s="2" t="s">
        <v>2560</v>
      </c>
      <c r="H167" s="2" t="s">
        <v>2561</v>
      </c>
      <c r="I167" s="2" t="s">
        <v>2562</v>
      </c>
      <c r="J167" s="2" t="s">
        <v>1777</v>
      </c>
      <c r="K167" s="2" t="s">
        <v>1778</v>
      </c>
    </row>
    <row r="168" spans="1:11" ht="43.5" customHeight="1" x14ac:dyDescent="0.5">
      <c r="A168" s="2" t="s">
        <v>881</v>
      </c>
      <c r="B168" s="2" t="s">
        <v>2563</v>
      </c>
      <c r="C168" s="2" t="s">
        <v>274</v>
      </c>
      <c r="D168" s="2" t="s">
        <v>1771</v>
      </c>
      <c r="E168" s="2" t="s">
        <v>2564</v>
      </c>
      <c r="F168" s="2" t="s">
        <v>2565</v>
      </c>
      <c r="G168" s="2" t="s">
        <v>2566</v>
      </c>
      <c r="H168" s="2" t="s">
        <v>2567</v>
      </c>
      <c r="I168" s="2" t="s">
        <v>2568</v>
      </c>
      <c r="J168" s="2" t="s">
        <v>1777</v>
      </c>
      <c r="K168" s="2" t="s">
        <v>1778</v>
      </c>
    </row>
    <row r="169" spans="1:11" ht="43.5" customHeight="1" x14ac:dyDescent="0.5">
      <c r="A169" s="2" t="s">
        <v>883</v>
      </c>
      <c r="B169" s="2" t="s">
        <v>2569</v>
      </c>
      <c r="C169" s="2" t="s">
        <v>297</v>
      </c>
      <c r="D169" s="2" t="s">
        <v>1771</v>
      </c>
      <c r="E169" s="2" t="s">
        <v>2570</v>
      </c>
      <c r="F169" s="2" t="s">
        <v>2571</v>
      </c>
      <c r="G169" s="2" t="s">
        <v>1788</v>
      </c>
      <c r="H169" s="2" t="s">
        <v>1789</v>
      </c>
      <c r="I169" s="2" t="s">
        <v>2572</v>
      </c>
      <c r="J169" s="2" t="s">
        <v>1777</v>
      </c>
      <c r="K169" s="2" t="s">
        <v>1778</v>
      </c>
    </row>
    <row r="170" spans="1:11" ht="43.5" customHeight="1" x14ac:dyDescent="0.5">
      <c r="A170" s="2" t="s">
        <v>885</v>
      </c>
      <c r="B170" s="2" t="s">
        <v>2573</v>
      </c>
      <c r="C170" s="2" t="s">
        <v>297</v>
      </c>
      <c r="D170" s="2" t="s">
        <v>1771</v>
      </c>
      <c r="E170" s="2" t="s">
        <v>2574</v>
      </c>
      <c r="F170" s="2" t="s">
        <v>2575</v>
      </c>
      <c r="G170" s="2" t="s">
        <v>1788</v>
      </c>
      <c r="H170" s="2" t="s">
        <v>1789</v>
      </c>
      <c r="I170" s="2" t="s">
        <v>2576</v>
      </c>
      <c r="J170" s="2" t="s">
        <v>1777</v>
      </c>
      <c r="K170" s="2" t="s">
        <v>1778</v>
      </c>
    </row>
    <row r="171" spans="1:11" ht="43.5" customHeight="1" x14ac:dyDescent="0.5">
      <c r="A171" s="2" t="s">
        <v>887</v>
      </c>
      <c r="B171" s="2" t="s">
        <v>2577</v>
      </c>
      <c r="C171" s="2" t="s">
        <v>297</v>
      </c>
      <c r="D171" s="2" t="s">
        <v>1771</v>
      </c>
      <c r="E171" s="2" t="s">
        <v>2578</v>
      </c>
      <c r="F171" s="2" t="s">
        <v>2579</v>
      </c>
      <c r="G171" s="2" t="s">
        <v>1788</v>
      </c>
      <c r="H171" s="2" t="s">
        <v>1789</v>
      </c>
      <c r="I171" s="2" t="s">
        <v>2580</v>
      </c>
      <c r="J171" s="2" t="s">
        <v>1777</v>
      </c>
      <c r="K171" s="2" t="s">
        <v>1778</v>
      </c>
    </row>
    <row r="172" spans="1:11" ht="43.5" customHeight="1" x14ac:dyDescent="0.5">
      <c r="A172" s="2" t="s">
        <v>889</v>
      </c>
      <c r="B172" s="2" t="s">
        <v>2581</v>
      </c>
      <c r="C172" s="2" t="s">
        <v>297</v>
      </c>
      <c r="D172" s="2" t="s">
        <v>1771</v>
      </c>
      <c r="E172" s="2" t="s">
        <v>2582</v>
      </c>
      <c r="F172" s="2" t="s">
        <v>2583</v>
      </c>
      <c r="G172" s="2" t="s">
        <v>1788</v>
      </c>
      <c r="H172" s="2" t="s">
        <v>1789</v>
      </c>
      <c r="I172" s="2" t="s">
        <v>2584</v>
      </c>
      <c r="J172" s="2" t="s">
        <v>1777</v>
      </c>
      <c r="K172" s="2" t="s">
        <v>1778</v>
      </c>
    </row>
    <row r="173" spans="1:11" ht="43.5" customHeight="1" x14ac:dyDescent="0.5">
      <c r="A173" s="2" t="s">
        <v>891</v>
      </c>
      <c r="B173" s="2" t="s">
        <v>2585</v>
      </c>
      <c r="C173" s="2" t="s">
        <v>297</v>
      </c>
      <c r="D173" s="2" t="s">
        <v>1771</v>
      </c>
      <c r="E173" s="2" t="s">
        <v>2586</v>
      </c>
      <c r="F173" s="2" t="s">
        <v>2587</v>
      </c>
      <c r="G173" s="2" t="s">
        <v>2588</v>
      </c>
      <c r="H173" s="2" t="s">
        <v>2589</v>
      </c>
      <c r="I173" s="2" t="s">
        <v>2590</v>
      </c>
      <c r="J173" s="2" t="s">
        <v>1777</v>
      </c>
      <c r="K173" s="2" t="s">
        <v>1778</v>
      </c>
    </row>
    <row r="174" spans="1:11" ht="43.5" customHeight="1" x14ac:dyDescent="0.5">
      <c r="A174" s="2" t="s">
        <v>893</v>
      </c>
      <c r="B174" s="2" t="s">
        <v>2591</v>
      </c>
      <c r="C174" s="2" t="s">
        <v>274</v>
      </c>
      <c r="D174" s="2" t="s">
        <v>1771</v>
      </c>
      <c r="E174" s="2" t="s">
        <v>2592</v>
      </c>
      <c r="F174" s="2" t="s">
        <v>2593</v>
      </c>
      <c r="G174" s="2" t="s">
        <v>2594</v>
      </c>
      <c r="H174" s="2" t="s">
        <v>2595</v>
      </c>
      <c r="I174" s="2" t="s">
        <v>2596</v>
      </c>
      <c r="J174" s="2" t="s">
        <v>1777</v>
      </c>
      <c r="K174" s="2" t="s">
        <v>1778</v>
      </c>
    </row>
    <row r="175" spans="1:11" ht="43.5" customHeight="1" x14ac:dyDescent="0.5">
      <c r="A175" s="2" t="s">
        <v>896</v>
      </c>
      <c r="B175" s="2" t="s">
        <v>2597</v>
      </c>
      <c r="C175" s="2" t="s">
        <v>274</v>
      </c>
      <c r="D175" s="2" t="s">
        <v>1771</v>
      </c>
      <c r="E175" s="2" t="s">
        <v>2598</v>
      </c>
      <c r="F175" s="2" t="s">
        <v>2599</v>
      </c>
      <c r="G175" s="2" t="s">
        <v>2600</v>
      </c>
      <c r="H175" s="2" t="s">
        <v>2601</v>
      </c>
      <c r="I175" s="2" t="s">
        <v>2602</v>
      </c>
      <c r="J175" s="2" t="s">
        <v>1777</v>
      </c>
      <c r="K175" s="2" t="s">
        <v>1778</v>
      </c>
    </row>
    <row r="176" spans="1:11" ht="43.5" customHeight="1" x14ac:dyDescent="0.5">
      <c r="A176" s="2" t="s">
        <v>898</v>
      </c>
      <c r="B176" s="2" t="s">
        <v>2603</v>
      </c>
      <c r="C176" s="2" t="s">
        <v>297</v>
      </c>
      <c r="D176" s="2" t="s">
        <v>1771</v>
      </c>
      <c r="E176" s="2" t="s">
        <v>2604</v>
      </c>
      <c r="F176" s="2" t="s">
        <v>2605</v>
      </c>
      <c r="G176" s="2" t="s">
        <v>1788</v>
      </c>
      <c r="H176" s="2" t="s">
        <v>1789</v>
      </c>
      <c r="I176" s="2" t="s">
        <v>2606</v>
      </c>
      <c r="J176" s="2" t="s">
        <v>1777</v>
      </c>
      <c r="K176" s="2" t="s">
        <v>1778</v>
      </c>
    </row>
    <row r="177" spans="1:11" ht="43.5" customHeight="1" x14ac:dyDescent="0.5">
      <c r="A177" s="2" t="s">
        <v>900</v>
      </c>
      <c r="B177" s="2" t="s">
        <v>2607</v>
      </c>
      <c r="C177" s="2" t="s">
        <v>297</v>
      </c>
      <c r="D177" s="2" t="s">
        <v>1771</v>
      </c>
      <c r="E177" s="2" t="s">
        <v>2608</v>
      </c>
      <c r="F177" s="2" t="s">
        <v>2609</v>
      </c>
      <c r="G177" s="2" t="s">
        <v>1788</v>
      </c>
      <c r="H177" s="2" t="s">
        <v>1789</v>
      </c>
      <c r="I177" s="2" t="s">
        <v>2610</v>
      </c>
      <c r="J177" s="2" t="s">
        <v>1777</v>
      </c>
      <c r="K177" s="2" t="s">
        <v>1778</v>
      </c>
    </row>
    <row r="178" spans="1:11" ht="43.5" customHeight="1" x14ac:dyDescent="0.5">
      <c r="A178" s="2" t="s">
        <v>902</v>
      </c>
      <c r="B178" s="2" t="s">
        <v>2611</v>
      </c>
      <c r="C178" s="2" t="s">
        <v>297</v>
      </c>
      <c r="D178" s="2" t="s">
        <v>1771</v>
      </c>
      <c r="E178" s="2" t="s">
        <v>2612</v>
      </c>
      <c r="F178" s="2" t="s">
        <v>2613</v>
      </c>
      <c r="G178" s="2" t="s">
        <v>1788</v>
      </c>
      <c r="H178" s="2" t="s">
        <v>1789</v>
      </c>
      <c r="I178" s="2" t="s">
        <v>2614</v>
      </c>
      <c r="J178" s="2" t="s">
        <v>1777</v>
      </c>
      <c r="K178" s="2" t="s">
        <v>1778</v>
      </c>
    </row>
    <row r="179" spans="1:11" ht="43.5" customHeight="1" x14ac:dyDescent="0.5">
      <c r="A179" s="2" t="s">
        <v>904</v>
      </c>
      <c r="B179" s="2" t="s">
        <v>2615</v>
      </c>
      <c r="C179" s="2" t="s">
        <v>297</v>
      </c>
      <c r="D179" s="2" t="s">
        <v>1771</v>
      </c>
      <c r="E179" s="2" t="s">
        <v>2616</v>
      </c>
      <c r="F179" s="2" t="s">
        <v>2617</v>
      </c>
      <c r="G179" s="2" t="s">
        <v>1788</v>
      </c>
      <c r="H179" s="2" t="s">
        <v>1789</v>
      </c>
      <c r="I179" s="2" t="s">
        <v>2618</v>
      </c>
      <c r="J179" s="2" t="s">
        <v>1777</v>
      </c>
      <c r="K179" s="2" t="s">
        <v>1778</v>
      </c>
    </row>
    <row r="180" spans="1:11" ht="43.5" customHeight="1" x14ac:dyDescent="0.5">
      <c r="A180" s="2" t="s">
        <v>906</v>
      </c>
      <c r="B180" s="2" t="s">
        <v>2619</v>
      </c>
      <c r="C180" s="2" t="s">
        <v>297</v>
      </c>
      <c r="D180" s="2" t="s">
        <v>1771</v>
      </c>
      <c r="E180" s="2" t="s">
        <v>2620</v>
      </c>
      <c r="F180" s="2" t="s">
        <v>2621</v>
      </c>
      <c r="G180" s="2" t="s">
        <v>2622</v>
      </c>
      <c r="H180" s="2" t="s">
        <v>2623</v>
      </c>
      <c r="I180" s="2" t="s">
        <v>2624</v>
      </c>
      <c r="J180" s="2" t="s">
        <v>1777</v>
      </c>
      <c r="K180" s="2" t="s">
        <v>1778</v>
      </c>
    </row>
    <row r="181" spans="1:11" ht="43.5" customHeight="1" x14ac:dyDescent="0.5">
      <c r="A181" s="2" t="s">
        <v>908</v>
      </c>
      <c r="B181" s="2" t="s">
        <v>2625</v>
      </c>
      <c r="C181" s="2" t="s">
        <v>274</v>
      </c>
      <c r="D181" s="2" t="s">
        <v>1771</v>
      </c>
      <c r="E181" s="2" t="s">
        <v>2626</v>
      </c>
      <c r="F181" s="2" t="s">
        <v>2627</v>
      </c>
      <c r="G181" s="2" t="s">
        <v>2628</v>
      </c>
      <c r="H181" s="2" t="s">
        <v>2629</v>
      </c>
      <c r="I181" s="2" t="s">
        <v>2630</v>
      </c>
      <c r="J181" s="2" t="s">
        <v>1777</v>
      </c>
      <c r="K181" s="2" t="s">
        <v>1778</v>
      </c>
    </row>
    <row r="182" spans="1:11" ht="43.5" customHeight="1" x14ac:dyDescent="0.5">
      <c r="A182" s="2" t="s">
        <v>913</v>
      </c>
      <c r="B182" s="2" t="s">
        <v>2631</v>
      </c>
      <c r="C182" s="2" t="s">
        <v>274</v>
      </c>
      <c r="D182" s="2" t="s">
        <v>1771</v>
      </c>
      <c r="E182" s="2" t="s">
        <v>2632</v>
      </c>
      <c r="F182" s="2" t="s">
        <v>2633</v>
      </c>
      <c r="G182" s="2" t="s">
        <v>2634</v>
      </c>
      <c r="H182" s="2" t="s">
        <v>2635</v>
      </c>
      <c r="I182" s="2" t="s">
        <v>2636</v>
      </c>
      <c r="J182" s="2" t="s">
        <v>1777</v>
      </c>
      <c r="K182" s="2" t="s">
        <v>1778</v>
      </c>
    </row>
    <row r="183" spans="1:11" ht="43.5" customHeight="1" x14ac:dyDescent="0.5">
      <c r="A183" s="2" t="s">
        <v>917</v>
      </c>
      <c r="B183" s="2" t="s">
        <v>2637</v>
      </c>
      <c r="C183" s="2" t="s">
        <v>297</v>
      </c>
      <c r="D183" s="2" t="s">
        <v>1771</v>
      </c>
      <c r="E183" s="2" t="s">
        <v>2638</v>
      </c>
      <c r="F183" s="2" t="s">
        <v>2639</v>
      </c>
      <c r="G183" s="2" t="s">
        <v>1788</v>
      </c>
      <c r="H183" s="2" t="s">
        <v>1789</v>
      </c>
      <c r="I183" s="2" t="s">
        <v>2640</v>
      </c>
      <c r="J183" s="2" t="s">
        <v>1777</v>
      </c>
      <c r="K183" s="2" t="s">
        <v>1778</v>
      </c>
    </row>
    <row r="184" spans="1:11" ht="43.5" customHeight="1" x14ac:dyDescent="0.5">
      <c r="A184" s="2" t="s">
        <v>920</v>
      </c>
      <c r="B184" s="2" t="s">
        <v>2641</v>
      </c>
      <c r="C184" s="2" t="s">
        <v>297</v>
      </c>
      <c r="D184" s="2" t="s">
        <v>1771</v>
      </c>
      <c r="E184" s="2" t="s">
        <v>2642</v>
      </c>
      <c r="F184" s="2" t="s">
        <v>2643</v>
      </c>
      <c r="G184" s="2" t="s">
        <v>1788</v>
      </c>
      <c r="H184" s="2" t="s">
        <v>1789</v>
      </c>
      <c r="I184" s="2" t="s">
        <v>2644</v>
      </c>
      <c r="J184" s="2" t="s">
        <v>1777</v>
      </c>
      <c r="K184" s="2" t="s">
        <v>1778</v>
      </c>
    </row>
    <row r="185" spans="1:11" ht="43.5" customHeight="1" x14ac:dyDescent="0.5">
      <c r="A185" s="2" t="s">
        <v>925</v>
      </c>
      <c r="B185" s="2" t="s">
        <v>2645</v>
      </c>
      <c r="C185" s="2" t="s">
        <v>297</v>
      </c>
      <c r="D185" s="2" t="s">
        <v>1771</v>
      </c>
      <c r="E185" s="2" t="s">
        <v>2646</v>
      </c>
      <c r="F185" s="2" t="s">
        <v>2647</v>
      </c>
      <c r="G185" s="2" t="s">
        <v>1788</v>
      </c>
      <c r="H185" s="2" t="s">
        <v>1789</v>
      </c>
      <c r="I185" s="2" t="s">
        <v>2648</v>
      </c>
      <c r="J185" s="2" t="s">
        <v>1777</v>
      </c>
      <c r="K185" s="2" t="s">
        <v>1778</v>
      </c>
    </row>
    <row r="186" spans="1:11" ht="43.5" customHeight="1" x14ac:dyDescent="0.5">
      <c r="A186" s="2" t="s">
        <v>929</v>
      </c>
      <c r="B186" s="2" t="s">
        <v>2649</v>
      </c>
      <c r="C186" s="2" t="s">
        <v>297</v>
      </c>
      <c r="D186" s="2" t="s">
        <v>1771</v>
      </c>
      <c r="E186" s="2" t="s">
        <v>2650</v>
      </c>
      <c r="F186" s="2" t="s">
        <v>2651</v>
      </c>
      <c r="G186" s="2" t="s">
        <v>1788</v>
      </c>
      <c r="H186" s="2" t="s">
        <v>1789</v>
      </c>
      <c r="I186" s="2" t="s">
        <v>2652</v>
      </c>
      <c r="J186" s="2" t="s">
        <v>1777</v>
      </c>
      <c r="K186" s="2" t="s">
        <v>1778</v>
      </c>
    </row>
    <row r="187" spans="1:11" ht="43.5" customHeight="1" x14ac:dyDescent="0.5">
      <c r="A187" s="2" t="s">
        <v>933</v>
      </c>
      <c r="B187" s="2" t="s">
        <v>2653</v>
      </c>
      <c r="C187" s="2" t="s">
        <v>297</v>
      </c>
      <c r="D187" s="2" t="s">
        <v>1771</v>
      </c>
      <c r="E187" s="2" t="s">
        <v>2654</v>
      </c>
      <c r="F187" s="2" t="s">
        <v>2655</v>
      </c>
      <c r="G187" s="2" t="s">
        <v>2656</v>
      </c>
      <c r="H187" s="2" t="s">
        <v>2657</v>
      </c>
      <c r="I187" s="2" t="s">
        <v>2658</v>
      </c>
      <c r="J187" s="2" t="s">
        <v>1777</v>
      </c>
      <c r="K187" s="2" t="s">
        <v>1778</v>
      </c>
    </row>
    <row r="188" spans="1:11" ht="43.5" customHeight="1" x14ac:dyDescent="0.5">
      <c r="A188" s="2" t="s">
        <v>937</v>
      </c>
      <c r="B188" s="2" t="s">
        <v>2659</v>
      </c>
      <c r="C188" s="2" t="s">
        <v>274</v>
      </c>
      <c r="D188" s="2" t="s">
        <v>1771</v>
      </c>
      <c r="E188" s="2" t="s">
        <v>2660</v>
      </c>
      <c r="F188" s="2" t="s">
        <v>2661</v>
      </c>
      <c r="G188" s="2" t="s">
        <v>2662</v>
      </c>
      <c r="H188" s="2" t="s">
        <v>2663</v>
      </c>
      <c r="I188" s="2" t="s">
        <v>2664</v>
      </c>
      <c r="J188" s="2" t="s">
        <v>1777</v>
      </c>
      <c r="K188" s="2" t="s">
        <v>1778</v>
      </c>
    </row>
    <row r="189" spans="1:11" ht="43.5" customHeight="1" x14ac:dyDescent="0.5">
      <c r="A189" s="2" t="s">
        <v>941</v>
      </c>
      <c r="B189" s="2" t="s">
        <v>2665</v>
      </c>
      <c r="C189" s="2" t="s">
        <v>274</v>
      </c>
      <c r="D189" s="2" t="s">
        <v>1771</v>
      </c>
      <c r="E189" s="2" t="s">
        <v>2666</v>
      </c>
      <c r="F189" s="2" t="s">
        <v>2667</v>
      </c>
      <c r="G189" s="2" t="s">
        <v>2668</v>
      </c>
      <c r="H189" s="2" t="s">
        <v>2669</v>
      </c>
      <c r="I189" s="2" t="s">
        <v>2670</v>
      </c>
      <c r="J189" s="2" t="s">
        <v>1777</v>
      </c>
      <c r="K189" s="2" t="s">
        <v>1778</v>
      </c>
    </row>
    <row r="190" spans="1:11" ht="43.5" customHeight="1" x14ac:dyDescent="0.5">
      <c r="A190" s="2" t="s">
        <v>944</v>
      </c>
      <c r="B190" s="2" t="s">
        <v>2671</v>
      </c>
      <c r="C190" s="2" t="s">
        <v>297</v>
      </c>
      <c r="D190" s="2" t="s">
        <v>1771</v>
      </c>
      <c r="E190" s="2" t="s">
        <v>2672</v>
      </c>
      <c r="F190" s="2" t="s">
        <v>2673</v>
      </c>
      <c r="G190" s="2" t="s">
        <v>1788</v>
      </c>
      <c r="H190" s="2" t="s">
        <v>1789</v>
      </c>
      <c r="I190" s="2" t="s">
        <v>2674</v>
      </c>
      <c r="J190" s="2" t="s">
        <v>1777</v>
      </c>
      <c r="K190" s="2" t="s">
        <v>1778</v>
      </c>
    </row>
    <row r="191" spans="1:11" ht="43.5" customHeight="1" x14ac:dyDescent="0.5">
      <c r="A191" s="2" t="s">
        <v>947</v>
      </c>
      <c r="B191" s="2" t="s">
        <v>2675</v>
      </c>
      <c r="C191" s="2" t="s">
        <v>297</v>
      </c>
      <c r="D191" s="2" t="s">
        <v>1771</v>
      </c>
      <c r="E191" s="2" t="s">
        <v>2676</v>
      </c>
      <c r="F191" s="2" t="s">
        <v>2677</v>
      </c>
      <c r="G191" s="2" t="s">
        <v>1788</v>
      </c>
      <c r="H191" s="2" t="s">
        <v>1789</v>
      </c>
      <c r="I191" s="2" t="s">
        <v>2678</v>
      </c>
      <c r="J191" s="2" t="s">
        <v>1777</v>
      </c>
      <c r="K191" s="2" t="s">
        <v>1778</v>
      </c>
    </row>
    <row r="192" spans="1:11" ht="43.5" customHeight="1" x14ac:dyDescent="0.5">
      <c r="A192" s="2" t="s">
        <v>950</v>
      </c>
      <c r="B192" s="2" t="s">
        <v>2679</v>
      </c>
      <c r="C192" s="2" t="s">
        <v>297</v>
      </c>
      <c r="D192" s="2" t="s">
        <v>1771</v>
      </c>
      <c r="E192" s="2" t="s">
        <v>2680</v>
      </c>
      <c r="F192" s="2" t="s">
        <v>2681</v>
      </c>
      <c r="G192" s="2" t="s">
        <v>1788</v>
      </c>
      <c r="H192" s="2" t="s">
        <v>1789</v>
      </c>
      <c r="I192" s="2" t="s">
        <v>2682</v>
      </c>
      <c r="J192" s="2" t="s">
        <v>1777</v>
      </c>
      <c r="K192" s="2" t="s">
        <v>1778</v>
      </c>
    </row>
    <row r="193" spans="1:11" ht="43.5" customHeight="1" x14ac:dyDescent="0.5">
      <c r="A193" s="2" t="s">
        <v>953</v>
      </c>
      <c r="B193" s="2" t="s">
        <v>2683</v>
      </c>
      <c r="C193" s="2" t="s">
        <v>297</v>
      </c>
      <c r="D193" s="2" t="s">
        <v>1771</v>
      </c>
      <c r="E193" s="2" t="s">
        <v>2684</v>
      </c>
      <c r="F193" s="2" t="s">
        <v>2685</v>
      </c>
      <c r="G193" s="2" t="s">
        <v>1788</v>
      </c>
      <c r="H193" s="2" t="s">
        <v>1789</v>
      </c>
      <c r="I193" s="2" t="s">
        <v>2686</v>
      </c>
      <c r="J193" s="2" t="s">
        <v>1777</v>
      </c>
      <c r="K193" s="2" t="s">
        <v>1778</v>
      </c>
    </row>
    <row r="194" spans="1:11" ht="43.5" customHeight="1" x14ac:dyDescent="0.5">
      <c r="A194" s="2" t="s">
        <v>956</v>
      </c>
      <c r="B194" s="2" t="s">
        <v>2687</v>
      </c>
      <c r="C194" s="2" t="s">
        <v>297</v>
      </c>
      <c r="D194" s="2" t="s">
        <v>1771</v>
      </c>
      <c r="E194" s="2" t="s">
        <v>2688</v>
      </c>
      <c r="F194" s="2" t="s">
        <v>2689</v>
      </c>
      <c r="G194" s="2" t="s">
        <v>2690</v>
      </c>
      <c r="H194" s="2" t="s">
        <v>2691</v>
      </c>
      <c r="I194" s="2" t="s">
        <v>2692</v>
      </c>
      <c r="J194" s="2" t="s">
        <v>1777</v>
      </c>
      <c r="K194" s="2" t="s">
        <v>1778</v>
      </c>
    </row>
    <row r="195" spans="1:11" ht="43.5" customHeight="1" x14ac:dyDescent="0.5">
      <c r="A195" s="2" t="s">
        <v>959</v>
      </c>
      <c r="B195" s="2" t="s">
        <v>2693</v>
      </c>
      <c r="C195" s="2" t="s">
        <v>274</v>
      </c>
      <c r="D195" s="2" t="s">
        <v>1771</v>
      </c>
      <c r="E195" s="2" t="s">
        <v>2694</v>
      </c>
      <c r="F195" s="2" t="s">
        <v>2695</v>
      </c>
      <c r="G195" s="2" t="s">
        <v>2696</v>
      </c>
      <c r="H195" s="2" t="s">
        <v>2697</v>
      </c>
      <c r="I195" s="2" t="s">
        <v>2698</v>
      </c>
      <c r="J195" s="2" t="s">
        <v>1777</v>
      </c>
      <c r="K195" s="2" t="s">
        <v>1778</v>
      </c>
    </row>
    <row r="196" spans="1:11" ht="43.5" customHeight="1" x14ac:dyDescent="0.5">
      <c r="A196" s="2" t="s">
        <v>963</v>
      </c>
      <c r="B196" s="2" t="s">
        <v>2699</v>
      </c>
      <c r="C196" s="2" t="s">
        <v>274</v>
      </c>
      <c r="D196" s="2" t="s">
        <v>1771</v>
      </c>
      <c r="E196" s="2" t="s">
        <v>2700</v>
      </c>
      <c r="F196" s="2" t="s">
        <v>2701</v>
      </c>
      <c r="G196" s="2" t="s">
        <v>2702</v>
      </c>
      <c r="H196" s="2" t="s">
        <v>2703</v>
      </c>
      <c r="I196" s="2" t="s">
        <v>2704</v>
      </c>
      <c r="J196" s="2" t="s">
        <v>1777</v>
      </c>
      <c r="K196" s="2" t="s">
        <v>1778</v>
      </c>
    </row>
    <row r="197" spans="1:11" ht="43.5" customHeight="1" x14ac:dyDescent="0.5">
      <c r="A197" s="2" t="s">
        <v>966</v>
      </c>
      <c r="B197" s="2" t="s">
        <v>2705</v>
      </c>
      <c r="C197" s="2" t="s">
        <v>274</v>
      </c>
      <c r="D197" s="2" t="s">
        <v>1771</v>
      </c>
      <c r="E197" s="2" t="s">
        <v>2706</v>
      </c>
      <c r="F197" s="2" t="s">
        <v>2707</v>
      </c>
      <c r="G197" s="2" t="s">
        <v>1788</v>
      </c>
      <c r="H197" s="2" t="s">
        <v>1789</v>
      </c>
      <c r="I197" s="2" t="s">
        <v>2708</v>
      </c>
      <c r="J197" s="2" t="s">
        <v>1777</v>
      </c>
      <c r="K197" s="2" t="s">
        <v>1778</v>
      </c>
    </row>
    <row r="198" spans="1:11" ht="43.5" customHeight="1" x14ac:dyDescent="0.5">
      <c r="A198" s="2" t="s">
        <v>969</v>
      </c>
      <c r="B198" s="2" t="s">
        <v>2709</v>
      </c>
      <c r="C198" s="2" t="s">
        <v>297</v>
      </c>
      <c r="D198" s="2" t="s">
        <v>1771</v>
      </c>
      <c r="E198" s="2" t="s">
        <v>2710</v>
      </c>
      <c r="F198" s="2" t="s">
        <v>2711</v>
      </c>
      <c r="G198" s="2" t="s">
        <v>1788</v>
      </c>
      <c r="H198" s="2" t="s">
        <v>1789</v>
      </c>
      <c r="I198" s="2" t="s">
        <v>2712</v>
      </c>
      <c r="J198" s="2" t="s">
        <v>1777</v>
      </c>
      <c r="K198" s="2" t="s">
        <v>1778</v>
      </c>
    </row>
    <row r="199" spans="1:11" ht="43.5" customHeight="1" x14ac:dyDescent="0.5">
      <c r="A199" s="2" t="s">
        <v>972</v>
      </c>
      <c r="B199" s="2" t="s">
        <v>2713</v>
      </c>
      <c r="C199" s="2" t="s">
        <v>297</v>
      </c>
      <c r="D199" s="2" t="s">
        <v>1771</v>
      </c>
      <c r="E199" s="2" t="s">
        <v>2714</v>
      </c>
      <c r="F199" s="2" t="s">
        <v>2715</v>
      </c>
      <c r="G199" s="2" t="s">
        <v>1788</v>
      </c>
      <c r="H199" s="2" t="s">
        <v>1789</v>
      </c>
      <c r="I199" s="2" t="s">
        <v>2716</v>
      </c>
      <c r="J199" s="2" t="s">
        <v>1777</v>
      </c>
      <c r="K199" s="2" t="s">
        <v>1778</v>
      </c>
    </row>
    <row r="200" spans="1:11" ht="43.5" customHeight="1" x14ac:dyDescent="0.5">
      <c r="A200" s="2" t="s">
        <v>975</v>
      </c>
      <c r="B200" s="2" t="s">
        <v>2717</v>
      </c>
      <c r="C200" s="2" t="s">
        <v>297</v>
      </c>
      <c r="D200" s="2" t="s">
        <v>1771</v>
      </c>
      <c r="E200" s="2" t="s">
        <v>2718</v>
      </c>
      <c r="F200" s="2" t="s">
        <v>2719</v>
      </c>
      <c r="G200" s="2" t="s">
        <v>1788</v>
      </c>
      <c r="H200" s="2" t="s">
        <v>1789</v>
      </c>
      <c r="I200" s="2" t="s">
        <v>2720</v>
      </c>
      <c r="J200" s="2" t="s">
        <v>1777</v>
      </c>
      <c r="K200" s="2" t="s">
        <v>1778</v>
      </c>
    </row>
    <row r="201" spans="1:11" ht="43.5" customHeight="1" x14ac:dyDescent="0.5">
      <c r="A201" s="2" t="s">
        <v>978</v>
      </c>
      <c r="B201" s="2" t="s">
        <v>2721</v>
      </c>
      <c r="C201" s="2" t="s">
        <v>297</v>
      </c>
      <c r="D201" s="2" t="s">
        <v>1771</v>
      </c>
      <c r="E201" s="2" t="s">
        <v>2722</v>
      </c>
      <c r="F201" s="2" t="s">
        <v>2723</v>
      </c>
      <c r="G201" s="2" t="s">
        <v>2724</v>
      </c>
      <c r="H201" s="2" t="s">
        <v>2725</v>
      </c>
      <c r="I201" s="2" t="s">
        <v>2726</v>
      </c>
      <c r="J201" s="2" t="s">
        <v>1777</v>
      </c>
      <c r="K201" s="2" t="s">
        <v>1778</v>
      </c>
    </row>
    <row r="202" spans="1:11" ht="43.5" customHeight="1" x14ac:dyDescent="0.5">
      <c r="A202" s="2" t="s">
        <v>981</v>
      </c>
      <c r="B202" s="2" t="s">
        <v>2727</v>
      </c>
      <c r="C202" s="2" t="s">
        <v>274</v>
      </c>
      <c r="D202" s="2" t="s">
        <v>1771</v>
      </c>
      <c r="E202" s="2" t="s">
        <v>2728</v>
      </c>
      <c r="F202" s="2" t="s">
        <v>2729</v>
      </c>
      <c r="G202" s="2" t="s">
        <v>2730</v>
      </c>
      <c r="H202" s="2" t="s">
        <v>2731</v>
      </c>
      <c r="I202" s="2" t="s">
        <v>2732</v>
      </c>
      <c r="J202" s="2" t="s">
        <v>1777</v>
      </c>
      <c r="K202" s="2" t="s">
        <v>1778</v>
      </c>
    </row>
    <row r="203" spans="1:11" ht="43.5" customHeight="1" x14ac:dyDescent="0.5">
      <c r="A203" s="2" t="s">
        <v>985</v>
      </c>
      <c r="B203" s="2" t="s">
        <v>2733</v>
      </c>
      <c r="C203" s="2" t="s">
        <v>274</v>
      </c>
      <c r="D203" s="2" t="s">
        <v>1771</v>
      </c>
      <c r="E203" s="2" t="s">
        <v>2734</v>
      </c>
      <c r="F203" s="2" t="s">
        <v>2735</v>
      </c>
      <c r="G203" s="2" t="s">
        <v>2736</v>
      </c>
      <c r="H203" s="2" t="s">
        <v>2737</v>
      </c>
      <c r="I203" s="2" t="s">
        <v>2738</v>
      </c>
      <c r="J203" s="2" t="s">
        <v>1777</v>
      </c>
      <c r="K203" s="2" t="s">
        <v>1778</v>
      </c>
    </row>
    <row r="204" spans="1:11" ht="43.5" customHeight="1" x14ac:dyDescent="0.5">
      <c r="A204" s="2" t="s">
        <v>989</v>
      </c>
      <c r="B204" s="2" t="s">
        <v>2739</v>
      </c>
      <c r="C204" s="2" t="s">
        <v>274</v>
      </c>
      <c r="D204" s="2" t="s">
        <v>1771</v>
      </c>
      <c r="E204" s="2" t="s">
        <v>2740</v>
      </c>
      <c r="F204" s="2" t="s">
        <v>2741</v>
      </c>
      <c r="G204" s="2" t="s">
        <v>1788</v>
      </c>
      <c r="H204" s="2" t="s">
        <v>1789</v>
      </c>
      <c r="I204" s="2" t="s">
        <v>2742</v>
      </c>
      <c r="J204" s="2" t="s">
        <v>1777</v>
      </c>
      <c r="K204" s="2" t="s">
        <v>1778</v>
      </c>
    </row>
    <row r="205" spans="1:11" ht="43.5" customHeight="1" x14ac:dyDescent="0.5">
      <c r="A205" s="2" t="s">
        <v>992</v>
      </c>
      <c r="B205" s="2" t="s">
        <v>2743</v>
      </c>
      <c r="C205" s="2" t="s">
        <v>297</v>
      </c>
      <c r="D205" s="2" t="s">
        <v>1771</v>
      </c>
      <c r="E205" s="2" t="s">
        <v>2744</v>
      </c>
      <c r="F205" s="2" t="s">
        <v>2745</v>
      </c>
      <c r="G205" s="2" t="s">
        <v>1788</v>
      </c>
      <c r="H205" s="2" t="s">
        <v>1789</v>
      </c>
      <c r="I205" s="2" t="s">
        <v>2746</v>
      </c>
      <c r="J205" s="2" t="s">
        <v>1777</v>
      </c>
      <c r="K205" s="2" t="s">
        <v>1778</v>
      </c>
    </row>
    <row r="206" spans="1:11" ht="43.5" customHeight="1" x14ac:dyDescent="0.5">
      <c r="A206" s="2" t="s">
        <v>997</v>
      </c>
      <c r="B206" s="2" t="s">
        <v>2747</v>
      </c>
      <c r="C206" s="2" t="s">
        <v>297</v>
      </c>
      <c r="D206" s="2" t="s">
        <v>1771</v>
      </c>
      <c r="E206" s="2" t="s">
        <v>2748</v>
      </c>
      <c r="F206" s="2" t="s">
        <v>2749</v>
      </c>
      <c r="G206" s="2" t="s">
        <v>1788</v>
      </c>
      <c r="H206" s="2" t="s">
        <v>1789</v>
      </c>
      <c r="I206" s="2" t="s">
        <v>2750</v>
      </c>
      <c r="J206" s="2" t="s">
        <v>1777</v>
      </c>
      <c r="K206" s="2" t="s">
        <v>1778</v>
      </c>
    </row>
    <row r="207" spans="1:11" ht="43.5" customHeight="1" x14ac:dyDescent="0.5">
      <c r="A207" s="2" t="s">
        <v>1001</v>
      </c>
      <c r="B207" s="2" t="s">
        <v>2751</v>
      </c>
      <c r="C207" s="2" t="s">
        <v>297</v>
      </c>
      <c r="D207" s="2" t="s">
        <v>1771</v>
      </c>
      <c r="E207" s="2" t="s">
        <v>2752</v>
      </c>
      <c r="F207" s="2" t="s">
        <v>2753</v>
      </c>
      <c r="G207" s="2" t="s">
        <v>1788</v>
      </c>
      <c r="H207" s="2" t="s">
        <v>1789</v>
      </c>
      <c r="I207" s="2" t="s">
        <v>2754</v>
      </c>
      <c r="J207" s="2" t="s">
        <v>1777</v>
      </c>
      <c r="K207" s="2" t="s">
        <v>1778</v>
      </c>
    </row>
    <row r="208" spans="1:11" ht="43.5" customHeight="1" x14ac:dyDescent="0.5">
      <c r="A208" s="2" t="s">
        <v>1005</v>
      </c>
      <c r="B208" s="2" t="s">
        <v>2755</v>
      </c>
      <c r="C208" s="2" t="s">
        <v>297</v>
      </c>
      <c r="D208" s="2" t="s">
        <v>1771</v>
      </c>
      <c r="E208" s="2" t="s">
        <v>2756</v>
      </c>
      <c r="F208" s="2" t="s">
        <v>2757</v>
      </c>
      <c r="G208" s="2" t="s">
        <v>2758</v>
      </c>
      <c r="H208" s="2" t="s">
        <v>2759</v>
      </c>
      <c r="I208" s="2" t="s">
        <v>2760</v>
      </c>
      <c r="J208" s="2" t="s">
        <v>1777</v>
      </c>
      <c r="K208" s="2" t="s">
        <v>1778</v>
      </c>
    </row>
    <row r="209" spans="1:11" ht="43.5" customHeight="1" x14ac:dyDescent="0.5">
      <c r="A209" s="2" t="s">
        <v>1009</v>
      </c>
      <c r="B209" s="2" t="s">
        <v>2761</v>
      </c>
      <c r="C209" s="2" t="s">
        <v>274</v>
      </c>
      <c r="D209" s="2" t="s">
        <v>1771</v>
      </c>
      <c r="E209" s="2" t="s">
        <v>2762</v>
      </c>
      <c r="F209" s="2" t="s">
        <v>2763</v>
      </c>
      <c r="G209" s="2" t="s">
        <v>2764</v>
      </c>
      <c r="H209" s="2" t="s">
        <v>2765</v>
      </c>
      <c r="I209" s="2" t="s">
        <v>2766</v>
      </c>
      <c r="J209" s="2" t="s">
        <v>1777</v>
      </c>
      <c r="K209" s="2" t="s">
        <v>1778</v>
      </c>
    </row>
    <row r="210" spans="1:11" ht="43.5" customHeight="1" x14ac:dyDescent="0.5">
      <c r="A210" s="2" t="s">
        <v>1014</v>
      </c>
      <c r="B210" s="2" t="s">
        <v>2767</v>
      </c>
      <c r="C210" s="2" t="s">
        <v>274</v>
      </c>
      <c r="D210" s="2" t="s">
        <v>1771</v>
      </c>
      <c r="E210" s="2" t="s">
        <v>2768</v>
      </c>
      <c r="F210" s="2" t="s">
        <v>2769</v>
      </c>
      <c r="G210" s="2" t="s">
        <v>2770</v>
      </c>
      <c r="H210" s="2" t="s">
        <v>2771</v>
      </c>
      <c r="I210" s="2" t="s">
        <v>2772</v>
      </c>
      <c r="J210" s="2" t="s">
        <v>1777</v>
      </c>
      <c r="K210" s="2" t="s">
        <v>1778</v>
      </c>
    </row>
    <row r="211" spans="1:11" ht="43.5" customHeight="1" x14ac:dyDescent="0.5">
      <c r="A211" s="2" t="s">
        <v>1018</v>
      </c>
      <c r="B211" s="2" t="s">
        <v>2773</v>
      </c>
      <c r="C211" s="2" t="s">
        <v>297</v>
      </c>
      <c r="D211" s="2" t="s">
        <v>1771</v>
      </c>
      <c r="E211" s="2" t="s">
        <v>2774</v>
      </c>
      <c r="F211" s="2" t="s">
        <v>2775</v>
      </c>
      <c r="G211" s="2" t="s">
        <v>1788</v>
      </c>
      <c r="H211" s="2" t="s">
        <v>1789</v>
      </c>
      <c r="I211" s="2" t="s">
        <v>2776</v>
      </c>
      <c r="J211" s="2" t="s">
        <v>1777</v>
      </c>
      <c r="K211" s="2" t="s">
        <v>1778</v>
      </c>
    </row>
    <row r="212" spans="1:11" ht="43.5" customHeight="1" x14ac:dyDescent="0.5">
      <c r="A212" s="2" t="s">
        <v>1021</v>
      </c>
      <c r="B212" s="2" t="s">
        <v>2777</v>
      </c>
      <c r="C212" s="2" t="s">
        <v>297</v>
      </c>
      <c r="D212" s="2" t="s">
        <v>1771</v>
      </c>
      <c r="E212" s="2" t="s">
        <v>2778</v>
      </c>
      <c r="F212" s="2" t="s">
        <v>2779</v>
      </c>
      <c r="G212" s="2" t="s">
        <v>1788</v>
      </c>
      <c r="H212" s="2" t="s">
        <v>1789</v>
      </c>
      <c r="I212" s="2" t="s">
        <v>2780</v>
      </c>
      <c r="J212" s="2" t="s">
        <v>1777</v>
      </c>
      <c r="K212" s="2" t="s">
        <v>1778</v>
      </c>
    </row>
    <row r="213" spans="1:11" ht="43.5" customHeight="1" x14ac:dyDescent="0.5">
      <c r="A213" s="2" t="s">
        <v>1024</v>
      </c>
      <c r="B213" s="2" t="s">
        <v>2781</v>
      </c>
      <c r="C213" s="2" t="s">
        <v>297</v>
      </c>
      <c r="D213" s="2" t="s">
        <v>1771</v>
      </c>
      <c r="E213" s="2" t="s">
        <v>2782</v>
      </c>
      <c r="F213" s="2" t="s">
        <v>2783</v>
      </c>
      <c r="G213" s="2" t="s">
        <v>1788</v>
      </c>
      <c r="H213" s="2" t="s">
        <v>1789</v>
      </c>
      <c r="I213" s="2" t="s">
        <v>2784</v>
      </c>
      <c r="J213" s="2" t="s">
        <v>1777</v>
      </c>
      <c r="K213" s="2" t="s">
        <v>1778</v>
      </c>
    </row>
    <row r="214" spans="1:11" ht="43.5" customHeight="1" x14ac:dyDescent="0.5">
      <c r="A214" s="2" t="s">
        <v>1027</v>
      </c>
      <c r="B214" s="2" t="s">
        <v>2785</v>
      </c>
      <c r="C214" s="2" t="s">
        <v>297</v>
      </c>
      <c r="D214" s="2" t="s">
        <v>1771</v>
      </c>
      <c r="E214" s="2" t="s">
        <v>2786</v>
      </c>
      <c r="F214" s="2" t="s">
        <v>2787</v>
      </c>
      <c r="G214" s="2" t="s">
        <v>1788</v>
      </c>
      <c r="H214" s="2" t="s">
        <v>1789</v>
      </c>
      <c r="I214" s="2" t="s">
        <v>2788</v>
      </c>
      <c r="J214" s="2" t="s">
        <v>1777</v>
      </c>
      <c r="K214" s="2" t="s">
        <v>1778</v>
      </c>
    </row>
    <row r="215" spans="1:11" ht="43.5" customHeight="1" x14ac:dyDescent="0.5">
      <c r="A215" s="2" t="s">
        <v>1030</v>
      </c>
      <c r="B215" s="2" t="s">
        <v>2789</v>
      </c>
      <c r="C215" s="2" t="s">
        <v>297</v>
      </c>
      <c r="D215" s="2" t="s">
        <v>1771</v>
      </c>
      <c r="E215" s="2" t="s">
        <v>2790</v>
      </c>
      <c r="F215" s="2" t="s">
        <v>2791</v>
      </c>
      <c r="G215" s="2" t="s">
        <v>1788</v>
      </c>
      <c r="H215" s="2" t="s">
        <v>1789</v>
      </c>
      <c r="I215" s="2" t="s">
        <v>2792</v>
      </c>
      <c r="J215" s="2" t="s">
        <v>1777</v>
      </c>
      <c r="K215" s="2" t="s">
        <v>1778</v>
      </c>
    </row>
    <row r="216" spans="1:11" ht="43.5" customHeight="1" x14ac:dyDescent="0.5">
      <c r="A216" s="2" t="s">
        <v>1037</v>
      </c>
      <c r="B216" s="2" t="s">
        <v>2793</v>
      </c>
      <c r="C216" s="2" t="s">
        <v>274</v>
      </c>
      <c r="D216" s="2" t="s">
        <v>1771</v>
      </c>
      <c r="E216" s="2" t="s">
        <v>2794</v>
      </c>
      <c r="F216" s="2" t="s">
        <v>2795</v>
      </c>
      <c r="G216" s="2" t="s">
        <v>2796</v>
      </c>
      <c r="H216" s="2" t="s">
        <v>2797</v>
      </c>
      <c r="I216" s="2" t="s">
        <v>2798</v>
      </c>
      <c r="J216" s="2" t="s">
        <v>1777</v>
      </c>
      <c r="K216" s="2" t="s">
        <v>1778</v>
      </c>
    </row>
    <row r="217" spans="1:11" ht="43.5" customHeight="1" x14ac:dyDescent="0.5">
      <c r="A217" s="2" t="s">
        <v>1042</v>
      </c>
      <c r="B217" s="2" t="s">
        <v>2799</v>
      </c>
      <c r="C217" s="2" t="s">
        <v>274</v>
      </c>
      <c r="D217" s="2" t="s">
        <v>1771</v>
      </c>
      <c r="E217" s="2" t="s">
        <v>2800</v>
      </c>
      <c r="F217" s="2" t="s">
        <v>2801</v>
      </c>
      <c r="G217" s="2" t="s">
        <v>2802</v>
      </c>
      <c r="H217" s="2" t="s">
        <v>2803</v>
      </c>
      <c r="I217" s="2" t="s">
        <v>2804</v>
      </c>
      <c r="J217" s="2" t="s">
        <v>1777</v>
      </c>
      <c r="K217" s="2" t="s">
        <v>1778</v>
      </c>
    </row>
    <row r="218" spans="1:11" ht="43.5" customHeight="1" x14ac:dyDescent="0.5">
      <c r="A218" s="2" t="s">
        <v>1046</v>
      </c>
      <c r="B218" s="2" t="s">
        <v>2805</v>
      </c>
      <c r="C218" s="2" t="s">
        <v>297</v>
      </c>
      <c r="D218" s="2" t="s">
        <v>1771</v>
      </c>
      <c r="E218" s="2" t="s">
        <v>2806</v>
      </c>
      <c r="F218" s="2" t="s">
        <v>2807</v>
      </c>
      <c r="G218" s="2" t="s">
        <v>1788</v>
      </c>
      <c r="H218" s="2" t="s">
        <v>1789</v>
      </c>
      <c r="I218" s="2" t="s">
        <v>2808</v>
      </c>
      <c r="J218" s="2" t="s">
        <v>1777</v>
      </c>
      <c r="K218" s="2" t="s">
        <v>1778</v>
      </c>
    </row>
    <row r="219" spans="1:11" ht="43.5" customHeight="1" x14ac:dyDescent="0.5">
      <c r="A219" s="2" t="s">
        <v>1049</v>
      </c>
      <c r="B219" s="2" t="s">
        <v>2809</v>
      </c>
      <c r="C219" s="2" t="s">
        <v>297</v>
      </c>
      <c r="D219" s="2" t="s">
        <v>1771</v>
      </c>
      <c r="E219" s="2" t="s">
        <v>2810</v>
      </c>
      <c r="F219" s="2" t="s">
        <v>2811</v>
      </c>
      <c r="G219" s="2" t="s">
        <v>1788</v>
      </c>
      <c r="H219" s="2" t="s">
        <v>1789</v>
      </c>
      <c r="I219" s="2" t="s">
        <v>2812</v>
      </c>
      <c r="J219" s="2" t="s">
        <v>1777</v>
      </c>
      <c r="K219" s="2" t="s">
        <v>1778</v>
      </c>
    </row>
    <row r="220" spans="1:11" ht="43.5" customHeight="1" x14ac:dyDescent="0.5">
      <c r="A220" s="2" t="s">
        <v>1052</v>
      </c>
      <c r="B220" s="2" t="s">
        <v>2813</v>
      </c>
      <c r="C220" s="2" t="s">
        <v>297</v>
      </c>
      <c r="D220" s="2" t="s">
        <v>1771</v>
      </c>
      <c r="E220" s="2" t="s">
        <v>2814</v>
      </c>
      <c r="F220" s="2" t="s">
        <v>2815</v>
      </c>
      <c r="G220" s="2" t="s">
        <v>1788</v>
      </c>
      <c r="H220" s="2" t="s">
        <v>1789</v>
      </c>
      <c r="I220" s="2" t="s">
        <v>2816</v>
      </c>
      <c r="J220" s="2" t="s">
        <v>1777</v>
      </c>
      <c r="K220" s="2" t="s">
        <v>1778</v>
      </c>
    </row>
    <row r="221" spans="1:11" ht="43.5" customHeight="1" x14ac:dyDescent="0.5">
      <c r="A221" s="2" t="s">
        <v>1055</v>
      </c>
      <c r="B221" s="2" t="s">
        <v>2817</v>
      </c>
      <c r="C221" s="2" t="s">
        <v>297</v>
      </c>
      <c r="D221" s="2" t="s">
        <v>1771</v>
      </c>
      <c r="E221" s="2" t="s">
        <v>2818</v>
      </c>
      <c r="F221" s="2" t="s">
        <v>2819</v>
      </c>
      <c r="G221" s="2" t="s">
        <v>1788</v>
      </c>
      <c r="H221" s="2" t="s">
        <v>1789</v>
      </c>
      <c r="I221" s="2" t="s">
        <v>2820</v>
      </c>
      <c r="J221" s="2" t="s">
        <v>1777</v>
      </c>
      <c r="K221" s="2" t="s">
        <v>1778</v>
      </c>
    </row>
    <row r="222" spans="1:11" ht="43.5" customHeight="1" x14ac:dyDescent="0.5">
      <c r="A222" s="2" t="s">
        <v>1058</v>
      </c>
      <c r="B222" s="2" t="s">
        <v>2821</v>
      </c>
      <c r="C222" s="2" t="s">
        <v>297</v>
      </c>
      <c r="D222" s="2" t="s">
        <v>1771</v>
      </c>
      <c r="E222" s="2" t="s">
        <v>2822</v>
      </c>
      <c r="F222" s="2" t="s">
        <v>2823</v>
      </c>
      <c r="G222" s="2" t="s">
        <v>1788</v>
      </c>
      <c r="H222" s="2" t="s">
        <v>1789</v>
      </c>
      <c r="I222" s="2" t="s">
        <v>2824</v>
      </c>
      <c r="J222" s="2" t="s">
        <v>1777</v>
      </c>
      <c r="K222" s="2" t="s">
        <v>1778</v>
      </c>
    </row>
    <row r="223" spans="1:11" ht="43.5" customHeight="1" x14ac:dyDescent="0.5">
      <c r="A223" s="2" t="s">
        <v>1061</v>
      </c>
      <c r="B223" s="2" t="s">
        <v>2825</v>
      </c>
      <c r="C223" s="2" t="s">
        <v>274</v>
      </c>
      <c r="D223" s="2" t="s">
        <v>1771</v>
      </c>
      <c r="E223" s="2" t="s">
        <v>2826</v>
      </c>
      <c r="F223" s="2" t="s">
        <v>2827</v>
      </c>
      <c r="G223" s="2" t="s">
        <v>2828</v>
      </c>
      <c r="H223" s="2" t="s">
        <v>2829</v>
      </c>
      <c r="I223" s="2" t="s">
        <v>2830</v>
      </c>
      <c r="J223" s="2" t="s">
        <v>1777</v>
      </c>
      <c r="K223" s="2" t="s">
        <v>1778</v>
      </c>
    </row>
    <row r="224" spans="1:11" ht="43.5" customHeight="1" x14ac:dyDescent="0.5">
      <c r="A224" s="2" t="s">
        <v>1065</v>
      </c>
      <c r="B224" s="2" t="s">
        <v>2831</v>
      </c>
      <c r="C224" s="2" t="s">
        <v>274</v>
      </c>
      <c r="D224" s="2" t="s">
        <v>1771</v>
      </c>
      <c r="E224" s="2" t="s">
        <v>2832</v>
      </c>
      <c r="F224" s="2" t="s">
        <v>2833</v>
      </c>
      <c r="G224" s="2" t="s">
        <v>2834</v>
      </c>
      <c r="H224" s="2" t="s">
        <v>2835</v>
      </c>
      <c r="I224" s="2" t="s">
        <v>2836</v>
      </c>
      <c r="J224" s="2" t="s">
        <v>1777</v>
      </c>
      <c r="K224" s="2" t="s">
        <v>1778</v>
      </c>
    </row>
    <row r="225" spans="1:11" ht="43.5" customHeight="1" x14ac:dyDescent="0.5">
      <c r="A225" s="2" t="s">
        <v>1068</v>
      </c>
      <c r="B225" s="2" t="s">
        <v>2837</v>
      </c>
      <c r="C225" s="2" t="s">
        <v>297</v>
      </c>
      <c r="D225" s="2" t="s">
        <v>1771</v>
      </c>
      <c r="E225" s="2" t="s">
        <v>2838</v>
      </c>
      <c r="F225" s="2" t="s">
        <v>2839</v>
      </c>
      <c r="G225" s="2" t="s">
        <v>1788</v>
      </c>
      <c r="H225" s="2" t="s">
        <v>1789</v>
      </c>
      <c r="I225" s="2" t="s">
        <v>2840</v>
      </c>
      <c r="J225" s="2" t="s">
        <v>1777</v>
      </c>
      <c r="K225" s="2" t="s">
        <v>1778</v>
      </c>
    </row>
    <row r="226" spans="1:11" ht="43.5" customHeight="1" x14ac:dyDescent="0.5">
      <c r="A226" s="2" t="s">
        <v>1071</v>
      </c>
      <c r="B226" s="2" t="s">
        <v>2841</v>
      </c>
      <c r="C226" s="2" t="s">
        <v>297</v>
      </c>
      <c r="D226" s="2" t="s">
        <v>1771</v>
      </c>
      <c r="E226" s="2" t="s">
        <v>2842</v>
      </c>
      <c r="F226" s="2" t="s">
        <v>2843</v>
      </c>
      <c r="G226" s="2" t="s">
        <v>1788</v>
      </c>
      <c r="H226" s="2" t="s">
        <v>1789</v>
      </c>
      <c r="I226" s="2" t="s">
        <v>2844</v>
      </c>
      <c r="J226" s="2" t="s">
        <v>1777</v>
      </c>
      <c r="K226" s="2" t="s">
        <v>1778</v>
      </c>
    </row>
    <row r="227" spans="1:11" ht="43.5" customHeight="1" x14ac:dyDescent="0.5">
      <c r="A227" s="2" t="s">
        <v>1074</v>
      </c>
      <c r="B227" s="2" t="s">
        <v>2845</v>
      </c>
      <c r="C227" s="2" t="s">
        <v>297</v>
      </c>
      <c r="D227" s="2" t="s">
        <v>1771</v>
      </c>
      <c r="E227" s="2" t="s">
        <v>2846</v>
      </c>
      <c r="F227" s="2" t="s">
        <v>2847</v>
      </c>
      <c r="G227" s="2" t="s">
        <v>1788</v>
      </c>
      <c r="H227" s="2" t="s">
        <v>1789</v>
      </c>
      <c r="I227" s="2" t="s">
        <v>2848</v>
      </c>
      <c r="J227" s="2" t="s">
        <v>1777</v>
      </c>
      <c r="K227" s="2" t="s">
        <v>1778</v>
      </c>
    </row>
    <row r="228" spans="1:11" ht="43.5" customHeight="1" x14ac:dyDescent="0.5">
      <c r="A228" s="2" t="s">
        <v>1077</v>
      </c>
      <c r="B228" s="2" t="s">
        <v>2849</v>
      </c>
      <c r="C228" s="2" t="s">
        <v>297</v>
      </c>
      <c r="D228" s="2" t="s">
        <v>1771</v>
      </c>
      <c r="E228" s="2" t="s">
        <v>2850</v>
      </c>
      <c r="F228" s="2" t="s">
        <v>2851</v>
      </c>
      <c r="G228" s="2" t="s">
        <v>1788</v>
      </c>
      <c r="H228" s="2" t="s">
        <v>1789</v>
      </c>
      <c r="I228" s="2" t="s">
        <v>2852</v>
      </c>
      <c r="J228" s="2" t="s">
        <v>1777</v>
      </c>
      <c r="K228" s="2" t="s">
        <v>1778</v>
      </c>
    </row>
    <row r="229" spans="1:11" ht="43.5" customHeight="1" x14ac:dyDescent="0.5">
      <c r="A229" s="2" t="s">
        <v>1080</v>
      </c>
      <c r="B229" s="2" t="s">
        <v>2853</v>
      </c>
      <c r="C229" s="2" t="s">
        <v>274</v>
      </c>
      <c r="D229" s="2" t="s">
        <v>1771</v>
      </c>
      <c r="E229" s="2" t="s">
        <v>2854</v>
      </c>
      <c r="F229" s="2" t="s">
        <v>2855</v>
      </c>
      <c r="G229" s="2" t="s">
        <v>2856</v>
      </c>
      <c r="H229" s="2" t="s">
        <v>2857</v>
      </c>
      <c r="I229" s="2" t="s">
        <v>2858</v>
      </c>
      <c r="J229" s="2" t="s">
        <v>1777</v>
      </c>
      <c r="K229" s="2" t="s">
        <v>1778</v>
      </c>
    </row>
    <row r="230" spans="1:11" ht="43.5" customHeight="1" x14ac:dyDescent="0.5">
      <c r="A230" s="2" t="s">
        <v>1083</v>
      </c>
      <c r="B230" s="2" t="s">
        <v>2859</v>
      </c>
      <c r="C230" s="2" t="s">
        <v>274</v>
      </c>
      <c r="D230" s="2" t="s">
        <v>1771</v>
      </c>
      <c r="E230" s="2" t="s">
        <v>2860</v>
      </c>
      <c r="F230" s="2" t="s">
        <v>2861</v>
      </c>
      <c r="G230" s="2" t="s">
        <v>2862</v>
      </c>
      <c r="H230" s="2" t="s">
        <v>2863</v>
      </c>
      <c r="I230" s="2" t="s">
        <v>2864</v>
      </c>
      <c r="J230" s="2" t="s">
        <v>1777</v>
      </c>
      <c r="K230" s="2" t="s">
        <v>1778</v>
      </c>
    </row>
    <row r="231" spans="1:11" ht="43.5" customHeight="1" x14ac:dyDescent="0.5">
      <c r="A231" s="2" t="s">
        <v>1086</v>
      </c>
      <c r="B231" s="2" t="s">
        <v>2865</v>
      </c>
      <c r="C231" s="2" t="s">
        <v>297</v>
      </c>
      <c r="D231" s="2" t="s">
        <v>1771</v>
      </c>
      <c r="E231" s="2" t="s">
        <v>2866</v>
      </c>
      <c r="F231" s="2" t="s">
        <v>2867</v>
      </c>
      <c r="G231" s="2" t="s">
        <v>1788</v>
      </c>
      <c r="H231" s="2" t="s">
        <v>1789</v>
      </c>
      <c r="I231" s="2" t="s">
        <v>2868</v>
      </c>
      <c r="J231" s="2" t="s">
        <v>1777</v>
      </c>
      <c r="K231" s="2" t="s">
        <v>1778</v>
      </c>
    </row>
    <row r="232" spans="1:11" ht="43.5" customHeight="1" x14ac:dyDescent="0.5">
      <c r="A232" s="2" t="s">
        <v>1089</v>
      </c>
      <c r="B232" s="2" t="s">
        <v>2869</v>
      </c>
      <c r="C232" s="2" t="s">
        <v>297</v>
      </c>
      <c r="D232" s="2" t="s">
        <v>1771</v>
      </c>
      <c r="E232" s="2" t="s">
        <v>2870</v>
      </c>
      <c r="F232" s="2" t="s">
        <v>2871</v>
      </c>
      <c r="G232" s="2" t="s">
        <v>1788</v>
      </c>
      <c r="H232" s="2" t="s">
        <v>1789</v>
      </c>
      <c r="I232" s="2" t="s">
        <v>2872</v>
      </c>
      <c r="J232" s="2" t="s">
        <v>1777</v>
      </c>
      <c r="K232" s="2" t="s">
        <v>1778</v>
      </c>
    </row>
    <row r="233" spans="1:11" ht="43.5" customHeight="1" x14ac:dyDescent="0.5">
      <c r="A233" s="2" t="s">
        <v>1092</v>
      </c>
      <c r="B233" s="2" t="s">
        <v>2873</v>
      </c>
      <c r="C233" s="2" t="s">
        <v>297</v>
      </c>
      <c r="D233" s="2" t="s">
        <v>1771</v>
      </c>
      <c r="E233" s="2" t="s">
        <v>2874</v>
      </c>
      <c r="F233" s="2" t="s">
        <v>2875</v>
      </c>
      <c r="G233" s="2" t="s">
        <v>1788</v>
      </c>
      <c r="H233" s="2" t="s">
        <v>1789</v>
      </c>
      <c r="I233" s="2" t="s">
        <v>2876</v>
      </c>
      <c r="J233" s="2" t="s">
        <v>1777</v>
      </c>
      <c r="K233" s="2" t="s">
        <v>1778</v>
      </c>
    </row>
    <row r="234" spans="1:11" ht="43.5" customHeight="1" x14ac:dyDescent="0.5">
      <c r="A234" s="2" t="s">
        <v>1095</v>
      </c>
      <c r="B234" s="2" t="s">
        <v>2877</v>
      </c>
      <c r="C234" s="2" t="s">
        <v>297</v>
      </c>
      <c r="D234" s="2" t="s">
        <v>1771</v>
      </c>
      <c r="E234" s="2" t="s">
        <v>2878</v>
      </c>
      <c r="F234" s="2" t="s">
        <v>2879</v>
      </c>
      <c r="G234" s="2" t="s">
        <v>1788</v>
      </c>
      <c r="H234" s="2" t="s">
        <v>1789</v>
      </c>
      <c r="I234" s="2" t="s">
        <v>2880</v>
      </c>
      <c r="J234" s="2" t="s">
        <v>1777</v>
      </c>
      <c r="K234" s="2" t="s">
        <v>1778</v>
      </c>
    </row>
    <row r="235" spans="1:11" ht="43.5" customHeight="1" x14ac:dyDescent="0.5">
      <c r="A235" s="2" t="s">
        <v>1098</v>
      </c>
      <c r="B235" s="2" t="s">
        <v>2881</v>
      </c>
      <c r="C235" s="2" t="s">
        <v>274</v>
      </c>
      <c r="D235" s="2" t="s">
        <v>1771</v>
      </c>
      <c r="E235" s="2" t="s">
        <v>2882</v>
      </c>
      <c r="F235" s="2" t="s">
        <v>2883</v>
      </c>
      <c r="G235" s="2" t="s">
        <v>2884</v>
      </c>
      <c r="H235" s="2" t="s">
        <v>2885</v>
      </c>
      <c r="I235" s="2" t="s">
        <v>2886</v>
      </c>
      <c r="J235" s="2" t="s">
        <v>1777</v>
      </c>
      <c r="K235" s="2" t="s">
        <v>1778</v>
      </c>
    </row>
    <row r="236" spans="1:11" ht="43.5" customHeight="1" x14ac:dyDescent="0.5">
      <c r="A236" s="2" t="s">
        <v>1103</v>
      </c>
      <c r="B236" s="2" t="s">
        <v>2887</v>
      </c>
      <c r="C236" s="2" t="s">
        <v>274</v>
      </c>
      <c r="D236" s="2" t="s">
        <v>1771</v>
      </c>
      <c r="E236" s="2" t="s">
        <v>2888</v>
      </c>
      <c r="F236" s="2" t="s">
        <v>2889</v>
      </c>
      <c r="G236" s="2" t="s">
        <v>2890</v>
      </c>
      <c r="H236" s="2" t="s">
        <v>2891</v>
      </c>
      <c r="I236" s="2" t="s">
        <v>2892</v>
      </c>
      <c r="J236" s="2" t="s">
        <v>1777</v>
      </c>
      <c r="K236" s="2" t="s">
        <v>1778</v>
      </c>
    </row>
    <row r="237" spans="1:11" ht="43.5" customHeight="1" x14ac:dyDescent="0.5">
      <c r="A237" s="2" t="s">
        <v>1107</v>
      </c>
      <c r="B237" s="2" t="s">
        <v>2893</v>
      </c>
      <c r="C237" s="2" t="s">
        <v>297</v>
      </c>
      <c r="D237" s="2" t="s">
        <v>1771</v>
      </c>
      <c r="E237" s="2" t="s">
        <v>2894</v>
      </c>
      <c r="F237" s="2" t="s">
        <v>2895</v>
      </c>
      <c r="G237" s="2" t="s">
        <v>1788</v>
      </c>
      <c r="H237" s="2" t="s">
        <v>1789</v>
      </c>
      <c r="I237" s="2" t="s">
        <v>2896</v>
      </c>
      <c r="J237" s="2" t="s">
        <v>1777</v>
      </c>
      <c r="K237" s="2" t="s">
        <v>1778</v>
      </c>
    </row>
    <row r="238" spans="1:11" ht="43.5" customHeight="1" x14ac:dyDescent="0.5">
      <c r="A238" s="2" t="s">
        <v>1110</v>
      </c>
      <c r="B238" s="2" t="s">
        <v>2897</v>
      </c>
      <c r="C238" s="2" t="s">
        <v>297</v>
      </c>
      <c r="D238" s="2" t="s">
        <v>1771</v>
      </c>
      <c r="E238" s="2" t="s">
        <v>2898</v>
      </c>
      <c r="F238" s="2" t="s">
        <v>2899</v>
      </c>
      <c r="G238" s="2" t="s">
        <v>1788</v>
      </c>
      <c r="H238" s="2" t="s">
        <v>1789</v>
      </c>
      <c r="I238" s="2" t="s">
        <v>2900</v>
      </c>
      <c r="J238" s="2" t="s">
        <v>1777</v>
      </c>
      <c r="K238" s="2" t="s">
        <v>1778</v>
      </c>
    </row>
    <row r="239" spans="1:11" ht="43.5" customHeight="1" x14ac:dyDescent="0.5">
      <c r="A239" s="2" t="s">
        <v>1115</v>
      </c>
      <c r="B239" s="2" t="s">
        <v>2901</v>
      </c>
      <c r="C239" s="2" t="s">
        <v>297</v>
      </c>
      <c r="D239" s="2" t="s">
        <v>1771</v>
      </c>
      <c r="E239" s="2" t="s">
        <v>2902</v>
      </c>
      <c r="F239" s="2" t="s">
        <v>2903</v>
      </c>
      <c r="G239" s="2" t="s">
        <v>1788</v>
      </c>
      <c r="H239" s="2" t="s">
        <v>1789</v>
      </c>
      <c r="I239" s="2" t="s">
        <v>2904</v>
      </c>
      <c r="J239" s="2" t="s">
        <v>1777</v>
      </c>
      <c r="K239" s="2" t="s">
        <v>1778</v>
      </c>
    </row>
    <row r="240" spans="1:11" ht="43.5" customHeight="1" x14ac:dyDescent="0.5">
      <c r="A240" s="2" t="s">
        <v>1119</v>
      </c>
      <c r="B240" s="2" t="s">
        <v>2905</v>
      </c>
      <c r="C240" s="2" t="s">
        <v>297</v>
      </c>
      <c r="D240" s="2" t="s">
        <v>1771</v>
      </c>
      <c r="E240" s="2" t="s">
        <v>2906</v>
      </c>
      <c r="F240" s="2" t="s">
        <v>2907</v>
      </c>
      <c r="G240" s="2" t="s">
        <v>1788</v>
      </c>
      <c r="H240" s="2" t="s">
        <v>1789</v>
      </c>
      <c r="I240" s="2" t="s">
        <v>2908</v>
      </c>
      <c r="J240" s="2" t="s">
        <v>1777</v>
      </c>
      <c r="K240" s="2" t="s">
        <v>1778</v>
      </c>
    </row>
    <row r="241" spans="1:11" ht="43.5" customHeight="1" x14ac:dyDescent="0.5">
      <c r="A241" s="2" t="s">
        <v>1123</v>
      </c>
      <c r="B241" s="2" t="s">
        <v>2909</v>
      </c>
      <c r="C241" s="2" t="s">
        <v>274</v>
      </c>
      <c r="D241" s="2" t="s">
        <v>1771</v>
      </c>
      <c r="E241" s="2" t="s">
        <v>2910</v>
      </c>
      <c r="F241" s="2" t="s">
        <v>2911</v>
      </c>
      <c r="G241" s="2" t="s">
        <v>2912</v>
      </c>
      <c r="H241" s="2" t="s">
        <v>2913</v>
      </c>
      <c r="I241" s="2" t="s">
        <v>2914</v>
      </c>
      <c r="J241" s="2" t="s">
        <v>1777</v>
      </c>
      <c r="K241" s="2" t="s">
        <v>1778</v>
      </c>
    </row>
    <row r="242" spans="1:11" ht="43.5" customHeight="1" x14ac:dyDescent="0.5">
      <c r="A242" s="2" t="s">
        <v>1126</v>
      </c>
      <c r="B242" s="2" t="s">
        <v>2915</v>
      </c>
      <c r="C242" s="2" t="s">
        <v>274</v>
      </c>
      <c r="D242" s="2" t="s">
        <v>1771</v>
      </c>
      <c r="E242" s="2" t="s">
        <v>2916</v>
      </c>
      <c r="F242" s="2" t="s">
        <v>2917</v>
      </c>
      <c r="G242" s="2" t="s">
        <v>2918</v>
      </c>
      <c r="H242" s="2" t="s">
        <v>2919</v>
      </c>
      <c r="I242" s="2" t="s">
        <v>2920</v>
      </c>
      <c r="J242" s="2" t="s">
        <v>1777</v>
      </c>
      <c r="K242" s="2" t="s">
        <v>1778</v>
      </c>
    </row>
    <row r="243" spans="1:11" ht="43.5" customHeight="1" x14ac:dyDescent="0.5">
      <c r="A243" s="2" t="s">
        <v>1129</v>
      </c>
      <c r="B243" s="2" t="s">
        <v>2921</v>
      </c>
      <c r="C243" s="2" t="s">
        <v>297</v>
      </c>
      <c r="D243" s="2" t="s">
        <v>1771</v>
      </c>
      <c r="E243" s="2" t="s">
        <v>2922</v>
      </c>
      <c r="F243" s="2" t="s">
        <v>2923</v>
      </c>
      <c r="G243" s="2" t="s">
        <v>1788</v>
      </c>
      <c r="H243" s="2" t="s">
        <v>1789</v>
      </c>
      <c r="I243" s="2" t="s">
        <v>2924</v>
      </c>
      <c r="J243" s="2" t="s">
        <v>1777</v>
      </c>
      <c r="K243" s="2" t="s">
        <v>1778</v>
      </c>
    </row>
    <row r="244" spans="1:11" ht="43.5" customHeight="1" x14ac:dyDescent="0.5">
      <c r="A244" s="2" t="s">
        <v>1132</v>
      </c>
      <c r="B244" s="2" t="s">
        <v>2925</v>
      </c>
      <c r="C244" s="2" t="s">
        <v>297</v>
      </c>
      <c r="D244" s="2" t="s">
        <v>1771</v>
      </c>
      <c r="E244" s="2" t="s">
        <v>2926</v>
      </c>
      <c r="F244" s="2" t="s">
        <v>2927</v>
      </c>
      <c r="G244" s="2" t="s">
        <v>1788</v>
      </c>
      <c r="H244" s="2" t="s">
        <v>1789</v>
      </c>
      <c r="I244" s="2" t="s">
        <v>2928</v>
      </c>
      <c r="J244" s="2" t="s">
        <v>1777</v>
      </c>
      <c r="K244" s="2" t="s">
        <v>1778</v>
      </c>
    </row>
    <row r="245" spans="1:11" ht="43.5" customHeight="1" x14ac:dyDescent="0.5">
      <c r="A245" s="2" t="s">
        <v>1135</v>
      </c>
      <c r="B245" s="2" t="s">
        <v>2929</v>
      </c>
      <c r="C245" s="2" t="s">
        <v>297</v>
      </c>
      <c r="D245" s="2" t="s">
        <v>1771</v>
      </c>
      <c r="E245" s="2" t="s">
        <v>2930</v>
      </c>
      <c r="F245" s="2" t="s">
        <v>2931</v>
      </c>
      <c r="G245" s="2" t="s">
        <v>1788</v>
      </c>
      <c r="H245" s="2" t="s">
        <v>1789</v>
      </c>
      <c r="I245" s="2" t="s">
        <v>2932</v>
      </c>
      <c r="J245" s="2" t="s">
        <v>1777</v>
      </c>
      <c r="K245" s="2" t="s">
        <v>1778</v>
      </c>
    </row>
    <row r="246" spans="1:11" ht="43.5" customHeight="1" x14ac:dyDescent="0.5">
      <c r="A246" s="2" t="s">
        <v>1138</v>
      </c>
      <c r="B246" s="2" t="s">
        <v>2933</v>
      </c>
      <c r="C246" s="2" t="s">
        <v>297</v>
      </c>
      <c r="D246" s="2" t="s">
        <v>1771</v>
      </c>
      <c r="E246" s="2" t="s">
        <v>2934</v>
      </c>
      <c r="F246" s="2" t="s">
        <v>2935</v>
      </c>
      <c r="G246" s="2" t="s">
        <v>1788</v>
      </c>
      <c r="H246" s="2" t="s">
        <v>1789</v>
      </c>
      <c r="I246" s="2" t="s">
        <v>2936</v>
      </c>
      <c r="J246" s="2" t="s">
        <v>1777</v>
      </c>
      <c r="K246" s="2" t="s">
        <v>1778</v>
      </c>
    </row>
    <row r="247" spans="1:11" ht="43.5" customHeight="1" x14ac:dyDescent="0.5">
      <c r="A247" s="2" t="s">
        <v>1141</v>
      </c>
      <c r="B247" s="2" t="s">
        <v>2937</v>
      </c>
      <c r="C247" s="2" t="s">
        <v>274</v>
      </c>
      <c r="D247" s="2" t="s">
        <v>1771</v>
      </c>
      <c r="E247" s="2" t="s">
        <v>2938</v>
      </c>
      <c r="F247" s="2" t="s">
        <v>2939</v>
      </c>
      <c r="G247" s="2" t="s">
        <v>2940</v>
      </c>
      <c r="H247" s="2" t="s">
        <v>2941</v>
      </c>
      <c r="I247" s="2" t="s">
        <v>2942</v>
      </c>
      <c r="J247" s="2" t="s">
        <v>1777</v>
      </c>
      <c r="K247" s="2" t="s">
        <v>1778</v>
      </c>
    </row>
    <row r="248" spans="1:11" ht="43.5" customHeight="1" x14ac:dyDescent="0.5">
      <c r="A248" s="2" t="s">
        <v>1144</v>
      </c>
      <c r="B248" s="2" t="s">
        <v>2943</v>
      </c>
      <c r="C248" s="2" t="s">
        <v>274</v>
      </c>
      <c r="D248" s="2" t="s">
        <v>1771</v>
      </c>
      <c r="E248" s="2" t="s">
        <v>2944</v>
      </c>
      <c r="F248" s="2" t="s">
        <v>2945</v>
      </c>
      <c r="G248" s="2" t="s">
        <v>2946</v>
      </c>
      <c r="H248" s="2" t="s">
        <v>2947</v>
      </c>
      <c r="I248" s="2" t="s">
        <v>2948</v>
      </c>
      <c r="J248" s="2" t="s">
        <v>1777</v>
      </c>
      <c r="K248" s="2" t="s">
        <v>1778</v>
      </c>
    </row>
    <row r="249" spans="1:11" ht="43.5" customHeight="1" x14ac:dyDescent="0.5">
      <c r="A249" s="2" t="s">
        <v>1146</v>
      </c>
      <c r="B249" s="2" t="s">
        <v>2949</v>
      </c>
      <c r="C249" s="2" t="s">
        <v>297</v>
      </c>
      <c r="D249" s="2" t="s">
        <v>1771</v>
      </c>
      <c r="E249" s="2" t="s">
        <v>2950</v>
      </c>
      <c r="F249" s="2" t="s">
        <v>2951</v>
      </c>
      <c r="G249" s="2" t="s">
        <v>1788</v>
      </c>
      <c r="H249" s="2" t="s">
        <v>1789</v>
      </c>
      <c r="I249" s="2" t="s">
        <v>2952</v>
      </c>
      <c r="J249" s="2" t="s">
        <v>1777</v>
      </c>
      <c r="K249" s="2" t="s">
        <v>1778</v>
      </c>
    </row>
    <row r="250" spans="1:11" ht="43.5" customHeight="1" x14ac:dyDescent="0.5">
      <c r="A250" s="2" t="s">
        <v>1148</v>
      </c>
      <c r="B250" s="2" t="s">
        <v>2953</v>
      </c>
      <c r="C250" s="2" t="s">
        <v>297</v>
      </c>
      <c r="D250" s="2" t="s">
        <v>1771</v>
      </c>
      <c r="E250" s="2" t="s">
        <v>2954</v>
      </c>
      <c r="F250" s="2" t="s">
        <v>2955</v>
      </c>
      <c r="G250" s="2" t="s">
        <v>1788</v>
      </c>
      <c r="H250" s="2" t="s">
        <v>1789</v>
      </c>
      <c r="I250" s="2" t="s">
        <v>2956</v>
      </c>
      <c r="J250" s="2" t="s">
        <v>1777</v>
      </c>
      <c r="K250" s="2" t="s">
        <v>1778</v>
      </c>
    </row>
    <row r="251" spans="1:11" ht="43.5" customHeight="1" x14ac:dyDescent="0.5">
      <c r="A251" s="2" t="s">
        <v>1150</v>
      </c>
      <c r="B251" s="2" t="s">
        <v>2957</v>
      </c>
      <c r="C251" s="2" t="s">
        <v>297</v>
      </c>
      <c r="D251" s="2" t="s">
        <v>1771</v>
      </c>
      <c r="E251" s="2" t="s">
        <v>2958</v>
      </c>
      <c r="F251" s="2" t="s">
        <v>2959</v>
      </c>
      <c r="G251" s="2" t="s">
        <v>1788</v>
      </c>
      <c r="H251" s="2" t="s">
        <v>1789</v>
      </c>
      <c r="I251" s="2" t="s">
        <v>2960</v>
      </c>
      <c r="J251" s="2" t="s">
        <v>1777</v>
      </c>
      <c r="K251" s="2" t="s">
        <v>1778</v>
      </c>
    </row>
    <row r="252" spans="1:11" ht="43.5" customHeight="1" x14ac:dyDescent="0.5">
      <c r="A252" s="2" t="s">
        <v>1152</v>
      </c>
      <c r="B252" s="2" t="s">
        <v>2961</v>
      </c>
      <c r="C252" s="2" t="s">
        <v>297</v>
      </c>
      <c r="D252" s="2" t="s">
        <v>1771</v>
      </c>
      <c r="E252" s="2" t="s">
        <v>2962</v>
      </c>
      <c r="F252" s="2" t="s">
        <v>2963</v>
      </c>
      <c r="G252" s="2" t="s">
        <v>1788</v>
      </c>
      <c r="H252" s="2" t="s">
        <v>1789</v>
      </c>
      <c r="I252" s="2" t="s">
        <v>2964</v>
      </c>
      <c r="J252" s="2" t="s">
        <v>1777</v>
      </c>
      <c r="K252" s="2" t="s">
        <v>1778</v>
      </c>
    </row>
    <row r="253" spans="1:11" ht="43.5" customHeight="1" x14ac:dyDescent="0.5">
      <c r="A253" s="2" t="s">
        <v>1154</v>
      </c>
      <c r="B253" s="2" t="s">
        <v>2965</v>
      </c>
      <c r="C253" s="2" t="s">
        <v>274</v>
      </c>
      <c r="D253" s="2" t="s">
        <v>1771</v>
      </c>
      <c r="E253" s="2" t="s">
        <v>2966</v>
      </c>
      <c r="F253" s="2" t="s">
        <v>2967</v>
      </c>
      <c r="G253" s="2" t="s">
        <v>2968</v>
      </c>
      <c r="H253" s="2" t="s">
        <v>2969</v>
      </c>
      <c r="I253" s="2" t="s">
        <v>2970</v>
      </c>
      <c r="J253" s="2" t="s">
        <v>1777</v>
      </c>
      <c r="K253" s="2" t="s">
        <v>1778</v>
      </c>
    </row>
    <row r="254" spans="1:11" ht="43.5" customHeight="1" x14ac:dyDescent="0.5">
      <c r="A254" s="2" t="s">
        <v>1157</v>
      </c>
      <c r="B254" s="2" t="s">
        <v>2971</v>
      </c>
      <c r="C254" s="2" t="s">
        <v>274</v>
      </c>
      <c r="D254" s="2" t="s">
        <v>1771</v>
      </c>
      <c r="E254" s="2" t="s">
        <v>2972</v>
      </c>
      <c r="F254" s="2" t="s">
        <v>2973</v>
      </c>
      <c r="G254" s="2" t="s">
        <v>2974</v>
      </c>
      <c r="H254" s="2" t="s">
        <v>2975</v>
      </c>
      <c r="I254" s="2" t="s">
        <v>2976</v>
      </c>
      <c r="J254" s="2" t="s">
        <v>1777</v>
      </c>
      <c r="K254" s="2" t="s">
        <v>1778</v>
      </c>
    </row>
    <row r="255" spans="1:11" ht="43.5" customHeight="1" x14ac:dyDescent="0.5">
      <c r="A255" s="2" t="s">
        <v>1159</v>
      </c>
      <c r="B255" s="2" t="s">
        <v>2977</v>
      </c>
      <c r="C255" s="2" t="s">
        <v>297</v>
      </c>
      <c r="D255" s="2" t="s">
        <v>1771</v>
      </c>
      <c r="E255" s="2" t="s">
        <v>2978</v>
      </c>
      <c r="F255" s="2" t="s">
        <v>2979</v>
      </c>
      <c r="G255" s="2" t="s">
        <v>1788</v>
      </c>
      <c r="H255" s="2" t="s">
        <v>1789</v>
      </c>
      <c r="I255" s="2" t="s">
        <v>2980</v>
      </c>
      <c r="J255" s="2" t="s">
        <v>1777</v>
      </c>
      <c r="K255" s="2" t="s">
        <v>1778</v>
      </c>
    </row>
    <row r="256" spans="1:11" ht="43.5" customHeight="1" x14ac:dyDescent="0.5">
      <c r="A256" s="2" t="s">
        <v>1161</v>
      </c>
      <c r="B256" s="2" t="s">
        <v>2981</v>
      </c>
      <c r="C256" s="2" t="s">
        <v>297</v>
      </c>
      <c r="D256" s="2" t="s">
        <v>1771</v>
      </c>
      <c r="E256" s="2" t="s">
        <v>2982</v>
      </c>
      <c r="F256" s="2" t="s">
        <v>2983</v>
      </c>
      <c r="G256" s="2" t="s">
        <v>1788</v>
      </c>
      <c r="H256" s="2" t="s">
        <v>1789</v>
      </c>
      <c r="I256" s="2" t="s">
        <v>2984</v>
      </c>
      <c r="J256" s="2" t="s">
        <v>1777</v>
      </c>
      <c r="K256" s="2" t="s">
        <v>1778</v>
      </c>
    </row>
    <row r="257" spans="1:11" ht="43.5" customHeight="1" x14ac:dyDescent="0.5">
      <c r="A257" s="2" t="s">
        <v>1163</v>
      </c>
      <c r="B257" s="2" t="s">
        <v>2985</v>
      </c>
      <c r="C257" s="2" t="s">
        <v>297</v>
      </c>
      <c r="D257" s="2" t="s">
        <v>1771</v>
      </c>
      <c r="E257" s="2" t="s">
        <v>2986</v>
      </c>
      <c r="F257" s="2" t="s">
        <v>2987</v>
      </c>
      <c r="G257" s="2" t="s">
        <v>1788</v>
      </c>
      <c r="H257" s="2" t="s">
        <v>1789</v>
      </c>
      <c r="I257" s="2" t="s">
        <v>2988</v>
      </c>
      <c r="J257" s="2" t="s">
        <v>1777</v>
      </c>
      <c r="K257" s="2" t="s">
        <v>1778</v>
      </c>
    </row>
    <row r="258" spans="1:11" ht="43.5" customHeight="1" x14ac:dyDescent="0.5">
      <c r="A258" s="2" t="s">
        <v>1165</v>
      </c>
      <c r="B258" s="2" t="s">
        <v>2989</v>
      </c>
      <c r="C258" s="2" t="s">
        <v>297</v>
      </c>
      <c r="D258" s="2" t="s">
        <v>1771</v>
      </c>
      <c r="E258" s="2" t="s">
        <v>2990</v>
      </c>
      <c r="F258" s="2" t="s">
        <v>2991</v>
      </c>
      <c r="G258" s="2" t="s">
        <v>1788</v>
      </c>
      <c r="H258" s="2" t="s">
        <v>1789</v>
      </c>
      <c r="I258" s="2" t="s">
        <v>2992</v>
      </c>
      <c r="J258" s="2" t="s">
        <v>1777</v>
      </c>
      <c r="K258" s="2" t="s">
        <v>1778</v>
      </c>
    </row>
    <row r="259" spans="1:11" ht="43.5" customHeight="1" x14ac:dyDescent="0.5">
      <c r="A259" s="2" t="s">
        <v>1167</v>
      </c>
      <c r="B259" s="2" t="s">
        <v>2993</v>
      </c>
      <c r="C259" s="2" t="s">
        <v>274</v>
      </c>
      <c r="D259" s="2" t="s">
        <v>1771</v>
      </c>
      <c r="E259" s="2" t="s">
        <v>2994</v>
      </c>
      <c r="F259" s="2" t="s">
        <v>2995</v>
      </c>
      <c r="G259" s="2" t="s">
        <v>2996</v>
      </c>
      <c r="H259" s="2" t="s">
        <v>2997</v>
      </c>
      <c r="I259" s="2" t="s">
        <v>2998</v>
      </c>
      <c r="J259" s="2" t="s">
        <v>1777</v>
      </c>
      <c r="K259" s="2" t="s">
        <v>1778</v>
      </c>
    </row>
    <row r="260" spans="1:11" ht="43.5" customHeight="1" x14ac:dyDescent="0.5">
      <c r="A260" s="2" t="s">
        <v>1173</v>
      </c>
      <c r="B260" s="2" t="s">
        <v>2999</v>
      </c>
      <c r="C260" s="2" t="s">
        <v>274</v>
      </c>
      <c r="D260" s="2" t="s">
        <v>1771</v>
      </c>
      <c r="E260" s="2" t="s">
        <v>3000</v>
      </c>
      <c r="F260" s="2" t="s">
        <v>3001</v>
      </c>
      <c r="G260" s="2" t="s">
        <v>1788</v>
      </c>
      <c r="H260" s="2" t="s">
        <v>1789</v>
      </c>
      <c r="I260" s="2" t="s">
        <v>3002</v>
      </c>
      <c r="J260" s="2" t="s">
        <v>1777</v>
      </c>
      <c r="K260" s="2" t="s">
        <v>1778</v>
      </c>
    </row>
    <row r="261" spans="1:11" ht="43.5" customHeight="1" x14ac:dyDescent="0.5">
      <c r="A261" s="2" t="s">
        <v>1176</v>
      </c>
      <c r="B261" s="2" t="s">
        <v>3003</v>
      </c>
      <c r="C261" s="2" t="s">
        <v>297</v>
      </c>
      <c r="D261" s="2" t="s">
        <v>1771</v>
      </c>
      <c r="E261" s="2" t="s">
        <v>3004</v>
      </c>
      <c r="F261" s="2" t="s">
        <v>3005</v>
      </c>
      <c r="G261" s="2" t="s">
        <v>1788</v>
      </c>
      <c r="H261" s="2" t="s">
        <v>1789</v>
      </c>
      <c r="I261" s="2" t="s">
        <v>3006</v>
      </c>
      <c r="J261" s="2" t="s">
        <v>1777</v>
      </c>
      <c r="K261" s="2" t="s">
        <v>1778</v>
      </c>
    </row>
    <row r="262" spans="1:11" ht="43.5" customHeight="1" x14ac:dyDescent="0.5">
      <c r="A262" s="2" t="s">
        <v>1181</v>
      </c>
      <c r="B262" s="2" t="s">
        <v>3007</v>
      </c>
      <c r="C262" s="2" t="s">
        <v>297</v>
      </c>
      <c r="D262" s="2" t="s">
        <v>1771</v>
      </c>
      <c r="E262" s="2" t="s">
        <v>3008</v>
      </c>
      <c r="F262" s="2" t="s">
        <v>3009</v>
      </c>
      <c r="G262" s="2" t="s">
        <v>1788</v>
      </c>
      <c r="H262" s="2" t="s">
        <v>1789</v>
      </c>
      <c r="I262" s="2" t="s">
        <v>3010</v>
      </c>
      <c r="J262" s="2" t="s">
        <v>1777</v>
      </c>
      <c r="K262" s="2" t="s">
        <v>1778</v>
      </c>
    </row>
    <row r="263" spans="1:11" ht="43.5" customHeight="1" x14ac:dyDescent="0.5">
      <c r="A263" s="2" t="s">
        <v>1188</v>
      </c>
      <c r="B263" s="2" t="s">
        <v>3011</v>
      </c>
      <c r="C263" s="2" t="s">
        <v>274</v>
      </c>
      <c r="D263" s="2" t="s">
        <v>1771</v>
      </c>
      <c r="E263" s="2" t="s">
        <v>3012</v>
      </c>
      <c r="F263" s="2" t="s">
        <v>3013</v>
      </c>
      <c r="G263" s="2" t="s">
        <v>1788</v>
      </c>
      <c r="H263" s="2" t="s">
        <v>1789</v>
      </c>
      <c r="I263" s="2" t="s">
        <v>3014</v>
      </c>
      <c r="J263" s="2" t="s">
        <v>1777</v>
      </c>
      <c r="K263" s="2" t="s">
        <v>1778</v>
      </c>
    </row>
    <row r="264" spans="1:11" ht="43.5" customHeight="1" x14ac:dyDescent="0.5">
      <c r="A264" s="2" t="s">
        <v>1193</v>
      </c>
      <c r="B264" s="2" t="s">
        <v>3015</v>
      </c>
      <c r="C264" s="2" t="s">
        <v>274</v>
      </c>
      <c r="D264" s="2" t="s">
        <v>1771</v>
      </c>
      <c r="E264" s="2" t="s">
        <v>3016</v>
      </c>
      <c r="F264" s="2" t="s">
        <v>3017</v>
      </c>
      <c r="G264" s="2" t="s">
        <v>1788</v>
      </c>
      <c r="H264" s="2" t="s">
        <v>1789</v>
      </c>
      <c r="I264" s="2" t="s">
        <v>3018</v>
      </c>
      <c r="J264" s="2" t="s">
        <v>1777</v>
      </c>
      <c r="K264" s="2" t="s">
        <v>1778</v>
      </c>
    </row>
    <row r="265" spans="1:11" ht="43.5" customHeight="1" x14ac:dyDescent="0.5">
      <c r="A265" s="2" t="s">
        <v>1195</v>
      </c>
      <c r="B265" s="2" t="s">
        <v>3019</v>
      </c>
      <c r="C265" s="2" t="s">
        <v>297</v>
      </c>
      <c r="D265" s="2" t="s">
        <v>1771</v>
      </c>
      <c r="E265" s="2" t="s">
        <v>3020</v>
      </c>
      <c r="F265" s="2" t="s">
        <v>3021</v>
      </c>
      <c r="G265" s="2" t="s">
        <v>1788</v>
      </c>
      <c r="H265" s="2" t="s">
        <v>1789</v>
      </c>
      <c r="I265" s="2" t="s">
        <v>3022</v>
      </c>
      <c r="J265" s="2" t="s">
        <v>1777</v>
      </c>
      <c r="K265" s="2" t="s">
        <v>1778</v>
      </c>
    </row>
    <row r="266" spans="1:11" ht="43.5" customHeight="1" x14ac:dyDescent="0.5">
      <c r="A266" s="2" t="s">
        <v>1199</v>
      </c>
      <c r="B266" s="2" t="s">
        <v>3023</v>
      </c>
      <c r="C266" s="2" t="s">
        <v>297</v>
      </c>
      <c r="D266" s="2" t="s">
        <v>1771</v>
      </c>
      <c r="E266" s="2" t="s">
        <v>3024</v>
      </c>
      <c r="F266" s="2" t="s">
        <v>3025</v>
      </c>
      <c r="G266" s="2" t="s">
        <v>1788</v>
      </c>
      <c r="H266" s="2" t="s">
        <v>1789</v>
      </c>
      <c r="I266" s="2" t="s">
        <v>3026</v>
      </c>
      <c r="J266" s="2" t="s">
        <v>1777</v>
      </c>
      <c r="K266" s="2" t="s">
        <v>1778</v>
      </c>
    </row>
    <row r="267" spans="1:11" ht="43.5" customHeight="1" x14ac:dyDescent="0.5">
      <c r="A267" s="2" t="s">
        <v>1204</v>
      </c>
      <c r="B267" s="2" t="s">
        <v>3027</v>
      </c>
      <c r="C267" s="2" t="s">
        <v>274</v>
      </c>
      <c r="D267" s="2" t="s">
        <v>1771</v>
      </c>
      <c r="E267" s="2" t="s">
        <v>3028</v>
      </c>
      <c r="F267" s="2" t="s">
        <v>3029</v>
      </c>
      <c r="G267" s="2" t="s">
        <v>1788</v>
      </c>
      <c r="H267" s="2" t="s">
        <v>1789</v>
      </c>
      <c r="I267" s="2" t="s">
        <v>3030</v>
      </c>
      <c r="J267" s="2" t="s">
        <v>1777</v>
      </c>
      <c r="K267" s="2" t="s">
        <v>1778</v>
      </c>
    </row>
    <row r="268" spans="1:11" ht="43.5" customHeight="1" x14ac:dyDescent="0.5">
      <c r="A268" s="2" t="s">
        <v>1207</v>
      </c>
      <c r="B268" s="2" t="s">
        <v>3031</v>
      </c>
      <c r="C268" s="2" t="s">
        <v>274</v>
      </c>
      <c r="D268" s="2" t="s">
        <v>1771</v>
      </c>
      <c r="E268" s="2" t="s">
        <v>3032</v>
      </c>
      <c r="F268" s="2" t="s">
        <v>3033</v>
      </c>
      <c r="G268" s="2" t="s">
        <v>1788</v>
      </c>
      <c r="H268" s="2" t="s">
        <v>1789</v>
      </c>
      <c r="I268" s="2" t="s">
        <v>3034</v>
      </c>
      <c r="J268" s="2" t="s">
        <v>1777</v>
      </c>
      <c r="K268" s="2" t="s">
        <v>1778</v>
      </c>
    </row>
    <row r="269" spans="1:11" ht="43.5" customHeight="1" x14ac:dyDescent="0.5">
      <c r="A269" s="2" t="s">
        <v>1209</v>
      </c>
      <c r="B269" s="2" t="s">
        <v>3035</v>
      </c>
      <c r="C269" s="2" t="s">
        <v>297</v>
      </c>
      <c r="D269" s="2" t="s">
        <v>1771</v>
      </c>
      <c r="E269" s="2" t="s">
        <v>3036</v>
      </c>
      <c r="F269" s="2" t="s">
        <v>3037</v>
      </c>
      <c r="G269" s="2" t="s">
        <v>1788</v>
      </c>
      <c r="H269" s="2" t="s">
        <v>1789</v>
      </c>
      <c r="I269" s="2" t="s">
        <v>3038</v>
      </c>
      <c r="J269" s="2" t="s">
        <v>1777</v>
      </c>
      <c r="K269" s="2" t="s">
        <v>1778</v>
      </c>
    </row>
    <row r="270" spans="1:11" ht="43.5" customHeight="1" x14ac:dyDescent="0.5">
      <c r="A270" s="2" t="s">
        <v>1213</v>
      </c>
      <c r="B270" s="2" t="s">
        <v>3039</v>
      </c>
      <c r="C270" s="2" t="s">
        <v>297</v>
      </c>
      <c r="D270" s="2" t="s">
        <v>1771</v>
      </c>
      <c r="E270" s="2" t="s">
        <v>3040</v>
      </c>
      <c r="F270" s="2" t="s">
        <v>3041</v>
      </c>
      <c r="G270" s="2" t="s">
        <v>1788</v>
      </c>
      <c r="H270" s="2" t="s">
        <v>1789</v>
      </c>
      <c r="I270" s="2" t="s">
        <v>3042</v>
      </c>
      <c r="J270" s="2" t="s">
        <v>1777</v>
      </c>
      <c r="K270" s="2" t="s">
        <v>1778</v>
      </c>
    </row>
    <row r="271" spans="1:11" ht="43.5" customHeight="1" x14ac:dyDescent="0.5">
      <c r="A271" s="2" t="s">
        <v>1217</v>
      </c>
      <c r="B271" s="2" t="s">
        <v>3043</v>
      </c>
      <c r="C271" s="2" t="s">
        <v>274</v>
      </c>
      <c r="D271" s="2" t="s">
        <v>1771</v>
      </c>
      <c r="E271" s="2" t="s">
        <v>3044</v>
      </c>
      <c r="F271" s="2" t="s">
        <v>3045</v>
      </c>
      <c r="G271" s="2" t="s">
        <v>1788</v>
      </c>
      <c r="H271" s="2" t="s">
        <v>1789</v>
      </c>
      <c r="I271" s="2" t="s">
        <v>3046</v>
      </c>
      <c r="J271" s="2" t="s">
        <v>1777</v>
      </c>
      <c r="K271" s="2" t="s">
        <v>1778</v>
      </c>
    </row>
    <row r="272" spans="1:11" ht="43.5" customHeight="1" x14ac:dyDescent="0.5">
      <c r="A272" s="2" t="s">
        <v>1220</v>
      </c>
      <c r="B272" s="2" t="s">
        <v>3047</v>
      </c>
      <c r="C272" s="2" t="s">
        <v>274</v>
      </c>
      <c r="D272" s="2" t="s">
        <v>1771</v>
      </c>
      <c r="E272" s="2" t="s">
        <v>3048</v>
      </c>
      <c r="F272" s="2" t="s">
        <v>3049</v>
      </c>
      <c r="G272" s="2" t="s">
        <v>1788</v>
      </c>
      <c r="H272" s="2" t="s">
        <v>1789</v>
      </c>
      <c r="I272" s="2" t="s">
        <v>3050</v>
      </c>
      <c r="J272" s="2" t="s">
        <v>1777</v>
      </c>
      <c r="K272" s="2" t="s">
        <v>1778</v>
      </c>
    </row>
    <row r="273" spans="1:11" ht="43.5" customHeight="1" x14ac:dyDescent="0.5">
      <c r="A273" s="2" t="s">
        <v>1222</v>
      </c>
      <c r="B273" s="2" t="s">
        <v>3051</v>
      </c>
      <c r="C273" s="2" t="s">
        <v>297</v>
      </c>
      <c r="D273" s="2" t="s">
        <v>1771</v>
      </c>
      <c r="E273" s="2" t="s">
        <v>3052</v>
      </c>
      <c r="F273" s="2" t="s">
        <v>3053</v>
      </c>
      <c r="G273" s="2" t="s">
        <v>1788</v>
      </c>
      <c r="H273" s="2" t="s">
        <v>1789</v>
      </c>
      <c r="I273" s="2" t="s">
        <v>3054</v>
      </c>
      <c r="J273" s="2" t="s">
        <v>1777</v>
      </c>
      <c r="K273" s="2" t="s">
        <v>1778</v>
      </c>
    </row>
    <row r="274" spans="1:11" ht="43.5" customHeight="1" x14ac:dyDescent="0.5">
      <c r="A274" s="2" t="s">
        <v>1224</v>
      </c>
      <c r="B274" s="2" t="s">
        <v>3055</v>
      </c>
      <c r="C274" s="2" t="s">
        <v>297</v>
      </c>
      <c r="D274" s="2" t="s">
        <v>1771</v>
      </c>
      <c r="E274" s="2" t="s">
        <v>3056</v>
      </c>
      <c r="F274" s="2" t="s">
        <v>3057</v>
      </c>
      <c r="G274" s="2" t="s">
        <v>1788</v>
      </c>
      <c r="H274" s="2" t="s">
        <v>1789</v>
      </c>
      <c r="I274" s="2" t="s">
        <v>3058</v>
      </c>
      <c r="J274" s="2" t="s">
        <v>1777</v>
      </c>
      <c r="K274" s="2" t="s">
        <v>1778</v>
      </c>
    </row>
    <row r="275" spans="1:11" ht="43.5" customHeight="1" x14ac:dyDescent="0.5">
      <c r="A275" s="2" t="s">
        <v>1226</v>
      </c>
      <c r="B275" s="2" t="s">
        <v>3059</v>
      </c>
      <c r="C275" s="2" t="s">
        <v>274</v>
      </c>
      <c r="D275" s="2" t="s">
        <v>1771</v>
      </c>
      <c r="E275" s="2" t="s">
        <v>3060</v>
      </c>
      <c r="F275" s="2" t="s">
        <v>3061</v>
      </c>
      <c r="G275" s="2" t="s">
        <v>1788</v>
      </c>
      <c r="H275" s="2" t="s">
        <v>1789</v>
      </c>
      <c r="I275" s="2" t="s">
        <v>3062</v>
      </c>
      <c r="J275" s="2" t="s">
        <v>1777</v>
      </c>
      <c r="K275" s="2" t="s">
        <v>1778</v>
      </c>
    </row>
    <row r="276" spans="1:11" ht="43.5" customHeight="1" x14ac:dyDescent="0.5">
      <c r="A276" s="2" t="s">
        <v>1229</v>
      </c>
      <c r="B276" s="2" t="s">
        <v>3063</v>
      </c>
      <c r="C276" s="2" t="s">
        <v>274</v>
      </c>
      <c r="D276" s="2" t="s">
        <v>1771</v>
      </c>
      <c r="E276" s="2" t="s">
        <v>3064</v>
      </c>
      <c r="F276" s="2" t="s">
        <v>3065</v>
      </c>
      <c r="G276" s="2" t="s">
        <v>1788</v>
      </c>
      <c r="H276" s="2" t="s">
        <v>1789</v>
      </c>
      <c r="I276" s="2" t="s">
        <v>3066</v>
      </c>
      <c r="J276" s="2" t="s">
        <v>1777</v>
      </c>
      <c r="K276" s="2" t="s">
        <v>1778</v>
      </c>
    </row>
    <row r="277" spans="1:11" ht="43.5" customHeight="1" x14ac:dyDescent="0.5">
      <c r="A277" s="2" t="s">
        <v>1231</v>
      </c>
      <c r="B277" s="2" t="s">
        <v>3067</v>
      </c>
      <c r="C277" s="2" t="s">
        <v>297</v>
      </c>
      <c r="D277" s="2" t="s">
        <v>1771</v>
      </c>
      <c r="E277" s="2" t="s">
        <v>3068</v>
      </c>
      <c r="F277" s="2" t="s">
        <v>3069</v>
      </c>
      <c r="G277" s="2" t="s">
        <v>1788</v>
      </c>
      <c r="H277" s="2" t="s">
        <v>1789</v>
      </c>
      <c r="I277" s="2" t="s">
        <v>3070</v>
      </c>
      <c r="J277" s="2" t="s">
        <v>1777</v>
      </c>
      <c r="K277" s="2" t="s">
        <v>1778</v>
      </c>
    </row>
    <row r="278" spans="1:11" ht="43.5" customHeight="1" x14ac:dyDescent="0.5">
      <c r="A278" s="2" t="s">
        <v>1233</v>
      </c>
      <c r="B278" s="2" t="s">
        <v>3071</v>
      </c>
      <c r="C278" s="2" t="s">
        <v>297</v>
      </c>
      <c r="D278" s="2" t="s">
        <v>1771</v>
      </c>
      <c r="E278" s="2" t="s">
        <v>3072</v>
      </c>
      <c r="F278" s="2" t="s">
        <v>3073</v>
      </c>
      <c r="G278" s="2" t="s">
        <v>1788</v>
      </c>
      <c r="H278" s="2" t="s">
        <v>1789</v>
      </c>
      <c r="I278" s="2" t="s">
        <v>3074</v>
      </c>
      <c r="J278" s="2" t="s">
        <v>1777</v>
      </c>
      <c r="K278" s="2" t="s">
        <v>1778</v>
      </c>
    </row>
    <row r="279" spans="1:11" ht="43.5" customHeight="1" x14ac:dyDescent="0.5">
      <c r="A279" s="2" t="s">
        <v>1235</v>
      </c>
      <c r="B279" s="2" t="s">
        <v>3075</v>
      </c>
      <c r="C279" s="2" t="s">
        <v>274</v>
      </c>
      <c r="D279" s="2" t="s">
        <v>1771</v>
      </c>
      <c r="E279" s="2" t="s">
        <v>3076</v>
      </c>
      <c r="F279" s="2" t="s">
        <v>3077</v>
      </c>
      <c r="G279" s="2" t="s">
        <v>3078</v>
      </c>
      <c r="H279" s="2" t="s">
        <v>3079</v>
      </c>
      <c r="I279" s="2" t="s">
        <v>3080</v>
      </c>
      <c r="J279" s="2" t="s">
        <v>1777</v>
      </c>
      <c r="K279" s="2" t="s">
        <v>1778</v>
      </c>
    </row>
    <row r="280" spans="1:11" ht="43.5" customHeight="1" x14ac:dyDescent="0.5">
      <c r="A280" s="2" t="s">
        <v>1240</v>
      </c>
      <c r="B280" s="2" t="s">
        <v>3081</v>
      </c>
      <c r="C280" s="2" t="s">
        <v>274</v>
      </c>
      <c r="D280" s="2" t="s">
        <v>1771</v>
      </c>
      <c r="E280" s="2" t="s">
        <v>3082</v>
      </c>
      <c r="F280" s="2" t="s">
        <v>3083</v>
      </c>
      <c r="G280" s="2" t="s">
        <v>1788</v>
      </c>
      <c r="H280" s="2" t="s">
        <v>1789</v>
      </c>
      <c r="I280" s="2" t="s">
        <v>3084</v>
      </c>
      <c r="J280" s="2" t="s">
        <v>1777</v>
      </c>
      <c r="K280" s="2" t="s">
        <v>1778</v>
      </c>
    </row>
    <row r="281" spans="1:11" ht="43.5" customHeight="1" x14ac:dyDescent="0.5">
      <c r="A281" s="2" t="s">
        <v>1242</v>
      </c>
      <c r="B281" s="2" t="s">
        <v>3085</v>
      </c>
      <c r="C281" s="2" t="s">
        <v>297</v>
      </c>
      <c r="D281" s="2" t="s">
        <v>1771</v>
      </c>
      <c r="E281" s="2" t="s">
        <v>3086</v>
      </c>
      <c r="F281" s="2" t="s">
        <v>3087</v>
      </c>
      <c r="G281" s="2" t="s">
        <v>1788</v>
      </c>
      <c r="H281" s="2" t="s">
        <v>1789</v>
      </c>
      <c r="I281" s="2" t="s">
        <v>3088</v>
      </c>
      <c r="J281" s="2" t="s">
        <v>1777</v>
      </c>
      <c r="K281" s="2" t="s">
        <v>1778</v>
      </c>
    </row>
    <row r="282" spans="1:11" ht="43.5" customHeight="1" x14ac:dyDescent="0.5">
      <c r="A282" s="2" t="s">
        <v>1244</v>
      </c>
      <c r="B282" s="2" t="s">
        <v>3089</v>
      </c>
      <c r="C282" s="2" t="s">
        <v>297</v>
      </c>
      <c r="D282" s="2" t="s">
        <v>1771</v>
      </c>
      <c r="E282" s="2" t="s">
        <v>3090</v>
      </c>
      <c r="F282" s="2" t="s">
        <v>3091</v>
      </c>
      <c r="G282" s="2" t="s">
        <v>1788</v>
      </c>
      <c r="H282" s="2" t="s">
        <v>1789</v>
      </c>
      <c r="I282" s="2" t="s">
        <v>3092</v>
      </c>
      <c r="J282" s="2" t="s">
        <v>1777</v>
      </c>
      <c r="K282" s="2" t="s">
        <v>1778</v>
      </c>
    </row>
    <row r="283" spans="1:11" ht="43.5" customHeight="1" x14ac:dyDescent="0.5">
      <c r="A283" s="2" t="s">
        <v>1246</v>
      </c>
      <c r="B283" s="2" t="s">
        <v>3093</v>
      </c>
      <c r="C283" s="2" t="s">
        <v>274</v>
      </c>
      <c r="D283" s="2" t="s">
        <v>1771</v>
      </c>
      <c r="E283" s="2" t="s">
        <v>3094</v>
      </c>
      <c r="F283" s="2" t="s">
        <v>3095</v>
      </c>
      <c r="G283" s="2" t="s">
        <v>1788</v>
      </c>
      <c r="H283" s="2" t="s">
        <v>1789</v>
      </c>
      <c r="I283" s="2" t="s">
        <v>3096</v>
      </c>
      <c r="J283" s="2" t="s">
        <v>1777</v>
      </c>
      <c r="K283" s="2" t="s">
        <v>1778</v>
      </c>
    </row>
    <row r="284" spans="1:11" ht="43.5" customHeight="1" x14ac:dyDescent="0.5">
      <c r="A284" s="2" t="s">
        <v>1249</v>
      </c>
      <c r="B284" s="2" t="s">
        <v>3097</v>
      </c>
      <c r="C284" s="2" t="s">
        <v>274</v>
      </c>
      <c r="D284" s="2" t="s">
        <v>1771</v>
      </c>
      <c r="E284" s="2" t="s">
        <v>3098</v>
      </c>
      <c r="F284" s="2" t="s">
        <v>3099</v>
      </c>
      <c r="G284" s="2" t="s">
        <v>1788</v>
      </c>
      <c r="H284" s="2" t="s">
        <v>1789</v>
      </c>
      <c r="I284" s="2" t="s">
        <v>3100</v>
      </c>
      <c r="J284" s="2" t="s">
        <v>1777</v>
      </c>
      <c r="K284" s="2" t="s">
        <v>1778</v>
      </c>
    </row>
    <row r="285" spans="1:11" ht="43.5" customHeight="1" x14ac:dyDescent="0.5">
      <c r="A285" s="2" t="s">
        <v>1251</v>
      </c>
      <c r="B285" s="2" t="s">
        <v>3101</v>
      </c>
      <c r="C285" s="2" t="s">
        <v>297</v>
      </c>
      <c r="D285" s="2" t="s">
        <v>1771</v>
      </c>
      <c r="E285" s="2" t="s">
        <v>3102</v>
      </c>
      <c r="F285" s="2" t="s">
        <v>3103</v>
      </c>
      <c r="G285" s="2" t="s">
        <v>1788</v>
      </c>
      <c r="H285" s="2" t="s">
        <v>1789</v>
      </c>
      <c r="I285" s="2" t="s">
        <v>3104</v>
      </c>
      <c r="J285" s="2" t="s">
        <v>1777</v>
      </c>
      <c r="K285" s="2" t="s">
        <v>1778</v>
      </c>
    </row>
    <row r="286" spans="1:11" ht="43.5" customHeight="1" x14ac:dyDescent="0.5">
      <c r="A286" s="2" t="s">
        <v>1253</v>
      </c>
      <c r="B286" s="2" t="s">
        <v>3105</v>
      </c>
      <c r="C286" s="2" t="s">
        <v>297</v>
      </c>
      <c r="D286" s="2" t="s">
        <v>1771</v>
      </c>
      <c r="E286" s="2" t="s">
        <v>3106</v>
      </c>
      <c r="F286" s="2" t="s">
        <v>3107</v>
      </c>
      <c r="G286" s="2" t="s">
        <v>1788</v>
      </c>
      <c r="H286" s="2" t="s">
        <v>1789</v>
      </c>
      <c r="I286" s="2" t="s">
        <v>3108</v>
      </c>
      <c r="J286" s="2" t="s">
        <v>1777</v>
      </c>
      <c r="K286" s="2" t="s">
        <v>1778</v>
      </c>
    </row>
    <row r="287" spans="1:11" ht="43.5" customHeight="1" x14ac:dyDescent="0.5">
      <c r="A287" s="2" t="s">
        <v>1255</v>
      </c>
      <c r="B287" s="2" t="s">
        <v>3109</v>
      </c>
      <c r="C287" s="2" t="s">
        <v>274</v>
      </c>
      <c r="D287" s="2" t="s">
        <v>1771</v>
      </c>
      <c r="E287" s="2" t="s">
        <v>3110</v>
      </c>
      <c r="F287" s="2" t="s">
        <v>3111</v>
      </c>
      <c r="G287" s="2" t="s">
        <v>3112</v>
      </c>
      <c r="H287" s="2" t="s">
        <v>3113</v>
      </c>
      <c r="I287" s="2" t="s">
        <v>3114</v>
      </c>
      <c r="J287" s="2" t="s">
        <v>1777</v>
      </c>
      <c r="K287" s="2" t="s">
        <v>1778</v>
      </c>
    </row>
    <row r="288" spans="1:11" ht="43.5" customHeight="1" x14ac:dyDescent="0.5">
      <c r="A288" s="2" t="s">
        <v>1258</v>
      </c>
      <c r="B288" s="2" t="s">
        <v>3115</v>
      </c>
      <c r="C288" s="2" t="s">
        <v>274</v>
      </c>
      <c r="D288" s="2" t="s">
        <v>1771</v>
      </c>
      <c r="E288" s="2" t="s">
        <v>3116</v>
      </c>
      <c r="F288" s="2" t="s">
        <v>3117</v>
      </c>
      <c r="G288" s="2" t="s">
        <v>1788</v>
      </c>
      <c r="H288" s="2" t="s">
        <v>1789</v>
      </c>
      <c r="I288" s="2" t="s">
        <v>3118</v>
      </c>
      <c r="J288" s="2" t="s">
        <v>1777</v>
      </c>
      <c r="K288" s="2" t="s">
        <v>1778</v>
      </c>
    </row>
    <row r="289" spans="1:11" ht="43.5" customHeight="1" x14ac:dyDescent="0.5">
      <c r="A289" s="2" t="s">
        <v>1260</v>
      </c>
      <c r="B289" s="2" t="s">
        <v>3119</v>
      </c>
      <c r="C289" s="2" t="s">
        <v>297</v>
      </c>
      <c r="D289" s="2" t="s">
        <v>1771</v>
      </c>
      <c r="E289" s="2" t="s">
        <v>3120</v>
      </c>
      <c r="F289" s="2" t="s">
        <v>3121</v>
      </c>
      <c r="G289" s="2" t="s">
        <v>1788</v>
      </c>
      <c r="H289" s="2" t="s">
        <v>1789</v>
      </c>
      <c r="I289" s="2" t="s">
        <v>3122</v>
      </c>
      <c r="J289" s="2" t="s">
        <v>1777</v>
      </c>
      <c r="K289" s="2" t="s">
        <v>1778</v>
      </c>
    </row>
    <row r="290" spans="1:11" ht="43.5" customHeight="1" x14ac:dyDescent="0.5">
      <c r="A290" s="2" t="s">
        <v>1262</v>
      </c>
      <c r="B290" s="2" t="s">
        <v>3123</v>
      </c>
      <c r="C290" s="2" t="s">
        <v>297</v>
      </c>
      <c r="D290" s="2" t="s">
        <v>1771</v>
      </c>
      <c r="E290" s="2" t="s">
        <v>3124</v>
      </c>
      <c r="F290" s="2" t="s">
        <v>3125</v>
      </c>
      <c r="G290" s="2" t="s">
        <v>1788</v>
      </c>
      <c r="H290" s="2" t="s">
        <v>1789</v>
      </c>
      <c r="I290" s="2" t="s">
        <v>3126</v>
      </c>
      <c r="J290" s="2" t="s">
        <v>1777</v>
      </c>
      <c r="K290" s="2" t="s">
        <v>1778</v>
      </c>
    </row>
    <row r="291" spans="1:11" ht="43.5" customHeight="1" x14ac:dyDescent="0.5">
      <c r="A291" s="2" t="s">
        <v>1264</v>
      </c>
      <c r="B291" s="2" t="s">
        <v>3127</v>
      </c>
      <c r="C291" s="2" t="s">
        <v>274</v>
      </c>
      <c r="D291" s="2" t="s">
        <v>1771</v>
      </c>
      <c r="E291" s="2" t="s">
        <v>3128</v>
      </c>
      <c r="F291" s="2" t="s">
        <v>3129</v>
      </c>
      <c r="G291" s="2" t="s">
        <v>1788</v>
      </c>
      <c r="H291" s="2" t="s">
        <v>1789</v>
      </c>
      <c r="I291" s="2" t="s">
        <v>3130</v>
      </c>
      <c r="J291" s="2" t="s">
        <v>1777</v>
      </c>
      <c r="K291" s="2" t="s">
        <v>1778</v>
      </c>
    </row>
    <row r="292" spans="1:11" ht="43.5" customHeight="1" x14ac:dyDescent="0.5">
      <c r="A292" s="2" t="s">
        <v>1268</v>
      </c>
      <c r="B292" s="2" t="s">
        <v>3131</v>
      </c>
      <c r="C292" s="2" t="s">
        <v>274</v>
      </c>
      <c r="D292" s="2" t="s">
        <v>1771</v>
      </c>
      <c r="E292" s="2" t="s">
        <v>3132</v>
      </c>
      <c r="F292" s="2" t="s">
        <v>3133</v>
      </c>
      <c r="G292" s="2" t="s">
        <v>1789</v>
      </c>
      <c r="H292" s="2" t="s">
        <v>1789</v>
      </c>
      <c r="I292" s="2" t="s">
        <v>3134</v>
      </c>
      <c r="J292" s="2" t="s">
        <v>1777</v>
      </c>
      <c r="K292" s="2" t="s">
        <v>1778</v>
      </c>
    </row>
    <row r="293" spans="1:11" ht="43.5" customHeight="1" x14ac:dyDescent="0.5">
      <c r="A293" s="2" t="s">
        <v>1274</v>
      </c>
      <c r="B293" s="2" t="s">
        <v>3135</v>
      </c>
      <c r="C293" s="2" t="s">
        <v>274</v>
      </c>
      <c r="D293" s="2" t="s">
        <v>1771</v>
      </c>
      <c r="E293" s="2" t="s">
        <v>3136</v>
      </c>
      <c r="F293" s="2" t="s">
        <v>3137</v>
      </c>
      <c r="G293" s="2" t="s">
        <v>1788</v>
      </c>
      <c r="H293" s="2" t="s">
        <v>1789</v>
      </c>
      <c r="I293" s="2" t="s">
        <v>3138</v>
      </c>
      <c r="J293" s="2" t="s">
        <v>1777</v>
      </c>
      <c r="K293" s="2" t="s">
        <v>1778</v>
      </c>
    </row>
    <row r="294" spans="1:11" ht="43.5" customHeight="1" x14ac:dyDescent="0.5">
      <c r="A294" s="2" t="s">
        <v>1276</v>
      </c>
      <c r="B294" s="2" t="s">
        <v>3139</v>
      </c>
      <c r="C294" s="2" t="s">
        <v>297</v>
      </c>
      <c r="D294" s="2" t="s">
        <v>1771</v>
      </c>
      <c r="E294" s="2" t="s">
        <v>3140</v>
      </c>
      <c r="F294" s="2" t="s">
        <v>3141</v>
      </c>
      <c r="G294" s="2" t="s">
        <v>1788</v>
      </c>
      <c r="H294" s="2" t="s">
        <v>1789</v>
      </c>
      <c r="I294" s="2" t="s">
        <v>3142</v>
      </c>
      <c r="J294" s="2" t="s">
        <v>1777</v>
      </c>
      <c r="K294" s="2" t="s">
        <v>1778</v>
      </c>
    </row>
    <row r="295" spans="1:11" ht="43.5" customHeight="1" x14ac:dyDescent="0.5">
      <c r="A295" s="2" t="s">
        <v>1280</v>
      </c>
      <c r="B295" s="2" t="s">
        <v>3143</v>
      </c>
      <c r="C295" s="2" t="s">
        <v>297</v>
      </c>
      <c r="D295" s="2" t="s">
        <v>1771</v>
      </c>
      <c r="E295" s="2" t="s">
        <v>3144</v>
      </c>
      <c r="F295" s="2" t="s">
        <v>3145</v>
      </c>
      <c r="G295" s="2" t="s">
        <v>1788</v>
      </c>
      <c r="H295" s="2" t="s">
        <v>1789</v>
      </c>
      <c r="I295" s="2" t="s">
        <v>3146</v>
      </c>
      <c r="J295" s="2" t="s">
        <v>1777</v>
      </c>
      <c r="K295" s="2" t="s">
        <v>1778</v>
      </c>
    </row>
    <row r="296" spans="1:11" ht="43.5" customHeight="1" x14ac:dyDescent="0.5">
      <c r="A296" s="2" t="s">
        <v>1284</v>
      </c>
      <c r="B296" s="2" t="s">
        <v>3147</v>
      </c>
      <c r="C296" s="2" t="s">
        <v>274</v>
      </c>
      <c r="D296" s="2" t="s">
        <v>1771</v>
      </c>
      <c r="E296" s="2" t="s">
        <v>3148</v>
      </c>
      <c r="F296" s="2" t="s">
        <v>3149</v>
      </c>
      <c r="G296" s="2" t="s">
        <v>1788</v>
      </c>
      <c r="H296" s="2" t="s">
        <v>1789</v>
      </c>
      <c r="I296" s="2" t="s">
        <v>3150</v>
      </c>
      <c r="J296" s="2" t="s">
        <v>1777</v>
      </c>
      <c r="K296" s="2" t="s">
        <v>1778</v>
      </c>
    </row>
    <row r="297" spans="1:11" ht="43.5" customHeight="1" x14ac:dyDescent="0.5">
      <c r="A297" s="2" t="s">
        <v>1287</v>
      </c>
      <c r="B297" s="2" t="s">
        <v>3151</v>
      </c>
      <c r="C297" s="2" t="s">
        <v>274</v>
      </c>
      <c r="D297" s="2" t="s">
        <v>1771</v>
      </c>
      <c r="E297" s="2" t="s">
        <v>3152</v>
      </c>
      <c r="F297" s="2" t="s">
        <v>3153</v>
      </c>
      <c r="G297" s="2" t="s">
        <v>1788</v>
      </c>
      <c r="H297" s="2" t="s">
        <v>1789</v>
      </c>
      <c r="I297" s="2" t="s">
        <v>3154</v>
      </c>
      <c r="J297" s="2" t="s">
        <v>1777</v>
      </c>
      <c r="K297" s="2" t="s">
        <v>1778</v>
      </c>
    </row>
    <row r="298" spans="1:11" ht="43.5" customHeight="1" x14ac:dyDescent="0.5">
      <c r="A298" s="2" t="s">
        <v>1289</v>
      </c>
      <c r="B298" s="2" t="s">
        <v>3155</v>
      </c>
      <c r="C298" s="2" t="s">
        <v>297</v>
      </c>
      <c r="D298" s="2" t="s">
        <v>1771</v>
      </c>
      <c r="E298" s="2" t="s">
        <v>3156</v>
      </c>
      <c r="F298" s="2" t="s">
        <v>3157</v>
      </c>
      <c r="G298" s="2" t="s">
        <v>1788</v>
      </c>
      <c r="H298" s="2" t="s">
        <v>1789</v>
      </c>
      <c r="I298" s="2" t="s">
        <v>3158</v>
      </c>
      <c r="J298" s="2" t="s">
        <v>1777</v>
      </c>
      <c r="K298" s="2" t="s">
        <v>1778</v>
      </c>
    </row>
    <row r="299" spans="1:11" ht="43.5" customHeight="1" x14ac:dyDescent="0.5">
      <c r="A299" s="2" t="s">
        <v>1291</v>
      </c>
      <c r="B299" s="2" t="s">
        <v>3159</v>
      </c>
      <c r="C299" s="2" t="s">
        <v>297</v>
      </c>
      <c r="D299" s="2" t="s">
        <v>1771</v>
      </c>
      <c r="E299" s="2" t="s">
        <v>3160</v>
      </c>
      <c r="F299" s="2" t="s">
        <v>3161</v>
      </c>
      <c r="G299" s="2" t="s">
        <v>1788</v>
      </c>
      <c r="H299" s="2" t="s">
        <v>1789</v>
      </c>
      <c r="I299" s="2" t="s">
        <v>3162</v>
      </c>
      <c r="J299" s="2" t="s">
        <v>1777</v>
      </c>
      <c r="K299" s="2" t="s">
        <v>1778</v>
      </c>
    </row>
    <row r="300" spans="1:11" ht="43.5" customHeight="1" x14ac:dyDescent="0.5">
      <c r="A300" s="2" t="s">
        <v>1293</v>
      </c>
      <c r="B300" s="2" t="s">
        <v>3163</v>
      </c>
      <c r="C300" s="2" t="s">
        <v>274</v>
      </c>
      <c r="D300" s="2" t="s">
        <v>1771</v>
      </c>
      <c r="E300" s="2" t="s">
        <v>3164</v>
      </c>
      <c r="F300" s="2" t="s">
        <v>3165</v>
      </c>
      <c r="G300" s="2" t="s">
        <v>1788</v>
      </c>
      <c r="H300" s="2" t="s">
        <v>1789</v>
      </c>
      <c r="I300" s="2" t="s">
        <v>3166</v>
      </c>
      <c r="J300" s="2" t="s">
        <v>1777</v>
      </c>
      <c r="K300" s="2" t="s">
        <v>1778</v>
      </c>
    </row>
    <row r="301" spans="1:11" ht="43.5" customHeight="1" x14ac:dyDescent="0.5">
      <c r="A301" s="2" t="s">
        <v>1296</v>
      </c>
      <c r="B301" s="2" t="s">
        <v>3167</v>
      </c>
      <c r="C301" s="2" t="s">
        <v>274</v>
      </c>
      <c r="D301" s="2" t="s">
        <v>1771</v>
      </c>
      <c r="E301" s="2" t="s">
        <v>3168</v>
      </c>
      <c r="F301" s="2" t="s">
        <v>3169</v>
      </c>
      <c r="G301" s="2" t="s">
        <v>1788</v>
      </c>
      <c r="H301" s="2" t="s">
        <v>1789</v>
      </c>
      <c r="I301" s="2" t="s">
        <v>3170</v>
      </c>
      <c r="J301" s="2" t="s">
        <v>1777</v>
      </c>
      <c r="K301" s="2" t="s">
        <v>1778</v>
      </c>
    </row>
    <row r="302" spans="1:11" ht="43.5" customHeight="1" x14ac:dyDescent="0.5">
      <c r="A302" s="2" t="s">
        <v>1298</v>
      </c>
      <c r="B302" s="2" t="s">
        <v>3171</v>
      </c>
      <c r="C302" s="2" t="s">
        <v>297</v>
      </c>
      <c r="D302" s="2" t="s">
        <v>1771</v>
      </c>
      <c r="E302" s="2" t="s">
        <v>3172</v>
      </c>
      <c r="F302" s="2" t="s">
        <v>3173</v>
      </c>
      <c r="G302" s="2" t="s">
        <v>1788</v>
      </c>
      <c r="H302" s="2" t="s">
        <v>1789</v>
      </c>
      <c r="I302" s="2" t="s">
        <v>3174</v>
      </c>
      <c r="J302" s="2" t="s">
        <v>1777</v>
      </c>
      <c r="K302" s="2" t="s">
        <v>1778</v>
      </c>
    </row>
    <row r="303" spans="1:11" ht="43.5" customHeight="1" x14ac:dyDescent="0.5">
      <c r="A303" s="2" t="s">
        <v>1300</v>
      </c>
      <c r="B303" s="2" t="s">
        <v>3175</v>
      </c>
      <c r="C303" s="2" t="s">
        <v>297</v>
      </c>
      <c r="D303" s="2" t="s">
        <v>1771</v>
      </c>
      <c r="E303" s="2" t="s">
        <v>3176</v>
      </c>
      <c r="F303" s="2" t="s">
        <v>3177</v>
      </c>
      <c r="G303" s="2" t="s">
        <v>1788</v>
      </c>
      <c r="H303" s="2" t="s">
        <v>1789</v>
      </c>
      <c r="I303" s="2" t="s">
        <v>3178</v>
      </c>
      <c r="J303" s="2" t="s">
        <v>1777</v>
      </c>
      <c r="K303" s="2" t="s">
        <v>1778</v>
      </c>
    </row>
    <row r="304" spans="1:11" ht="43.5" customHeight="1" x14ac:dyDescent="0.5">
      <c r="A304" s="2" t="s">
        <v>1302</v>
      </c>
      <c r="B304" s="2" t="s">
        <v>3179</v>
      </c>
      <c r="C304" s="2" t="s">
        <v>274</v>
      </c>
      <c r="D304" s="2" t="s">
        <v>1771</v>
      </c>
      <c r="E304" s="2" t="s">
        <v>3180</v>
      </c>
      <c r="F304" s="2" t="s">
        <v>3181</v>
      </c>
      <c r="G304" s="2" t="s">
        <v>1788</v>
      </c>
      <c r="H304" s="2" t="s">
        <v>1789</v>
      </c>
      <c r="I304" s="2" t="s">
        <v>3182</v>
      </c>
      <c r="J304" s="2" t="s">
        <v>1777</v>
      </c>
      <c r="K304" s="2" t="s">
        <v>1778</v>
      </c>
    </row>
    <row r="305" spans="1:11" ht="43.5" customHeight="1" x14ac:dyDescent="0.5">
      <c r="A305" s="2" t="s">
        <v>1310</v>
      </c>
      <c r="B305" s="2" t="s">
        <v>3183</v>
      </c>
      <c r="C305" s="2" t="s">
        <v>297</v>
      </c>
      <c r="D305" s="2" t="s">
        <v>1771</v>
      </c>
      <c r="E305" s="2" t="s">
        <v>3184</v>
      </c>
      <c r="F305" s="2" t="s">
        <v>3185</v>
      </c>
      <c r="G305" s="2" t="s">
        <v>1788</v>
      </c>
      <c r="H305" s="2" t="s">
        <v>1789</v>
      </c>
      <c r="I305" s="2" t="s">
        <v>3186</v>
      </c>
      <c r="J305" s="2" t="s">
        <v>1777</v>
      </c>
      <c r="K305" s="2" t="s">
        <v>1778</v>
      </c>
    </row>
    <row r="306" spans="1:11" ht="43.5" customHeight="1" x14ac:dyDescent="0.5">
      <c r="A306" s="2" t="s">
        <v>1318</v>
      </c>
      <c r="B306" s="2" t="s">
        <v>3187</v>
      </c>
      <c r="C306" s="2" t="s">
        <v>274</v>
      </c>
      <c r="D306" s="2" t="s">
        <v>1771</v>
      </c>
      <c r="E306" s="2" t="s">
        <v>3188</v>
      </c>
      <c r="F306" s="2" t="s">
        <v>3189</v>
      </c>
      <c r="G306" s="2" t="s">
        <v>1788</v>
      </c>
      <c r="H306" s="2" t="s">
        <v>1789</v>
      </c>
      <c r="I306" s="2" t="s">
        <v>3190</v>
      </c>
      <c r="J306" s="2" t="s">
        <v>1777</v>
      </c>
      <c r="K306" s="2" t="s">
        <v>1778</v>
      </c>
    </row>
    <row r="307" spans="1:11" ht="43.5" customHeight="1" x14ac:dyDescent="0.5">
      <c r="A307" s="2" t="s">
        <v>1324</v>
      </c>
      <c r="B307" s="2" t="s">
        <v>3191</v>
      </c>
      <c r="C307" s="2" t="s">
        <v>297</v>
      </c>
      <c r="D307" s="2" t="s">
        <v>1771</v>
      </c>
      <c r="E307" s="2" t="s">
        <v>3192</v>
      </c>
      <c r="F307" s="2" t="s">
        <v>3193</v>
      </c>
      <c r="G307" s="2" t="s">
        <v>1788</v>
      </c>
      <c r="H307" s="2" t="s">
        <v>1789</v>
      </c>
      <c r="I307" s="2" t="s">
        <v>3194</v>
      </c>
      <c r="J307" s="2" t="s">
        <v>1777</v>
      </c>
      <c r="K307" s="2" t="s">
        <v>1778</v>
      </c>
    </row>
    <row r="308" spans="1:11" ht="43.5" customHeight="1" x14ac:dyDescent="0.5">
      <c r="A308" s="2" t="s">
        <v>1331</v>
      </c>
      <c r="B308" s="2" t="s">
        <v>3195</v>
      </c>
      <c r="C308" s="2" t="s">
        <v>274</v>
      </c>
      <c r="D308" s="2" t="s">
        <v>1771</v>
      </c>
      <c r="E308" s="2" t="s">
        <v>3196</v>
      </c>
      <c r="F308" s="2" t="s">
        <v>3197</v>
      </c>
      <c r="G308" s="2" t="s">
        <v>1788</v>
      </c>
      <c r="H308" s="2" t="s">
        <v>1789</v>
      </c>
      <c r="I308" s="2" t="s">
        <v>3198</v>
      </c>
      <c r="J308" s="2" t="s">
        <v>1777</v>
      </c>
      <c r="K308" s="2" t="s">
        <v>1778</v>
      </c>
    </row>
    <row r="309" spans="1:11" ht="43.5" customHeight="1" x14ac:dyDescent="0.5">
      <c r="A309" s="2" t="s">
        <v>1338</v>
      </c>
      <c r="B309" s="2" t="s">
        <v>3199</v>
      </c>
      <c r="C309" s="2" t="s">
        <v>274</v>
      </c>
      <c r="D309" s="2" t="s">
        <v>1771</v>
      </c>
      <c r="E309" s="2" t="s">
        <v>3200</v>
      </c>
      <c r="F309" s="2" t="s">
        <v>3201</v>
      </c>
      <c r="G309" s="2" t="s">
        <v>1788</v>
      </c>
      <c r="H309" s="2" t="s">
        <v>1789</v>
      </c>
      <c r="I309" s="2" t="s">
        <v>3202</v>
      </c>
      <c r="J309" s="2" t="s">
        <v>1777</v>
      </c>
      <c r="K309" s="2" t="s">
        <v>1778</v>
      </c>
    </row>
    <row r="310" spans="1:11" ht="43.5" customHeight="1" x14ac:dyDescent="0.5">
      <c r="A310" s="2" t="s">
        <v>1344</v>
      </c>
      <c r="B310" s="2" t="s">
        <v>3203</v>
      </c>
      <c r="C310" s="2" t="s">
        <v>297</v>
      </c>
      <c r="D310" s="2" t="s">
        <v>1771</v>
      </c>
      <c r="E310" s="2" t="s">
        <v>3204</v>
      </c>
      <c r="F310" s="2" t="s">
        <v>3205</v>
      </c>
      <c r="G310" s="2" t="s">
        <v>1788</v>
      </c>
      <c r="H310" s="2" t="s">
        <v>1789</v>
      </c>
      <c r="I310" s="2" t="s">
        <v>3206</v>
      </c>
      <c r="J310" s="2" t="s">
        <v>1777</v>
      </c>
      <c r="K310" s="2" t="s">
        <v>1778</v>
      </c>
    </row>
    <row r="311" spans="1:11" ht="43.5" customHeight="1" x14ac:dyDescent="0.5">
      <c r="A311" s="2" t="s">
        <v>1350</v>
      </c>
      <c r="B311" s="2" t="s">
        <v>3207</v>
      </c>
      <c r="C311" s="2" t="s">
        <v>274</v>
      </c>
      <c r="D311" s="2" t="s">
        <v>1771</v>
      </c>
      <c r="E311" s="2" t="s">
        <v>3208</v>
      </c>
      <c r="F311" s="2" t="s">
        <v>3209</v>
      </c>
      <c r="G311" s="2" t="s">
        <v>1788</v>
      </c>
      <c r="H311" s="2" t="s">
        <v>1789</v>
      </c>
      <c r="I311" s="2" t="s">
        <v>3210</v>
      </c>
      <c r="J311" s="2" t="s">
        <v>1777</v>
      </c>
      <c r="K311" s="2" t="s">
        <v>1778</v>
      </c>
    </row>
    <row r="312" spans="1:11" ht="43.5" customHeight="1" x14ac:dyDescent="0.5">
      <c r="A312" s="2" t="s">
        <v>1353</v>
      </c>
      <c r="B312" s="2" t="s">
        <v>3211</v>
      </c>
      <c r="C312" s="2" t="s">
        <v>297</v>
      </c>
      <c r="D312" s="2" t="s">
        <v>1771</v>
      </c>
      <c r="E312" s="2" t="s">
        <v>3212</v>
      </c>
      <c r="F312" s="2" t="s">
        <v>3213</v>
      </c>
      <c r="G312" s="2" t="s">
        <v>1788</v>
      </c>
      <c r="H312" s="2" t="s">
        <v>1789</v>
      </c>
      <c r="I312" s="2" t="s">
        <v>3214</v>
      </c>
      <c r="J312" s="2" t="s">
        <v>1777</v>
      </c>
      <c r="K312" s="2" t="s">
        <v>1778</v>
      </c>
    </row>
    <row r="313" spans="1:11" ht="43.5" customHeight="1" x14ac:dyDescent="0.5">
      <c r="A313" s="2" t="s">
        <v>1356</v>
      </c>
      <c r="B313" s="2" t="s">
        <v>3215</v>
      </c>
      <c r="C313" s="2" t="s">
        <v>274</v>
      </c>
      <c r="D313" s="2" t="s">
        <v>1771</v>
      </c>
      <c r="E313" s="2" t="s">
        <v>3216</v>
      </c>
      <c r="F313" s="2" t="s">
        <v>3217</v>
      </c>
      <c r="G313" s="2" t="s">
        <v>1788</v>
      </c>
      <c r="H313" s="2" t="s">
        <v>1789</v>
      </c>
      <c r="I313" s="2" t="s">
        <v>3218</v>
      </c>
      <c r="J313" s="2" t="s">
        <v>1777</v>
      </c>
      <c r="K313" s="2" t="s">
        <v>1778</v>
      </c>
    </row>
    <row r="314" spans="1:11" ht="43.5" customHeight="1" x14ac:dyDescent="0.5">
      <c r="A314" s="2" t="s">
        <v>1359</v>
      </c>
      <c r="B314" s="2" t="s">
        <v>3219</v>
      </c>
      <c r="C314" s="2" t="s">
        <v>297</v>
      </c>
      <c r="D314" s="2" t="s">
        <v>1771</v>
      </c>
      <c r="E314" s="2" t="s">
        <v>3220</v>
      </c>
      <c r="F314" s="2" t="s">
        <v>3221</v>
      </c>
      <c r="G314" s="2" t="s">
        <v>1788</v>
      </c>
      <c r="H314" s="2" t="s">
        <v>1789</v>
      </c>
      <c r="I314" s="2" t="s">
        <v>3222</v>
      </c>
      <c r="J314" s="2" t="s">
        <v>1777</v>
      </c>
      <c r="K314" s="2" t="s">
        <v>1778</v>
      </c>
    </row>
    <row r="315" spans="1:11" ht="43.5" customHeight="1" x14ac:dyDescent="0.5">
      <c r="A315" s="2" t="s">
        <v>1362</v>
      </c>
      <c r="B315" s="2" t="s">
        <v>3223</v>
      </c>
      <c r="C315" s="2" t="s">
        <v>274</v>
      </c>
      <c r="D315" s="2" t="s">
        <v>1771</v>
      </c>
      <c r="E315" s="2" t="s">
        <v>3224</v>
      </c>
      <c r="F315" s="2" t="s">
        <v>3225</v>
      </c>
      <c r="G315" s="2" t="s">
        <v>3226</v>
      </c>
      <c r="H315" s="2" t="s">
        <v>3227</v>
      </c>
      <c r="I315" s="2" t="s">
        <v>3228</v>
      </c>
      <c r="J315" s="2" t="s">
        <v>1777</v>
      </c>
      <c r="K315" s="2" t="s">
        <v>1778</v>
      </c>
    </row>
    <row r="316" spans="1:11" ht="43.5" customHeight="1" x14ac:dyDescent="0.5">
      <c r="A316" s="2" t="s">
        <v>1371</v>
      </c>
      <c r="B316" s="2" t="s">
        <v>3229</v>
      </c>
      <c r="C316" s="2" t="s">
        <v>274</v>
      </c>
      <c r="D316" s="2" t="s">
        <v>1771</v>
      </c>
      <c r="E316" s="2" t="s">
        <v>3230</v>
      </c>
      <c r="F316" s="2" t="s">
        <v>3231</v>
      </c>
      <c r="G316" s="2" t="s">
        <v>3232</v>
      </c>
      <c r="H316" s="2" t="s">
        <v>3233</v>
      </c>
      <c r="I316" s="2" t="s">
        <v>3234</v>
      </c>
      <c r="J316" s="2" t="s">
        <v>1777</v>
      </c>
      <c r="K316" s="2" t="s">
        <v>1778</v>
      </c>
    </row>
    <row r="317" spans="1:11" ht="43.5" customHeight="1" x14ac:dyDescent="0.5">
      <c r="A317" s="2" t="s">
        <v>1374</v>
      </c>
      <c r="B317" s="2" t="s">
        <v>3235</v>
      </c>
      <c r="C317" s="2" t="s">
        <v>274</v>
      </c>
      <c r="D317" s="2" t="s">
        <v>1771</v>
      </c>
      <c r="E317" s="2" t="s">
        <v>3236</v>
      </c>
      <c r="F317" s="2" t="s">
        <v>3237</v>
      </c>
      <c r="G317" s="2" t="s">
        <v>3238</v>
      </c>
      <c r="H317" s="2" t="s">
        <v>3239</v>
      </c>
      <c r="I317" s="2" t="s">
        <v>3240</v>
      </c>
      <c r="J317" s="2" t="s">
        <v>1777</v>
      </c>
      <c r="K317" s="2" t="s">
        <v>1778</v>
      </c>
    </row>
    <row r="318" spans="1:11" ht="43.5" customHeight="1" x14ac:dyDescent="0.5">
      <c r="A318" s="2" t="s">
        <v>1379</v>
      </c>
      <c r="B318" s="2" t="s">
        <v>3241</v>
      </c>
      <c r="C318" s="2" t="s">
        <v>274</v>
      </c>
      <c r="D318" s="2" t="s">
        <v>1771</v>
      </c>
      <c r="E318" s="2" t="s">
        <v>3242</v>
      </c>
      <c r="F318" s="2" t="s">
        <v>3243</v>
      </c>
      <c r="G318" s="2" t="s">
        <v>3244</v>
      </c>
      <c r="H318" s="2" t="s">
        <v>3245</v>
      </c>
      <c r="I318" s="2" t="s">
        <v>3246</v>
      </c>
      <c r="J318" s="2" t="s">
        <v>1777</v>
      </c>
      <c r="K318" s="2" t="s">
        <v>1778</v>
      </c>
    </row>
    <row r="319" spans="1:11" ht="43.5" customHeight="1" x14ac:dyDescent="0.5">
      <c r="A319" s="2" t="s">
        <v>1384</v>
      </c>
      <c r="B319" s="2" t="s">
        <v>3247</v>
      </c>
      <c r="C319" s="2" t="s">
        <v>274</v>
      </c>
      <c r="D319" s="2" t="s">
        <v>1771</v>
      </c>
      <c r="E319" s="2" t="s">
        <v>3248</v>
      </c>
      <c r="F319" s="2" t="s">
        <v>3249</v>
      </c>
      <c r="G319" s="2" t="s">
        <v>3250</v>
      </c>
      <c r="H319" s="2" t="s">
        <v>3251</v>
      </c>
      <c r="I319" s="2" t="s">
        <v>3252</v>
      </c>
      <c r="J319" s="2" t="s">
        <v>1777</v>
      </c>
      <c r="K319" s="2" t="s">
        <v>1778</v>
      </c>
    </row>
    <row r="320" spans="1:11" ht="43.5" customHeight="1" x14ac:dyDescent="0.5">
      <c r="A320" s="2" t="s">
        <v>1387</v>
      </c>
      <c r="B320" s="2" t="s">
        <v>3253</v>
      </c>
      <c r="C320" s="2" t="s">
        <v>274</v>
      </c>
      <c r="D320" s="2" t="s">
        <v>1771</v>
      </c>
      <c r="E320" s="2" t="s">
        <v>3254</v>
      </c>
      <c r="F320" s="2" t="s">
        <v>3255</v>
      </c>
      <c r="G320" s="2" t="s">
        <v>3256</v>
      </c>
      <c r="H320" s="2" t="s">
        <v>3257</v>
      </c>
      <c r="I320" s="2" t="s">
        <v>3258</v>
      </c>
      <c r="J320" s="2" t="s">
        <v>1777</v>
      </c>
      <c r="K320" s="2" t="s">
        <v>1778</v>
      </c>
    </row>
    <row r="321" spans="1:11" ht="43.5" customHeight="1" x14ac:dyDescent="0.5">
      <c r="A321" s="2" t="s">
        <v>1390</v>
      </c>
      <c r="B321" s="2" t="s">
        <v>3259</v>
      </c>
      <c r="C321" s="2" t="s">
        <v>274</v>
      </c>
      <c r="D321" s="2" t="s">
        <v>1771</v>
      </c>
      <c r="E321" s="2" t="s">
        <v>3260</v>
      </c>
      <c r="F321" s="2" t="s">
        <v>3261</v>
      </c>
      <c r="G321" s="2" t="s">
        <v>3262</v>
      </c>
      <c r="H321" s="2" t="s">
        <v>3263</v>
      </c>
      <c r="I321" s="2" t="s">
        <v>3264</v>
      </c>
      <c r="J321" s="2" t="s">
        <v>1777</v>
      </c>
      <c r="K321" s="2" t="s">
        <v>1778</v>
      </c>
    </row>
    <row r="322" spans="1:11" ht="43.5" customHeight="1" x14ac:dyDescent="0.5">
      <c r="A322" s="2" t="s">
        <v>1393</v>
      </c>
      <c r="B322" s="2" t="s">
        <v>3265</v>
      </c>
      <c r="C322" s="2" t="s">
        <v>274</v>
      </c>
      <c r="D322" s="2" t="s">
        <v>1771</v>
      </c>
      <c r="E322" s="2" t="s">
        <v>3266</v>
      </c>
      <c r="F322" s="2" t="s">
        <v>3267</v>
      </c>
      <c r="G322" s="2" t="s">
        <v>3268</v>
      </c>
      <c r="H322" s="2" t="s">
        <v>3269</v>
      </c>
      <c r="I322" s="2" t="s">
        <v>3270</v>
      </c>
      <c r="J322" s="2" t="s">
        <v>1777</v>
      </c>
      <c r="K322" s="2" t="s">
        <v>1778</v>
      </c>
    </row>
    <row r="323" spans="1:11" ht="43.5" customHeight="1" x14ac:dyDescent="0.5">
      <c r="A323" s="2" t="s">
        <v>1396</v>
      </c>
      <c r="B323" s="2" t="s">
        <v>3271</v>
      </c>
      <c r="C323" s="2" t="s">
        <v>274</v>
      </c>
      <c r="D323" s="2" t="s">
        <v>1771</v>
      </c>
      <c r="E323" s="2" t="s">
        <v>3272</v>
      </c>
      <c r="F323" s="2" t="s">
        <v>3273</v>
      </c>
      <c r="G323" s="2" t="s">
        <v>3274</v>
      </c>
      <c r="H323" s="2" t="s">
        <v>3275</v>
      </c>
      <c r="I323" s="2" t="s">
        <v>3276</v>
      </c>
      <c r="J323" s="2" t="s">
        <v>1777</v>
      </c>
      <c r="K323" s="2" t="s">
        <v>1778</v>
      </c>
    </row>
    <row r="324" spans="1:11" ht="43.5" customHeight="1" x14ac:dyDescent="0.5">
      <c r="A324" s="2" t="s">
        <v>1399</v>
      </c>
      <c r="B324" s="2" t="s">
        <v>3277</v>
      </c>
      <c r="C324" s="2" t="s">
        <v>274</v>
      </c>
      <c r="D324" s="2" t="s">
        <v>1771</v>
      </c>
      <c r="E324" s="2" t="s">
        <v>3278</v>
      </c>
      <c r="F324" s="2" t="s">
        <v>3279</v>
      </c>
      <c r="G324" s="2" t="s">
        <v>3280</v>
      </c>
      <c r="H324" s="2" t="s">
        <v>3281</v>
      </c>
      <c r="I324" s="2" t="s">
        <v>3282</v>
      </c>
      <c r="J324" s="2" t="s">
        <v>1777</v>
      </c>
      <c r="K324" s="2" t="s">
        <v>1778</v>
      </c>
    </row>
    <row r="325" spans="1:11" ht="43.5" customHeight="1" x14ac:dyDescent="0.5">
      <c r="A325" s="2" t="s">
        <v>1404</v>
      </c>
      <c r="B325" s="2" t="s">
        <v>3283</v>
      </c>
      <c r="C325" s="2" t="s">
        <v>274</v>
      </c>
      <c r="D325" s="2" t="s">
        <v>1771</v>
      </c>
      <c r="E325" s="2" t="s">
        <v>3284</v>
      </c>
      <c r="F325" s="2" t="s">
        <v>3285</v>
      </c>
      <c r="G325" s="2" t="s">
        <v>3286</v>
      </c>
      <c r="H325" s="2" t="s">
        <v>3287</v>
      </c>
      <c r="I325" s="2" t="s">
        <v>3288</v>
      </c>
      <c r="J325" s="2" t="s">
        <v>1777</v>
      </c>
      <c r="K325" s="2" t="s">
        <v>1778</v>
      </c>
    </row>
    <row r="326" spans="1:11" ht="43.5" customHeight="1" x14ac:dyDescent="0.5">
      <c r="A326" s="2" t="s">
        <v>1407</v>
      </c>
      <c r="B326" s="2" t="s">
        <v>3289</v>
      </c>
      <c r="C326" s="2" t="s">
        <v>274</v>
      </c>
      <c r="D326" s="2" t="s">
        <v>1771</v>
      </c>
      <c r="E326" s="2" t="s">
        <v>3290</v>
      </c>
      <c r="F326" s="2" t="s">
        <v>3291</v>
      </c>
      <c r="G326" s="2" t="s">
        <v>3292</v>
      </c>
      <c r="H326" s="2" t="s">
        <v>3293</v>
      </c>
      <c r="I326" s="2" t="s">
        <v>3294</v>
      </c>
      <c r="J326" s="2" t="s">
        <v>1777</v>
      </c>
      <c r="K326" s="2" t="s">
        <v>1778</v>
      </c>
    </row>
    <row r="327" spans="1:11" ht="43.5" customHeight="1" x14ac:dyDescent="0.5">
      <c r="A327" s="2" t="s">
        <v>1410</v>
      </c>
      <c r="B327" s="2" t="s">
        <v>3295</v>
      </c>
      <c r="C327" s="2" t="s">
        <v>274</v>
      </c>
      <c r="D327" s="2" t="s">
        <v>1771</v>
      </c>
      <c r="E327" s="2" t="s">
        <v>3296</v>
      </c>
      <c r="F327" s="2" t="s">
        <v>3297</v>
      </c>
      <c r="G327" s="2" t="s">
        <v>3298</v>
      </c>
      <c r="H327" s="2" t="s">
        <v>3299</v>
      </c>
      <c r="I327" s="2" t="s">
        <v>3300</v>
      </c>
      <c r="J327" s="2" t="s">
        <v>1777</v>
      </c>
      <c r="K327" s="2" t="s">
        <v>1778</v>
      </c>
    </row>
    <row r="328" spans="1:11" ht="43.5" customHeight="1" x14ac:dyDescent="0.5">
      <c r="A328" s="2" t="s">
        <v>1415</v>
      </c>
      <c r="B328" s="2" t="s">
        <v>3301</v>
      </c>
      <c r="C328" s="2" t="s">
        <v>274</v>
      </c>
      <c r="D328" s="2" t="s">
        <v>1771</v>
      </c>
      <c r="E328" s="2" t="s">
        <v>3302</v>
      </c>
      <c r="F328" s="2" t="s">
        <v>3303</v>
      </c>
      <c r="G328" s="2" t="s">
        <v>3304</v>
      </c>
      <c r="H328" s="2" t="s">
        <v>3305</v>
      </c>
      <c r="I328" s="2" t="s">
        <v>3306</v>
      </c>
      <c r="J328" s="2" t="s">
        <v>1777</v>
      </c>
      <c r="K328" s="2" t="s">
        <v>1778</v>
      </c>
    </row>
    <row r="329" spans="1:11" ht="43.5" customHeight="1" x14ac:dyDescent="0.5">
      <c r="A329" s="2" t="s">
        <v>1420</v>
      </c>
      <c r="B329" s="2" t="s">
        <v>3307</v>
      </c>
      <c r="C329" s="2" t="s">
        <v>274</v>
      </c>
      <c r="D329" s="2" t="s">
        <v>1771</v>
      </c>
      <c r="E329" s="2" t="s">
        <v>3308</v>
      </c>
      <c r="F329" s="2" t="s">
        <v>3309</v>
      </c>
      <c r="G329" s="2" t="s">
        <v>3310</v>
      </c>
      <c r="H329" s="2" t="s">
        <v>3311</v>
      </c>
      <c r="I329" s="2" t="s">
        <v>3312</v>
      </c>
      <c r="J329" s="2" t="s">
        <v>1777</v>
      </c>
      <c r="K329" s="2" t="s">
        <v>1778</v>
      </c>
    </row>
    <row r="330" spans="1:11" ht="43.5" customHeight="1" x14ac:dyDescent="0.5">
      <c r="A330" s="2" t="s">
        <v>1425</v>
      </c>
      <c r="B330" s="2" t="s">
        <v>3313</v>
      </c>
      <c r="C330" s="2" t="s">
        <v>274</v>
      </c>
      <c r="D330" s="2" t="s">
        <v>1771</v>
      </c>
      <c r="E330" s="2" t="s">
        <v>3314</v>
      </c>
      <c r="F330" s="2" t="s">
        <v>3315</v>
      </c>
      <c r="G330" s="2" t="s">
        <v>1788</v>
      </c>
      <c r="H330" s="2" t="s">
        <v>1789</v>
      </c>
      <c r="I330" s="2" t="s">
        <v>3316</v>
      </c>
      <c r="J330" s="2" t="s">
        <v>1777</v>
      </c>
      <c r="K330" s="2" t="s">
        <v>1778</v>
      </c>
    </row>
    <row r="331" spans="1:11" ht="43.5" customHeight="1" x14ac:dyDescent="0.5">
      <c r="A331" s="2" t="s">
        <v>1431</v>
      </c>
      <c r="B331" s="2" t="s">
        <v>3317</v>
      </c>
      <c r="C331" s="2" t="s">
        <v>274</v>
      </c>
      <c r="D331" s="2" t="s">
        <v>1771</v>
      </c>
      <c r="E331" s="2" t="s">
        <v>3318</v>
      </c>
      <c r="F331" s="2" t="s">
        <v>3319</v>
      </c>
      <c r="G331" s="2" t="s">
        <v>1788</v>
      </c>
      <c r="H331" s="2" t="s">
        <v>1789</v>
      </c>
      <c r="I331" s="2" t="s">
        <v>3320</v>
      </c>
      <c r="J331" s="2" t="s">
        <v>1777</v>
      </c>
      <c r="K331" s="2" t="s">
        <v>1778</v>
      </c>
    </row>
    <row r="332" spans="1:11" ht="43.5" customHeight="1" x14ac:dyDescent="0.5">
      <c r="A332" s="2" t="s">
        <v>1434</v>
      </c>
      <c r="B332" s="2" t="s">
        <v>3321</v>
      </c>
      <c r="C332" s="2" t="s">
        <v>274</v>
      </c>
      <c r="D332" s="2" t="s">
        <v>1771</v>
      </c>
      <c r="E332" s="2" t="s">
        <v>3322</v>
      </c>
      <c r="F332" s="2" t="s">
        <v>3323</v>
      </c>
      <c r="G332" s="2" t="s">
        <v>1788</v>
      </c>
      <c r="H332" s="2" t="s">
        <v>1789</v>
      </c>
      <c r="I332" s="2" t="s">
        <v>3324</v>
      </c>
      <c r="J332" s="2" t="s">
        <v>1777</v>
      </c>
      <c r="K332" s="2" t="s">
        <v>1778</v>
      </c>
    </row>
    <row r="333" spans="1:11" ht="43.5" customHeight="1" x14ac:dyDescent="0.5">
      <c r="A333" s="2" t="s">
        <v>1437</v>
      </c>
      <c r="B333" s="2" t="s">
        <v>3325</v>
      </c>
      <c r="C333" s="2" t="s">
        <v>274</v>
      </c>
      <c r="D333" s="2" t="s">
        <v>1771</v>
      </c>
      <c r="E333" s="2" t="s">
        <v>3326</v>
      </c>
      <c r="F333" s="2" t="s">
        <v>3327</v>
      </c>
      <c r="G333" s="2" t="s">
        <v>1788</v>
      </c>
      <c r="H333" s="2" t="s">
        <v>1789</v>
      </c>
      <c r="I333" s="2" t="s">
        <v>3328</v>
      </c>
      <c r="J333" s="2" t="s">
        <v>1777</v>
      </c>
      <c r="K333" s="2" t="s">
        <v>1778</v>
      </c>
    </row>
    <row r="334" spans="1:11" ht="43.5" customHeight="1" x14ac:dyDescent="0.5">
      <c r="A334" s="2" t="s">
        <v>1440</v>
      </c>
      <c r="B334" s="2" t="s">
        <v>3329</v>
      </c>
      <c r="C334" s="2" t="s">
        <v>274</v>
      </c>
      <c r="D334" s="2" t="s">
        <v>1771</v>
      </c>
      <c r="E334" s="2" t="s">
        <v>3330</v>
      </c>
      <c r="F334" s="2" t="s">
        <v>3331</v>
      </c>
      <c r="G334" s="2" t="s">
        <v>3332</v>
      </c>
      <c r="H334" s="2" t="s">
        <v>3333</v>
      </c>
      <c r="I334" s="2" t="s">
        <v>3334</v>
      </c>
      <c r="J334" s="2" t="s">
        <v>1777</v>
      </c>
      <c r="K334" s="2" t="s">
        <v>1778</v>
      </c>
    </row>
    <row r="335" spans="1:11" ht="43.5" customHeight="1" x14ac:dyDescent="0.5">
      <c r="A335" s="2" t="s">
        <v>1443</v>
      </c>
      <c r="B335" s="2" t="s">
        <v>3335</v>
      </c>
      <c r="C335" s="2" t="s">
        <v>274</v>
      </c>
      <c r="D335" s="2" t="s">
        <v>1771</v>
      </c>
      <c r="E335" s="2" t="s">
        <v>3336</v>
      </c>
      <c r="F335" s="2" t="s">
        <v>3337</v>
      </c>
      <c r="G335" s="2" t="s">
        <v>1788</v>
      </c>
      <c r="H335" s="2" t="s">
        <v>1789</v>
      </c>
      <c r="I335" s="2" t="s">
        <v>3338</v>
      </c>
      <c r="J335" s="2" t="s">
        <v>1777</v>
      </c>
      <c r="K335" s="2" t="s">
        <v>1778</v>
      </c>
    </row>
    <row r="336" spans="1:11" ht="43.5" customHeight="1" x14ac:dyDescent="0.5">
      <c r="A336" s="2" t="s">
        <v>1446</v>
      </c>
      <c r="B336" s="2" t="s">
        <v>3339</v>
      </c>
      <c r="C336" s="2" t="s">
        <v>274</v>
      </c>
      <c r="D336" s="2" t="s">
        <v>1771</v>
      </c>
      <c r="E336" s="2" t="s">
        <v>3340</v>
      </c>
      <c r="F336" s="2" t="s">
        <v>3341</v>
      </c>
      <c r="G336" s="2" t="s">
        <v>3342</v>
      </c>
      <c r="H336" s="2" t="s">
        <v>3343</v>
      </c>
      <c r="I336" s="2" t="s">
        <v>3344</v>
      </c>
      <c r="J336" s="2" t="s">
        <v>1777</v>
      </c>
      <c r="K336" s="2" t="s">
        <v>1778</v>
      </c>
    </row>
    <row r="337" spans="1:11" ht="43.5" customHeight="1" x14ac:dyDescent="0.5">
      <c r="A337" s="2" t="s">
        <v>1449</v>
      </c>
      <c r="B337" s="2" t="s">
        <v>3345</v>
      </c>
      <c r="C337" s="2" t="s">
        <v>274</v>
      </c>
      <c r="D337" s="2" t="s">
        <v>1771</v>
      </c>
      <c r="E337" s="2" t="s">
        <v>3346</v>
      </c>
      <c r="F337" s="2" t="s">
        <v>3347</v>
      </c>
      <c r="G337" s="2" t="s">
        <v>1788</v>
      </c>
      <c r="H337" s="2" t="s">
        <v>1789</v>
      </c>
      <c r="I337" s="2" t="s">
        <v>3348</v>
      </c>
      <c r="J337" s="2" t="s">
        <v>1777</v>
      </c>
      <c r="K337" s="2" t="s">
        <v>1778</v>
      </c>
    </row>
    <row r="338" spans="1:11" ht="43.5" customHeight="1" x14ac:dyDescent="0.5">
      <c r="A338" s="2" t="s">
        <v>1455</v>
      </c>
      <c r="B338" s="2" t="s">
        <v>3349</v>
      </c>
      <c r="C338" s="2" t="s">
        <v>274</v>
      </c>
      <c r="D338" s="2" t="s">
        <v>1771</v>
      </c>
      <c r="E338" s="2" t="s">
        <v>3350</v>
      </c>
      <c r="F338" s="2" t="s">
        <v>3351</v>
      </c>
      <c r="G338" s="2" t="s">
        <v>1788</v>
      </c>
      <c r="H338" s="2" t="s">
        <v>1789</v>
      </c>
      <c r="I338" s="2" t="s">
        <v>3352</v>
      </c>
      <c r="J338" s="2" t="s">
        <v>1777</v>
      </c>
      <c r="K338" s="2" t="s">
        <v>1778</v>
      </c>
    </row>
    <row r="339" spans="1:11" ht="43.5" customHeight="1" x14ac:dyDescent="0.5">
      <c r="A339" s="2" t="s">
        <v>1458</v>
      </c>
      <c r="B339" s="2" t="s">
        <v>3353</v>
      </c>
      <c r="C339" s="2" t="s">
        <v>274</v>
      </c>
      <c r="D339" s="2" t="s">
        <v>1771</v>
      </c>
      <c r="E339" s="2" t="s">
        <v>3354</v>
      </c>
      <c r="F339" s="2" t="s">
        <v>3355</v>
      </c>
      <c r="G339" s="2" t="s">
        <v>1788</v>
      </c>
      <c r="H339" s="2" t="s">
        <v>1789</v>
      </c>
      <c r="I339" s="2" t="s">
        <v>3356</v>
      </c>
      <c r="J339" s="2" t="s">
        <v>1777</v>
      </c>
      <c r="K339" s="2" t="s">
        <v>1778</v>
      </c>
    </row>
    <row r="340" spans="1:11" ht="43.5" customHeight="1" x14ac:dyDescent="0.5">
      <c r="A340" s="2" t="s">
        <v>1461</v>
      </c>
      <c r="B340" s="2" t="s">
        <v>3357</v>
      </c>
      <c r="C340" s="2" t="s">
        <v>274</v>
      </c>
      <c r="D340" s="2" t="s">
        <v>1771</v>
      </c>
      <c r="E340" s="2" t="s">
        <v>3358</v>
      </c>
      <c r="F340" s="2" t="s">
        <v>3359</v>
      </c>
      <c r="G340" s="2" t="s">
        <v>1788</v>
      </c>
      <c r="H340" s="2" t="s">
        <v>1789</v>
      </c>
      <c r="I340" s="2" t="s">
        <v>3360</v>
      </c>
      <c r="J340" s="2" t="s">
        <v>1777</v>
      </c>
      <c r="K340" s="2" t="s">
        <v>1778</v>
      </c>
    </row>
    <row r="341" spans="1:11" ht="43.5" customHeight="1" x14ac:dyDescent="0.5">
      <c r="A341" s="2" t="s">
        <v>1469</v>
      </c>
      <c r="B341" s="2" t="s">
        <v>3361</v>
      </c>
      <c r="C341" s="2" t="s">
        <v>297</v>
      </c>
      <c r="D341" s="2" t="s">
        <v>1771</v>
      </c>
      <c r="E341" s="2" t="s">
        <v>3362</v>
      </c>
      <c r="F341" s="2" t="s">
        <v>3363</v>
      </c>
      <c r="G341" s="2" t="s">
        <v>1788</v>
      </c>
      <c r="H341" s="2" t="s">
        <v>1789</v>
      </c>
      <c r="I341" s="2" t="s">
        <v>3364</v>
      </c>
      <c r="J341" s="2" t="s">
        <v>1777</v>
      </c>
      <c r="K341" s="2" t="s">
        <v>1778</v>
      </c>
    </row>
    <row r="342" spans="1:11" ht="43.5" customHeight="1" x14ac:dyDescent="0.5">
      <c r="A342" s="2" t="s">
        <v>1477</v>
      </c>
      <c r="B342" s="2" t="s">
        <v>3365</v>
      </c>
      <c r="C342" s="2" t="s">
        <v>297</v>
      </c>
      <c r="D342" s="2" t="s">
        <v>1771</v>
      </c>
      <c r="E342" s="2" t="s">
        <v>3366</v>
      </c>
      <c r="F342" s="2" t="s">
        <v>3367</v>
      </c>
      <c r="G342" s="2" t="s">
        <v>1788</v>
      </c>
      <c r="H342" s="2" t="s">
        <v>1789</v>
      </c>
      <c r="I342" s="2" t="s">
        <v>3368</v>
      </c>
      <c r="J342" s="2" t="s">
        <v>1777</v>
      </c>
      <c r="K342" s="2" t="s">
        <v>1778</v>
      </c>
    </row>
    <row r="343" spans="1:11" ht="43.5" customHeight="1" x14ac:dyDescent="0.5">
      <c r="A343" s="2" t="s">
        <v>1485</v>
      </c>
      <c r="B343" s="2" t="s">
        <v>3369</v>
      </c>
      <c r="C343" s="2" t="s">
        <v>297</v>
      </c>
      <c r="D343" s="2" t="s">
        <v>1771</v>
      </c>
      <c r="E343" s="2" t="s">
        <v>3370</v>
      </c>
      <c r="F343" s="2" t="s">
        <v>3371</v>
      </c>
      <c r="G343" s="2" t="s">
        <v>1788</v>
      </c>
      <c r="H343" s="2" t="s">
        <v>1789</v>
      </c>
      <c r="I343" s="2" t="s">
        <v>3372</v>
      </c>
      <c r="J343" s="2" t="s">
        <v>1777</v>
      </c>
      <c r="K343" s="2" t="s">
        <v>1778</v>
      </c>
    </row>
    <row r="344" spans="1:11" ht="43.5" customHeight="1" x14ac:dyDescent="0.5">
      <c r="A344" s="2" t="s">
        <v>1493</v>
      </c>
      <c r="B344" s="2" t="s">
        <v>3373</v>
      </c>
      <c r="C344" s="2" t="s">
        <v>297</v>
      </c>
      <c r="D344" s="2" t="s">
        <v>1771</v>
      </c>
      <c r="E344" s="2" t="s">
        <v>3374</v>
      </c>
      <c r="F344" s="2" t="s">
        <v>3375</v>
      </c>
      <c r="G344" s="2" t="s">
        <v>1788</v>
      </c>
      <c r="H344" s="2" t="s">
        <v>1789</v>
      </c>
      <c r="I344" s="2" t="s">
        <v>3376</v>
      </c>
      <c r="J344" s="2" t="s">
        <v>1777</v>
      </c>
      <c r="K344" s="2" t="s">
        <v>1778</v>
      </c>
    </row>
    <row r="345" spans="1:11" ht="43.5" customHeight="1" x14ac:dyDescent="0.5">
      <c r="A345" s="2" t="s">
        <v>1502</v>
      </c>
      <c r="B345" s="2" t="s">
        <v>3377</v>
      </c>
      <c r="C345" s="2" t="s">
        <v>297</v>
      </c>
      <c r="D345" s="2" t="s">
        <v>1771</v>
      </c>
      <c r="E345" s="2" t="s">
        <v>3378</v>
      </c>
      <c r="F345" s="2" t="s">
        <v>3379</v>
      </c>
      <c r="G345" s="2" t="s">
        <v>1788</v>
      </c>
      <c r="H345" s="2" t="s">
        <v>1789</v>
      </c>
      <c r="I345" s="2" t="s">
        <v>3380</v>
      </c>
      <c r="J345" s="2" t="s">
        <v>1777</v>
      </c>
      <c r="K345" s="2" t="s">
        <v>1778</v>
      </c>
    </row>
    <row r="346" spans="1:11" ht="43.5" customHeight="1" x14ac:dyDescent="0.5">
      <c r="A346" s="2" t="s">
        <v>1510</v>
      </c>
      <c r="B346" s="2" t="s">
        <v>3381</v>
      </c>
      <c r="C346" s="2" t="s">
        <v>274</v>
      </c>
      <c r="D346" s="2" t="s">
        <v>1771</v>
      </c>
      <c r="E346" s="2" t="s">
        <v>3382</v>
      </c>
      <c r="F346" s="2" t="s">
        <v>3383</v>
      </c>
      <c r="G346" s="2" t="s">
        <v>1788</v>
      </c>
      <c r="H346" s="2" t="s">
        <v>1789</v>
      </c>
      <c r="I346" s="2" t="s">
        <v>3384</v>
      </c>
      <c r="J346" s="2" t="s">
        <v>1777</v>
      </c>
      <c r="K346" s="2" t="s">
        <v>1778</v>
      </c>
    </row>
    <row r="347" spans="1:11" ht="43.5" customHeight="1" x14ac:dyDescent="0.5">
      <c r="A347" s="2" t="s">
        <v>1517</v>
      </c>
      <c r="B347" s="2" t="s">
        <v>3385</v>
      </c>
      <c r="C347" s="2" t="s">
        <v>297</v>
      </c>
      <c r="D347" s="2" t="s">
        <v>1771</v>
      </c>
      <c r="E347" s="2" t="s">
        <v>3386</v>
      </c>
      <c r="F347" s="2" t="s">
        <v>3387</v>
      </c>
      <c r="G347" s="2" t="s">
        <v>1788</v>
      </c>
      <c r="H347" s="2" t="s">
        <v>1789</v>
      </c>
      <c r="I347" s="2" t="s">
        <v>3388</v>
      </c>
      <c r="J347" s="2" t="s">
        <v>1777</v>
      </c>
      <c r="K347" s="2" t="s">
        <v>1778</v>
      </c>
    </row>
    <row r="348" spans="1:11" ht="43.5" customHeight="1" x14ac:dyDescent="0.5">
      <c r="A348" s="2" t="s">
        <v>1526</v>
      </c>
      <c r="B348" s="2" t="s">
        <v>3389</v>
      </c>
      <c r="C348" s="2" t="s">
        <v>297</v>
      </c>
      <c r="D348" s="2" t="s">
        <v>1771</v>
      </c>
      <c r="E348" s="2" t="s">
        <v>3390</v>
      </c>
      <c r="F348" s="2" t="s">
        <v>3391</v>
      </c>
      <c r="G348" s="2" t="s">
        <v>1788</v>
      </c>
      <c r="H348" s="2" t="s">
        <v>1789</v>
      </c>
      <c r="I348" s="2" t="s">
        <v>3392</v>
      </c>
      <c r="J348" s="2" t="s">
        <v>1777</v>
      </c>
      <c r="K348" s="2" t="s">
        <v>1778</v>
      </c>
    </row>
    <row r="349" spans="1:11" ht="43.5" customHeight="1" x14ac:dyDescent="0.5">
      <c r="A349" s="2" t="s">
        <v>1533</v>
      </c>
      <c r="B349" s="2" t="s">
        <v>3393</v>
      </c>
      <c r="C349" s="2" t="s">
        <v>274</v>
      </c>
      <c r="D349" s="2" t="s">
        <v>1771</v>
      </c>
      <c r="E349" s="2" t="s">
        <v>3394</v>
      </c>
      <c r="F349" s="2" t="s">
        <v>3395</v>
      </c>
      <c r="G349" s="2" t="s">
        <v>1788</v>
      </c>
      <c r="H349" s="2" t="s">
        <v>1789</v>
      </c>
      <c r="I349" s="2" t="s">
        <v>3396</v>
      </c>
      <c r="J349" s="2" t="s">
        <v>1777</v>
      </c>
      <c r="K349" s="2" t="s">
        <v>1778</v>
      </c>
    </row>
    <row r="350" spans="1:11" ht="43.5" customHeight="1" x14ac:dyDescent="0.5">
      <c r="A350" s="2" t="s">
        <v>1538</v>
      </c>
      <c r="B350" s="2" t="s">
        <v>3397</v>
      </c>
      <c r="C350" s="2" t="s">
        <v>274</v>
      </c>
      <c r="D350" s="2" t="s">
        <v>1771</v>
      </c>
      <c r="E350" s="2" t="s">
        <v>3398</v>
      </c>
      <c r="F350" s="2" t="s">
        <v>3399</v>
      </c>
      <c r="G350" s="2" t="s">
        <v>1788</v>
      </c>
      <c r="H350" s="2" t="s">
        <v>1789</v>
      </c>
      <c r="I350" s="2" t="s">
        <v>3400</v>
      </c>
      <c r="J350" s="2" t="s">
        <v>1777</v>
      </c>
      <c r="K350" s="2" t="s">
        <v>1778</v>
      </c>
    </row>
    <row r="351" spans="1:11" ht="43.5" customHeight="1" x14ac:dyDescent="0.5">
      <c r="A351" s="2" t="s">
        <v>1542</v>
      </c>
      <c r="B351" s="2" t="s">
        <v>3401</v>
      </c>
      <c r="C351" s="2" t="s">
        <v>274</v>
      </c>
      <c r="D351" s="2" t="s">
        <v>1771</v>
      </c>
      <c r="E351" s="2" t="s">
        <v>3402</v>
      </c>
      <c r="F351" s="2" t="s">
        <v>3403</v>
      </c>
      <c r="G351" s="2" t="s">
        <v>3404</v>
      </c>
      <c r="H351" s="2" t="s">
        <v>3405</v>
      </c>
      <c r="I351" s="2" t="s">
        <v>3406</v>
      </c>
      <c r="J351" s="2" t="s">
        <v>1777</v>
      </c>
      <c r="K351" s="2" t="s">
        <v>1778</v>
      </c>
    </row>
    <row r="352" spans="1:11" ht="43.5" customHeight="1" x14ac:dyDescent="0.5">
      <c r="A352" s="2" t="s">
        <v>1550</v>
      </c>
      <c r="B352" s="2" t="s">
        <v>3407</v>
      </c>
      <c r="C352" s="2" t="s">
        <v>297</v>
      </c>
      <c r="D352" s="2" t="s">
        <v>1771</v>
      </c>
      <c r="E352" s="2" t="s">
        <v>3408</v>
      </c>
      <c r="F352" s="2" t="s">
        <v>3409</v>
      </c>
      <c r="G352" s="2" t="s">
        <v>1788</v>
      </c>
      <c r="H352" s="2" t="s">
        <v>1789</v>
      </c>
      <c r="I352" s="2" t="s">
        <v>3410</v>
      </c>
      <c r="J352" s="2" t="s">
        <v>1777</v>
      </c>
      <c r="K352" s="2" t="s">
        <v>1778</v>
      </c>
    </row>
    <row r="353" spans="1:11" ht="43.5" customHeight="1" x14ac:dyDescent="0.5">
      <c r="A353" s="2" t="s">
        <v>1557</v>
      </c>
      <c r="B353" s="2" t="s">
        <v>3411</v>
      </c>
      <c r="C353" s="2" t="s">
        <v>274</v>
      </c>
      <c r="D353" s="2" t="s">
        <v>1771</v>
      </c>
      <c r="E353" s="2" t="s">
        <v>3412</v>
      </c>
      <c r="F353" s="2" t="s">
        <v>3413</v>
      </c>
      <c r="G353" s="2" t="s">
        <v>1788</v>
      </c>
      <c r="H353" s="2" t="s">
        <v>1789</v>
      </c>
      <c r="I353" s="2" t="s">
        <v>3414</v>
      </c>
      <c r="J353" s="2" t="s">
        <v>1777</v>
      </c>
      <c r="K353" s="2" t="s">
        <v>1778</v>
      </c>
    </row>
    <row r="354" spans="1:11" ht="43.5" customHeight="1" x14ac:dyDescent="0.5">
      <c r="A354" s="2" t="s">
        <v>1565</v>
      </c>
      <c r="B354" s="2" t="s">
        <v>3415</v>
      </c>
      <c r="C354" s="2" t="s">
        <v>297</v>
      </c>
      <c r="D354" s="2" t="s">
        <v>1771</v>
      </c>
      <c r="E354" s="2" t="s">
        <v>3416</v>
      </c>
      <c r="F354" s="2" t="s">
        <v>3417</v>
      </c>
      <c r="G354" s="2" t="s">
        <v>3418</v>
      </c>
      <c r="H354" s="2" t="s">
        <v>3419</v>
      </c>
      <c r="I354" s="2" t="s">
        <v>3420</v>
      </c>
      <c r="J354" s="2" t="s">
        <v>1777</v>
      </c>
      <c r="K354" s="2" t="s">
        <v>1778</v>
      </c>
    </row>
    <row r="355" spans="1:11" ht="43.5" customHeight="1" x14ac:dyDescent="0.5">
      <c r="A355" s="2" t="s">
        <v>1571</v>
      </c>
      <c r="B355" s="2" t="s">
        <v>3421</v>
      </c>
      <c r="C355" s="2" t="s">
        <v>297</v>
      </c>
      <c r="D355" s="2" t="s">
        <v>1771</v>
      </c>
      <c r="E355" s="2" t="s">
        <v>3422</v>
      </c>
      <c r="F355" s="2" t="s">
        <v>3423</v>
      </c>
      <c r="G355" s="2" t="s">
        <v>1788</v>
      </c>
      <c r="H355" s="2" t="s">
        <v>1789</v>
      </c>
      <c r="I355" s="2" t="s">
        <v>3424</v>
      </c>
      <c r="J355" s="2" t="s">
        <v>1777</v>
      </c>
      <c r="K355" s="2" t="s">
        <v>1778</v>
      </c>
    </row>
    <row r="356" spans="1:11" ht="43.5" customHeight="1" x14ac:dyDescent="0.5">
      <c r="A356" s="2" t="s">
        <v>1578</v>
      </c>
      <c r="B356" s="2" t="s">
        <v>3425</v>
      </c>
      <c r="C356" s="2" t="s">
        <v>297</v>
      </c>
      <c r="D356" s="2" t="s">
        <v>1771</v>
      </c>
      <c r="E356" s="2" t="s">
        <v>3426</v>
      </c>
      <c r="F356" s="2" t="s">
        <v>3427</v>
      </c>
      <c r="G356" s="2" t="s">
        <v>3428</v>
      </c>
      <c r="H356" s="2" t="s">
        <v>3429</v>
      </c>
      <c r="I356" s="2" t="s">
        <v>3430</v>
      </c>
      <c r="J356" s="2" t="s">
        <v>1777</v>
      </c>
      <c r="K356" s="2" t="s">
        <v>1778</v>
      </c>
    </row>
    <row r="357" spans="1:11" ht="43.5" customHeight="1" x14ac:dyDescent="0.5">
      <c r="A357" s="2" t="s">
        <v>1584</v>
      </c>
      <c r="B357" s="2" t="s">
        <v>3431</v>
      </c>
      <c r="C357" s="2" t="s">
        <v>274</v>
      </c>
      <c r="D357" s="2" t="s">
        <v>1771</v>
      </c>
      <c r="E357" s="2" t="s">
        <v>3432</v>
      </c>
      <c r="F357" s="2" t="s">
        <v>3433</v>
      </c>
      <c r="G357" s="2" t="s">
        <v>3434</v>
      </c>
      <c r="H357" s="2" t="s">
        <v>3435</v>
      </c>
      <c r="I357" s="2" t="s">
        <v>3436</v>
      </c>
      <c r="J357" s="2" t="s">
        <v>1777</v>
      </c>
      <c r="K357" s="2" t="s">
        <v>1778</v>
      </c>
    </row>
    <row r="358" spans="1:11" ht="43.5" customHeight="1" x14ac:dyDescent="0.5">
      <c r="A358" s="2" t="s">
        <v>1589</v>
      </c>
      <c r="B358" s="2" t="s">
        <v>3437</v>
      </c>
      <c r="C358" s="2" t="s">
        <v>1598</v>
      </c>
      <c r="D358" s="2" t="s">
        <v>1771</v>
      </c>
      <c r="E358" s="2" t="s">
        <v>3438</v>
      </c>
      <c r="F358" s="2" t="s">
        <v>3438</v>
      </c>
      <c r="G358" s="2" t="s">
        <v>3438</v>
      </c>
      <c r="H358" s="2" t="s">
        <v>3438</v>
      </c>
      <c r="I358" s="2" t="s">
        <v>3438</v>
      </c>
      <c r="J358" s="2" t="s">
        <v>3439</v>
      </c>
      <c r="K358" s="2" t="s">
        <v>3440</v>
      </c>
    </row>
    <row r="359" spans="1:11" ht="43.5" customHeight="1" x14ac:dyDescent="0.5">
      <c r="A359" s="2" t="s">
        <v>1601</v>
      </c>
      <c r="B359" s="2" t="s">
        <v>3441</v>
      </c>
      <c r="C359" s="2" t="s">
        <v>1598</v>
      </c>
      <c r="D359" s="2" t="s">
        <v>1771</v>
      </c>
      <c r="E359" s="2" t="s">
        <v>3438</v>
      </c>
      <c r="F359" s="2" t="s">
        <v>3438</v>
      </c>
      <c r="G359" s="2" t="s">
        <v>3438</v>
      </c>
      <c r="H359" s="2" t="s">
        <v>3438</v>
      </c>
      <c r="I359" s="2" t="s">
        <v>3438</v>
      </c>
      <c r="J359" s="2" t="s">
        <v>3439</v>
      </c>
      <c r="K359" s="2" t="s">
        <v>3440</v>
      </c>
    </row>
    <row r="360" spans="1:11" ht="43.5" customHeight="1" x14ac:dyDescent="0.5">
      <c r="A360" s="2" t="s">
        <v>1607</v>
      </c>
      <c r="B360" s="2" t="s">
        <v>3442</v>
      </c>
      <c r="C360" s="2" t="s">
        <v>274</v>
      </c>
      <c r="D360" s="2" t="s">
        <v>1771</v>
      </c>
      <c r="E360" s="2" t="s">
        <v>3443</v>
      </c>
      <c r="F360" s="2" t="s">
        <v>3444</v>
      </c>
      <c r="G360" s="2" t="s">
        <v>1788</v>
      </c>
      <c r="H360" s="2" t="s">
        <v>1789</v>
      </c>
      <c r="I360" s="2" t="s">
        <v>3445</v>
      </c>
      <c r="J360" s="2" t="s">
        <v>1777</v>
      </c>
      <c r="K360" s="2" t="s">
        <v>1778</v>
      </c>
    </row>
    <row r="361" spans="1:11" ht="43.5" customHeight="1" x14ac:dyDescent="0.5">
      <c r="A361" s="2" t="s">
        <v>1618</v>
      </c>
      <c r="B361" s="2" t="s">
        <v>3446</v>
      </c>
      <c r="C361" s="2" t="s">
        <v>297</v>
      </c>
      <c r="D361" s="2" t="s">
        <v>1771</v>
      </c>
      <c r="E361" s="2" t="s">
        <v>3447</v>
      </c>
      <c r="F361" s="2" t="s">
        <v>3448</v>
      </c>
      <c r="G361" s="2" t="s">
        <v>1788</v>
      </c>
      <c r="H361" s="2" t="s">
        <v>1789</v>
      </c>
      <c r="I361" s="2" t="s">
        <v>3449</v>
      </c>
      <c r="J361" s="2" t="s">
        <v>1777</v>
      </c>
      <c r="K361" s="2" t="s">
        <v>1778</v>
      </c>
    </row>
    <row r="362" spans="1:11" ht="43.5" customHeight="1" x14ac:dyDescent="0.5">
      <c r="A362" s="2" t="s">
        <v>1628</v>
      </c>
      <c r="B362" s="2" t="s">
        <v>3450</v>
      </c>
      <c r="C362" s="2" t="s">
        <v>274</v>
      </c>
      <c r="D362" s="2" t="s">
        <v>1771</v>
      </c>
      <c r="E362" s="2" t="s">
        <v>3451</v>
      </c>
      <c r="F362" s="2" t="s">
        <v>3452</v>
      </c>
      <c r="G362" s="2" t="s">
        <v>1788</v>
      </c>
      <c r="H362" s="2" t="s">
        <v>1789</v>
      </c>
      <c r="I362" s="2" t="s">
        <v>3453</v>
      </c>
      <c r="J362" s="2" t="s">
        <v>1777</v>
      </c>
      <c r="K362" s="2" t="s">
        <v>1778</v>
      </c>
    </row>
    <row r="363" spans="1:11" ht="43.5" customHeight="1" x14ac:dyDescent="0.5">
      <c r="A363" s="2" t="s">
        <v>1633</v>
      </c>
      <c r="B363" s="2" t="s">
        <v>3454</v>
      </c>
      <c r="C363" s="2" t="s">
        <v>297</v>
      </c>
      <c r="D363" s="2" t="s">
        <v>1771</v>
      </c>
      <c r="E363" s="2" t="s">
        <v>3455</v>
      </c>
      <c r="F363" s="2" t="s">
        <v>3456</v>
      </c>
      <c r="G363" s="2" t="s">
        <v>1788</v>
      </c>
      <c r="H363" s="2" t="s">
        <v>1789</v>
      </c>
      <c r="I363" s="2" t="s">
        <v>3457</v>
      </c>
      <c r="J363" s="2" t="s">
        <v>1777</v>
      </c>
      <c r="K363" s="2" t="s">
        <v>1778</v>
      </c>
    </row>
  </sheetData>
  <autoFilter ref="A1:K363" xr:uid="{00000000-0009-0000-0000-00000A000000}"/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6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03125" defaultRowHeight="14.35" x14ac:dyDescent="0.5"/>
  <cols>
    <col min="1" max="1" width="31" customWidth="1"/>
    <col min="2" max="2" width="18" customWidth="1"/>
    <col min="3" max="3" width="44" customWidth="1"/>
    <col min="4" max="4" width="60" customWidth="1"/>
    <col min="5" max="5" width="18" customWidth="1"/>
  </cols>
  <sheetData>
    <row r="1" spans="1:5" ht="30" customHeight="1" x14ac:dyDescent="0.5">
      <c r="A1" s="1" t="s">
        <v>3458</v>
      </c>
      <c r="B1" s="1" t="s">
        <v>3459</v>
      </c>
      <c r="C1" s="1" t="s">
        <v>3460</v>
      </c>
      <c r="D1" s="1" t="s">
        <v>3461</v>
      </c>
      <c r="E1" s="1" t="s">
        <v>6</v>
      </c>
    </row>
    <row r="2" spans="1:5" ht="33.75" customHeight="1" x14ac:dyDescent="0.5">
      <c r="A2" s="2" t="s">
        <v>3462</v>
      </c>
      <c r="B2" s="2" t="s">
        <v>3463</v>
      </c>
      <c r="C2" s="2" t="s">
        <v>3464</v>
      </c>
      <c r="D2" s="2" t="s">
        <v>3465</v>
      </c>
      <c r="E2" s="2" t="s">
        <v>3466</v>
      </c>
    </row>
    <row r="3" spans="1:5" ht="33.75" customHeight="1" x14ac:dyDescent="0.5">
      <c r="A3" s="2" t="s">
        <v>3467</v>
      </c>
      <c r="B3" s="2" t="s">
        <v>3468</v>
      </c>
      <c r="C3" s="2" t="s">
        <v>3469</v>
      </c>
      <c r="D3" s="2" t="s">
        <v>3465</v>
      </c>
      <c r="E3" s="2" t="s">
        <v>3466</v>
      </c>
    </row>
    <row r="4" spans="1:5" ht="33.75" customHeight="1" x14ac:dyDescent="0.5">
      <c r="A4" s="2" t="s">
        <v>3470</v>
      </c>
      <c r="B4" s="2" t="s">
        <v>3471</v>
      </c>
      <c r="C4" s="2" t="s">
        <v>3472</v>
      </c>
      <c r="D4" s="2" t="s">
        <v>3465</v>
      </c>
      <c r="E4" s="2" t="s">
        <v>3466</v>
      </c>
    </row>
    <row r="5" spans="1:5" ht="33.75" customHeight="1" x14ac:dyDescent="0.5">
      <c r="A5" s="2" t="s">
        <v>3473</v>
      </c>
      <c r="B5" s="2" t="s">
        <v>3474</v>
      </c>
      <c r="C5" s="2" t="s">
        <v>3475</v>
      </c>
      <c r="D5" s="2" t="s">
        <v>3465</v>
      </c>
      <c r="E5" s="2" t="s">
        <v>3466</v>
      </c>
    </row>
    <row r="6" spans="1:5" ht="33.75" customHeight="1" x14ac:dyDescent="0.5">
      <c r="A6" s="2" t="s">
        <v>3476</v>
      </c>
      <c r="B6" s="2" t="s">
        <v>3477</v>
      </c>
      <c r="C6" s="2" t="s">
        <v>3478</v>
      </c>
      <c r="D6" s="2" t="s">
        <v>3465</v>
      </c>
      <c r="E6" s="2" t="s">
        <v>3466</v>
      </c>
    </row>
  </sheetData>
  <autoFilter ref="A1:E6" xr:uid="{00000000-0009-0000-0000-00000B000000}"/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361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03125" defaultRowHeight="14.35" x14ac:dyDescent="0.5"/>
  <cols>
    <col min="1" max="1" width="17" customWidth="1"/>
    <col min="2" max="2" width="40" customWidth="1"/>
    <col min="3" max="3" width="34" customWidth="1"/>
    <col min="4" max="4" width="10" customWidth="1"/>
    <col min="5" max="5" width="16" customWidth="1"/>
    <col min="6" max="6" width="58" customWidth="1"/>
    <col min="7" max="7" width="29" customWidth="1"/>
    <col min="8" max="8" width="43" customWidth="1"/>
    <col min="9" max="9" width="58" customWidth="1"/>
  </cols>
  <sheetData>
    <row r="1" spans="1:9" ht="30" customHeight="1" x14ac:dyDescent="0.5">
      <c r="A1" s="1" t="s">
        <v>244</v>
      </c>
      <c r="B1" s="1" t="s">
        <v>3479</v>
      </c>
      <c r="C1" s="1" t="s">
        <v>3480</v>
      </c>
      <c r="D1" s="1" t="s">
        <v>3481</v>
      </c>
      <c r="E1" s="1" t="s">
        <v>3482</v>
      </c>
      <c r="F1" s="1" t="s">
        <v>3483</v>
      </c>
      <c r="G1" s="1" t="s">
        <v>254</v>
      </c>
      <c r="H1" s="1" t="s">
        <v>3484</v>
      </c>
      <c r="I1" s="1" t="s">
        <v>3485</v>
      </c>
    </row>
    <row r="2" spans="1:9" ht="43.5" customHeight="1" x14ac:dyDescent="0.5">
      <c r="A2" s="2" t="s">
        <v>264</v>
      </c>
      <c r="B2" s="2" t="s">
        <v>3486</v>
      </c>
      <c r="C2" s="2" t="s">
        <v>3487</v>
      </c>
      <c r="D2" s="2">
        <v>1</v>
      </c>
      <c r="E2" s="2" t="s">
        <v>75</v>
      </c>
      <c r="F2" s="2" t="s">
        <v>265</v>
      </c>
      <c r="G2" s="2" t="s">
        <v>274</v>
      </c>
      <c r="H2" s="2" t="s">
        <v>3488</v>
      </c>
      <c r="I2" s="2" t="s">
        <v>3489</v>
      </c>
    </row>
    <row r="3" spans="1:9" ht="43.5" customHeight="1" x14ac:dyDescent="0.5">
      <c r="A3" s="2" t="s">
        <v>282</v>
      </c>
      <c r="B3" s="2" t="s">
        <v>3490</v>
      </c>
      <c r="C3" s="2" t="s">
        <v>3491</v>
      </c>
      <c r="D3" s="2">
        <v>1</v>
      </c>
      <c r="E3" s="2" t="s">
        <v>75</v>
      </c>
      <c r="F3" s="2" t="s">
        <v>283</v>
      </c>
      <c r="G3" s="2" t="s">
        <v>274</v>
      </c>
      <c r="H3" s="2" t="s">
        <v>3488</v>
      </c>
      <c r="I3" s="2" t="s">
        <v>3489</v>
      </c>
    </row>
    <row r="4" spans="1:9" ht="43.5" customHeight="1" x14ac:dyDescent="0.5">
      <c r="A4" s="2" t="s">
        <v>289</v>
      </c>
      <c r="B4" s="2" t="s">
        <v>3492</v>
      </c>
      <c r="C4" s="2" t="s">
        <v>3493</v>
      </c>
      <c r="D4" s="2">
        <v>1</v>
      </c>
      <c r="E4" s="2" t="s">
        <v>75</v>
      </c>
      <c r="F4" s="2" t="s">
        <v>290</v>
      </c>
      <c r="G4" s="2" t="s">
        <v>297</v>
      </c>
      <c r="H4" s="2" t="s">
        <v>3488</v>
      </c>
      <c r="I4" s="2" t="s">
        <v>3489</v>
      </c>
    </row>
    <row r="5" spans="1:9" ht="43.5" customHeight="1" x14ac:dyDescent="0.5">
      <c r="A5" s="2" t="s">
        <v>301</v>
      </c>
      <c r="B5" s="2" t="s">
        <v>3494</v>
      </c>
      <c r="C5" s="2" t="s">
        <v>3495</v>
      </c>
      <c r="D5" s="2">
        <v>1</v>
      </c>
      <c r="E5" s="2" t="s">
        <v>75</v>
      </c>
      <c r="F5" s="2" t="s">
        <v>302</v>
      </c>
      <c r="G5" s="2" t="s">
        <v>297</v>
      </c>
      <c r="H5" s="2" t="s">
        <v>3488</v>
      </c>
      <c r="I5" s="2" t="s">
        <v>3489</v>
      </c>
    </row>
    <row r="6" spans="1:9" ht="43.5" customHeight="1" x14ac:dyDescent="0.5">
      <c r="A6" s="2" t="s">
        <v>311</v>
      </c>
      <c r="B6" s="2" t="s">
        <v>3496</v>
      </c>
      <c r="C6" s="2" t="s">
        <v>3497</v>
      </c>
      <c r="D6" s="2">
        <v>1</v>
      </c>
      <c r="E6" s="2" t="s">
        <v>75</v>
      </c>
      <c r="F6" s="2" t="s">
        <v>312</v>
      </c>
      <c r="G6" s="2" t="s">
        <v>297</v>
      </c>
      <c r="H6" s="2" t="s">
        <v>3488</v>
      </c>
      <c r="I6" s="2" t="s">
        <v>3489</v>
      </c>
    </row>
    <row r="7" spans="1:9" ht="43.5" customHeight="1" x14ac:dyDescent="0.5">
      <c r="A7" s="2" t="s">
        <v>318</v>
      </c>
      <c r="B7" s="2" t="s">
        <v>3498</v>
      </c>
      <c r="C7" s="2" t="s">
        <v>3499</v>
      </c>
      <c r="D7" s="2">
        <v>1</v>
      </c>
      <c r="E7" s="2" t="s">
        <v>75</v>
      </c>
      <c r="F7" s="2" t="s">
        <v>319</v>
      </c>
      <c r="G7" s="2" t="s">
        <v>274</v>
      </c>
      <c r="H7" s="2" t="s">
        <v>3488</v>
      </c>
      <c r="I7" s="2" t="s">
        <v>3489</v>
      </c>
    </row>
    <row r="8" spans="1:9" ht="43.5" customHeight="1" x14ac:dyDescent="0.5">
      <c r="A8" s="2" t="s">
        <v>323</v>
      </c>
      <c r="B8" s="2" t="s">
        <v>3500</v>
      </c>
      <c r="C8" s="2" t="s">
        <v>3501</v>
      </c>
      <c r="D8" s="2">
        <v>1</v>
      </c>
      <c r="E8" s="2" t="s">
        <v>75</v>
      </c>
      <c r="F8" s="2" t="s">
        <v>324</v>
      </c>
      <c r="G8" s="2" t="s">
        <v>274</v>
      </c>
      <c r="H8" s="2" t="s">
        <v>3488</v>
      </c>
      <c r="I8" s="2" t="s">
        <v>3489</v>
      </c>
    </row>
    <row r="9" spans="1:9" ht="43.5" customHeight="1" x14ac:dyDescent="0.5">
      <c r="A9" s="2" t="s">
        <v>327</v>
      </c>
      <c r="B9" s="2" t="s">
        <v>3502</v>
      </c>
      <c r="C9" s="2" t="s">
        <v>3503</v>
      </c>
      <c r="D9" s="2">
        <v>1</v>
      </c>
      <c r="E9" s="2" t="s">
        <v>75</v>
      </c>
      <c r="F9" s="2" t="s">
        <v>328</v>
      </c>
      <c r="G9" s="2" t="s">
        <v>297</v>
      </c>
      <c r="H9" s="2" t="s">
        <v>3488</v>
      </c>
      <c r="I9" s="2" t="s">
        <v>3489</v>
      </c>
    </row>
    <row r="10" spans="1:9" ht="43.5" customHeight="1" x14ac:dyDescent="0.5">
      <c r="A10" s="2" t="s">
        <v>330</v>
      </c>
      <c r="B10" s="2" t="s">
        <v>3504</v>
      </c>
      <c r="C10" s="2" t="s">
        <v>3505</v>
      </c>
      <c r="D10" s="2">
        <v>1</v>
      </c>
      <c r="E10" s="2" t="s">
        <v>75</v>
      </c>
      <c r="F10" s="2" t="s">
        <v>331</v>
      </c>
      <c r="G10" s="2" t="s">
        <v>297</v>
      </c>
      <c r="H10" s="2" t="s">
        <v>3488</v>
      </c>
      <c r="I10" s="2" t="s">
        <v>3489</v>
      </c>
    </row>
    <row r="11" spans="1:9" ht="43.5" customHeight="1" x14ac:dyDescent="0.5">
      <c r="A11" s="2" t="s">
        <v>335</v>
      </c>
      <c r="B11" s="2" t="s">
        <v>3506</v>
      </c>
      <c r="C11" s="2" t="s">
        <v>3507</v>
      </c>
      <c r="D11" s="2">
        <v>1</v>
      </c>
      <c r="E11" s="2" t="s">
        <v>75</v>
      </c>
      <c r="F11" s="2" t="s">
        <v>336</v>
      </c>
      <c r="G11" s="2" t="s">
        <v>297</v>
      </c>
      <c r="H11" s="2" t="s">
        <v>3488</v>
      </c>
      <c r="I11" s="2" t="s">
        <v>3489</v>
      </c>
    </row>
    <row r="12" spans="1:9" ht="43.5" customHeight="1" x14ac:dyDescent="0.5">
      <c r="A12" s="2" t="s">
        <v>339</v>
      </c>
      <c r="B12" s="2" t="s">
        <v>3508</v>
      </c>
      <c r="C12" s="2" t="s">
        <v>3509</v>
      </c>
      <c r="D12" s="2">
        <v>1</v>
      </c>
      <c r="E12" s="2" t="s">
        <v>75</v>
      </c>
      <c r="F12" s="2" t="s">
        <v>340</v>
      </c>
      <c r="G12" s="2" t="s">
        <v>274</v>
      </c>
      <c r="H12" s="2" t="s">
        <v>3488</v>
      </c>
      <c r="I12" s="2" t="s">
        <v>3489</v>
      </c>
    </row>
    <row r="13" spans="1:9" ht="43.5" customHeight="1" x14ac:dyDescent="0.5">
      <c r="A13" s="2" t="s">
        <v>344</v>
      </c>
      <c r="B13" s="2" t="s">
        <v>3510</v>
      </c>
      <c r="C13" s="2" t="s">
        <v>3511</v>
      </c>
      <c r="D13" s="2">
        <v>1</v>
      </c>
      <c r="E13" s="2" t="s">
        <v>75</v>
      </c>
      <c r="F13" s="2" t="s">
        <v>345</v>
      </c>
      <c r="G13" s="2" t="s">
        <v>274</v>
      </c>
      <c r="H13" s="2" t="s">
        <v>3488</v>
      </c>
      <c r="I13" s="2" t="s">
        <v>3489</v>
      </c>
    </row>
    <row r="14" spans="1:9" ht="43.5" customHeight="1" x14ac:dyDescent="0.5">
      <c r="A14" s="2" t="s">
        <v>348</v>
      </c>
      <c r="B14" s="2" t="s">
        <v>3512</v>
      </c>
      <c r="C14" s="2" t="s">
        <v>3513</v>
      </c>
      <c r="D14" s="2">
        <v>1</v>
      </c>
      <c r="E14" s="2" t="s">
        <v>75</v>
      </c>
      <c r="F14" s="2" t="s">
        <v>349</v>
      </c>
      <c r="G14" s="2" t="s">
        <v>297</v>
      </c>
      <c r="H14" s="2" t="s">
        <v>3488</v>
      </c>
      <c r="I14" s="2" t="s">
        <v>3489</v>
      </c>
    </row>
    <row r="15" spans="1:9" ht="43.5" customHeight="1" x14ac:dyDescent="0.5">
      <c r="A15" s="2" t="s">
        <v>351</v>
      </c>
      <c r="B15" s="2" t="s">
        <v>3514</v>
      </c>
      <c r="C15" s="2" t="s">
        <v>3515</v>
      </c>
      <c r="D15" s="2">
        <v>1</v>
      </c>
      <c r="E15" s="2" t="s">
        <v>75</v>
      </c>
      <c r="F15" s="2" t="s">
        <v>352</v>
      </c>
      <c r="G15" s="2" t="s">
        <v>297</v>
      </c>
      <c r="H15" s="2" t="s">
        <v>3488</v>
      </c>
      <c r="I15" s="2" t="s">
        <v>3489</v>
      </c>
    </row>
    <row r="16" spans="1:9" ht="43.5" customHeight="1" x14ac:dyDescent="0.5">
      <c r="A16" s="2" t="s">
        <v>356</v>
      </c>
      <c r="B16" s="2" t="s">
        <v>3516</v>
      </c>
      <c r="C16" s="2" t="s">
        <v>3517</v>
      </c>
      <c r="D16" s="2">
        <v>1</v>
      </c>
      <c r="E16" s="2" t="s">
        <v>75</v>
      </c>
      <c r="F16" s="2" t="s">
        <v>357</v>
      </c>
      <c r="G16" s="2" t="s">
        <v>297</v>
      </c>
      <c r="H16" s="2" t="s">
        <v>3488</v>
      </c>
      <c r="I16" s="2" t="s">
        <v>3489</v>
      </c>
    </row>
    <row r="17" spans="1:9" ht="43.5" customHeight="1" x14ac:dyDescent="0.5">
      <c r="A17" s="2" t="s">
        <v>363</v>
      </c>
      <c r="B17" s="2" t="s">
        <v>3518</v>
      </c>
      <c r="C17" s="2" t="s">
        <v>3519</v>
      </c>
      <c r="D17" s="2">
        <v>1</v>
      </c>
      <c r="E17" s="2" t="s">
        <v>81</v>
      </c>
      <c r="F17" s="2" t="s">
        <v>265</v>
      </c>
      <c r="G17" s="2" t="s">
        <v>274</v>
      </c>
      <c r="H17" s="2" t="s">
        <v>3488</v>
      </c>
      <c r="I17" s="2" t="s">
        <v>3489</v>
      </c>
    </row>
    <row r="18" spans="1:9" ht="43.5" customHeight="1" x14ac:dyDescent="0.5">
      <c r="A18" s="2" t="s">
        <v>366</v>
      </c>
      <c r="B18" s="2" t="s">
        <v>3520</v>
      </c>
      <c r="C18" s="2" t="s">
        <v>3521</v>
      </c>
      <c r="D18" s="2">
        <v>1</v>
      </c>
      <c r="E18" s="2" t="s">
        <v>81</v>
      </c>
      <c r="F18" s="2" t="s">
        <v>283</v>
      </c>
      <c r="G18" s="2" t="s">
        <v>274</v>
      </c>
      <c r="H18" s="2" t="s">
        <v>3488</v>
      </c>
      <c r="I18" s="2" t="s">
        <v>3489</v>
      </c>
    </row>
    <row r="19" spans="1:9" ht="43.5" customHeight="1" x14ac:dyDescent="0.5">
      <c r="A19" s="2" t="s">
        <v>368</v>
      </c>
      <c r="B19" s="2" t="s">
        <v>3522</v>
      </c>
      <c r="C19" s="2" t="s">
        <v>3523</v>
      </c>
      <c r="D19" s="2">
        <v>1</v>
      </c>
      <c r="E19" s="2" t="s">
        <v>81</v>
      </c>
      <c r="F19" s="2" t="s">
        <v>290</v>
      </c>
      <c r="G19" s="2" t="s">
        <v>297</v>
      </c>
      <c r="H19" s="2" t="s">
        <v>3488</v>
      </c>
      <c r="I19" s="2" t="s">
        <v>3489</v>
      </c>
    </row>
    <row r="20" spans="1:9" ht="43.5" customHeight="1" x14ac:dyDescent="0.5">
      <c r="A20" s="2" t="s">
        <v>373</v>
      </c>
      <c r="B20" s="2" t="s">
        <v>3524</v>
      </c>
      <c r="C20" s="2" t="s">
        <v>3525</v>
      </c>
      <c r="D20" s="2">
        <v>1</v>
      </c>
      <c r="E20" s="2" t="s">
        <v>81</v>
      </c>
      <c r="F20" s="2" t="s">
        <v>302</v>
      </c>
      <c r="G20" s="2" t="s">
        <v>297</v>
      </c>
      <c r="H20" s="2" t="s">
        <v>3488</v>
      </c>
      <c r="I20" s="2" t="s">
        <v>3489</v>
      </c>
    </row>
    <row r="21" spans="1:9" ht="43.5" customHeight="1" x14ac:dyDescent="0.5">
      <c r="A21" s="2" t="s">
        <v>375</v>
      </c>
      <c r="B21" s="2" t="s">
        <v>3526</v>
      </c>
      <c r="C21" s="2" t="s">
        <v>3527</v>
      </c>
      <c r="D21" s="2">
        <v>1</v>
      </c>
      <c r="E21" s="2" t="s">
        <v>81</v>
      </c>
      <c r="F21" s="2" t="s">
        <v>312</v>
      </c>
      <c r="G21" s="2" t="s">
        <v>297</v>
      </c>
      <c r="H21" s="2" t="s">
        <v>3488</v>
      </c>
      <c r="I21" s="2" t="s">
        <v>3489</v>
      </c>
    </row>
    <row r="22" spans="1:9" ht="43.5" customHeight="1" x14ac:dyDescent="0.5">
      <c r="A22" s="2" t="s">
        <v>377</v>
      </c>
      <c r="B22" s="2" t="s">
        <v>3528</v>
      </c>
      <c r="C22" s="2" t="s">
        <v>3529</v>
      </c>
      <c r="D22" s="2">
        <v>1</v>
      </c>
      <c r="E22" s="2" t="s">
        <v>81</v>
      </c>
      <c r="F22" s="2" t="s">
        <v>319</v>
      </c>
      <c r="G22" s="2" t="s">
        <v>274</v>
      </c>
      <c r="H22" s="2" t="s">
        <v>3488</v>
      </c>
      <c r="I22" s="2" t="s">
        <v>3489</v>
      </c>
    </row>
    <row r="23" spans="1:9" ht="43.5" customHeight="1" x14ac:dyDescent="0.5">
      <c r="A23" s="2" t="s">
        <v>379</v>
      </c>
      <c r="B23" s="2" t="s">
        <v>3530</v>
      </c>
      <c r="C23" s="2" t="s">
        <v>3531</v>
      </c>
      <c r="D23" s="2">
        <v>1</v>
      </c>
      <c r="E23" s="2" t="s">
        <v>81</v>
      </c>
      <c r="F23" s="2" t="s">
        <v>324</v>
      </c>
      <c r="G23" s="2" t="s">
        <v>274</v>
      </c>
      <c r="H23" s="2" t="s">
        <v>3488</v>
      </c>
      <c r="I23" s="2" t="s">
        <v>3489</v>
      </c>
    </row>
    <row r="24" spans="1:9" ht="43.5" customHeight="1" x14ac:dyDescent="0.5">
      <c r="A24" s="2" t="s">
        <v>381</v>
      </c>
      <c r="B24" s="2" t="s">
        <v>3532</v>
      </c>
      <c r="C24" s="2" t="s">
        <v>3533</v>
      </c>
      <c r="D24" s="2">
        <v>1</v>
      </c>
      <c r="E24" s="2" t="s">
        <v>81</v>
      </c>
      <c r="F24" s="2" t="s">
        <v>328</v>
      </c>
      <c r="G24" s="2" t="s">
        <v>297</v>
      </c>
      <c r="H24" s="2" t="s">
        <v>3488</v>
      </c>
      <c r="I24" s="2" t="s">
        <v>3489</v>
      </c>
    </row>
    <row r="25" spans="1:9" ht="43.5" customHeight="1" x14ac:dyDescent="0.5">
      <c r="A25" s="2" t="s">
        <v>383</v>
      </c>
      <c r="B25" s="2" t="s">
        <v>3534</v>
      </c>
      <c r="C25" s="2" t="s">
        <v>3535</v>
      </c>
      <c r="D25" s="2">
        <v>1</v>
      </c>
      <c r="E25" s="2" t="s">
        <v>81</v>
      </c>
      <c r="F25" s="2" t="s">
        <v>331</v>
      </c>
      <c r="G25" s="2" t="s">
        <v>297</v>
      </c>
      <c r="H25" s="2" t="s">
        <v>3488</v>
      </c>
      <c r="I25" s="2" t="s">
        <v>3489</v>
      </c>
    </row>
    <row r="26" spans="1:9" ht="43.5" customHeight="1" x14ac:dyDescent="0.5">
      <c r="A26" s="2" t="s">
        <v>385</v>
      </c>
      <c r="B26" s="2" t="s">
        <v>3536</v>
      </c>
      <c r="C26" s="2" t="s">
        <v>3537</v>
      </c>
      <c r="D26" s="2">
        <v>1</v>
      </c>
      <c r="E26" s="2" t="s">
        <v>81</v>
      </c>
      <c r="F26" s="2" t="s">
        <v>336</v>
      </c>
      <c r="G26" s="2" t="s">
        <v>297</v>
      </c>
      <c r="H26" s="2" t="s">
        <v>3488</v>
      </c>
      <c r="I26" s="2" t="s">
        <v>3489</v>
      </c>
    </row>
    <row r="27" spans="1:9" ht="43.5" customHeight="1" x14ac:dyDescent="0.5">
      <c r="A27" s="2" t="s">
        <v>387</v>
      </c>
      <c r="B27" s="2" t="s">
        <v>3538</v>
      </c>
      <c r="C27" s="2" t="s">
        <v>3539</v>
      </c>
      <c r="D27" s="2">
        <v>1</v>
      </c>
      <c r="E27" s="2" t="s">
        <v>81</v>
      </c>
      <c r="F27" s="2" t="s">
        <v>388</v>
      </c>
      <c r="G27" s="2" t="s">
        <v>274</v>
      </c>
      <c r="H27" s="2" t="s">
        <v>3488</v>
      </c>
      <c r="I27" s="2" t="s">
        <v>3489</v>
      </c>
    </row>
    <row r="28" spans="1:9" ht="43.5" customHeight="1" x14ac:dyDescent="0.5">
      <c r="A28" s="2" t="s">
        <v>392</v>
      </c>
      <c r="B28" s="2" t="s">
        <v>3540</v>
      </c>
      <c r="C28" s="2" t="s">
        <v>3541</v>
      </c>
      <c r="D28" s="2">
        <v>1</v>
      </c>
      <c r="E28" s="2" t="s">
        <v>81</v>
      </c>
      <c r="F28" s="2" t="s">
        <v>393</v>
      </c>
      <c r="G28" s="2" t="s">
        <v>274</v>
      </c>
      <c r="H28" s="2" t="s">
        <v>3488</v>
      </c>
      <c r="I28" s="2" t="s">
        <v>3489</v>
      </c>
    </row>
    <row r="29" spans="1:9" ht="43.5" customHeight="1" x14ac:dyDescent="0.5">
      <c r="A29" s="2" t="s">
        <v>396</v>
      </c>
      <c r="B29" s="2" t="s">
        <v>3542</v>
      </c>
      <c r="C29" s="2" t="s">
        <v>3543</v>
      </c>
      <c r="D29" s="2">
        <v>1</v>
      </c>
      <c r="E29" s="2" t="s">
        <v>81</v>
      </c>
      <c r="F29" s="2" t="s">
        <v>397</v>
      </c>
      <c r="G29" s="2" t="s">
        <v>274</v>
      </c>
      <c r="H29" s="2" t="s">
        <v>3488</v>
      </c>
      <c r="I29" s="2" t="s">
        <v>3489</v>
      </c>
    </row>
    <row r="30" spans="1:9" ht="43.5" customHeight="1" x14ac:dyDescent="0.5">
      <c r="A30" s="2" t="s">
        <v>404</v>
      </c>
      <c r="B30" s="2" t="s">
        <v>3544</v>
      </c>
      <c r="C30" s="2" t="s">
        <v>3545</v>
      </c>
      <c r="D30" s="2">
        <v>1</v>
      </c>
      <c r="E30" s="2" t="s">
        <v>81</v>
      </c>
      <c r="F30" s="2" t="s">
        <v>405</v>
      </c>
      <c r="G30" s="2" t="s">
        <v>297</v>
      </c>
      <c r="H30" s="2" t="s">
        <v>3488</v>
      </c>
      <c r="I30" s="2" t="s">
        <v>3489</v>
      </c>
    </row>
    <row r="31" spans="1:9" ht="43.5" customHeight="1" x14ac:dyDescent="0.5">
      <c r="A31" s="2" t="s">
        <v>409</v>
      </c>
      <c r="B31" s="2" t="s">
        <v>3546</v>
      </c>
      <c r="C31" s="2" t="s">
        <v>3547</v>
      </c>
      <c r="D31" s="2">
        <v>1</v>
      </c>
      <c r="E31" s="2" t="s">
        <v>81</v>
      </c>
      <c r="F31" s="2" t="s">
        <v>410</v>
      </c>
      <c r="G31" s="2" t="s">
        <v>297</v>
      </c>
      <c r="H31" s="2" t="s">
        <v>3488</v>
      </c>
      <c r="I31" s="2" t="s">
        <v>3489</v>
      </c>
    </row>
    <row r="32" spans="1:9" ht="43.5" customHeight="1" x14ac:dyDescent="0.5">
      <c r="A32" s="2" t="s">
        <v>413</v>
      </c>
      <c r="B32" s="2" t="s">
        <v>3548</v>
      </c>
      <c r="C32" s="2" t="s">
        <v>3549</v>
      </c>
      <c r="D32" s="2">
        <v>1</v>
      </c>
      <c r="E32" s="2" t="s">
        <v>84</v>
      </c>
      <c r="F32" s="2" t="s">
        <v>414</v>
      </c>
      <c r="G32" s="2" t="s">
        <v>274</v>
      </c>
      <c r="H32" s="2" t="s">
        <v>3488</v>
      </c>
      <c r="I32" s="2" t="s">
        <v>3489</v>
      </c>
    </row>
    <row r="33" spans="1:9" ht="43.5" customHeight="1" x14ac:dyDescent="0.5">
      <c r="A33" s="2" t="s">
        <v>418</v>
      </c>
      <c r="B33" s="2" t="s">
        <v>3550</v>
      </c>
      <c r="C33" s="2" t="s">
        <v>3551</v>
      </c>
      <c r="D33" s="2">
        <v>1</v>
      </c>
      <c r="E33" s="2" t="s">
        <v>84</v>
      </c>
      <c r="F33" s="2" t="s">
        <v>419</v>
      </c>
      <c r="G33" s="2" t="s">
        <v>274</v>
      </c>
      <c r="H33" s="2" t="s">
        <v>3488</v>
      </c>
      <c r="I33" s="2" t="s">
        <v>3489</v>
      </c>
    </row>
    <row r="34" spans="1:9" ht="43.5" customHeight="1" x14ac:dyDescent="0.5">
      <c r="A34" s="2" t="s">
        <v>422</v>
      </c>
      <c r="B34" s="2" t="s">
        <v>3552</v>
      </c>
      <c r="C34" s="2" t="s">
        <v>3553</v>
      </c>
      <c r="D34" s="2">
        <v>1</v>
      </c>
      <c r="E34" s="2" t="s">
        <v>84</v>
      </c>
      <c r="F34" s="2" t="s">
        <v>423</v>
      </c>
      <c r="G34" s="2" t="s">
        <v>297</v>
      </c>
      <c r="H34" s="2" t="s">
        <v>3488</v>
      </c>
      <c r="I34" s="2" t="s">
        <v>3489</v>
      </c>
    </row>
    <row r="35" spans="1:9" ht="43.5" customHeight="1" x14ac:dyDescent="0.5">
      <c r="A35" s="2" t="s">
        <v>425</v>
      </c>
      <c r="B35" s="2" t="s">
        <v>3554</v>
      </c>
      <c r="C35" s="2" t="s">
        <v>3555</v>
      </c>
      <c r="D35" s="2">
        <v>1</v>
      </c>
      <c r="E35" s="2" t="s">
        <v>84</v>
      </c>
      <c r="F35" s="2" t="s">
        <v>426</v>
      </c>
      <c r="G35" s="2" t="s">
        <v>297</v>
      </c>
      <c r="H35" s="2" t="s">
        <v>3488</v>
      </c>
      <c r="I35" s="2" t="s">
        <v>3489</v>
      </c>
    </row>
    <row r="36" spans="1:9" ht="43.5" customHeight="1" x14ac:dyDescent="0.5">
      <c r="A36" s="2" t="s">
        <v>430</v>
      </c>
      <c r="B36" s="2" t="s">
        <v>3556</v>
      </c>
      <c r="C36" s="2" t="s">
        <v>3557</v>
      </c>
      <c r="D36" s="2">
        <v>1</v>
      </c>
      <c r="E36" s="2" t="s">
        <v>84</v>
      </c>
      <c r="F36" s="2" t="s">
        <v>431</v>
      </c>
      <c r="G36" s="2" t="s">
        <v>297</v>
      </c>
      <c r="H36" s="2" t="s">
        <v>3488</v>
      </c>
      <c r="I36" s="2" t="s">
        <v>3489</v>
      </c>
    </row>
    <row r="37" spans="1:9" ht="43.5" customHeight="1" x14ac:dyDescent="0.5">
      <c r="A37" s="2" t="s">
        <v>434</v>
      </c>
      <c r="B37" s="2" t="s">
        <v>3558</v>
      </c>
      <c r="C37" s="2" t="s">
        <v>3559</v>
      </c>
      <c r="D37" s="2">
        <v>1</v>
      </c>
      <c r="E37" s="2" t="s">
        <v>88</v>
      </c>
      <c r="F37" s="2" t="s">
        <v>435</v>
      </c>
      <c r="G37" s="2" t="s">
        <v>274</v>
      </c>
      <c r="H37" s="2" t="s">
        <v>3488</v>
      </c>
      <c r="I37" s="2" t="s">
        <v>3489</v>
      </c>
    </row>
    <row r="38" spans="1:9" ht="43.5" customHeight="1" x14ac:dyDescent="0.5">
      <c r="A38" s="2" t="s">
        <v>439</v>
      </c>
      <c r="B38" s="2" t="s">
        <v>3560</v>
      </c>
      <c r="C38" s="2" t="s">
        <v>3561</v>
      </c>
      <c r="D38" s="2">
        <v>1</v>
      </c>
      <c r="E38" s="2" t="s">
        <v>88</v>
      </c>
      <c r="F38" s="2" t="s">
        <v>440</v>
      </c>
      <c r="G38" s="2" t="s">
        <v>274</v>
      </c>
      <c r="H38" s="2" t="s">
        <v>3488</v>
      </c>
      <c r="I38" s="2" t="s">
        <v>3489</v>
      </c>
    </row>
    <row r="39" spans="1:9" ht="43.5" customHeight="1" x14ac:dyDescent="0.5">
      <c r="A39" s="2" t="s">
        <v>443</v>
      </c>
      <c r="B39" s="2" t="s">
        <v>3562</v>
      </c>
      <c r="C39" s="2" t="s">
        <v>3563</v>
      </c>
      <c r="D39" s="2">
        <v>1</v>
      </c>
      <c r="E39" s="2" t="s">
        <v>88</v>
      </c>
      <c r="F39" s="2" t="s">
        <v>444</v>
      </c>
      <c r="G39" s="2" t="s">
        <v>297</v>
      </c>
      <c r="H39" s="2" t="s">
        <v>3488</v>
      </c>
      <c r="I39" s="2" t="s">
        <v>3489</v>
      </c>
    </row>
    <row r="40" spans="1:9" ht="43.5" customHeight="1" x14ac:dyDescent="0.5">
      <c r="A40" s="2" t="s">
        <v>446</v>
      </c>
      <c r="B40" s="2" t="s">
        <v>3564</v>
      </c>
      <c r="C40" s="2" t="s">
        <v>3565</v>
      </c>
      <c r="D40" s="2">
        <v>1</v>
      </c>
      <c r="E40" s="2" t="s">
        <v>88</v>
      </c>
      <c r="F40" s="2" t="s">
        <v>447</v>
      </c>
      <c r="G40" s="2" t="s">
        <v>297</v>
      </c>
      <c r="H40" s="2" t="s">
        <v>3488</v>
      </c>
      <c r="I40" s="2" t="s">
        <v>3489</v>
      </c>
    </row>
    <row r="41" spans="1:9" ht="43.5" customHeight="1" x14ac:dyDescent="0.5">
      <c r="A41" s="2" t="s">
        <v>451</v>
      </c>
      <c r="B41" s="2" t="s">
        <v>3566</v>
      </c>
      <c r="C41" s="2" t="s">
        <v>3567</v>
      </c>
      <c r="D41" s="2">
        <v>1</v>
      </c>
      <c r="E41" s="2" t="s">
        <v>88</v>
      </c>
      <c r="F41" s="2" t="s">
        <v>452</v>
      </c>
      <c r="G41" s="2" t="s">
        <v>297</v>
      </c>
      <c r="H41" s="2" t="s">
        <v>3488</v>
      </c>
      <c r="I41" s="2" t="s">
        <v>3489</v>
      </c>
    </row>
    <row r="42" spans="1:9" ht="43.5" customHeight="1" x14ac:dyDescent="0.5">
      <c r="A42" s="2" t="s">
        <v>455</v>
      </c>
      <c r="B42" s="2" t="s">
        <v>3568</v>
      </c>
      <c r="C42" s="2" t="s">
        <v>3569</v>
      </c>
      <c r="D42" s="2">
        <v>1</v>
      </c>
      <c r="E42" s="2" t="s">
        <v>88</v>
      </c>
      <c r="F42" s="2" t="s">
        <v>456</v>
      </c>
      <c r="G42" s="2" t="s">
        <v>297</v>
      </c>
      <c r="H42" s="2" t="s">
        <v>3488</v>
      </c>
      <c r="I42" s="2" t="s">
        <v>3489</v>
      </c>
    </row>
    <row r="43" spans="1:9" ht="43.5" customHeight="1" x14ac:dyDescent="0.5">
      <c r="A43" s="2" t="s">
        <v>463</v>
      </c>
      <c r="B43" s="2" t="s">
        <v>3570</v>
      </c>
      <c r="C43" s="2" t="s">
        <v>3571</v>
      </c>
      <c r="D43" s="2">
        <v>1</v>
      </c>
      <c r="E43" s="2" t="s">
        <v>88</v>
      </c>
      <c r="F43" s="2" t="s">
        <v>464</v>
      </c>
      <c r="G43" s="2" t="s">
        <v>274</v>
      </c>
      <c r="H43" s="2" t="s">
        <v>3488</v>
      </c>
      <c r="I43" s="2" t="s">
        <v>3489</v>
      </c>
    </row>
    <row r="44" spans="1:9" ht="43.5" customHeight="1" x14ac:dyDescent="0.5">
      <c r="A44" s="2" t="s">
        <v>467</v>
      </c>
      <c r="B44" s="2" t="s">
        <v>3572</v>
      </c>
      <c r="C44" s="2" t="s">
        <v>3573</v>
      </c>
      <c r="D44" s="2">
        <v>1</v>
      </c>
      <c r="E44" s="2" t="s">
        <v>88</v>
      </c>
      <c r="F44" s="2" t="s">
        <v>468</v>
      </c>
      <c r="G44" s="2" t="s">
        <v>274</v>
      </c>
      <c r="H44" s="2" t="s">
        <v>3488</v>
      </c>
      <c r="I44" s="2" t="s">
        <v>3489</v>
      </c>
    </row>
    <row r="45" spans="1:9" ht="43.5" customHeight="1" x14ac:dyDescent="0.5">
      <c r="A45" s="2" t="s">
        <v>470</v>
      </c>
      <c r="B45" s="2" t="s">
        <v>3574</v>
      </c>
      <c r="C45" s="2" t="s">
        <v>3575</v>
      </c>
      <c r="D45" s="2">
        <v>1</v>
      </c>
      <c r="E45" s="2" t="s">
        <v>88</v>
      </c>
      <c r="F45" s="2" t="s">
        <v>471</v>
      </c>
      <c r="G45" s="2" t="s">
        <v>297</v>
      </c>
      <c r="H45" s="2" t="s">
        <v>3488</v>
      </c>
      <c r="I45" s="2" t="s">
        <v>3489</v>
      </c>
    </row>
    <row r="46" spans="1:9" ht="43.5" customHeight="1" x14ac:dyDescent="0.5">
      <c r="A46" s="2" t="s">
        <v>473</v>
      </c>
      <c r="B46" s="2" t="s">
        <v>3576</v>
      </c>
      <c r="C46" s="2" t="s">
        <v>3577</v>
      </c>
      <c r="D46" s="2">
        <v>1</v>
      </c>
      <c r="E46" s="2" t="s">
        <v>88</v>
      </c>
      <c r="F46" s="2" t="s">
        <v>474</v>
      </c>
      <c r="G46" s="2" t="s">
        <v>297</v>
      </c>
      <c r="H46" s="2" t="s">
        <v>3488</v>
      </c>
      <c r="I46" s="2" t="s">
        <v>3489</v>
      </c>
    </row>
    <row r="47" spans="1:9" ht="43.5" customHeight="1" x14ac:dyDescent="0.5">
      <c r="A47" s="2" t="s">
        <v>478</v>
      </c>
      <c r="B47" s="2" t="s">
        <v>3578</v>
      </c>
      <c r="C47" s="2" t="s">
        <v>3579</v>
      </c>
      <c r="D47" s="2">
        <v>1</v>
      </c>
      <c r="E47" s="2" t="s">
        <v>88</v>
      </c>
      <c r="F47" s="2" t="s">
        <v>479</v>
      </c>
      <c r="G47" s="2" t="s">
        <v>297</v>
      </c>
      <c r="H47" s="2" t="s">
        <v>3488</v>
      </c>
      <c r="I47" s="2" t="s">
        <v>3489</v>
      </c>
    </row>
    <row r="48" spans="1:9" ht="43.5" customHeight="1" x14ac:dyDescent="0.5">
      <c r="A48" s="2" t="s">
        <v>482</v>
      </c>
      <c r="B48" s="2" t="s">
        <v>3580</v>
      </c>
      <c r="C48" s="2" t="s">
        <v>3581</v>
      </c>
      <c r="D48" s="2">
        <v>1</v>
      </c>
      <c r="E48" s="2" t="s">
        <v>88</v>
      </c>
      <c r="F48" s="2" t="s">
        <v>483</v>
      </c>
      <c r="G48" s="2" t="s">
        <v>297</v>
      </c>
      <c r="H48" s="2" t="s">
        <v>3488</v>
      </c>
      <c r="I48" s="2" t="s">
        <v>3489</v>
      </c>
    </row>
    <row r="49" spans="1:9" ht="43.5" customHeight="1" x14ac:dyDescent="0.5">
      <c r="A49" s="2" t="s">
        <v>486</v>
      </c>
      <c r="B49" s="2" t="s">
        <v>3582</v>
      </c>
      <c r="C49" s="2" t="s">
        <v>3583</v>
      </c>
      <c r="D49" s="2">
        <v>1</v>
      </c>
      <c r="E49" s="2" t="s">
        <v>88</v>
      </c>
      <c r="F49" s="2" t="s">
        <v>487</v>
      </c>
      <c r="G49" s="2" t="s">
        <v>274</v>
      </c>
      <c r="H49" s="2" t="s">
        <v>3488</v>
      </c>
      <c r="I49" s="2" t="s">
        <v>3489</v>
      </c>
    </row>
    <row r="50" spans="1:9" ht="43.5" customHeight="1" x14ac:dyDescent="0.5">
      <c r="A50" s="2" t="s">
        <v>491</v>
      </c>
      <c r="B50" s="2" t="s">
        <v>3584</v>
      </c>
      <c r="C50" s="2" t="s">
        <v>3585</v>
      </c>
      <c r="D50" s="2">
        <v>1</v>
      </c>
      <c r="E50" s="2" t="s">
        <v>88</v>
      </c>
      <c r="F50" s="2" t="s">
        <v>492</v>
      </c>
      <c r="G50" s="2" t="s">
        <v>274</v>
      </c>
      <c r="H50" s="2" t="s">
        <v>3488</v>
      </c>
      <c r="I50" s="2" t="s">
        <v>3489</v>
      </c>
    </row>
    <row r="51" spans="1:9" ht="43.5" customHeight="1" x14ac:dyDescent="0.5">
      <c r="A51" s="2" t="s">
        <v>495</v>
      </c>
      <c r="B51" s="2" t="s">
        <v>3586</v>
      </c>
      <c r="C51" s="2" t="s">
        <v>3587</v>
      </c>
      <c r="D51" s="2">
        <v>1</v>
      </c>
      <c r="E51" s="2" t="s">
        <v>88</v>
      </c>
      <c r="F51" s="2" t="s">
        <v>496</v>
      </c>
      <c r="G51" s="2" t="s">
        <v>297</v>
      </c>
      <c r="H51" s="2" t="s">
        <v>3488</v>
      </c>
      <c r="I51" s="2" t="s">
        <v>3489</v>
      </c>
    </row>
    <row r="52" spans="1:9" ht="43.5" customHeight="1" x14ac:dyDescent="0.5">
      <c r="A52" s="2" t="s">
        <v>498</v>
      </c>
      <c r="B52" s="2" t="s">
        <v>3588</v>
      </c>
      <c r="C52" s="2" t="s">
        <v>3589</v>
      </c>
      <c r="D52" s="2">
        <v>1</v>
      </c>
      <c r="E52" s="2" t="s">
        <v>88</v>
      </c>
      <c r="F52" s="2" t="s">
        <v>499</v>
      </c>
      <c r="G52" s="2" t="s">
        <v>297</v>
      </c>
      <c r="H52" s="2" t="s">
        <v>3488</v>
      </c>
      <c r="I52" s="2" t="s">
        <v>3489</v>
      </c>
    </row>
    <row r="53" spans="1:9" ht="43.5" customHeight="1" x14ac:dyDescent="0.5">
      <c r="A53" s="2" t="s">
        <v>503</v>
      </c>
      <c r="B53" s="2" t="s">
        <v>3590</v>
      </c>
      <c r="C53" s="2" t="s">
        <v>3591</v>
      </c>
      <c r="D53" s="2">
        <v>1</v>
      </c>
      <c r="E53" s="2" t="s">
        <v>88</v>
      </c>
      <c r="F53" s="2" t="s">
        <v>504</v>
      </c>
      <c r="G53" s="2" t="s">
        <v>297</v>
      </c>
      <c r="H53" s="2" t="s">
        <v>3488</v>
      </c>
      <c r="I53" s="2" t="s">
        <v>3489</v>
      </c>
    </row>
    <row r="54" spans="1:9" ht="43.5" customHeight="1" x14ac:dyDescent="0.5">
      <c r="A54" s="2" t="s">
        <v>507</v>
      </c>
      <c r="B54" s="2" t="s">
        <v>3592</v>
      </c>
      <c r="C54" s="2" t="s">
        <v>3593</v>
      </c>
      <c r="D54" s="2">
        <v>1</v>
      </c>
      <c r="E54" s="2" t="s">
        <v>88</v>
      </c>
      <c r="F54" s="2" t="s">
        <v>508</v>
      </c>
      <c r="G54" s="2" t="s">
        <v>297</v>
      </c>
      <c r="H54" s="2" t="s">
        <v>3488</v>
      </c>
      <c r="I54" s="2" t="s">
        <v>3489</v>
      </c>
    </row>
    <row r="55" spans="1:9" ht="43.5" customHeight="1" x14ac:dyDescent="0.5">
      <c r="A55" s="2" t="s">
        <v>511</v>
      </c>
      <c r="B55" s="2" t="s">
        <v>3594</v>
      </c>
      <c r="C55" s="2" t="s">
        <v>3595</v>
      </c>
      <c r="D55" s="2">
        <v>1</v>
      </c>
      <c r="E55" s="2" t="s">
        <v>90</v>
      </c>
      <c r="F55" s="2" t="s">
        <v>512</v>
      </c>
      <c r="G55" s="2" t="s">
        <v>274</v>
      </c>
      <c r="H55" s="2" t="s">
        <v>3488</v>
      </c>
      <c r="I55" s="2" t="s">
        <v>3489</v>
      </c>
    </row>
    <row r="56" spans="1:9" ht="43.5" customHeight="1" x14ac:dyDescent="0.5">
      <c r="A56" s="2" t="s">
        <v>515</v>
      </c>
      <c r="B56" s="2" t="s">
        <v>3596</v>
      </c>
      <c r="C56" s="2" t="s">
        <v>3597</v>
      </c>
      <c r="D56" s="2">
        <v>1</v>
      </c>
      <c r="E56" s="2" t="s">
        <v>90</v>
      </c>
      <c r="F56" s="2" t="s">
        <v>516</v>
      </c>
      <c r="G56" s="2" t="s">
        <v>274</v>
      </c>
      <c r="H56" s="2" t="s">
        <v>3488</v>
      </c>
      <c r="I56" s="2" t="s">
        <v>3489</v>
      </c>
    </row>
    <row r="57" spans="1:9" ht="43.5" customHeight="1" x14ac:dyDescent="0.5">
      <c r="A57" s="2" t="s">
        <v>518</v>
      </c>
      <c r="B57" s="2" t="s">
        <v>3598</v>
      </c>
      <c r="C57" s="2" t="s">
        <v>3599</v>
      </c>
      <c r="D57" s="2">
        <v>1</v>
      </c>
      <c r="E57" s="2" t="s">
        <v>90</v>
      </c>
      <c r="F57" s="2" t="s">
        <v>519</v>
      </c>
      <c r="G57" s="2" t="s">
        <v>297</v>
      </c>
      <c r="H57" s="2" t="s">
        <v>3488</v>
      </c>
      <c r="I57" s="2" t="s">
        <v>3489</v>
      </c>
    </row>
    <row r="58" spans="1:9" ht="43.5" customHeight="1" x14ac:dyDescent="0.5">
      <c r="A58" s="2" t="s">
        <v>521</v>
      </c>
      <c r="B58" s="2" t="s">
        <v>3600</v>
      </c>
      <c r="C58" s="2" t="s">
        <v>3601</v>
      </c>
      <c r="D58" s="2">
        <v>1</v>
      </c>
      <c r="E58" s="2" t="s">
        <v>90</v>
      </c>
      <c r="F58" s="2" t="s">
        <v>522</v>
      </c>
      <c r="G58" s="2" t="s">
        <v>297</v>
      </c>
      <c r="H58" s="2" t="s">
        <v>3488</v>
      </c>
      <c r="I58" s="2" t="s">
        <v>3489</v>
      </c>
    </row>
    <row r="59" spans="1:9" ht="43.5" customHeight="1" x14ac:dyDescent="0.5">
      <c r="A59" s="2" t="s">
        <v>526</v>
      </c>
      <c r="B59" s="2" t="s">
        <v>3602</v>
      </c>
      <c r="C59" s="2" t="s">
        <v>3603</v>
      </c>
      <c r="D59" s="2">
        <v>1</v>
      </c>
      <c r="E59" s="2" t="s">
        <v>90</v>
      </c>
      <c r="F59" s="2" t="s">
        <v>527</v>
      </c>
      <c r="G59" s="2" t="s">
        <v>297</v>
      </c>
      <c r="H59" s="2" t="s">
        <v>3488</v>
      </c>
      <c r="I59" s="2" t="s">
        <v>3489</v>
      </c>
    </row>
    <row r="60" spans="1:9" ht="43.5" customHeight="1" x14ac:dyDescent="0.5">
      <c r="A60" s="2" t="s">
        <v>530</v>
      </c>
      <c r="B60" s="2" t="s">
        <v>3604</v>
      </c>
      <c r="C60" s="2" t="s">
        <v>3605</v>
      </c>
      <c r="D60" s="2">
        <v>1</v>
      </c>
      <c r="E60" s="2" t="s">
        <v>90</v>
      </c>
      <c r="F60" s="2" t="s">
        <v>531</v>
      </c>
      <c r="G60" s="2" t="s">
        <v>297</v>
      </c>
      <c r="H60" s="2" t="s">
        <v>3488</v>
      </c>
      <c r="I60" s="2" t="s">
        <v>3489</v>
      </c>
    </row>
    <row r="61" spans="1:9" ht="43.5" customHeight="1" x14ac:dyDescent="0.5">
      <c r="A61" s="2" t="s">
        <v>533</v>
      </c>
      <c r="B61" s="2" t="s">
        <v>3606</v>
      </c>
      <c r="C61" s="2" t="s">
        <v>3607</v>
      </c>
      <c r="D61" s="2">
        <v>1</v>
      </c>
      <c r="E61" s="2" t="s">
        <v>90</v>
      </c>
      <c r="F61" s="2" t="s">
        <v>534</v>
      </c>
      <c r="G61" s="2" t="s">
        <v>274</v>
      </c>
      <c r="H61" s="2" t="s">
        <v>3488</v>
      </c>
      <c r="I61" s="2" t="s">
        <v>3489</v>
      </c>
    </row>
    <row r="62" spans="1:9" ht="43.5" customHeight="1" x14ac:dyDescent="0.5">
      <c r="A62" s="2" t="s">
        <v>537</v>
      </c>
      <c r="B62" s="2" t="s">
        <v>3608</v>
      </c>
      <c r="C62" s="2" t="s">
        <v>3609</v>
      </c>
      <c r="D62" s="2">
        <v>1</v>
      </c>
      <c r="E62" s="2" t="s">
        <v>90</v>
      </c>
      <c r="F62" s="2" t="s">
        <v>538</v>
      </c>
      <c r="G62" s="2" t="s">
        <v>274</v>
      </c>
      <c r="H62" s="2" t="s">
        <v>3488</v>
      </c>
      <c r="I62" s="2" t="s">
        <v>3489</v>
      </c>
    </row>
    <row r="63" spans="1:9" ht="43.5" customHeight="1" x14ac:dyDescent="0.5">
      <c r="A63" s="2" t="s">
        <v>540</v>
      </c>
      <c r="B63" s="2" t="s">
        <v>3610</v>
      </c>
      <c r="C63" s="2" t="s">
        <v>3611</v>
      </c>
      <c r="D63" s="2">
        <v>1</v>
      </c>
      <c r="E63" s="2" t="s">
        <v>90</v>
      </c>
      <c r="F63" s="2" t="s">
        <v>541</v>
      </c>
      <c r="G63" s="2" t="s">
        <v>297</v>
      </c>
      <c r="H63" s="2" t="s">
        <v>3488</v>
      </c>
      <c r="I63" s="2" t="s">
        <v>3489</v>
      </c>
    </row>
    <row r="64" spans="1:9" ht="43.5" customHeight="1" x14ac:dyDescent="0.5">
      <c r="A64" s="2" t="s">
        <v>543</v>
      </c>
      <c r="B64" s="2" t="s">
        <v>3612</v>
      </c>
      <c r="C64" s="2" t="s">
        <v>3613</v>
      </c>
      <c r="D64" s="2">
        <v>1</v>
      </c>
      <c r="E64" s="2" t="s">
        <v>90</v>
      </c>
      <c r="F64" s="2" t="s">
        <v>544</v>
      </c>
      <c r="G64" s="2" t="s">
        <v>297</v>
      </c>
      <c r="H64" s="2" t="s">
        <v>3488</v>
      </c>
      <c r="I64" s="2" t="s">
        <v>3489</v>
      </c>
    </row>
    <row r="65" spans="1:9" ht="43.5" customHeight="1" x14ac:dyDescent="0.5">
      <c r="A65" s="2" t="s">
        <v>546</v>
      </c>
      <c r="B65" s="2" t="s">
        <v>3614</v>
      </c>
      <c r="C65" s="2" t="s">
        <v>3615</v>
      </c>
      <c r="D65" s="2">
        <v>1</v>
      </c>
      <c r="E65" s="2" t="s">
        <v>90</v>
      </c>
      <c r="F65" s="2" t="s">
        <v>547</v>
      </c>
      <c r="G65" s="2" t="s">
        <v>297</v>
      </c>
      <c r="H65" s="2" t="s">
        <v>3488</v>
      </c>
      <c r="I65" s="2" t="s">
        <v>3489</v>
      </c>
    </row>
    <row r="66" spans="1:9" ht="43.5" customHeight="1" x14ac:dyDescent="0.5">
      <c r="A66" s="2" t="s">
        <v>549</v>
      </c>
      <c r="B66" s="2" t="s">
        <v>3616</v>
      </c>
      <c r="C66" s="2" t="s">
        <v>3617</v>
      </c>
      <c r="D66" s="2">
        <v>1</v>
      </c>
      <c r="E66" s="2" t="s">
        <v>90</v>
      </c>
      <c r="F66" s="2" t="s">
        <v>550</v>
      </c>
      <c r="G66" s="2" t="s">
        <v>297</v>
      </c>
      <c r="H66" s="2" t="s">
        <v>3488</v>
      </c>
      <c r="I66" s="2" t="s">
        <v>3489</v>
      </c>
    </row>
    <row r="67" spans="1:9" ht="43.5" customHeight="1" x14ac:dyDescent="0.5">
      <c r="A67" s="2" t="s">
        <v>553</v>
      </c>
      <c r="B67" s="2" t="s">
        <v>3618</v>
      </c>
      <c r="C67" s="2" t="s">
        <v>3619</v>
      </c>
      <c r="D67" s="2">
        <v>1</v>
      </c>
      <c r="E67" s="2" t="s">
        <v>90</v>
      </c>
      <c r="F67" s="2" t="s">
        <v>554</v>
      </c>
      <c r="G67" s="2" t="s">
        <v>274</v>
      </c>
      <c r="H67" s="2" t="s">
        <v>3488</v>
      </c>
      <c r="I67" s="2" t="s">
        <v>3489</v>
      </c>
    </row>
    <row r="68" spans="1:9" ht="43.5" customHeight="1" x14ac:dyDescent="0.5">
      <c r="A68" s="2" t="s">
        <v>556</v>
      </c>
      <c r="B68" s="2" t="s">
        <v>3620</v>
      </c>
      <c r="C68" s="2" t="s">
        <v>3621</v>
      </c>
      <c r="D68" s="2">
        <v>1</v>
      </c>
      <c r="E68" s="2" t="s">
        <v>90</v>
      </c>
      <c r="F68" s="2" t="s">
        <v>557</v>
      </c>
      <c r="G68" s="2" t="s">
        <v>274</v>
      </c>
      <c r="H68" s="2" t="s">
        <v>3488</v>
      </c>
      <c r="I68" s="2" t="s">
        <v>3489</v>
      </c>
    </row>
    <row r="69" spans="1:9" ht="43.5" customHeight="1" x14ac:dyDescent="0.5">
      <c r="A69" s="2" t="s">
        <v>559</v>
      </c>
      <c r="B69" s="2" t="s">
        <v>3622</v>
      </c>
      <c r="C69" s="2" t="s">
        <v>3623</v>
      </c>
      <c r="D69" s="2">
        <v>1</v>
      </c>
      <c r="E69" s="2" t="s">
        <v>90</v>
      </c>
      <c r="F69" s="2" t="s">
        <v>560</v>
      </c>
      <c r="G69" s="2" t="s">
        <v>297</v>
      </c>
      <c r="H69" s="2" t="s">
        <v>3488</v>
      </c>
      <c r="I69" s="2" t="s">
        <v>3489</v>
      </c>
    </row>
    <row r="70" spans="1:9" ht="43.5" customHeight="1" x14ac:dyDescent="0.5">
      <c r="A70" s="2" t="s">
        <v>562</v>
      </c>
      <c r="B70" s="2" t="s">
        <v>3624</v>
      </c>
      <c r="C70" s="2" t="s">
        <v>3625</v>
      </c>
      <c r="D70" s="2">
        <v>1</v>
      </c>
      <c r="E70" s="2" t="s">
        <v>90</v>
      </c>
      <c r="F70" s="2" t="s">
        <v>563</v>
      </c>
      <c r="G70" s="2" t="s">
        <v>297</v>
      </c>
      <c r="H70" s="2" t="s">
        <v>3488</v>
      </c>
      <c r="I70" s="2" t="s">
        <v>3489</v>
      </c>
    </row>
    <row r="71" spans="1:9" ht="43.5" customHeight="1" x14ac:dyDescent="0.5">
      <c r="A71" s="2" t="s">
        <v>565</v>
      </c>
      <c r="B71" s="2" t="s">
        <v>3626</v>
      </c>
      <c r="C71" s="2" t="s">
        <v>3627</v>
      </c>
      <c r="D71" s="2">
        <v>1</v>
      </c>
      <c r="E71" s="2" t="s">
        <v>90</v>
      </c>
      <c r="F71" s="2" t="s">
        <v>566</v>
      </c>
      <c r="G71" s="2" t="s">
        <v>297</v>
      </c>
      <c r="H71" s="2" t="s">
        <v>3488</v>
      </c>
      <c r="I71" s="2" t="s">
        <v>3489</v>
      </c>
    </row>
    <row r="72" spans="1:9" ht="43.5" customHeight="1" x14ac:dyDescent="0.5">
      <c r="A72" s="2" t="s">
        <v>568</v>
      </c>
      <c r="B72" s="2" t="s">
        <v>3628</v>
      </c>
      <c r="C72" s="2" t="s">
        <v>3629</v>
      </c>
      <c r="D72" s="2">
        <v>1</v>
      </c>
      <c r="E72" s="2" t="s">
        <v>90</v>
      </c>
      <c r="F72" s="2" t="s">
        <v>569</v>
      </c>
      <c r="G72" s="2" t="s">
        <v>297</v>
      </c>
      <c r="H72" s="2" t="s">
        <v>3488</v>
      </c>
      <c r="I72" s="2" t="s">
        <v>3489</v>
      </c>
    </row>
    <row r="73" spans="1:9" ht="43.5" customHeight="1" x14ac:dyDescent="0.5">
      <c r="A73" s="2" t="s">
        <v>571</v>
      </c>
      <c r="B73" s="2" t="s">
        <v>3630</v>
      </c>
      <c r="C73" s="2" t="s">
        <v>3631</v>
      </c>
      <c r="D73" s="2">
        <v>1</v>
      </c>
      <c r="E73" s="2" t="s">
        <v>90</v>
      </c>
      <c r="F73" s="2" t="s">
        <v>572</v>
      </c>
      <c r="G73" s="2" t="s">
        <v>274</v>
      </c>
      <c r="H73" s="2" t="s">
        <v>3488</v>
      </c>
      <c r="I73" s="2" t="s">
        <v>3489</v>
      </c>
    </row>
    <row r="74" spans="1:9" ht="43.5" customHeight="1" x14ac:dyDescent="0.5">
      <c r="A74" s="2" t="s">
        <v>575</v>
      </c>
      <c r="B74" s="2" t="s">
        <v>3632</v>
      </c>
      <c r="C74" s="2" t="s">
        <v>3633</v>
      </c>
      <c r="D74" s="2">
        <v>1</v>
      </c>
      <c r="E74" s="2" t="s">
        <v>90</v>
      </c>
      <c r="F74" s="2" t="s">
        <v>576</v>
      </c>
      <c r="G74" s="2" t="s">
        <v>274</v>
      </c>
      <c r="H74" s="2" t="s">
        <v>3488</v>
      </c>
      <c r="I74" s="2" t="s">
        <v>3489</v>
      </c>
    </row>
    <row r="75" spans="1:9" ht="43.5" customHeight="1" x14ac:dyDescent="0.5">
      <c r="A75" s="2" t="s">
        <v>579</v>
      </c>
      <c r="B75" s="2" t="s">
        <v>3634</v>
      </c>
      <c r="C75" s="2" t="s">
        <v>3635</v>
      </c>
      <c r="D75" s="2">
        <v>1</v>
      </c>
      <c r="E75" s="2" t="s">
        <v>90</v>
      </c>
      <c r="F75" s="2" t="s">
        <v>580</v>
      </c>
      <c r="G75" s="2" t="s">
        <v>297</v>
      </c>
      <c r="H75" s="2" t="s">
        <v>3488</v>
      </c>
      <c r="I75" s="2" t="s">
        <v>3489</v>
      </c>
    </row>
    <row r="76" spans="1:9" ht="43.5" customHeight="1" x14ac:dyDescent="0.5">
      <c r="A76" s="2" t="s">
        <v>582</v>
      </c>
      <c r="B76" s="2" t="s">
        <v>3636</v>
      </c>
      <c r="C76" s="2" t="s">
        <v>3637</v>
      </c>
      <c r="D76" s="2">
        <v>1</v>
      </c>
      <c r="E76" s="2" t="s">
        <v>90</v>
      </c>
      <c r="F76" s="2" t="s">
        <v>583</v>
      </c>
      <c r="G76" s="2" t="s">
        <v>297</v>
      </c>
      <c r="H76" s="2" t="s">
        <v>3488</v>
      </c>
      <c r="I76" s="2" t="s">
        <v>3489</v>
      </c>
    </row>
    <row r="77" spans="1:9" ht="43.5" customHeight="1" x14ac:dyDescent="0.5">
      <c r="A77" s="2" t="s">
        <v>587</v>
      </c>
      <c r="B77" s="2" t="s">
        <v>3638</v>
      </c>
      <c r="C77" s="2" t="s">
        <v>3639</v>
      </c>
      <c r="D77" s="2">
        <v>1</v>
      </c>
      <c r="E77" s="2" t="s">
        <v>90</v>
      </c>
      <c r="F77" s="2" t="s">
        <v>588</v>
      </c>
      <c r="G77" s="2" t="s">
        <v>297</v>
      </c>
      <c r="H77" s="2" t="s">
        <v>3488</v>
      </c>
      <c r="I77" s="2" t="s">
        <v>3489</v>
      </c>
    </row>
    <row r="78" spans="1:9" ht="43.5" customHeight="1" x14ac:dyDescent="0.5">
      <c r="A78" s="2" t="s">
        <v>591</v>
      </c>
      <c r="B78" s="2" t="s">
        <v>3640</v>
      </c>
      <c r="C78" s="2" t="s">
        <v>3641</v>
      </c>
      <c r="D78" s="2">
        <v>1</v>
      </c>
      <c r="E78" s="2" t="s">
        <v>90</v>
      </c>
      <c r="F78" s="2" t="s">
        <v>592</v>
      </c>
      <c r="G78" s="2" t="s">
        <v>297</v>
      </c>
      <c r="H78" s="2" t="s">
        <v>3488</v>
      </c>
      <c r="I78" s="2" t="s">
        <v>3489</v>
      </c>
    </row>
    <row r="79" spans="1:9" ht="43.5" customHeight="1" x14ac:dyDescent="0.5">
      <c r="A79" s="2" t="s">
        <v>595</v>
      </c>
      <c r="B79" s="2" t="s">
        <v>3642</v>
      </c>
      <c r="C79" s="2" t="s">
        <v>3643</v>
      </c>
      <c r="D79" s="2">
        <v>1</v>
      </c>
      <c r="E79" s="2" t="s">
        <v>90</v>
      </c>
      <c r="F79" s="2" t="s">
        <v>596</v>
      </c>
      <c r="G79" s="2" t="s">
        <v>274</v>
      </c>
      <c r="H79" s="2" t="s">
        <v>3488</v>
      </c>
      <c r="I79" s="2" t="s">
        <v>3489</v>
      </c>
    </row>
    <row r="80" spans="1:9" ht="43.5" customHeight="1" x14ac:dyDescent="0.5">
      <c r="A80" s="2" t="s">
        <v>600</v>
      </c>
      <c r="B80" s="2" t="s">
        <v>3644</v>
      </c>
      <c r="C80" s="2" t="s">
        <v>3645</v>
      </c>
      <c r="D80" s="2">
        <v>1</v>
      </c>
      <c r="E80" s="2" t="s">
        <v>90</v>
      </c>
      <c r="F80" s="2" t="s">
        <v>601</v>
      </c>
      <c r="G80" s="2" t="s">
        <v>274</v>
      </c>
      <c r="H80" s="2" t="s">
        <v>3488</v>
      </c>
      <c r="I80" s="2" t="s">
        <v>3489</v>
      </c>
    </row>
    <row r="81" spans="1:9" ht="43.5" customHeight="1" x14ac:dyDescent="0.5">
      <c r="A81" s="2" t="s">
        <v>604</v>
      </c>
      <c r="B81" s="2" t="s">
        <v>3646</v>
      </c>
      <c r="C81" s="2" t="s">
        <v>3647</v>
      </c>
      <c r="D81" s="2">
        <v>1</v>
      </c>
      <c r="E81" s="2" t="s">
        <v>90</v>
      </c>
      <c r="F81" s="2" t="s">
        <v>605</v>
      </c>
      <c r="G81" s="2" t="s">
        <v>297</v>
      </c>
      <c r="H81" s="2" t="s">
        <v>3488</v>
      </c>
      <c r="I81" s="2" t="s">
        <v>3489</v>
      </c>
    </row>
    <row r="82" spans="1:9" ht="43.5" customHeight="1" x14ac:dyDescent="0.5">
      <c r="A82" s="2" t="s">
        <v>607</v>
      </c>
      <c r="B82" s="2" t="s">
        <v>3648</v>
      </c>
      <c r="C82" s="2" t="s">
        <v>3649</v>
      </c>
      <c r="D82" s="2">
        <v>1</v>
      </c>
      <c r="E82" s="2" t="s">
        <v>90</v>
      </c>
      <c r="F82" s="2" t="s">
        <v>608</v>
      </c>
      <c r="G82" s="2" t="s">
        <v>297</v>
      </c>
      <c r="H82" s="2" t="s">
        <v>3488</v>
      </c>
      <c r="I82" s="2" t="s">
        <v>3489</v>
      </c>
    </row>
    <row r="83" spans="1:9" ht="43.5" customHeight="1" x14ac:dyDescent="0.5">
      <c r="A83" s="2" t="s">
        <v>612</v>
      </c>
      <c r="B83" s="2" t="s">
        <v>3650</v>
      </c>
      <c r="C83" s="2" t="s">
        <v>3651</v>
      </c>
      <c r="D83" s="2">
        <v>1</v>
      </c>
      <c r="E83" s="2" t="s">
        <v>90</v>
      </c>
      <c r="F83" s="2" t="s">
        <v>613</v>
      </c>
      <c r="G83" s="2" t="s">
        <v>297</v>
      </c>
      <c r="H83" s="2" t="s">
        <v>3488</v>
      </c>
      <c r="I83" s="2" t="s">
        <v>3489</v>
      </c>
    </row>
    <row r="84" spans="1:9" ht="43.5" customHeight="1" x14ac:dyDescent="0.5">
      <c r="A84" s="2" t="s">
        <v>616</v>
      </c>
      <c r="B84" s="2" t="s">
        <v>3652</v>
      </c>
      <c r="C84" s="2" t="s">
        <v>3653</v>
      </c>
      <c r="D84" s="2">
        <v>1</v>
      </c>
      <c r="E84" s="2" t="s">
        <v>90</v>
      </c>
      <c r="F84" s="2" t="s">
        <v>617</v>
      </c>
      <c r="G84" s="2" t="s">
        <v>297</v>
      </c>
      <c r="H84" s="2" t="s">
        <v>3488</v>
      </c>
      <c r="I84" s="2" t="s">
        <v>3489</v>
      </c>
    </row>
    <row r="85" spans="1:9" ht="43.5" customHeight="1" x14ac:dyDescent="0.5">
      <c r="A85" s="2" t="s">
        <v>620</v>
      </c>
      <c r="B85" s="2" t="s">
        <v>3654</v>
      </c>
      <c r="C85" s="2" t="s">
        <v>3655</v>
      </c>
      <c r="D85" s="2">
        <v>1</v>
      </c>
      <c r="E85" s="2" t="s">
        <v>93</v>
      </c>
      <c r="F85" s="2" t="s">
        <v>512</v>
      </c>
      <c r="G85" s="2" t="s">
        <v>274</v>
      </c>
      <c r="H85" s="2" t="s">
        <v>3488</v>
      </c>
      <c r="I85" s="2" t="s">
        <v>3489</v>
      </c>
    </row>
    <row r="86" spans="1:9" ht="43.5" customHeight="1" x14ac:dyDescent="0.5">
      <c r="A86" s="2" t="s">
        <v>623</v>
      </c>
      <c r="B86" s="2" t="s">
        <v>3656</v>
      </c>
      <c r="C86" s="2" t="s">
        <v>3657</v>
      </c>
      <c r="D86" s="2">
        <v>1</v>
      </c>
      <c r="E86" s="2" t="s">
        <v>93</v>
      </c>
      <c r="F86" s="2" t="s">
        <v>516</v>
      </c>
      <c r="G86" s="2" t="s">
        <v>274</v>
      </c>
      <c r="H86" s="2" t="s">
        <v>3488</v>
      </c>
      <c r="I86" s="2" t="s">
        <v>3489</v>
      </c>
    </row>
    <row r="87" spans="1:9" ht="43.5" customHeight="1" x14ac:dyDescent="0.5">
      <c r="A87" s="2" t="s">
        <v>625</v>
      </c>
      <c r="B87" s="2" t="s">
        <v>3658</v>
      </c>
      <c r="C87" s="2" t="s">
        <v>3659</v>
      </c>
      <c r="D87" s="2">
        <v>1</v>
      </c>
      <c r="E87" s="2" t="s">
        <v>93</v>
      </c>
      <c r="F87" s="2" t="s">
        <v>519</v>
      </c>
      <c r="G87" s="2" t="s">
        <v>297</v>
      </c>
      <c r="H87" s="2" t="s">
        <v>3488</v>
      </c>
      <c r="I87" s="2" t="s">
        <v>3489</v>
      </c>
    </row>
    <row r="88" spans="1:9" ht="43.5" customHeight="1" x14ac:dyDescent="0.5">
      <c r="A88" s="2" t="s">
        <v>627</v>
      </c>
      <c r="B88" s="2" t="s">
        <v>3660</v>
      </c>
      <c r="C88" s="2" t="s">
        <v>3661</v>
      </c>
      <c r="D88" s="2">
        <v>1</v>
      </c>
      <c r="E88" s="2" t="s">
        <v>93</v>
      </c>
      <c r="F88" s="2" t="s">
        <v>522</v>
      </c>
      <c r="G88" s="2" t="s">
        <v>297</v>
      </c>
      <c r="H88" s="2" t="s">
        <v>3488</v>
      </c>
      <c r="I88" s="2" t="s">
        <v>3489</v>
      </c>
    </row>
    <row r="89" spans="1:9" ht="43.5" customHeight="1" x14ac:dyDescent="0.5">
      <c r="A89" s="2" t="s">
        <v>629</v>
      </c>
      <c r="B89" s="2" t="s">
        <v>3662</v>
      </c>
      <c r="C89" s="2" t="s">
        <v>3663</v>
      </c>
      <c r="D89" s="2">
        <v>1</v>
      </c>
      <c r="E89" s="2" t="s">
        <v>93</v>
      </c>
      <c r="F89" s="2" t="s">
        <v>527</v>
      </c>
      <c r="G89" s="2" t="s">
        <v>297</v>
      </c>
      <c r="H89" s="2" t="s">
        <v>3488</v>
      </c>
      <c r="I89" s="2" t="s">
        <v>3489</v>
      </c>
    </row>
    <row r="90" spans="1:9" ht="43.5" customHeight="1" x14ac:dyDescent="0.5">
      <c r="A90" s="2" t="s">
        <v>631</v>
      </c>
      <c r="B90" s="2" t="s">
        <v>3664</v>
      </c>
      <c r="C90" s="2" t="s">
        <v>3665</v>
      </c>
      <c r="D90" s="2">
        <v>1</v>
      </c>
      <c r="E90" s="2" t="s">
        <v>93</v>
      </c>
      <c r="F90" s="2" t="s">
        <v>531</v>
      </c>
      <c r="G90" s="2" t="s">
        <v>297</v>
      </c>
      <c r="H90" s="2" t="s">
        <v>3488</v>
      </c>
      <c r="I90" s="2" t="s">
        <v>3489</v>
      </c>
    </row>
    <row r="91" spans="1:9" ht="43.5" customHeight="1" x14ac:dyDescent="0.5">
      <c r="A91" s="2" t="s">
        <v>633</v>
      </c>
      <c r="B91" s="2" t="s">
        <v>3666</v>
      </c>
      <c r="C91" s="2" t="s">
        <v>3667</v>
      </c>
      <c r="D91" s="2">
        <v>1</v>
      </c>
      <c r="E91" s="2" t="s">
        <v>93</v>
      </c>
      <c r="F91" s="2" t="s">
        <v>534</v>
      </c>
      <c r="G91" s="2" t="s">
        <v>274</v>
      </c>
      <c r="H91" s="2" t="s">
        <v>3488</v>
      </c>
      <c r="I91" s="2" t="s">
        <v>3489</v>
      </c>
    </row>
    <row r="92" spans="1:9" ht="43.5" customHeight="1" x14ac:dyDescent="0.5">
      <c r="A92" s="2" t="s">
        <v>636</v>
      </c>
      <c r="B92" s="2" t="s">
        <v>3668</v>
      </c>
      <c r="C92" s="2" t="s">
        <v>3669</v>
      </c>
      <c r="D92" s="2">
        <v>1</v>
      </c>
      <c r="E92" s="2" t="s">
        <v>93</v>
      </c>
      <c r="F92" s="2" t="s">
        <v>538</v>
      </c>
      <c r="G92" s="2" t="s">
        <v>274</v>
      </c>
      <c r="H92" s="2" t="s">
        <v>3488</v>
      </c>
      <c r="I92" s="2" t="s">
        <v>3489</v>
      </c>
    </row>
    <row r="93" spans="1:9" ht="43.5" customHeight="1" x14ac:dyDescent="0.5">
      <c r="A93" s="2" t="s">
        <v>638</v>
      </c>
      <c r="B93" s="2" t="s">
        <v>3670</v>
      </c>
      <c r="C93" s="2" t="s">
        <v>3671</v>
      </c>
      <c r="D93" s="2">
        <v>1</v>
      </c>
      <c r="E93" s="2" t="s">
        <v>93</v>
      </c>
      <c r="F93" s="2" t="s">
        <v>541</v>
      </c>
      <c r="G93" s="2" t="s">
        <v>297</v>
      </c>
      <c r="H93" s="2" t="s">
        <v>3488</v>
      </c>
      <c r="I93" s="2" t="s">
        <v>3489</v>
      </c>
    </row>
    <row r="94" spans="1:9" ht="43.5" customHeight="1" x14ac:dyDescent="0.5">
      <c r="A94" s="2" t="s">
        <v>640</v>
      </c>
      <c r="B94" s="2" t="s">
        <v>3672</v>
      </c>
      <c r="C94" s="2" t="s">
        <v>3673</v>
      </c>
      <c r="D94" s="2">
        <v>1</v>
      </c>
      <c r="E94" s="2" t="s">
        <v>93</v>
      </c>
      <c r="F94" s="2" t="s">
        <v>544</v>
      </c>
      <c r="G94" s="2" t="s">
        <v>297</v>
      </c>
      <c r="H94" s="2" t="s">
        <v>3488</v>
      </c>
      <c r="I94" s="2" t="s">
        <v>3489</v>
      </c>
    </row>
    <row r="95" spans="1:9" ht="43.5" customHeight="1" x14ac:dyDescent="0.5">
      <c r="A95" s="2" t="s">
        <v>642</v>
      </c>
      <c r="B95" s="2" t="s">
        <v>3674</v>
      </c>
      <c r="C95" s="2" t="s">
        <v>3675</v>
      </c>
      <c r="D95" s="2">
        <v>1</v>
      </c>
      <c r="E95" s="2" t="s">
        <v>93</v>
      </c>
      <c r="F95" s="2" t="s">
        <v>547</v>
      </c>
      <c r="G95" s="2" t="s">
        <v>297</v>
      </c>
      <c r="H95" s="2" t="s">
        <v>3488</v>
      </c>
      <c r="I95" s="2" t="s">
        <v>3489</v>
      </c>
    </row>
    <row r="96" spans="1:9" ht="43.5" customHeight="1" x14ac:dyDescent="0.5">
      <c r="A96" s="2" t="s">
        <v>644</v>
      </c>
      <c r="B96" s="2" t="s">
        <v>3676</v>
      </c>
      <c r="C96" s="2" t="s">
        <v>3677</v>
      </c>
      <c r="D96" s="2">
        <v>1</v>
      </c>
      <c r="E96" s="2" t="s">
        <v>93</v>
      </c>
      <c r="F96" s="2" t="s">
        <v>550</v>
      </c>
      <c r="G96" s="2" t="s">
        <v>297</v>
      </c>
      <c r="H96" s="2" t="s">
        <v>3488</v>
      </c>
      <c r="I96" s="2" t="s">
        <v>3489</v>
      </c>
    </row>
    <row r="97" spans="1:9" ht="43.5" customHeight="1" x14ac:dyDescent="0.5">
      <c r="A97" s="2" t="s">
        <v>646</v>
      </c>
      <c r="B97" s="2" t="s">
        <v>3678</v>
      </c>
      <c r="C97" s="2" t="s">
        <v>3679</v>
      </c>
      <c r="D97" s="2">
        <v>1</v>
      </c>
      <c r="E97" s="2" t="s">
        <v>93</v>
      </c>
      <c r="F97" s="2" t="s">
        <v>554</v>
      </c>
      <c r="G97" s="2" t="s">
        <v>274</v>
      </c>
      <c r="H97" s="2" t="s">
        <v>3488</v>
      </c>
      <c r="I97" s="2" t="s">
        <v>3489</v>
      </c>
    </row>
    <row r="98" spans="1:9" ht="43.5" customHeight="1" x14ac:dyDescent="0.5">
      <c r="A98" s="2" t="s">
        <v>649</v>
      </c>
      <c r="B98" s="2" t="s">
        <v>3680</v>
      </c>
      <c r="C98" s="2" t="s">
        <v>3681</v>
      </c>
      <c r="D98" s="2">
        <v>1</v>
      </c>
      <c r="E98" s="2" t="s">
        <v>93</v>
      </c>
      <c r="F98" s="2" t="s">
        <v>557</v>
      </c>
      <c r="G98" s="2" t="s">
        <v>274</v>
      </c>
      <c r="H98" s="2" t="s">
        <v>3488</v>
      </c>
      <c r="I98" s="2" t="s">
        <v>3489</v>
      </c>
    </row>
    <row r="99" spans="1:9" ht="43.5" customHeight="1" x14ac:dyDescent="0.5">
      <c r="A99" s="2" t="s">
        <v>651</v>
      </c>
      <c r="B99" s="2" t="s">
        <v>3682</v>
      </c>
      <c r="C99" s="2" t="s">
        <v>3683</v>
      </c>
      <c r="D99" s="2">
        <v>1</v>
      </c>
      <c r="E99" s="2" t="s">
        <v>93</v>
      </c>
      <c r="F99" s="2" t="s">
        <v>560</v>
      </c>
      <c r="G99" s="2" t="s">
        <v>297</v>
      </c>
      <c r="H99" s="2" t="s">
        <v>3488</v>
      </c>
      <c r="I99" s="2" t="s">
        <v>3489</v>
      </c>
    </row>
    <row r="100" spans="1:9" ht="43.5" customHeight="1" x14ac:dyDescent="0.5">
      <c r="A100" s="2" t="s">
        <v>653</v>
      </c>
      <c r="B100" s="2" t="s">
        <v>3684</v>
      </c>
      <c r="C100" s="2" t="s">
        <v>3685</v>
      </c>
      <c r="D100" s="2">
        <v>1</v>
      </c>
      <c r="E100" s="2" t="s">
        <v>93</v>
      </c>
      <c r="F100" s="2" t="s">
        <v>563</v>
      </c>
      <c r="G100" s="2" t="s">
        <v>297</v>
      </c>
      <c r="H100" s="2" t="s">
        <v>3488</v>
      </c>
      <c r="I100" s="2" t="s">
        <v>3489</v>
      </c>
    </row>
    <row r="101" spans="1:9" ht="43.5" customHeight="1" x14ac:dyDescent="0.5">
      <c r="A101" s="2" t="s">
        <v>655</v>
      </c>
      <c r="B101" s="2" t="s">
        <v>3686</v>
      </c>
      <c r="C101" s="2" t="s">
        <v>3687</v>
      </c>
      <c r="D101" s="2">
        <v>1</v>
      </c>
      <c r="E101" s="2" t="s">
        <v>93</v>
      </c>
      <c r="F101" s="2" t="s">
        <v>566</v>
      </c>
      <c r="G101" s="2" t="s">
        <v>297</v>
      </c>
      <c r="H101" s="2" t="s">
        <v>3488</v>
      </c>
      <c r="I101" s="2" t="s">
        <v>3489</v>
      </c>
    </row>
    <row r="102" spans="1:9" ht="43.5" customHeight="1" x14ac:dyDescent="0.5">
      <c r="A102" s="2" t="s">
        <v>657</v>
      </c>
      <c r="B102" s="2" t="s">
        <v>3688</v>
      </c>
      <c r="C102" s="2" t="s">
        <v>3689</v>
      </c>
      <c r="D102" s="2">
        <v>1</v>
      </c>
      <c r="E102" s="2" t="s">
        <v>93</v>
      </c>
      <c r="F102" s="2" t="s">
        <v>569</v>
      </c>
      <c r="G102" s="2" t="s">
        <v>297</v>
      </c>
      <c r="H102" s="2" t="s">
        <v>3488</v>
      </c>
      <c r="I102" s="2" t="s">
        <v>3489</v>
      </c>
    </row>
    <row r="103" spans="1:9" ht="43.5" customHeight="1" x14ac:dyDescent="0.5">
      <c r="A103" s="2" t="s">
        <v>659</v>
      </c>
      <c r="B103" s="2" t="s">
        <v>3690</v>
      </c>
      <c r="C103" s="2" t="s">
        <v>3691</v>
      </c>
      <c r="D103" s="2">
        <v>1</v>
      </c>
      <c r="E103" s="2" t="s">
        <v>93</v>
      </c>
      <c r="F103" s="2" t="s">
        <v>572</v>
      </c>
      <c r="G103" s="2" t="s">
        <v>274</v>
      </c>
      <c r="H103" s="2" t="s">
        <v>3488</v>
      </c>
      <c r="I103" s="2" t="s">
        <v>3489</v>
      </c>
    </row>
    <row r="104" spans="1:9" ht="43.5" customHeight="1" x14ac:dyDescent="0.5">
      <c r="A104" s="2" t="s">
        <v>661</v>
      </c>
      <c r="B104" s="2" t="s">
        <v>3692</v>
      </c>
      <c r="C104" s="2" t="s">
        <v>3693</v>
      </c>
      <c r="D104" s="2">
        <v>1</v>
      </c>
      <c r="E104" s="2" t="s">
        <v>93</v>
      </c>
      <c r="F104" s="2" t="s">
        <v>576</v>
      </c>
      <c r="G104" s="2" t="s">
        <v>274</v>
      </c>
      <c r="H104" s="2" t="s">
        <v>3488</v>
      </c>
      <c r="I104" s="2" t="s">
        <v>3489</v>
      </c>
    </row>
    <row r="105" spans="1:9" ht="43.5" customHeight="1" x14ac:dyDescent="0.5">
      <c r="A105" s="2" t="s">
        <v>663</v>
      </c>
      <c r="B105" s="2" t="s">
        <v>3694</v>
      </c>
      <c r="C105" s="2" t="s">
        <v>3695</v>
      </c>
      <c r="D105" s="2">
        <v>1</v>
      </c>
      <c r="E105" s="2" t="s">
        <v>93</v>
      </c>
      <c r="F105" s="2" t="s">
        <v>580</v>
      </c>
      <c r="G105" s="2" t="s">
        <v>297</v>
      </c>
      <c r="H105" s="2" t="s">
        <v>3488</v>
      </c>
      <c r="I105" s="2" t="s">
        <v>3489</v>
      </c>
    </row>
    <row r="106" spans="1:9" ht="43.5" customHeight="1" x14ac:dyDescent="0.5">
      <c r="A106" s="2" t="s">
        <v>665</v>
      </c>
      <c r="B106" s="2" t="s">
        <v>3696</v>
      </c>
      <c r="C106" s="2" t="s">
        <v>3697</v>
      </c>
      <c r="D106" s="2">
        <v>1</v>
      </c>
      <c r="E106" s="2" t="s">
        <v>93</v>
      </c>
      <c r="F106" s="2" t="s">
        <v>583</v>
      </c>
      <c r="G106" s="2" t="s">
        <v>297</v>
      </c>
      <c r="H106" s="2" t="s">
        <v>3488</v>
      </c>
      <c r="I106" s="2" t="s">
        <v>3489</v>
      </c>
    </row>
    <row r="107" spans="1:9" ht="43.5" customHeight="1" x14ac:dyDescent="0.5">
      <c r="A107" s="2" t="s">
        <v>667</v>
      </c>
      <c r="B107" s="2" t="s">
        <v>3698</v>
      </c>
      <c r="C107" s="2" t="s">
        <v>3699</v>
      </c>
      <c r="D107" s="2">
        <v>1</v>
      </c>
      <c r="E107" s="2" t="s">
        <v>93</v>
      </c>
      <c r="F107" s="2" t="s">
        <v>588</v>
      </c>
      <c r="G107" s="2" t="s">
        <v>297</v>
      </c>
      <c r="H107" s="2" t="s">
        <v>3488</v>
      </c>
      <c r="I107" s="2" t="s">
        <v>3489</v>
      </c>
    </row>
    <row r="108" spans="1:9" ht="43.5" customHeight="1" x14ac:dyDescent="0.5">
      <c r="A108" s="2" t="s">
        <v>669</v>
      </c>
      <c r="B108" s="2" t="s">
        <v>3700</v>
      </c>
      <c r="C108" s="2" t="s">
        <v>3701</v>
      </c>
      <c r="D108" s="2">
        <v>1</v>
      </c>
      <c r="E108" s="2" t="s">
        <v>93</v>
      </c>
      <c r="F108" s="2" t="s">
        <v>592</v>
      </c>
      <c r="G108" s="2" t="s">
        <v>297</v>
      </c>
      <c r="H108" s="2" t="s">
        <v>3488</v>
      </c>
      <c r="I108" s="2" t="s">
        <v>3489</v>
      </c>
    </row>
    <row r="109" spans="1:9" ht="43.5" customHeight="1" x14ac:dyDescent="0.5">
      <c r="A109" s="2" t="s">
        <v>671</v>
      </c>
      <c r="B109" s="2" t="s">
        <v>3702</v>
      </c>
      <c r="C109" s="2" t="s">
        <v>3703</v>
      </c>
      <c r="D109" s="2">
        <v>1</v>
      </c>
      <c r="E109" s="2" t="s">
        <v>96</v>
      </c>
      <c r="F109" s="2" t="s">
        <v>672</v>
      </c>
      <c r="G109" s="2" t="s">
        <v>274</v>
      </c>
      <c r="H109" s="2" t="s">
        <v>3488</v>
      </c>
      <c r="I109" s="2" t="s">
        <v>3489</v>
      </c>
    </row>
    <row r="110" spans="1:9" ht="43.5" customHeight="1" x14ac:dyDescent="0.5">
      <c r="A110" s="2" t="s">
        <v>675</v>
      </c>
      <c r="B110" s="2" t="s">
        <v>3704</v>
      </c>
      <c r="C110" s="2" t="s">
        <v>3705</v>
      </c>
      <c r="D110" s="2">
        <v>1</v>
      </c>
      <c r="E110" s="2" t="s">
        <v>96</v>
      </c>
      <c r="F110" s="2" t="s">
        <v>676</v>
      </c>
      <c r="G110" s="2" t="s">
        <v>274</v>
      </c>
      <c r="H110" s="2" t="s">
        <v>3488</v>
      </c>
      <c r="I110" s="2" t="s">
        <v>3489</v>
      </c>
    </row>
    <row r="111" spans="1:9" ht="43.5" customHeight="1" x14ac:dyDescent="0.5">
      <c r="A111" s="2" t="s">
        <v>678</v>
      </c>
      <c r="B111" s="2" t="s">
        <v>3706</v>
      </c>
      <c r="C111" s="2" t="s">
        <v>3707</v>
      </c>
      <c r="D111" s="2">
        <v>1</v>
      </c>
      <c r="E111" s="2" t="s">
        <v>96</v>
      </c>
      <c r="F111" s="2" t="s">
        <v>679</v>
      </c>
      <c r="G111" s="2" t="s">
        <v>297</v>
      </c>
      <c r="H111" s="2" t="s">
        <v>3488</v>
      </c>
      <c r="I111" s="2" t="s">
        <v>3489</v>
      </c>
    </row>
    <row r="112" spans="1:9" ht="43.5" customHeight="1" x14ac:dyDescent="0.5">
      <c r="A112" s="2" t="s">
        <v>681</v>
      </c>
      <c r="B112" s="2" t="s">
        <v>3708</v>
      </c>
      <c r="C112" s="2" t="s">
        <v>3709</v>
      </c>
      <c r="D112" s="2">
        <v>1</v>
      </c>
      <c r="E112" s="2" t="s">
        <v>96</v>
      </c>
      <c r="F112" s="2" t="s">
        <v>682</v>
      </c>
      <c r="G112" s="2" t="s">
        <v>297</v>
      </c>
      <c r="H112" s="2" t="s">
        <v>3488</v>
      </c>
      <c r="I112" s="2" t="s">
        <v>3489</v>
      </c>
    </row>
    <row r="113" spans="1:9" ht="43.5" customHeight="1" x14ac:dyDescent="0.5">
      <c r="A113" s="2" t="s">
        <v>684</v>
      </c>
      <c r="B113" s="2" t="s">
        <v>3710</v>
      </c>
      <c r="C113" s="2" t="s">
        <v>3711</v>
      </c>
      <c r="D113" s="2">
        <v>1</v>
      </c>
      <c r="E113" s="2" t="s">
        <v>96</v>
      </c>
      <c r="F113" s="2" t="s">
        <v>685</v>
      </c>
      <c r="G113" s="2" t="s">
        <v>297</v>
      </c>
      <c r="H113" s="2" t="s">
        <v>3488</v>
      </c>
      <c r="I113" s="2" t="s">
        <v>3489</v>
      </c>
    </row>
    <row r="114" spans="1:9" ht="43.5" customHeight="1" x14ac:dyDescent="0.5">
      <c r="A114" s="2" t="s">
        <v>687</v>
      </c>
      <c r="B114" s="2" t="s">
        <v>3712</v>
      </c>
      <c r="C114" s="2" t="s">
        <v>3713</v>
      </c>
      <c r="D114" s="2">
        <v>1</v>
      </c>
      <c r="E114" s="2" t="s">
        <v>96</v>
      </c>
      <c r="F114" s="2" t="s">
        <v>688</v>
      </c>
      <c r="G114" s="2" t="s">
        <v>297</v>
      </c>
      <c r="H114" s="2" t="s">
        <v>3488</v>
      </c>
      <c r="I114" s="2" t="s">
        <v>3489</v>
      </c>
    </row>
    <row r="115" spans="1:9" ht="43.5" customHeight="1" x14ac:dyDescent="0.5">
      <c r="A115" s="2" t="s">
        <v>690</v>
      </c>
      <c r="B115" s="2" t="s">
        <v>3714</v>
      </c>
      <c r="C115" s="2" t="s">
        <v>3715</v>
      </c>
      <c r="D115" s="2">
        <v>1</v>
      </c>
      <c r="E115" s="2" t="s">
        <v>96</v>
      </c>
      <c r="F115" s="2" t="s">
        <v>691</v>
      </c>
      <c r="G115" s="2" t="s">
        <v>274</v>
      </c>
      <c r="H115" s="2" t="s">
        <v>3488</v>
      </c>
      <c r="I115" s="2" t="s">
        <v>3489</v>
      </c>
    </row>
    <row r="116" spans="1:9" ht="43.5" customHeight="1" x14ac:dyDescent="0.5">
      <c r="A116" s="2" t="s">
        <v>693</v>
      </c>
      <c r="B116" s="2" t="s">
        <v>3716</v>
      </c>
      <c r="C116" s="2" t="s">
        <v>3717</v>
      </c>
      <c r="D116" s="2">
        <v>1</v>
      </c>
      <c r="E116" s="2" t="s">
        <v>96</v>
      </c>
      <c r="F116" s="2" t="s">
        <v>694</v>
      </c>
      <c r="G116" s="2" t="s">
        <v>274</v>
      </c>
      <c r="H116" s="2" t="s">
        <v>3488</v>
      </c>
      <c r="I116" s="2" t="s">
        <v>3489</v>
      </c>
    </row>
    <row r="117" spans="1:9" ht="43.5" customHeight="1" x14ac:dyDescent="0.5">
      <c r="A117" s="2" t="s">
        <v>696</v>
      </c>
      <c r="B117" s="2" t="s">
        <v>3718</v>
      </c>
      <c r="C117" s="2" t="s">
        <v>3719</v>
      </c>
      <c r="D117" s="2">
        <v>1</v>
      </c>
      <c r="E117" s="2" t="s">
        <v>96</v>
      </c>
      <c r="F117" s="2" t="s">
        <v>697</v>
      </c>
      <c r="G117" s="2" t="s">
        <v>297</v>
      </c>
      <c r="H117" s="2" t="s">
        <v>3488</v>
      </c>
      <c r="I117" s="2" t="s">
        <v>3489</v>
      </c>
    </row>
    <row r="118" spans="1:9" ht="43.5" customHeight="1" x14ac:dyDescent="0.5">
      <c r="A118" s="2" t="s">
        <v>699</v>
      </c>
      <c r="B118" s="2" t="s">
        <v>3720</v>
      </c>
      <c r="C118" s="2" t="s">
        <v>3721</v>
      </c>
      <c r="D118" s="2">
        <v>1</v>
      </c>
      <c r="E118" s="2" t="s">
        <v>96</v>
      </c>
      <c r="F118" s="2" t="s">
        <v>700</v>
      </c>
      <c r="G118" s="2" t="s">
        <v>297</v>
      </c>
      <c r="H118" s="2" t="s">
        <v>3488</v>
      </c>
      <c r="I118" s="2" t="s">
        <v>3489</v>
      </c>
    </row>
    <row r="119" spans="1:9" ht="43.5" customHeight="1" x14ac:dyDescent="0.5">
      <c r="A119" s="2" t="s">
        <v>702</v>
      </c>
      <c r="B119" s="2" t="s">
        <v>3722</v>
      </c>
      <c r="C119" s="2" t="s">
        <v>3723</v>
      </c>
      <c r="D119" s="2">
        <v>1</v>
      </c>
      <c r="E119" s="2" t="s">
        <v>96</v>
      </c>
      <c r="F119" s="2" t="s">
        <v>703</v>
      </c>
      <c r="G119" s="2" t="s">
        <v>297</v>
      </c>
      <c r="H119" s="2" t="s">
        <v>3488</v>
      </c>
      <c r="I119" s="2" t="s">
        <v>3489</v>
      </c>
    </row>
    <row r="120" spans="1:9" ht="43.5" customHeight="1" x14ac:dyDescent="0.5">
      <c r="A120" s="2" t="s">
        <v>705</v>
      </c>
      <c r="B120" s="2" t="s">
        <v>3724</v>
      </c>
      <c r="C120" s="2" t="s">
        <v>3725</v>
      </c>
      <c r="D120" s="2">
        <v>1</v>
      </c>
      <c r="E120" s="2" t="s">
        <v>96</v>
      </c>
      <c r="F120" s="2" t="s">
        <v>706</v>
      </c>
      <c r="G120" s="2" t="s">
        <v>297</v>
      </c>
      <c r="H120" s="2" t="s">
        <v>3488</v>
      </c>
      <c r="I120" s="2" t="s">
        <v>3489</v>
      </c>
    </row>
    <row r="121" spans="1:9" ht="43.5" customHeight="1" x14ac:dyDescent="0.5">
      <c r="A121" s="2" t="s">
        <v>708</v>
      </c>
      <c r="B121" s="2" t="s">
        <v>3726</v>
      </c>
      <c r="C121" s="2" t="s">
        <v>3727</v>
      </c>
      <c r="D121" s="2">
        <v>1</v>
      </c>
      <c r="E121" s="2" t="s">
        <v>96</v>
      </c>
      <c r="F121" s="2" t="s">
        <v>709</v>
      </c>
      <c r="G121" s="2" t="s">
        <v>274</v>
      </c>
      <c r="H121" s="2" t="s">
        <v>3488</v>
      </c>
      <c r="I121" s="2" t="s">
        <v>3489</v>
      </c>
    </row>
    <row r="122" spans="1:9" ht="43.5" customHeight="1" x14ac:dyDescent="0.5">
      <c r="A122" s="2" t="s">
        <v>713</v>
      </c>
      <c r="B122" s="2" t="s">
        <v>3728</v>
      </c>
      <c r="C122" s="2" t="s">
        <v>3729</v>
      </c>
      <c r="D122" s="2">
        <v>1</v>
      </c>
      <c r="E122" s="2" t="s">
        <v>96</v>
      </c>
      <c r="F122" s="2" t="s">
        <v>714</v>
      </c>
      <c r="G122" s="2" t="s">
        <v>274</v>
      </c>
      <c r="H122" s="2" t="s">
        <v>3488</v>
      </c>
      <c r="I122" s="2" t="s">
        <v>3489</v>
      </c>
    </row>
    <row r="123" spans="1:9" ht="43.5" customHeight="1" x14ac:dyDescent="0.5">
      <c r="A123" s="2" t="s">
        <v>717</v>
      </c>
      <c r="B123" s="2" t="s">
        <v>3730</v>
      </c>
      <c r="C123" s="2" t="s">
        <v>3731</v>
      </c>
      <c r="D123" s="2">
        <v>1</v>
      </c>
      <c r="E123" s="2" t="s">
        <v>96</v>
      </c>
      <c r="F123" s="2" t="s">
        <v>718</v>
      </c>
      <c r="G123" s="2" t="s">
        <v>297</v>
      </c>
      <c r="H123" s="2" t="s">
        <v>3488</v>
      </c>
      <c r="I123" s="2" t="s">
        <v>3489</v>
      </c>
    </row>
    <row r="124" spans="1:9" ht="43.5" customHeight="1" x14ac:dyDescent="0.5">
      <c r="A124" s="2" t="s">
        <v>720</v>
      </c>
      <c r="B124" s="2" t="s">
        <v>3732</v>
      </c>
      <c r="C124" s="2" t="s">
        <v>3733</v>
      </c>
      <c r="D124" s="2">
        <v>1</v>
      </c>
      <c r="E124" s="2" t="s">
        <v>96</v>
      </c>
      <c r="F124" s="2" t="s">
        <v>721</v>
      </c>
      <c r="G124" s="2" t="s">
        <v>297</v>
      </c>
      <c r="H124" s="2" t="s">
        <v>3488</v>
      </c>
      <c r="I124" s="2" t="s">
        <v>3489</v>
      </c>
    </row>
    <row r="125" spans="1:9" ht="43.5" customHeight="1" x14ac:dyDescent="0.5">
      <c r="A125" s="2" t="s">
        <v>723</v>
      </c>
      <c r="B125" s="2" t="s">
        <v>3734</v>
      </c>
      <c r="C125" s="2" t="s">
        <v>3735</v>
      </c>
      <c r="D125" s="2">
        <v>1</v>
      </c>
      <c r="E125" s="2" t="s">
        <v>96</v>
      </c>
      <c r="F125" s="2" t="s">
        <v>724</v>
      </c>
      <c r="G125" s="2" t="s">
        <v>297</v>
      </c>
      <c r="H125" s="2" t="s">
        <v>3488</v>
      </c>
      <c r="I125" s="2" t="s">
        <v>3489</v>
      </c>
    </row>
    <row r="126" spans="1:9" ht="43.5" customHeight="1" x14ac:dyDescent="0.5">
      <c r="A126" s="2" t="s">
        <v>726</v>
      </c>
      <c r="B126" s="2" t="s">
        <v>3736</v>
      </c>
      <c r="C126" s="2" t="s">
        <v>3737</v>
      </c>
      <c r="D126" s="2">
        <v>1</v>
      </c>
      <c r="E126" s="2" t="s">
        <v>96</v>
      </c>
      <c r="F126" s="2" t="s">
        <v>727</v>
      </c>
      <c r="G126" s="2" t="s">
        <v>297</v>
      </c>
      <c r="H126" s="2" t="s">
        <v>3488</v>
      </c>
      <c r="I126" s="2" t="s">
        <v>3489</v>
      </c>
    </row>
    <row r="127" spans="1:9" ht="43.5" customHeight="1" x14ac:dyDescent="0.5">
      <c r="A127" s="2" t="s">
        <v>729</v>
      </c>
      <c r="B127" s="2" t="s">
        <v>3738</v>
      </c>
      <c r="C127" s="2" t="s">
        <v>3739</v>
      </c>
      <c r="D127" s="2">
        <v>1</v>
      </c>
      <c r="E127" s="2" t="s">
        <v>99</v>
      </c>
      <c r="F127" s="2" t="s">
        <v>730</v>
      </c>
      <c r="G127" s="2" t="s">
        <v>274</v>
      </c>
      <c r="H127" s="2" t="s">
        <v>3488</v>
      </c>
      <c r="I127" s="2" t="s">
        <v>3489</v>
      </c>
    </row>
    <row r="128" spans="1:9" ht="43.5" customHeight="1" x14ac:dyDescent="0.5">
      <c r="A128" s="2" t="s">
        <v>733</v>
      </c>
      <c r="B128" s="2" t="s">
        <v>3740</v>
      </c>
      <c r="C128" s="2" t="s">
        <v>3741</v>
      </c>
      <c r="D128" s="2">
        <v>1</v>
      </c>
      <c r="E128" s="2" t="s">
        <v>99</v>
      </c>
      <c r="F128" s="2" t="s">
        <v>734</v>
      </c>
      <c r="G128" s="2" t="s">
        <v>274</v>
      </c>
      <c r="H128" s="2" t="s">
        <v>3488</v>
      </c>
      <c r="I128" s="2" t="s">
        <v>3489</v>
      </c>
    </row>
    <row r="129" spans="1:9" ht="43.5" customHeight="1" x14ac:dyDescent="0.5">
      <c r="A129" s="2" t="s">
        <v>736</v>
      </c>
      <c r="B129" s="2" t="s">
        <v>3742</v>
      </c>
      <c r="C129" s="2" t="s">
        <v>3743</v>
      </c>
      <c r="D129" s="2">
        <v>1</v>
      </c>
      <c r="E129" s="2" t="s">
        <v>99</v>
      </c>
      <c r="F129" s="2" t="s">
        <v>737</v>
      </c>
      <c r="G129" s="2" t="s">
        <v>297</v>
      </c>
      <c r="H129" s="2" t="s">
        <v>3488</v>
      </c>
      <c r="I129" s="2" t="s">
        <v>3489</v>
      </c>
    </row>
    <row r="130" spans="1:9" ht="43.5" customHeight="1" x14ac:dyDescent="0.5">
      <c r="A130" s="2" t="s">
        <v>739</v>
      </c>
      <c r="B130" s="2" t="s">
        <v>3744</v>
      </c>
      <c r="C130" s="2" t="s">
        <v>3745</v>
      </c>
      <c r="D130" s="2">
        <v>1</v>
      </c>
      <c r="E130" s="2" t="s">
        <v>99</v>
      </c>
      <c r="F130" s="2" t="s">
        <v>740</v>
      </c>
      <c r="G130" s="2" t="s">
        <v>297</v>
      </c>
      <c r="H130" s="2" t="s">
        <v>3488</v>
      </c>
      <c r="I130" s="2" t="s">
        <v>3489</v>
      </c>
    </row>
    <row r="131" spans="1:9" ht="43.5" customHeight="1" x14ac:dyDescent="0.5">
      <c r="A131" s="2" t="s">
        <v>742</v>
      </c>
      <c r="B131" s="2" t="s">
        <v>3746</v>
      </c>
      <c r="C131" s="2" t="s">
        <v>3747</v>
      </c>
      <c r="D131" s="2">
        <v>1</v>
      </c>
      <c r="E131" s="2" t="s">
        <v>99</v>
      </c>
      <c r="F131" s="2" t="s">
        <v>743</v>
      </c>
      <c r="G131" s="2" t="s">
        <v>297</v>
      </c>
      <c r="H131" s="2" t="s">
        <v>3488</v>
      </c>
      <c r="I131" s="2" t="s">
        <v>3489</v>
      </c>
    </row>
    <row r="132" spans="1:9" ht="43.5" customHeight="1" x14ac:dyDescent="0.5">
      <c r="A132" s="2" t="s">
        <v>745</v>
      </c>
      <c r="B132" s="2" t="s">
        <v>3748</v>
      </c>
      <c r="C132" s="2" t="s">
        <v>3749</v>
      </c>
      <c r="D132" s="2">
        <v>1</v>
      </c>
      <c r="E132" s="2" t="s">
        <v>99</v>
      </c>
      <c r="F132" s="2" t="s">
        <v>746</v>
      </c>
      <c r="G132" s="2" t="s">
        <v>297</v>
      </c>
      <c r="H132" s="2" t="s">
        <v>3488</v>
      </c>
      <c r="I132" s="2" t="s">
        <v>3489</v>
      </c>
    </row>
    <row r="133" spans="1:9" ht="43.5" customHeight="1" x14ac:dyDescent="0.5">
      <c r="A133" s="2" t="s">
        <v>748</v>
      </c>
      <c r="B133" s="2" t="s">
        <v>3750</v>
      </c>
      <c r="C133" s="2" t="s">
        <v>3751</v>
      </c>
      <c r="D133" s="2">
        <v>1</v>
      </c>
      <c r="E133" s="2" t="s">
        <v>102</v>
      </c>
      <c r="F133" s="2" t="s">
        <v>749</v>
      </c>
      <c r="G133" s="2" t="s">
        <v>274</v>
      </c>
      <c r="H133" s="2" t="s">
        <v>3488</v>
      </c>
      <c r="I133" s="2" t="s">
        <v>3489</v>
      </c>
    </row>
    <row r="134" spans="1:9" ht="43.5" customHeight="1" x14ac:dyDescent="0.5">
      <c r="A134" s="2" t="s">
        <v>752</v>
      </c>
      <c r="B134" s="2" t="s">
        <v>3752</v>
      </c>
      <c r="C134" s="2" t="s">
        <v>3753</v>
      </c>
      <c r="D134" s="2">
        <v>1</v>
      </c>
      <c r="E134" s="2" t="s">
        <v>102</v>
      </c>
      <c r="F134" s="2" t="s">
        <v>753</v>
      </c>
      <c r="G134" s="2" t="s">
        <v>274</v>
      </c>
      <c r="H134" s="2" t="s">
        <v>3488</v>
      </c>
      <c r="I134" s="2" t="s">
        <v>3489</v>
      </c>
    </row>
    <row r="135" spans="1:9" ht="43.5" customHeight="1" x14ac:dyDescent="0.5">
      <c r="A135" s="2" t="s">
        <v>755</v>
      </c>
      <c r="B135" s="2" t="s">
        <v>3754</v>
      </c>
      <c r="C135" s="2" t="s">
        <v>3755</v>
      </c>
      <c r="D135" s="2">
        <v>1</v>
      </c>
      <c r="E135" s="2" t="s">
        <v>102</v>
      </c>
      <c r="F135" s="2" t="s">
        <v>756</v>
      </c>
      <c r="G135" s="2" t="s">
        <v>297</v>
      </c>
      <c r="H135" s="2" t="s">
        <v>3488</v>
      </c>
      <c r="I135" s="2" t="s">
        <v>3489</v>
      </c>
    </row>
    <row r="136" spans="1:9" ht="43.5" customHeight="1" x14ac:dyDescent="0.5">
      <c r="A136" s="2" t="s">
        <v>758</v>
      </c>
      <c r="B136" s="2" t="s">
        <v>3756</v>
      </c>
      <c r="C136" s="2" t="s">
        <v>3757</v>
      </c>
      <c r="D136" s="2">
        <v>1</v>
      </c>
      <c r="E136" s="2" t="s">
        <v>102</v>
      </c>
      <c r="F136" s="2" t="s">
        <v>759</v>
      </c>
      <c r="G136" s="2" t="s">
        <v>297</v>
      </c>
      <c r="H136" s="2" t="s">
        <v>3488</v>
      </c>
      <c r="I136" s="2" t="s">
        <v>3489</v>
      </c>
    </row>
    <row r="137" spans="1:9" ht="43.5" customHeight="1" x14ac:dyDescent="0.5">
      <c r="A137" s="2" t="s">
        <v>761</v>
      </c>
      <c r="B137" s="2" t="s">
        <v>3758</v>
      </c>
      <c r="C137" s="2" t="s">
        <v>3759</v>
      </c>
      <c r="D137" s="2">
        <v>1</v>
      </c>
      <c r="E137" s="2" t="s">
        <v>102</v>
      </c>
      <c r="F137" s="2" t="s">
        <v>762</v>
      </c>
      <c r="G137" s="2" t="s">
        <v>297</v>
      </c>
      <c r="H137" s="2" t="s">
        <v>3488</v>
      </c>
      <c r="I137" s="2" t="s">
        <v>3489</v>
      </c>
    </row>
    <row r="138" spans="1:9" ht="43.5" customHeight="1" x14ac:dyDescent="0.5">
      <c r="A138" s="2" t="s">
        <v>764</v>
      </c>
      <c r="B138" s="2" t="s">
        <v>3760</v>
      </c>
      <c r="C138" s="2" t="s">
        <v>3761</v>
      </c>
      <c r="D138" s="2">
        <v>1</v>
      </c>
      <c r="E138" s="2" t="s">
        <v>102</v>
      </c>
      <c r="F138" s="2" t="s">
        <v>765</v>
      </c>
      <c r="G138" s="2" t="s">
        <v>297</v>
      </c>
      <c r="H138" s="2" t="s">
        <v>3488</v>
      </c>
      <c r="I138" s="2" t="s">
        <v>3489</v>
      </c>
    </row>
    <row r="139" spans="1:9" ht="43.5" customHeight="1" x14ac:dyDescent="0.5">
      <c r="A139" s="2" t="s">
        <v>767</v>
      </c>
      <c r="B139" s="2" t="s">
        <v>3762</v>
      </c>
      <c r="C139" s="2" t="s">
        <v>3763</v>
      </c>
      <c r="D139" s="2">
        <v>1</v>
      </c>
      <c r="E139" s="2" t="s">
        <v>105</v>
      </c>
      <c r="F139" s="2" t="s">
        <v>768</v>
      </c>
      <c r="G139" s="2" t="s">
        <v>274</v>
      </c>
      <c r="H139" s="2" t="s">
        <v>3488</v>
      </c>
      <c r="I139" s="2" t="s">
        <v>3489</v>
      </c>
    </row>
    <row r="140" spans="1:9" ht="43.5" customHeight="1" x14ac:dyDescent="0.5">
      <c r="A140" s="2" t="s">
        <v>772</v>
      </c>
      <c r="B140" s="2" t="s">
        <v>3764</v>
      </c>
      <c r="C140" s="2" t="s">
        <v>3765</v>
      </c>
      <c r="D140" s="2">
        <v>1</v>
      </c>
      <c r="E140" s="2" t="s">
        <v>105</v>
      </c>
      <c r="F140" s="2" t="s">
        <v>773</v>
      </c>
      <c r="G140" s="2" t="s">
        <v>274</v>
      </c>
      <c r="H140" s="2" t="s">
        <v>3488</v>
      </c>
      <c r="I140" s="2" t="s">
        <v>3489</v>
      </c>
    </row>
    <row r="141" spans="1:9" ht="43.5" customHeight="1" x14ac:dyDescent="0.5">
      <c r="A141" s="2" t="s">
        <v>776</v>
      </c>
      <c r="B141" s="2" t="s">
        <v>3766</v>
      </c>
      <c r="C141" s="2" t="s">
        <v>3767</v>
      </c>
      <c r="D141" s="2">
        <v>1</v>
      </c>
      <c r="E141" s="2" t="s">
        <v>105</v>
      </c>
      <c r="F141" s="2" t="s">
        <v>777</v>
      </c>
      <c r="G141" s="2" t="s">
        <v>297</v>
      </c>
      <c r="H141" s="2" t="s">
        <v>3488</v>
      </c>
      <c r="I141" s="2" t="s">
        <v>3489</v>
      </c>
    </row>
    <row r="142" spans="1:9" ht="43.5" customHeight="1" x14ac:dyDescent="0.5">
      <c r="A142" s="2" t="s">
        <v>779</v>
      </c>
      <c r="B142" s="2" t="s">
        <v>3768</v>
      </c>
      <c r="C142" s="2" t="s">
        <v>3769</v>
      </c>
      <c r="D142" s="2">
        <v>1</v>
      </c>
      <c r="E142" s="2" t="s">
        <v>105</v>
      </c>
      <c r="F142" s="2" t="s">
        <v>780</v>
      </c>
      <c r="G142" s="2" t="s">
        <v>297</v>
      </c>
      <c r="H142" s="2" t="s">
        <v>3488</v>
      </c>
      <c r="I142" s="2" t="s">
        <v>3489</v>
      </c>
    </row>
    <row r="143" spans="1:9" ht="43.5" customHeight="1" x14ac:dyDescent="0.5">
      <c r="A143" s="2" t="s">
        <v>782</v>
      </c>
      <c r="B143" s="2" t="s">
        <v>3770</v>
      </c>
      <c r="C143" s="2" t="s">
        <v>3771</v>
      </c>
      <c r="D143" s="2">
        <v>1</v>
      </c>
      <c r="E143" s="2" t="s">
        <v>105</v>
      </c>
      <c r="F143" s="2" t="s">
        <v>783</v>
      </c>
      <c r="G143" s="2" t="s">
        <v>297</v>
      </c>
      <c r="H143" s="2" t="s">
        <v>3488</v>
      </c>
      <c r="I143" s="2" t="s">
        <v>3489</v>
      </c>
    </row>
    <row r="144" spans="1:9" ht="43.5" customHeight="1" x14ac:dyDescent="0.5">
      <c r="A144" s="2" t="s">
        <v>785</v>
      </c>
      <c r="B144" s="2" t="s">
        <v>3772</v>
      </c>
      <c r="C144" s="2" t="s">
        <v>3773</v>
      </c>
      <c r="D144" s="2">
        <v>1</v>
      </c>
      <c r="E144" s="2" t="s">
        <v>105</v>
      </c>
      <c r="F144" s="2" t="s">
        <v>786</v>
      </c>
      <c r="G144" s="2" t="s">
        <v>297</v>
      </c>
      <c r="H144" s="2" t="s">
        <v>3488</v>
      </c>
      <c r="I144" s="2" t="s">
        <v>3489</v>
      </c>
    </row>
    <row r="145" spans="1:9" ht="43.5" customHeight="1" x14ac:dyDescent="0.5">
      <c r="A145" s="2" t="s">
        <v>788</v>
      </c>
      <c r="B145" s="2" t="s">
        <v>3774</v>
      </c>
      <c r="C145" s="2" t="s">
        <v>3775</v>
      </c>
      <c r="D145" s="2">
        <v>1</v>
      </c>
      <c r="E145" s="2" t="s">
        <v>105</v>
      </c>
      <c r="F145" s="2" t="s">
        <v>789</v>
      </c>
      <c r="G145" s="2" t="s">
        <v>297</v>
      </c>
      <c r="H145" s="2" t="s">
        <v>3488</v>
      </c>
      <c r="I145" s="2" t="s">
        <v>3489</v>
      </c>
    </row>
    <row r="146" spans="1:9" ht="43.5" customHeight="1" x14ac:dyDescent="0.5">
      <c r="A146" s="2" t="s">
        <v>794</v>
      </c>
      <c r="B146" s="2" t="s">
        <v>3776</v>
      </c>
      <c r="C146" s="2" t="s">
        <v>3777</v>
      </c>
      <c r="D146" s="2">
        <v>1</v>
      </c>
      <c r="E146" s="2" t="s">
        <v>105</v>
      </c>
      <c r="F146" s="2" t="s">
        <v>795</v>
      </c>
      <c r="G146" s="2" t="s">
        <v>274</v>
      </c>
      <c r="H146" s="2" t="s">
        <v>3488</v>
      </c>
      <c r="I146" s="2" t="s">
        <v>3489</v>
      </c>
    </row>
    <row r="147" spans="1:9" ht="43.5" customHeight="1" x14ac:dyDescent="0.5">
      <c r="A147" s="2" t="s">
        <v>799</v>
      </c>
      <c r="B147" s="2" t="s">
        <v>3778</v>
      </c>
      <c r="C147" s="2" t="s">
        <v>3779</v>
      </c>
      <c r="D147" s="2">
        <v>1</v>
      </c>
      <c r="E147" s="2" t="s">
        <v>105</v>
      </c>
      <c r="F147" s="2" t="s">
        <v>800</v>
      </c>
      <c r="G147" s="2" t="s">
        <v>274</v>
      </c>
      <c r="H147" s="2" t="s">
        <v>3488</v>
      </c>
      <c r="I147" s="2" t="s">
        <v>3489</v>
      </c>
    </row>
    <row r="148" spans="1:9" ht="43.5" customHeight="1" x14ac:dyDescent="0.5">
      <c r="A148" s="2" t="s">
        <v>803</v>
      </c>
      <c r="B148" s="2" t="s">
        <v>3780</v>
      </c>
      <c r="C148" s="2" t="s">
        <v>3781</v>
      </c>
      <c r="D148" s="2">
        <v>1</v>
      </c>
      <c r="E148" s="2" t="s">
        <v>105</v>
      </c>
      <c r="F148" s="2" t="s">
        <v>804</v>
      </c>
      <c r="G148" s="2" t="s">
        <v>297</v>
      </c>
      <c r="H148" s="2" t="s">
        <v>3488</v>
      </c>
      <c r="I148" s="2" t="s">
        <v>3489</v>
      </c>
    </row>
    <row r="149" spans="1:9" ht="43.5" customHeight="1" x14ac:dyDescent="0.5">
      <c r="A149" s="2" t="s">
        <v>806</v>
      </c>
      <c r="B149" s="2" t="s">
        <v>3782</v>
      </c>
      <c r="C149" s="2" t="s">
        <v>3783</v>
      </c>
      <c r="D149" s="2">
        <v>1</v>
      </c>
      <c r="E149" s="2" t="s">
        <v>105</v>
      </c>
      <c r="F149" s="2" t="s">
        <v>807</v>
      </c>
      <c r="G149" s="2" t="s">
        <v>297</v>
      </c>
      <c r="H149" s="2" t="s">
        <v>3488</v>
      </c>
      <c r="I149" s="2" t="s">
        <v>3489</v>
      </c>
    </row>
    <row r="150" spans="1:9" ht="43.5" customHeight="1" x14ac:dyDescent="0.5">
      <c r="A150" s="2" t="s">
        <v>811</v>
      </c>
      <c r="B150" s="2" t="s">
        <v>3784</v>
      </c>
      <c r="C150" s="2" t="s">
        <v>3785</v>
      </c>
      <c r="D150" s="2">
        <v>1</v>
      </c>
      <c r="E150" s="2" t="s">
        <v>105</v>
      </c>
      <c r="F150" s="2" t="s">
        <v>812</v>
      </c>
      <c r="G150" s="2" t="s">
        <v>297</v>
      </c>
      <c r="H150" s="2" t="s">
        <v>3488</v>
      </c>
      <c r="I150" s="2" t="s">
        <v>3489</v>
      </c>
    </row>
    <row r="151" spans="1:9" ht="43.5" customHeight="1" x14ac:dyDescent="0.5">
      <c r="A151" s="2" t="s">
        <v>815</v>
      </c>
      <c r="B151" s="2" t="s">
        <v>3786</v>
      </c>
      <c r="C151" s="2" t="s">
        <v>3787</v>
      </c>
      <c r="D151" s="2">
        <v>1</v>
      </c>
      <c r="E151" s="2" t="s">
        <v>105</v>
      </c>
      <c r="F151" s="2" t="s">
        <v>816</v>
      </c>
      <c r="G151" s="2" t="s">
        <v>297</v>
      </c>
      <c r="H151" s="2" t="s">
        <v>3488</v>
      </c>
      <c r="I151" s="2" t="s">
        <v>3489</v>
      </c>
    </row>
    <row r="152" spans="1:9" ht="43.5" customHeight="1" x14ac:dyDescent="0.5">
      <c r="A152" s="2" t="s">
        <v>819</v>
      </c>
      <c r="B152" s="2" t="s">
        <v>3788</v>
      </c>
      <c r="C152" s="2" t="s">
        <v>3789</v>
      </c>
      <c r="D152" s="2">
        <v>1</v>
      </c>
      <c r="E152" s="2" t="s">
        <v>105</v>
      </c>
      <c r="F152" s="2" t="s">
        <v>820</v>
      </c>
      <c r="G152" s="2" t="s">
        <v>297</v>
      </c>
      <c r="H152" s="2" t="s">
        <v>3488</v>
      </c>
      <c r="I152" s="2" t="s">
        <v>3489</v>
      </c>
    </row>
    <row r="153" spans="1:9" ht="43.5" customHeight="1" x14ac:dyDescent="0.5">
      <c r="A153" s="2" t="s">
        <v>823</v>
      </c>
      <c r="B153" s="2" t="s">
        <v>3790</v>
      </c>
      <c r="C153" s="2" t="s">
        <v>3791</v>
      </c>
      <c r="D153" s="2">
        <v>1</v>
      </c>
      <c r="E153" s="2" t="s">
        <v>105</v>
      </c>
      <c r="F153" s="2" t="s">
        <v>824</v>
      </c>
      <c r="G153" s="2" t="s">
        <v>274</v>
      </c>
      <c r="H153" s="2" t="s">
        <v>3488</v>
      </c>
      <c r="I153" s="2" t="s">
        <v>3489</v>
      </c>
    </row>
    <row r="154" spans="1:9" ht="43.5" customHeight="1" x14ac:dyDescent="0.5">
      <c r="A154" s="2" t="s">
        <v>827</v>
      </c>
      <c r="B154" s="2" t="s">
        <v>3792</v>
      </c>
      <c r="C154" s="2" t="s">
        <v>3793</v>
      </c>
      <c r="D154" s="2">
        <v>1</v>
      </c>
      <c r="E154" s="2" t="s">
        <v>105</v>
      </c>
      <c r="F154" s="2" t="s">
        <v>828</v>
      </c>
      <c r="G154" s="2" t="s">
        <v>274</v>
      </c>
      <c r="H154" s="2" t="s">
        <v>3488</v>
      </c>
      <c r="I154" s="2" t="s">
        <v>3489</v>
      </c>
    </row>
    <row r="155" spans="1:9" ht="43.5" customHeight="1" x14ac:dyDescent="0.5">
      <c r="A155" s="2" t="s">
        <v>830</v>
      </c>
      <c r="B155" s="2" t="s">
        <v>3794</v>
      </c>
      <c r="C155" s="2" t="s">
        <v>3795</v>
      </c>
      <c r="D155" s="2">
        <v>1</v>
      </c>
      <c r="E155" s="2" t="s">
        <v>105</v>
      </c>
      <c r="F155" s="2" t="s">
        <v>831</v>
      </c>
      <c r="G155" s="2" t="s">
        <v>274</v>
      </c>
      <c r="H155" s="2" t="s">
        <v>3488</v>
      </c>
      <c r="I155" s="2" t="s">
        <v>3489</v>
      </c>
    </row>
    <row r="156" spans="1:9" ht="43.5" customHeight="1" x14ac:dyDescent="0.5">
      <c r="A156" s="2" t="s">
        <v>833</v>
      </c>
      <c r="B156" s="2" t="s">
        <v>3796</v>
      </c>
      <c r="C156" s="2" t="s">
        <v>3797</v>
      </c>
      <c r="D156" s="2">
        <v>1</v>
      </c>
      <c r="E156" s="2" t="s">
        <v>105</v>
      </c>
      <c r="F156" s="2" t="s">
        <v>834</v>
      </c>
      <c r="G156" s="2" t="s">
        <v>297</v>
      </c>
      <c r="H156" s="2" t="s">
        <v>3488</v>
      </c>
      <c r="I156" s="2" t="s">
        <v>3489</v>
      </c>
    </row>
    <row r="157" spans="1:9" ht="43.5" customHeight="1" x14ac:dyDescent="0.5">
      <c r="A157" s="2" t="s">
        <v>838</v>
      </c>
      <c r="B157" s="2" t="s">
        <v>3798</v>
      </c>
      <c r="C157" s="2" t="s">
        <v>3799</v>
      </c>
      <c r="D157" s="2">
        <v>1</v>
      </c>
      <c r="E157" s="2" t="s">
        <v>105</v>
      </c>
      <c r="F157" s="2" t="s">
        <v>839</v>
      </c>
      <c r="G157" s="2" t="s">
        <v>297</v>
      </c>
      <c r="H157" s="2" t="s">
        <v>3488</v>
      </c>
      <c r="I157" s="2" t="s">
        <v>3489</v>
      </c>
    </row>
    <row r="158" spans="1:9" ht="43.5" customHeight="1" x14ac:dyDescent="0.5">
      <c r="A158" s="2" t="s">
        <v>842</v>
      </c>
      <c r="B158" s="2" t="s">
        <v>3800</v>
      </c>
      <c r="C158" s="2" t="s">
        <v>3801</v>
      </c>
      <c r="D158" s="2">
        <v>1</v>
      </c>
      <c r="E158" s="2" t="s">
        <v>105</v>
      </c>
      <c r="F158" s="2" t="s">
        <v>843</v>
      </c>
      <c r="G158" s="2" t="s">
        <v>297</v>
      </c>
      <c r="H158" s="2" t="s">
        <v>3488</v>
      </c>
      <c r="I158" s="2" t="s">
        <v>3489</v>
      </c>
    </row>
    <row r="159" spans="1:9" ht="43.5" customHeight="1" x14ac:dyDescent="0.5">
      <c r="A159" s="2" t="s">
        <v>845</v>
      </c>
      <c r="B159" s="2" t="s">
        <v>3802</v>
      </c>
      <c r="C159" s="2" t="s">
        <v>3803</v>
      </c>
      <c r="D159" s="2">
        <v>1</v>
      </c>
      <c r="E159" s="2" t="s">
        <v>105</v>
      </c>
      <c r="F159" s="2" t="s">
        <v>846</v>
      </c>
      <c r="G159" s="2" t="s">
        <v>297</v>
      </c>
      <c r="H159" s="2" t="s">
        <v>3488</v>
      </c>
      <c r="I159" s="2" t="s">
        <v>3489</v>
      </c>
    </row>
    <row r="160" spans="1:9" ht="43.5" customHeight="1" x14ac:dyDescent="0.5">
      <c r="A160" s="2" t="s">
        <v>849</v>
      </c>
      <c r="B160" s="2" t="s">
        <v>3804</v>
      </c>
      <c r="C160" s="2" t="s">
        <v>3805</v>
      </c>
      <c r="D160" s="2">
        <v>1</v>
      </c>
      <c r="E160" s="2" t="s">
        <v>105</v>
      </c>
      <c r="F160" s="2" t="s">
        <v>850</v>
      </c>
      <c r="G160" s="2" t="s">
        <v>274</v>
      </c>
      <c r="H160" s="2" t="s">
        <v>3488</v>
      </c>
      <c r="I160" s="2" t="s">
        <v>3489</v>
      </c>
    </row>
    <row r="161" spans="1:9" ht="43.5" customHeight="1" x14ac:dyDescent="0.5">
      <c r="A161" s="2" t="s">
        <v>854</v>
      </c>
      <c r="B161" s="2" t="s">
        <v>3806</v>
      </c>
      <c r="C161" s="2" t="s">
        <v>3807</v>
      </c>
      <c r="D161" s="2">
        <v>1</v>
      </c>
      <c r="E161" s="2" t="s">
        <v>105</v>
      </c>
      <c r="F161" s="2" t="s">
        <v>855</v>
      </c>
      <c r="G161" s="2" t="s">
        <v>274</v>
      </c>
      <c r="H161" s="2" t="s">
        <v>3488</v>
      </c>
      <c r="I161" s="2" t="s">
        <v>3489</v>
      </c>
    </row>
    <row r="162" spans="1:9" ht="43.5" customHeight="1" x14ac:dyDescent="0.5">
      <c r="A162" s="2" t="s">
        <v>858</v>
      </c>
      <c r="B162" s="2" t="s">
        <v>3808</v>
      </c>
      <c r="C162" s="2" t="s">
        <v>3809</v>
      </c>
      <c r="D162" s="2">
        <v>1</v>
      </c>
      <c r="E162" s="2" t="s">
        <v>105</v>
      </c>
      <c r="F162" s="2" t="s">
        <v>859</v>
      </c>
      <c r="G162" s="2" t="s">
        <v>274</v>
      </c>
      <c r="H162" s="2" t="s">
        <v>3488</v>
      </c>
      <c r="I162" s="2" t="s">
        <v>3489</v>
      </c>
    </row>
    <row r="163" spans="1:9" ht="43.5" customHeight="1" x14ac:dyDescent="0.5">
      <c r="A163" s="2" t="s">
        <v>861</v>
      </c>
      <c r="B163" s="2" t="s">
        <v>3810</v>
      </c>
      <c r="C163" s="2" t="s">
        <v>3811</v>
      </c>
      <c r="D163" s="2">
        <v>1</v>
      </c>
      <c r="E163" s="2" t="s">
        <v>105</v>
      </c>
      <c r="F163" s="2" t="s">
        <v>862</v>
      </c>
      <c r="G163" s="2" t="s">
        <v>297</v>
      </c>
      <c r="H163" s="2" t="s">
        <v>3488</v>
      </c>
      <c r="I163" s="2" t="s">
        <v>3489</v>
      </c>
    </row>
    <row r="164" spans="1:9" ht="43.5" customHeight="1" x14ac:dyDescent="0.5">
      <c r="A164" s="2" t="s">
        <v>866</v>
      </c>
      <c r="B164" s="2" t="s">
        <v>3812</v>
      </c>
      <c r="C164" s="2" t="s">
        <v>3813</v>
      </c>
      <c r="D164" s="2">
        <v>1</v>
      </c>
      <c r="E164" s="2" t="s">
        <v>105</v>
      </c>
      <c r="F164" s="2" t="s">
        <v>867</v>
      </c>
      <c r="G164" s="2" t="s">
        <v>297</v>
      </c>
      <c r="H164" s="2" t="s">
        <v>3488</v>
      </c>
      <c r="I164" s="2" t="s">
        <v>3489</v>
      </c>
    </row>
    <row r="165" spans="1:9" ht="43.5" customHeight="1" x14ac:dyDescent="0.5">
      <c r="A165" s="2" t="s">
        <v>870</v>
      </c>
      <c r="B165" s="2" t="s">
        <v>3814</v>
      </c>
      <c r="C165" s="2" t="s">
        <v>3815</v>
      </c>
      <c r="D165" s="2">
        <v>1</v>
      </c>
      <c r="E165" s="2" t="s">
        <v>105</v>
      </c>
      <c r="F165" s="2" t="s">
        <v>871</v>
      </c>
      <c r="G165" s="2" t="s">
        <v>297</v>
      </c>
      <c r="H165" s="2" t="s">
        <v>3488</v>
      </c>
      <c r="I165" s="2" t="s">
        <v>3489</v>
      </c>
    </row>
    <row r="166" spans="1:9" ht="43.5" customHeight="1" x14ac:dyDescent="0.5">
      <c r="A166" s="2" t="s">
        <v>874</v>
      </c>
      <c r="B166" s="2" t="s">
        <v>3816</v>
      </c>
      <c r="C166" s="2" t="s">
        <v>3817</v>
      </c>
      <c r="D166" s="2">
        <v>1</v>
      </c>
      <c r="E166" s="2" t="s">
        <v>105</v>
      </c>
      <c r="F166" s="2" t="s">
        <v>875</v>
      </c>
      <c r="G166" s="2" t="s">
        <v>297</v>
      </c>
      <c r="H166" s="2" t="s">
        <v>3488</v>
      </c>
      <c r="I166" s="2" t="s">
        <v>3489</v>
      </c>
    </row>
    <row r="167" spans="1:9" ht="43.5" customHeight="1" x14ac:dyDescent="0.5">
      <c r="A167" s="2" t="s">
        <v>878</v>
      </c>
      <c r="B167" s="2" t="s">
        <v>3818</v>
      </c>
      <c r="C167" s="2" t="s">
        <v>3819</v>
      </c>
      <c r="D167" s="2">
        <v>1</v>
      </c>
      <c r="E167" s="2" t="s">
        <v>108</v>
      </c>
      <c r="F167" s="2" t="s">
        <v>768</v>
      </c>
      <c r="G167" s="2" t="s">
        <v>274</v>
      </c>
      <c r="H167" s="2" t="s">
        <v>3488</v>
      </c>
      <c r="I167" s="2" t="s">
        <v>3489</v>
      </c>
    </row>
    <row r="168" spans="1:9" ht="43.5" customHeight="1" x14ac:dyDescent="0.5">
      <c r="A168" s="2" t="s">
        <v>881</v>
      </c>
      <c r="B168" s="2" t="s">
        <v>3820</v>
      </c>
      <c r="C168" s="2" t="s">
        <v>3821</v>
      </c>
      <c r="D168" s="2">
        <v>1</v>
      </c>
      <c r="E168" s="2" t="s">
        <v>108</v>
      </c>
      <c r="F168" s="2" t="s">
        <v>773</v>
      </c>
      <c r="G168" s="2" t="s">
        <v>274</v>
      </c>
      <c r="H168" s="2" t="s">
        <v>3488</v>
      </c>
      <c r="I168" s="2" t="s">
        <v>3489</v>
      </c>
    </row>
    <row r="169" spans="1:9" ht="43.5" customHeight="1" x14ac:dyDescent="0.5">
      <c r="A169" s="2" t="s">
        <v>883</v>
      </c>
      <c r="B169" s="2" t="s">
        <v>3822</v>
      </c>
      <c r="C169" s="2" t="s">
        <v>3823</v>
      </c>
      <c r="D169" s="2">
        <v>1</v>
      </c>
      <c r="E169" s="2" t="s">
        <v>108</v>
      </c>
      <c r="F169" s="2" t="s">
        <v>777</v>
      </c>
      <c r="G169" s="2" t="s">
        <v>297</v>
      </c>
      <c r="H169" s="2" t="s">
        <v>3488</v>
      </c>
      <c r="I169" s="2" t="s">
        <v>3489</v>
      </c>
    </row>
    <row r="170" spans="1:9" ht="43.5" customHeight="1" x14ac:dyDescent="0.5">
      <c r="A170" s="2" t="s">
        <v>885</v>
      </c>
      <c r="B170" s="2" t="s">
        <v>3824</v>
      </c>
      <c r="C170" s="2" t="s">
        <v>3825</v>
      </c>
      <c r="D170" s="2">
        <v>1</v>
      </c>
      <c r="E170" s="2" t="s">
        <v>108</v>
      </c>
      <c r="F170" s="2" t="s">
        <v>780</v>
      </c>
      <c r="G170" s="2" t="s">
        <v>297</v>
      </c>
      <c r="H170" s="2" t="s">
        <v>3488</v>
      </c>
      <c r="I170" s="2" t="s">
        <v>3489</v>
      </c>
    </row>
    <row r="171" spans="1:9" ht="43.5" customHeight="1" x14ac:dyDescent="0.5">
      <c r="A171" s="2" t="s">
        <v>887</v>
      </c>
      <c r="B171" s="2" t="s">
        <v>3826</v>
      </c>
      <c r="C171" s="2" t="s">
        <v>3827</v>
      </c>
      <c r="D171" s="2">
        <v>1</v>
      </c>
      <c r="E171" s="2" t="s">
        <v>108</v>
      </c>
      <c r="F171" s="2" t="s">
        <v>783</v>
      </c>
      <c r="G171" s="2" t="s">
        <v>297</v>
      </c>
      <c r="H171" s="2" t="s">
        <v>3488</v>
      </c>
      <c r="I171" s="2" t="s">
        <v>3489</v>
      </c>
    </row>
    <row r="172" spans="1:9" ht="43.5" customHeight="1" x14ac:dyDescent="0.5">
      <c r="A172" s="2" t="s">
        <v>889</v>
      </c>
      <c r="B172" s="2" t="s">
        <v>3828</v>
      </c>
      <c r="C172" s="2" t="s">
        <v>3829</v>
      </c>
      <c r="D172" s="2">
        <v>1</v>
      </c>
      <c r="E172" s="2" t="s">
        <v>108</v>
      </c>
      <c r="F172" s="2" t="s">
        <v>786</v>
      </c>
      <c r="G172" s="2" t="s">
        <v>297</v>
      </c>
      <c r="H172" s="2" t="s">
        <v>3488</v>
      </c>
      <c r="I172" s="2" t="s">
        <v>3489</v>
      </c>
    </row>
    <row r="173" spans="1:9" ht="43.5" customHeight="1" x14ac:dyDescent="0.5">
      <c r="A173" s="2" t="s">
        <v>891</v>
      </c>
      <c r="B173" s="2" t="s">
        <v>3830</v>
      </c>
      <c r="C173" s="2" t="s">
        <v>3831</v>
      </c>
      <c r="D173" s="2">
        <v>1</v>
      </c>
      <c r="E173" s="2" t="s">
        <v>108</v>
      </c>
      <c r="F173" s="2" t="s">
        <v>789</v>
      </c>
      <c r="G173" s="2" t="s">
        <v>297</v>
      </c>
      <c r="H173" s="2" t="s">
        <v>3488</v>
      </c>
      <c r="I173" s="2" t="s">
        <v>3489</v>
      </c>
    </row>
    <row r="174" spans="1:9" ht="43.5" customHeight="1" x14ac:dyDescent="0.5">
      <c r="A174" s="2" t="s">
        <v>893</v>
      </c>
      <c r="B174" s="2" t="s">
        <v>3832</v>
      </c>
      <c r="C174" s="2" t="s">
        <v>3833</v>
      </c>
      <c r="D174" s="2">
        <v>1</v>
      </c>
      <c r="E174" s="2" t="s">
        <v>108</v>
      </c>
      <c r="F174" s="2" t="s">
        <v>795</v>
      </c>
      <c r="G174" s="2" t="s">
        <v>274</v>
      </c>
      <c r="H174" s="2" t="s">
        <v>3488</v>
      </c>
      <c r="I174" s="2" t="s">
        <v>3489</v>
      </c>
    </row>
    <row r="175" spans="1:9" ht="43.5" customHeight="1" x14ac:dyDescent="0.5">
      <c r="A175" s="2" t="s">
        <v>896</v>
      </c>
      <c r="B175" s="2" t="s">
        <v>3834</v>
      </c>
      <c r="C175" s="2" t="s">
        <v>3835</v>
      </c>
      <c r="D175" s="2">
        <v>1</v>
      </c>
      <c r="E175" s="2" t="s">
        <v>108</v>
      </c>
      <c r="F175" s="2" t="s">
        <v>800</v>
      </c>
      <c r="G175" s="2" t="s">
        <v>274</v>
      </c>
      <c r="H175" s="2" t="s">
        <v>3488</v>
      </c>
      <c r="I175" s="2" t="s">
        <v>3489</v>
      </c>
    </row>
    <row r="176" spans="1:9" ht="43.5" customHeight="1" x14ac:dyDescent="0.5">
      <c r="A176" s="2" t="s">
        <v>898</v>
      </c>
      <c r="B176" s="2" t="s">
        <v>3836</v>
      </c>
      <c r="C176" s="2" t="s">
        <v>3837</v>
      </c>
      <c r="D176" s="2">
        <v>1</v>
      </c>
      <c r="E176" s="2" t="s">
        <v>108</v>
      </c>
      <c r="F176" s="2" t="s">
        <v>804</v>
      </c>
      <c r="G176" s="2" t="s">
        <v>297</v>
      </c>
      <c r="H176" s="2" t="s">
        <v>3488</v>
      </c>
      <c r="I176" s="2" t="s">
        <v>3489</v>
      </c>
    </row>
    <row r="177" spans="1:9" ht="43.5" customHeight="1" x14ac:dyDescent="0.5">
      <c r="A177" s="2" t="s">
        <v>900</v>
      </c>
      <c r="B177" s="2" t="s">
        <v>3838</v>
      </c>
      <c r="C177" s="2" t="s">
        <v>3839</v>
      </c>
      <c r="D177" s="2">
        <v>1</v>
      </c>
      <c r="E177" s="2" t="s">
        <v>108</v>
      </c>
      <c r="F177" s="2" t="s">
        <v>807</v>
      </c>
      <c r="G177" s="2" t="s">
        <v>297</v>
      </c>
      <c r="H177" s="2" t="s">
        <v>3488</v>
      </c>
      <c r="I177" s="2" t="s">
        <v>3489</v>
      </c>
    </row>
    <row r="178" spans="1:9" ht="43.5" customHeight="1" x14ac:dyDescent="0.5">
      <c r="A178" s="2" t="s">
        <v>902</v>
      </c>
      <c r="B178" s="2" t="s">
        <v>3840</v>
      </c>
      <c r="C178" s="2" t="s">
        <v>3841</v>
      </c>
      <c r="D178" s="2">
        <v>1</v>
      </c>
      <c r="E178" s="2" t="s">
        <v>108</v>
      </c>
      <c r="F178" s="2" t="s">
        <v>812</v>
      </c>
      <c r="G178" s="2" t="s">
        <v>297</v>
      </c>
      <c r="H178" s="2" t="s">
        <v>3488</v>
      </c>
      <c r="I178" s="2" t="s">
        <v>3489</v>
      </c>
    </row>
    <row r="179" spans="1:9" ht="43.5" customHeight="1" x14ac:dyDescent="0.5">
      <c r="A179" s="2" t="s">
        <v>904</v>
      </c>
      <c r="B179" s="2" t="s">
        <v>3842</v>
      </c>
      <c r="C179" s="2" t="s">
        <v>3843</v>
      </c>
      <c r="D179" s="2">
        <v>1</v>
      </c>
      <c r="E179" s="2" t="s">
        <v>108</v>
      </c>
      <c r="F179" s="2" t="s">
        <v>816</v>
      </c>
      <c r="G179" s="2" t="s">
        <v>297</v>
      </c>
      <c r="H179" s="2" t="s">
        <v>3488</v>
      </c>
      <c r="I179" s="2" t="s">
        <v>3489</v>
      </c>
    </row>
    <row r="180" spans="1:9" ht="43.5" customHeight="1" x14ac:dyDescent="0.5">
      <c r="A180" s="2" t="s">
        <v>906</v>
      </c>
      <c r="B180" s="2" t="s">
        <v>3844</v>
      </c>
      <c r="C180" s="2" t="s">
        <v>3845</v>
      </c>
      <c r="D180" s="2">
        <v>1</v>
      </c>
      <c r="E180" s="2" t="s">
        <v>108</v>
      </c>
      <c r="F180" s="2" t="s">
        <v>820</v>
      </c>
      <c r="G180" s="2" t="s">
        <v>297</v>
      </c>
      <c r="H180" s="2" t="s">
        <v>3488</v>
      </c>
      <c r="I180" s="2" t="s">
        <v>3489</v>
      </c>
    </row>
    <row r="181" spans="1:9" ht="43.5" customHeight="1" x14ac:dyDescent="0.5">
      <c r="A181" s="2" t="s">
        <v>908</v>
      </c>
      <c r="B181" s="2" t="s">
        <v>3846</v>
      </c>
      <c r="C181" s="2" t="s">
        <v>3847</v>
      </c>
      <c r="D181" s="2">
        <v>1</v>
      </c>
      <c r="E181" s="2" t="s">
        <v>108</v>
      </c>
      <c r="F181" s="2" t="s">
        <v>909</v>
      </c>
      <c r="G181" s="2" t="s">
        <v>274</v>
      </c>
      <c r="H181" s="2" t="s">
        <v>3488</v>
      </c>
      <c r="I181" s="2" t="s">
        <v>3489</v>
      </c>
    </row>
    <row r="182" spans="1:9" ht="43.5" customHeight="1" x14ac:dyDescent="0.5">
      <c r="A182" s="2" t="s">
        <v>913</v>
      </c>
      <c r="B182" s="2" t="s">
        <v>3848</v>
      </c>
      <c r="C182" s="2" t="s">
        <v>3849</v>
      </c>
      <c r="D182" s="2">
        <v>1</v>
      </c>
      <c r="E182" s="2" t="s">
        <v>108</v>
      </c>
      <c r="F182" s="2" t="s">
        <v>914</v>
      </c>
      <c r="G182" s="2" t="s">
        <v>274</v>
      </c>
      <c r="H182" s="2" t="s">
        <v>3488</v>
      </c>
      <c r="I182" s="2" t="s">
        <v>3489</v>
      </c>
    </row>
    <row r="183" spans="1:9" ht="43.5" customHeight="1" x14ac:dyDescent="0.5">
      <c r="A183" s="2" t="s">
        <v>917</v>
      </c>
      <c r="B183" s="2" t="s">
        <v>3850</v>
      </c>
      <c r="C183" s="2" t="s">
        <v>3851</v>
      </c>
      <c r="D183" s="2">
        <v>1</v>
      </c>
      <c r="E183" s="2" t="s">
        <v>108</v>
      </c>
      <c r="F183" s="2" t="s">
        <v>918</v>
      </c>
      <c r="G183" s="2" t="s">
        <v>297</v>
      </c>
      <c r="H183" s="2" t="s">
        <v>3488</v>
      </c>
      <c r="I183" s="2" t="s">
        <v>3489</v>
      </c>
    </row>
    <row r="184" spans="1:9" ht="43.5" customHeight="1" x14ac:dyDescent="0.5">
      <c r="A184" s="2" t="s">
        <v>920</v>
      </c>
      <c r="B184" s="2" t="s">
        <v>3852</v>
      </c>
      <c r="C184" s="2" t="s">
        <v>3853</v>
      </c>
      <c r="D184" s="2">
        <v>1</v>
      </c>
      <c r="E184" s="2" t="s">
        <v>108</v>
      </c>
      <c r="F184" s="2" t="s">
        <v>921</v>
      </c>
      <c r="G184" s="2" t="s">
        <v>297</v>
      </c>
      <c r="H184" s="2" t="s">
        <v>3488</v>
      </c>
      <c r="I184" s="2" t="s">
        <v>3489</v>
      </c>
    </row>
    <row r="185" spans="1:9" ht="43.5" customHeight="1" x14ac:dyDescent="0.5">
      <c r="A185" s="2" t="s">
        <v>925</v>
      </c>
      <c r="B185" s="2" t="s">
        <v>3854</v>
      </c>
      <c r="C185" s="2" t="s">
        <v>3855</v>
      </c>
      <c r="D185" s="2">
        <v>1</v>
      </c>
      <c r="E185" s="2" t="s">
        <v>108</v>
      </c>
      <c r="F185" s="2" t="s">
        <v>926</v>
      </c>
      <c r="G185" s="2" t="s">
        <v>297</v>
      </c>
      <c r="H185" s="2" t="s">
        <v>3488</v>
      </c>
      <c r="I185" s="2" t="s">
        <v>3489</v>
      </c>
    </row>
    <row r="186" spans="1:9" ht="43.5" customHeight="1" x14ac:dyDescent="0.5">
      <c r="A186" s="2" t="s">
        <v>929</v>
      </c>
      <c r="B186" s="2" t="s">
        <v>3856</v>
      </c>
      <c r="C186" s="2" t="s">
        <v>3857</v>
      </c>
      <c r="D186" s="2">
        <v>1</v>
      </c>
      <c r="E186" s="2" t="s">
        <v>108</v>
      </c>
      <c r="F186" s="2" t="s">
        <v>930</v>
      </c>
      <c r="G186" s="2" t="s">
        <v>297</v>
      </c>
      <c r="H186" s="2" t="s">
        <v>3488</v>
      </c>
      <c r="I186" s="2" t="s">
        <v>3489</v>
      </c>
    </row>
    <row r="187" spans="1:9" ht="43.5" customHeight="1" x14ac:dyDescent="0.5">
      <c r="A187" s="2" t="s">
        <v>933</v>
      </c>
      <c r="B187" s="2" t="s">
        <v>3858</v>
      </c>
      <c r="C187" s="2" t="s">
        <v>3859</v>
      </c>
      <c r="D187" s="2">
        <v>1</v>
      </c>
      <c r="E187" s="2" t="s">
        <v>108</v>
      </c>
      <c r="F187" s="2" t="s">
        <v>934</v>
      </c>
      <c r="G187" s="2" t="s">
        <v>297</v>
      </c>
      <c r="H187" s="2" t="s">
        <v>3488</v>
      </c>
      <c r="I187" s="2" t="s">
        <v>3489</v>
      </c>
    </row>
    <row r="188" spans="1:9" ht="43.5" customHeight="1" x14ac:dyDescent="0.5">
      <c r="A188" s="2" t="s">
        <v>937</v>
      </c>
      <c r="B188" s="2" t="s">
        <v>3860</v>
      </c>
      <c r="C188" s="2" t="s">
        <v>3861</v>
      </c>
      <c r="D188" s="2">
        <v>1</v>
      </c>
      <c r="E188" s="2" t="s">
        <v>108</v>
      </c>
      <c r="F188" s="2" t="s">
        <v>938</v>
      </c>
      <c r="G188" s="2" t="s">
        <v>274</v>
      </c>
      <c r="H188" s="2" t="s">
        <v>3488</v>
      </c>
      <c r="I188" s="2" t="s">
        <v>3489</v>
      </c>
    </row>
    <row r="189" spans="1:9" ht="43.5" customHeight="1" x14ac:dyDescent="0.5">
      <c r="A189" s="2" t="s">
        <v>941</v>
      </c>
      <c r="B189" s="2" t="s">
        <v>3862</v>
      </c>
      <c r="C189" s="2" t="s">
        <v>3863</v>
      </c>
      <c r="D189" s="2">
        <v>1</v>
      </c>
      <c r="E189" s="2" t="s">
        <v>108</v>
      </c>
      <c r="F189" s="2" t="s">
        <v>942</v>
      </c>
      <c r="G189" s="2" t="s">
        <v>274</v>
      </c>
      <c r="H189" s="2" t="s">
        <v>3488</v>
      </c>
      <c r="I189" s="2" t="s">
        <v>3489</v>
      </c>
    </row>
    <row r="190" spans="1:9" ht="43.5" customHeight="1" x14ac:dyDescent="0.5">
      <c r="A190" s="2" t="s">
        <v>944</v>
      </c>
      <c r="B190" s="2" t="s">
        <v>3864</v>
      </c>
      <c r="C190" s="2" t="s">
        <v>3865</v>
      </c>
      <c r="D190" s="2">
        <v>1</v>
      </c>
      <c r="E190" s="2" t="s">
        <v>108</v>
      </c>
      <c r="F190" s="2" t="s">
        <v>945</v>
      </c>
      <c r="G190" s="2" t="s">
        <v>297</v>
      </c>
      <c r="H190" s="2" t="s">
        <v>3488</v>
      </c>
      <c r="I190" s="2" t="s">
        <v>3489</v>
      </c>
    </row>
    <row r="191" spans="1:9" ht="43.5" customHeight="1" x14ac:dyDescent="0.5">
      <c r="A191" s="2" t="s">
        <v>947</v>
      </c>
      <c r="B191" s="2" t="s">
        <v>3866</v>
      </c>
      <c r="C191" s="2" t="s">
        <v>3867</v>
      </c>
      <c r="D191" s="2">
        <v>1</v>
      </c>
      <c r="E191" s="2" t="s">
        <v>108</v>
      </c>
      <c r="F191" s="2" t="s">
        <v>948</v>
      </c>
      <c r="G191" s="2" t="s">
        <v>297</v>
      </c>
      <c r="H191" s="2" t="s">
        <v>3488</v>
      </c>
      <c r="I191" s="2" t="s">
        <v>3489</v>
      </c>
    </row>
    <row r="192" spans="1:9" ht="43.5" customHeight="1" x14ac:dyDescent="0.5">
      <c r="A192" s="2" t="s">
        <v>950</v>
      </c>
      <c r="B192" s="2" t="s">
        <v>3868</v>
      </c>
      <c r="C192" s="2" t="s">
        <v>3869</v>
      </c>
      <c r="D192" s="2">
        <v>1</v>
      </c>
      <c r="E192" s="2" t="s">
        <v>108</v>
      </c>
      <c r="F192" s="2" t="s">
        <v>951</v>
      </c>
      <c r="G192" s="2" t="s">
        <v>297</v>
      </c>
      <c r="H192" s="2" t="s">
        <v>3488</v>
      </c>
      <c r="I192" s="2" t="s">
        <v>3489</v>
      </c>
    </row>
    <row r="193" spans="1:9" ht="43.5" customHeight="1" x14ac:dyDescent="0.5">
      <c r="A193" s="2" t="s">
        <v>953</v>
      </c>
      <c r="B193" s="2" t="s">
        <v>3870</v>
      </c>
      <c r="C193" s="2" t="s">
        <v>3871</v>
      </c>
      <c r="D193" s="2">
        <v>1</v>
      </c>
      <c r="E193" s="2" t="s">
        <v>108</v>
      </c>
      <c r="F193" s="2" t="s">
        <v>954</v>
      </c>
      <c r="G193" s="2" t="s">
        <v>297</v>
      </c>
      <c r="H193" s="2" t="s">
        <v>3488</v>
      </c>
      <c r="I193" s="2" t="s">
        <v>3489</v>
      </c>
    </row>
    <row r="194" spans="1:9" ht="43.5" customHeight="1" x14ac:dyDescent="0.5">
      <c r="A194" s="2" t="s">
        <v>956</v>
      </c>
      <c r="B194" s="2" t="s">
        <v>3872</v>
      </c>
      <c r="C194" s="2" t="s">
        <v>3873</v>
      </c>
      <c r="D194" s="2">
        <v>1</v>
      </c>
      <c r="E194" s="2" t="s">
        <v>108</v>
      </c>
      <c r="F194" s="2" t="s">
        <v>957</v>
      </c>
      <c r="G194" s="2" t="s">
        <v>297</v>
      </c>
      <c r="H194" s="2" t="s">
        <v>3488</v>
      </c>
      <c r="I194" s="2" t="s">
        <v>3489</v>
      </c>
    </row>
    <row r="195" spans="1:9" ht="43.5" customHeight="1" x14ac:dyDescent="0.5">
      <c r="A195" s="2" t="s">
        <v>959</v>
      </c>
      <c r="B195" s="2" t="s">
        <v>3874</v>
      </c>
      <c r="C195" s="2" t="s">
        <v>3875</v>
      </c>
      <c r="D195" s="2">
        <v>1</v>
      </c>
      <c r="E195" s="2" t="s">
        <v>108</v>
      </c>
      <c r="F195" s="2" t="s">
        <v>960</v>
      </c>
      <c r="G195" s="2" t="s">
        <v>274</v>
      </c>
      <c r="H195" s="2" t="s">
        <v>3488</v>
      </c>
      <c r="I195" s="2" t="s">
        <v>3489</v>
      </c>
    </row>
    <row r="196" spans="1:9" ht="43.5" customHeight="1" x14ac:dyDescent="0.5">
      <c r="A196" s="2" t="s">
        <v>963</v>
      </c>
      <c r="B196" s="2" t="s">
        <v>3876</v>
      </c>
      <c r="C196" s="2" t="s">
        <v>3877</v>
      </c>
      <c r="D196" s="2">
        <v>1</v>
      </c>
      <c r="E196" s="2" t="s">
        <v>108</v>
      </c>
      <c r="F196" s="2" t="s">
        <v>964</v>
      </c>
      <c r="G196" s="2" t="s">
        <v>274</v>
      </c>
      <c r="H196" s="2" t="s">
        <v>3488</v>
      </c>
      <c r="I196" s="2" t="s">
        <v>3489</v>
      </c>
    </row>
    <row r="197" spans="1:9" ht="43.5" customHeight="1" x14ac:dyDescent="0.5">
      <c r="A197" s="2" t="s">
        <v>966</v>
      </c>
      <c r="B197" s="2" t="s">
        <v>3878</v>
      </c>
      <c r="C197" s="2" t="s">
        <v>3879</v>
      </c>
      <c r="D197" s="2">
        <v>1</v>
      </c>
      <c r="E197" s="2" t="s">
        <v>108</v>
      </c>
      <c r="F197" s="2" t="s">
        <v>967</v>
      </c>
      <c r="G197" s="2" t="s">
        <v>274</v>
      </c>
      <c r="H197" s="2" t="s">
        <v>3488</v>
      </c>
      <c r="I197" s="2" t="s">
        <v>3489</v>
      </c>
    </row>
    <row r="198" spans="1:9" ht="43.5" customHeight="1" x14ac:dyDescent="0.5">
      <c r="A198" s="2" t="s">
        <v>969</v>
      </c>
      <c r="B198" s="2" t="s">
        <v>3880</v>
      </c>
      <c r="C198" s="2" t="s">
        <v>3881</v>
      </c>
      <c r="D198" s="2">
        <v>1</v>
      </c>
      <c r="E198" s="2" t="s">
        <v>108</v>
      </c>
      <c r="F198" s="2" t="s">
        <v>970</v>
      </c>
      <c r="G198" s="2" t="s">
        <v>297</v>
      </c>
      <c r="H198" s="2" t="s">
        <v>3488</v>
      </c>
      <c r="I198" s="2" t="s">
        <v>3489</v>
      </c>
    </row>
    <row r="199" spans="1:9" ht="43.5" customHeight="1" x14ac:dyDescent="0.5">
      <c r="A199" s="2" t="s">
        <v>972</v>
      </c>
      <c r="B199" s="2" t="s">
        <v>3882</v>
      </c>
      <c r="C199" s="2" t="s">
        <v>3883</v>
      </c>
      <c r="D199" s="2">
        <v>1</v>
      </c>
      <c r="E199" s="2" t="s">
        <v>108</v>
      </c>
      <c r="F199" s="2" t="s">
        <v>973</v>
      </c>
      <c r="G199" s="2" t="s">
        <v>297</v>
      </c>
      <c r="H199" s="2" t="s">
        <v>3488</v>
      </c>
      <c r="I199" s="2" t="s">
        <v>3489</v>
      </c>
    </row>
    <row r="200" spans="1:9" ht="43.5" customHeight="1" x14ac:dyDescent="0.5">
      <c r="A200" s="2" t="s">
        <v>975</v>
      </c>
      <c r="B200" s="2" t="s">
        <v>3884</v>
      </c>
      <c r="C200" s="2" t="s">
        <v>3885</v>
      </c>
      <c r="D200" s="2">
        <v>1</v>
      </c>
      <c r="E200" s="2" t="s">
        <v>108</v>
      </c>
      <c r="F200" s="2" t="s">
        <v>976</v>
      </c>
      <c r="G200" s="2" t="s">
        <v>297</v>
      </c>
      <c r="H200" s="2" t="s">
        <v>3488</v>
      </c>
      <c r="I200" s="2" t="s">
        <v>3489</v>
      </c>
    </row>
    <row r="201" spans="1:9" ht="43.5" customHeight="1" x14ac:dyDescent="0.5">
      <c r="A201" s="2" t="s">
        <v>978</v>
      </c>
      <c r="B201" s="2" t="s">
        <v>3886</v>
      </c>
      <c r="C201" s="2" t="s">
        <v>3887</v>
      </c>
      <c r="D201" s="2">
        <v>1</v>
      </c>
      <c r="E201" s="2" t="s">
        <v>108</v>
      </c>
      <c r="F201" s="2" t="s">
        <v>979</v>
      </c>
      <c r="G201" s="2" t="s">
        <v>297</v>
      </c>
      <c r="H201" s="2" t="s">
        <v>3488</v>
      </c>
      <c r="I201" s="2" t="s">
        <v>3489</v>
      </c>
    </row>
    <row r="202" spans="1:9" ht="43.5" customHeight="1" x14ac:dyDescent="0.5">
      <c r="A202" s="2" t="s">
        <v>981</v>
      </c>
      <c r="B202" s="2" t="s">
        <v>3888</v>
      </c>
      <c r="C202" s="2" t="s">
        <v>3889</v>
      </c>
      <c r="D202" s="2">
        <v>1</v>
      </c>
      <c r="E202" s="2" t="s">
        <v>108</v>
      </c>
      <c r="F202" s="2" t="s">
        <v>982</v>
      </c>
      <c r="G202" s="2" t="s">
        <v>274</v>
      </c>
      <c r="H202" s="2" t="s">
        <v>3488</v>
      </c>
      <c r="I202" s="2" t="s">
        <v>3489</v>
      </c>
    </row>
    <row r="203" spans="1:9" ht="43.5" customHeight="1" x14ac:dyDescent="0.5">
      <c r="A203" s="2" t="s">
        <v>985</v>
      </c>
      <c r="B203" s="2" t="s">
        <v>3890</v>
      </c>
      <c r="C203" s="2" t="s">
        <v>3891</v>
      </c>
      <c r="D203" s="2">
        <v>1</v>
      </c>
      <c r="E203" s="2" t="s">
        <v>108</v>
      </c>
      <c r="F203" s="2" t="s">
        <v>986</v>
      </c>
      <c r="G203" s="2" t="s">
        <v>274</v>
      </c>
      <c r="H203" s="2" t="s">
        <v>3488</v>
      </c>
      <c r="I203" s="2" t="s">
        <v>3489</v>
      </c>
    </row>
    <row r="204" spans="1:9" ht="43.5" customHeight="1" x14ac:dyDescent="0.5">
      <c r="A204" s="2" t="s">
        <v>989</v>
      </c>
      <c r="B204" s="2" t="s">
        <v>3892</v>
      </c>
      <c r="C204" s="2" t="s">
        <v>3893</v>
      </c>
      <c r="D204" s="2">
        <v>1</v>
      </c>
      <c r="E204" s="2" t="s">
        <v>108</v>
      </c>
      <c r="F204" s="2" t="s">
        <v>990</v>
      </c>
      <c r="G204" s="2" t="s">
        <v>274</v>
      </c>
      <c r="H204" s="2" t="s">
        <v>3488</v>
      </c>
      <c r="I204" s="2" t="s">
        <v>3489</v>
      </c>
    </row>
    <row r="205" spans="1:9" ht="43.5" customHeight="1" x14ac:dyDescent="0.5">
      <c r="A205" s="2" t="s">
        <v>992</v>
      </c>
      <c r="B205" s="2" t="s">
        <v>3894</v>
      </c>
      <c r="C205" s="2" t="s">
        <v>3895</v>
      </c>
      <c r="D205" s="2">
        <v>1</v>
      </c>
      <c r="E205" s="2" t="s">
        <v>108</v>
      </c>
      <c r="F205" s="2" t="s">
        <v>993</v>
      </c>
      <c r="G205" s="2" t="s">
        <v>297</v>
      </c>
      <c r="H205" s="2" t="s">
        <v>3488</v>
      </c>
      <c r="I205" s="2" t="s">
        <v>3489</v>
      </c>
    </row>
    <row r="206" spans="1:9" ht="43.5" customHeight="1" x14ac:dyDescent="0.5">
      <c r="A206" s="2" t="s">
        <v>997</v>
      </c>
      <c r="B206" s="2" t="s">
        <v>3896</v>
      </c>
      <c r="C206" s="2" t="s">
        <v>3897</v>
      </c>
      <c r="D206" s="2">
        <v>1</v>
      </c>
      <c r="E206" s="2" t="s">
        <v>108</v>
      </c>
      <c r="F206" s="2" t="s">
        <v>998</v>
      </c>
      <c r="G206" s="2" t="s">
        <v>297</v>
      </c>
      <c r="H206" s="2" t="s">
        <v>3488</v>
      </c>
      <c r="I206" s="2" t="s">
        <v>3489</v>
      </c>
    </row>
    <row r="207" spans="1:9" ht="43.5" customHeight="1" x14ac:dyDescent="0.5">
      <c r="A207" s="2" t="s">
        <v>1001</v>
      </c>
      <c r="B207" s="2" t="s">
        <v>3898</v>
      </c>
      <c r="C207" s="2" t="s">
        <v>3899</v>
      </c>
      <c r="D207" s="2">
        <v>1</v>
      </c>
      <c r="E207" s="2" t="s">
        <v>108</v>
      </c>
      <c r="F207" s="2" t="s">
        <v>1002</v>
      </c>
      <c r="G207" s="2" t="s">
        <v>297</v>
      </c>
      <c r="H207" s="2" t="s">
        <v>3488</v>
      </c>
      <c r="I207" s="2" t="s">
        <v>3489</v>
      </c>
    </row>
    <row r="208" spans="1:9" ht="43.5" customHeight="1" x14ac:dyDescent="0.5">
      <c r="A208" s="2" t="s">
        <v>1005</v>
      </c>
      <c r="B208" s="2" t="s">
        <v>3900</v>
      </c>
      <c r="C208" s="2" t="s">
        <v>3901</v>
      </c>
      <c r="D208" s="2">
        <v>1</v>
      </c>
      <c r="E208" s="2" t="s">
        <v>108</v>
      </c>
      <c r="F208" s="2" t="s">
        <v>1006</v>
      </c>
      <c r="G208" s="2" t="s">
        <v>297</v>
      </c>
      <c r="H208" s="2" t="s">
        <v>3488</v>
      </c>
      <c r="I208" s="2" t="s">
        <v>3489</v>
      </c>
    </row>
    <row r="209" spans="1:9" ht="43.5" customHeight="1" x14ac:dyDescent="0.5">
      <c r="A209" s="2" t="s">
        <v>1009</v>
      </c>
      <c r="B209" s="2" t="s">
        <v>3902</v>
      </c>
      <c r="C209" s="2" t="s">
        <v>3903</v>
      </c>
      <c r="D209" s="2">
        <v>1</v>
      </c>
      <c r="E209" s="2" t="s">
        <v>111</v>
      </c>
      <c r="F209" s="2" t="s">
        <v>1010</v>
      </c>
      <c r="G209" s="2" t="s">
        <v>274</v>
      </c>
      <c r="H209" s="2" t="s">
        <v>3488</v>
      </c>
      <c r="I209" s="2" t="s">
        <v>3489</v>
      </c>
    </row>
    <row r="210" spans="1:9" ht="43.5" customHeight="1" x14ac:dyDescent="0.5">
      <c r="A210" s="2" t="s">
        <v>1014</v>
      </c>
      <c r="B210" s="2" t="s">
        <v>3904</v>
      </c>
      <c r="C210" s="2" t="s">
        <v>3905</v>
      </c>
      <c r="D210" s="2">
        <v>1</v>
      </c>
      <c r="E210" s="2" t="s">
        <v>111</v>
      </c>
      <c r="F210" s="2" t="s">
        <v>1015</v>
      </c>
      <c r="G210" s="2" t="s">
        <v>274</v>
      </c>
      <c r="H210" s="2" t="s">
        <v>3488</v>
      </c>
      <c r="I210" s="2" t="s">
        <v>3489</v>
      </c>
    </row>
    <row r="211" spans="1:9" ht="43.5" customHeight="1" x14ac:dyDescent="0.5">
      <c r="A211" s="2" t="s">
        <v>1018</v>
      </c>
      <c r="B211" s="2" t="s">
        <v>3906</v>
      </c>
      <c r="C211" s="2" t="s">
        <v>3907</v>
      </c>
      <c r="D211" s="2">
        <v>1</v>
      </c>
      <c r="E211" s="2" t="s">
        <v>111</v>
      </c>
      <c r="F211" s="2" t="s">
        <v>1019</v>
      </c>
      <c r="G211" s="2" t="s">
        <v>297</v>
      </c>
      <c r="H211" s="2" t="s">
        <v>3488</v>
      </c>
      <c r="I211" s="2" t="s">
        <v>3489</v>
      </c>
    </row>
    <row r="212" spans="1:9" ht="43.5" customHeight="1" x14ac:dyDescent="0.5">
      <c r="A212" s="2" t="s">
        <v>1021</v>
      </c>
      <c r="B212" s="2" t="s">
        <v>3908</v>
      </c>
      <c r="C212" s="2" t="s">
        <v>3909</v>
      </c>
      <c r="D212" s="2">
        <v>1</v>
      </c>
      <c r="E212" s="2" t="s">
        <v>111</v>
      </c>
      <c r="F212" s="2" t="s">
        <v>1022</v>
      </c>
      <c r="G212" s="2" t="s">
        <v>297</v>
      </c>
      <c r="H212" s="2" t="s">
        <v>3488</v>
      </c>
      <c r="I212" s="2" t="s">
        <v>3489</v>
      </c>
    </row>
    <row r="213" spans="1:9" ht="43.5" customHeight="1" x14ac:dyDescent="0.5">
      <c r="A213" s="2" t="s">
        <v>1024</v>
      </c>
      <c r="B213" s="2" t="s">
        <v>3910</v>
      </c>
      <c r="C213" s="2" t="s">
        <v>3911</v>
      </c>
      <c r="D213" s="2">
        <v>1</v>
      </c>
      <c r="E213" s="2" t="s">
        <v>111</v>
      </c>
      <c r="F213" s="2" t="s">
        <v>1025</v>
      </c>
      <c r="G213" s="2" t="s">
        <v>297</v>
      </c>
      <c r="H213" s="2" t="s">
        <v>3488</v>
      </c>
      <c r="I213" s="2" t="s">
        <v>3489</v>
      </c>
    </row>
    <row r="214" spans="1:9" ht="43.5" customHeight="1" x14ac:dyDescent="0.5">
      <c r="A214" s="2" t="s">
        <v>1027</v>
      </c>
      <c r="B214" s="2" t="s">
        <v>3912</v>
      </c>
      <c r="C214" s="2" t="s">
        <v>3913</v>
      </c>
      <c r="D214" s="2">
        <v>1</v>
      </c>
      <c r="E214" s="2" t="s">
        <v>111</v>
      </c>
      <c r="F214" s="2" t="s">
        <v>1028</v>
      </c>
      <c r="G214" s="2" t="s">
        <v>297</v>
      </c>
      <c r="H214" s="2" t="s">
        <v>3488</v>
      </c>
      <c r="I214" s="2" t="s">
        <v>3489</v>
      </c>
    </row>
    <row r="215" spans="1:9" ht="43.5" customHeight="1" x14ac:dyDescent="0.5">
      <c r="A215" s="2" t="s">
        <v>1030</v>
      </c>
      <c r="B215" s="2" t="s">
        <v>3914</v>
      </c>
      <c r="C215" s="2" t="s">
        <v>3915</v>
      </c>
      <c r="D215" s="2">
        <v>1</v>
      </c>
      <c r="E215" s="2" t="s">
        <v>111</v>
      </c>
      <c r="F215" s="2" t="s">
        <v>1031</v>
      </c>
      <c r="G215" s="2" t="s">
        <v>297</v>
      </c>
      <c r="H215" s="2" t="s">
        <v>3488</v>
      </c>
      <c r="I215" s="2" t="s">
        <v>3489</v>
      </c>
    </row>
    <row r="216" spans="1:9" ht="43.5" customHeight="1" x14ac:dyDescent="0.5">
      <c r="A216" s="2" t="s">
        <v>1037</v>
      </c>
      <c r="B216" s="2" t="s">
        <v>3916</v>
      </c>
      <c r="C216" s="2" t="s">
        <v>3917</v>
      </c>
      <c r="D216" s="2">
        <v>1</v>
      </c>
      <c r="E216" s="2" t="s">
        <v>111</v>
      </c>
      <c r="F216" s="2" t="s">
        <v>1038</v>
      </c>
      <c r="G216" s="2" t="s">
        <v>274</v>
      </c>
      <c r="H216" s="2" t="s">
        <v>3488</v>
      </c>
      <c r="I216" s="2" t="s">
        <v>3489</v>
      </c>
    </row>
    <row r="217" spans="1:9" ht="43.5" customHeight="1" x14ac:dyDescent="0.5">
      <c r="A217" s="2" t="s">
        <v>1042</v>
      </c>
      <c r="B217" s="2" t="s">
        <v>3918</v>
      </c>
      <c r="C217" s="2" t="s">
        <v>3919</v>
      </c>
      <c r="D217" s="2">
        <v>1</v>
      </c>
      <c r="E217" s="2" t="s">
        <v>111</v>
      </c>
      <c r="F217" s="2" t="s">
        <v>1043</v>
      </c>
      <c r="G217" s="2" t="s">
        <v>274</v>
      </c>
      <c r="H217" s="2" t="s">
        <v>3488</v>
      </c>
      <c r="I217" s="2" t="s">
        <v>3489</v>
      </c>
    </row>
    <row r="218" spans="1:9" ht="43.5" customHeight="1" x14ac:dyDescent="0.5">
      <c r="A218" s="2" t="s">
        <v>1046</v>
      </c>
      <c r="B218" s="2" t="s">
        <v>3920</v>
      </c>
      <c r="C218" s="2" t="s">
        <v>3921</v>
      </c>
      <c r="D218" s="2">
        <v>1</v>
      </c>
      <c r="E218" s="2" t="s">
        <v>111</v>
      </c>
      <c r="F218" s="2" t="s">
        <v>1047</v>
      </c>
      <c r="G218" s="2" t="s">
        <v>297</v>
      </c>
      <c r="H218" s="2" t="s">
        <v>3488</v>
      </c>
      <c r="I218" s="2" t="s">
        <v>3489</v>
      </c>
    </row>
    <row r="219" spans="1:9" ht="43.5" customHeight="1" x14ac:dyDescent="0.5">
      <c r="A219" s="2" t="s">
        <v>1049</v>
      </c>
      <c r="B219" s="2" t="s">
        <v>3922</v>
      </c>
      <c r="C219" s="2" t="s">
        <v>3923</v>
      </c>
      <c r="D219" s="2">
        <v>1</v>
      </c>
      <c r="E219" s="2" t="s">
        <v>111</v>
      </c>
      <c r="F219" s="2" t="s">
        <v>1050</v>
      </c>
      <c r="G219" s="2" t="s">
        <v>297</v>
      </c>
      <c r="H219" s="2" t="s">
        <v>3488</v>
      </c>
      <c r="I219" s="2" t="s">
        <v>3489</v>
      </c>
    </row>
    <row r="220" spans="1:9" ht="43.5" customHeight="1" x14ac:dyDescent="0.5">
      <c r="A220" s="2" t="s">
        <v>1052</v>
      </c>
      <c r="B220" s="2" t="s">
        <v>3924</v>
      </c>
      <c r="C220" s="2" t="s">
        <v>3925</v>
      </c>
      <c r="D220" s="2">
        <v>1</v>
      </c>
      <c r="E220" s="2" t="s">
        <v>111</v>
      </c>
      <c r="F220" s="2" t="s">
        <v>1053</v>
      </c>
      <c r="G220" s="2" t="s">
        <v>297</v>
      </c>
      <c r="H220" s="2" t="s">
        <v>3488</v>
      </c>
      <c r="I220" s="2" t="s">
        <v>3489</v>
      </c>
    </row>
    <row r="221" spans="1:9" ht="43.5" customHeight="1" x14ac:dyDescent="0.5">
      <c r="A221" s="2" t="s">
        <v>1055</v>
      </c>
      <c r="B221" s="2" t="s">
        <v>3926</v>
      </c>
      <c r="C221" s="2" t="s">
        <v>3927</v>
      </c>
      <c r="D221" s="2">
        <v>1</v>
      </c>
      <c r="E221" s="2" t="s">
        <v>111</v>
      </c>
      <c r="F221" s="2" t="s">
        <v>1056</v>
      </c>
      <c r="G221" s="2" t="s">
        <v>297</v>
      </c>
      <c r="H221" s="2" t="s">
        <v>3488</v>
      </c>
      <c r="I221" s="2" t="s">
        <v>3489</v>
      </c>
    </row>
    <row r="222" spans="1:9" ht="43.5" customHeight="1" x14ac:dyDescent="0.5">
      <c r="A222" s="2" t="s">
        <v>1058</v>
      </c>
      <c r="B222" s="2" t="s">
        <v>3928</v>
      </c>
      <c r="C222" s="2" t="s">
        <v>3929</v>
      </c>
      <c r="D222" s="2">
        <v>1</v>
      </c>
      <c r="E222" s="2" t="s">
        <v>111</v>
      </c>
      <c r="F222" s="2" t="s">
        <v>1059</v>
      </c>
      <c r="G222" s="2" t="s">
        <v>297</v>
      </c>
      <c r="H222" s="2" t="s">
        <v>3488</v>
      </c>
      <c r="I222" s="2" t="s">
        <v>3489</v>
      </c>
    </row>
    <row r="223" spans="1:9" ht="43.5" customHeight="1" x14ac:dyDescent="0.5">
      <c r="A223" s="2" t="s">
        <v>1061</v>
      </c>
      <c r="B223" s="2" t="s">
        <v>3930</v>
      </c>
      <c r="C223" s="2" t="s">
        <v>3931</v>
      </c>
      <c r="D223" s="2">
        <v>1</v>
      </c>
      <c r="E223" s="2" t="s">
        <v>114</v>
      </c>
      <c r="F223" s="2" t="s">
        <v>1062</v>
      </c>
      <c r="G223" s="2" t="s">
        <v>274</v>
      </c>
      <c r="H223" s="2" t="s">
        <v>3488</v>
      </c>
      <c r="I223" s="2" t="s">
        <v>3489</v>
      </c>
    </row>
    <row r="224" spans="1:9" ht="43.5" customHeight="1" x14ac:dyDescent="0.5">
      <c r="A224" s="2" t="s">
        <v>1065</v>
      </c>
      <c r="B224" s="2" t="s">
        <v>3932</v>
      </c>
      <c r="C224" s="2" t="s">
        <v>3933</v>
      </c>
      <c r="D224" s="2">
        <v>1</v>
      </c>
      <c r="E224" s="2" t="s">
        <v>114</v>
      </c>
      <c r="F224" s="2" t="s">
        <v>1066</v>
      </c>
      <c r="G224" s="2" t="s">
        <v>274</v>
      </c>
      <c r="H224" s="2" t="s">
        <v>3488</v>
      </c>
      <c r="I224" s="2" t="s">
        <v>3489</v>
      </c>
    </row>
    <row r="225" spans="1:9" ht="43.5" customHeight="1" x14ac:dyDescent="0.5">
      <c r="A225" s="2" t="s">
        <v>1068</v>
      </c>
      <c r="B225" s="2" t="s">
        <v>3934</v>
      </c>
      <c r="C225" s="2" t="s">
        <v>3935</v>
      </c>
      <c r="D225" s="2">
        <v>1</v>
      </c>
      <c r="E225" s="2" t="s">
        <v>114</v>
      </c>
      <c r="F225" s="2" t="s">
        <v>1069</v>
      </c>
      <c r="G225" s="2" t="s">
        <v>297</v>
      </c>
      <c r="H225" s="2" t="s">
        <v>3488</v>
      </c>
      <c r="I225" s="2" t="s">
        <v>3489</v>
      </c>
    </row>
    <row r="226" spans="1:9" ht="43.5" customHeight="1" x14ac:dyDescent="0.5">
      <c r="A226" s="2" t="s">
        <v>1071</v>
      </c>
      <c r="B226" s="2" t="s">
        <v>3936</v>
      </c>
      <c r="C226" s="2" t="s">
        <v>3937</v>
      </c>
      <c r="D226" s="2">
        <v>1</v>
      </c>
      <c r="E226" s="2" t="s">
        <v>114</v>
      </c>
      <c r="F226" s="2" t="s">
        <v>1072</v>
      </c>
      <c r="G226" s="2" t="s">
        <v>297</v>
      </c>
      <c r="H226" s="2" t="s">
        <v>3488</v>
      </c>
      <c r="I226" s="2" t="s">
        <v>3489</v>
      </c>
    </row>
    <row r="227" spans="1:9" ht="43.5" customHeight="1" x14ac:dyDescent="0.5">
      <c r="A227" s="2" t="s">
        <v>1074</v>
      </c>
      <c r="B227" s="2" t="s">
        <v>3938</v>
      </c>
      <c r="C227" s="2" t="s">
        <v>3939</v>
      </c>
      <c r="D227" s="2">
        <v>1</v>
      </c>
      <c r="E227" s="2" t="s">
        <v>114</v>
      </c>
      <c r="F227" s="2" t="s">
        <v>1075</v>
      </c>
      <c r="G227" s="2" t="s">
        <v>297</v>
      </c>
      <c r="H227" s="2" t="s">
        <v>3488</v>
      </c>
      <c r="I227" s="2" t="s">
        <v>3489</v>
      </c>
    </row>
    <row r="228" spans="1:9" ht="43.5" customHeight="1" x14ac:dyDescent="0.5">
      <c r="A228" s="2" t="s">
        <v>1077</v>
      </c>
      <c r="B228" s="2" t="s">
        <v>3940</v>
      </c>
      <c r="C228" s="2" t="s">
        <v>3941</v>
      </c>
      <c r="D228" s="2">
        <v>1</v>
      </c>
      <c r="E228" s="2" t="s">
        <v>114</v>
      </c>
      <c r="F228" s="2" t="s">
        <v>1078</v>
      </c>
      <c r="G228" s="2" t="s">
        <v>297</v>
      </c>
      <c r="H228" s="2" t="s">
        <v>3488</v>
      </c>
      <c r="I228" s="2" t="s">
        <v>3489</v>
      </c>
    </row>
    <row r="229" spans="1:9" ht="43.5" customHeight="1" x14ac:dyDescent="0.5">
      <c r="A229" s="2" t="s">
        <v>1080</v>
      </c>
      <c r="B229" s="2" t="s">
        <v>3942</v>
      </c>
      <c r="C229" s="2" t="s">
        <v>3943</v>
      </c>
      <c r="D229" s="2">
        <v>1</v>
      </c>
      <c r="E229" s="2" t="s">
        <v>114</v>
      </c>
      <c r="F229" s="2" t="s">
        <v>1081</v>
      </c>
      <c r="G229" s="2" t="s">
        <v>274</v>
      </c>
      <c r="H229" s="2" t="s">
        <v>3488</v>
      </c>
      <c r="I229" s="2" t="s">
        <v>3489</v>
      </c>
    </row>
    <row r="230" spans="1:9" ht="43.5" customHeight="1" x14ac:dyDescent="0.5">
      <c r="A230" s="2" t="s">
        <v>1083</v>
      </c>
      <c r="B230" s="2" t="s">
        <v>3944</v>
      </c>
      <c r="C230" s="2" t="s">
        <v>3945</v>
      </c>
      <c r="D230" s="2">
        <v>1</v>
      </c>
      <c r="E230" s="2" t="s">
        <v>114</v>
      </c>
      <c r="F230" s="2" t="s">
        <v>1084</v>
      </c>
      <c r="G230" s="2" t="s">
        <v>274</v>
      </c>
      <c r="H230" s="2" t="s">
        <v>3488</v>
      </c>
      <c r="I230" s="2" t="s">
        <v>3489</v>
      </c>
    </row>
    <row r="231" spans="1:9" ht="43.5" customHeight="1" x14ac:dyDescent="0.5">
      <c r="A231" s="2" t="s">
        <v>1086</v>
      </c>
      <c r="B231" s="2" t="s">
        <v>3946</v>
      </c>
      <c r="C231" s="2" t="s">
        <v>3947</v>
      </c>
      <c r="D231" s="2">
        <v>1</v>
      </c>
      <c r="E231" s="2" t="s">
        <v>114</v>
      </c>
      <c r="F231" s="2" t="s">
        <v>1087</v>
      </c>
      <c r="G231" s="2" t="s">
        <v>297</v>
      </c>
      <c r="H231" s="2" t="s">
        <v>3488</v>
      </c>
      <c r="I231" s="2" t="s">
        <v>3489</v>
      </c>
    </row>
    <row r="232" spans="1:9" ht="43.5" customHeight="1" x14ac:dyDescent="0.5">
      <c r="A232" s="2" t="s">
        <v>1089</v>
      </c>
      <c r="B232" s="2" t="s">
        <v>3948</v>
      </c>
      <c r="C232" s="2" t="s">
        <v>3949</v>
      </c>
      <c r="D232" s="2">
        <v>1</v>
      </c>
      <c r="E232" s="2" t="s">
        <v>114</v>
      </c>
      <c r="F232" s="2" t="s">
        <v>1090</v>
      </c>
      <c r="G232" s="2" t="s">
        <v>297</v>
      </c>
      <c r="H232" s="2" t="s">
        <v>3488</v>
      </c>
      <c r="I232" s="2" t="s">
        <v>3489</v>
      </c>
    </row>
    <row r="233" spans="1:9" ht="43.5" customHeight="1" x14ac:dyDescent="0.5">
      <c r="A233" s="2" t="s">
        <v>1092</v>
      </c>
      <c r="B233" s="2" t="s">
        <v>3950</v>
      </c>
      <c r="C233" s="2" t="s">
        <v>3951</v>
      </c>
      <c r="D233" s="2">
        <v>1</v>
      </c>
      <c r="E233" s="2" t="s">
        <v>114</v>
      </c>
      <c r="F233" s="2" t="s">
        <v>1093</v>
      </c>
      <c r="G233" s="2" t="s">
        <v>297</v>
      </c>
      <c r="H233" s="2" t="s">
        <v>3488</v>
      </c>
      <c r="I233" s="2" t="s">
        <v>3489</v>
      </c>
    </row>
    <row r="234" spans="1:9" ht="43.5" customHeight="1" x14ac:dyDescent="0.5">
      <c r="A234" s="2" t="s">
        <v>1095</v>
      </c>
      <c r="B234" s="2" t="s">
        <v>3952</v>
      </c>
      <c r="C234" s="2" t="s">
        <v>3953</v>
      </c>
      <c r="D234" s="2">
        <v>1</v>
      </c>
      <c r="E234" s="2" t="s">
        <v>114</v>
      </c>
      <c r="F234" s="2" t="s">
        <v>1096</v>
      </c>
      <c r="G234" s="2" t="s">
        <v>297</v>
      </c>
      <c r="H234" s="2" t="s">
        <v>3488</v>
      </c>
      <c r="I234" s="2" t="s">
        <v>3489</v>
      </c>
    </row>
    <row r="235" spans="1:9" ht="43.5" customHeight="1" x14ac:dyDescent="0.5">
      <c r="A235" s="2" t="s">
        <v>1098</v>
      </c>
      <c r="B235" s="2" t="s">
        <v>3954</v>
      </c>
      <c r="C235" s="2" t="s">
        <v>3955</v>
      </c>
      <c r="D235" s="2">
        <v>1</v>
      </c>
      <c r="E235" s="2" t="s">
        <v>117</v>
      </c>
      <c r="F235" s="2" t="s">
        <v>1099</v>
      </c>
      <c r="G235" s="2" t="s">
        <v>274</v>
      </c>
      <c r="H235" s="2" t="s">
        <v>3488</v>
      </c>
      <c r="I235" s="2" t="s">
        <v>3489</v>
      </c>
    </row>
    <row r="236" spans="1:9" ht="43.5" customHeight="1" x14ac:dyDescent="0.5">
      <c r="A236" s="2" t="s">
        <v>1103</v>
      </c>
      <c r="B236" s="2" t="s">
        <v>3956</v>
      </c>
      <c r="C236" s="2" t="s">
        <v>3957</v>
      </c>
      <c r="D236" s="2">
        <v>1</v>
      </c>
      <c r="E236" s="2" t="s">
        <v>117</v>
      </c>
      <c r="F236" s="2" t="s">
        <v>1104</v>
      </c>
      <c r="G236" s="2" t="s">
        <v>274</v>
      </c>
      <c r="H236" s="2" t="s">
        <v>3488</v>
      </c>
      <c r="I236" s="2" t="s">
        <v>3489</v>
      </c>
    </row>
    <row r="237" spans="1:9" ht="43.5" customHeight="1" x14ac:dyDescent="0.5">
      <c r="A237" s="2" t="s">
        <v>1107</v>
      </c>
      <c r="B237" s="2" t="s">
        <v>3958</v>
      </c>
      <c r="C237" s="2" t="s">
        <v>3959</v>
      </c>
      <c r="D237" s="2">
        <v>1</v>
      </c>
      <c r="E237" s="2" t="s">
        <v>117</v>
      </c>
      <c r="F237" s="2" t="s">
        <v>1108</v>
      </c>
      <c r="G237" s="2" t="s">
        <v>297</v>
      </c>
      <c r="H237" s="2" t="s">
        <v>3488</v>
      </c>
      <c r="I237" s="2" t="s">
        <v>3489</v>
      </c>
    </row>
    <row r="238" spans="1:9" ht="43.5" customHeight="1" x14ac:dyDescent="0.5">
      <c r="A238" s="2" t="s">
        <v>1110</v>
      </c>
      <c r="B238" s="2" t="s">
        <v>3960</v>
      </c>
      <c r="C238" s="2" t="s">
        <v>3961</v>
      </c>
      <c r="D238" s="2">
        <v>1</v>
      </c>
      <c r="E238" s="2" t="s">
        <v>117</v>
      </c>
      <c r="F238" s="2" t="s">
        <v>1111</v>
      </c>
      <c r="G238" s="2" t="s">
        <v>297</v>
      </c>
      <c r="H238" s="2" t="s">
        <v>3488</v>
      </c>
      <c r="I238" s="2" t="s">
        <v>3489</v>
      </c>
    </row>
    <row r="239" spans="1:9" ht="43.5" customHeight="1" x14ac:dyDescent="0.5">
      <c r="A239" s="2" t="s">
        <v>1115</v>
      </c>
      <c r="B239" s="2" t="s">
        <v>3962</v>
      </c>
      <c r="C239" s="2" t="s">
        <v>3963</v>
      </c>
      <c r="D239" s="2">
        <v>1</v>
      </c>
      <c r="E239" s="2" t="s">
        <v>117</v>
      </c>
      <c r="F239" s="2" t="s">
        <v>1116</v>
      </c>
      <c r="G239" s="2" t="s">
        <v>297</v>
      </c>
      <c r="H239" s="2" t="s">
        <v>3488</v>
      </c>
      <c r="I239" s="2" t="s">
        <v>3489</v>
      </c>
    </row>
    <row r="240" spans="1:9" ht="43.5" customHeight="1" x14ac:dyDescent="0.5">
      <c r="A240" s="2" t="s">
        <v>1119</v>
      </c>
      <c r="B240" s="2" t="s">
        <v>3964</v>
      </c>
      <c r="C240" s="2" t="s">
        <v>3965</v>
      </c>
      <c r="D240" s="2">
        <v>1</v>
      </c>
      <c r="E240" s="2" t="s">
        <v>117</v>
      </c>
      <c r="F240" s="2" t="s">
        <v>1120</v>
      </c>
      <c r="G240" s="2" t="s">
        <v>297</v>
      </c>
      <c r="H240" s="2" t="s">
        <v>3488</v>
      </c>
      <c r="I240" s="2" t="s">
        <v>3489</v>
      </c>
    </row>
    <row r="241" spans="1:9" ht="43.5" customHeight="1" x14ac:dyDescent="0.5">
      <c r="A241" s="2" t="s">
        <v>1123</v>
      </c>
      <c r="B241" s="2" t="s">
        <v>3966</v>
      </c>
      <c r="C241" s="2" t="s">
        <v>3967</v>
      </c>
      <c r="D241" s="2">
        <v>1</v>
      </c>
      <c r="E241" s="2" t="s">
        <v>117</v>
      </c>
      <c r="F241" s="2" t="s">
        <v>1124</v>
      </c>
      <c r="G241" s="2" t="s">
        <v>274</v>
      </c>
      <c r="H241" s="2" t="s">
        <v>3488</v>
      </c>
      <c r="I241" s="2" t="s">
        <v>3489</v>
      </c>
    </row>
    <row r="242" spans="1:9" ht="43.5" customHeight="1" x14ac:dyDescent="0.5">
      <c r="A242" s="2" t="s">
        <v>1126</v>
      </c>
      <c r="B242" s="2" t="s">
        <v>3968</v>
      </c>
      <c r="C242" s="2" t="s">
        <v>3969</v>
      </c>
      <c r="D242" s="2">
        <v>1</v>
      </c>
      <c r="E242" s="2" t="s">
        <v>117</v>
      </c>
      <c r="F242" s="2" t="s">
        <v>1127</v>
      </c>
      <c r="G242" s="2" t="s">
        <v>274</v>
      </c>
      <c r="H242" s="2" t="s">
        <v>3488</v>
      </c>
      <c r="I242" s="2" t="s">
        <v>3489</v>
      </c>
    </row>
    <row r="243" spans="1:9" ht="43.5" customHeight="1" x14ac:dyDescent="0.5">
      <c r="A243" s="2" t="s">
        <v>1129</v>
      </c>
      <c r="B243" s="2" t="s">
        <v>3970</v>
      </c>
      <c r="C243" s="2" t="s">
        <v>3971</v>
      </c>
      <c r="D243" s="2">
        <v>1</v>
      </c>
      <c r="E243" s="2" t="s">
        <v>117</v>
      </c>
      <c r="F243" s="2" t="s">
        <v>1130</v>
      </c>
      <c r="G243" s="2" t="s">
        <v>297</v>
      </c>
      <c r="H243" s="2" t="s">
        <v>3488</v>
      </c>
      <c r="I243" s="2" t="s">
        <v>3489</v>
      </c>
    </row>
    <row r="244" spans="1:9" ht="43.5" customHeight="1" x14ac:dyDescent="0.5">
      <c r="A244" s="2" t="s">
        <v>1132</v>
      </c>
      <c r="B244" s="2" t="s">
        <v>3972</v>
      </c>
      <c r="C244" s="2" t="s">
        <v>3973</v>
      </c>
      <c r="D244" s="2">
        <v>1</v>
      </c>
      <c r="E244" s="2" t="s">
        <v>117</v>
      </c>
      <c r="F244" s="2" t="s">
        <v>1133</v>
      </c>
      <c r="G244" s="2" t="s">
        <v>297</v>
      </c>
      <c r="H244" s="2" t="s">
        <v>3488</v>
      </c>
      <c r="I244" s="2" t="s">
        <v>3489</v>
      </c>
    </row>
    <row r="245" spans="1:9" ht="43.5" customHeight="1" x14ac:dyDescent="0.5">
      <c r="A245" s="2" t="s">
        <v>1135</v>
      </c>
      <c r="B245" s="2" t="s">
        <v>3974</v>
      </c>
      <c r="C245" s="2" t="s">
        <v>3975</v>
      </c>
      <c r="D245" s="2">
        <v>1</v>
      </c>
      <c r="E245" s="2" t="s">
        <v>117</v>
      </c>
      <c r="F245" s="2" t="s">
        <v>1136</v>
      </c>
      <c r="G245" s="2" t="s">
        <v>297</v>
      </c>
      <c r="H245" s="2" t="s">
        <v>3488</v>
      </c>
      <c r="I245" s="2" t="s">
        <v>3489</v>
      </c>
    </row>
    <row r="246" spans="1:9" ht="43.5" customHeight="1" x14ac:dyDescent="0.5">
      <c r="A246" s="2" t="s">
        <v>1138</v>
      </c>
      <c r="B246" s="2" t="s">
        <v>3976</v>
      </c>
      <c r="C246" s="2" t="s">
        <v>3977</v>
      </c>
      <c r="D246" s="2">
        <v>1</v>
      </c>
      <c r="E246" s="2" t="s">
        <v>117</v>
      </c>
      <c r="F246" s="2" t="s">
        <v>1139</v>
      </c>
      <c r="G246" s="2" t="s">
        <v>297</v>
      </c>
      <c r="H246" s="2" t="s">
        <v>3488</v>
      </c>
      <c r="I246" s="2" t="s">
        <v>3489</v>
      </c>
    </row>
    <row r="247" spans="1:9" ht="43.5" customHeight="1" x14ac:dyDescent="0.5">
      <c r="A247" s="2" t="s">
        <v>1141</v>
      </c>
      <c r="B247" s="2" t="s">
        <v>3978</v>
      </c>
      <c r="C247" s="2" t="s">
        <v>3979</v>
      </c>
      <c r="D247" s="2">
        <v>1</v>
      </c>
      <c r="E247" s="2" t="s">
        <v>117</v>
      </c>
      <c r="F247" s="2" t="s">
        <v>1062</v>
      </c>
      <c r="G247" s="2" t="s">
        <v>274</v>
      </c>
      <c r="H247" s="2" t="s">
        <v>3488</v>
      </c>
      <c r="I247" s="2" t="s">
        <v>3489</v>
      </c>
    </row>
    <row r="248" spans="1:9" ht="43.5" customHeight="1" x14ac:dyDescent="0.5">
      <c r="A248" s="2" t="s">
        <v>1144</v>
      </c>
      <c r="B248" s="2" t="s">
        <v>3980</v>
      </c>
      <c r="C248" s="2" t="s">
        <v>3981</v>
      </c>
      <c r="D248" s="2">
        <v>1</v>
      </c>
      <c r="E248" s="2" t="s">
        <v>117</v>
      </c>
      <c r="F248" s="2" t="s">
        <v>1066</v>
      </c>
      <c r="G248" s="2" t="s">
        <v>274</v>
      </c>
      <c r="H248" s="2" t="s">
        <v>3488</v>
      </c>
      <c r="I248" s="2" t="s">
        <v>3489</v>
      </c>
    </row>
    <row r="249" spans="1:9" ht="43.5" customHeight="1" x14ac:dyDescent="0.5">
      <c r="A249" s="2" t="s">
        <v>1146</v>
      </c>
      <c r="B249" s="2" t="s">
        <v>3982</v>
      </c>
      <c r="C249" s="2" t="s">
        <v>3983</v>
      </c>
      <c r="D249" s="2">
        <v>1</v>
      </c>
      <c r="E249" s="2" t="s">
        <v>117</v>
      </c>
      <c r="F249" s="2" t="s">
        <v>1069</v>
      </c>
      <c r="G249" s="2" t="s">
        <v>297</v>
      </c>
      <c r="H249" s="2" t="s">
        <v>3488</v>
      </c>
      <c r="I249" s="2" t="s">
        <v>3489</v>
      </c>
    </row>
    <row r="250" spans="1:9" ht="43.5" customHeight="1" x14ac:dyDescent="0.5">
      <c r="A250" s="2" t="s">
        <v>1148</v>
      </c>
      <c r="B250" s="2" t="s">
        <v>3984</v>
      </c>
      <c r="C250" s="2" t="s">
        <v>3985</v>
      </c>
      <c r="D250" s="2">
        <v>1</v>
      </c>
      <c r="E250" s="2" t="s">
        <v>117</v>
      </c>
      <c r="F250" s="2" t="s">
        <v>1072</v>
      </c>
      <c r="G250" s="2" t="s">
        <v>297</v>
      </c>
      <c r="H250" s="2" t="s">
        <v>3488</v>
      </c>
      <c r="I250" s="2" t="s">
        <v>3489</v>
      </c>
    </row>
    <row r="251" spans="1:9" ht="43.5" customHeight="1" x14ac:dyDescent="0.5">
      <c r="A251" s="2" t="s">
        <v>1150</v>
      </c>
      <c r="B251" s="2" t="s">
        <v>3986</v>
      </c>
      <c r="C251" s="2" t="s">
        <v>3987</v>
      </c>
      <c r="D251" s="2">
        <v>1</v>
      </c>
      <c r="E251" s="2" t="s">
        <v>117</v>
      </c>
      <c r="F251" s="2" t="s">
        <v>1075</v>
      </c>
      <c r="G251" s="2" t="s">
        <v>297</v>
      </c>
      <c r="H251" s="2" t="s">
        <v>3488</v>
      </c>
      <c r="I251" s="2" t="s">
        <v>3489</v>
      </c>
    </row>
    <row r="252" spans="1:9" ht="43.5" customHeight="1" x14ac:dyDescent="0.5">
      <c r="A252" s="2" t="s">
        <v>1152</v>
      </c>
      <c r="B252" s="2" t="s">
        <v>3988</v>
      </c>
      <c r="C252" s="2" t="s">
        <v>3989</v>
      </c>
      <c r="D252" s="2">
        <v>1</v>
      </c>
      <c r="E252" s="2" t="s">
        <v>117</v>
      </c>
      <c r="F252" s="2" t="s">
        <v>1078</v>
      </c>
      <c r="G252" s="2" t="s">
        <v>297</v>
      </c>
      <c r="H252" s="2" t="s">
        <v>3488</v>
      </c>
      <c r="I252" s="2" t="s">
        <v>3489</v>
      </c>
    </row>
    <row r="253" spans="1:9" ht="43.5" customHeight="1" x14ac:dyDescent="0.5">
      <c r="A253" s="2" t="s">
        <v>1154</v>
      </c>
      <c r="B253" s="2" t="s">
        <v>3990</v>
      </c>
      <c r="C253" s="2" t="s">
        <v>3991</v>
      </c>
      <c r="D253" s="2">
        <v>1</v>
      </c>
      <c r="E253" s="2" t="s">
        <v>117</v>
      </c>
      <c r="F253" s="2" t="s">
        <v>1081</v>
      </c>
      <c r="G253" s="2" t="s">
        <v>274</v>
      </c>
      <c r="H253" s="2" t="s">
        <v>3488</v>
      </c>
      <c r="I253" s="2" t="s">
        <v>3489</v>
      </c>
    </row>
    <row r="254" spans="1:9" ht="43.5" customHeight="1" x14ac:dyDescent="0.5">
      <c r="A254" s="2" t="s">
        <v>1157</v>
      </c>
      <c r="B254" s="2" t="s">
        <v>3992</v>
      </c>
      <c r="C254" s="2" t="s">
        <v>3993</v>
      </c>
      <c r="D254" s="2">
        <v>1</v>
      </c>
      <c r="E254" s="2" t="s">
        <v>117</v>
      </c>
      <c r="F254" s="2" t="s">
        <v>1084</v>
      </c>
      <c r="G254" s="2" t="s">
        <v>274</v>
      </c>
      <c r="H254" s="2" t="s">
        <v>3488</v>
      </c>
      <c r="I254" s="2" t="s">
        <v>3489</v>
      </c>
    </row>
    <row r="255" spans="1:9" ht="43.5" customHeight="1" x14ac:dyDescent="0.5">
      <c r="A255" s="2" t="s">
        <v>1159</v>
      </c>
      <c r="B255" s="2" t="s">
        <v>3994</v>
      </c>
      <c r="C255" s="2" t="s">
        <v>3995</v>
      </c>
      <c r="D255" s="2">
        <v>1</v>
      </c>
      <c r="E255" s="2" t="s">
        <v>117</v>
      </c>
      <c r="F255" s="2" t="s">
        <v>1087</v>
      </c>
      <c r="G255" s="2" t="s">
        <v>297</v>
      </c>
      <c r="H255" s="2" t="s">
        <v>3488</v>
      </c>
      <c r="I255" s="2" t="s">
        <v>3489</v>
      </c>
    </row>
    <row r="256" spans="1:9" ht="43.5" customHeight="1" x14ac:dyDescent="0.5">
      <c r="A256" s="2" t="s">
        <v>1161</v>
      </c>
      <c r="B256" s="2" t="s">
        <v>3996</v>
      </c>
      <c r="C256" s="2" t="s">
        <v>3997</v>
      </c>
      <c r="D256" s="2">
        <v>1</v>
      </c>
      <c r="E256" s="2" t="s">
        <v>117</v>
      </c>
      <c r="F256" s="2" t="s">
        <v>1090</v>
      </c>
      <c r="G256" s="2" t="s">
        <v>297</v>
      </c>
      <c r="H256" s="2" t="s">
        <v>3488</v>
      </c>
      <c r="I256" s="2" t="s">
        <v>3489</v>
      </c>
    </row>
    <row r="257" spans="1:9" ht="43.5" customHeight="1" x14ac:dyDescent="0.5">
      <c r="A257" s="2" t="s">
        <v>1163</v>
      </c>
      <c r="B257" s="2" t="s">
        <v>3998</v>
      </c>
      <c r="C257" s="2" t="s">
        <v>3999</v>
      </c>
      <c r="D257" s="2">
        <v>1</v>
      </c>
      <c r="E257" s="2" t="s">
        <v>117</v>
      </c>
      <c r="F257" s="2" t="s">
        <v>1093</v>
      </c>
      <c r="G257" s="2" t="s">
        <v>297</v>
      </c>
      <c r="H257" s="2" t="s">
        <v>3488</v>
      </c>
      <c r="I257" s="2" t="s">
        <v>3489</v>
      </c>
    </row>
    <row r="258" spans="1:9" ht="43.5" customHeight="1" x14ac:dyDescent="0.5">
      <c r="A258" s="2" t="s">
        <v>1165</v>
      </c>
      <c r="B258" s="2" t="s">
        <v>4000</v>
      </c>
      <c r="C258" s="2" t="s">
        <v>4001</v>
      </c>
      <c r="D258" s="2">
        <v>1</v>
      </c>
      <c r="E258" s="2" t="s">
        <v>117</v>
      </c>
      <c r="F258" s="2" t="s">
        <v>1096</v>
      </c>
      <c r="G258" s="2" t="s">
        <v>297</v>
      </c>
      <c r="H258" s="2" t="s">
        <v>3488</v>
      </c>
      <c r="I258" s="2" t="s">
        <v>3489</v>
      </c>
    </row>
    <row r="259" spans="1:9" ht="43.5" customHeight="1" x14ac:dyDescent="0.5">
      <c r="A259" s="2" t="s">
        <v>1167</v>
      </c>
      <c r="B259" s="2" t="s">
        <v>4002</v>
      </c>
      <c r="C259" s="2" t="s">
        <v>4003</v>
      </c>
      <c r="D259" s="2">
        <v>1</v>
      </c>
      <c r="E259" s="2" t="s">
        <v>121</v>
      </c>
      <c r="F259" s="2" t="s">
        <v>1168</v>
      </c>
      <c r="G259" s="2" t="s">
        <v>274</v>
      </c>
      <c r="H259" s="2" t="s">
        <v>3488</v>
      </c>
      <c r="I259" s="2" t="s">
        <v>3489</v>
      </c>
    </row>
    <row r="260" spans="1:9" ht="43.5" customHeight="1" x14ac:dyDescent="0.5">
      <c r="A260" s="2" t="s">
        <v>1173</v>
      </c>
      <c r="B260" s="2" t="s">
        <v>4004</v>
      </c>
      <c r="C260" s="2" t="s">
        <v>4005</v>
      </c>
      <c r="D260" s="2">
        <v>1</v>
      </c>
      <c r="E260" s="2" t="s">
        <v>121</v>
      </c>
      <c r="F260" s="2" t="s">
        <v>1174</v>
      </c>
      <c r="G260" s="2" t="s">
        <v>274</v>
      </c>
      <c r="H260" s="2" t="s">
        <v>3488</v>
      </c>
      <c r="I260" s="2" t="s">
        <v>3489</v>
      </c>
    </row>
    <row r="261" spans="1:9" ht="43.5" customHeight="1" x14ac:dyDescent="0.5">
      <c r="A261" s="2" t="s">
        <v>1176</v>
      </c>
      <c r="B261" s="2" t="s">
        <v>4006</v>
      </c>
      <c r="C261" s="2" t="s">
        <v>4007</v>
      </c>
      <c r="D261" s="2">
        <v>1</v>
      </c>
      <c r="E261" s="2" t="s">
        <v>121</v>
      </c>
      <c r="F261" s="2" t="s">
        <v>1177</v>
      </c>
      <c r="G261" s="2" t="s">
        <v>297</v>
      </c>
      <c r="H261" s="2" t="s">
        <v>3488</v>
      </c>
      <c r="I261" s="2" t="s">
        <v>3489</v>
      </c>
    </row>
    <row r="262" spans="1:9" ht="43.5" customHeight="1" x14ac:dyDescent="0.5">
      <c r="A262" s="2" t="s">
        <v>1181</v>
      </c>
      <c r="B262" s="2" t="s">
        <v>4008</v>
      </c>
      <c r="C262" s="2" t="s">
        <v>4009</v>
      </c>
      <c r="D262" s="2">
        <v>1</v>
      </c>
      <c r="E262" s="2" t="s">
        <v>121</v>
      </c>
      <c r="F262" s="2" t="s">
        <v>1182</v>
      </c>
      <c r="G262" s="2" t="s">
        <v>297</v>
      </c>
      <c r="H262" s="2" t="s">
        <v>3488</v>
      </c>
      <c r="I262" s="2" t="s">
        <v>3489</v>
      </c>
    </row>
    <row r="263" spans="1:9" ht="43.5" customHeight="1" x14ac:dyDescent="0.5">
      <c r="A263" s="2" t="s">
        <v>1188</v>
      </c>
      <c r="B263" s="2" t="s">
        <v>4010</v>
      </c>
      <c r="C263" s="2" t="s">
        <v>4011</v>
      </c>
      <c r="D263" s="2">
        <v>1</v>
      </c>
      <c r="E263" s="2" t="s">
        <v>126</v>
      </c>
      <c r="F263" s="2" t="s">
        <v>1168</v>
      </c>
      <c r="G263" s="2" t="s">
        <v>274</v>
      </c>
      <c r="H263" s="2" t="s">
        <v>3488</v>
      </c>
      <c r="I263" s="2" t="s">
        <v>3489</v>
      </c>
    </row>
    <row r="264" spans="1:9" ht="43.5" customHeight="1" x14ac:dyDescent="0.5">
      <c r="A264" s="2" t="s">
        <v>1193</v>
      </c>
      <c r="B264" s="2" t="s">
        <v>4012</v>
      </c>
      <c r="C264" s="2" t="s">
        <v>4013</v>
      </c>
      <c r="D264" s="2">
        <v>1</v>
      </c>
      <c r="E264" s="2" t="s">
        <v>126</v>
      </c>
      <c r="F264" s="2" t="s">
        <v>1174</v>
      </c>
      <c r="G264" s="2" t="s">
        <v>274</v>
      </c>
      <c r="H264" s="2" t="s">
        <v>3488</v>
      </c>
      <c r="I264" s="2" t="s">
        <v>3489</v>
      </c>
    </row>
    <row r="265" spans="1:9" ht="43.5" customHeight="1" x14ac:dyDescent="0.5">
      <c r="A265" s="2" t="s">
        <v>1195</v>
      </c>
      <c r="B265" s="2" t="s">
        <v>4014</v>
      </c>
      <c r="C265" s="2" t="s">
        <v>4015</v>
      </c>
      <c r="D265" s="2">
        <v>1</v>
      </c>
      <c r="E265" s="2" t="s">
        <v>126</v>
      </c>
      <c r="F265" s="2" t="s">
        <v>1177</v>
      </c>
      <c r="G265" s="2" t="s">
        <v>297</v>
      </c>
      <c r="H265" s="2" t="s">
        <v>3488</v>
      </c>
      <c r="I265" s="2" t="s">
        <v>3489</v>
      </c>
    </row>
    <row r="266" spans="1:9" ht="43.5" customHeight="1" x14ac:dyDescent="0.5">
      <c r="A266" s="2" t="s">
        <v>1199</v>
      </c>
      <c r="B266" s="2" t="s">
        <v>4016</v>
      </c>
      <c r="C266" s="2" t="s">
        <v>4017</v>
      </c>
      <c r="D266" s="2">
        <v>1</v>
      </c>
      <c r="E266" s="2" t="s">
        <v>126</v>
      </c>
      <c r="F266" s="2" t="s">
        <v>1200</v>
      </c>
      <c r="G266" s="2" t="s">
        <v>297</v>
      </c>
      <c r="H266" s="2" t="s">
        <v>3488</v>
      </c>
      <c r="I266" s="2" t="s">
        <v>3489</v>
      </c>
    </row>
    <row r="267" spans="1:9" ht="43.5" customHeight="1" x14ac:dyDescent="0.5">
      <c r="A267" s="2" t="s">
        <v>1204</v>
      </c>
      <c r="B267" s="2" t="s">
        <v>4018</v>
      </c>
      <c r="C267" s="2" t="s">
        <v>4019</v>
      </c>
      <c r="D267" s="2">
        <v>1</v>
      </c>
      <c r="E267" s="2" t="s">
        <v>129</v>
      </c>
      <c r="F267" s="2" t="s">
        <v>1168</v>
      </c>
      <c r="G267" s="2" t="s">
        <v>274</v>
      </c>
      <c r="H267" s="2" t="s">
        <v>3488</v>
      </c>
      <c r="I267" s="2" t="s">
        <v>3489</v>
      </c>
    </row>
    <row r="268" spans="1:9" ht="43.5" customHeight="1" x14ac:dyDescent="0.5">
      <c r="A268" s="2" t="s">
        <v>1207</v>
      </c>
      <c r="B268" s="2" t="s">
        <v>4020</v>
      </c>
      <c r="C268" s="2" t="s">
        <v>4021</v>
      </c>
      <c r="D268" s="2">
        <v>1</v>
      </c>
      <c r="E268" s="2" t="s">
        <v>129</v>
      </c>
      <c r="F268" s="2" t="s">
        <v>1174</v>
      </c>
      <c r="G268" s="2" t="s">
        <v>274</v>
      </c>
      <c r="H268" s="2" t="s">
        <v>3488</v>
      </c>
      <c r="I268" s="2" t="s">
        <v>3489</v>
      </c>
    </row>
    <row r="269" spans="1:9" ht="43.5" customHeight="1" x14ac:dyDescent="0.5">
      <c r="A269" s="2" t="s">
        <v>1209</v>
      </c>
      <c r="B269" s="2" t="s">
        <v>4022</v>
      </c>
      <c r="C269" s="2" t="s">
        <v>4023</v>
      </c>
      <c r="D269" s="2">
        <v>1</v>
      </c>
      <c r="E269" s="2" t="s">
        <v>129</v>
      </c>
      <c r="F269" s="2" t="s">
        <v>1177</v>
      </c>
      <c r="G269" s="2" t="s">
        <v>297</v>
      </c>
      <c r="H269" s="2" t="s">
        <v>3488</v>
      </c>
      <c r="I269" s="2" t="s">
        <v>3489</v>
      </c>
    </row>
    <row r="270" spans="1:9" ht="43.5" customHeight="1" x14ac:dyDescent="0.5">
      <c r="A270" s="2" t="s">
        <v>1213</v>
      </c>
      <c r="B270" s="2" t="s">
        <v>4024</v>
      </c>
      <c r="C270" s="2" t="s">
        <v>4025</v>
      </c>
      <c r="D270" s="2">
        <v>1</v>
      </c>
      <c r="E270" s="2" t="s">
        <v>129</v>
      </c>
      <c r="F270" s="2" t="s">
        <v>1182</v>
      </c>
      <c r="G270" s="2" t="s">
        <v>297</v>
      </c>
      <c r="H270" s="2" t="s">
        <v>3488</v>
      </c>
      <c r="I270" s="2" t="s">
        <v>3489</v>
      </c>
    </row>
    <row r="271" spans="1:9" ht="43.5" customHeight="1" x14ac:dyDescent="0.5">
      <c r="A271" s="2" t="s">
        <v>1217</v>
      </c>
      <c r="B271" s="2" t="s">
        <v>4026</v>
      </c>
      <c r="C271" s="2" t="s">
        <v>4027</v>
      </c>
      <c r="D271" s="2">
        <v>1</v>
      </c>
      <c r="E271" s="2" t="s">
        <v>131</v>
      </c>
      <c r="F271" s="2" t="s">
        <v>1168</v>
      </c>
      <c r="G271" s="2" t="s">
        <v>274</v>
      </c>
      <c r="H271" s="2" t="s">
        <v>3488</v>
      </c>
      <c r="I271" s="2" t="s">
        <v>3489</v>
      </c>
    </row>
    <row r="272" spans="1:9" ht="43.5" customHeight="1" x14ac:dyDescent="0.5">
      <c r="A272" s="2" t="s">
        <v>1220</v>
      </c>
      <c r="B272" s="2" t="s">
        <v>4028</v>
      </c>
      <c r="C272" s="2" t="s">
        <v>4029</v>
      </c>
      <c r="D272" s="2">
        <v>1</v>
      </c>
      <c r="E272" s="2" t="s">
        <v>131</v>
      </c>
      <c r="F272" s="2" t="s">
        <v>1174</v>
      </c>
      <c r="G272" s="2" t="s">
        <v>274</v>
      </c>
      <c r="H272" s="2" t="s">
        <v>3488</v>
      </c>
      <c r="I272" s="2" t="s">
        <v>3489</v>
      </c>
    </row>
    <row r="273" spans="1:9" ht="43.5" customHeight="1" x14ac:dyDescent="0.5">
      <c r="A273" s="2" t="s">
        <v>1222</v>
      </c>
      <c r="B273" s="2" t="s">
        <v>4030</v>
      </c>
      <c r="C273" s="2" t="s">
        <v>4031</v>
      </c>
      <c r="D273" s="2">
        <v>1</v>
      </c>
      <c r="E273" s="2" t="s">
        <v>131</v>
      </c>
      <c r="F273" s="2" t="s">
        <v>1177</v>
      </c>
      <c r="G273" s="2" t="s">
        <v>297</v>
      </c>
      <c r="H273" s="2" t="s">
        <v>3488</v>
      </c>
      <c r="I273" s="2" t="s">
        <v>3489</v>
      </c>
    </row>
    <row r="274" spans="1:9" ht="43.5" customHeight="1" x14ac:dyDescent="0.5">
      <c r="A274" s="2" t="s">
        <v>1224</v>
      </c>
      <c r="B274" s="2" t="s">
        <v>4032</v>
      </c>
      <c r="C274" s="2" t="s">
        <v>4033</v>
      </c>
      <c r="D274" s="2">
        <v>1</v>
      </c>
      <c r="E274" s="2" t="s">
        <v>131</v>
      </c>
      <c r="F274" s="2" t="s">
        <v>1182</v>
      </c>
      <c r="G274" s="2" t="s">
        <v>297</v>
      </c>
      <c r="H274" s="2" t="s">
        <v>3488</v>
      </c>
      <c r="I274" s="2" t="s">
        <v>3489</v>
      </c>
    </row>
    <row r="275" spans="1:9" ht="43.5" customHeight="1" x14ac:dyDescent="0.5">
      <c r="A275" s="2" t="s">
        <v>1226</v>
      </c>
      <c r="B275" s="2" t="s">
        <v>4034</v>
      </c>
      <c r="C275" s="2" t="s">
        <v>4035</v>
      </c>
      <c r="D275" s="2">
        <v>1</v>
      </c>
      <c r="E275" s="2" t="s">
        <v>135</v>
      </c>
      <c r="F275" s="2" t="s">
        <v>1168</v>
      </c>
      <c r="G275" s="2" t="s">
        <v>274</v>
      </c>
      <c r="H275" s="2" t="s">
        <v>3488</v>
      </c>
      <c r="I275" s="2" t="s">
        <v>3489</v>
      </c>
    </row>
    <row r="276" spans="1:9" ht="43.5" customHeight="1" x14ac:dyDescent="0.5">
      <c r="A276" s="2" t="s">
        <v>1229</v>
      </c>
      <c r="B276" s="2" t="s">
        <v>4036</v>
      </c>
      <c r="C276" s="2" t="s">
        <v>4037</v>
      </c>
      <c r="D276" s="2">
        <v>1</v>
      </c>
      <c r="E276" s="2" t="s">
        <v>135</v>
      </c>
      <c r="F276" s="2" t="s">
        <v>1174</v>
      </c>
      <c r="G276" s="2" t="s">
        <v>274</v>
      </c>
      <c r="H276" s="2" t="s">
        <v>3488</v>
      </c>
      <c r="I276" s="2" t="s">
        <v>3489</v>
      </c>
    </row>
    <row r="277" spans="1:9" ht="43.5" customHeight="1" x14ac:dyDescent="0.5">
      <c r="A277" s="2" t="s">
        <v>1231</v>
      </c>
      <c r="B277" s="2" t="s">
        <v>4038</v>
      </c>
      <c r="C277" s="2" t="s">
        <v>4039</v>
      </c>
      <c r="D277" s="2">
        <v>1</v>
      </c>
      <c r="E277" s="2" t="s">
        <v>135</v>
      </c>
      <c r="F277" s="2" t="s">
        <v>1177</v>
      </c>
      <c r="G277" s="2" t="s">
        <v>297</v>
      </c>
      <c r="H277" s="2" t="s">
        <v>3488</v>
      </c>
      <c r="I277" s="2" t="s">
        <v>3489</v>
      </c>
    </row>
    <row r="278" spans="1:9" ht="43.5" customHeight="1" x14ac:dyDescent="0.5">
      <c r="A278" s="2" t="s">
        <v>1233</v>
      </c>
      <c r="B278" s="2" t="s">
        <v>4040</v>
      </c>
      <c r="C278" s="2" t="s">
        <v>4041</v>
      </c>
      <c r="D278" s="2">
        <v>1</v>
      </c>
      <c r="E278" s="2" t="s">
        <v>135</v>
      </c>
      <c r="F278" s="2" t="s">
        <v>1182</v>
      </c>
      <c r="G278" s="2" t="s">
        <v>297</v>
      </c>
      <c r="H278" s="2" t="s">
        <v>3488</v>
      </c>
      <c r="I278" s="2" t="s">
        <v>3489</v>
      </c>
    </row>
    <row r="279" spans="1:9" ht="43.5" customHeight="1" x14ac:dyDescent="0.5">
      <c r="A279" s="2" t="s">
        <v>1235</v>
      </c>
      <c r="B279" s="2" t="s">
        <v>4042</v>
      </c>
      <c r="C279" s="2" t="s">
        <v>4043</v>
      </c>
      <c r="D279" s="2">
        <v>1</v>
      </c>
      <c r="E279" s="2" t="s">
        <v>137</v>
      </c>
      <c r="F279" s="2" t="s">
        <v>1168</v>
      </c>
      <c r="G279" s="2" t="s">
        <v>274</v>
      </c>
      <c r="H279" s="2" t="s">
        <v>3488</v>
      </c>
      <c r="I279" s="2" t="s">
        <v>3489</v>
      </c>
    </row>
    <row r="280" spans="1:9" ht="43.5" customHeight="1" x14ac:dyDescent="0.5">
      <c r="A280" s="2" t="s">
        <v>1240</v>
      </c>
      <c r="B280" s="2" t="s">
        <v>4044</v>
      </c>
      <c r="C280" s="2" t="s">
        <v>4045</v>
      </c>
      <c r="D280" s="2">
        <v>1</v>
      </c>
      <c r="E280" s="2" t="s">
        <v>137</v>
      </c>
      <c r="F280" s="2" t="s">
        <v>1174</v>
      </c>
      <c r="G280" s="2" t="s">
        <v>274</v>
      </c>
      <c r="H280" s="2" t="s">
        <v>3488</v>
      </c>
      <c r="I280" s="2" t="s">
        <v>3489</v>
      </c>
    </row>
    <row r="281" spans="1:9" ht="43.5" customHeight="1" x14ac:dyDescent="0.5">
      <c r="A281" s="2" t="s">
        <v>1242</v>
      </c>
      <c r="B281" s="2" t="s">
        <v>4046</v>
      </c>
      <c r="C281" s="2" t="s">
        <v>4047</v>
      </c>
      <c r="D281" s="2">
        <v>1</v>
      </c>
      <c r="E281" s="2" t="s">
        <v>137</v>
      </c>
      <c r="F281" s="2" t="s">
        <v>1177</v>
      </c>
      <c r="G281" s="2" t="s">
        <v>297</v>
      </c>
      <c r="H281" s="2" t="s">
        <v>3488</v>
      </c>
      <c r="I281" s="2" t="s">
        <v>3489</v>
      </c>
    </row>
    <row r="282" spans="1:9" ht="43.5" customHeight="1" x14ac:dyDescent="0.5">
      <c r="A282" s="2" t="s">
        <v>1244</v>
      </c>
      <c r="B282" s="2" t="s">
        <v>4048</v>
      </c>
      <c r="C282" s="2" t="s">
        <v>4049</v>
      </c>
      <c r="D282" s="2">
        <v>1</v>
      </c>
      <c r="E282" s="2" t="s">
        <v>137</v>
      </c>
      <c r="F282" s="2" t="s">
        <v>1182</v>
      </c>
      <c r="G282" s="2" t="s">
        <v>297</v>
      </c>
      <c r="H282" s="2" t="s">
        <v>3488</v>
      </c>
      <c r="I282" s="2" t="s">
        <v>3489</v>
      </c>
    </row>
    <row r="283" spans="1:9" ht="43.5" customHeight="1" x14ac:dyDescent="0.5">
      <c r="A283" s="2" t="s">
        <v>1246</v>
      </c>
      <c r="B283" s="2" t="s">
        <v>4050</v>
      </c>
      <c r="C283" s="2" t="s">
        <v>4051</v>
      </c>
      <c r="D283" s="2">
        <v>1</v>
      </c>
      <c r="E283" s="2" t="s">
        <v>140</v>
      </c>
      <c r="F283" s="2" t="s">
        <v>1168</v>
      </c>
      <c r="G283" s="2" t="s">
        <v>274</v>
      </c>
      <c r="H283" s="2" t="s">
        <v>3488</v>
      </c>
      <c r="I283" s="2" t="s">
        <v>3489</v>
      </c>
    </row>
    <row r="284" spans="1:9" ht="43.5" customHeight="1" x14ac:dyDescent="0.5">
      <c r="A284" s="2" t="s">
        <v>1249</v>
      </c>
      <c r="B284" s="2" t="s">
        <v>4052</v>
      </c>
      <c r="C284" s="2" t="s">
        <v>4053</v>
      </c>
      <c r="D284" s="2">
        <v>1</v>
      </c>
      <c r="E284" s="2" t="s">
        <v>140</v>
      </c>
      <c r="F284" s="2" t="s">
        <v>1174</v>
      </c>
      <c r="G284" s="2" t="s">
        <v>274</v>
      </c>
      <c r="H284" s="2" t="s">
        <v>3488</v>
      </c>
      <c r="I284" s="2" t="s">
        <v>3489</v>
      </c>
    </row>
    <row r="285" spans="1:9" ht="43.5" customHeight="1" x14ac:dyDescent="0.5">
      <c r="A285" s="2" t="s">
        <v>1251</v>
      </c>
      <c r="B285" s="2" t="s">
        <v>4054</v>
      </c>
      <c r="C285" s="2" t="s">
        <v>4055</v>
      </c>
      <c r="D285" s="2">
        <v>1</v>
      </c>
      <c r="E285" s="2" t="s">
        <v>140</v>
      </c>
      <c r="F285" s="2" t="s">
        <v>1177</v>
      </c>
      <c r="G285" s="2" t="s">
        <v>297</v>
      </c>
      <c r="H285" s="2" t="s">
        <v>3488</v>
      </c>
      <c r="I285" s="2" t="s">
        <v>3489</v>
      </c>
    </row>
    <row r="286" spans="1:9" ht="43.5" customHeight="1" x14ac:dyDescent="0.5">
      <c r="A286" s="2" t="s">
        <v>1253</v>
      </c>
      <c r="B286" s="2" t="s">
        <v>4056</v>
      </c>
      <c r="C286" s="2" t="s">
        <v>4057</v>
      </c>
      <c r="D286" s="2">
        <v>1</v>
      </c>
      <c r="E286" s="2" t="s">
        <v>140</v>
      </c>
      <c r="F286" s="2" t="s">
        <v>1182</v>
      </c>
      <c r="G286" s="2" t="s">
        <v>297</v>
      </c>
      <c r="H286" s="2" t="s">
        <v>3488</v>
      </c>
      <c r="I286" s="2" t="s">
        <v>3489</v>
      </c>
    </row>
    <row r="287" spans="1:9" ht="43.5" customHeight="1" x14ac:dyDescent="0.5">
      <c r="A287" s="2" t="s">
        <v>1255</v>
      </c>
      <c r="B287" s="2" t="s">
        <v>4058</v>
      </c>
      <c r="C287" s="2" t="s">
        <v>4059</v>
      </c>
      <c r="D287" s="2">
        <v>1</v>
      </c>
      <c r="E287" s="2" t="s">
        <v>142</v>
      </c>
      <c r="F287" s="2" t="s">
        <v>1168</v>
      </c>
      <c r="G287" s="2" t="s">
        <v>274</v>
      </c>
      <c r="H287" s="2" t="s">
        <v>3488</v>
      </c>
      <c r="I287" s="2" t="s">
        <v>3489</v>
      </c>
    </row>
    <row r="288" spans="1:9" ht="43.5" customHeight="1" x14ac:dyDescent="0.5">
      <c r="A288" s="2" t="s">
        <v>1258</v>
      </c>
      <c r="B288" s="2" t="s">
        <v>4060</v>
      </c>
      <c r="C288" s="2" t="s">
        <v>4061</v>
      </c>
      <c r="D288" s="2">
        <v>1</v>
      </c>
      <c r="E288" s="2" t="s">
        <v>142</v>
      </c>
      <c r="F288" s="2" t="s">
        <v>1174</v>
      </c>
      <c r="G288" s="2" t="s">
        <v>274</v>
      </c>
      <c r="H288" s="2" t="s">
        <v>3488</v>
      </c>
      <c r="I288" s="2" t="s">
        <v>3489</v>
      </c>
    </row>
    <row r="289" spans="1:9" ht="43.5" customHeight="1" x14ac:dyDescent="0.5">
      <c r="A289" s="2" t="s">
        <v>1260</v>
      </c>
      <c r="B289" s="2" t="s">
        <v>4062</v>
      </c>
      <c r="C289" s="2" t="s">
        <v>4063</v>
      </c>
      <c r="D289" s="2">
        <v>1</v>
      </c>
      <c r="E289" s="2" t="s">
        <v>142</v>
      </c>
      <c r="F289" s="2" t="s">
        <v>1177</v>
      </c>
      <c r="G289" s="2" t="s">
        <v>297</v>
      </c>
      <c r="H289" s="2" t="s">
        <v>3488</v>
      </c>
      <c r="I289" s="2" t="s">
        <v>3489</v>
      </c>
    </row>
    <row r="290" spans="1:9" ht="43.5" customHeight="1" x14ac:dyDescent="0.5">
      <c r="A290" s="2" t="s">
        <v>1262</v>
      </c>
      <c r="B290" s="2" t="s">
        <v>4064</v>
      </c>
      <c r="C290" s="2" t="s">
        <v>4065</v>
      </c>
      <c r="D290" s="2">
        <v>1</v>
      </c>
      <c r="E290" s="2" t="s">
        <v>142</v>
      </c>
      <c r="F290" s="2" t="s">
        <v>1182</v>
      </c>
      <c r="G290" s="2" t="s">
        <v>297</v>
      </c>
      <c r="H290" s="2" t="s">
        <v>3488</v>
      </c>
      <c r="I290" s="2" t="s">
        <v>3489</v>
      </c>
    </row>
    <row r="291" spans="1:9" ht="43.5" customHeight="1" x14ac:dyDescent="0.5">
      <c r="A291" s="2" t="s">
        <v>1264</v>
      </c>
      <c r="B291" s="2" t="s">
        <v>4066</v>
      </c>
      <c r="C291" s="2" t="s">
        <v>4067</v>
      </c>
      <c r="D291" s="2">
        <v>1</v>
      </c>
      <c r="E291" s="2" t="s">
        <v>144</v>
      </c>
      <c r="F291" s="2" t="s">
        <v>1168</v>
      </c>
      <c r="G291" s="2" t="s">
        <v>274</v>
      </c>
      <c r="H291" s="2" t="s">
        <v>3488</v>
      </c>
      <c r="I291" s="2" t="s">
        <v>3489</v>
      </c>
    </row>
    <row r="292" spans="1:9" ht="43.5" customHeight="1" x14ac:dyDescent="0.5">
      <c r="A292" s="2" t="s">
        <v>1268</v>
      </c>
      <c r="B292" s="2" t="s">
        <v>4068</v>
      </c>
      <c r="C292" s="2" t="s">
        <v>4069</v>
      </c>
      <c r="D292" s="2">
        <v>1</v>
      </c>
      <c r="E292" s="2" t="s">
        <v>144</v>
      </c>
      <c r="F292" s="2" t="s">
        <v>1269</v>
      </c>
      <c r="G292" s="2" t="s">
        <v>274</v>
      </c>
      <c r="H292" s="2" t="s">
        <v>3488</v>
      </c>
      <c r="I292" s="2" t="s">
        <v>3489</v>
      </c>
    </row>
    <row r="293" spans="1:9" ht="43.5" customHeight="1" x14ac:dyDescent="0.5">
      <c r="A293" s="2" t="s">
        <v>1274</v>
      </c>
      <c r="B293" s="2" t="s">
        <v>4070</v>
      </c>
      <c r="C293" s="2" t="s">
        <v>4071</v>
      </c>
      <c r="D293" s="2">
        <v>1</v>
      </c>
      <c r="E293" s="2" t="s">
        <v>144</v>
      </c>
      <c r="F293" s="2" t="s">
        <v>1174</v>
      </c>
      <c r="G293" s="2" t="s">
        <v>274</v>
      </c>
      <c r="H293" s="2" t="s">
        <v>3488</v>
      </c>
      <c r="I293" s="2" t="s">
        <v>3489</v>
      </c>
    </row>
    <row r="294" spans="1:9" ht="43.5" customHeight="1" x14ac:dyDescent="0.5">
      <c r="A294" s="2" t="s">
        <v>1276</v>
      </c>
      <c r="B294" s="2" t="s">
        <v>4072</v>
      </c>
      <c r="C294" s="2" t="s">
        <v>4073</v>
      </c>
      <c r="D294" s="2">
        <v>1</v>
      </c>
      <c r="E294" s="2" t="s">
        <v>144</v>
      </c>
      <c r="F294" s="2" t="s">
        <v>1177</v>
      </c>
      <c r="G294" s="2" t="s">
        <v>297</v>
      </c>
      <c r="H294" s="2" t="s">
        <v>3488</v>
      </c>
      <c r="I294" s="2" t="s">
        <v>3489</v>
      </c>
    </row>
    <row r="295" spans="1:9" ht="43.5" customHeight="1" x14ac:dyDescent="0.5">
      <c r="A295" s="2" t="s">
        <v>1280</v>
      </c>
      <c r="B295" s="2" t="s">
        <v>4074</v>
      </c>
      <c r="C295" s="2" t="s">
        <v>4075</v>
      </c>
      <c r="D295" s="2">
        <v>1</v>
      </c>
      <c r="E295" s="2" t="s">
        <v>144</v>
      </c>
      <c r="F295" s="2" t="s">
        <v>1182</v>
      </c>
      <c r="G295" s="2" t="s">
        <v>297</v>
      </c>
      <c r="H295" s="2" t="s">
        <v>3488</v>
      </c>
      <c r="I295" s="2" t="s">
        <v>3489</v>
      </c>
    </row>
    <row r="296" spans="1:9" ht="43.5" customHeight="1" x14ac:dyDescent="0.5">
      <c r="A296" s="2" t="s">
        <v>1284</v>
      </c>
      <c r="B296" s="2" t="s">
        <v>4076</v>
      </c>
      <c r="C296" s="2" t="s">
        <v>4077</v>
      </c>
      <c r="D296" s="2">
        <v>1</v>
      </c>
      <c r="E296" s="2" t="s">
        <v>147</v>
      </c>
      <c r="F296" s="2" t="s">
        <v>1168</v>
      </c>
      <c r="G296" s="2" t="s">
        <v>274</v>
      </c>
      <c r="H296" s="2" t="s">
        <v>3488</v>
      </c>
      <c r="I296" s="2" t="s">
        <v>3489</v>
      </c>
    </row>
    <row r="297" spans="1:9" ht="43.5" customHeight="1" x14ac:dyDescent="0.5">
      <c r="A297" s="2" t="s">
        <v>1287</v>
      </c>
      <c r="B297" s="2" t="s">
        <v>4078</v>
      </c>
      <c r="C297" s="2" t="s">
        <v>4079</v>
      </c>
      <c r="D297" s="2">
        <v>1</v>
      </c>
      <c r="E297" s="2" t="s">
        <v>147</v>
      </c>
      <c r="F297" s="2" t="s">
        <v>1174</v>
      </c>
      <c r="G297" s="2" t="s">
        <v>274</v>
      </c>
      <c r="H297" s="2" t="s">
        <v>3488</v>
      </c>
      <c r="I297" s="2" t="s">
        <v>3489</v>
      </c>
    </row>
    <row r="298" spans="1:9" ht="43.5" customHeight="1" x14ac:dyDescent="0.5">
      <c r="A298" s="2" t="s">
        <v>1289</v>
      </c>
      <c r="B298" s="2" t="s">
        <v>4080</v>
      </c>
      <c r="C298" s="2" t="s">
        <v>4081</v>
      </c>
      <c r="D298" s="2">
        <v>1</v>
      </c>
      <c r="E298" s="2" t="s">
        <v>147</v>
      </c>
      <c r="F298" s="2" t="s">
        <v>1177</v>
      </c>
      <c r="G298" s="2" t="s">
        <v>297</v>
      </c>
      <c r="H298" s="2" t="s">
        <v>3488</v>
      </c>
      <c r="I298" s="2" t="s">
        <v>3489</v>
      </c>
    </row>
    <row r="299" spans="1:9" ht="43.5" customHeight="1" x14ac:dyDescent="0.5">
      <c r="A299" s="2" t="s">
        <v>1291</v>
      </c>
      <c r="B299" s="2" t="s">
        <v>4082</v>
      </c>
      <c r="C299" s="2" t="s">
        <v>4083</v>
      </c>
      <c r="D299" s="2">
        <v>1</v>
      </c>
      <c r="E299" s="2" t="s">
        <v>147</v>
      </c>
      <c r="F299" s="2" t="s">
        <v>1182</v>
      </c>
      <c r="G299" s="2" t="s">
        <v>297</v>
      </c>
      <c r="H299" s="2" t="s">
        <v>3488</v>
      </c>
      <c r="I299" s="2" t="s">
        <v>3489</v>
      </c>
    </row>
    <row r="300" spans="1:9" ht="43.5" customHeight="1" x14ac:dyDescent="0.5">
      <c r="A300" s="2" t="s">
        <v>1293</v>
      </c>
      <c r="B300" s="2" t="s">
        <v>4084</v>
      </c>
      <c r="C300" s="2" t="s">
        <v>4085</v>
      </c>
      <c r="D300" s="2">
        <v>1</v>
      </c>
      <c r="E300" s="2" t="s">
        <v>149</v>
      </c>
      <c r="F300" s="2" t="s">
        <v>1168</v>
      </c>
      <c r="G300" s="2" t="s">
        <v>274</v>
      </c>
      <c r="H300" s="2" t="s">
        <v>3488</v>
      </c>
      <c r="I300" s="2" t="s">
        <v>3489</v>
      </c>
    </row>
    <row r="301" spans="1:9" ht="43.5" customHeight="1" x14ac:dyDescent="0.5">
      <c r="A301" s="2" t="s">
        <v>1296</v>
      </c>
      <c r="B301" s="2" t="s">
        <v>4086</v>
      </c>
      <c r="C301" s="2" t="s">
        <v>4087</v>
      </c>
      <c r="D301" s="2">
        <v>1</v>
      </c>
      <c r="E301" s="2" t="s">
        <v>149</v>
      </c>
      <c r="F301" s="2" t="s">
        <v>1174</v>
      </c>
      <c r="G301" s="2" t="s">
        <v>274</v>
      </c>
      <c r="H301" s="2" t="s">
        <v>3488</v>
      </c>
      <c r="I301" s="2" t="s">
        <v>3489</v>
      </c>
    </row>
    <row r="302" spans="1:9" ht="43.5" customHeight="1" x14ac:dyDescent="0.5">
      <c r="A302" s="2" t="s">
        <v>1298</v>
      </c>
      <c r="B302" s="2" t="s">
        <v>4088</v>
      </c>
      <c r="C302" s="2" t="s">
        <v>4089</v>
      </c>
      <c r="D302" s="2">
        <v>1</v>
      </c>
      <c r="E302" s="2" t="s">
        <v>149</v>
      </c>
      <c r="F302" s="2" t="s">
        <v>1177</v>
      </c>
      <c r="G302" s="2" t="s">
        <v>297</v>
      </c>
      <c r="H302" s="2" t="s">
        <v>3488</v>
      </c>
      <c r="I302" s="2" t="s">
        <v>3489</v>
      </c>
    </row>
    <row r="303" spans="1:9" ht="43.5" customHeight="1" x14ac:dyDescent="0.5">
      <c r="A303" s="2" t="s">
        <v>1300</v>
      </c>
      <c r="B303" s="2" t="s">
        <v>4090</v>
      </c>
      <c r="C303" s="2" t="s">
        <v>4091</v>
      </c>
      <c r="D303" s="2">
        <v>1</v>
      </c>
      <c r="E303" s="2" t="s">
        <v>149</v>
      </c>
      <c r="F303" s="2" t="s">
        <v>1182</v>
      </c>
      <c r="G303" s="2" t="s">
        <v>297</v>
      </c>
      <c r="H303" s="2" t="s">
        <v>3488</v>
      </c>
      <c r="I303" s="2" t="s">
        <v>3489</v>
      </c>
    </row>
    <row r="304" spans="1:9" ht="43.5" customHeight="1" x14ac:dyDescent="0.5">
      <c r="A304" s="2" t="s">
        <v>1302</v>
      </c>
      <c r="B304" s="2" t="s">
        <v>4092</v>
      </c>
      <c r="C304" s="2" t="s">
        <v>4093</v>
      </c>
      <c r="D304" s="2">
        <v>1</v>
      </c>
      <c r="E304" s="2" t="s">
        <v>121</v>
      </c>
      <c r="F304" s="2" t="s">
        <v>1303</v>
      </c>
      <c r="G304" s="2" t="s">
        <v>274</v>
      </c>
      <c r="H304" s="2" t="s">
        <v>3488</v>
      </c>
      <c r="I304" s="2" t="s">
        <v>3489</v>
      </c>
    </row>
    <row r="305" spans="1:9" ht="43.5" customHeight="1" x14ac:dyDescent="0.5">
      <c r="A305" s="2" t="s">
        <v>1310</v>
      </c>
      <c r="B305" s="2" t="s">
        <v>4094</v>
      </c>
      <c r="C305" s="2" t="s">
        <v>4095</v>
      </c>
      <c r="D305" s="2">
        <v>1</v>
      </c>
      <c r="E305" s="2" t="s">
        <v>121</v>
      </c>
      <c r="F305" s="2" t="s">
        <v>1311</v>
      </c>
      <c r="G305" s="2" t="s">
        <v>297</v>
      </c>
      <c r="H305" s="2" t="s">
        <v>3488</v>
      </c>
      <c r="I305" s="2" t="s">
        <v>3489</v>
      </c>
    </row>
    <row r="306" spans="1:9" ht="43.5" customHeight="1" x14ac:dyDescent="0.5">
      <c r="A306" s="2" t="s">
        <v>1318</v>
      </c>
      <c r="B306" s="2" t="s">
        <v>4096</v>
      </c>
      <c r="C306" s="2" t="s">
        <v>4097</v>
      </c>
      <c r="D306" s="2">
        <v>1</v>
      </c>
      <c r="E306" s="2" t="s">
        <v>126</v>
      </c>
      <c r="F306" s="2" t="s">
        <v>1319</v>
      </c>
      <c r="G306" s="2" t="s">
        <v>274</v>
      </c>
      <c r="H306" s="2" t="s">
        <v>3488</v>
      </c>
      <c r="I306" s="2" t="s">
        <v>3489</v>
      </c>
    </row>
    <row r="307" spans="1:9" ht="43.5" customHeight="1" x14ac:dyDescent="0.5">
      <c r="A307" s="2" t="s">
        <v>1324</v>
      </c>
      <c r="B307" s="2" t="s">
        <v>4098</v>
      </c>
      <c r="C307" s="2" t="s">
        <v>4099</v>
      </c>
      <c r="D307" s="2">
        <v>1</v>
      </c>
      <c r="E307" s="2" t="s">
        <v>126</v>
      </c>
      <c r="F307" s="2" t="s">
        <v>1325</v>
      </c>
      <c r="G307" s="2" t="s">
        <v>297</v>
      </c>
      <c r="H307" s="2" t="s">
        <v>3488</v>
      </c>
      <c r="I307" s="2" t="s">
        <v>3489</v>
      </c>
    </row>
    <row r="308" spans="1:9" ht="43.5" customHeight="1" x14ac:dyDescent="0.5">
      <c r="A308" s="2" t="s">
        <v>1331</v>
      </c>
      <c r="B308" s="2" t="s">
        <v>4100</v>
      </c>
      <c r="C308" s="2" t="s">
        <v>4101</v>
      </c>
      <c r="D308" s="2">
        <v>1</v>
      </c>
      <c r="E308" s="2" t="s">
        <v>140</v>
      </c>
      <c r="F308" s="2" t="s">
        <v>1332</v>
      </c>
      <c r="G308" s="2" t="s">
        <v>274</v>
      </c>
      <c r="H308" s="2" t="s">
        <v>3488</v>
      </c>
      <c r="I308" s="2" t="s">
        <v>3489</v>
      </c>
    </row>
    <row r="309" spans="1:9" ht="43.5" customHeight="1" x14ac:dyDescent="0.5">
      <c r="A309" s="2" t="s">
        <v>1338</v>
      </c>
      <c r="B309" s="2" t="s">
        <v>4102</v>
      </c>
      <c r="C309" s="2" t="s">
        <v>4103</v>
      </c>
      <c r="D309" s="2">
        <v>1</v>
      </c>
      <c r="E309" s="2" t="s">
        <v>140</v>
      </c>
      <c r="F309" s="2" t="s">
        <v>1339</v>
      </c>
      <c r="G309" s="2" t="s">
        <v>274</v>
      </c>
      <c r="H309" s="2" t="s">
        <v>3488</v>
      </c>
      <c r="I309" s="2" t="s">
        <v>3489</v>
      </c>
    </row>
    <row r="310" spans="1:9" ht="43.5" customHeight="1" x14ac:dyDescent="0.5">
      <c r="A310" s="2" t="s">
        <v>1344</v>
      </c>
      <c r="B310" s="2" t="s">
        <v>4104</v>
      </c>
      <c r="C310" s="2" t="s">
        <v>4105</v>
      </c>
      <c r="D310" s="2">
        <v>1</v>
      </c>
      <c r="E310" s="2" t="s">
        <v>140</v>
      </c>
      <c r="F310" s="2" t="s">
        <v>1345</v>
      </c>
      <c r="G310" s="2" t="s">
        <v>297</v>
      </c>
      <c r="H310" s="2" t="s">
        <v>3488</v>
      </c>
      <c r="I310" s="2" t="s">
        <v>3489</v>
      </c>
    </row>
    <row r="311" spans="1:9" ht="43.5" customHeight="1" x14ac:dyDescent="0.5">
      <c r="A311" s="2" t="s">
        <v>1350</v>
      </c>
      <c r="B311" s="2" t="s">
        <v>4106</v>
      </c>
      <c r="C311" s="2" t="s">
        <v>4107</v>
      </c>
      <c r="D311" s="2">
        <v>1</v>
      </c>
      <c r="E311" s="2" t="s">
        <v>147</v>
      </c>
      <c r="F311" s="2" t="s">
        <v>1319</v>
      </c>
      <c r="G311" s="2" t="s">
        <v>274</v>
      </c>
      <c r="H311" s="2" t="s">
        <v>3488</v>
      </c>
      <c r="I311" s="2" t="s">
        <v>3489</v>
      </c>
    </row>
    <row r="312" spans="1:9" ht="43.5" customHeight="1" x14ac:dyDescent="0.5">
      <c r="A312" s="2" t="s">
        <v>1353</v>
      </c>
      <c r="B312" s="2" t="s">
        <v>4108</v>
      </c>
      <c r="C312" s="2" t="s">
        <v>4109</v>
      </c>
      <c r="D312" s="2">
        <v>1</v>
      </c>
      <c r="E312" s="2" t="s">
        <v>147</v>
      </c>
      <c r="F312" s="2" t="s">
        <v>1325</v>
      </c>
      <c r="G312" s="2" t="s">
        <v>297</v>
      </c>
      <c r="H312" s="2" t="s">
        <v>3488</v>
      </c>
      <c r="I312" s="2" t="s">
        <v>3489</v>
      </c>
    </row>
    <row r="313" spans="1:9" ht="43.5" customHeight="1" x14ac:dyDescent="0.5">
      <c r="A313" s="2" t="s">
        <v>1356</v>
      </c>
      <c r="B313" s="2" t="s">
        <v>4110</v>
      </c>
      <c r="C313" s="2" t="s">
        <v>4111</v>
      </c>
      <c r="D313" s="2">
        <v>1</v>
      </c>
      <c r="E313" s="2" t="s">
        <v>149</v>
      </c>
      <c r="F313" s="2" t="s">
        <v>1319</v>
      </c>
      <c r="G313" s="2" t="s">
        <v>274</v>
      </c>
      <c r="H313" s="2" t="s">
        <v>3488</v>
      </c>
      <c r="I313" s="2" t="s">
        <v>3489</v>
      </c>
    </row>
    <row r="314" spans="1:9" ht="43.5" customHeight="1" x14ac:dyDescent="0.5">
      <c r="A314" s="2" t="s">
        <v>1359</v>
      </c>
      <c r="B314" s="2" t="s">
        <v>4112</v>
      </c>
      <c r="C314" s="2" t="s">
        <v>4113</v>
      </c>
      <c r="D314" s="2">
        <v>1</v>
      </c>
      <c r="E314" s="2" t="s">
        <v>149</v>
      </c>
      <c r="F314" s="2" t="s">
        <v>1360</v>
      </c>
      <c r="G314" s="2" t="s">
        <v>297</v>
      </c>
      <c r="H314" s="2" t="s">
        <v>3488</v>
      </c>
      <c r="I314" s="2" t="s">
        <v>3489</v>
      </c>
    </row>
    <row r="315" spans="1:9" ht="43.5" customHeight="1" x14ac:dyDescent="0.5">
      <c r="A315" s="2" t="s">
        <v>1362</v>
      </c>
      <c r="B315" s="2" t="s">
        <v>4114</v>
      </c>
      <c r="C315" s="2" t="s">
        <v>4115</v>
      </c>
      <c r="D315" s="2">
        <v>1</v>
      </c>
      <c r="E315" s="2" t="s">
        <v>75</v>
      </c>
      <c r="F315" s="2" t="s">
        <v>1363</v>
      </c>
      <c r="G315" s="2" t="s">
        <v>274</v>
      </c>
      <c r="H315" s="2" t="s">
        <v>3488</v>
      </c>
      <c r="I315" s="2" t="s">
        <v>3489</v>
      </c>
    </row>
    <row r="316" spans="1:9" ht="43.5" customHeight="1" x14ac:dyDescent="0.5">
      <c r="A316" s="2" t="s">
        <v>1371</v>
      </c>
      <c r="B316" s="2" t="s">
        <v>4116</v>
      </c>
      <c r="C316" s="2" t="s">
        <v>4117</v>
      </c>
      <c r="D316" s="2">
        <v>1</v>
      </c>
      <c r="E316" s="2" t="s">
        <v>81</v>
      </c>
      <c r="F316" s="2" t="s">
        <v>1363</v>
      </c>
      <c r="G316" s="2" t="s">
        <v>274</v>
      </c>
      <c r="H316" s="2" t="s">
        <v>3488</v>
      </c>
      <c r="I316" s="2" t="s">
        <v>3489</v>
      </c>
    </row>
    <row r="317" spans="1:9" ht="43.5" customHeight="1" x14ac:dyDescent="0.5">
      <c r="A317" s="2" t="s">
        <v>1374</v>
      </c>
      <c r="B317" s="2" t="s">
        <v>4118</v>
      </c>
      <c r="C317" s="2" t="s">
        <v>4119</v>
      </c>
      <c r="D317" s="2">
        <v>1</v>
      </c>
      <c r="E317" s="2" t="s">
        <v>84</v>
      </c>
      <c r="F317" s="2" t="s">
        <v>1363</v>
      </c>
      <c r="G317" s="2" t="s">
        <v>274</v>
      </c>
      <c r="H317" s="2" t="s">
        <v>3488</v>
      </c>
      <c r="I317" s="2" t="s">
        <v>3489</v>
      </c>
    </row>
    <row r="318" spans="1:9" ht="43.5" customHeight="1" x14ac:dyDescent="0.5">
      <c r="A318" s="2" t="s">
        <v>1379</v>
      </c>
      <c r="B318" s="2" t="s">
        <v>4120</v>
      </c>
      <c r="C318" s="2" t="s">
        <v>4121</v>
      </c>
      <c r="D318" s="2">
        <v>1</v>
      </c>
      <c r="E318" s="2" t="s">
        <v>88</v>
      </c>
      <c r="F318" s="2" t="s">
        <v>1363</v>
      </c>
      <c r="G318" s="2" t="s">
        <v>274</v>
      </c>
      <c r="H318" s="2" t="s">
        <v>3488</v>
      </c>
      <c r="I318" s="2" t="s">
        <v>3489</v>
      </c>
    </row>
    <row r="319" spans="1:9" ht="43.5" customHeight="1" x14ac:dyDescent="0.5">
      <c r="A319" s="2" t="s">
        <v>1384</v>
      </c>
      <c r="B319" s="2" t="s">
        <v>4122</v>
      </c>
      <c r="C319" s="2" t="s">
        <v>4123</v>
      </c>
      <c r="D319" s="2">
        <v>1</v>
      </c>
      <c r="E319" s="2" t="s">
        <v>90</v>
      </c>
      <c r="F319" s="2" t="s">
        <v>1363</v>
      </c>
      <c r="G319" s="2" t="s">
        <v>274</v>
      </c>
      <c r="H319" s="2" t="s">
        <v>3488</v>
      </c>
      <c r="I319" s="2" t="s">
        <v>3489</v>
      </c>
    </row>
    <row r="320" spans="1:9" ht="43.5" customHeight="1" x14ac:dyDescent="0.5">
      <c r="A320" s="2" t="s">
        <v>1387</v>
      </c>
      <c r="B320" s="2" t="s">
        <v>4124</v>
      </c>
      <c r="C320" s="2" t="s">
        <v>4125</v>
      </c>
      <c r="D320" s="2">
        <v>1</v>
      </c>
      <c r="E320" s="2" t="s">
        <v>93</v>
      </c>
      <c r="F320" s="2" t="s">
        <v>1363</v>
      </c>
      <c r="G320" s="2" t="s">
        <v>274</v>
      </c>
      <c r="H320" s="2" t="s">
        <v>3488</v>
      </c>
      <c r="I320" s="2" t="s">
        <v>3489</v>
      </c>
    </row>
    <row r="321" spans="1:9" ht="43.5" customHeight="1" x14ac:dyDescent="0.5">
      <c r="A321" s="2" t="s">
        <v>1390</v>
      </c>
      <c r="B321" s="2" t="s">
        <v>4126</v>
      </c>
      <c r="C321" s="2" t="s">
        <v>4127</v>
      </c>
      <c r="D321" s="2">
        <v>1</v>
      </c>
      <c r="E321" s="2" t="s">
        <v>96</v>
      </c>
      <c r="F321" s="2" t="s">
        <v>1363</v>
      </c>
      <c r="G321" s="2" t="s">
        <v>274</v>
      </c>
      <c r="H321" s="2" t="s">
        <v>3488</v>
      </c>
      <c r="I321" s="2" t="s">
        <v>3489</v>
      </c>
    </row>
    <row r="322" spans="1:9" ht="43.5" customHeight="1" x14ac:dyDescent="0.5">
      <c r="A322" s="2" t="s">
        <v>1393</v>
      </c>
      <c r="B322" s="2" t="s">
        <v>4128</v>
      </c>
      <c r="C322" s="2" t="s">
        <v>4129</v>
      </c>
      <c r="D322" s="2">
        <v>1</v>
      </c>
      <c r="E322" s="2" t="s">
        <v>99</v>
      </c>
      <c r="F322" s="2" t="s">
        <v>1363</v>
      </c>
      <c r="G322" s="2" t="s">
        <v>274</v>
      </c>
      <c r="H322" s="2" t="s">
        <v>3488</v>
      </c>
      <c r="I322" s="2" t="s">
        <v>3489</v>
      </c>
    </row>
    <row r="323" spans="1:9" ht="43.5" customHeight="1" x14ac:dyDescent="0.5">
      <c r="A323" s="2" t="s">
        <v>1396</v>
      </c>
      <c r="B323" s="2" t="s">
        <v>4130</v>
      </c>
      <c r="C323" s="2" t="s">
        <v>4131</v>
      </c>
      <c r="D323" s="2">
        <v>1</v>
      </c>
      <c r="E323" s="2" t="s">
        <v>102</v>
      </c>
      <c r="F323" s="2" t="s">
        <v>1363</v>
      </c>
      <c r="G323" s="2" t="s">
        <v>274</v>
      </c>
      <c r="H323" s="2" t="s">
        <v>3488</v>
      </c>
      <c r="I323" s="2" t="s">
        <v>3489</v>
      </c>
    </row>
    <row r="324" spans="1:9" ht="43.5" customHeight="1" x14ac:dyDescent="0.5">
      <c r="A324" s="2" t="s">
        <v>1399</v>
      </c>
      <c r="B324" s="2" t="s">
        <v>4132</v>
      </c>
      <c r="C324" s="2" t="s">
        <v>4133</v>
      </c>
      <c r="D324" s="2">
        <v>1</v>
      </c>
      <c r="E324" s="2" t="s">
        <v>105</v>
      </c>
      <c r="F324" s="2" t="s">
        <v>1363</v>
      </c>
      <c r="G324" s="2" t="s">
        <v>274</v>
      </c>
      <c r="H324" s="2" t="s">
        <v>3488</v>
      </c>
      <c r="I324" s="2" t="s">
        <v>3489</v>
      </c>
    </row>
    <row r="325" spans="1:9" ht="43.5" customHeight="1" x14ac:dyDescent="0.5">
      <c r="A325" s="2" t="s">
        <v>1404</v>
      </c>
      <c r="B325" s="2" t="s">
        <v>4134</v>
      </c>
      <c r="C325" s="2" t="s">
        <v>4135</v>
      </c>
      <c r="D325" s="2">
        <v>1</v>
      </c>
      <c r="E325" s="2" t="s">
        <v>108</v>
      </c>
      <c r="F325" s="2" t="s">
        <v>1363</v>
      </c>
      <c r="G325" s="2" t="s">
        <v>274</v>
      </c>
      <c r="H325" s="2" t="s">
        <v>3488</v>
      </c>
      <c r="I325" s="2" t="s">
        <v>3489</v>
      </c>
    </row>
    <row r="326" spans="1:9" ht="43.5" customHeight="1" x14ac:dyDescent="0.5">
      <c r="A326" s="2" t="s">
        <v>1407</v>
      </c>
      <c r="B326" s="2" t="s">
        <v>4136</v>
      </c>
      <c r="C326" s="2" t="s">
        <v>4137</v>
      </c>
      <c r="D326" s="2">
        <v>1</v>
      </c>
      <c r="E326" s="2" t="s">
        <v>111</v>
      </c>
      <c r="F326" s="2" t="s">
        <v>1363</v>
      </c>
      <c r="G326" s="2" t="s">
        <v>274</v>
      </c>
      <c r="H326" s="2" t="s">
        <v>3488</v>
      </c>
      <c r="I326" s="2" t="s">
        <v>3489</v>
      </c>
    </row>
    <row r="327" spans="1:9" ht="43.5" customHeight="1" x14ac:dyDescent="0.5">
      <c r="A327" s="2" t="s">
        <v>1410</v>
      </c>
      <c r="B327" s="2" t="s">
        <v>4138</v>
      </c>
      <c r="C327" s="2" t="s">
        <v>4139</v>
      </c>
      <c r="D327" s="2">
        <v>1</v>
      </c>
      <c r="E327" s="2" t="s">
        <v>114</v>
      </c>
      <c r="F327" s="2" t="s">
        <v>1363</v>
      </c>
      <c r="G327" s="2" t="s">
        <v>274</v>
      </c>
      <c r="H327" s="2" t="s">
        <v>3488</v>
      </c>
      <c r="I327" s="2" t="s">
        <v>3489</v>
      </c>
    </row>
    <row r="328" spans="1:9" ht="43.5" customHeight="1" x14ac:dyDescent="0.5">
      <c r="A328" s="2" t="s">
        <v>1415</v>
      </c>
      <c r="B328" s="2" t="s">
        <v>4140</v>
      </c>
      <c r="C328" s="2" t="s">
        <v>4141</v>
      </c>
      <c r="D328" s="2">
        <v>1</v>
      </c>
      <c r="E328" s="2" t="s">
        <v>117</v>
      </c>
      <c r="F328" s="2" t="s">
        <v>1363</v>
      </c>
      <c r="G328" s="2" t="s">
        <v>274</v>
      </c>
      <c r="H328" s="2" t="s">
        <v>3488</v>
      </c>
      <c r="I328" s="2" t="s">
        <v>3489</v>
      </c>
    </row>
    <row r="329" spans="1:9" ht="43.5" customHeight="1" x14ac:dyDescent="0.5">
      <c r="A329" s="2" t="s">
        <v>1420</v>
      </c>
      <c r="B329" s="2" t="s">
        <v>4142</v>
      </c>
      <c r="C329" s="2" t="s">
        <v>4143</v>
      </c>
      <c r="D329" s="2">
        <v>1</v>
      </c>
      <c r="E329" s="2" t="s">
        <v>121</v>
      </c>
      <c r="F329" s="2" t="s">
        <v>1363</v>
      </c>
      <c r="G329" s="2" t="s">
        <v>274</v>
      </c>
      <c r="H329" s="2" t="s">
        <v>3488</v>
      </c>
      <c r="I329" s="2" t="s">
        <v>3489</v>
      </c>
    </row>
    <row r="330" spans="1:9" ht="43.5" customHeight="1" x14ac:dyDescent="0.5">
      <c r="A330" s="2" t="s">
        <v>1425</v>
      </c>
      <c r="B330" s="2" t="s">
        <v>4144</v>
      </c>
      <c r="C330" s="2" t="s">
        <v>4145</v>
      </c>
      <c r="D330" s="2">
        <v>1</v>
      </c>
      <c r="E330" s="2" t="s">
        <v>126</v>
      </c>
      <c r="F330" s="2" t="s">
        <v>1363</v>
      </c>
      <c r="G330" s="2" t="s">
        <v>274</v>
      </c>
      <c r="H330" s="2" t="s">
        <v>3488</v>
      </c>
      <c r="I330" s="2" t="s">
        <v>3489</v>
      </c>
    </row>
    <row r="331" spans="1:9" ht="43.5" customHeight="1" x14ac:dyDescent="0.5">
      <c r="A331" s="2" t="s">
        <v>1431</v>
      </c>
      <c r="B331" s="2" t="s">
        <v>4146</v>
      </c>
      <c r="C331" s="2" t="s">
        <v>4147</v>
      </c>
      <c r="D331" s="2">
        <v>1</v>
      </c>
      <c r="E331" s="2" t="s">
        <v>129</v>
      </c>
      <c r="F331" s="2" t="s">
        <v>1363</v>
      </c>
      <c r="G331" s="2" t="s">
        <v>274</v>
      </c>
      <c r="H331" s="2" t="s">
        <v>3488</v>
      </c>
      <c r="I331" s="2" t="s">
        <v>3489</v>
      </c>
    </row>
    <row r="332" spans="1:9" ht="43.5" customHeight="1" x14ac:dyDescent="0.5">
      <c r="A332" s="2" t="s">
        <v>1434</v>
      </c>
      <c r="B332" s="2" t="s">
        <v>4148</v>
      </c>
      <c r="C332" s="2" t="s">
        <v>4149</v>
      </c>
      <c r="D332" s="2">
        <v>1</v>
      </c>
      <c r="E332" s="2" t="s">
        <v>131</v>
      </c>
      <c r="F332" s="2" t="s">
        <v>1363</v>
      </c>
      <c r="G332" s="2" t="s">
        <v>274</v>
      </c>
      <c r="H332" s="2" t="s">
        <v>3488</v>
      </c>
      <c r="I332" s="2" t="s">
        <v>3489</v>
      </c>
    </row>
    <row r="333" spans="1:9" ht="43.5" customHeight="1" x14ac:dyDescent="0.5">
      <c r="A333" s="2" t="s">
        <v>1437</v>
      </c>
      <c r="B333" s="2" t="s">
        <v>4150</v>
      </c>
      <c r="C333" s="2" t="s">
        <v>4151</v>
      </c>
      <c r="D333" s="2">
        <v>1</v>
      </c>
      <c r="E333" s="2" t="s">
        <v>135</v>
      </c>
      <c r="F333" s="2" t="s">
        <v>1363</v>
      </c>
      <c r="G333" s="2" t="s">
        <v>274</v>
      </c>
      <c r="H333" s="2" t="s">
        <v>3488</v>
      </c>
      <c r="I333" s="2" t="s">
        <v>3489</v>
      </c>
    </row>
    <row r="334" spans="1:9" ht="43.5" customHeight="1" x14ac:dyDescent="0.5">
      <c r="A334" s="2" t="s">
        <v>1440</v>
      </c>
      <c r="B334" s="2" t="s">
        <v>4152</v>
      </c>
      <c r="C334" s="2" t="s">
        <v>4153</v>
      </c>
      <c r="D334" s="2">
        <v>1</v>
      </c>
      <c r="E334" s="2" t="s">
        <v>137</v>
      </c>
      <c r="F334" s="2" t="s">
        <v>1363</v>
      </c>
      <c r="G334" s="2" t="s">
        <v>274</v>
      </c>
      <c r="H334" s="2" t="s">
        <v>3488</v>
      </c>
      <c r="I334" s="2" t="s">
        <v>3489</v>
      </c>
    </row>
    <row r="335" spans="1:9" ht="43.5" customHeight="1" x14ac:dyDescent="0.5">
      <c r="A335" s="2" t="s">
        <v>1443</v>
      </c>
      <c r="B335" s="2" t="s">
        <v>4154</v>
      </c>
      <c r="C335" s="2" t="s">
        <v>4155</v>
      </c>
      <c r="D335" s="2">
        <v>1</v>
      </c>
      <c r="E335" s="2" t="s">
        <v>140</v>
      </c>
      <c r="F335" s="2" t="s">
        <v>1363</v>
      </c>
      <c r="G335" s="2" t="s">
        <v>274</v>
      </c>
      <c r="H335" s="2" t="s">
        <v>3488</v>
      </c>
      <c r="I335" s="2" t="s">
        <v>3489</v>
      </c>
    </row>
    <row r="336" spans="1:9" ht="43.5" customHeight="1" x14ac:dyDescent="0.5">
      <c r="A336" s="2" t="s">
        <v>1446</v>
      </c>
      <c r="B336" s="2" t="s">
        <v>4156</v>
      </c>
      <c r="C336" s="2" t="s">
        <v>4157</v>
      </c>
      <c r="D336" s="2">
        <v>1</v>
      </c>
      <c r="E336" s="2" t="s">
        <v>142</v>
      </c>
      <c r="F336" s="2" t="s">
        <v>1363</v>
      </c>
      <c r="G336" s="2" t="s">
        <v>274</v>
      </c>
      <c r="H336" s="2" t="s">
        <v>3488</v>
      </c>
      <c r="I336" s="2" t="s">
        <v>3489</v>
      </c>
    </row>
    <row r="337" spans="1:9" ht="43.5" customHeight="1" x14ac:dyDescent="0.5">
      <c r="A337" s="2" t="s">
        <v>1449</v>
      </c>
      <c r="B337" s="2" t="s">
        <v>4158</v>
      </c>
      <c r="C337" s="2" t="s">
        <v>4159</v>
      </c>
      <c r="D337" s="2">
        <v>1</v>
      </c>
      <c r="E337" s="2" t="s">
        <v>144</v>
      </c>
      <c r="F337" s="2" t="s">
        <v>1450</v>
      </c>
      <c r="G337" s="2" t="s">
        <v>274</v>
      </c>
      <c r="H337" s="2" t="s">
        <v>3488</v>
      </c>
      <c r="I337" s="2" t="s">
        <v>3489</v>
      </c>
    </row>
    <row r="338" spans="1:9" ht="43.5" customHeight="1" x14ac:dyDescent="0.5">
      <c r="A338" s="2" t="s">
        <v>1455</v>
      </c>
      <c r="B338" s="2" t="s">
        <v>4160</v>
      </c>
      <c r="C338" s="2" t="s">
        <v>4161</v>
      </c>
      <c r="D338" s="2">
        <v>1</v>
      </c>
      <c r="E338" s="2" t="s">
        <v>147</v>
      </c>
      <c r="F338" s="2" t="s">
        <v>1363</v>
      </c>
      <c r="G338" s="2" t="s">
        <v>274</v>
      </c>
      <c r="H338" s="2" t="s">
        <v>3488</v>
      </c>
      <c r="I338" s="2" t="s">
        <v>3489</v>
      </c>
    </row>
    <row r="339" spans="1:9" ht="43.5" customHeight="1" x14ac:dyDescent="0.5">
      <c r="A339" s="2" t="s">
        <v>1458</v>
      </c>
      <c r="B339" s="2" t="s">
        <v>4162</v>
      </c>
      <c r="C339" s="2" t="s">
        <v>4163</v>
      </c>
      <c r="D339" s="2">
        <v>1</v>
      </c>
      <c r="E339" s="2" t="s">
        <v>149</v>
      </c>
      <c r="F339" s="2" t="s">
        <v>1363</v>
      </c>
      <c r="G339" s="2" t="s">
        <v>274</v>
      </c>
      <c r="H339" s="2" t="s">
        <v>3488</v>
      </c>
      <c r="I339" s="2" t="s">
        <v>3489</v>
      </c>
    </row>
    <row r="340" spans="1:9" ht="43.5" customHeight="1" x14ac:dyDescent="0.5">
      <c r="A340" s="2" t="s">
        <v>1461</v>
      </c>
      <c r="B340" s="2" t="s">
        <v>4164</v>
      </c>
      <c r="C340" s="2" t="s">
        <v>4165</v>
      </c>
      <c r="D340" s="2">
        <v>1</v>
      </c>
      <c r="E340" s="2" t="s">
        <v>131</v>
      </c>
      <c r="F340" s="2" t="s">
        <v>1462</v>
      </c>
      <c r="G340" s="2" t="s">
        <v>274</v>
      </c>
      <c r="H340" s="2" t="s">
        <v>3488</v>
      </c>
      <c r="I340" s="2" t="s">
        <v>3489</v>
      </c>
    </row>
    <row r="341" spans="1:9" ht="43.5" customHeight="1" x14ac:dyDescent="0.5">
      <c r="A341" s="2" t="s">
        <v>1469</v>
      </c>
      <c r="B341" s="2" t="s">
        <v>4166</v>
      </c>
      <c r="C341" s="2" t="s">
        <v>4167</v>
      </c>
      <c r="D341" s="2">
        <v>1</v>
      </c>
      <c r="E341" s="2" t="s">
        <v>131</v>
      </c>
      <c r="F341" s="2" t="s">
        <v>1470</v>
      </c>
      <c r="G341" s="2" t="s">
        <v>297</v>
      </c>
      <c r="H341" s="2" t="s">
        <v>3488</v>
      </c>
      <c r="I341" s="2" t="s">
        <v>3489</v>
      </c>
    </row>
    <row r="342" spans="1:9" ht="43.5" customHeight="1" x14ac:dyDescent="0.5">
      <c r="A342" s="2" t="s">
        <v>1477</v>
      </c>
      <c r="B342" s="2" t="s">
        <v>4168</v>
      </c>
      <c r="C342" s="2" t="s">
        <v>4169</v>
      </c>
      <c r="D342" s="2">
        <v>1</v>
      </c>
      <c r="E342" s="2" t="s">
        <v>131</v>
      </c>
      <c r="F342" s="2" t="s">
        <v>1478</v>
      </c>
      <c r="G342" s="2" t="s">
        <v>297</v>
      </c>
      <c r="H342" s="2" t="s">
        <v>3488</v>
      </c>
      <c r="I342" s="2" t="s">
        <v>3489</v>
      </c>
    </row>
    <row r="343" spans="1:9" ht="43.5" customHeight="1" x14ac:dyDescent="0.5">
      <c r="A343" s="2" t="s">
        <v>1485</v>
      </c>
      <c r="B343" s="2" t="s">
        <v>4170</v>
      </c>
      <c r="C343" s="2" t="s">
        <v>4171</v>
      </c>
      <c r="D343" s="2">
        <v>1</v>
      </c>
      <c r="E343" s="2" t="s">
        <v>131</v>
      </c>
      <c r="F343" s="2" t="s">
        <v>1486</v>
      </c>
      <c r="G343" s="2" t="s">
        <v>297</v>
      </c>
      <c r="H343" s="2" t="s">
        <v>3488</v>
      </c>
      <c r="I343" s="2" t="s">
        <v>3489</v>
      </c>
    </row>
    <row r="344" spans="1:9" ht="43.5" customHeight="1" x14ac:dyDescent="0.5">
      <c r="A344" s="2" t="s">
        <v>1493</v>
      </c>
      <c r="B344" s="2" t="s">
        <v>4172</v>
      </c>
      <c r="C344" s="2" t="s">
        <v>4173</v>
      </c>
      <c r="D344" s="2">
        <v>1</v>
      </c>
      <c r="E344" s="2" t="s">
        <v>131</v>
      </c>
      <c r="F344" s="2" t="s">
        <v>1494</v>
      </c>
      <c r="G344" s="2" t="s">
        <v>297</v>
      </c>
      <c r="H344" s="2" t="s">
        <v>3488</v>
      </c>
      <c r="I344" s="2" t="s">
        <v>3489</v>
      </c>
    </row>
    <row r="345" spans="1:9" ht="43.5" customHeight="1" x14ac:dyDescent="0.5">
      <c r="A345" s="2" t="s">
        <v>1502</v>
      </c>
      <c r="B345" s="2" t="s">
        <v>4174</v>
      </c>
      <c r="C345" s="2" t="s">
        <v>4175</v>
      </c>
      <c r="D345" s="2">
        <v>1</v>
      </c>
      <c r="E345" s="2" t="s">
        <v>131</v>
      </c>
      <c r="F345" s="2" t="s">
        <v>1503</v>
      </c>
      <c r="G345" s="2" t="s">
        <v>297</v>
      </c>
      <c r="H345" s="2" t="s">
        <v>3488</v>
      </c>
      <c r="I345" s="2" t="s">
        <v>3489</v>
      </c>
    </row>
    <row r="346" spans="1:9" ht="43.5" customHeight="1" x14ac:dyDescent="0.5">
      <c r="A346" s="2" t="s">
        <v>1510</v>
      </c>
      <c r="B346" s="2" t="s">
        <v>4176</v>
      </c>
      <c r="C346" s="2" t="s">
        <v>4177</v>
      </c>
      <c r="D346" s="2">
        <v>1</v>
      </c>
      <c r="E346" s="2" t="s">
        <v>131</v>
      </c>
      <c r="F346" s="2" t="s">
        <v>1511</v>
      </c>
      <c r="G346" s="2" t="s">
        <v>274</v>
      </c>
      <c r="H346" s="2" t="s">
        <v>3488</v>
      </c>
      <c r="I346" s="2" t="s">
        <v>3489</v>
      </c>
    </row>
    <row r="347" spans="1:9" ht="43.5" customHeight="1" x14ac:dyDescent="0.5">
      <c r="A347" s="2" t="s">
        <v>1517</v>
      </c>
      <c r="B347" s="2" t="s">
        <v>4178</v>
      </c>
      <c r="C347" s="2" t="s">
        <v>4179</v>
      </c>
      <c r="D347" s="2">
        <v>1</v>
      </c>
      <c r="E347" s="2" t="s">
        <v>140</v>
      </c>
      <c r="F347" s="2" t="s">
        <v>1518</v>
      </c>
      <c r="G347" s="2" t="s">
        <v>297</v>
      </c>
      <c r="H347" s="2" t="s">
        <v>3488</v>
      </c>
      <c r="I347" s="2" t="s">
        <v>3489</v>
      </c>
    </row>
    <row r="348" spans="1:9" ht="43.5" customHeight="1" x14ac:dyDescent="0.5">
      <c r="A348" s="2" t="s">
        <v>1526</v>
      </c>
      <c r="B348" s="2" t="s">
        <v>4180</v>
      </c>
      <c r="C348" s="2" t="s">
        <v>4181</v>
      </c>
      <c r="D348" s="2">
        <v>1</v>
      </c>
      <c r="E348" s="2" t="s">
        <v>140</v>
      </c>
      <c r="F348" s="2" t="s">
        <v>1527</v>
      </c>
      <c r="G348" s="2" t="s">
        <v>297</v>
      </c>
      <c r="H348" s="2" t="s">
        <v>3488</v>
      </c>
      <c r="I348" s="2" t="s">
        <v>3489</v>
      </c>
    </row>
    <row r="349" spans="1:9" ht="43.5" customHeight="1" x14ac:dyDescent="0.5">
      <c r="A349" s="2" t="s">
        <v>1533</v>
      </c>
      <c r="B349" s="2" t="s">
        <v>4182</v>
      </c>
      <c r="C349" s="2" t="s">
        <v>4183</v>
      </c>
      <c r="D349" s="2">
        <v>1</v>
      </c>
      <c r="E349" s="2" t="s">
        <v>140</v>
      </c>
      <c r="F349" s="2" t="s">
        <v>1462</v>
      </c>
      <c r="G349" s="2" t="s">
        <v>274</v>
      </c>
      <c r="H349" s="2" t="s">
        <v>3488</v>
      </c>
      <c r="I349" s="2" t="s">
        <v>3489</v>
      </c>
    </row>
    <row r="350" spans="1:9" ht="43.5" customHeight="1" x14ac:dyDescent="0.5">
      <c r="A350" s="2" t="s">
        <v>1538</v>
      </c>
      <c r="B350" s="2" t="s">
        <v>4184</v>
      </c>
      <c r="C350" s="2" t="s">
        <v>4185</v>
      </c>
      <c r="D350" s="2">
        <v>1</v>
      </c>
      <c r="E350" s="2" t="s">
        <v>140</v>
      </c>
      <c r="F350" s="2" t="s">
        <v>1511</v>
      </c>
      <c r="G350" s="2" t="s">
        <v>274</v>
      </c>
      <c r="H350" s="2" t="s">
        <v>3488</v>
      </c>
      <c r="I350" s="2" t="s">
        <v>3489</v>
      </c>
    </row>
    <row r="351" spans="1:9" ht="43.5" customHeight="1" x14ac:dyDescent="0.5">
      <c r="A351" s="2" t="s">
        <v>1542</v>
      </c>
      <c r="B351" s="2" t="s">
        <v>4186</v>
      </c>
      <c r="C351" s="2" t="s">
        <v>4187</v>
      </c>
      <c r="D351" s="2">
        <v>1</v>
      </c>
      <c r="E351" s="2" t="s">
        <v>142</v>
      </c>
      <c r="F351" s="2" t="s">
        <v>1543</v>
      </c>
      <c r="G351" s="2" t="s">
        <v>274</v>
      </c>
      <c r="H351" s="2" t="s">
        <v>3488</v>
      </c>
      <c r="I351" s="2" t="s">
        <v>3489</v>
      </c>
    </row>
    <row r="352" spans="1:9" ht="43.5" customHeight="1" x14ac:dyDescent="0.5">
      <c r="A352" s="2" t="s">
        <v>1550</v>
      </c>
      <c r="B352" s="2" t="s">
        <v>4188</v>
      </c>
      <c r="C352" s="2" t="s">
        <v>4189</v>
      </c>
      <c r="D352" s="2">
        <v>1</v>
      </c>
      <c r="E352" s="2" t="s">
        <v>142</v>
      </c>
      <c r="F352" s="2" t="s">
        <v>1551</v>
      </c>
      <c r="G352" s="2" t="s">
        <v>297</v>
      </c>
      <c r="H352" s="2" t="s">
        <v>3488</v>
      </c>
      <c r="I352" s="2" t="s">
        <v>3489</v>
      </c>
    </row>
    <row r="353" spans="1:9" ht="43.5" customHeight="1" x14ac:dyDescent="0.5">
      <c r="A353" s="2" t="s">
        <v>1557</v>
      </c>
      <c r="B353" s="2" t="s">
        <v>4190</v>
      </c>
      <c r="C353" s="2" t="s">
        <v>4191</v>
      </c>
      <c r="D353" s="2">
        <v>1</v>
      </c>
      <c r="E353" s="2" t="s">
        <v>142</v>
      </c>
      <c r="F353" s="2" t="s">
        <v>1558</v>
      </c>
      <c r="G353" s="2" t="s">
        <v>274</v>
      </c>
      <c r="H353" s="2" t="s">
        <v>3488</v>
      </c>
      <c r="I353" s="2" t="s">
        <v>3489</v>
      </c>
    </row>
    <row r="354" spans="1:9" ht="43.5" customHeight="1" x14ac:dyDescent="0.5">
      <c r="A354" s="2" t="s">
        <v>1565</v>
      </c>
      <c r="B354" s="2" t="s">
        <v>4192</v>
      </c>
      <c r="C354" s="2" t="s">
        <v>4193</v>
      </c>
      <c r="D354" s="2">
        <v>1</v>
      </c>
      <c r="E354" s="2" t="s">
        <v>142</v>
      </c>
      <c r="F354" s="2" t="s">
        <v>1566</v>
      </c>
      <c r="G354" s="2" t="s">
        <v>297</v>
      </c>
      <c r="H354" s="2" t="s">
        <v>3488</v>
      </c>
      <c r="I354" s="2" t="s">
        <v>3489</v>
      </c>
    </row>
    <row r="355" spans="1:9" ht="43.5" customHeight="1" x14ac:dyDescent="0.5">
      <c r="A355" s="2" t="s">
        <v>1571</v>
      </c>
      <c r="B355" s="2" t="s">
        <v>4194</v>
      </c>
      <c r="C355" s="2" t="s">
        <v>4195</v>
      </c>
      <c r="D355" s="2">
        <v>1</v>
      </c>
      <c r="E355" s="2" t="s">
        <v>142</v>
      </c>
      <c r="F355" s="2" t="s">
        <v>1572</v>
      </c>
      <c r="G355" s="2" t="s">
        <v>297</v>
      </c>
      <c r="H355" s="2" t="s">
        <v>3488</v>
      </c>
      <c r="I355" s="2" t="s">
        <v>3489</v>
      </c>
    </row>
    <row r="356" spans="1:9" ht="43.5" customHeight="1" x14ac:dyDescent="0.5">
      <c r="A356" s="2" t="s">
        <v>1578</v>
      </c>
      <c r="B356" s="2" t="s">
        <v>4196</v>
      </c>
      <c r="C356" s="2" t="s">
        <v>4197</v>
      </c>
      <c r="D356" s="2">
        <v>1</v>
      </c>
      <c r="E356" s="2" t="s">
        <v>142</v>
      </c>
      <c r="F356" s="2" t="s">
        <v>1579</v>
      </c>
      <c r="G356" s="2" t="s">
        <v>297</v>
      </c>
      <c r="H356" s="2" t="s">
        <v>3488</v>
      </c>
      <c r="I356" s="2" t="s">
        <v>3489</v>
      </c>
    </row>
    <row r="357" spans="1:9" ht="43.5" customHeight="1" x14ac:dyDescent="0.5">
      <c r="A357" s="2" t="s">
        <v>1584</v>
      </c>
      <c r="B357" s="2" t="s">
        <v>4198</v>
      </c>
      <c r="C357" s="2" t="s">
        <v>4199</v>
      </c>
      <c r="D357" s="2">
        <v>1</v>
      </c>
      <c r="E357" s="2" t="s">
        <v>142</v>
      </c>
      <c r="F357" s="2" t="s">
        <v>1511</v>
      </c>
      <c r="G357" s="2" t="s">
        <v>274</v>
      </c>
      <c r="H357" s="2" t="s">
        <v>3488</v>
      </c>
      <c r="I357" s="2" t="s">
        <v>3489</v>
      </c>
    </row>
    <row r="358" spans="1:9" ht="43.5" customHeight="1" x14ac:dyDescent="0.5">
      <c r="A358" s="2" t="s">
        <v>1607</v>
      </c>
      <c r="B358" s="2" t="s">
        <v>4200</v>
      </c>
      <c r="C358" s="2" t="s">
        <v>4201</v>
      </c>
      <c r="D358" s="2">
        <v>1</v>
      </c>
      <c r="E358" s="2" t="s">
        <v>131</v>
      </c>
      <c r="F358" s="2" t="s">
        <v>1608</v>
      </c>
      <c r="G358" s="2" t="s">
        <v>274</v>
      </c>
      <c r="H358" s="2" t="s">
        <v>3488</v>
      </c>
      <c r="I358" s="2" t="s">
        <v>3489</v>
      </c>
    </row>
    <row r="359" spans="1:9" ht="43.5" customHeight="1" x14ac:dyDescent="0.5">
      <c r="A359" s="2" t="s">
        <v>1618</v>
      </c>
      <c r="B359" s="2" t="s">
        <v>4202</v>
      </c>
      <c r="C359" s="2" t="s">
        <v>4203</v>
      </c>
      <c r="D359" s="2">
        <v>1</v>
      </c>
      <c r="E359" s="2" t="s">
        <v>131</v>
      </c>
      <c r="F359" s="2" t="s">
        <v>1619</v>
      </c>
      <c r="G359" s="2" t="s">
        <v>297</v>
      </c>
      <c r="H359" s="2" t="s">
        <v>3488</v>
      </c>
      <c r="I359" s="2" t="s">
        <v>3489</v>
      </c>
    </row>
    <row r="360" spans="1:9" ht="43.5" customHeight="1" x14ac:dyDescent="0.5">
      <c r="A360" s="2" t="s">
        <v>1628</v>
      </c>
      <c r="B360" s="2" t="s">
        <v>4204</v>
      </c>
      <c r="C360" s="2" t="s">
        <v>4205</v>
      </c>
      <c r="D360" s="2">
        <v>1</v>
      </c>
      <c r="E360" s="2" t="s">
        <v>140</v>
      </c>
      <c r="F360" s="2" t="s">
        <v>1608</v>
      </c>
      <c r="G360" s="2" t="s">
        <v>274</v>
      </c>
      <c r="H360" s="2" t="s">
        <v>3488</v>
      </c>
      <c r="I360" s="2" t="s">
        <v>3489</v>
      </c>
    </row>
    <row r="361" spans="1:9" ht="43.5" customHeight="1" x14ac:dyDescent="0.5">
      <c r="A361" s="2" t="s">
        <v>1633</v>
      </c>
      <c r="B361" s="2" t="s">
        <v>4206</v>
      </c>
      <c r="C361" s="2" t="s">
        <v>4207</v>
      </c>
      <c r="D361" s="2">
        <v>1</v>
      </c>
      <c r="E361" s="2" t="s">
        <v>140</v>
      </c>
      <c r="F361" s="2" t="s">
        <v>1619</v>
      </c>
      <c r="G361" s="2" t="s">
        <v>297</v>
      </c>
      <c r="H361" s="2" t="s">
        <v>3488</v>
      </c>
      <c r="I361" s="2" t="s">
        <v>3489</v>
      </c>
    </row>
  </sheetData>
  <autoFilter ref="A1:I361" xr:uid="{00000000-0009-0000-0000-00000C000000}"/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361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03125" defaultRowHeight="14.35" x14ac:dyDescent="0.5"/>
  <cols>
    <col min="1" max="1" width="17" customWidth="1"/>
    <col min="2" max="2" width="40" customWidth="1"/>
    <col min="3" max="3" width="10" customWidth="1"/>
    <col min="4" max="4" width="16" customWidth="1"/>
    <col min="5" max="5" width="58" customWidth="1"/>
    <col min="6" max="6" width="12" customWidth="1"/>
    <col min="7" max="7" width="29" customWidth="1"/>
    <col min="8" max="8" width="50" customWidth="1"/>
    <col min="9" max="9" width="58" customWidth="1"/>
  </cols>
  <sheetData>
    <row r="1" spans="1:9" ht="30" customHeight="1" x14ac:dyDescent="0.5">
      <c r="A1" s="1" t="s">
        <v>244</v>
      </c>
      <c r="B1" s="1" t="s">
        <v>4208</v>
      </c>
      <c r="C1" s="1" t="s">
        <v>3481</v>
      </c>
      <c r="D1" s="1" t="s">
        <v>3482</v>
      </c>
      <c r="E1" s="1" t="s">
        <v>3483</v>
      </c>
      <c r="F1" s="1" t="s">
        <v>4209</v>
      </c>
      <c r="G1" s="1" t="s">
        <v>254</v>
      </c>
      <c r="H1" s="1" t="s">
        <v>3484</v>
      </c>
      <c r="I1" s="1" t="s">
        <v>3485</v>
      </c>
    </row>
    <row r="2" spans="1:9" ht="43.5" customHeight="1" x14ac:dyDescent="0.5">
      <c r="A2" s="2" t="s">
        <v>264</v>
      </c>
      <c r="B2" s="2" t="s">
        <v>4210</v>
      </c>
      <c r="C2" s="2">
        <v>1</v>
      </c>
      <c r="D2" s="2" t="s">
        <v>75</v>
      </c>
      <c r="E2" s="2" t="s">
        <v>265</v>
      </c>
      <c r="F2" s="2" t="s">
        <v>4211</v>
      </c>
      <c r="G2" s="2" t="s">
        <v>274</v>
      </c>
      <c r="H2" s="2" t="s">
        <v>4212</v>
      </c>
      <c r="I2" s="2" t="s">
        <v>4213</v>
      </c>
    </row>
    <row r="3" spans="1:9" ht="43.5" customHeight="1" x14ac:dyDescent="0.5">
      <c r="A3" s="2" t="s">
        <v>282</v>
      </c>
      <c r="B3" s="2" t="s">
        <v>4214</v>
      </c>
      <c r="C3" s="2">
        <v>1</v>
      </c>
      <c r="D3" s="2" t="s">
        <v>75</v>
      </c>
      <c r="E3" s="2" t="s">
        <v>283</v>
      </c>
      <c r="F3" s="2" t="s">
        <v>4211</v>
      </c>
      <c r="G3" s="2" t="s">
        <v>274</v>
      </c>
      <c r="H3" s="2" t="s">
        <v>4212</v>
      </c>
      <c r="I3" s="2" t="s">
        <v>4213</v>
      </c>
    </row>
    <row r="4" spans="1:9" ht="43.5" customHeight="1" x14ac:dyDescent="0.5">
      <c r="A4" s="2" t="s">
        <v>289</v>
      </c>
      <c r="B4" s="2" t="s">
        <v>4215</v>
      </c>
      <c r="C4" s="2">
        <v>1</v>
      </c>
      <c r="D4" s="2" t="s">
        <v>75</v>
      </c>
      <c r="E4" s="2" t="s">
        <v>290</v>
      </c>
      <c r="F4" s="2" t="s">
        <v>4211</v>
      </c>
      <c r="G4" s="2" t="s">
        <v>297</v>
      </c>
      <c r="H4" s="2" t="s">
        <v>4212</v>
      </c>
      <c r="I4" s="2" t="s">
        <v>4213</v>
      </c>
    </row>
    <row r="5" spans="1:9" ht="43.5" customHeight="1" x14ac:dyDescent="0.5">
      <c r="A5" s="2" t="s">
        <v>301</v>
      </c>
      <c r="B5" s="2" t="s">
        <v>4216</v>
      </c>
      <c r="C5" s="2">
        <v>1</v>
      </c>
      <c r="D5" s="2" t="s">
        <v>75</v>
      </c>
      <c r="E5" s="2" t="s">
        <v>302</v>
      </c>
      <c r="F5" s="2" t="s">
        <v>4211</v>
      </c>
      <c r="G5" s="2" t="s">
        <v>297</v>
      </c>
      <c r="H5" s="2" t="s">
        <v>4212</v>
      </c>
      <c r="I5" s="2" t="s">
        <v>4213</v>
      </c>
    </row>
    <row r="6" spans="1:9" ht="43.5" customHeight="1" x14ac:dyDescent="0.5">
      <c r="A6" s="2" t="s">
        <v>311</v>
      </c>
      <c r="B6" s="2" t="s">
        <v>4217</v>
      </c>
      <c r="C6" s="2">
        <v>1</v>
      </c>
      <c r="D6" s="2" t="s">
        <v>75</v>
      </c>
      <c r="E6" s="2" t="s">
        <v>312</v>
      </c>
      <c r="F6" s="2" t="s">
        <v>4211</v>
      </c>
      <c r="G6" s="2" t="s">
        <v>297</v>
      </c>
      <c r="H6" s="2" t="s">
        <v>4212</v>
      </c>
      <c r="I6" s="2" t="s">
        <v>4213</v>
      </c>
    </row>
    <row r="7" spans="1:9" ht="43.5" customHeight="1" x14ac:dyDescent="0.5">
      <c r="A7" s="2" t="s">
        <v>318</v>
      </c>
      <c r="B7" s="2" t="s">
        <v>4218</v>
      </c>
      <c r="C7" s="2">
        <v>1</v>
      </c>
      <c r="D7" s="2" t="s">
        <v>75</v>
      </c>
      <c r="E7" s="2" t="s">
        <v>319</v>
      </c>
      <c r="F7" s="2" t="s">
        <v>4211</v>
      </c>
      <c r="G7" s="2" t="s">
        <v>274</v>
      </c>
      <c r="H7" s="2" t="s">
        <v>4212</v>
      </c>
      <c r="I7" s="2" t="s">
        <v>4213</v>
      </c>
    </row>
    <row r="8" spans="1:9" ht="43.5" customHeight="1" x14ac:dyDescent="0.5">
      <c r="A8" s="2" t="s">
        <v>323</v>
      </c>
      <c r="B8" s="2" t="s">
        <v>4219</v>
      </c>
      <c r="C8" s="2">
        <v>1</v>
      </c>
      <c r="D8" s="2" t="s">
        <v>75</v>
      </c>
      <c r="E8" s="2" t="s">
        <v>324</v>
      </c>
      <c r="F8" s="2" t="s">
        <v>4211</v>
      </c>
      <c r="G8" s="2" t="s">
        <v>274</v>
      </c>
      <c r="H8" s="2" t="s">
        <v>4212</v>
      </c>
      <c r="I8" s="2" t="s">
        <v>4213</v>
      </c>
    </row>
    <row r="9" spans="1:9" ht="43.5" customHeight="1" x14ac:dyDescent="0.5">
      <c r="A9" s="2" t="s">
        <v>327</v>
      </c>
      <c r="B9" s="2" t="s">
        <v>4220</v>
      </c>
      <c r="C9" s="2">
        <v>1</v>
      </c>
      <c r="D9" s="2" t="s">
        <v>75</v>
      </c>
      <c r="E9" s="2" t="s">
        <v>328</v>
      </c>
      <c r="F9" s="2" t="s">
        <v>4211</v>
      </c>
      <c r="G9" s="2" t="s">
        <v>297</v>
      </c>
      <c r="H9" s="2" t="s">
        <v>4212</v>
      </c>
      <c r="I9" s="2" t="s">
        <v>4213</v>
      </c>
    </row>
    <row r="10" spans="1:9" ht="43.5" customHeight="1" x14ac:dyDescent="0.5">
      <c r="A10" s="2" t="s">
        <v>330</v>
      </c>
      <c r="B10" s="2" t="s">
        <v>4221</v>
      </c>
      <c r="C10" s="2">
        <v>1</v>
      </c>
      <c r="D10" s="2" t="s">
        <v>75</v>
      </c>
      <c r="E10" s="2" t="s">
        <v>331</v>
      </c>
      <c r="F10" s="2" t="s">
        <v>4211</v>
      </c>
      <c r="G10" s="2" t="s">
        <v>297</v>
      </c>
      <c r="H10" s="2" t="s">
        <v>4212</v>
      </c>
      <c r="I10" s="2" t="s">
        <v>4213</v>
      </c>
    </row>
    <row r="11" spans="1:9" ht="43.5" customHeight="1" x14ac:dyDescent="0.5">
      <c r="A11" s="2" t="s">
        <v>335</v>
      </c>
      <c r="B11" s="2" t="s">
        <v>4222</v>
      </c>
      <c r="C11" s="2">
        <v>1</v>
      </c>
      <c r="D11" s="2" t="s">
        <v>75</v>
      </c>
      <c r="E11" s="2" t="s">
        <v>336</v>
      </c>
      <c r="F11" s="2" t="s">
        <v>4211</v>
      </c>
      <c r="G11" s="2" t="s">
        <v>297</v>
      </c>
      <c r="H11" s="2" t="s">
        <v>4212</v>
      </c>
      <c r="I11" s="2" t="s">
        <v>4213</v>
      </c>
    </row>
    <row r="12" spans="1:9" ht="43.5" customHeight="1" x14ac:dyDescent="0.5">
      <c r="A12" s="2" t="s">
        <v>339</v>
      </c>
      <c r="B12" s="2" t="s">
        <v>4223</v>
      </c>
      <c r="C12" s="2">
        <v>1</v>
      </c>
      <c r="D12" s="2" t="s">
        <v>75</v>
      </c>
      <c r="E12" s="2" t="s">
        <v>340</v>
      </c>
      <c r="F12" s="2" t="s">
        <v>4211</v>
      </c>
      <c r="G12" s="2" t="s">
        <v>274</v>
      </c>
      <c r="H12" s="2" t="s">
        <v>4212</v>
      </c>
      <c r="I12" s="2" t="s">
        <v>4213</v>
      </c>
    </row>
    <row r="13" spans="1:9" ht="43.5" customHeight="1" x14ac:dyDescent="0.5">
      <c r="A13" s="2" t="s">
        <v>344</v>
      </c>
      <c r="B13" s="2" t="s">
        <v>4224</v>
      </c>
      <c r="C13" s="2">
        <v>1</v>
      </c>
      <c r="D13" s="2" t="s">
        <v>75</v>
      </c>
      <c r="E13" s="2" t="s">
        <v>345</v>
      </c>
      <c r="F13" s="2" t="s">
        <v>4211</v>
      </c>
      <c r="G13" s="2" t="s">
        <v>274</v>
      </c>
      <c r="H13" s="2" t="s">
        <v>4212</v>
      </c>
      <c r="I13" s="2" t="s">
        <v>4213</v>
      </c>
    </row>
    <row r="14" spans="1:9" ht="43.5" customHeight="1" x14ac:dyDescent="0.5">
      <c r="A14" s="2" t="s">
        <v>348</v>
      </c>
      <c r="B14" s="2" t="s">
        <v>4225</v>
      </c>
      <c r="C14" s="2">
        <v>1</v>
      </c>
      <c r="D14" s="2" t="s">
        <v>75</v>
      </c>
      <c r="E14" s="2" t="s">
        <v>349</v>
      </c>
      <c r="F14" s="2" t="s">
        <v>4211</v>
      </c>
      <c r="G14" s="2" t="s">
        <v>297</v>
      </c>
      <c r="H14" s="2" t="s">
        <v>4212</v>
      </c>
      <c r="I14" s="2" t="s">
        <v>4213</v>
      </c>
    </row>
    <row r="15" spans="1:9" ht="43.5" customHeight="1" x14ac:dyDescent="0.5">
      <c r="A15" s="2" t="s">
        <v>351</v>
      </c>
      <c r="B15" s="2" t="s">
        <v>4226</v>
      </c>
      <c r="C15" s="2">
        <v>1</v>
      </c>
      <c r="D15" s="2" t="s">
        <v>75</v>
      </c>
      <c r="E15" s="2" t="s">
        <v>352</v>
      </c>
      <c r="F15" s="2" t="s">
        <v>4211</v>
      </c>
      <c r="G15" s="2" t="s">
        <v>297</v>
      </c>
      <c r="H15" s="2" t="s">
        <v>4212</v>
      </c>
      <c r="I15" s="2" t="s">
        <v>4213</v>
      </c>
    </row>
    <row r="16" spans="1:9" ht="43.5" customHeight="1" x14ac:dyDescent="0.5">
      <c r="A16" s="2" t="s">
        <v>356</v>
      </c>
      <c r="B16" s="2" t="s">
        <v>4227</v>
      </c>
      <c r="C16" s="2">
        <v>1</v>
      </c>
      <c r="D16" s="2" t="s">
        <v>75</v>
      </c>
      <c r="E16" s="2" t="s">
        <v>357</v>
      </c>
      <c r="F16" s="2" t="s">
        <v>4211</v>
      </c>
      <c r="G16" s="2" t="s">
        <v>297</v>
      </c>
      <c r="H16" s="2" t="s">
        <v>4212</v>
      </c>
      <c r="I16" s="2" t="s">
        <v>4213</v>
      </c>
    </row>
    <row r="17" spans="1:9" ht="43.5" customHeight="1" x14ac:dyDescent="0.5">
      <c r="A17" s="2" t="s">
        <v>363</v>
      </c>
      <c r="B17" s="2" t="s">
        <v>4228</v>
      </c>
      <c r="C17" s="2">
        <v>1</v>
      </c>
      <c r="D17" s="2" t="s">
        <v>81</v>
      </c>
      <c r="E17" s="2" t="s">
        <v>265</v>
      </c>
      <c r="F17" s="2" t="s">
        <v>4211</v>
      </c>
      <c r="G17" s="2" t="s">
        <v>274</v>
      </c>
      <c r="H17" s="2" t="s">
        <v>4212</v>
      </c>
      <c r="I17" s="2" t="s">
        <v>4213</v>
      </c>
    </row>
    <row r="18" spans="1:9" ht="43.5" customHeight="1" x14ac:dyDescent="0.5">
      <c r="A18" s="2" t="s">
        <v>366</v>
      </c>
      <c r="B18" s="2" t="s">
        <v>4229</v>
      </c>
      <c r="C18" s="2">
        <v>1</v>
      </c>
      <c r="D18" s="2" t="s">
        <v>81</v>
      </c>
      <c r="E18" s="2" t="s">
        <v>283</v>
      </c>
      <c r="F18" s="2" t="s">
        <v>4211</v>
      </c>
      <c r="G18" s="2" t="s">
        <v>274</v>
      </c>
      <c r="H18" s="2" t="s">
        <v>4212</v>
      </c>
      <c r="I18" s="2" t="s">
        <v>4213</v>
      </c>
    </row>
    <row r="19" spans="1:9" ht="43.5" customHeight="1" x14ac:dyDescent="0.5">
      <c r="A19" s="2" t="s">
        <v>368</v>
      </c>
      <c r="B19" s="2" t="s">
        <v>4230</v>
      </c>
      <c r="C19" s="2">
        <v>1</v>
      </c>
      <c r="D19" s="2" t="s">
        <v>81</v>
      </c>
      <c r="E19" s="2" t="s">
        <v>290</v>
      </c>
      <c r="F19" s="2" t="s">
        <v>4211</v>
      </c>
      <c r="G19" s="2" t="s">
        <v>297</v>
      </c>
      <c r="H19" s="2" t="s">
        <v>4212</v>
      </c>
      <c r="I19" s="2" t="s">
        <v>4213</v>
      </c>
    </row>
    <row r="20" spans="1:9" ht="43.5" customHeight="1" x14ac:dyDescent="0.5">
      <c r="A20" s="2" t="s">
        <v>373</v>
      </c>
      <c r="B20" s="2" t="s">
        <v>4231</v>
      </c>
      <c r="C20" s="2">
        <v>1</v>
      </c>
      <c r="D20" s="2" t="s">
        <v>81</v>
      </c>
      <c r="E20" s="2" t="s">
        <v>302</v>
      </c>
      <c r="F20" s="2" t="s">
        <v>4211</v>
      </c>
      <c r="G20" s="2" t="s">
        <v>297</v>
      </c>
      <c r="H20" s="2" t="s">
        <v>4212</v>
      </c>
      <c r="I20" s="2" t="s">
        <v>4213</v>
      </c>
    </row>
    <row r="21" spans="1:9" ht="43.5" customHeight="1" x14ac:dyDescent="0.5">
      <c r="A21" s="2" t="s">
        <v>375</v>
      </c>
      <c r="B21" s="2" t="s">
        <v>4232</v>
      </c>
      <c r="C21" s="2">
        <v>1</v>
      </c>
      <c r="D21" s="2" t="s">
        <v>81</v>
      </c>
      <c r="E21" s="2" t="s">
        <v>312</v>
      </c>
      <c r="F21" s="2" t="s">
        <v>4211</v>
      </c>
      <c r="G21" s="2" t="s">
        <v>297</v>
      </c>
      <c r="H21" s="2" t="s">
        <v>4212</v>
      </c>
      <c r="I21" s="2" t="s">
        <v>4213</v>
      </c>
    </row>
    <row r="22" spans="1:9" ht="43.5" customHeight="1" x14ac:dyDescent="0.5">
      <c r="A22" s="2" t="s">
        <v>377</v>
      </c>
      <c r="B22" s="2" t="s">
        <v>4233</v>
      </c>
      <c r="C22" s="2">
        <v>1</v>
      </c>
      <c r="D22" s="2" t="s">
        <v>81</v>
      </c>
      <c r="E22" s="2" t="s">
        <v>319</v>
      </c>
      <c r="F22" s="2" t="s">
        <v>4211</v>
      </c>
      <c r="G22" s="2" t="s">
        <v>274</v>
      </c>
      <c r="H22" s="2" t="s">
        <v>4212</v>
      </c>
      <c r="I22" s="2" t="s">
        <v>4213</v>
      </c>
    </row>
    <row r="23" spans="1:9" ht="43.5" customHeight="1" x14ac:dyDescent="0.5">
      <c r="A23" s="2" t="s">
        <v>379</v>
      </c>
      <c r="B23" s="2" t="s">
        <v>4234</v>
      </c>
      <c r="C23" s="2">
        <v>1</v>
      </c>
      <c r="D23" s="2" t="s">
        <v>81</v>
      </c>
      <c r="E23" s="2" t="s">
        <v>324</v>
      </c>
      <c r="F23" s="2" t="s">
        <v>4211</v>
      </c>
      <c r="G23" s="2" t="s">
        <v>274</v>
      </c>
      <c r="H23" s="2" t="s">
        <v>4212</v>
      </c>
      <c r="I23" s="2" t="s">
        <v>4213</v>
      </c>
    </row>
    <row r="24" spans="1:9" ht="43.5" customHeight="1" x14ac:dyDescent="0.5">
      <c r="A24" s="2" t="s">
        <v>381</v>
      </c>
      <c r="B24" s="2" t="s">
        <v>4235</v>
      </c>
      <c r="C24" s="2">
        <v>1</v>
      </c>
      <c r="D24" s="2" t="s">
        <v>81</v>
      </c>
      <c r="E24" s="2" t="s">
        <v>328</v>
      </c>
      <c r="F24" s="2" t="s">
        <v>4211</v>
      </c>
      <c r="G24" s="2" t="s">
        <v>297</v>
      </c>
      <c r="H24" s="2" t="s">
        <v>4212</v>
      </c>
      <c r="I24" s="2" t="s">
        <v>4213</v>
      </c>
    </row>
    <row r="25" spans="1:9" ht="43.5" customHeight="1" x14ac:dyDescent="0.5">
      <c r="A25" s="2" t="s">
        <v>383</v>
      </c>
      <c r="B25" s="2" t="s">
        <v>4236</v>
      </c>
      <c r="C25" s="2">
        <v>1</v>
      </c>
      <c r="D25" s="2" t="s">
        <v>81</v>
      </c>
      <c r="E25" s="2" t="s">
        <v>331</v>
      </c>
      <c r="F25" s="2" t="s">
        <v>4211</v>
      </c>
      <c r="G25" s="2" t="s">
        <v>297</v>
      </c>
      <c r="H25" s="2" t="s">
        <v>4212</v>
      </c>
      <c r="I25" s="2" t="s">
        <v>4213</v>
      </c>
    </row>
    <row r="26" spans="1:9" ht="43.5" customHeight="1" x14ac:dyDescent="0.5">
      <c r="A26" s="2" t="s">
        <v>385</v>
      </c>
      <c r="B26" s="2" t="s">
        <v>4237</v>
      </c>
      <c r="C26" s="2">
        <v>1</v>
      </c>
      <c r="D26" s="2" t="s">
        <v>81</v>
      </c>
      <c r="E26" s="2" t="s">
        <v>336</v>
      </c>
      <c r="F26" s="2" t="s">
        <v>4211</v>
      </c>
      <c r="G26" s="2" t="s">
        <v>297</v>
      </c>
      <c r="H26" s="2" t="s">
        <v>4212</v>
      </c>
      <c r="I26" s="2" t="s">
        <v>4213</v>
      </c>
    </row>
    <row r="27" spans="1:9" ht="43.5" customHeight="1" x14ac:dyDescent="0.5">
      <c r="A27" s="2" t="s">
        <v>387</v>
      </c>
      <c r="B27" s="2" t="s">
        <v>4238</v>
      </c>
      <c r="C27" s="2">
        <v>1</v>
      </c>
      <c r="D27" s="2" t="s">
        <v>81</v>
      </c>
      <c r="E27" s="2" t="s">
        <v>388</v>
      </c>
      <c r="F27" s="2" t="s">
        <v>4211</v>
      </c>
      <c r="G27" s="2" t="s">
        <v>274</v>
      </c>
      <c r="H27" s="2" t="s">
        <v>4212</v>
      </c>
      <c r="I27" s="2" t="s">
        <v>4213</v>
      </c>
    </row>
    <row r="28" spans="1:9" ht="43.5" customHeight="1" x14ac:dyDescent="0.5">
      <c r="A28" s="2" t="s">
        <v>392</v>
      </c>
      <c r="B28" s="2" t="s">
        <v>4239</v>
      </c>
      <c r="C28" s="2">
        <v>1</v>
      </c>
      <c r="D28" s="2" t="s">
        <v>81</v>
      </c>
      <c r="E28" s="2" t="s">
        <v>393</v>
      </c>
      <c r="F28" s="2" t="s">
        <v>4211</v>
      </c>
      <c r="G28" s="2" t="s">
        <v>274</v>
      </c>
      <c r="H28" s="2" t="s">
        <v>4212</v>
      </c>
      <c r="I28" s="2" t="s">
        <v>4213</v>
      </c>
    </row>
    <row r="29" spans="1:9" ht="43.5" customHeight="1" x14ac:dyDescent="0.5">
      <c r="A29" s="2" t="s">
        <v>396</v>
      </c>
      <c r="B29" s="2" t="s">
        <v>4240</v>
      </c>
      <c r="C29" s="2">
        <v>1</v>
      </c>
      <c r="D29" s="2" t="s">
        <v>81</v>
      </c>
      <c r="E29" s="2" t="s">
        <v>397</v>
      </c>
      <c r="F29" s="2" t="s">
        <v>4211</v>
      </c>
      <c r="G29" s="2" t="s">
        <v>274</v>
      </c>
      <c r="H29" s="2" t="s">
        <v>4212</v>
      </c>
      <c r="I29" s="2" t="s">
        <v>4213</v>
      </c>
    </row>
    <row r="30" spans="1:9" ht="43.5" customHeight="1" x14ac:dyDescent="0.5">
      <c r="A30" s="2" t="s">
        <v>404</v>
      </c>
      <c r="B30" s="2" t="s">
        <v>4241</v>
      </c>
      <c r="C30" s="2">
        <v>1</v>
      </c>
      <c r="D30" s="2" t="s">
        <v>81</v>
      </c>
      <c r="E30" s="2" t="s">
        <v>405</v>
      </c>
      <c r="F30" s="2" t="s">
        <v>4211</v>
      </c>
      <c r="G30" s="2" t="s">
        <v>297</v>
      </c>
      <c r="H30" s="2" t="s">
        <v>4212</v>
      </c>
      <c r="I30" s="2" t="s">
        <v>4213</v>
      </c>
    </row>
    <row r="31" spans="1:9" ht="43.5" customHeight="1" x14ac:dyDescent="0.5">
      <c r="A31" s="2" t="s">
        <v>409</v>
      </c>
      <c r="B31" s="2" t="s">
        <v>4242</v>
      </c>
      <c r="C31" s="2">
        <v>1</v>
      </c>
      <c r="D31" s="2" t="s">
        <v>81</v>
      </c>
      <c r="E31" s="2" t="s">
        <v>410</v>
      </c>
      <c r="F31" s="2" t="s">
        <v>4211</v>
      </c>
      <c r="G31" s="2" t="s">
        <v>297</v>
      </c>
      <c r="H31" s="2" t="s">
        <v>4212</v>
      </c>
      <c r="I31" s="2" t="s">
        <v>4213</v>
      </c>
    </row>
    <row r="32" spans="1:9" ht="43.5" customHeight="1" x14ac:dyDescent="0.5">
      <c r="A32" s="2" t="s">
        <v>413</v>
      </c>
      <c r="B32" s="2" t="s">
        <v>4243</v>
      </c>
      <c r="C32" s="2">
        <v>1</v>
      </c>
      <c r="D32" s="2" t="s">
        <v>84</v>
      </c>
      <c r="E32" s="2" t="s">
        <v>414</v>
      </c>
      <c r="F32" s="2" t="s">
        <v>4211</v>
      </c>
      <c r="G32" s="2" t="s">
        <v>274</v>
      </c>
      <c r="H32" s="2" t="s">
        <v>4212</v>
      </c>
      <c r="I32" s="2" t="s">
        <v>4213</v>
      </c>
    </row>
    <row r="33" spans="1:9" ht="43.5" customHeight="1" x14ac:dyDescent="0.5">
      <c r="A33" s="2" t="s">
        <v>418</v>
      </c>
      <c r="B33" s="2" t="s">
        <v>4244</v>
      </c>
      <c r="C33" s="2">
        <v>1</v>
      </c>
      <c r="D33" s="2" t="s">
        <v>84</v>
      </c>
      <c r="E33" s="2" t="s">
        <v>419</v>
      </c>
      <c r="F33" s="2" t="s">
        <v>4211</v>
      </c>
      <c r="G33" s="2" t="s">
        <v>274</v>
      </c>
      <c r="H33" s="2" t="s">
        <v>4212</v>
      </c>
      <c r="I33" s="2" t="s">
        <v>4213</v>
      </c>
    </row>
    <row r="34" spans="1:9" ht="43.5" customHeight="1" x14ac:dyDescent="0.5">
      <c r="A34" s="2" t="s">
        <v>422</v>
      </c>
      <c r="B34" s="2" t="s">
        <v>4245</v>
      </c>
      <c r="C34" s="2">
        <v>1</v>
      </c>
      <c r="D34" s="2" t="s">
        <v>84</v>
      </c>
      <c r="E34" s="2" t="s">
        <v>423</v>
      </c>
      <c r="F34" s="2" t="s">
        <v>4211</v>
      </c>
      <c r="G34" s="2" t="s">
        <v>297</v>
      </c>
      <c r="H34" s="2" t="s">
        <v>4212</v>
      </c>
      <c r="I34" s="2" t="s">
        <v>4213</v>
      </c>
    </row>
    <row r="35" spans="1:9" ht="43.5" customHeight="1" x14ac:dyDescent="0.5">
      <c r="A35" s="2" t="s">
        <v>425</v>
      </c>
      <c r="B35" s="2" t="s">
        <v>4246</v>
      </c>
      <c r="C35" s="2">
        <v>1</v>
      </c>
      <c r="D35" s="2" t="s">
        <v>84</v>
      </c>
      <c r="E35" s="2" t="s">
        <v>426</v>
      </c>
      <c r="F35" s="2" t="s">
        <v>4211</v>
      </c>
      <c r="G35" s="2" t="s">
        <v>297</v>
      </c>
      <c r="H35" s="2" t="s">
        <v>4212</v>
      </c>
      <c r="I35" s="2" t="s">
        <v>4213</v>
      </c>
    </row>
    <row r="36" spans="1:9" ht="43.5" customHeight="1" x14ac:dyDescent="0.5">
      <c r="A36" s="2" t="s">
        <v>430</v>
      </c>
      <c r="B36" s="2" t="s">
        <v>4247</v>
      </c>
      <c r="C36" s="2">
        <v>1</v>
      </c>
      <c r="D36" s="2" t="s">
        <v>84</v>
      </c>
      <c r="E36" s="2" t="s">
        <v>431</v>
      </c>
      <c r="F36" s="2" t="s">
        <v>4211</v>
      </c>
      <c r="G36" s="2" t="s">
        <v>297</v>
      </c>
      <c r="H36" s="2" t="s">
        <v>4212</v>
      </c>
      <c r="I36" s="2" t="s">
        <v>4213</v>
      </c>
    </row>
    <row r="37" spans="1:9" ht="43.5" customHeight="1" x14ac:dyDescent="0.5">
      <c r="A37" s="2" t="s">
        <v>434</v>
      </c>
      <c r="B37" s="2" t="s">
        <v>4248</v>
      </c>
      <c r="C37" s="2">
        <v>1</v>
      </c>
      <c r="D37" s="2" t="s">
        <v>88</v>
      </c>
      <c r="E37" s="2" t="s">
        <v>435</v>
      </c>
      <c r="F37" s="2" t="s">
        <v>4211</v>
      </c>
      <c r="G37" s="2" t="s">
        <v>274</v>
      </c>
      <c r="H37" s="2" t="s">
        <v>4212</v>
      </c>
      <c r="I37" s="2" t="s">
        <v>4213</v>
      </c>
    </row>
    <row r="38" spans="1:9" ht="43.5" customHeight="1" x14ac:dyDescent="0.5">
      <c r="A38" s="2" t="s">
        <v>439</v>
      </c>
      <c r="B38" s="2" t="s">
        <v>4249</v>
      </c>
      <c r="C38" s="2">
        <v>1</v>
      </c>
      <c r="D38" s="2" t="s">
        <v>88</v>
      </c>
      <c r="E38" s="2" t="s">
        <v>440</v>
      </c>
      <c r="F38" s="2" t="s">
        <v>4211</v>
      </c>
      <c r="G38" s="2" t="s">
        <v>274</v>
      </c>
      <c r="H38" s="2" t="s">
        <v>4212</v>
      </c>
      <c r="I38" s="2" t="s">
        <v>4213</v>
      </c>
    </row>
    <row r="39" spans="1:9" ht="43.5" customHeight="1" x14ac:dyDescent="0.5">
      <c r="A39" s="2" t="s">
        <v>443</v>
      </c>
      <c r="B39" s="2" t="s">
        <v>4250</v>
      </c>
      <c r="C39" s="2">
        <v>1</v>
      </c>
      <c r="D39" s="2" t="s">
        <v>88</v>
      </c>
      <c r="E39" s="2" t="s">
        <v>444</v>
      </c>
      <c r="F39" s="2" t="s">
        <v>4211</v>
      </c>
      <c r="G39" s="2" t="s">
        <v>297</v>
      </c>
      <c r="H39" s="2" t="s">
        <v>4212</v>
      </c>
      <c r="I39" s="2" t="s">
        <v>4213</v>
      </c>
    </row>
    <row r="40" spans="1:9" ht="43.5" customHeight="1" x14ac:dyDescent="0.5">
      <c r="A40" s="2" t="s">
        <v>446</v>
      </c>
      <c r="B40" s="2" t="s">
        <v>4251</v>
      </c>
      <c r="C40" s="2">
        <v>1</v>
      </c>
      <c r="D40" s="2" t="s">
        <v>88</v>
      </c>
      <c r="E40" s="2" t="s">
        <v>447</v>
      </c>
      <c r="F40" s="2" t="s">
        <v>4211</v>
      </c>
      <c r="G40" s="2" t="s">
        <v>297</v>
      </c>
      <c r="H40" s="2" t="s">
        <v>4212</v>
      </c>
      <c r="I40" s="2" t="s">
        <v>4213</v>
      </c>
    </row>
    <row r="41" spans="1:9" ht="43.5" customHeight="1" x14ac:dyDescent="0.5">
      <c r="A41" s="2" t="s">
        <v>451</v>
      </c>
      <c r="B41" s="2" t="s">
        <v>4252</v>
      </c>
      <c r="C41" s="2">
        <v>1</v>
      </c>
      <c r="D41" s="2" t="s">
        <v>88</v>
      </c>
      <c r="E41" s="2" t="s">
        <v>452</v>
      </c>
      <c r="F41" s="2" t="s">
        <v>4211</v>
      </c>
      <c r="G41" s="2" t="s">
        <v>297</v>
      </c>
      <c r="H41" s="2" t="s">
        <v>4212</v>
      </c>
      <c r="I41" s="2" t="s">
        <v>4213</v>
      </c>
    </row>
    <row r="42" spans="1:9" ht="43.5" customHeight="1" x14ac:dyDescent="0.5">
      <c r="A42" s="2" t="s">
        <v>455</v>
      </c>
      <c r="B42" s="2" t="s">
        <v>4253</v>
      </c>
      <c r="C42" s="2">
        <v>1</v>
      </c>
      <c r="D42" s="2" t="s">
        <v>88</v>
      </c>
      <c r="E42" s="2" t="s">
        <v>456</v>
      </c>
      <c r="F42" s="2" t="s">
        <v>4211</v>
      </c>
      <c r="G42" s="2" t="s">
        <v>297</v>
      </c>
      <c r="H42" s="2" t="s">
        <v>4212</v>
      </c>
      <c r="I42" s="2" t="s">
        <v>4213</v>
      </c>
    </row>
    <row r="43" spans="1:9" ht="43.5" customHeight="1" x14ac:dyDescent="0.5">
      <c r="A43" s="2" t="s">
        <v>463</v>
      </c>
      <c r="B43" s="2" t="s">
        <v>4254</v>
      </c>
      <c r="C43" s="2">
        <v>1</v>
      </c>
      <c r="D43" s="2" t="s">
        <v>88</v>
      </c>
      <c r="E43" s="2" t="s">
        <v>464</v>
      </c>
      <c r="F43" s="2" t="s">
        <v>4211</v>
      </c>
      <c r="G43" s="2" t="s">
        <v>274</v>
      </c>
      <c r="H43" s="2" t="s">
        <v>4212</v>
      </c>
      <c r="I43" s="2" t="s">
        <v>4213</v>
      </c>
    </row>
    <row r="44" spans="1:9" ht="43.5" customHeight="1" x14ac:dyDescent="0.5">
      <c r="A44" s="2" t="s">
        <v>467</v>
      </c>
      <c r="B44" s="2" t="s">
        <v>4255</v>
      </c>
      <c r="C44" s="2">
        <v>1</v>
      </c>
      <c r="D44" s="2" t="s">
        <v>88</v>
      </c>
      <c r="E44" s="2" t="s">
        <v>468</v>
      </c>
      <c r="F44" s="2" t="s">
        <v>4211</v>
      </c>
      <c r="G44" s="2" t="s">
        <v>274</v>
      </c>
      <c r="H44" s="2" t="s">
        <v>4212</v>
      </c>
      <c r="I44" s="2" t="s">
        <v>4213</v>
      </c>
    </row>
    <row r="45" spans="1:9" ht="43.5" customHeight="1" x14ac:dyDescent="0.5">
      <c r="A45" s="2" t="s">
        <v>470</v>
      </c>
      <c r="B45" s="2" t="s">
        <v>4256</v>
      </c>
      <c r="C45" s="2">
        <v>1</v>
      </c>
      <c r="D45" s="2" t="s">
        <v>88</v>
      </c>
      <c r="E45" s="2" t="s">
        <v>471</v>
      </c>
      <c r="F45" s="2" t="s">
        <v>4211</v>
      </c>
      <c r="G45" s="2" t="s">
        <v>297</v>
      </c>
      <c r="H45" s="2" t="s">
        <v>4212</v>
      </c>
      <c r="I45" s="2" t="s">
        <v>4213</v>
      </c>
    </row>
    <row r="46" spans="1:9" ht="43.5" customHeight="1" x14ac:dyDescent="0.5">
      <c r="A46" s="2" t="s">
        <v>473</v>
      </c>
      <c r="B46" s="2" t="s">
        <v>4257</v>
      </c>
      <c r="C46" s="2">
        <v>1</v>
      </c>
      <c r="D46" s="2" t="s">
        <v>88</v>
      </c>
      <c r="E46" s="2" t="s">
        <v>474</v>
      </c>
      <c r="F46" s="2" t="s">
        <v>4211</v>
      </c>
      <c r="G46" s="2" t="s">
        <v>297</v>
      </c>
      <c r="H46" s="2" t="s">
        <v>4212</v>
      </c>
      <c r="I46" s="2" t="s">
        <v>4213</v>
      </c>
    </row>
    <row r="47" spans="1:9" ht="43.5" customHeight="1" x14ac:dyDescent="0.5">
      <c r="A47" s="2" t="s">
        <v>478</v>
      </c>
      <c r="B47" s="2" t="s">
        <v>4258</v>
      </c>
      <c r="C47" s="2">
        <v>1</v>
      </c>
      <c r="D47" s="2" t="s">
        <v>88</v>
      </c>
      <c r="E47" s="2" t="s">
        <v>479</v>
      </c>
      <c r="F47" s="2" t="s">
        <v>4211</v>
      </c>
      <c r="G47" s="2" t="s">
        <v>297</v>
      </c>
      <c r="H47" s="2" t="s">
        <v>4212</v>
      </c>
      <c r="I47" s="2" t="s">
        <v>4213</v>
      </c>
    </row>
    <row r="48" spans="1:9" ht="43.5" customHeight="1" x14ac:dyDescent="0.5">
      <c r="A48" s="2" t="s">
        <v>482</v>
      </c>
      <c r="B48" s="2" t="s">
        <v>4259</v>
      </c>
      <c r="C48" s="2">
        <v>1</v>
      </c>
      <c r="D48" s="2" t="s">
        <v>88</v>
      </c>
      <c r="E48" s="2" t="s">
        <v>483</v>
      </c>
      <c r="F48" s="2" t="s">
        <v>4211</v>
      </c>
      <c r="G48" s="2" t="s">
        <v>297</v>
      </c>
      <c r="H48" s="2" t="s">
        <v>4212</v>
      </c>
      <c r="I48" s="2" t="s">
        <v>4213</v>
      </c>
    </row>
    <row r="49" spans="1:9" ht="43.5" customHeight="1" x14ac:dyDescent="0.5">
      <c r="A49" s="2" t="s">
        <v>486</v>
      </c>
      <c r="B49" s="2" t="s">
        <v>4260</v>
      </c>
      <c r="C49" s="2">
        <v>1</v>
      </c>
      <c r="D49" s="2" t="s">
        <v>88</v>
      </c>
      <c r="E49" s="2" t="s">
        <v>487</v>
      </c>
      <c r="F49" s="2" t="s">
        <v>4211</v>
      </c>
      <c r="G49" s="2" t="s">
        <v>274</v>
      </c>
      <c r="H49" s="2" t="s">
        <v>4212</v>
      </c>
      <c r="I49" s="2" t="s">
        <v>4213</v>
      </c>
    </row>
    <row r="50" spans="1:9" ht="43.5" customHeight="1" x14ac:dyDescent="0.5">
      <c r="A50" s="2" t="s">
        <v>491</v>
      </c>
      <c r="B50" s="2" t="s">
        <v>4261</v>
      </c>
      <c r="C50" s="2">
        <v>1</v>
      </c>
      <c r="D50" s="2" t="s">
        <v>88</v>
      </c>
      <c r="E50" s="2" t="s">
        <v>492</v>
      </c>
      <c r="F50" s="2" t="s">
        <v>4211</v>
      </c>
      <c r="G50" s="2" t="s">
        <v>274</v>
      </c>
      <c r="H50" s="2" t="s">
        <v>4212</v>
      </c>
      <c r="I50" s="2" t="s">
        <v>4213</v>
      </c>
    </row>
    <row r="51" spans="1:9" ht="43.5" customHeight="1" x14ac:dyDescent="0.5">
      <c r="A51" s="2" t="s">
        <v>495</v>
      </c>
      <c r="B51" s="2" t="s">
        <v>4262</v>
      </c>
      <c r="C51" s="2">
        <v>1</v>
      </c>
      <c r="D51" s="2" t="s">
        <v>88</v>
      </c>
      <c r="E51" s="2" t="s">
        <v>496</v>
      </c>
      <c r="F51" s="2" t="s">
        <v>4211</v>
      </c>
      <c r="G51" s="2" t="s">
        <v>297</v>
      </c>
      <c r="H51" s="2" t="s">
        <v>4212</v>
      </c>
      <c r="I51" s="2" t="s">
        <v>4213</v>
      </c>
    </row>
    <row r="52" spans="1:9" ht="43.5" customHeight="1" x14ac:dyDescent="0.5">
      <c r="A52" s="2" t="s">
        <v>498</v>
      </c>
      <c r="B52" s="2" t="s">
        <v>4263</v>
      </c>
      <c r="C52" s="2">
        <v>1</v>
      </c>
      <c r="D52" s="2" t="s">
        <v>88</v>
      </c>
      <c r="E52" s="2" t="s">
        <v>499</v>
      </c>
      <c r="F52" s="2" t="s">
        <v>4211</v>
      </c>
      <c r="G52" s="2" t="s">
        <v>297</v>
      </c>
      <c r="H52" s="2" t="s">
        <v>4212</v>
      </c>
      <c r="I52" s="2" t="s">
        <v>4213</v>
      </c>
    </row>
    <row r="53" spans="1:9" ht="43.5" customHeight="1" x14ac:dyDescent="0.5">
      <c r="A53" s="2" t="s">
        <v>503</v>
      </c>
      <c r="B53" s="2" t="s">
        <v>4264</v>
      </c>
      <c r="C53" s="2">
        <v>1</v>
      </c>
      <c r="D53" s="2" t="s">
        <v>88</v>
      </c>
      <c r="E53" s="2" t="s">
        <v>504</v>
      </c>
      <c r="F53" s="2" t="s">
        <v>4211</v>
      </c>
      <c r="G53" s="2" t="s">
        <v>297</v>
      </c>
      <c r="H53" s="2" t="s">
        <v>4212</v>
      </c>
      <c r="I53" s="2" t="s">
        <v>4213</v>
      </c>
    </row>
    <row r="54" spans="1:9" ht="43.5" customHeight="1" x14ac:dyDescent="0.5">
      <c r="A54" s="2" t="s">
        <v>507</v>
      </c>
      <c r="B54" s="2" t="s">
        <v>4265</v>
      </c>
      <c r="C54" s="2">
        <v>1</v>
      </c>
      <c r="D54" s="2" t="s">
        <v>88</v>
      </c>
      <c r="E54" s="2" t="s">
        <v>508</v>
      </c>
      <c r="F54" s="2" t="s">
        <v>4211</v>
      </c>
      <c r="G54" s="2" t="s">
        <v>297</v>
      </c>
      <c r="H54" s="2" t="s">
        <v>4212</v>
      </c>
      <c r="I54" s="2" t="s">
        <v>4213</v>
      </c>
    </row>
    <row r="55" spans="1:9" ht="43.5" customHeight="1" x14ac:dyDescent="0.5">
      <c r="A55" s="2" t="s">
        <v>511</v>
      </c>
      <c r="B55" s="2" t="s">
        <v>4266</v>
      </c>
      <c r="C55" s="2">
        <v>1</v>
      </c>
      <c r="D55" s="2" t="s">
        <v>90</v>
      </c>
      <c r="E55" s="2" t="s">
        <v>512</v>
      </c>
      <c r="F55" s="2" t="s">
        <v>4211</v>
      </c>
      <c r="G55" s="2" t="s">
        <v>274</v>
      </c>
      <c r="H55" s="2" t="s">
        <v>4212</v>
      </c>
      <c r="I55" s="2" t="s">
        <v>4213</v>
      </c>
    </row>
    <row r="56" spans="1:9" ht="43.5" customHeight="1" x14ac:dyDescent="0.5">
      <c r="A56" s="2" t="s">
        <v>515</v>
      </c>
      <c r="B56" s="2" t="s">
        <v>4267</v>
      </c>
      <c r="C56" s="2">
        <v>1</v>
      </c>
      <c r="D56" s="2" t="s">
        <v>90</v>
      </c>
      <c r="E56" s="2" t="s">
        <v>516</v>
      </c>
      <c r="F56" s="2" t="s">
        <v>4211</v>
      </c>
      <c r="G56" s="2" t="s">
        <v>274</v>
      </c>
      <c r="H56" s="2" t="s">
        <v>4212</v>
      </c>
      <c r="I56" s="2" t="s">
        <v>4213</v>
      </c>
    </row>
    <row r="57" spans="1:9" ht="43.5" customHeight="1" x14ac:dyDescent="0.5">
      <c r="A57" s="2" t="s">
        <v>518</v>
      </c>
      <c r="B57" s="2" t="s">
        <v>4268</v>
      </c>
      <c r="C57" s="2">
        <v>1</v>
      </c>
      <c r="D57" s="2" t="s">
        <v>90</v>
      </c>
      <c r="E57" s="2" t="s">
        <v>519</v>
      </c>
      <c r="F57" s="2" t="s">
        <v>4211</v>
      </c>
      <c r="G57" s="2" t="s">
        <v>297</v>
      </c>
      <c r="H57" s="2" t="s">
        <v>4212</v>
      </c>
      <c r="I57" s="2" t="s">
        <v>4213</v>
      </c>
    </row>
    <row r="58" spans="1:9" ht="43.5" customHeight="1" x14ac:dyDescent="0.5">
      <c r="A58" s="2" t="s">
        <v>521</v>
      </c>
      <c r="B58" s="2" t="s">
        <v>4269</v>
      </c>
      <c r="C58" s="2">
        <v>1</v>
      </c>
      <c r="D58" s="2" t="s">
        <v>90</v>
      </c>
      <c r="E58" s="2" t="s">
        <v>522</v>
      </c>
      <c r="F58" s="2" t="s">
        <v>4211</v>
      </c>
      <c r="G58" s="2" t="s">
        <v>297</v>
      </c>
      <c r="H58" s="2" t="s">
        <v>4212</v>
      </c>
      <c r="I58" s="2" t="s">
        <v>4213</v>
      </c>
    </row>
    <row r="59" spans="1:9" ht="43.5" customHeight="1" x14ac:dyDescent="0.5">
      <c r="A59" s="2" t="s">
        <v>526</v>
      </c>
      <c r="B59" s="2" t="s">
        <v>4270</v>
      </c>
      <c r="C59" s="2">
        <v>1</v>
      </c>
      <c r="D59" s="2" t="s">
        <v>90</v>
      </c>
      <c r="E59" s="2" t="s">
        <v>527</v>
      </c>
      <c r="F59" s="2" t="s">
        <v>4211</v>
      </c>
      <c r="G59" s="2" t="s">
        <v>297</v>
      </c>
      <c r="H59" s="2" t="s">
        <v>4212</v>
      </c>
      <c r="I59" s="2" t="s">
        <v>4213</v>
      </c>
    </row>
    <row r="60" spans="1:9" ht="43.5" customHeight="1" x14ac:dyDescent="0.5">
      <c r="A60" s="2" t="s">
        <v>530</v>
      </c>
      <c r="B60" s="2" t="s">
        <v>4271</v>
      </c>
      <c r="C60" s="2">
        <v>1</v>
      </c>
      <c r="D60" s="2" t="s">
        <v>90</v>
      </c>
      <c r="E60" s="2" t="s">
        <v>531</v>
      </c>
      <c r="F60" s="2" t="s">
        <v>4211</v>
      </c>
      <c r="G60" s="2" t="s">
        <v>297</v>
      </c>
      <c r="H60" s="2" t="s">
        <v>4212</v>
      </c>
      <c r="I60" s="2" t="s">
        <v>4213</v>
      </c>
    </row>
    <row r="61" spans="1:9" ht="43.5" customHeight="1" x14ac:dyDescent="0.5">
      <c r="A61" s="2" t="s">
        <v>533</v>
      </c>
      <c r="B61" s="2" t="s">
        <v>4272</v>
      </c>
      <c r="C61" s="2">
        <v>1</v>
      </c>
      <c r="D61" s="2" t="s">
        <v>90</v>
      </c>
      <c r="E61" s="2" t="s">
        <v>534</v>
      </c>
      <c r="F61" s="2" t="s">
        <v>4211</v>
      </c>
      <c r="G61" s="2" t="s">
        <v>274</v>
      </c>
      <c r="H61" s="2" t="s">
        <v>4212</v>
      </c>
      <c r="I61" s="2" t="s">
        <v>4213</v>
      </c>
    </row>
    <row r="62" spans="1:9" ht="43.5" customHeight="1" x14ac:dyDescent="0.5">
      <c r="A62" s="2" t="s">
        <v>537</v>
      </c>
      <c r="B62" s="2" t="s">
        <v>4273</v>
      </c>
      <c r="C62" s="2">
        <v>1</v>
      </c>
      <c r="D62" s="2" t="s">
        <v>90</v>
      </c>
      <c r="E62" s="2" t="s">
        <v>538</v>
      </c>
      <c r="F62" s="2" t="s">
        <v>4211</v>
      </c>
      <c r="G62" s="2" t="s">
        <v>274</v>
      </c>
      <c r="H62" s="2" t="s">
        <v>4212</v>
      </c>
      <c r="I62" s="2" t="s">
        <v>4213</v>
      </c>
    </row>
    <row r="63" spans="1:9" ht="43.5" customHeight="1" x14ac:dyDescent="0.5">
      <c r="A63" s="2" t="s">
        <v>540</v>
      </c>
      <c r="B63" s="2" t="s">
        <v>4274</v>
      </c>
      <c r="C63" s="2">
        <v>1</v>
      </c>
      <c r="D63" s="2" t="s">
        <v>90</v>
      </c>
      <c r="E63" s="2" t="s">
        <v>541</v>
      </c>
      <c r="F63" s="2" t="s">
        <v>4211</v>
      </c>
      <c r="G63" s="2" t="s">
        <v>297</v>
      </c>
      <c r="H63" s="2" t="s">
        <v>4212</v>
      </c>
      <c r="I63" s="2" t="s">
        <v>4213</v>
      </c>
    </row>
    <row r="64" spans="1:9" ht="43.5" customHeight="1" x14ac:dyDescent="0.5">
      <c r="A64" s="2" t="s">
        <v>543</v>
      </c>
      <c r="B64" s="2" t="s">
        <v>4275</v>
      </c>
      <c r="C64" s="2">
        <v>1</v>
      </c>
      <c r="D64" s="2" t="s">
        <v>90</v>
      </c>
      <c r="E64" s="2" t="s">
        <v>544</v>
      </c>
      <c r="F64" s="2" t="s">
        <v>4211</v>
      </c>
      <c r="G64" s="2" t="s">
        <v>297</v>
      </c>
      <c r="H64" s="2" t="s">
        <v>4212</v>
      </c>
      <c r="I64" s="2" t="s">
        <v>4213</v>
      </c>
    </row>
    <row r="65" spans="1:9" ht="43.5" customHeight="1" x14ac:dyDescent="0.5">
      <c r="A65" s="2" t="s">
        <v>546</v>
      </c>
      <c r="B65" s="2" t="s">
        <v>4276</v>
      </c>
      <c r="C65" s="2">
        <v>1</v>
      </c>
      <c r="D65" s="2" t="s">
        <v>90</v>
      </c>
      <c r="E65" s="2" t="s">
        <v>547</v>
      </c>
      <c r="F65" s="2" t="s">
        <v>4211</v>
      </c>
      <c r="G65" s="2" t="s">
        <v>297</v>
      </c>
      <c r="H65" s="2" t="s">
        <v>4212</v>
      </c>
      <c r="I65" s="2" t="s">
        <v>4213</v>
      </c>
    </row>
    <row r="66" spans="1:9" ht="43.5" customHeight="1" x14ac:dyDescent="0.5">
      <c r="A66" s="2" t="s">
        <v>549</v>
      </c>
      <c r="B66" s="2" t="s">
        <v>4277</v>
      </c>
      <c r="C66" s="2">
        <v>1</v>
      </c>
      <c r="D66" s="2" t="s">
        <v>90</v>
      </c>
      <c r="E66" s="2" t="s">
        <v>550</v>
      </c>
      <c r="F66" s="2" t="s">
        <v>4211</v>
      </c>
      <c r="G66" s="2" t="s">
        <v>297</v>
      </c>
      <c r="H66" s="2" t="s">
        <v>4212</v>
      </c>
      <c r="I66" s="2" t="s">
        <v>4213</v>
      </c>
    </row>
    <row r="67" spans="1:9" ht="43.5" customHeight="1" x14ac:dyDescent="0.5">
      <c r="A67" s="2" t="s">
        <v>553</v>
      </c>
      <c r="B67" s="2" t="s">
        <v>4278</v>
      </c>
      <c r="C67" s="2">
        <v>1</v>
      </c>
      <c r="D67" s="2" t="s">
        <v>90</v>
      </c>
      <c r="E67" s="2" t="s">
        <v>554</v>
      </c>
      <c r="F67" s="2" t="s">
        <v>4211</v>
      </c>
      <c r="G67" s="2" t="s">
        <v>274</v>
      </c>
      <c r="H67" s="2" t="s">
        <v>4212</v>
      </c>
      <c r="I67" s="2" t="s">
        <v>4213</v>
      </c>
    </row>
    <row r="68" spans="1:9" ht="43.5" customHeight="1" x14ac:dyDescent="0.5">
      <c r="A68" s="2" t="s">
        <v>556</v>
      </c>
      <c r="B68" s="2" t="s">
        <v>4279</v>
      </c>
      <c r="C68" s="2">
        <v>1</v>
      </c>
      <c r="D68" s="2" t="s">
        <v>90</v>
      </c>
      <c r="E68" s="2" t="s">
        <v>557</v>
      </c>
      <c r="F68" s="2" t="s">
        <v>4211</v>
      </c>
      <c r="G68" s="2" t="s">
        <v>274</v>
      </c>
      <c r="H68" s="2" t="s">
        <v>4212</v>
      </c>
      <c r="I68" s="2" t="s">
        <v>4213</v>
      </c>
    </row>
    <row r="69" spans="1:9" ht="43.5" customHeight="1" x14ac:dyDescent="0.5">
      <c r="A69" s="2" t="s">
        <v>559</v>
      </c>
      <c r="B69" s="2" t="s">
        <v>4280</v>
      </c>
      <c r="C69" s="2">
        <v>1</v>
      </c>
      <c r="D69" s="2" t="s">
        <v>90</v>
      </c>
      <c r="E69" s="2" t="s">
        <v>560</v>
      </c>
      <c r="F69" s="2" t="s">
        <v>4211</v>
      </c>
      <c r="G69" s="2" t="s">
        <v>297</v>
      </c>
      <c r="H69" s="2" t="s">
        <v>4212</v>
      </c>
      <c r="I69" s="2" t="s">
        <v>4213</v>
      </c>
    </row>
    <row r="70" spans="1:9" ht="43.5" customHeight="1" x14ac:dyDescent="0.5">
      <c r="A70" s="2" t="s">
        <v>562</v>
      </c>
      <c r="B70" s="2" t="s">
        <v>4281</v>
      </c>
      <c r="C70" s="2">
        <v>1</v>
      </c>
      <c r="D70" s="2" t="s">
        <v>90</v>
      </c>
      <c r="E70" s="2" t="s">
        <v>563</v>
      </c>
      <c r="F70" s="2" t="s">
        <v>4211</v>
      </c>
      <c r="G70" s="2" t="s">
        <v>297</v>
      </c>
      <c r="H70" s="2" t="s">
        <v>4212</v>
      </c>
      <c r="I70" s="2" t="s">
        <v>4213</v>
      </c>
    </row>
    <row r="71" spans="1:9" ht="43.5" customHeight="1" x14ac:dyDescent="0.5">
      <c r="A71" s="2" t="s">
        <v>565</v>
      </c>
      <c r="B71" s="2" t="s">
        <v>4282</v>
      </c>
      <c r="C71" s="2">
        <v>1</v>
      </c>
      <c r="D71" s="2" t="s">
        <v>90</v>
      </c>
      <c r="E71" s="2" t="s">
        <v>566</v>
      </c>
      <c r="F71" s="2" t="s">
        <v>4211</v>
      </c>
      <c r="G71" s="2" t="s">
        <v>297</v>
      </c>
      <c r="H71" s="2" t="s">
        <v>4212</v>
      </c>
      <c r="I71" s="2" t="s">
        <v>4213</v>
      </c>
    </row>
    <row r="72" spans="1:9" ht="43.5" customHeight="1" x14ac:dyDescent="0.5">
      <c r="A72" s="2" t="s">
        <v>568</v>
      </c>
      <c r="B72" s="2" t="s">
        <v>4283</v>
      </c>
      <c r="C72" s="2">
        <v>1</v>
      </c>
      <c r="D72" s="2" t="s">
        <v>90</v>
      </c>
      <c r="E72" s="2" t="s">
        <v>569</v>
      </c>
      <c r="F72" s="2" t="s">
        <v>4211</v>
      </c>
      <c r="G72" s="2" t="s">
        <v>297</v>
      </c>
      <c r="H72" s="2" t="s">
        <v>4212</v>
      </c>
      <c r="I72" s="2" t="s">
        <v>4213</v>
      </c>
    </row>
    <row r="73" spans="1:9" ht="43.5" customHeight="1" x14ac:dyDescent="0.5">
      <c r="A73" s="2" t="s">
        <v>571</v>
      </c>
      <c r="B73" s="2" t="s">
        <v>4284</v>
      </c>
      <c r="C73" s="2">
        <v>1</v>
      </c>
      <c r="D73" s="2" t="s">
        <v>90</v>
      </c>
      <c r="E73" s="2" t="s">
        <v>572</v>
      </c>
      <c r="F73" s="2" t="s">
        <v>4211</v>
      </c>
      <c r="G73" s="2" t="s">
        <v>274</v>
      </c>
      <c r="H73" s="2" t="s">
        <v>4212</v>
      </c>
      <c r="I73" s="2" t="s">
        <v>4213</v>
      </c>
    </row>
    <row r="74" spans="1:9" ht="43.5" customHeight="1" x14ac:dyDescent="0.5">
      <c r="A74" s="2" t="s">
        <v>575</v>
      </c>
      <c r="B74" s="2" t="s">
        <v>4285</v>
      </c>
      <c r="C74" s="2">
        <v>1</v>
      </c>
      <c r="D74" s="2" t="s">
        <v>90</v>
      </c>
      <c r="E74" s="2" t="s">
        <v>576</v>
      </c>
      <c r="F74" s="2" t="s">
        <v>4211</v>
      </c>
      <c r="G74" s="2" t="s">
        <v>274</v>
      </c>
      <c r="H74" s="2" t="s">
        <v>4212</v>
      </c>
      <c r="I74" s="2" t="s">
        <v>4213</v>
      </c>
    </row>
    <row r="75" spans="1:9" ht="43.5" customHeight="1" x14ac:dyDescent="0.5">
      <c r="A75" s="2" t="s">
        <v>579</v>
      </c>
      <c r="B75" s="2" t="s">
        <v>4286</v>
      </c>
      <c r="C75" s="2">
        <v>1</v>
      </c>
      <c r="D75" s="2" t="s">
        <v>90</v>
      </c>
      <c r="E75" s="2" t="s">
        <v>580</v>
      </c>
      <c r="F75" s="2" t="s">
        <v>4211</v>
      </c>
      <c r="G75" s="2" t="s">
        <v>297</v>
      </c>
      <c r="H75" s="2" t="s">
        <v>4212</v>
      </c>
      <c r="I75" s="2" t="s">
        <v>4213</v>
      </c>
    </row>
    <row r="76" spans="1:9" ht="43.5" customHeight="1" x14ac:dyDescent="0.5">
      <c r="A76" s="2" t="s">
        <v>582</v>
      </c>
      <c r="B76" s="2" t="s">
        <v>4287</v>
      </c>
      <c r="C76" s="2">
        <v>1</v>
      </c>
      <c r="D76" s="2" t="s">
        <v>90</v>
      </c>
      <c r="E76" s="2" t="s">
        <v>583</v>
      </c>
      <c r="F76" s="2" t="s">
        <v>4211</v>
      </c>
      <c r="G76" s="2" t="s">
        <v>297</v>
      </c>
      <c r="H76" s="2" t="s">
        <v>4212</v>
      </c>
      <c r="I76" s="2" t="s">
        <v>4213</v>
      </c>
    </row>
    <row r="77" spans="1:9" ht="43.5" customHeight="1" x14ac:dyDescent="0.5">
      <c r="A77" s="2" t="s">
        <v>587</v>
      </c>
      <c r="B77" s="2" t="s">
        <v>4288</v>
      </c>
      <c r="C77" s="2">
        <v>1</v>
      </c>
      <c r="D77" s="2" t="s">
        <v>90</v>
      </c>
      <c r="E77" s="2" t="s">
        <v>588</v>
      </c>
      <c r="F77" s="2" t="s">
        <v>4211</v>
      </c>
      <c r="G77" s="2" t="s">
        <v>297</v>
      </c>
      <c r="H77" s="2" t="s">
        <v>4212</v>
      </c>
      <c r="I77" s="2" t="s">
        <v>4213</v>
      </c>
    </row>
    <row r="78" spans="1:9" ht="43.5" customHeight="1" x14ac:dyDescent="0.5">
      <c r="A78" s="2" t="s">
        <v>591</v>
      </c>
      <c r="B78" s="2" t="s">
        <v>4289</v>
      </c>
      <c r="C78" s="2">
        <v>1</v>
      </c>
      <c r="D78" s="2" t="s">
        <v>90</v>
      </c>
      <c r="E78" s="2" t="s">
        <v>592</v>
      </c>
      <c r="F78" s="2" t="s">
        <v>4211</v>
      </c>
      <c r="G78" s="2" t="s">
        <v>297</v>
      </c>
      <c r="H78" s="2" t="s">
        <v>4212</v>
      </c>
      <c r="I78" s="2" t="s">
        <v>4213</v>
      </c>
    </row>
    <row r="79" spans="1:9" ht="43.5" customHeight="1" x14ac:dyDescent="0.5">
      <c r="A79" s="2" t="s">
        <v>595</v>
      </c>
      <c r="B79" s="2" t="s">
        <v>4290</v>
      </c>
      <c r="C79" s="2">
        <v>1</v>
      </c>
      <c r="D79" s="2" t="s">
        <v>90</v>
      </c>
      <c r="E79" s="2" t="s">
        <v>596</v>
      </c>
      <c r="F79" s="2" t="s">
        <v>4211</v>
      </c>
      <c r="G79" s="2" t="s">
        <v>274</v>
      </c>
      <c r="H79" s="2" t="s">
        <v>4212</v>
      </c>
      <c r="I79" s="2" t="s">
        <v>4213</v>
      </c>
    </row>
    <row r="80" spans="1:9" ht="43.5" customHeight="1" x14ac:dyDescent="0.5">
      <c r="A80" s="2" t="s">
        <v>600</v>
      </c>
      <c r="B80" s="2" t="s">
        <v>4291</v>
      </c>
      <c r="C80" s="2">
        <v>1</v>
      </c>
      <c r="D80" s="2" t="s">
        <v>90</v>
      </c>
      <c r="E80" s="2" t="s">
        <v>601</v>
      </c>
      <c r="F80" s="2" t="s">
        <v>4211</v>
      </c>
      <c r="G80" s="2" t="s">
        <v>274</v>
      </c>
      <c r="H80" s="2" t="s">
        <v>4212</v>
      </c>
      <c r="I80" s="2" t="s">
        <v>4213</v>
      </c>
    </row>
    <row r="81" spans="1:9" ht="43.5" customHeight="1" x14ac:dyDescent="0.5">
      <c r="A81" s="2" t="s">
        <v>604</v>
      </c>
      <c r="B81" s="2" t="s">
        <v>4292</v>
      </c>
      <c r="C81" s="2">
        <v>1</v>
      </c>
      <c r="D81" s="2" t="s">
        <v>90</v>
      </c>
      <c r="E81" s="2" t="s">
        <v>605</v>
      </c>
      <c r="F81" s="2" t="s">
        <v>4211</v>
      </c>
      <c r="G81" s="2" t="s">
        <v>297</v>
      </c>
      <c r="H81" s="2" t="s">
        <v>4212</v>
      </c>
      <c r="I81" s="2" t="s">
        <v>4213</v>
      </c>
    </row>
    <row r="82" spans="1:9" ht="43.5" customHeight="1" x14ac:dyDescent="0.5">
      <c r="A82" s="2" t="s">
        <v>607</v>
      </c>
      <c r="B82" s="2" t="s">
        <v>4293</v>
      </c>
      <c r="C82" s="2">
        <v>1</v>
      </c>
      <c r="D82" s="2" t="s">
        <v>90</v>
      </c>
      <c r="E82" s="2" t="s">
        <v>608</v>
      </c>
      <c r="F82" s="2" t="s">
        <v>4211</v>
      </c>
      <c r="G82" s="2" t="s">
        <v>297</v>
      </c>
      <c r="H82" s="2" t="s">
        <v>4212</v>
      </c>
      <c r="I82" s="2" t="s">
        <v>4213</v>
      </c>
    </row>
    <row r="83" spans="1:9" ht="43.5" customHeight="1" x14ac:dyDescent="0.5">
      <c r="A83" s="2" t="s">
        <v>612</v>
      </c>
      <c r="B83" s="2" t="s">
        <v>4294</v>
      </c>
      <c r="C83" s="2">
        <v>1</v>
      </c>
      <c r="D83" s="2" t="s">
        <v>90</v>
      </c>
      <c r="E83" s="2" t="s">
        <v>613</v>
      </c>
      <c r="F83" s="2" t="s">
        <v>4211</v>
      </c>
      <c r="G83" s="2" t="s">
        <v>297</v>
      </c>
      <c r="H83" s="2" t="s">
        <v>4212</v>
      </c>
      <c r="I83" s="2" t="s">
        <v>4213</v>
      </c>
    </row>
    <row r="84" spans="1:9" ht="43.5" customHeight="1" x14ac:dyDescent="0.5">
      <c r="A84" s="2" t="s">
        <v>616</v>
      </c>
      <c r="B84" s="2" t="s">
        <v>4295</v>
      </c>
      <c r="C84" s="2">
        <v>1</v>
      </c>
      <c r="D84" s="2" t="s">
        <v>90</v>
      </c>
      <c r="E84" s="2" t="s">
        <v>617</v>
      </c>
      <c r="F84" s="2" t="s">
        <v>4211</v>
      </c>
      <c r="G84" s="2" t="s">
        <v>297</v>
      </c>
      <c r="H84" s="2" t="s">
        <v>4212</v>
      </c>
      <c r="I84" s="2" t="s">
        <v>4213</v>
      </c>
    </row>
    <row r="85" spans="1:9" ht="43.5" customHeight="1" x14ac:dyDescent="0.5">
      <c r="A85" s="2" t="s">
        <v>620</v>
      </c>
      <c r="B85" s="2" t="s">
        <v>4296</v>
      </c>
      <c r="C85" s="2">
        <v>1</v>
      </c>
      <c r="D85" s="2" t="s">
        <v>93</v>
      </c>
      <c r="E85" s="2" t="s">
        <v>512</v>
      </c>
      <c r="F85" s="2" t="s">
        <v>4211</v>
      </c>
      <c r="G85" s="2" t="s">
        <v>274</v>
      </c>
      <c r="H85" s="2" t="s">
        <v>4212</v>
      </c>
      <c r="I85" s="2" t="s">
        <v>4213</v>
      </c>
    </row>
    <row r="86" spans="1:9" ht="43.5" customHeight="1" x14ac:dyDescent="0.5">
      <c r="A86" s="2" t="s">
        <v>623</v>
      </c>
      <c r="B86" s="2" t="s">
        <v>4297</v>
      </c>
      <c r="C86" s="2">
        <v>1</v>
      </c>
      <c r="D86" s="2" t="s">
        <v>93</v>
      </c>
      <c r="E86" s="2" t="s">
        <v>516</v>
      </c>
      <c r="F86" s="2" t="s">
        <v>4211</v>
      </c>
      <c r="G86" s="2" t="s">
        <v>274</v>
      </c>
      <c r="H86" s="2" t="s">
        <v>4212</v>
      </c>
      <c r="I86" s="2" t="s">
        <v>4213</v>
      </c>
    </row>
    <row r="87" spans="1:9" ht="43.5" customHeight="1" x14ac:dyDescent="0.5">
      <c r="A87" s="2" t="s">
        <v>625</v>
      </c>
      <c r="B87" s="2" t="s">
        <v>4298</v>
      </c>
      <c r="C87" s="2">
        <v>1</v>
      </c>
      <c r="D87" s="2" t="s">
        <v>93</v>
      </c>
      <c r="E87" s="2" t="s">
        <v>519</v>
      </c>
      <c r="F87" s="2" t="s">
        <v>4211</v>
      </c>
      <c r="G87" s="2" t="s">
        <v>297</v>
      </c>
      <c r="H87" s="2" t="s">
        <v>4212</v>
      </c>
      <c r="I87" s="2" t="s">
        <v>4213</v>
      </c>
    </row>
    <row r="88" spans="1:9" ht="43.5" customHeight="1" x14ac:dyDescent="0.5">
      <c r="A88" s="2" t="s">
        <v>627</v>
      </c>
      <c r="B88" s="2" t="s">
        <v>4299</v>
      </c>
      <c r="C88" s="2">
        <v>1</v>
      </c>
      <c r="D88" s="2" t="s">
        <v>93</v>
      </c>
      <c r="E88" s="2" t="s">
        <v>522</v>
      </c>
      <c r="F88" s="2" t="s">
        <v>4211</v>
      </c>
      <c r="G88" s="2" t="s">
        <v>297</v>
      </c>
      <c r="H88" s="2" t="s">
        <v>4212</v>
      </c>
      <c r="I88" s="2" t="s">
        <v>4213</v>
      </c>
    </row>
    <row r="89" spans="1:9" ht="43.5" customHeight="1" x14ac:dyDescent="0.5">
      <c r="A89" s="2" t="s">
        <v>629</v>
      </c>
      <c r="B89" s="2" t="s">
        <v>4300</v>
      </c>
      <c r="C89" s="2">
        <v>1</v>
      </c>
      <c r="D89" s="2" t="s">
        <v>93</v>
      </c>
      <c r="E89" s="2" t="s">
        <v>527</v>
      </c>
      <c r="F89" s="2" t="s">
        <v>4211</v>
      </c>
      <c r="G89" s="2" t="s">
        <v>297</v>
      </c>
      <c r="H89" s="2" t="s">
        <v>4212</v>
      </c>
      <c r="I89" s="2" t="s">
        <v>4213</v>
      </c>
    </row>
    <row r="90" spans="1:9" ht="43.5" customHeight="1" x14ac:dyDescent="0.5">
      <c r="A90" s="2" t="s">
        <v>631</v>
      </c>
      <c r="B90" s="2" t="s">
        <v>4301</v>
      </c>
      <c r="C90" s="2">
        <v>1</v>
      </c>
      <c r="D90" s="2" t="s">
        <v>93</v>
      </c>
      <c r="E90" s="2" t="s">
        <v>531</v>
      </c>
      <c r="F90" s="2" t="s">
        <v>4211</v>
      </c>
      <c r="G90" s="2" t="s">
        <v>297</v>
      </c>
      <c r="H90" s="2" t="s">
        <v>4212</v>
      </c>
      <c r="I90" s="2" t="s">
        <v>4213</v>
      </c>
    </row>
    <row r="91" spans="1:9" ht="43.5" customHeight="1" x14ac:dyDescent="0.5">
      <c r="A91" s="2" t="s">
        <v>633</v>
      </c>
      <c r="B91" s="2" t="s">
        <v>4302</v>
      </c>
      <c r="C91" s="2">
        <v>1</v>
      </c>
      <c r="D91" s="2" t="s">
        <v>93</v>
      </c>
      <c r="E91" s="2" t="s">
        <v>534</v>
      </c>
      <c r="F91" s="2" t="s">
        <v>4211</v>
      </c>
      <c r="G91" s="2" t="s">
        <v>274</v>
      </c>
      <c r="H91" s="2" t="s">
        <v>4212</v>
      </c>
      <c r="I91" s="2" t="s">
        <v>4213</v>
      </c>
    </row>
    <row r="92" spans="1:9" ht="43.5" customHeight="1" x14ac:dyDescent="0.5">
      <c r="A92" s="2" t="s">
        <v>636</v>
      </c>
      <c r="B92" s="2" t="s">
        <v>4303</v>
      </c>
      <c r="C92" s="2">
        <v>1</v>
      </c>
      <c r="D92" s="2" t="s">
        <v>93</v>
      </c>
      <c r="E92" s="2" t="s">
        <v>538</v>
      </c>
      <c r="F92" s="2" t="s">
        <v>4211</v>
      </c>
      <c r="G92" s="2" t="s">
        <v>274</v>
      </c>
      <c r="H92" s="2" t="s">
        <v>4212</v>
      </c>
      <c r="I92" s="2" t="s">
        <v>4213</v>
      </c>
    </row>
    <row r="93" spans="1:9" ht="43.5" customHeight="1" x14ac:dyDescent="0.5">
      <c r="A93" s="2" t="s">
        <v>638</v>
      </c>
      <c r="B93" s="2" t="s">
        <v>4304</v>
      </c>
      <c r="C93" s="2">
        <v>1</v>
      </c>
      <c r="D93" s="2" t="s">
        <v>93</v>
      </c>
      <c r="E93" s="2" t="s">
        <v>541</v>
      </c>
      <c r="F93" s="2" t="s">
        <v>4211</v>
      </c>
      <c r="G93" s="2" t="s">
        <v>297</v>
      </c>
      <c r="H93" s="2" t="s">
        <v>4212</v>
      </c>
      <c r="I93" s="2" t="s">
        <v>4213</v>
      </c>
    </row>
    <row r="94" spans="1:9" ht="43.5" customHeight="1" x14ac:dyDescent="0.5">
      <c r="A94" s="2" t="s">
        <v>640</v>
      </c>
      <c r="B94" s="2" t="s">
        <v>4305</v>
      </c>
      <c r="C94" s="2">
        <v>1</v>
      </c>
      <c r="D94" s="2" t="s">
        <v>93</v>
      </c>
      <c r="E94" s="2" t="s">
        <v>544</v>
      </c>
      <c r="F94" s="2" t="s">
        <v>4211</v>
      </c>
      <c r="G94" s="2" t="s">
        <v>297</v>
      </c>
      <c r="H94" s="2" t="s">
        <v>4212</v>
      </c>
      <c r="I94" s="2" t="s">
        <v>4213</v>
      </c>
    </row>
    <row r="95" spans="1:9" ht="43.5" customHeight="1" x14ac:dyDescent="0.5">
      <c r="A95" s="2" t="s">
        <v>642</v>
      </c>
      <c r="B95" s="2" t="s">
        <v>4306</v>
      </c>
      <c r="C95" s="2">
        <v>1</v>
      </c>
      <c r="D95" s="2" t="s">
        <v>93</v>
      </c>
      <c r="E95" s="2" t="s">
        <v>547</v>
      </c>
      <c r="F95" s="2" t="s">
        <v>4211</v>
      </c>
      <c r="G95" s="2" t="s">
        <v>297</v>
      </c>
      <c r="H95" s="2" t="s">
        <v>4212</v>
      </c>
      <c r="I95" s="2" t="s">
        <v>4213</v>
      </c>
    </row>
    <row r="96" spans="1:9" ht="43.5" customHeight="1" x14ac:dyDescent="0.5">
      <c r="A96" s="2" t="s">
        <v>644</v>
      </c>
      <c r="B96" s="2" t="s">
        <v>4307</v>
      </c>
      <c r="C96" s="2">
        <v>1</v>
      </c>
      <c r="D96" s="2" t="s">
        <v>93</v>
      </c>
      <c r="E96" s="2" t="s">
        <v>550</v>
      </c>
      <c r="F96" s="2" t="s">
        <v>4211</v>
      </c>
      <c r="G96" s="2" t="s">
        <v>297</v>
      </c>
      <c r="H96" s="2" t="s">
        <v>4212</v>
      </c>
      <c r="I96" s="2" t="s">
        <v>4213</v>
      </c>
    </row>
    <row r="97" spans="1:9" ht="43.5" customHeight="1" x14ac:dyDescent="0.5">
      <c r="A97" s="2" t="s">
        <v>646</v>
      </c>
      <c r="B97" s="2" t="s">
        <v>4308</v>
      </c>
      <c r="C97" s="2">
        <v>1</v>
      </c>
      <c r="D97" s="2" t="s">
        <v>93</v>
      </c>
      <c r="E97" s="2" t="s">
        <v>554</v>
      </c>
      <c r="F97" s="2" t="s">
        <v>4211</v>
      </c>
      <c r="G97" s="2" t="s">
        <v>274</v>
      </c>
      <c r="H97" s="2" t="s">
        <v>4212</v>
      </c>
      <c r="I97" s="2" t="s">
        <v>4213</v>
      </c>
    </row>
    <row r="98" spans="1:9" ht="43.5" customHeight="1" x14ac:dyDescent="0.5">
      <c r="A98" s="2" t="s">
        <v>649</v>
      </c>
      <c r="B98" s="2" t="s">
        <v>4309</v>
      </c>
      <c r="C98" s="2">
        <v>1</v>
      </c>
      <c r="D98" s="2" t="s">
        <v>93</v>
      </c>
      <c r="E98" s="2" t="s">
        <v>557</v>
      </c>
      <c r="F98" s="2" t="s">
        <v>4211</v>
      </c>
      <c r="G98" s="2" t="s">
        <v>274</v>
      </c>
      <c r="H98" s="2" t="s">
        <v>4212</v>
      </c>
      <c r="I98" s="2" t="s">
        <v>4213</v>
      </c>
    </row>
    <row r="99" spans="1:9" ht="43.5" customHeight="1" x14ac:dyDescent="0.5">
      <c r="A99" s="2" t="s">
        <v>651</v>
      </c>
      <c r="B99" s="2" t="s">
        <v>4310</v>
      </c>
      <c r="C99" s="2">
        <v>1</v>
      </c>
      <c r="D99" s="2" t="s">
        <v>93</v>
      </c>
      <c r="E99" s="2" t="s">
        <v>560</v>
      </c>
      <c r="F99" s="2" t="s">
        <v>4211</v>
      </c>
      <c r="G99" s="2" t="s">
        <v>297</v>
      </c>
      <c r="H99" s="2" t="s">
        <v>4212</v>
      </c>
      <c r="I99" s="2" t="s">
        <v>4213</v>
      </c>
    </row>
    <row r="100" spans="1:9" ht="43.5" customHeight="1" x14ac:dyDescent="0.5">
      <c r="A100" s="2" t="s">
        <v>653</v>
      </c>
      <c r="B100" s="2" t="s">
        <v>4311</v>
      </c>
      <c r="C100" s="2">
        <v>1</v>
      </c>
      <c r="D100" s="2" t="s">
        <v>93</v>
      </c>
      <c r="E100" s="2" t="s">
        <v>563</v>
      </c>
      <c r="F100" s="2" t="s">
        <v>4211</v>
      </c>
      <c r="G100" s="2" t="s">
        <v>297</v>
      </c>
      <c r="H100" s="2" t="s">
        <v>4212</v>
      </c>
      <c r="I100" s="2" t="s">
        <v>4213</v>
      </c>
    </row>
    <row r="101" spans="1:9" ht="43.5" customHeight="1" x14ac:dyDescent="0.5">
      <c r="A101" s="2" t="s">
        <v>655</v>
      </c>
      <c r="B101" s="2" t="s">
        <v>4312</v>
      </c>
      <c r="C101" s="2">
        <v>1</v>
      </c>
      <c r="D101" s="2" t="s">
        <v>93</v>
      </c>
      <c r="E101" s="2" t="s">
        <v>566</v>
      </c>
      <c r="F101" s="2" t="s">
        <v>4211</v>
      </c>
      <c r="G101" s="2" t="s">
        <v>297</v>
      </c>
      <c r="H101" s="2" t="s">
        <v>4212</v>
      </c>
      <c r="I101" s="2" t="s">
        <v>4213</v>
      </c>
    </row>
    <row r="102" spans="1:9" ht="43.5" customHeight="1" x14ac:dyDescent="0.5">
      <c r="A102" s="2" t="s">
        <v>657</v>
      </c>
      <c r="B102" s="2" t="s">
        <v>4313</v>
      </c>
      <c r="C102" s="2">
        <v>1</v>
      </c>
      <c r="D102" s="2" t="s">
        <v>93</v>
      </c>
      <c r="E102" s="2" t="s">
        <v>569</v>
      </c>
      <c r="F102" s="2" t="s">
        <v>4211</v>
      </c>
      <c r="G102" s="2" t="s">
        <v>297</v>
      </c>
      <c r="H102" s="2" t="s">
        <v>4212</v>
      </c>
      <c r="I102" s="2" t="s">
        <v>4213</v>
      </c>
    </row>
    <row r="103" spans="1:9" ht="43.5" customHeight="1" x14ac:dyDescent="0.5">
      <c r="A103" s="2" t="s">
        <v>659</v>
      </c>
      <c r="B103" s="2" t="s">
        <v>4314</v>
      </c>
      <c r="C103" s="2">
        <v>1</v>
      </c>
      <c r="D103" s="2" t="s">
        <v>93</v>
      </c>
      <c r="E103" s="2" t="s">
        <v>572</v>
      </c>
      <c r="F103" s="2" t="s">
        <v>4211</v>
      </c>
      <c r="G103" s="2" t="s">
        <v>274</v>
      </c>
      <c r="H103" s="2" t="s">
        <v>4212</v>
      </c>
      <c r="I103" s="2" t="s">
        <v>4213</v>
      </c>
    </row>
    <row r="104" spans="1:9" ht="43.5" customHeight="1" x14ac:dyDescent="0.5">
      <c r="A104" s="2" t="s">
        <v>661</v>
      </c>
      <c r="B104" s="2" t="s">
        <v>4315</v>
      </c>
      <c r="C104" s="2">
        <v>1</v>
      </c>
      <c r="D104" s="2" t="s">
        <v>93</v>
      </c>
      <c r="E104" s="2" t="s">
        <v>576</v>
      </c>
      <c r="F104" s="2" t="s">
        <v>4211</v>
      </c>
      <c r="G104" s="2" t="s">
        <v>274</v>
      </c>
      <c r="H104" s="2" t="s">
        <v>4212</v>
      </c>
      <c r="I104" s="2" t="s">
        <v>4213</v>
      </c>
    </row>
    <row r="105" spans="1:9" ht="43.5" customHeight="1" x14ac:dyDescent="0.5">
      <c r="A105" s="2" t="s">
        <v>663</v>
      </c>
      <c r="B105" s="2" t="s">
        <v>4316</v>
      </c>
      <c r="C105" s="2">
        <v>1</v>
      </c>
      <c r="D105" s="2" t="s">
        <v>93</v>
      </c>
      <c r="E105" s="2" t="s">
        <v>580</v>
      </c>
      <c r="F105" s="2" t="s">
        <v>4211</v>
      </c>
      <c r="G105" s="2" t="s">
        <v>297</v>
      </c>
      <c r="H105" s="2" t="s">
        <v>4212</v>
      </c>
      <c r="I105" s="2" t="s">
        <v>4213</v>
      </c>
    </row>
    <row r="106" spans="1:9" ht="43.5" customHeight="1" x14ac:dyDescent="0.5">
      <c r="A106" s="2" t="s">
        <v>665</v>
      </c>
      <c r="B106" s="2" t="s">
        <v>4317</v>
      </c>
      <c r="C106" s="2">
        <v>1</v>
      </c>
      <c r="D106" s="2" t="s">
        <v>93</v>
      </c>
      <c r="E106" s="2" t="s">
        <v>583</v>
      </c>
      <c r="F106" s="2" t="s">
        <v>4211</v>
      </c>
      <c r="G106" s="2" t="s">
        <v>297</v>
      </c>
      <c r="H106" s="2" t="s">
        <v>4212</v>
      </c>
      <c r="I106" s="2" t="s">
        <v>4213</v>
      </c>
    </row>
    <row r="107" spans="1:9" ht="43.5" customHeight="1" x14ac:dyDescent="0.5">
      <c r="A107" s="2" t="s">
        <v>667</v>
      </c>
      <c r="B107" s="2" t="s">
        <v>4318</v>
      </c>
      <c r="C107" s="2">
        <v>1</v>
      </c>
      <c r="D107" s="2" t="s">
        <v>93</v>
      </c>
      <c r="E107" s="2" t="s">
        <v>588</v>
      </c>
      <c r="F107" s="2" t="s">
        <v>4211</v>
      </c>
      <c r="G107" s="2" t="s">
        <v>297</v>
      </c>
      <c r="H107" s="2" t="s">
        <v>4212</v>
      </c>
      <c r="I107" s="2" t="s">
        <v>4213</v>
      </c>
    </row>
    <row r="108" spans="1:9" ht="43.5" customHeight="1" x14ac:dyDescent="0.5">
      <c r="A108" s="2" t="s">
        <v>669</v>
      </c>
      <c r="B108" s="2" t="s">
        <v>4319</v>
      </c>
      <c r="C108" s="2">
        <v>1</v>
      </c>
      <c r="D108" s="2" t="s">
        <v>93</v>
      </c>
      <c r="E108" s="2" t="s">
        <v>592</v>
      </c>
      <c r="F108" s="2" t="s">
        <v>4211</v>
      </c>
      <c r="G108" s="2" t="s">
        <v>297</v>
      </c>
      <c r="H108" s="2" t="s">
        <v>4212</v>
      </c>
      <c r="I108" s="2" t="s">
        <v>4213</v>
      </c>
    </row>
    <row r="109" spans="1:9" ht="43.5" customHeight="1" x14ac:dyDescent="0.5">
      <c r="A109" s="2" t="s">
        <v>671</v>
      </c>
      <c r="B109" s="2" t="s">
        <v>4320</v>
      </c>
      <c r="C109" s="2">
        <v>1</v>
      </c>
      <c r="D109" s="2" t="s">
        <v>96</v>
      </c>
      <c r="E109" s="2" t="s">
        <v>672</v>
      </c>
      <c r="F109" s="2" t="s">
        <v>4211</v>
      </c>
      <c r="G109" s="2" t="s">
        <v>274</v>
      </c>
      <c r="H109" s="2" t="s">
        <v>4212</v>
      </c>
      <c r="I109" s="2" t="s">
        <v>4213</v>
      </c>
    </row>
    <row r="110" spans="1:9" ht="43.5" customHeight="1" x14ac:dyDescent="0.5">
      <c r="A110" s="2" t="s">
        <v>675</v>
      </c>
      <c r="B110" s="2" t="s">
        <v>4321</v>
      </c>
      <c r="C110" s="2">
        <v>1</v>
      </c>
      <c r="D110" s="2" t="s">
        <v>96</v>
      </c>
      <c r="E110" s="2" t="s">
        <v>676</v>
      </c>
      <c r="F110" s="2" t="s">
        <v>4211</v>
      </c>
      <c r="G110" s="2" t="s">
        <v>274</v>
      </c>
      <c r="H110" s="2" t="s">
        <v>4212</v>
      </c>
      <c r="I110" s="2" t="s">
        <v>4213</v>
      </c>
    </row>
    <row r="111" spans="1:9" ht="43.5" customHeight="1" x14ac:dyDescent="0.5">
      <c r="A111" s="2" t="s">
        <v>678</v>
      </c>
      <c r="B111" s="2" t="s">
        <v>4322</v>
      </c>
      <c r="C111" s="2">
        <v>1</v>
      </c>
      <c r="D111" s="2" t="s">
        <v>96</v>
      </c>
      <c r="E111" s="2" t="s">
        <v>679</v>
      </c>
      <c r="F111" s="2" t="s">
        <v>4211</v>
      </c>
      <c r="G111" s="2" t="s">
        <v>297</v>
      </c>
      <c r="H111" s="2" t="s">
        <v>4212</v>
      </c>
      <c r="I111" s="2" t="s">
        <v>4213</v>
      </c>
    </row>
    <row r="112" spans="1:9" ht="43.5" customHeight="1" x14ac:dyDescent="0.5">
      <c r="A112" s="2" t="s">
        <v>681</v>
      </c>
      <c r="B112" s="2" t="s">
        <v>4323</v>
      </c>
      <c r="C112" s="2">
        <v>1</v>
      </c>
      <c r="D112" s="2" t="s">
        <v>96</v>
      </c>
      <c r="E112" s="2" t="s">
        <v>682</v>
      </c>
      <c r="F112" s="2" t="s">
        <v>4211</v>
      </c>
      <c r="G112" s="2" t="s">
        <v>297</v>
      </c>
      <c r="H112" s="2" t="s">
        <v>4212</v>
      </c>
      <c r="I112" s="2" t="s">
        <v>4213</v>
      </c>
    </row>
    <row r="113" spans="1:9" ht="43.5" customHeight="1" x14ac:dyDescent="0.5">
      <c r="A113" s="2" t="s">
        <v>684</v>
      </c>
      <c r="B113" s="2" t="s">
        <v>4324</v>
      </c>
      <c r="C113" s="2">
        <v>1</v>
      </c>
      <c r="D113" s="2" t="s">
        <v>96</v>
      </c>
      <c r="E113" s="2" t="s">
        <v>685</v>
      </c>
      <c r="F113" s="2" t="s">
        <v>4211</v>
      </c>
      <c r="G113" s="2" t="s">
        <v>297</v>
      </c>
      <c r="H113" s="2" t="s">
        <v>4212</v>
      </c>
      <c r="I113" s="2" t="s">
        <v>4213</v>
      </c>
    </row>
    <row r="114" spans="1:9" ht="43.5" customHeight="1" x14ac:dyDescent="0.5">
      <c r="A114" s="2" t="s">
        <v>687</v>
      </c>
      <c r="B114" s="2" t="s">
        <v>4325</v>
      </c>
      <c r="C114" s="2">
        <v>1</v>
      </c>
      <c r="D114" s="2" t="s">
        <v>96</v>
      </c>
      <c r="E114" s="2" t="s">
        <v>688</v>
      </c>
      <c r="F114" s="2" t="s">
        <v>4211</v>
      </c>
      <c r="G114" s="2" t="s">
        <v>297</v>
      </c>
      <c r="H114" s="2" t="s">
        <v>4212</v>
      </c>
      <c r="I114" s="2" t="s">
        <v>4213</v>
      </c>
    </row>
    <row r="115" spans="1:9" ht="43.5" customHeight="1" x14ac:dyDescent="0.5">
      <c r="A115" s="2" t="s">
        <v>690</v>
      </c>
      <c r="B115" s="2" t="s">
        <v>4326</v>
      </c>
      <c r="C115" s="2">
        <v>1</v>
      </c>
      <c r="D115" s="2" t="s">
        <v>96</v>
      </c>
      <c r="E115" s="2" t="s">
        <v>691</v>
      </c>
      <c r="F115" s="2" t="s">
        <v>4211</v>
      </c>
      <c r="G115" s="2" t="s">
        <v>274</v>
      </c>
      <c r="H115" s="2" t="s">
        <v>4212</v>
      </c>
      <c r="I115" s="2" t="s">
        <v>4213</v>
      </c>
    </row>
    <row r="116" spans="1:9" ht="43.5" customHeight="1" x14ac:dyDescent="0.5">
      <c r="A116" s="2" t="s">
        <v>693</v>
      </c>
      <c r="B116" s="2" t="s">
        <v>4327</v>
      </c>
      <c r="C116" s="2">
        <v>1</v>
      </c>
      <c r="D116" s="2" t="s">
        <v>96</v>
      </c>
      <c r="E116" s="2" t="s">
        <v>694</v>
      </c>
      <c r="F116" s="2" t="s">
        <v>4211</v>
      </c>
      <c r="G116" s="2" t="s">
        <v>274</v>
      </c>
      <c r="H116" s="2" t="s">
        <v>4212</v>
      </c>
      <c r="I116" s="2" t="s">
        <v>4213</v>
      </c>
    </row>
    <row r="117" spans="1:9" ht="43.5" customHeight="1" x14ac:dyDescent="0.5">
      <c r="A117" s="2" t="s">
        <v>696</v>
      </c>
      <c r="B117" s="2" t="s">
        <v>4328</v>
      </c>
      <c r="C117" s="2">
        <v>1</v>
      </c>
      <c r="D117" s="2" t="s">
        <v>96</v>
      </c>
      <c r="E117" s="2" t="s">
        <v>697</v>
      </c>
      <c r="F117" s="2" t="s">
        <v>4211</v>
      </c>
      <c r="G117" s="2" t="s">
        <v>297</v>
      </c>
      <c r="H117" s="2" t="s">
        <v>4212</v>
      </c>
      <c r="I117" s="2" t="s">
        <v>4213</v>
      </c>
    </row>
    <row r="118" spans="1:9" ht="43.5" customHeight="1" x14ac:dyDescent="0.5">
      <c r="A118" s="2" t="s">
        <v>699</v>
      </c>
      <c r="B118" s="2" t="s">
        <v>4329</v>
      </c>
      <c r="C118" s="2">
        <v>1</v>
      </c>
      <c r="D118" s="2" t="s">
        <v>96</v>
      </c>
      <c r="E118" s="2" t="s">
        <v>700</v>
      </c>
      <c r="F118" s="2" t="s">
        <v>4211</v>
      </c>
      <c r="G118" s="2" t="s">
        <v>297</v>
      </c>
      <c r="H118" s="2" t="s">
        <v>4212</v>
      </c>
      <c r="I118" s="2" t="s">
        <v>4213</v>
      </c>
    </row>
    <row r="119" spans="1:9" ht="43.5" customHeight="1" x14ac:dyDescent="0.5">
      <c r="A119" s="2" t="s">
        <v>702</v>
      </c>
      <c r="B119" s="2" t="s">
        <v>4330</v>
      </c>
      <c r="C119" s="2">
        <v>1</v>
      </c>
      <c r="D119" s="2" t="s">
        <v>96</v>
      </c>
      <c r="E119" s="2" t="s">
        <v>703</v>
      </c>
      <c r="F119" s="2" t="s">
        <v>4211</v>
      </c>
      <c r="G119" s="2" t="s">
        <v>297</v>
      </c>
      <c r="H119" s="2" t="s">
        <v>4212</v>
      </c>
      <c r="I119" s="2" t="s">
        <v>4213</v>
      </c>
    </row>
    <row r="120" spans="1:9" ht="43.5" customHeight="1" x14ac:dyDescent="0.5">
      <c r="A120" s="2" t="s">
        <v>705</v>
      </c>
      <c r="B120" s="2" t="s">
        <v>4331</v>
      </c>
      <c r="C120" s="2">
        <v>1</v>
      </c>
      <c r="D120" s="2" t="s">
        <v>96</v>
      </c>
      <c r="E120" s="2" t="s">
        <v>706</v>
      </c>
      <c r="F120" s="2" t="s">
        <v>4211</v>
      </c>
      <c r="G120" s="2" t="s">
        <v>297</v>
      </c>
      <c r="H120" s="2" t="s">
        <v>4212</v>
      </c>
      <c r="I120" s="2" t="s">
        <v>4213</v>
      </c>
    </row>
    <row r="121" spans="1:9" ht="43.5" customHeight="1" x14ac:dyDescent="0.5">
      <c r="A121" s="2" t="s">
        <v>708</v>
      </c>
      <c r="B121" s="2" t="s">
        <v>4332</v>
      </c>
      <c r="C121" s="2">
        <v>1</v>
      </c>
      <c r="D121" s="2" t="s">
        <v>96</v>
      </c>
      <c r="E121" s="2" t="s">
        <v>709</v>
      </c>
      <c r="F121" s="2" t="s">
        <v>4211</v>
      </c>
      <c r="G121" s="2" t="s">
        <v>274</v>
      </c>
      <c r="H121" s="2" t="s">
        <v>4212</v>
      </c>
      <c r="I121" s="2" t="s">
        <v>4213</v>
      </c>
    </row>
    <row r="122" spans="1:9" ht="43.5" customHeight="1" x14ac:dyDescent="0.5">
      <c r="A122" s="2" t="s">
        <v>713</v>
      </c>
      <c r="B122" s="2" t="s">
        <v>4333</v>
      </c>
      <c r="C122" s="2">
        <v>1</v>
      </c>
      <c r="D122" s="2" t="s">
        <v>96</v>
      </c>
      <c r="E122" s="2" t="s">
        <v>714</v>
      </c>
      <c r="F122" s="2" t="s">
        <v>4211</v>
      </c>
      <c r="G122" s="2" t="s">
        <v>274</v>
      </c>
      <c r="H122" s="2" t="s">
        <v>4212</v>
      </c>
      <c r="I122" s="2" t="s">
        <v>4213</v>
      </c>
    </row>
    <row r="123" spans="1:9" ht="43.5" customHeight="1" x14ac:dyDescent="0.5">
      <c r="A123" s="2" t="s">
        <v>717</v>
      </c>
      <c r="B123" s="2" t="s">
        <v>4334</v>
      </c>
      <c r="C123" s="2">
        <v>1</v>
      </c>
      <c r="D123" s="2" t="s">
        <v>96</v>
      </c>
      <c r="E123" s="2" t="s">
        <v>718</v>
      </c>
      <c r="F123" s="2" t="s">
        <v>4211</v>
      </c>
      <c r="G123" s="2" t="s">
        <v>297</v>
      </c>
      <c r="H123" s="2" t="s">
        <v>4212</v>
      </c>
      <c r="I123" s="2" t="s">
        <v>4213</v>
      </c>
    </row>
    <row r="124" spans="1:9" ht="43.5" customHeight="1" x14ac:dyDescent="0.5">
      <c r="A124" s="2" t="s">
        <v>720</v>
      </c>
      <c r="B124" s="2" t="s">
        <v>4335</v>
      </c>
      <c r="C124" s="2">
        <v>1</v>
      </c>
      <c r="D124" s="2" t="s">
        <v>96</v>
      </c>
      <c r="E124" s="2" t="s">
        <v>721</v>
      </c>
      <c r="F124" s="2" t="s">
        <v>4211</v>
      </c>
      <c r="G124" s="2" t="s">
        <v>297</v>
      </c>
      <c r="H124" s="2" t="s">
        <v>4212</v>
      </c>
      <c r="I124" s="2" t="s">
        <v>4213</v>
      </c>
    </row>
    <row r="125" spans="1:9" ht="43.5" customHeight="1" x14ac:dyDescent="0.5">
      <c r="A125" s="2" t="s">
        <v>723</v>
      </c>
      <c r="B125" s="2" t="s">
        <v>4336</v>
      </c>
      <c r="C125" s="2">
        <v>1</v>
      </c>
      <c r="D125" s="2" t="s">
        <v>96</v>
      </c>
      <c r="E125" s="2" t="s">
        <v>724</v>
      </c>
      <c r="F125" s="2" t="s">
        <v>4211</v>
      </c>
      <c r="G125" s="2" t="s">
        <v>297</v>
      </c>
      <c r="H125" s="2" t="s">
        <v>4212</v>
      </c>
      <c r="I125" s="2" t="s">
        <v>4213</v>
      </c>
    </row>
    <row r="126" spans="1:9" ht="43.5" customHeight="1" x14ac:dyDescent="0.5">
      <c r="A126" s="2" t="s">
        <v>726</v>
      </c>
      <c r="B126" s="2" t="s">
        <v>4337</v>
      </c>
      <c r="C126" s="2">
        <v>1</v>
      </c>
      <c r="D126" s="2" t="s">
        <v>96</v>
      </c>
      <c r="E126" s="2" t="s">
        <v>727</v>
      </c>
      <c r="F126" s="2" t="s">
        <v>4211</v>
      </c>
      <c r="G126" s="2" t="s">
        <v>297</v>
      </c>
      <c r="H126" s="2" t="s">
        <v>4212</v>
      </c>
      <c r="I126" s="2" t="s">
        <v>4213</v>
      </c>
    </row>
    <row r="127" spans="1:9" ht="43.5" customHeight="1" x14ac:dyDescent="0.5">
      <c r="A127" s="2" t="s">
        <v>729</v>
      </c>
      <c r="B127" s="2" t="s">
        <v>4338</v>
      </c>
      <c r="C127" s="2">
        <v>1</v>
      </c>
      <c r="D127" s="2" t="s">
        <v>99</v>
      </c>
      <c r="E127" s="2" t="s">
        <v>730</v>
      </c>
      <c r="F127" s="2" t="s">
        <v>4211</v>
      </c>
      <c r="G127" s="2" t="s">
        <v>274</v>
      </c>
      <c r="H127" s="2" t="s">
        <v>4212</v>
      </c>
      <c r="I127" s="2" t="s">
        <v>4213</v>
      </c>
    </row>
    <row r="128" spans="1:9" ht="43.5" customHeight="1" x14ac:dyDescent="0.5">
      <c r="A128" s="2" t="s">
        <v>733</v>
      </c>
      <c r="B128" s="2" t="s">
        <v>4339</v>
      </c>
      <c r="C128" s="2">
        <v>1</v>
      </c>
      <c r="D128" s="2" t="s">
        <v>99</v>
      </c>
      <c r="E128" s="2" t="s">
        <v>734</v>
      </c>
      <c r="F128" s="2" t="s">
        <v>4211</v>
      </c>
      <c r="G128" s="2" t="s">
        <v>274</v>
      </c>
      <c r="H128" s="2" t="s">
        <v>4212</v>
      </c>
      <c r="I128" s="2" t="s">
        <v>4213</v>
      </c>
    </row>
    <row r="129" spans="1:9" ht="43.5" customHeight="1" x14ac:dyDescent="0.5">
      <c r="A129" s="2" t="s">
        <v>736</v>
      </c>
      <c r="B129" s="2" t="s">
        <v>4340</v>
      </c>
      <c r="C129" s="2">
        <v>1</v>
      </c>
      <c r="D129" s="2" t="s">
        <v>99</v>
      </c>
      <c r="E129" s="2" t="s">
        <v>737</v>
      </c>
      <c r="F129" s="2" t="s">
        <v>4211</v>
      </c>
      <c r="G129" s="2" t="s">
        <v>297</v>
      </c>
      <c r="H129" s="2" t="s">
        <v>4212</v>
      </c>
      <c r="I129" s="2" t="s">
        <v>4213</v>
      </c>
    </row>
    <row r="130" spans="1:9" ht="43.5" customHeight="1" x14ac:dyDescent="0.5">
      <c r="A130" s="2" t="s">
        <v>739</v>
      </c>
      <c r="B130" s="2" t="s">
        <v>4341</v>
      </c>
      <c r="C130" s="2">
        <v>1</v>
      </c>
      <c r="D130" s="2" t="s">
        <v>99</v>
      </c>
      <c r="E130" s="2" t="s">
        <v>740</v>
      </c>
      <c r="F130" s="2" t="s">
        <v>4211</v>
      </c>
      <c r="G130" s="2" t="s">
        <v>297</v>
      </c>
      <c r="H130" s="2" t="s">
        <v>4212</v>
      </c>
      <c r="I130" s="2" t="s">
        <v>4213</v>
      </c>
    </row>
    <row r="131" spans="1:9" ht="43.5" customHeight="1" x14ac:dyDescent="0.5">
      <c r="A131" s="2" t="s">
        <v>742</v>
      </c>
      <c r="B131" s="2" t="s">
        <v>4342</v>
      </c>
      <c r="C131" s="2">
        <v>1</v>
      </c>
      <c r="D131" s="2" t="s">
        <v>99</v>
      </c>
      <c r="E131" s="2" t="s">
        <v>743</v>
      </c>
      <c r="F131" s="2" t="s">
        <v>4211</v>
      </c>
      <c r="G131" s="2" t="s">
        <v>297</v>
      </c>
      <c r="H131" s="2" t="s">
        <v>4212</v>
      </c>
      <c r="I131" s="2" t="s">
        <v>4213</v>
      </c>
    </row>
    <row r="132" spans="1:9" ht="43.5" customHeight="1" x14ac:dyDescent="0.5">
      <c r="A132" s="2" t="s">
        <v>745</v>
      </c>
      <c r="B132" s="2" t="s">
        <v>4343</v>
      </c>
      <c r="C132" s="2">
        <v>1</v>
      </c>
      <c r="D132" s="2" t="s">
        <v>99</v>
      </c>
      <c r="E132" s="2" t="s">
        <v>746</v>
      </c>
      <c r="F132" s="2" t="s">
        <v>4211</v>
      </c>
      <c r="G132" s="2" t="s">
        <v>297</v>
      </c>
      <c r="H132" s="2" t="s">
        <v>4212</v>
      </c>
      <c r="I132" s="2" t="s">
        <v>4213</v>
      </c>
    </row>
    <row r="133" spans="1:9" ht="43.5" customHeight="1" x14ac:dyDescent="0.5">
      <c r="A133" s="2" t="s">
        <v>748</v>
      </c>
      <c r="B133" s="2" t="s">
        <v>4344</v>
      </c>
      <c r="C133" s="2">
        <v>1</v>
      </c>
      <c r="D133" s="2" t="s">
        <v>102</v>
      </c>
      <c r="E133" s="2" t="s">
        <v>749</v>
      </c>
      <c r="F133" s="2" t="s">
        <v>4211</v>
      </c>
      <c r="G133" s="2" t="s">
        <v>274</v>
      </c>
      <c r="H133" s="2" t="s">
        <v>4212</v>
      </c>
      <c r="I133" s="2" t="s">
        <v>4213</v>
      </c>
    </row>
    <row r="134" spans="1:9" ht="43.5" customHeight="1" x14ac:dyDescent="0.5">
      <c r="A134" s="2" t="s">
        <v>752</v>
      </c>
      <c r="B134" s="2" t="s">
        <v>4345</v>
      </c>
      <c r="C134" s="2">
        <v>1</v>
      </c>
      <c r="D134" s="2" t="s">
        <v>102</v>
      </c>
      <c r="E134" s="2" t="s">
        <v>753</v>
      </c>
      <c r="F134" s="2" t="s">
        <v>4211</v>
      </c>
      <c r="G134" s="2" t="s">
        <v>274</v>
      </c>
      <c r="H134" s="2" t="s">
        <v>4212</v>
      </c>
      <c r="I134" s="2" t="s">
        <v>4213</v>
      </c>
    </row>
    <row r="135" spans="1:9" ht="43.5" customHeight="1" x14ac:dyDescent="0.5">
      <c r="A135" s="2" t="s">
        <v>755</v>
      </c>
      <c r="B135" s="2" t="s">
        <v>4346</v>
      </c>
      <c r="C135" s="2">
        <v>1</v>
      </c>
      <c r="D135" s="2" t="s">
        <v>102</v>
      </c>
      <c r="E135" s="2" t="s">
        <v>756</v>
      </c>
      <c r="F135" s="2" t="s">
        <v>4211</v>
      </c>
      <c r="G135" s="2" t="s">
        <v>297</v>
      </c>
      <c r="H135" s="2" t="s">
        <v>4212</v>
      </c>
      <c r="I135" s="2" t="s">
        <v>4213</v>
      </c>
    </row>
    <row r="136" spans="1:9" ht="43.5" customHeight="1" x14ac:dyDescent="0.5">
      <c r="A136" s="2" t="s">
        <v>758</v>
      </c>
      <c r="B136" s="2" t="s">
        <v>4347</v>
      </c>
      <c r="C136" s="2">
        <v>1</v>
      </c>
      <c r="D136" s="2" t="s">
        <v>102</v>
      </c>
      <c r="E136" s="2" t="s">
        <v>759</v>
      </c>
      <c r="F136" s="2" t="s">
        <v>4211</v>
      </c>
      <c r="G136" s="2" t="s">
        <v>297</v>
      </c>
      <c r="H136" s="2" t="s">
        <v>4212</v>
      </c>
      <c r="I136" s="2" t="s">
        <v>4213</v>
      </c>
    </row>
    <row r="137" spans="1:9" ht="43.5" customHeight="1" x14ac:dyDescent="0.5">
      <c r="A137" s="2" t="s">
        <v>761</v>
      </c>
      <c r="B137" s="2" t="s">
        <v>4348</v>
      </c>
      <c r="C137" s="2">
        <v>1</v>
      </c>
      <c r="D137" s="2" t="s">
        <v>102</v>
      </c>
      <c r="E137" s="2" t="s">
        <v>762</v>
      </c>
      <c r="F137" s="2" t="s">
        <v>4211</v>
      </c>
      <c r="G137" s="2" t="s">
        <v>297</v>
      </c>
      <c r="H137" s="2" t="s">
        <v>4212</v>
      </c>
      <c r="I137" s="2" t="s">
        <v>4213</v>
      </c>
    </row>
    <row r="138" spans="1:9" ht="43.5" customHeight="1" x14ac:dyDescent="0.5">
      <c r="A138" s="2" t="s">
        <v>764</v>
      </c>
      <c r="B138" s="2" t="s">
        <v>4349</v>
      </c>
      <c r="C138" s="2">
        <v>1</v>
      </c>
      <c r="D138" s="2" t="s">
        <v>102</v>
      </c>
      <c r="E138" s="2" t="s">
        <v>765</v>
      </c>
      <c r="F138" s="2" t="s">
        <v>4211</v>
      </c>
      <c r="G138" s="2" t="s">
        <v>297</v>
      </c>
      <c r="H138" s="2" t="s">
        <v>4212</v>
      </c>
      <c r="I138" s="2" t="s">
        <v>4213</v>
      </c>
    </row>
    <row r="139" spans="1:9" ht="43.5" customHeight="1" x14ac:dyDescent="0.5">
      <c r="A139" s="2" t="s">
        <v>767</v>
      </c>
      <c r="B139" s="2" t="s">
        <v>4350</v>
      </c>
      <c r="C139" s="2">
        <v>1</v>
      </c>
      <c r="D139" s="2" t="s">
        <v>105</v>
      </c>
      <c r="E139" s="2" t="s">
        <v>768</v>
      </c>
      <c r="F139" s="2" t="s">
        <v>4211</v>
      </c>
      <c r="G139" s="2" t="s">
        <v>274</v>
      </c>
      <c r="H139" s="2" t="s">
        <v>4212</v>
      </c>
      <c r="I139" s="2" t="s">
        <v>4213</v>
      </c>
    </row>
    <row r="140" spans="1:9" ht="43.5" customHeight="1" x14ac:dyDescent="0.5">
      <c r="A140" s="2" t="s">
        <v>772</v>
      </c>
      <c r="B140" s="2" t="s">
        <v>4351</v>
      </c>
      <c r="C140" s="2">
        <v>1</v>
      </c>
      <c r="D140" s="2" t="s">
        <v>105</v>
      </c>
      <c r="E140" s="2" t="s">
        <v>773</v>
      </c>
      <c r="F140" s="2" t="s">
        <v>4211</v>
      </c>
      <c r="G140" s="2" t="s">
        <v>274</v>
      </c>
      <c r="H140" s="2" t="s">
        <v>4212</v>
      </c>
      <c r="I140" s="2" t="s">
        <v>4213</v>
      </c>
    </row>
    <row r="141" spans="1:9" ht="43.5" customHeight="1" x14ac:dyDescent="0.5">
      <c r="A141" s="2" t="s">
        <v>776</v>
      </c>
      <c r="B141" s="2" t="s">
        <v>4352</v>
      </c>
      <c r="C141" s="2">
        <v>1</v>
      </c>
      <c r="D141" s="2" t="s">
        <v>105</v>
      </c>
      <c r="E141" s="2" t="s">
        <v>777</v>
      </c>
      <c r="F141" s="2" t="s">
        <v>4211</v>
      </c>
      <c r="G141" s="2" t="s">
        <v>297</v>
      </c>
      <c r="H141" s="2" t="s">
        <v>4212</v>
      </c>
      <c r="I141" s="2" t="s">
        <v>4213</v>
      </c>
    </row>
    <row r="142" spans="1:9" ht="43.5" customHeight="1" x14ac:dyDescent="0.5">
      <c r="A142" s="2" t="s">
        <v>779</v>
      </c>
      <c r="B142" s="2" t="s">
        <v>4353</v>
      </c>
      <c r="C142" s="2">
        <v>1</v>
      </c>
      <c r="D142" s="2" t="s">
        <v>105</v>
      </c>
      <c r="E142" s="2" t="s">
        <v>780</v>
      </c>
      <c r="F142" s="2" t="s">
        <v>4211</v>
      </c>
      <c r="G142" s="2" t="s">
        <v>297</v>
      </c>
      <c r="H142" s="2" t="s">
        <v>4212</v>
      </c>
      <c r="I142" s="2" t="s">
        <v>4213</v>
      </c>
    </row>
    <row r="143" spans="1:9" ht="43.5" customHeight="1" x14ac:dyDescent="0.5">
      <c r="A143" s="2" t="s">
        <v>782</v>
      </c>
      <c r="B143" s="2" t="s">
        <v>4354</v>
      </c>
      <c r="C143" s="2">
        <v>1</v>
      </c>
      <c r="D143" s="2" t="s">
        <v>105</v>
      </c>
      <c r="E143" s="2" t="s">
        <v>783</v>
      </c>
      <c r="F143" s="2" t="s">
        <v>4211</v>
      </c>
      <c r="G143" s="2" t="s">
        <v>297</v>
      </c>
      <c r="H143" s="2" t="s">
        <v>4212</v>
      </c>
      <c r="I143" s="2" t="s">
        <v>4213</v>
      </c>
    </row>
    <row r="144" spans="1:9" ht="43.5" customHeight="1" x14ac:dyDescent="0.5">
      <c r="A144" s="2" t="s">
        <v>785</v>
      </c>
      <c r="B144" s="2" t="s">
        <v>4355</v>
      </c>
      <c r="C144" s="2">
        <v>1</v>
      </c>
      <c r="D144" s="2" t="s">
        <v>105</v>
      </c>
      <c r="E144" s="2" t="s">
        <v>786</v>
      </c>
      <c r="F144" s="2" t="s">
        <v>4211</v>
      </c>
      <c r="G144" s="2" t="s">
        <v>297</v>
      </c>
      <c r="H144" s="2" t="s">
        <v>4212</v>
      </c>
      <c r="I144" s="2" t="s">
        <v>4213</v>
      </c>
    </row>
    <row r="145" spans="1:9" ht="43.5" customHeight="1" x14ac:dyDescent="0.5">
      <c r="A145" s="2" t="s">
        <v>788</v>
      </c>
      <c r="B145" s="2" t="s">
        <v>4356</v>
      </c>
      <c r="C145" s="2">
        <v>1</v>
      </c>
      <c r="D145" s="2" t="s">
        <v>105</v>
      </c>
      <c r="E145" s="2" t="s">
        <v>789</v>
      </c>
      <c r="F145" s="2" t="s">
        <v>4211</v>
      </c>
      <c r="G145" s="2" t="s">
        <v>297</v>
      </c>
      <c r="H145" s="2" t="s">
        <v>4212</v>
      </c>
      <c r="I145" s="2" t="s">
        <v>4213</v>
      </c>
    </row>
    <row r="146" spans="1:9" ht="43.5" customHeight="1" x14ac:dyDescent="0.5">
      <c r="A146" s="2" t="s">
        <v>794</v>
      </c>
      <c r="B146" s="2" t="s">
        <v>4357</v>
      </c>
      <c r="C146" s="2">
        <v>1</v>
      </c>
      <c r="D146" s="2" t="s">
        <v>105</v>
      </c>
      <c r="E146" s="2" t="s">
        <v>795</v>
      </c>
      <c r="F146" s="2" t="s">
        <v>4211</v>
      </c>
      <c r="G146" s="2" t="s">
        <v>274</v>
      </c>
      <c r="H146" s="2" t="s">
        <v>4212</v>
      </c>
      <c r="I146" s="2" t="s">
        <v>4213</v>
      </c>
    </row>
    <row r="147" spans="1:9" ht="43.5" customHeight="1" x14ac:dyDescent="0.5">
      <c r="A147" s="2" t="s">
        <v>799</v>
      </c>
      <c r="B147" s="2" t="s">
        <v>4358</v>
      </c>
      <c r="C147" s="2">
        <v>1</v>
      </c>
      <c r="D147" s="2" t="s">
        <v>105</v>
      </c>
      <c r="E147" s="2" t="s">
        <v>800</v>
      </c>
      <c r="F147" s="2" t="s">
        <v>4211</v>
      </c>
      <c r="G147" s="2" t="s">
        <v>274</v>
      </c>
      <c r="H147" s="2" t="s">
        <v>4212</v>
      </c>
      <c r="I147" s="2" t="s">
        <v>4213</v>
      </c>
    </row>
    <row r="148" spans="1:9" ht="43.5" customHeight="1" x14ac:dyDescent="0.5">
      <c r="A148" s="2" t="s">
        <v>803</v>
      </c>
      <c r="B148" s="2" t="s">
        <v>4359</v>
      </c>
      <c r="C148" s="2">
        <v>1</v>
      </c>
      <c r="D148" s="2" t="s">
        <v>105</v>
      </c>
      <c r="E148" s="2" t="s">
        <v>804</v>
      </c>
      <c r="F148" s="2" t="s">
        <v>4211</v>
      </c>
      <c r="G148" s="2" t="s">
        <v>297</v>
      </c>
      <c r="H148" s="2" t="s">
        <v>4212</v>
      </c>
      <c r="I148" s="2" t="s">
        <v>4213</v>
      </c>
    </row>
    <row r="149" spans="1:9" ht="43.5" customHeight="1" x14ac:dyDescent="0.5">
      <c r="A149" s="2" t="s">
        <v>806</v>
      </c>
      <c r="B149" s="2" t="s">
        <v>4360</v>
      </c>
      <c r="C149" s="2">
        <v>1</v>
      </c>
      <c r="D149" s="2" t="s">
        <v>105</v>
      </c>
      <c r="E149" s="2" t="s">
        <v>807</v>
      </c>
      <c r="F149" s="2" t="s">
        <v>4211</v>
      </c>
      <c r="G149" s="2" t="s">
        <v>297</v>
      </c>
      <c r="H149" s="2" t="s">
        <v>4212</v>
      </c>
      <c r="I149" s="2" t="s">
        <v>4213</v>
      </c>
    </row>
    <row r="150" spans="1:9" ht="43.5" customHeight="1" x14ac:dyDescent="0.5">
      <c r="A150" s="2" t="s">
        <v>811</v>
      </c>
      <c r="B150" s="2" t="s">
        <v>4361</v>
      </c>
      <c r="C150" s="2">
        <v>1</v>
      </c>
      <c r="D150" s="2" t="s">
        <v>105</v>
      </c>
      <c r="E150" s="2" t="s">
        <v>812</v>
      </c>
      <c r="F150" s="2" t="s">
        <v>4211</v>
      </c>
      <c r="G150" s="2" t="s">
        <v>297</v>
      </c>
      <c r="H150" s="2" t="s">
        <v>4212</v>
      </c>
      <c r="I150" s="2" t="s">
        <v>4213</v>
      </c>
    </row>
    <row r="151" spans="1:9" ht="43.5" customHeight="1" x14ac:dyDescent="0.5">
      <c r="A151" s="2" t="s">
        <v>815</v>
      </c>
      <c r="B151" s="2" t="s">
        <v>4362</v>
      </c>
      <c r="C151" s="2">
        <v>1</v>
      </c>
      <c r="D151" s="2" t="s">
        <v>105</v>
      </c>
      <c r="E151" s="2" t="s">
        <v>816</v>
      </c>
      <c r="F151" s="2" t="s">
        <v>4211</v>
      </c>
      <c r="G151" s="2" t="s">
        <v>297</v>
      </c>
      <c r="H151" s="2" t="s">
        <v>4212</v>
      </c>
      <c r="I151" s="2" t="s">
        <v>4213</v>
      </c>
    </row>
    <row r="152" spans="1:9" ht="43.5" customHeight="1" x14ac:dyDescent="0.5">
      <c r="A152" s="2" t="s">
        <v>819</v>
      </c>
      <c r="B152" s="2" t="s">
        <v>4363</v>
      </c>
      <c r="C152" s="2">
        <v>1</v>
      </c>
      <c r="D152" s="2" t="s">
        <v>105</v>
      </c>
      <c r="E152" s="2" t="s">
        <v>820</v>
      </c>
      <c r="F152" s="2" t="s">
        <v>4211</v>
      </c>
      <c r="G152" s="2" t="s">
        <v>297</v>
      </c>
      <c r="H152" s="2" t="s">
        <v>4212</v>
      </c>
      <c r="I152" s="2" t="s">
        <v>4213</v>
      </c>
    </row>
    <row r="153" spans="1:9" ht="43.5" customHeight="1" x14ac:dyDescent="0.5">
      <c r="A153" s="2" t="s">
        <v>823</v>
      </c>
      <c r="B153" s="2" t="s">
        <v>4364</v>
      </c>
      <c r="C153" s="2">
        <v>1</v>
      </c>
      <c r="D153" s="2" t="s">
        <v>105</v>
      </c>
      <c r="E153" s="2" t="s">
        <v>824</v>
      </c>
      <c r="F153" s="2" t="s">
        <v>4211</v>
      </c>
      <c r="G153" s="2" t="s">
        <v>274</v>
      </c>
      <c r="H153" s="2" t="s">
        <v>4212</v>
      </c>
      <c r="I153" s="2" t="s">
        <v>4213</v>
      </c>
    </row>
    <row r="154" spans="1:9" ht="43.5" customHeight="1" x14ac:dyDescent="0.5">
      <c r="A154" s="2" t="s">
        <v>827</v>
      </c>
      <c r="B154" s="2" t="s">
        <v>4365</v>
      </c>
      <c r="C154" s="2">
        <v>1</v>
      </c>
      <c r="D154" s="2" t="s">
        <v>105</v>
      </c>
      <c r="E154" s="2" t="s">
        <v>828</v>
      </c>
      <c r="F154" s="2" t="s">
        <v>4211</v>
      </c>
      <c r="G154" s="2" t="s">
        <v>274</v>
      </c>
      <c r="H154" s="2" t="s">
        <v>4212</v>
      </c>
      <c r="I154" s="2" t="s">
        <v>4213</v>
      </c>
    </row>
    <row r="155" spans="1:9" ht="43.5" customHeight="1" x14ac:dyDescent="0.5">
      <c r="A155" s="2" t="s">
        <v>830</v>
      </c>
      <c r="B155" s="2" t="s">
        <v>4366</v>
      </c>
      <c r="C155" s="2">
        <v>1</v>
      </c>
      <c r="D155" s="2" t="s">
        <v>105</v>
      </c>
      <c r="E155" s="2" t="s">
        <v>831</v>
      </c>
      <c r="F155" s="2" t="s">
        <v>4211</v>
      </c>
      <c r="G155" s="2" t="s">
        <v>274</v>
      </c>
      <c r="H155" s="2" t="s">
        <v>4212</v>
      </c>
      <c r="I155" s="2" t="s">
        <v>4213</v>
      </c>
    </row>
    <row r="156" spans="1:9" ht="43.5" customHeight="1" x14ac:dyDescent="0.5">
      <c r="A156" s="2" t="s">
        <v>833</v>
      </c>
      <c r="B156" s="2" t="s">
        <v>4367</v>
      </c>
      <c r="C156" s="2">
        <v>1</v>
      </c>
      <c r="D156" s="2" t="s">
        <v>105</v>
      </c>
      <c r="E156" s="2" t="s">
        <v>834</v>
      </c>
      <c r="F156" s="2" t="s">
        <v>4211</v>
      </c>
      <c r="G156" s="2" t="s">
        <v>297</v>
      </c>
      <c r="H156" s="2" t="s">
        <v>4212</v>
      </c>
      <c r="I156" s="2" t="s">
        <v>4213</v>
      </c>
    </row>
    <row r="157" spans="1:9" ht="43.5" customHeight="1" x14ac:dyDescent="0.5">
      <c r="A157" s="2" t="s">
        <v>838</v>
      </c>
      <c r="B157" s="2" t="s">
        <v>4368</v>
      </c>
      <c r="C157" s="2">
        <v>1</v>
      </c>
      <c r="D157" s="2" t="s">
        <v>105</v>
      </c>
      <c r="E157" s="2" t="s">
        <v>839</v>
      </c>
      <c r="F157" s="2" t="s">
        <v>4211</v>
      </c>
      <c r="G157" s="2" t="s">
        <v>297</v>
      </c>
      <c r="H157" s="2" t="s">
        <v>4212</v>
      </c>
      <c r="I157" s="2" t="s">
        <v>4213</v>
      </c>
    </row>
    <row r="158" spans="1:9" ht="43.5" customHeight="1" x14ac:dyDescent="0.5">
      <c r="A158" s="2" t="s">
        <v>842</v>
      </c>
      <c r="B158" s="2" t="s">
        <v>4369</v>
      </c>
      <c r="C158" s="2">
        <v>1</v>
      </c>
      <c r="D158" s="2" t="s">
        <v>105</v>
      </c>
      <c r="E158" s="2" t="s">
        <v>843</v>
      </c>
      <c r="F158" s="2" t="s">
        <v>4211</v>
      </c>
      <c r="G158" s="2" t="s">
        <v>297</v>
      </c>
      <c r="H158" s="2" t="s">
        <v>4212</v>
      </c>
      <c r="I158" s="2" t="s">
        <v>4213</v>
      </c>
    </row>
    <row r="159" spans="1:9" ht="43.5" customHeight="1" x14ac:dyDescent="0.5">
      <c r="A159" s="2" t="s">
        <v>845</v>
      </c>
      <c r="B159" s="2" t="s">
        <v>4370</v>
      </c>
      <c r="C159" s="2">
        <v>1</v>
      </c>
      <c r="D159" s="2" t="s">
        <v>105</v>
      </c>
      <c r="E159" s="2" t="s">
        <v>846</v>
      </c>
      <c r="F159" s="2" t="s">
        <v>4211</v>
      </c>
      <c r="G159" s="2" t="s">
        <v>297</v>
      </c>
      <c r="H159" s="2" t="s">
        <v>4212</v>
      </c>
      <c r="I159" s="2" t="s">
        <v>4213</v>
      </c>
    </row>
    <row r="160" spans="1:9" ht="43.5" customHeight="1" x14ac:dyDescent="0.5">
      <c r="A160" s="2" t="s">
        <v>849</v>
      </c>
      <c r="B160" s="2" t="s">
        <v>4371</v>
      </c>
      <c r="C160" s="2">
        <v>1</v>
      </c>
      <c r="D160" s="2" t="s">
        <v>105</v>
      </c>
      <c r="E160" s="2" t="s">
        <v>850</v>
      </c>
      <c r="F160" s="2" t="s">
        <v>4211</v>
      </c>
      <c r="G160" s="2" t="s">
        <v>274</v>
      </c>
      <c r="H160" s="2" t="s">
        <v>4212</v>
      </c>
      <c r="I160" s="2" t="s">
        <v>4213</v>
      </c>
    </row>
    <row r="161" spans="1:9" ht="43.5" customHeight="1" x14ac:dyDescent="0.5">
      <c r="A161" s="2" t="s">
        <v>854</v>
      </c>
      <c r="B161" s="2" t="s">
        <v>4372</v>
      </c>
      <c r="C161" s="2">
        <v>1</v>
      </c>
      <c r="D161" s="2" t="s">
        <v>105</v>
      </c>
      <c r="E161" s="2" t="s">
        <v>855</v>
      </c>
      <c r="F161" s="2" t="s">
        <v>4211</v>
      </c>
      <c r="G161" s="2" t="s">
        <v>274</v>
      </c>
      <c r="H161" s="2" t="s">
        <v>4212</v>
      </c>
      <c r="I161" s="2" t="s">
        <v>4213</v>
      </c>
    </row>
    <row r="162" spans="1:9" ht="43.5" customHeight="1" x14ac:dyDescent="0.5">
      <c r="A162" s="2" t="s">
        <v>858</v>
      </c>
      <c r="B162" s="2" t="s">
        <v>4373</v>
      </c>
      <c r="C162" s="2">
        <v>1</v>
      </c>
      <c r="D162" s="2" t="s">
        <v>105</v>
      </c>
      <c r="E162" s="2" t="s">
        <v>859</v>
      </c>
      <c r="F162" s="2" t="s">
        <v>4211</v>
      </c>
      <c r="G162" s="2" t="s">
        <v>274</v>
      </c>
      <c r="H162" s="2" t="s">
        <v>4212</v>
      </c>
      <c r="I162" s="2" t="s">
        <v>4213</v>
      </c>
    </row>
    <row r="163" spans="1:9" ht="43.5" customHeight="1" x14ac:dyDescent="0.5">
      <c r="A163" s="2" t="s">
        <v>861</v>
      </c>
      <c r="B163" s="2" t="s">
        <v>4374</v>
      </c>
      <c r="C163" s="2">
        <v>1</v>
      </c>
      <c r="D163" s="2" t="s">
        <v>105</v>
      </c>
      <c r="E163" s="2" t="s">
        <v>862</v>
      </c>
      <c r="F163" s="2" t="s">
        <v>4211</v>
      </c>
      <c r="G163" s="2" t="s">
        <v>297</v>
      </c>
      <c r="H163" s="2" t="s">
        <v>4212</v>
      </c>
      <c r="I163" s="2" t="s">
        <v>4213</v>
      </c>
    </row>
    <row r="164" spans="1:9" ht="43.5" customHeight="1" x14ac:dyDescent="0.5">
      <c r="A164" s="2" t="s">
        <v>866</v>
      </c>
      <c r="B164" s="2" t="s">
        <v>4375</v>
      </c>
      <c r="C164" s="2">
        <v>1</v>
      </c>
      <c r="D164" s="2" t="s">
        <v>105</v>
      </c>
      <c r="E164" s="2" t="s">
        <v>867</v>
      </c>
      <c r="F164" s="2" t="s">
        <v>4211</v>
      </c>
      <c r="G164" s="2" t="s">
        <v>297</v>
      </c>
      <c r="H164" s="2" t="s">
        <v>4212</v>
      </c>
      <c r="I164" s="2" t="s">
        <v>4213</v>
      </c>
    </row>
    <row r="165" spans="1:9" ht="43.5" customHeight="1" x14ac:dyDescent="0.5">
      <c r="A165" s="2" t="s">
        <v>870</v>
      </c>
      <c r="B165" s="2" t="s">
        <v>4376</v>
      </c>
      <c r="C165" s="2">
        <v>1</v>
      </c>
      <c r="D165" s="2" t="s">
        <v>105</v>
      </c>
      <c r="E165" s="2" t="s">
        <v>871</v>
      </c>
      <c r="F165" s="2" t="s">
        <v>4211</v>
      </c>
      <c r="G165" s="2" t="s">
        <v>297</v>
      </c>
      <c r="H165" s="2" t="s">
        <v>4212</v>
      </c>
      <c r="I165" s="2" t="s">
        <v>4213</v>
      </c>
    </row>
    <row r="166" spans="1:9" ht="43.5" customHeight="1" x14ac:dyDescent="0.5">
      <c r="A166" s="2" t="s">
        <v>874</v>
      </c>
      <c r="B166" s="2" t="s">
        <v>4377</v>
      </c>
      <c r="C166" s="2">
        <v>1</v>
      </c>
      <c r="D166" s="2" t="s">
        <v>105</v>
      </c>
      <c r="E166" s="2" t="s">
        <v>875</v>
      </c>
      <c r="F166" s="2" t="s">
        <v>4211</v>
      </c>
      <c r="G166" s="2" t="s">
        <v>297</v>
      </c>
      <c r="H166" s="2" t="s">
        <v>4212</v>
      </c>
      <c r="I166" s="2" t="s">
        <v>4213</v>
      </c>
    </row>
    <row r="167" spans="1:9" ht="43.5" customHeight="1" x14ac:dyDescent="0.5">
      <c r="A167" s="2" t="s">
        <v>878</v>
      </c>
      <c r="B167" s="2" t="s">
        <v>4378</v>
      </c>
      <c r="C167" s="2">
        <v>1</v>
      </c>
      <c r="D167" s="2" t="s">
        <v>108</v>
      </c>
      <c r="E167" s="2" t="s">
        <v>768</v>
      </c>
      <c r="F167" s="2" t="s">
        <v>4211</v>
      </c>
      <c r="G167" s="2" t="s">
        <v>274</v>
      </c>
      <c r="H167" s="2" t="s">
        <v>4212</v>
      </c>
      <c r="I167" s="2" t="s">
        <v>4213</v>
      </c>
    </row>
    <row r="168" spans="1:9" ht="43.5" customHeight="1" x14ac:dyDescent="0.5">
      <c r="A168" s="2" t="s">
        <v>881</v>
      </c>
      <c r="B168" s="2" t="s">
        <v>4379</v>
      </c>
      <c r="C168" s="2">
        <v>1</v>
      </c>
      <c r="D168" s="2" t="s">
        <v>108</v>
      </c>
      <c r="E168" s="2" t="s">
        <v>773</v>
      </c>
      <c r="F168" s="2" t="s">
        <v>4211</v>
      </c>
      <c r="G168" s="2" t="s">
        <v>274</v>
      </c>
      <c r="H168" s="2" t="s">
        <v>4212</v>
      </c>
      <c r="I168" s="2" t="s">
        <v>4213</v>
      </c>
    </row>
    <row r="169" spans="1:9" ht="43.5" customHeight="1" x14ac:dyDescent="0.5">
      <c r="A169" s="2" t="s">
        <v>883</v>
      </c>
      <c r="B169" s="2" t="s">
        <v>4380</v>
      </c>
      <c r="C169" s="2">
        <v>1</v>
      </c>
      <c r="D169" s="2" t="s">
        <v>108</v>
      </c>
      <c r="E169" s="2" t="s">
        <v>777</v>
      </c>
      <c r="F169" s="2" t="s">
        <v>4211</v>
      </c>
      <c r="G169" s="2" t="s">
        <v>297</v>
      </c>
      <c r="H169" s="2" t="s">
        <v>4212</v>
      </c>
      <c r="I169" s="2" t="s">
        <v>4213</v>
      </c>
    </row>
    <row r="170" spans="1:9" ht="43.5" customHeight="1" x14ac:dyDescent="0.5">
      <c r="A170" s="2" t="s">
        <v>885</v>
      </c>
      <c r="B170" s="2" t="s">
        <v>4381</v>
      </c>
      <c r="C170" s="2">
        <v>1</v>
      </c>
      <c r="D170" s="2" t="s">
        <v>108</v>
      </c>
      <c r="E170" s="2" t="s">
        <v>780</v>
      </c>
      <c r="F170" s="2" t="s">
        <v>4211</v>
      </c>
      <c r="G170" s="2" t="s">
        <v>297</v>
      </c>
      <c r="H170" s="2" t="s">
        <v>4212</v>
      </c>
      <c r="I170" s="2" t="s">
        <v>4213</v>
      </c>
    </row>
    <row r="171" spans="1:9" ht="43.5" customHeight="1" x14ac:dyDescent="0.5">
      <c r="A171" s="2" t="s">
        <v>887</v>
      </c>
      <c r="B171" s="2" t="s">
        <v>4382</v>
      </c>
      <c r="C171" s="2">
        <v>1</v>
      </c>
      <c r="D171" s="2" t="s">
        <v>108</v>
      </c>
      <c r="E171" s="2" t="s">
        <v>783</v>
      </c>
      <c r="F171" s="2" t="s">
        <v>4211</v>
      </c>
      <c r="G171" s="2" t="s">
        <v>297</v>
      </c>
      <c r="H171" s="2" t="s">
        <v>4212</v>
      </c>
      <c r="I171" s="2" t="s">
        <v>4213</v>
      </c>
    </row>
    <row r="172" spans="1:9" ht="43.5" customHeight="1" x14ac:dyDescent="0.5">
      <c r="A172" s="2" t="s">
        <v>889</v>
      </c>
      <c r="B172" s="2" t="s">
        <v>4383</v>
      </c>
      <c r="C172" s="2">
        <v>1</v>
      </c>
      <c r="D172" s="2" t="s">
        <v>108</v>
      </c>
      <c r="E172" s="2" t="s">
        <v>786</v>
      </c>
      <c r="F172" s="2" t="s">
        <v>4211</v>
      </c>
      <c r="G172" s="2" t="s">
        <v>297</v>
      </c>
      <c r="H172" s="2" t="s">
        <v>4212</v>
      </c>
      <c r="I172" s="2" t="s">
        <v>4213</v>
      </c>
    </row>
    <row r="173" spans="1:9" ht="43.5" customHeight="1" x14ac:dyDescent="0.5">
      <c r="A173" s="2" t="s">
        <v>891</v>
      </c>
      <c r="B173" s="2" t="s">
        <v>4384</v>
      </c>
      <c r="C173" s="2">
        <v>1</v>
      </c>
      <c r="D173" s="2" t="s">
        <v>108</v>
      </c>
      <c r="E173" s="2" t="s">
        <v>789</v>
      </c>
      <c r="F173" s="2" t="s">
        <v>4211</v>
      </c>
      <c r="G173" s="2" t="s">
        <v>297</v>
      </c>
      <c r="H173" s="2" t="s">
        <v>4212</v>
      </c>
      <c r="I173" s="2" t="s">
        <v>4213</v>
      </c>
    </row>
    <row r="174" spans="1:9" ht="43.5" customHeight="1" x14ac:dyDescent="0.5">
      <c r="A174" s="2" t="s">
        <v>893</v>
      </c>
      <c r="B174" s="2" t="s">
        <v>4385</v>
      </c>
      <c r="C174" s="2">
        <v>1</v>
      </c>
      <c r="D174" s="2" t="s">
        <v>108</v>
      </c>
      <c r="E174" s="2" t="s">
        <v>795</v>
      </c>
      <c r="F174" s="2" t="s">
        <v>4211</v>
      </c>
      <c r="G174" s="2" t="s">
        <v>274</v>
      </c>
      <c r="H174" s="2" t="s">
        <v>4212</v>
      </c>
      <c r="I174" s="2" t="s">
        <v>4213</v>
      </c>
    </row>
    <row r="175" spans="1:9" ht="43.5" customHeight="1" x14ac:dyDescent="0.5">
      <c r="A175" s="2" t="s">
        <v>896</v>
      </c>
      <c r="B175" s="2" t="s">
        <v>4386</v>
      </c>
      <c r="C175" s="2">
        <v>1</v>
      </c>
      <c r="D175" s="2" t="s">
        <v>108</v>
      </c>
      <c r="E175" s="2" t="s">
        <v>800</v>
      </c>
      <c r="F175" s="2" t="s">
        <v>4211</v>
      </c>
      <c r="G175" s="2" t="s">
        <v>274</v>
      </c>
      <c r="H175" s="2" t="s">
        <v>4212</v>
      </c>
      <c r="I175" s="2" t="s">
        <v>4213</v>
      </c>
    </row>
    <row r="176" spans="1:9" ht="43.5" customHeight="1" x14ac:dyDescent="0.5">
      <c r="A176" s="2" t="s">
        <v>898</v>
      </c>
      <c r="B176" s="2" t="s">
        <v>4387</v>
      </c>
      <c r="C176" s="2">
        <v>1</v>
      </c>
      <c r="D176" s="2" t="s">
        <v>108</v>
      </c>
      <c r="E176" s="2" t="s">
        <v>804</v>
      </c>
      <c r="F176" s="2" t="s">
        <v>4211</v>
      </c>
      <c r="G176" s="2" t="s">
        <v>297</v>
      </c>
      <c r="H176" s="2" t="s">
        <v>4212</v>
      </c>
      <c r="I176" s="2" t="s">
        <v>4213</v>
      </c>
    </row>
    <row r="177" spans="1:9" ht="43.5" customHeight="1" x14ac:dyDescent="0.5">
      <c r="A177" s="2" t="s">
        <v>900</v>
      </c>
      <c r="B177" s="2" t="s">
        <v>4388</v>
      </c>
      <c r="C177" s="2">
        <v>1</v>
      </c>
      <c r="D177" s="2" t="s">
        <v>108</v>
      </c>
      <c r="E177" s="2" t="s">
        <v>807</v>
      </c>
      <c r="F177" s="2" t="s">
        <v>4211</v>
      </c>
      <c r="G177" s="2" t="s">
        <v>297</v>
      </c>
      <c r="H177" s="2" t="s">
        <v>4212</v>
      </c>
      <c r="I177" s="2" t="s">
        <v>4213</v>
      </c>
    </row>
    <row r="178" spans="1:9" ht="43.5" customHeight="1" x14ac:dyDescent="0.5">
      <c r="A178" s="2" t="s">
        <v>902</v>
      </c>
      <c r="B178" s="2" t="s">
        <v>4389</v>
      </c>
      <c r="C178" s="2">
        <v>1</v>
      </c>
      <c r="D178" s="2" t="s">
        <v>108</v>
      </c>
      <c r="E178" s="2" t="s">
        <v>812</v>
      </c>
      <c r="F178" s="2" t="s">
        <v>4211</v>
      </c>
      <c r="G178" s="2" t="s">
        <v>297</v>
      </c>
      <c r="H178" s="2" t="s">
        <v>4212</v>
      </c>
      <c r="I178" s="2" t="s">
        <v>4213</v>
      </c>
    </row>
    <row r="179" spans="1:9" ht="43.5" customHeight="1" x14ac:dyDescent="0.5">
      <c r="A179" s="2" t="s">
        <v>904</v>
      </c>
      <c r="B179" s="2" t="s">
        <v>4390</v>
      </c>
      <c r="C179" s="2">
        <v>1</v>
      </c>
      <c r="D179" s="2" t="s">
        <v>108</v>
      </c>
      <c r="E179" s="2" t="s">
        <v>816</v>
      </c>
      <c r="F179" s="2" t="s">
        <v>4211</v>
      </c>
      <c r="G179" s="2" t="s">
        <v>297</v>
      </c>
      <c r="H179" s="2" t="s">
        <v>4212</v>
      </c>
      <c r="I179" s="2" t="s">
        <v>4213</v>
      </c>
    </row>
    <row r="180" spans="1:9" ht="43.5" customHeight="1" x14ac:dyDescent="0.5">
      <c r="A180" s="2" t="s">
        <v>906</v>
      </c>
      <c r="B180" s="2" t="s">
        <v>4391</v>
      </c>
      <c r="C180" s="2">
        <v>1</v>
      </c>
      <c r="D180" s="2" t="s">
        <v>108</v>
      </c>
      <c r="E180" s="2" t="s">
        <v>820</v>
      </c>
      <c r="F180" s="2" t="s">
        <v>4211</v>
      </c>
      <c r="G180" s="2" t="s">
        <v>297</v>
      </c>
      <c r="H180" s="2" t="s">
        <v>4212</v>
      </c>
      <c r="I180" s="2" t="s">
        <v>4213</v>
      </c>
    </row>
    <row r="181" spans="1:9" ht="43.5" customHeight="1" x14ac:dyDescent="0.5">
      <c r="A181" s="2" t="s">
        <v>908</v>
      </c>
      <c r="B181" s="2" t="s">
        <v>4392</v>
      </c>
      <c r="C181" s="2">
        <v>1</v>
      </c>
      <c r="D181" s="2" t="s">
        <v>108</v>
      </c>
      <c r="E181" s="2" t="s">
        <v>909</v>
      </c>
      <c r="F181" s="2" t="s">
        <v>4211</v>
      </c>
      <c r="G181" s="2" t="s">
        <v>274</v>
      </c>
      <c r="H181" s="2" t="s">
        <v>4212</v>
      </c>
      <c r="I181" s="2" t="s">
        <v>4213</v>
      </c>
    </row>
    <row r="182" spans="1:9" ht="43.5" customHeight="1" x14ac:dyDescent="0.5">
      <c r="A182" s="2" t="s">
        <v>913</v>
      </c>
      <c r="B182" s="2" t="s">
        <v>4393</v>
      </c>
      <c r="C182" s="2">
        <v>1</v>
      </c>
      <c r="D182" s="2" t="s">
        <v>108</v>
      </c>
      <c r="E182" s="2" t="s">
        <v>914</v>
      </c>
      <c r="F182" s="2" t="s">
        <v>4211</v>
      </c>
      <c r="G182" s="2" t="s">
        <v>274</v>
      </c>
      <c r="H182" s="2" t="s">
        <v>4212</v>
      </c>
      <c r="I182" s="2" t="s">
        <v>4213</v>
      </c>
    </row>
    <row r="183" spans="1:9" ht="43.5" customHeight="1" x14ac:dyDescent="0.5">
      <c r="A183" s="2" t="s">
        <v>917</v>
      </c>
      <c r="B183" s="2" t="s">
        <v>4394</v>
      </c>
      <c r="C183" s="2">
        <v>1</v>
      </c>
      <c r="D183" s="2" t="s">
        <v>108</v>
      </c>
      <c r="E183" s="2" t="s">
        <v>918</v>
      </c>
      <c r="F183" s="2" t="s">
        <v>4211</v>
      </c>
      <c r="G183" s="2" t="s">
        <v>297</v>
      </c>
      <c r="H183" s="2" t="s">
        <v>4212</v>
      </c>
      <c r="I183" s="2" t="s">
        <v>4213</v>
      </c>
    </row>
    <row r="184" spans="1:9" ht="43.5" customHeight="1" x14ac:dyDescent="0.5">
      <c r="A184" s="2" t="s">
        <v>920</v>
      </c>
      <c r="B184" s="2" t="s">
        <v>4395</v>
      </c>
      <c r="C184" s="2">
        <v>1</v>
      </c>
      <c r="D184" s="2" t="s">
        <v>108</v>
      </c>
      <c r="E184" s="2" t="s">
        <v>921</v>
      </c>
      <c r="F184" s="2" t="s">
        <v>4211</v>
      </c>
      <c r="G184" s="2" t="s">
        <v>297</v>
      </c>
      <c r="H184" s="2" t="s">
        <v>4212</v>
      </c>
      <c r="I184" s="2" t="s">
        <v>4213</v>
      </c>
    </row>
    <row r="185" spans="1:9" ht="43.5" customHeight="1" x14ac:dyDescent="0.5">
      <c r="A185" s="2" t="s">
        <v>925</v>
      </c>
      <c r="B185" s="2" t="s">
        <v>4396</v>
      </c>
      <c r="C185" s="2">
        <v>1</v>
      </c>
      <c r="D185" s="2" t="s">
        <v>108</v>
      </c>
      <c r="E185" s="2" t="s">
        <v>926</v>
      </c>
      <c r="F185" s="2" t="s">
        <v>4211</v>
      </c>
      <c r="G185" s="2" t="s">
        <v>297</v>
      </c>
      <c r="H185" s="2" t="s">
        <v>4212</v>
      </c>
      <c r="I185" s="2" t="s">
        <v>4213</v>
      </c>
    </row>
    <row r="186" spans="1:9" ht="43.5" customHeight="1" x14ac:dyDescent="0.5">
      <c r="A186" s="2" t="s">
        <v>929</v>
      </c>
      <c r="B186" s="2" t="s">
        <v>4397</v>
      </c>
      <c r="C186" s="2">
        <v>1</v>
      </c>
      <c r="D186" s="2" t="s">
        <v>108</v>
      </c>
      <c r="E186" s="2" t="s">
        <v>930</v>
      </c>
      <c r="F186" s="2" t="s">
        <v>4211</v>
      </c>
      <c r="G186" s="2" t="s">
        <v>297</v>
      </c>
      <c r="H186" s="2" t="s">
        <v>4212</v>
      </c>
      <c r="I186" s="2" t="s">
        <v>4213</v>
      </c>
    </row>
    <row r="187" spans="1:9" ht="43.5" customHeight="1" x14ac:dyDescent="0.5">
      <c r="A187" s="2" t="s">
        <v>933</v>
      </c>
      <c r="B187" s="2" t="s">
        <v>4398</v>
      </c>
      <c r="C187" s="2">
        <v>1</v>
      </c>
      <c r="D187" s="2" t="s">
        <v>108</v>
      </c>
      <c r="E187" s="2" t="s">
        <v>934</v>
      </c>
      <c r="F187" s="2" t="s">
        <v>4211</v>
      </c>
      <c r="G187" s="2" t="s">
        <v>297</v>
      </c>
      <c r="H187" s="2" t="s">
        <v>4212</v>
      </c>
      <c r="I187" s="2" t="s">
        <v>4213</v>
      </c>
    </row>
    <row r="188" spans="1:9" ht="43.5" customHeight="1" x14ac:dyDescent="0.5">
      <c r="A188" s="2" t="s">
        <v>937</v>
      </c>
      <c r="B188" s="2" t="s">
        <v>4399</v>
      </c>
      <c r="C188" s="2">
        <v>1</v>
      </c>
      <c r="D188" s="2" t="s">
        <v>108</v>
      </c>
      <c r="E188" s="2" t="s">
        <v>938</v>
      </c>
      <c r="F188" s="2" t="s">
        <v>4211</v>
      </c>
      <c r="G188" s="2" t="s">
        <v>274</v>
      </c>
      <c r="H188" s="2" t="s">
        <v>4212</v>
      </c>
      <c r="I188" s="2" t="s">
        <v>4213</v>
      </c>
    </row>
    <row r="189" spans="1:9" ht="43.5" customHeight="1" x14ac:dyDescent="0.5">
      <c r="A189" s="2" t="s">
        <v>941</v>
      </c>
      <c r="B189" s="2" t="s">
        <v>4400</v>
      </c>
      <c r="C189" s="2">
        <v>1</v>
      </c>
      <c r="D189" s="2" t="s">
        <v>108</v>
      </c>
      <c r="E189" s="2" t="s">
        <v>942</v>
      </c>
      <c r="F189" s="2" t="s">
        <v>4211</v>
      </c>
      <c r="G189" s="2" t="s">
        <v>274</v>
      </c>
      <c r="H189" s="2" t="s">
        <v>4212</v>
      </c>
      <c r="I189" s="2" t="s">
        <v>4213</v>
      </c>
    </row>
    <row r="190" spans="1:9" ht="43.5" customHeight="1" x14ac:dyDescent="0.5">
      <c r="A190" s="2" t="s">
        <v>944</v>
      </c>
      <c r="B190" s="2" t="s">
        <v>4401</v>
      </c>
      <c r="C190" s="2">
        <v>1</v>
      </c>
      <c r="D190" s="2" t="s">
        <v>108</v>
      </c>
      <c r="E190" s="2" t="s">
        <v>945</v>
      </c>
      <c r="F190" s="2" t="s">
        <v>4211</v>
      </c>
      <c r="G190" s="2" t="s">
        <v>297</v>
      </c>
      <c r="H190" s="2" t="s">
        <v>4212</v>
      </c>
      <c r="I190" s="2" t="s">
        <v>4213</v>
      </c>
    </row>
    <row r="191" spans="1:9" ht="43.5" customHeight="1" x14ac:dyDescent="0.5">
      <c r="A191" s="2" t="s">
        <v>947</v>
      </c>
      <c r="B191" s="2" t="s">
        <v>4402</v>
      </c>
      <c r="C191" s="2">
        <v>1</v>
      </c>
      <c r="D191" s="2" t="s">
        <v>108</v>
      </c>
      <c r="E191" s="2" t="s">
        <v>948</v>
      </c>
      <c r="F191" s="2" t="s">
        <v>4211</v>
      </c>
      <c r="G191" s="2" t="s">
        <v>297</v>
      </c>
      <c r="H191" s="2" t="s">
        <v>4212</v>
      </c>
      <c r="I191" s="2" t="s">
        <v>4213</v>
      </c>
    </row>
    <row r="192" spans="1:9" ht="43.5" customHeight="1" x14ac:dyDescent="0.5">
      <c r="A192" s="2" t="s">
        <v>950</v>
      </c>
      <c r="B192" s="2" t="s">
        <v>4403</v>
      </c>
      <c r="C192" s="2">
        <v>1</v>
      </c>
      <c r="D192" s="2" t="s">
        <v>108</v>
      </c>
      <c r="E192" s="2" t="s">
        <v>951</v>
      </c>
      <c r="F192" s="2" t="s">
        <v>4211</v>
      </c>
      <c r="G192" s="2" t="s">
        <v>297</v>
      </c>
      <c r="H192" s="2" t="s">
        <v>4212</v>
      </c>
      <c r="I192" s="2" t="s">
        <v>4213</v>
      </c>
    </row>
    <row r="193" spans="1:9" ht="43.5" customHeight="1" x14ac:dyDescent="0.5">
      <c r="A193" s="2" t="s">
        <v>953</v>
      </c>
      <c r="B193" s="2" t="s">
        <v>4404</v>
      </c>
      <c r="C193" s="2">
        <v>1</v>
      </c>
      <c r="D193" s="2" t="s">
        <v>108</v>
      </c>
      <c r="E193" s="2" t="s">
        <v>954</v>
      </c>
      <c r="F193" s="2" t="s">
        <v>4211</v>
      </c>
      <c r="G193" s="2" t="s">
        <v>297</v>
      </c>
      <c r="H193" s="2" t="s">
        <v>4212</v>
      </c>
      <c r="I193" s="2" t="s">
        <v>4213</v>
      </c>
    </row>
    <row r="194" spans="1:9" ht="43.5" customHeight="1" x14ac:dyDescent="0.5">
      <c r="A194" s="2" t="s">
        <v>956</v>
      </c>
      <c r="B194" s="2" t="s">
        <v>4405</v>
      </c>
      <c r="C194" s="2">
        <v>1</v>
      </c>
      <c r="D194" s="2" t="s">
        <v>108</v>
      </c>
      <c r="E194" s="2" t="s">
        <v>957</v>
      </c>
      <c r="F194" s="2" t="s">
        <v>4211</v>
      </c>
      <c r="G194" s="2" t="s">
        <v>297</v>
      </c>
      <c r="H194" s="2" t="s">
        <v>4212</v>
      </c>
      <c r="I194" s="2" t="s">
        <v>4213</v>
      </c>
    </row>
    <row r="195" spans="1:9" ht="43.5" customHeight="1" x14ac:dyDescent="0.5">
      <c r="A195" s="2" t="s">
        <v>959</v>
      </c>
      <c r="B195" s="2" t="s">
        <v>4406</v>
      </c>
      <c r="C195" s="2">
        <v>1</v>
      </c>
      <c r="D195" s="2" t="s">
        <v>108</v>
      </c>
      <c r="E195" s="2" t="s">
        <v>960</v>
      </c>
      <c r="F195" s="2" t="s">
        <v>4211</v>
      </c>
      <c r="G195" s="2" t="s">
        <v>274</v>
      </c>
      <c r="H195" s="2" t="s">
        <v>4212</v>
      </c>
      <c r="I195" s="2" t="s">
        <v>4213</v>
      </c>
    </row>
    <row r="196" spans="1:9" ht="43.5" customHeight="1" x14ac:dyDescent="0.5">
      <c r="A196" s="2" t="s">
        <v>963</v>
      </c>
      <c r="B196" s="2" t="s">
        <v>4407</v>
      </c>
      <c r="C196" s="2">
        <v>1</v>
      </c>
      <c r="D196" s="2" t="s">
        <v>108</v>
      </c>
      <c r="E196" s="2" t="s">
        <v>964</v>
      </c>
      <c r="F196" s="2" t="s">
        <v>4211</v>
      </c>
      <c r="G196" s="2" t="s">
        <v>274</v>
      </c>
      <c r="H196" s="2" t="s">
        <v>4212</v>
      </c>
      <c r="I196" s="2" t="s">
        <v>4213</v>
      </c>
    </row>
    <row r="197" spans="1:9" ht="43.5" customHeight="1" x14ac:dyDescent="0.5">
      <c r="A197" s="2" t="s">
        <v>966</v>
      </c>
      <c r="B197" s="2" t="s">
        <v>4408</v>
      </c>
      <c r="C197" s="2">
        <v>1</v>
      </c>
      <c r="D197" s="2" t="s">
        <v>108</v>
      </c>
      <c r="E197" s="2" t="s">
        <v>967</v>
      </c>
      <c r="F197" s="2" t="s">
        <v>4211</v>
      </c>
      <c r="G197" s="2" t="s">
        <v>274</v>
      </c>
      <c r="H197" s="2" t="s">
        <v>4212</v>
      </c>
      <c r="I197" s="2" t="s">
        <v>4213</v>
      </c>
    </row>
    <row r="198" spans="1:9" ht="43.5" customHeight="1" x14ac:dyDescent="0.5">
      <c r="A198" s="2" t="s">
        <v>969</v>
      </c>
      <c r="B198" s="2" t="s">
        <v>4409</v>
      </c>
      <c r="C198" s="2">
        <v>1</v>
      </c>
      <c r="D198" s="2" t="s">
        <v>108</v>
      </c>
      <c r="E198" s="2" t="s">
        <v>970</v>
      </c>
      <c r="F198" s="2" t="s">
        <v>4211</v>
      </c>
      <c r="G198" s="2" t="s">
        <v>297</v>
      </c>
      <c r="H198" s="2" t="s">
        <v>4212</v>
      </c>
      <c r="I198" s="2" t="s">
        <v>4213</v>
      </c>
    </row>
    <row r="199" spans="1:9" ht="43.5" customHeight="1" x14ac:dyDescent="0.5">
      <c r="A199" s="2" t="s">
        <v>972</v>
      </c>
      <c r="B199" s="2" t="s">
        <v>4410</v>
      </c>
      <c r="C199" s="2">
        <v>1</v>
      </c>
      <c r="D199" s="2" t="s">
        <v>108</v>
      </c>
      <c r="E199" s="2" t="s">
        <v>973</v>
      </c>
      <c r="F199" s="2" t="s">
        <v>4211</v>
      </c>
      <c r="G199" s="2" t="s">
        <v>297</v>
      </c>
      <c r="H199" s="2" t="s">
        <v>4212</v>
      </c>
      <c r="I199" s="2" t="s">
        <v>4213</v>
      </c>
    </row>
    <row r="200" spans="1:9" ht="43.5" customHeight="1" x14ac:dyDescent="0.5">
      <c r="A200" s="2" t="s">
        <v>975</v>
      </c>
      <c r="B200" s="2" t="s">
        <v>4411</v>
      </c>
      <c r="C200" s="2">
        <v>1</v>
      </c>
      <c r="D200" s="2" t="s">
        <v>108</v>
      </c>
      <c r="E200" s="2" t="s">
        <v>976</v>
      </c>
      <c r="F200" s="2" t="s">
        <v>4211</v>
      </c>
      <c r="G200" s="2" t="s">
        <v>297</v>
      </c>
      <c r="H200" s="2" t="s">
        <v>4212</v>
      </c>
      <c r="I200" s="2" t="s">
        <v>4213</v>
      </c>
    </row>
    <row r="201" spans="1:9" ht="43.5" customHeight="1" x14ac:dyDescent="0.5">
      <c r="A201" s="2" t="s">
        <v>978</v>
      </c>
      <c r="B201" s="2" t="s">
        <v>4412</v>
      </c>
      <c r="C201" s="2">
        <v>1</v>
      </c>
      <c r="D201" s="2" t="s">
        <v>108</v>
      </c>
      <c r="E201" s="2" t="s">
        <v>979</v>
      </c>
      <c r="F201" s="2" t="s">
        <v>4211</v>
      </c>
      <c r="G201" s="2" t="s">
        <v>297</v>
      </c>
      <c r="H201" s="2" t="s">
        <v>4212</v>
      </c>
      <c r="I201" s="2" t="s">
        <v>4213</v>
      </c>
    </row>
    <row r="202" spans="1:9" ht="43.5" customHeight="1" x14ac:dyDescent="0.5">
      <c r="A202" s="2" t="s">
        <v>981</v>
      </c>
      <c r="B202" s="2" t="s">
        <v>4413</v>
      </c>
      <c r="C202" s="2">
        <v>1</v>
      </c>
      <c r="D202" s="2" t="s">
        <v>108</v>
      </c>
      <c r="E202" s="2" t="s">
        <v>982</v>
      </c>
      <c r="F202" s="2" t="s">
        <v>4211</v>
      </c>
      <c r="G202" s="2" t="s">
        <v>274</v>
      </c>
      <c r="H202" s="2" t="s">
        <v>4212</v>
      </c>
      <c r="I202" s="2" t="s">
        <v>4213</v>
      </c>
    </row>
    <row r="203" spans="1:9" ht="43.5" customHeight="1" x14ac:dyDescent="0.5">
      <c r="A203" s="2" t="s">
        <v>985</v>
      </c>
      <c r="B203" s="2" t="s">
        <v>4414</v>
      </c>
      <c r="C203" s="2">
        <v>1</v>
      </c>
      <c r="D203" s="2" t="s">
        <v>108</v>
      </c>
      <c r="E203" s="2" t="s">
        <v>986</v>
      </c>
      <c r="F203" s="2" t="s">
        <v>4211</v>
      </c>
      <c r="G203" s="2" t="s">
        <v>274</v>
      </c>
      <c r="H203" s="2" t="s">
        <v>4212</v>
      </c>
      <c r="I203" s="2" t="s">
        <v>4213</v>
      </c>
    </row>
    <row r="204" spans="1:9" ht="43.5" customHeight="1" x14ac:dyDescent="0.5">
      <c r="A204" s="2" t="s">
        <v>989</v>
      </c>
      <c r="B204" s="2" t="s">
        <v>4415</v>
      </c>
      <c r="C204" s="2">
        <v>1</v>
      </c>
      <c r="D204" s="2" t="s">
        <v>108</v>
      </c>
      <c r="E204" s="2" t="s">
        <v>990</v>
      </c>
      <c r="F204" s="2" t="s">
        <v>4211</v>
      </c>
      <c r="G204" s="2" t="s">
        <v>274</v>
      </c>
      <c r="H204" s="2" t="s">
        <v>4212</v>
      </c>
      <c r="I204" s="2" t="s">
        <v>4213</v>
      </c>
    </row>
    <row r="205" spans="1:9" ht="43.5" customHeight="1" x14ac:dyDescent="0.5">
      <c r="A205" s="2" t="s">
        <v>992</v>
      </c>
      <c r="B205" s="2" t="s">
        <v>4416</v>
      </c>
      <c r="C205" s="2">
        <v>1</v>
      </c>
      <c r="D205" s="2" t="s">
        <v>108</v>
      </c>
      <c r="E205" s="2" t="s">
        <v>993</v>
      </c>
      <c r="F205" s="2" t="s">
        <v>4211</v>
      </c>
      <c r="G205" s="2" t="s">
        <v>297</v>
      </c>
      <c r="H205" s="2" t="s">
        <v>4212</v>
      </c>
      <c r="I205" s="2" t="s">
        <v>4213</v>
      </c>
    </row>
    <row r="206" spans="1:9" ht="43.5" customHeight="1" x14ac:dyDescent="0.5">
      <c r="A206" s="2" t="s">
        <v>997</v>
      </c>
      <c r="B206" s="2" t="s">
        <v>4417</v>
      </c>
      <c r="C206" s="2">
        <v>1</v>
      </c>
      <c r="D206" s="2" t="s">
        <v>108</v>
      </c>
      <c r="E206" s="2" t="s">
        <v>998</v>
      </c>
      <c r="F206" s="2" t="s">
        <v>4211</v>
      </c>
      <c r="G206" s="2" t="s">
        <v>297</v>
      </c>
      <c r="H206" s="2" t="s">
        <v>4212</v>
      </c>
      <c r="I206" s="2" t="s">
        <v>4213</v>
      </c>
    </row>
    <row r="207" spans="1:9" ht="43.5" customHeight="1" x14ac:dyDescent="0.5">
      <c r="A207" s="2" t="s">
        <v>1001</v>
      </c>
      <c r="B207" s="2" t="s">
        <v>4418</v>
      </c>
      <c r="C207" s="2">
        <v>1</v>
      </c>
      <c r="D207" s="2" t="s">
        <v>108</v>
      </c>
      <c r="E207" s="2" t="s">
        <v>1002</v>
      </c>
      <c r="F207" s="2" t="s">
        <v>4211</v>
      </c>
      <c r="G207" s="2" t="s">
        <v>297</v>
      </c>
      <c r="H207" s="2" t="s">
        <v>4212</v>
      </c>
      <c r="I207" s="2" t="s">
        <v>4213</v>
      </c>
    </row>
    <row r="208" spans="1:9" ht="43.5" customHeight="1" x14ac:dyDescent="0.5">
      <c r="A208" s="2" t="s">
        <v>1005</v>
      </c>
      <c r="B208" s="2" t="s">
        <v>4419</v>
      </c>
      <c r="C208" s="2">
        <v>1</v>
      </c>
      <c r="D208" s="2" t="s">
        <v>108</v>
      </c>
      <c r="E208" s="2" t="s">
        <v>1006</v>
      </c>
      <c r="F208" s="2" t="s">
        <v>4211</v>
      </c>
      <c r="G208" s="2" t="s">
        <v>297</v>
      </c>
      <c r="H208" s="2" t="s">
        <v>4212</v>
      </c>
      <c r="I208" s="2" t="s">
        <v>4213</v>
      </c>
    </row>
    <row r="209" spans="1:9" ht="43.5" customHeight="1" x14ac:dyDescent="0.5">
      <c r="A209" s="2" t="s">
        <v>1009</v>
      </c>
      <c r="B209" s="2" t="s">
        <v>4420</v>
      </c>
      <c r="C209" s="2">
        <v>1</v>
      </c>
      <c r="D209" s="2" t="s">
        <v>111</v>
      </c>
      <c r="E209" s="2" t="s">
        <v>1010</v>
      </c>
      <c r="F209" s="2" t="s">
        <v>4211</v>
      </c>
      <c r="G209" s="2" t="s">
        <v>274</v>
      </c>
      <c r="H209" s="2" t="s">
        <v>4212</v>
      </c>
      <c r="I209" s="2" t="s">
        <v>4213</v>
      </c>
    </row>
    <row r="210" spans="1:9" ht="43.5" customHeight="1" x14ac:dyDescent="0.5">
      <c r="A210" s="2" t="s">
        <v>1014</v>
      </c>
      <c r="B210" s="2" t="s">
        <v>4421</v>
      </c>
      <c r="C210" s="2">
        <v>1</v>
      </c>
      <c r="D210" s="2" t="s">
        <v>111</v>
      </c>
      <c r="E210" s="2" t="s">
        <v>1015</v>
      </c>
      <c r="F210" s="2" t="s">
        <v>4211</v>
      </c>
      <c r="G210" s="2" t="s">
        <v>274</v>
      </c>
      <c r="H210" s="2" t="s">
        <v>4212</v>
      </c>
      <c r="I210" s="2" t="s">
        <v>4213</v>
      </c>
    </row>
    <row r="211" spans="1:9" ht="43.5" customHeight="1" x14ac:dyDescent="0.5">
      <c r="A211" s="2" t="s">
        <v>1018</v>
      </c>
      <c r="B211" s="2" t="s">
        <v>4422</v>
      </c>
      <c r="C211" s="2">
        <v>1</v>
      </c>
      <c r="D211" s="2" t="s">
        <v>111</v>
      </c>
      <c r="E211" s="2" t="s">
        <v>1019</v>
      </c>
      <c r="F211" s="2" t="s">
        <v>4211</v>
      </c>
      <c r="G211" s="2" t="s">
        <v>297</v>
      </c>
      <c r="H211" s="2" t="s">
        <v>4212</v>
      </c>
      <c r="I211" s="2" t="s">
        <v>4213</v>
      </c>
    </row>
    <row r="212" spans="1:9" ht="43.5" customHeight="1" x14ac:dyDescent="0.5">
      <c r="A212" s="2" t="s">
        <v>1021</v>
      </c>
      <c r="B212" s="2" t="s">
        <v>4423</v>
      </c>
      <c r="C212" s="2">
        <v>1</v>
      </c>
      <c r="D212" s="2" t="s">
        <v>111</v>
      </c>
      <c r="E212" s="2" t="s">
        <v>1022</v>
      </c>
      <c r="F212" s="2" t="s">
        <v>4211</v>
      </c>
      <c r="G212" s="2" t="s">
        <v>297</v>
      </c>
      <c r="H212" s="2" t="s">
        <v>4212</v>
      </c>
      <c r="I212" s="2" t="s">
        <v>4213</v>
      </c>
    </row>
    <row r="213" spans="1:9" ht="43.5" customHeight="1" x14ac:dyDescent="0.5">
      <c r="A213" s="2" t="s">
        <v>1024</v>
      </c>
      <c r="B213" s="2" t="s">
        <v>4424</v>
      </c>
      <c r="C213" s="2">
        <v>1</v>
      </c>
      <c r="D213" s="2" t="s">
        <v>111</v>
      </c>
      <c r="E213" s="2" t="s">
        <v>1025</v>
      </c>
      <c r="F213" s="2" t="s">
        <v>4211</v>
      </c>
      <c r="G213" s="2" t="s">
        <v>297</v>
      </c>
      <c r="H213" s="2" t="s">
        <v>4212</v>
      </c>
      <c r="I213" s="2" t="s">
        <v>4213</v>
      </c>
    </row>
    <row r="214" spans="1:9" ht="43.5" customHeight="1" x14ac:dyDescent="0.5">
      <c r="A214" s="2" t="s">
        <v>1027</v>
      </c>
      <c r="B214" s="2" t="s">
        <v>4425</v>
      </c>
      <c r="C214" s="2">
        <v>1</v>
      </c>
      <c r="D214" s="2" t="s">
        <v>111</v>
      </c>
      <c r="E214" s="2" t="s">
        <v>1028</v>
      </c>
      <c r="F214" s="2" t="s">
        <v>4211</v>
      </c>
      <c r="G214" s="2" t="s">
        <v>297</v>
      </c>
      <c r="H214" s="2" t="s">
        <v>4212</v>
      </c>
      <c r="I214" s="2" t="s">
        <v>4213</v>
      </c>
    </row>
    <row r="215" spans="1:9" ht="43.5" customHeight="1" x14ac:dyDescent="0.5">
      <c r="A215" s="2" t="s">
        <v>1030</v>
      </c>
      <c r="B215" s="2" t="s">
        <v>4426</v>
      </c>
      <c r="C215" s="2">
        <v>1</v>
      </c>
      <c r="D215" s="2" t="s">
        <v>111</v>
      </c>
      <c r="E215" s="2" t="s">
        <v>1031</v>
      </c>
      <c r="F215" s="2" t="s">
        <v>4211</v>
      </c>
      <c r="G215" s="2" t="s">
        <v>297</v>
      </c>
      <c r="H215" s="2" t="s">
        <v>4212</v>
      </c>
      <c r="I215" s="2" t="s">
        <v>4213</v>
      </c>
    </row>
    <row r="216" spans="1:9" ht="43.5" customHeight="1" x14ac:dyDescent="0.5">
      <c r="A216" s="2" t="s">
        <v>1037</v>
      </c>
      <c r="B216" s="2" t="s">
        <v>4427</v>
      </c>
      <c r="C216" s="2">
        <v>1</v>
      </c>
      <c r="D216" s="2" t="s">
        <v>111</v>
      </c>
      <c r="E216" s="2" t="s">
        <v>1038</v>
      </c>
      <c r="F216" s="2" t="s">
        <v>4211</v>
      </c>
      <c r="G216" s="2" t="s">
        <v>274</v>
      </c>
      <c r="H216" s="2" t="s">
        <v>4212</v>
      </c>
      <c r="I216" s="2" t="s">
        <v>4213</v>
      </c>
    </row>
    <row r="217" spans="1:9" ht="43.5" customHeight="1" x14ac:dyDescent="0.5">
      <c r="A217" s="2" t="s">
        <v>1042</v>
      </c>
      <c r="B217" s="2" t="s">
        <v>4428</v>
      </c>
      <c r="C217" s="2">
        <v>1</v>
      </c>
      <c r="D217" s="2" t="s">
        <v>111</v>
      </c>
      <c r="E217" s="2" t="s">
        <v>1043</v>
      </c>
      <c r="F217" s="2" t="s">
        <v>4211</v>
      </c>
      <c r="G217" s="2" t="s">
        <v>274</v>
      </c>
      <c r="H217" s="2" t="s">
        <v>4212</v>
      </c>
      <c r="I217" s="2" t="s">
        <v>4213</v>
      </c>
    </row>
    <row r="218" spans="1:9" ht="43.5" customHeight="1" x14ac:dyDescent="0.5">
      <c r="A218" s="2" t="s">
        <v>1046</v>
      </c>
      <c r="B218" s="2" t="s">
        <v>4429</v>
      </c>
      <c r="C218" s="2">
        <v>1</v>
      </c>
      <c r="D218" s="2" t="s">
        <v>111</v>
      </c>
      <c r="E218" s="2" t="s">
        <v>1047</v>
      </c>
      <c r="F218" s="2" t="s">
        <v>4211</v>
      </c>
      <c r="G218" s="2" t="s">
        <v>297</v>
      </c>
      <c r="H218" s="2" t="s">
        <v>4212</v>
      </c>
      <c r="I218" s="2" t="s">
        <v>4213</v>
      </c>
    </row>
    <row r="219" spans="1:9" ht="43.5" customHeight="1" x14ac:dyDescent="0.5">
      <c r="A219" s="2" t="s">
        <v>1049</v>
      </c>
      <c r="B219" s="2" t="s">
        <v>4430</v>
      </c>
      <c r="C219" s="2">
        <v>1</v>
      </c>
      <c r="D219" s="2" t="s">
        <v>111</v>
      </c>
      <c r="E219" s="2" t="s">
        <v>1050</v>
      </c>
      <c r="F219" s="2" t="s">
        <v>4211</v>
      </c>
      <c r="G219" s="2" t="s">
        <v>297</v>
      </c>
      <c r="H219" s="2" t="s">
        <v>4212</v>
      </c>
      <c r="I219" s="2" t="s">
        <v>4213</v>
      </c>
    </row>
    <row r="220" spans="1:9" ht="43.5" customHeight="1" x14ac:dyDescent="0.5">
      <c r="A220" s="2" t="s">
        <v>1052</v>
      </c>
      <c r="B220" s="2" t="s">
        <v>4431</v>
      </c>
      <c r="C220" s="2">
        <v>1</v>
      </c>
      <c r="D220" s="2" t="s">
        <v>111</v>
      </c>
      <c r="E220" s="2" t="s">
        <v>1053</v>
      </c>
      <c r="F220" s="2" t="s">
        <v>4211</v>
      </c>
      <c r="G220" s="2" t="s">
        <v>297</v>
      </c>
      <c r="H220" s="2" t="s">
        <v>4212</v>
      </c>
      <c r="I220" s="2" t="s">
        <v>4213</v>
      </c>
    </row>
    <row r="221" spans="1:9" ht="43.5" customHeight="1" x14ac:dyDescent="0.5">
      <c r="A221" s="2" t="s">
        <v>1055</v>
      </c>
      <c r="B221" s="2" t="s">
        <v>4432</v>
      </c>
      <c r="C221" s="2">
        <v>1</v>
      </c>
      <c r="D221" s="2" t="s">
        <v>111</v>
      </c>
      <c r="E221" s="2" t="s">
        <v>1056</v>
      </c>
      <c r="F221" s="2" t="s">
        <v>4211</v>
      </c>
      <c r="G221" s="2" t="s">
        <v>297</v>
      </c>
      <c r="H221" s="2" t="s">
        <v>4212</v>
      </c>
      <c r="I221" s="2" t="s">
        <v>4213</v>
      </c>
    </row>
    <row r="222" spans="1:9" ht="43.5" customHeight="1" x14ac:dyDescent="0.5">
      <c r="A222" s="2" t="s">
        <v>1058</v>
      </c>
      <c r="B222" s="2" t="s">
        <v>4433</v>
      </c>
      <c r="C222" s="2">
        <v>1</v>
      </c>
      <c r="D222" s="2" t="s">
        <v>111</v>
      </c>
      <c r="E222" s="2" t="s">
        <v>1059</v>
      </c>
      <c r="F222" s="2" t="s">
        <v>4211</v>
      </c>
      <c r="G222" s="2" t="s">
        <v>297</v>
      </c>
      <c r="H222" s="2" t="s">
        <v>4212</v>
      </c>
      <c r="I222" s="2" t="s">
        <v>4213</v>
      </c>
    </row>
    <row r="223" spans="1:9" ht="43.5" customHeight="1" x14ac:dyDescent="0.5">
      <c r="A223" s="2" t="s">
        <v>1061</v>
      </c>
      <c r="B223" s="2" t="s">
        <v>4434</v>
      </c>
      <c r="C223" s="2">
        <v>1</v>
      </c>
      <c r="D223" s="2" t="s">
        <v>114</v>
      </c>
      <c r="E223" s="2" t="s">
        <v>1062</v>
      </c>
      <c r="F223" s="2" t="s">
        <v>4211</v>
      </c>
      <c r="G223" s="2" t="s">
        <v>274</v>
      </c>
      <c r="H223" s="2" t="s">
        <v>4212</v>
      </c>
      <c r="I223" s="2" t="s">
        <v>4213</v>
      </c>
    </row>
    <row r="224" spans="1:9" ht="43.5" customHeight="1" x14ac:dyDescent="0.5">
      <c r="A224" s="2" t="s">
        <v>1065</v>
      </c>
      <c r="B224" s="2" t="s">
        <v>4435</v>
      </c>
      <c r="C224" s="2">
        <v>1</v>
      </c>
      <c r="D224" s="2" t="s">
        <v>114</v>
      </c>
      <c r="E224" s="2" t="s">
        <v>1066</v>
      </c>
      <c r="F224" s="2" t="s">
        <v>4211</v>
      </c>
      <c r="G224" s="2" t="s">
        <v>274</v>
      </c>
      <c r="H224" s="2" t="s">
        <v>4212</v>
      </c>
      <c r="I224" s="2" t="s">
        <v>4213</v>
      </c>
    </row>
    <row r="225" spans="1:9" ht="43.5" customHeight="1" x14ac:dyDescent="0.5">
      <c r="A225" s="2" t="s">
        <v>1068</v>
      </c>
      <c r="B225" s="2" t="s">
        <v>4436</v>
      </c>
      <c r="C225" s="2">
        <v>1</v>
      </c>
      <c r="D225" s="2" t="s">
        <v>114</v>
      </c>
      <c r="E225" s="2" t="s">
        <v>1069</v>
      </c>
      <c r="F225" s="2" t="s">
        <v>4211</v>
      </c>
      <c r="G225" s="2" t="s">
        <v>297</v>
      </c>
      <c r="H225" s="2" t="s">
        <v>4212</v>
      </c>
      <c r="I225" s="2" t="s">
        <v>4213</v>
      </c>
    </row>
    <row r="226" spans="1:9" ht="43.5" customHeight="1" x14ac:dyDescent="0.5">
      <c r="A226" s="2" t="s">
        <v>1071</v>
      </c>
      <c r="B226" s="2" t="s">
        <v>4437</v>
      </c>
      <c r="C226" s="2">
        <v>1</v>
      </c>
      <c r="D226" s="2" t="s">
        <v>114</v>
      </c>
      <c r="E226" s="2" t="s">
        <v>1072</v>
      </c>
      <c r="F226" s="2" t="s">
        <v>4211</v>
      </c>
      <c r="G226" s="2" t="s">
        <v>297</v>
      </c>
      <c r="H226" s="2" t="s">
        <v>4212</v>
      </c>
      <c r="I226" s="2" t="s">
        <v>4213</v>
      </c>
    </row>
    <row r="227" spans="1:9" ht="43.5" customHeight="1" x14ac:dyDescent="0.5">
      <c r="A227" s="2" t="s">
        <v>1074</v>
      </c>
      <c r="B227" s="2" t="s">
        <v>4438</v>
      </c>
      <c r="C227" s="2">
        <v>1</v>
      </c>
      <c r="D227" s="2" t="s">
        <v>114</v>
      </c>
      <c r="E227" s="2" t="s">
        <v>1075</v>
      </c>
      <c r="F227" s="2" t="s">
        <v>4211</v>
      </c>
      <c r="G227" s="2" t="s">
        <v>297</v>
      </c>
      <c r="H227" s="2" t="s">
        <v>4212</v>
      </c>
      <c r="I227" s="2" t="s">
        <v>4213</v>
      </c>
    </row>
    <row r="228" spans="1:9" ht="43.5" customHeight="1" x14ac:dyDescent="0.5">
      <c r="A228" s="2" t="s">
        <v>1077</v>
      </c>
      <c r="B228" s="2" t="s">
        <v>4439</v>
      </c>
      <c r="C228" s="2">
        <v>1</v>
      </c>
      <c r="D228" s="2" t="s">
        <v>114</v>
      </c>
      <c r="E228" s="2" t="s">
        <v>1078</v>
      </c>
      <c r="F228" s="2" t="s">
        <v>4211</v>
      </c>
      <c r="G228" s="2" t="s">
        <v>297</v>
      </c>
      <c r="H228" s="2" t="s">
        <v>4212</v>
      </c>
      <c r="I228" s="2" t="s">
        <v>4213</v>
      </c>
    </row>
    <row r="229" spans="1:9" ht="43.5" customHeight="1" x14ac:dyDescent="0.5">
      <c r="A229" s="2" t="s">
        <v>1080</v>
      </c>
      <c r="B229" s="2" t="s">
        <v>4440</v>
      </c>
      <c r="C229" s="2">
        <v>1</v>
      </c>
      <c r="D229" s="2" t="s">
        <v>114</v>
      </c>
      <c r="E229" s="2" t="s">
        <v>1081</v>
      </c>
      <c r="F229" s="2" t="s">
        <v>4211</v>
      </c>
      <c r="G229" s="2" t="s">
        <v>274</v>
      </c>
      <c r="H229" s="2" t="s">
        <v>4212</v>
      </c>
      <c r="I229" s="2" t="s">
        <v>4213</v>
      </c>
    </row>
    <row r="230" spans="1:9" ht="43.5" customHeight="1" x14ac:dyDescent="0.5">
      <c r="A230" s="2" t="s">
        <v>1083</v>
      </c>
      <c r="B230" s="2" t="s">
        <v>4441</v>
      </c>
      <c r="C230" s="2">
        <v>1</v>
      </c>
      <c r="D230" s="2" t="s">
        <v>114</v>
      </c>
      <c r="E230" s="2" t="s">
        <v>1084</v>
      </c>
      <c r="F230" s="2" t="s">
        <v>4211</v>
      </c>
      <c r="G230" s="2" t="s">
        <v>274</v>
      </c>
      <c r="H230" s="2" t="s">
        <v>4212</v>
      </c>
      <c r="I230" s="2" t="s">
        <v>4213</v>
      </c>
    </row>
    <row r="231" spans="1:9" ht="43.5" customHeight="1" x14ac:dyDescent="0.5">
      <c r="A231" s="2" t="s">
        <v>1086</v>
      </c>
      <c r="B231" s="2" t="s">
        <v>4442</v>
      </c>
      <c r="C231" s="2">
        <v>1</v>
      </c>
      <c r="D231" s="2" t="s">
        <v>114</v>
      </c>
      <c r="E231" s="2" t="s">
        <v>1087</v>
      </c>
      <c r="F231" s="2" t="s">
        <v>4211</v>
      </c>
      <c r="G231" s="2" t="s">
        <v>297</v>
      </c>
      <c r="H231" s="2" t="s">
        <v>4212</v>
      </c>
      <c r="I231" s="2" t="s">
        <v>4213</v>
      </c>
    </row>
    <row r="232" spans="1:9" ht="43.5" customHeight="1" x14ac:dyDescent="0.5">
      <c r="A232" s="2" t="s">
        <v>1089</v>
      </c>
      <c r="B232" s="2" t="s">
        <v>4443</v>
      </c>
      <c r="C232" s="2">
        <v>1</v>
      </c>
      <c r="D232" s="2" t="s">
        <v>114</v>
      </c>
      <c r="E232" s="2" t="s">
        <v>1090</v>
      </c>
      <c r="F232" s="2" t="s">
        <v>4211</v>
      </c>
      <c r="G232" s="2" t="s">
        <v>297</v>
      </c>
      <c r="H232" s="2" t="s">
        <v>4212</v>
      </c>
      <c r="I232" s="2" t="s">
        <v>4213</v>
      </c>
    </row>
    <row r="233" spans="1:9" ht="43.5" customHeight="1" x14ac:dyDescent="0.5">
      <c r="A233" s="2" t="s">
        <v>1092</v>
      </c>
      <c r="B233" s="2" t="s">
        <v>4444</v>
      </c>
      <c r="C233" s="2">
        <v>1</v>
      </c>
      <c r="D233" s="2" t="s">
        <v>114</v>
      </c>
      <c r="E233" s="2" t="s">
        <v>1093</v>
      </c>
      <c r="F233" s="2" t="s">
        <v>4211</v>
      </c>
      <c r="G233" s="2" t="s">
        <v>297</v>
      </c>
      <c r="H233" s="2" t="s">
        <v>4212</v>
      </c>
      <c r="I233" s="2" t="s">
        <v>4213</v>
      </c>
    </row>
    <row r="234" spans="1:9" ht="43.5" customHeight="1" x14ac:dyDescent="0.5">
      <c r="A234" s="2" t="s">
        <v>1095</v>
      </c>
      <c r="B234" s="2" t="s">
        <v>4445</v>
      </c>
      <c r="C234" s="2">
        <v>1</v>
      </c>
      <c r="D234" s="2" t="s">
        <v>114</v>
      </c>
      <c r="E234" s="2" t="s">
        <v>1096</v>
      </c>
      <c r="F234" s="2" t="s">
        <v>4211</v>
      </c>
      <c r="G234" s="2" t="s">
        <v>297</v>
      </c>
      <c r="H234" s="2" t="s">
        <v>4212</v>
      </c>
      <c r="I234" s="2" t="s">
        <v>4213</v>
      </c>
    </row>
    <row r="235" spans="1:9" ht="43.5" customHeight="1" x14ac:dyDescent="0.5">
      <c r="A235" s="2" t="s">
        <v>1098</v>
      </c>
      <c r="B235" s="2" t="s">
        <v>4446</v>
      </c>
      <c r="C235" s="2">
        <v>1</v>
      </c>
      <c r="D235" s="2" t="s">
        <v>117</v>
      </c>
      <c r="E235" s="2" t="s">
        <v>1099</v>
      </c>
      <c r="F235" s="2" t="s">
        <v>4211</v>
      </c>
      <c r="G235" s="2" t="s">
        <v>274</v>
      </c>
      <c r="H235" s="2" t="s">
        <v>4212</v>
      </c>
      <c r="I235" s="2" t="s">
        <v>4213</v>
      </c>
    </row>
    <row r="236" spans="1:9" ht="43.5" customHeight="1" x14ac:dyDescent="0.5">
      <c r="A236" s="2" t="s">
        <v>1103</v>
      </c>
      <c r="B236" s="2" t="s">
        <v>4447</v>
      </c>
      <c r="C236" s="2">
        <v>1</v>
      </c>
      <c r="D236" s="2" t="s">
        <v>117</v>
      </c>
      <c r="E236" s="2" t="s">
        <v>1104</v>
      </c>
      <c r="F236" s="2" t="s">
        <v>4211</v>
      </c>
      <c r="G236" s="2" t="s">
        <v>274</v>
      </c>
      <c r="H236" s="2" t="s">
        <v>4212</v>
      </c>
      <c r="I236" s="2" t="s">
        <v>4213</v>
      </c>
    </row>
    <row r="237" spans="1:9" ht="43.5" customHeight="1" x14ac:dyDescent="0.5">
      <c r="A237" s="2" t="s">
        <v>1107</v>
      </c>
      <c r="B237" s="2" t="s">
        <v>4448</v>
      </c>
      <c r="C237" s="2">
        <v>1</v>
      </c>
      <c r="D237" s="2" t="s">
        <v>117</v>
      </c>
      <c r="E237" s="2" t="s">
        <v>1108</v>
      </c>
      <c r="F237" s="2" t="s">
        <v>4211</v>
      </c>
      <c r="G237" s="2" t="s">
        <v>297</v>
      </c>
      <c r="H237" s="2" t="s">
        <v>4212</v>
      </c>
      <c r="I237" s="2" t="s">
        <v>4213</v>
      </c>
    </row>
    <row r="238" spans="1:9" ht="43.5" customHeight="1" x14ac:dyDescent="0.5">
      <c r="A238" s="2" t="s">
        <v>1110</v>
      </c>
      <c r="B238" s="2" t="s">
        <v>4449</v>
      </c>
      <c r="C238" s="2">
        <v>1</v>
      </c>
      <c r="D238" s="2" t="s">
        <v>117</v>
      </c>
      <c r="E238" s="2" t="s">
        <v>1111</v>
      </c>
      <c r="F238" s="2" t="s">
        <v>4211</v>
      </c>
      <c r="G238" s="2" t="s">
        <v>297</v>
      </c>
      <c r="H238" s="2" t="s">
        <v>4212</v>
      </c>
      <c r="I238" s="2" t="s">
        <v>4213</v>
      </c>
    </row>
    <row r="239" spans="1:9" ht="43.5" customHeight="1" x14ac:dyDescent="0.5">
      <c r="A239" s="2" t="s">
        <v>1115</v>
      </c>
      <c r="B239" s="2" t="s">
        <v>4450</v>
      </c>
      <c r="C239" s="2">
        <v>1</v>
      </c>
      <c r="D239" s="2" t="s">
        <v>117</v>
      </c>
      <c r="E239" s="2" t="s">
        <v>1116</v>
      </c>
      <c r="F239" s="2" t="s">
        <v>4211</v>
      </c>
      <c r="G239" s="2" t="s">
        <v>297</v>
      </c>
      <c r="H239" s="2" t="s">
        <v>4212</v>
      </c>
      <c r="I239" s="2" t="s">
        <v>4213</v>
      </c>
    </row>
    <row r="240" spans="1:9" ht="43.5" customHeight="1" x14ac:dyDescent="0.5">
      <c r="A240" s="2" t="s">
        <v>1119</v>
      </c>
      <c r="B240" s="2" t="s">
        <v>4451</v>
      </c>
      <c r="C240" s="2">
        <v>1</v>
      </c>
      <c r="D240" s="2" t="s">
        <v>117</v>
      </c>
      <c r="E240" s="2" t="s">
        <v>1120</v>
      </c>
      <c r="F240" s="2" t="s">
        <v>4211</v>
      </c>
      <c r="G240" s="2" t="s">
        <v>297</v>
      </c>
      <c r="H240" s="2" t="s">
        <v>4212</v>
      </c>
      <c r="I240" s="2" t="s">
        <v>4213</v>
      </c>
    </row>
    <row r="241" spans="1:9" ht="43.5" customHeight="1" x14ac:dyDescent="0.5">
      <c r="A241" s="2" t="s">
        <v>1123</v>
      </c>
      <c r="B241" s="2" t="s">
        <v>4452</v>
      </c>
      <c r="C241" s="2">
        <v>1</v>
      </c>
      <c r="D241" s="2" t="s">
        <v>117</v>
      </c>
      <c r="E241" s="2" t="s">
        <v>1124</v>
      </c>
      <c r="F241" s="2" t="s">
        <v>4211</v>
      </c>
      <c r="G241" s="2" t="s">
        <v>274</v>
      </c>
      <c r="H241" s="2" t="s">
        <v>4212</v>
      </c>
      <c r="I241" s="2" t="s">
        <v>4213</v>
      </c>
    </row>
    <row r="242" spans="1:9" ht="43.5" customHeight="1" x14ac:dyDescent="0.5">
      <c r="A242" s="2" t="s">
        <v>1126</v>
      </c>
      <c r="B242" s="2" t="s">
        <v>4453</v>
      </c>
      <c r="C242" s="2">
        <v>1</v>
      </c>
      <c r="D242" s="2" t="s">
        <v>117</v>
      </c>
      <c r="E242" s="2" t="s">
        <v>1127</v>
      </c>
      <c r="F242" s="2" t="s">
        <v>4211</v>
      </c>
      <c r="G242" s="2" t="s">
        <v>274</v>
      </c>
      <c r="H242" s="2" t="s">
        <v>4212</v>
      </c>
      <c r="I242" s="2" t="s">
        <v>4213</v>
      </c>
    </row>
    <row r="243" spans="1:9" ht="43.5" customHeight="1" x14ac:dyDescent="0.5">
      <c r="A243" s="2" t="s">
        <v>1129</v>
      </c>
      <c r="B243" s="2" t="s">
        <v>4454</v>
      </c>
      <c r="C243" s="2">
        <v>1</v>
      </c>
      <c r="D243" s="2" t="s">
        <v>117</v>
      </c>
      <c r="E243" s="2" t="s">
        <v>1130</v>
      </c>
      <c r="F243" s="2" t="s">
        <v>4211</v>
      </c>
      <c r="G243" s="2" t="s">
        <v>297</v>
      </c>
      <c r="H243" s="2" t="s">
        <v>4212</v>
      </c>
      <c r="I243" s="2" t="s">
        <v>4213</v>
      </c>
    </row>
    <row r="244" spans="1:9" ht="43.5" customHeight="1" x14ac:dyDescent="0.5">
      <c r="A244" s="2" t="s">
        <v>1132</v>
      </c>
      <c r="B244" s="2" t="s">
        <v>4455</v>
      </c>
      <c r="C244" s="2">
        <v>1</v>
      </c>
      <c r="D244" s="2" t="s">
        <v>117</v>
      </c>
      <c r="E244" s="2" t="s">
        <v>1133</v>
      </c>
      <c r="F244" s="2" t="s">
        <v>4211</v>
      </c>
      <c r="G244" s="2" t="s">
        <v>297</v>
      </c>
      <c r="H244" s="2" t="s">
        <v>4212</v>
      </c>
      <c r="I244" s="2" t="s">
        <v>4213</v>
      </c>
    </row>
    <row r="245" spans="1:9" ht="43.5" customHeight="1" x14ac:dyDescent="0.5">
      <c r="A245" s="2" t="s">
        <v>1135</v>
      </c>
      <c r="B245" s="2" t="s">
        <v>4456</v>
      </c>
      <c r="C245" s="2">
        <v>1</v>
      </c>
      <c r="D245" s="2" t="s">
        <v>117</v>
      </c>
      <c r="E245" s="2" t="s">
        <v>1136</v>
      </c>
      <c r="F245" s="2" t="s">
        <v>4211</v>
      </c>
      <c r="G245" s="2" t="s">
        <v>297</v>
      </c>
      <c r="H245" s="2" t="s">
        <v>4212</v>
      </c>
      <c r="I245" s="2" t="s">
        <v>4213</v>
      </c>
    </row>
    <row r="246" spans="1:9" ht="43.5" customHeight="1" x14ac:dyDescent="0.5">
      <c r="A246" s="2" t="s">
        <v>1138</v>
      </c>
      <c r="B246" s="2" t="s">
        <v>4457</v>
      </c>
      <c r="C246" s="2">
        <v>1</v>
      </c>
      <c r="D246" s="2" t="s">
        <v>117</v>
      </c>
      <c r="E246" s="2" t="s">
        <v>1139</v>
      </c>
      <c r="F246" s="2" t="s">
        <v>4211</v>
      </c>
      <c r="G246" s="2" t="s">
        <v>297</v>
      </c>
      <c r="H246" s="2" t="s">
        <v>4212</v>
      </c>
      <c r="I246" s="2" t="s">
        <v>4213</v>
      </c>
    </row>
    <row r="247" spans="1:9" ht="43.5" customHeight="1" x14ac:dyDescent="0.5">
      <c r="A247" s="2" t="s">
        <v>1141</v>
      </c>
      <c r="B247" s="2" t="s">
        <v>4458</v>
      </c>
      <c r="C247" s="2">
        <v>1</v>
      </c>
      <c r="D247" s="2" t="s">
        <v>117</v>
      </c>
      <c r="E247" s="2" t="s">
        <v>1062</v>
      </c>
      <c r="F247" s="2" t="s">
        <v>4211</v>
      </c>
      <c r="G247" s="2" t="s">
        <v>274</v>
      </c>
      <c r="H247" s="2" t="s">
        <v>4212</v>
      </c>
      <c r="I247" s="2" t="s">
        <v>4213</v>
      </c>
    </row>
    <row r="248" spans="1:9" ht="43.5" customHeight="1" x14ac:dyDescent="0.5">
      <c r="A248" s="2" t="s">
        <v>1144</v>
      </c>
      <c r="B248" s="2" t="s">
        <v>4459</v>
      </c>
      <c r="C248" s="2">
        <v>1</v>
      </c>
      <c r="D248" s="2" t="s">
        <v>117</v>
      </c>
      <c r="E248" s="2" t="s">
        <v>1066</v>
      </c>
      <c r="F248" s="2" t="s">
        <v>4211</v>
      </c>
      <c r="G248" s="2" t="s">
        <v>274</v>
      </c>
      <c r="H248" s="2" t="s">
        <v>4212</v>
      </c>
      <c r="I248" s="2" t="s">
        <v>4213</v>
      </c>
    </row>
    <row r="249" spans="1:9" ht="43.5" customHeight="1" x14ac:dyDescent="0.5">
      <c r="A249" s="2" t="s">
        <v>1146</v>
      </c>
      <c r="B249" s="2" t="s">
        <v>4460</v>
      </c>
      <c r="C249" s="2">
        <v>1</v>
      </c>
      <c r="D249" s="2" t="s">
        <v>117</v>
      </c>
      <c r="E249" s="2" t="s">
        <v>1069</v>
      </c>
      <c r="F249" s="2" t="s">
        <v>4211</v>
      </c>
      <c r="G249" s="2" t="s">
        <v>297</v>
      </c>
      <c r="H249" s="2" t="s">
        <v>4212</v>
      </c>
      <c r="I249" s="2" t="s">
        <v>4213</v>
      </c>
    </row>
    <row r="250" spans="1:9" ht="43.5" customHeight="1" x14ac:dyDescent="0.5">
      <c r="A250" s="2" t="s">
        <v>1148</v>
      </c>
      <c r="B250" s="2" t="s">
        <v>4461</v>
      </c>
      <c r="C250" s="2">
        <v>1</v>
      </c>
      <c r="D250" s="2" t="s">
        <v>117</v>
      </c>
      <c r="E250" s="2" t="s">
        <v>1072</v>
      </c>
      <c r="F250" s="2" t="s">
        <v>4211</v>
      </c>
      <c r="G250" s="2" t="s">
        <v>297</v>
      </c>
      <c r="H250" s="2" t="s">
        <v>4212</v>
      </c>
      <c r="I250" s="2" t="s">
        <v>4213</v>
      </c>
    </row>
    <row r="251" spans="1:9" ht="43.5" customHeight="1" x14ac:dyDescent="0.5">
      <c r="A251" s="2" t="s">
        <v>1150</v>
      </c>
      <c r="B251" s="2" t="s">
        <v>4462</v>
      </c>
      <c r="C251" s="2">
        <v>1</v>
      </c>
      <c r="D251" s="2" t="s">
        <v>117</v>
      </c>
      <c r="E251" s="2" t="s">
        <v>1075</v>
      </c>
      <c r="F251" s="2" t="s">
        <v>4211</v>
      </c>
      <c r="G251" s="2" t="s">
        <v>297</v>
      </c>
      <c r="H251" s="2" t="s">
        <v>4212</v>
      </c>
      <c r="I251" s="2" t="s">
        <v>4213</v>
      </c>
    </row>
    <row r="252" spans="1:9" ht="43.5" customHeight="1" x14ac:dyDescent="0.5">
      <c r="A252" s="2" t="s">
        <v>1152</v>
      </c>
      <c r="B252" s="2" t="s">
        <v>4463</v>
      </c>
      <c r="C252" s="2">
        <v>1</v>
      </c>
      <c r="D252" s="2" t="s">
        <v>117</v>
      </c>
      <c r="E252" s="2" t="s">
        <v>1078</v>
      </c>
      <c r="F252" s="2" t="s">
        <v>4211</v>
      </c>
      <c r="G252" s="2" t="s">
        <v>297</v>
      </c>
      <c r="H252" s="2" t="s">
        <v>4212</v>
      </c>
      <c r="I252" s="2" t="s">
        <v>4213</v>
      </c>
    </row>
    <row r="253" spans="1:9" ht="43.5" customHeight="1" x14ac:dyDescent="0.5">
      <c r="A253" s="2" t="s">
        <v>1154</v>
      </c>
      <c r="B253" s="2" t="s">
        <v>4464</v>
      </c>
      <c r="C253" s="2">
        <v>1</v>
      </c>
      <c r="D253" s="2" t="s">
        <v>117</v>
      </c>
      <c r="E253" s="2" t="s">
        <v>1081</v>
      </c>
      <c r="F253" s="2" t="s">
        <v>4211</v>
      </c>
      <c r="G253" s="2" t="s">
        <v>274</v>
      </c>
      <c r="H253" s="2" t="s">
        <v>4212</v>
      </c>
      <c r="I253" s="2" t="s">
        <v>4213</v>
      </c>
    </row>
    <row r="254" spans="1:9" ht="43.5" customHeight="1" x14ac:dyDescent="0.5">
      <c r="A254" s="2" t="s">
        <v>1157</v>
      </c>
      <c r="B254" s="2" t="s">
        <v>4465</v>
      </c>
      <c r="C254" s="2">
        <v>1</v>
      </c>
      <c r="D254" s="2" t="s">
        <v>117</v>
      </c>
      <c r="E254" s="2" t="s">
        <v>1084</v>
      </c>
      <c r="F254" s="2" t="s">
        <v>4211</v>
      </c>
      <c r="G254" s="2" t="s">
        <v>274</v>
      </c>
      <c r="H254" s="2" t="s">
        <v>4212</v>
      </c>
      <c r="I254" s="2" t="s">
        <v>4213</v>
      </c>
    </row>
    <row r="255" spans="1:9" ht="43.5" customHeight="1" x14ac:dyDescent="0.5">
      <c r="A255" s="2" t="s">
        <v>1159</v>
      </c>
      <c r="B255" s="2" t="s">
        <v>4466</v>
      </c>
      <c r="C255" s="2">
        <v>1</v>
      </c>
      <c r="D255" s="2" t="s">
        <v>117</v>
      </c>
      <c r="E255" s="2" t="s">
        <v>1087</v>
      </c>
      <c r="F255" s="2" t="s">
        <v>4211</v>
      </c>
      <c r="G255" s="2" t="s">
        <v>297</v>
      </c>
      <c r="H255" s="2" t="s">
        <v>4212</v>
      </c>
      <c r="I255" s="2" t="s">
        <v>4213</v>
      </c>
    </row>
    <row r="256" spans="1:9" ht="43.5" customHeight="1" x14ac:dyDescent="0.5">
      <c r="A256" s="2" t="s">
        <v>1161</v>
      </c>
      <c r="B256" s="2" t="s">
        <v>4467</v>
      </c>
      <c r="C256" s="2">
        <v>1</v>
      </c>
      <c r="D256" s="2" t="s">
        <v>117</v>
      </c>
      <c r="E256" s="2" t="s">
        <v>1090</v>
      </c>
      <c r="F256" s="2" t="s">
        <v>4211</v>
      </c>
      <c r="G256" s="2" t="s">
        <v>297</v>
      </c>
      <c r="H256" s="2" t="s">
        <v>4212</v>
      </c>
      <c r="I256" s="2" t="s">
        <v>4213</v>
      </c>
    </row>
    <row r="257" spans="1:9" ht="43.5" customHeight="1" x14ac:dyDescent="0.5">
      <c r="A257" s="2" t="s">
        <v>1163</v>
      </c>
      <c r="B257" s="2" t="s">
        <v>4468</v>
      </c>
      <c r="C257" s="2">
        <v>1</v>
      </c>
      <c r="D257" s="2" t="s">
        <v>117</v>
      </c>
      <c r="E257" s="2" t="s">
        <v>1093</v>
      </c>
      <c r="F257" s="2" t="s">
        <v>4211</v>
      </c>
      <c r="G257" s="2" t="s">
        <v>297</v>
      </c>
      <c r="H257" s="2" t="s">
        <v>4212</v>
      </c>
      <c r="I257" s="2" t="s">
        <v>4213</v>
      </c>
    </row>
    <row r="258" spans="1:9" ht="43.5" customHeight="1" x14ac:dyDescent="0.5">
      <c r="A258" s="2" t="s">
        <v>1165</v>
      </c>
      <c r="B258" s="2" t="s">
        <v>4469</v>
      </c>
      <c r="C258" s="2">
        <v>1</v>
      </c>
      <c r="D258" s="2" t="s">
        <v>117</v>
      </c>
      <c r="E258" s="2" t="s">
        <v>1096</v>
      </c>
      <c r="F258" s="2" t="s">
        <v>4211</v>
      </c>
      <c r="G258" s="2" t="s">
        <v>297</v>
      </c>
      <c r="H258" s="2" t="s">
        <v>4212</v>
      </c>
      <c r="I258" s="2" t="s">
        <v>4213</v>
      </c>
    </row>
    <row r="259" spans="1:9" ht="43.5" customHeight="1" x14ac:dyDescent="0.5">
      <c r="A259" s="2" t="s">
        <v>1167</v>
      </c>
      <c r="B259" s="2" t="s">
        <v>4470</v>
      </c>
      <c r="C259" s="2">
        <v>1</v>
      </c>
      <c r="D259" s="2" t="s">
        <v>121</v>
      </c>
      <c r="E259" s="2" t="s">
        <v>1168</v>
      </c>
      <c r="F259" s="2" t="s">
        <v>4211</v>
      </c>
      <c r="G259" s="2" t="s">
        <v>274</v>
      </c>
      <c r="H259" s="2" t="s">
        <v>4212</v>
      </c>
      <c r="I259" s="2" t="s">
        <v>4213</v>
      </c>
    </row>
    <row r="260" spans="1:9" ht="43.5" customHeight="1" x14ac:dyDescent="0.5">
      <c r="A260" s="2" t="s">
        <v>1173</v>
      </c>
      <c r="B260" s="2" t="s">
        <v>4471</v>
      </c>
      <c r="C260" s="2">
        <v>1</v>
      </c>
      <c r="D260" s="2" t="s">
        <v>121</v>
      </c>
      <c r="E260" s="2" t="s">
        <v>1174</v>
      </c>
      <c r="F260" s="2" t="s">
        <v>4211</v>
      </c>
      <c r="G260" s="2" t="s">
        <v>274</v>
      </c>
      <c r="H260" s="2" t="s">
        <v>4212</v>
      </c>
      <c r="I260" s="2" t="s">
        <v>4213</v>
      </c>
    </row>
    <row r="261" spans="1:9" ht="43.5" customHeight="1" x14ac:dyDescent="0.5">
      <c r="A261" s="2" t="s">
        <v>1176</v>
      </c>
      <c r="B261" s="2" t="s">
        <v>4472</v>
      </c>
      <c r="C261" s="2">
        <v>1</v>
      </c>
      <c r="D261" s="2" t="s">
        <v>121</v>
      </c>
      <c r="E261" s="2" t="s">
        <v>1177</v>
      </c>
      <c r="F261" s="2" t="s">
        <v>4211</v>
      </c>
      <c r="G261" s="2" t="s">
        <v>297</v>
      </c>
      <c r="H261" s="2" t="s">
        <v>4212</v>
      </c>
      <c r="I261" s="2" t="s">
        <v>4213</v>
      </c>
    </row>
    <row r="262" spans="1:9" ht="43.5" customHeight="1" x14ac:dyDescent="0.5">
      <c r="A262" s="2" t="s">
        <v>1181</v>
      </c>
      <c r="B262" s="2" t="s">
        <v>4473</v>
      </c>
      <c r="C262" s="2">
        <v>1</v>
      </c>
      <c r="D262" s="2" t="s">
        <v>121</v>
      </c>
      <c r="E262" s="2" t="s">
        <v>1182</v>
      </c>
      <c r="F262" s="2" t="s">
        <v>4211</v>
      </c>
      <c r="G262" s="2" t="s">
        <v>297</v>
      </c>
      <c r="H262" s="2" t="s">
        <v>4212</v>
      </c>
      <c r="I262" s="2" t="s">
        <v>4213</v>
      </c>
    </row>
    <row r="263" spans="1:9" ht="43.5" customHeight="1" x14ac:dyDescent="0.5">
      <c r="A263" s="2" t="s">
        <v>1188</v>
      </c>
      <c r="B263" s="2" t="s">
        <v>4474</v>
      </c>
      <c r="C263" s="2">
        <v>1</v>
      </c>
      <c r="D263" s="2" t="s">
        <v>126</v>
      </c>
      <c r="E263" s="2" t="s">
        <v>1168</v>
      </c>
      <c r="F263" s="2" t="s">
        <v>4211</v>
      </c>
      <c r="G263" s="2" t="s">
        <v>274</v>
      </c>
      <c r="H263" s="2" t="s">
        <v>4212</v>
      </c>
      <c r="I263" s="2" t="s">
        <v>4213</v>
      </c>
    </row>
    <row r="264" spans="1:9" ht="43.5" customHeight="1" x14ac:dyDescent="0.5">
      <c r="A264" s="2" t="s">
        <v>1193</v>
      </c>
      <c r="B264" s="2" t="s">
        <v>4475</v>
      </c>
      <c r="C264" s="2">
        <v>1</v>
      </c>
      <c r="D264" s="2" t="s">
        <v>126</v>
      </c>
      <c r="E264" s="2" t="s">
        <v>1174</v>
      </c>
      <c r="F264" s="2" t="s">
        <v>4211</v>
      </c>
      <c r="G264" s="2" t="s">
        <v>274</v>
      </c>
      <c r="H264" s="2" t="s">
        <v>4212</v>
      </c>
      <c r="I264" s="2" t="s">
        <v>4213</v>
      </c>
    </row>
    <row r="265" spans="1:9" ht="43.5" customHeight="1" x14ac:dyDescent="0.5">
      <c r="A265" s="2" t="s">
        <v>1195</v>
      </c>
      <c r="B265" s="2" t="s">
        <v>4476</v>
      </c>
      <c r="C265" s="2">
        <v>1</v>
      </c>
      <c r="D265" s="2" t="s">
        <v>126</v>
      </c>
      <c r="E265" s="2" t="s">
        <v>1177</v>
      </c>
      <c r="F265" s="2" t="s">
        <v>4211</v>
      </c>
      <c r="G265" s="2" t="s">
        <v>297</v>
      </c>
      <c r="H265" s="2" t="s">
        <v>4212</v>
      </c>
      <c r="I265" s="2" t="s">
        <v>4213</v>
      </c>
    </row>
    <row r="266" spans="1:9" ht="43.5" customHeight="1" x14ac:dyDescent="0.5">
      <c r="A266" s="2" t="s">
        <v>1199</v>
      </c>
      <c r="B266" s="2" t="s">
        <v>4477</v>
      </c>
      <c r="C266" s="2">
        <v>1</v>
      </c>
      <c r="D266" s="2" t="s">
        <v>126</v>
      </c>
      <c r="E266" s="2" t="s">
        <v>1200</v>
      </c>
      <c r="F266" s="2" t="s">
        <v>4211</v>
      </c>
      <c r="G266" s="2" t="s">
        <v>297</v>
      </c>
      <c r="H266" s="2" t="s">
        <v>4212</v>
      </c>
      <c r="I266" s="2" t="s">
        <v>4213</v>
      </c>
    </row>
    <row r="267" spans="1:9" ht="43.5" customHeight="1" x14ac:dyDescent="0.5">
      <c r="A267" s="2" t="s">
        <v>1204</v>
      </c>
      <c r="B267" s="2" t="s">
        <v>4478</v>
      </c>
      <c r="C267" s="2">
        <v>1</v>
      </c>
      <c r="D267" s="2" t="s">
        <v>129</v>
      </c>
      <c r="E267" s="2" t="s">
        <v>1168</v>
      </c>
      <c r="F267" s="2" t="s">
        <v>4211</v>
      </c>
      <c r="G267" s="2" t="s">
        <v>274</v>
      </c>
      <c r="H267" s="2" t="s">
        <v>4212</v>
      </c>
      <c r="I267" s="2" t="s">
        <v>4213</v>
      </c>
    </row>
    <row r="268" spans="1:9" ht="43.5" customHeight="1" x14ac:dyDescent="0.5">
      <c r="A268" s="2" t="s">
        <v>1207</v>
      </c>
      <c r="B268" s="2" t="s">
        <v>4479</v>
      </c>
      <c r="C268" s="2">
        <v>1</v>
      </c>
      <c r="D268" s="2" t="s">
        <v>129</v>
      </c>
      <c r="E268" s="2" t="s">
        <v>1174</v>
      </c>
      <c r="F268" s="2" t="s">
        <v>4211</v>
      </c>
      <c r="G268" s="2" t="s">
        <v>274</v>
      </c>
      <c r="H268" s="2" t="s">
        <v>4212</v>
      </c>
      <c r="I268" s="2" t="s">
        <v>4213</v>
      </c>
    </row>
    <row r="269" spans="1:9" ht="43.5" customHeight="1" x14ac:dyDescent="0.5">
      <c r="A269" s="2" t="s">
        <v>1209</v>
      </c>
      <c r="B269" s="2" t="s">
        <v>4480</v>
      </c>
      <c r="C269" s="2">
        <v>1</v>
      </c>
      <c r="D269" s="2" t="s">
        <v>129</v>
      </c>
      <c r="E269" s="2" t="s">
        <v>1177</v>
      </c>
      <c r="F269" s="2" t="s">
        <v>4211</v>
      </c>
      <c r="G269" s="2" t="s">
        <v>297</v>
      </c>
      <c r="H269" s="2" t="s">
        <v>4212</v>
      </c>
      <c r="I269" s="2" t="s">
        <v>4213</v>
      </c>
    </row>
    <row r="270" spans="1:9" ht="43.5" customHeight="1" x14ac:dyDescent="0.5">
      <c r="A270" s="2" t="s">
        <v>1213</v>
      </c>
      <c r="B270" s="2" t="s">
        <v>4481</v>
      </c>
      <c r="C270" s="2">
        <v>1</v>
      </c>
      <c r="D270" s="2" t="s">
        <v>129</v>
      </c>
      <c r="E270" s="2" t="s">
        <v>1182</v>
      </c>
      <c r="F270" s="2" t="s">
        <v>4211</v>
      </c>
      <c r="G270" s="2" t="s">
        <v>297</v>
      </c>
      <c r="H270" s="2" t="s">
        <v>4212</v>
      </c>
      <c r="I270" s="2" t="s">
        <v>4213</v>
      </c>
    </row>
    <row r="271" spans="1:9" ht="43.5" customHeight="1" x14ac:dyDescent="0.5">
      <c r="A271" s="2" t="s">
        <v>1217</v>
      </c>
      <c r="B271" s="2" t="s">
        <v>4482</v>
      </c>
      <c r="C271" s="2">
        <v>1</v>
      </c>
      <c r="D271" s="2" t="s">
        <v>131</v>
      </c>
      <c r="E271" s="2" t="s">
        <v>1168</v>
      </c>
      <c r="F271" s="2" t="s">
        <v>4211</v>
      </c>
      <c r="G271" s="2" t="s">
        <v>274</v>
      </c>
      <c r="H271" s="2" t="s">
        <v>4212</v>
      </c>
      <c r="I271" s="2" t="s">
        <v>4213</v>
      </c>
    </row>
    <row r="272" spans="1:9" ht="43.5" customHeight="1" x14ac:dyDescent="0.5">
      <c r="A272" s="2" t="s">
        <v>1220</v>
      </c>
      <c r="B272" s="2" t="s">
        <v>4483</v>
      </c>
      <c r="C272" s="2">
        <v>1</v>
      </c>
      <c r="D272" s="2" t="s">
        <v>131</v>
      </c>
      <c r="E272" s="2" t="s">
        <v>1174</v>
      </c>
      <c r="F272" s="2" t="s">
        <v>4211</v>
      </c>
      <c r="G272" s="2" t="s">
        <v>274</v>
      </c>
      <c r="H272" s="2" t="s">
        <v>4212</v>
      </c>
      <c r="I272" s="2" t="s">
        <v>4213</v>
      </c>
    </row>
    <row r="273" spans="1:9" ht="43.5" customHeight="1" x14ac:dyDescent="0.5">
      <c r="A273" s="2" t="s">
        <v>1222</v>
      </c>
      <c r="B273" s="2" t="s">
        <v>4484</v>
      </c>
      <c r="C273" s="2">
        <v>1</v>
      </c>
      <c r="D273" s="2" t="s">
        <v>131</v>
      </c>
      <c r="E273" s="2" t="s">
        <v>1177</v>
      </c>
      <c r="F273" s="2" t="s">
        <v>4211</v>
      </c>
      <c r="G273" s="2" t="s">
        <v>297</v>
      </c>
      <c r="H273" s="2" t="s">
        <v>4212</v>
      </c>
      <c r="I273" s="2" t="s">
        <v>4213</v>
      </c>
    </row>
    <row r="274" spans="1:9" ht="43.5" customHeight="1" x14ac:dyDescent="0.5">
      <c r="A274" s="2" t="s">
        <v>1224</v>
      </c>
      <c r="B274" s="2" t="s">
        <v>4485</v>
      </c>
      <c r="C274" s="2">
        <v>1</v>
      </c>
      <c r="D274" s="2" t="s">
        <v>131</v>
      </c>
      <c r="E274" s="2" t="s">
        <v>1182</v>
      </c>
      <c r="F274" s="2" t="s">
        <v>4211</v>
      </c>
      <c r="G274" s="2" t="s">
        <v>297</v>
      </c>
      <c r="H274" s="2" t="s">
        <v>4212</v>
      </c>
      <c r="I274" s="2" t="s">
        <v>4213</v>
      </c>
    </row>
    <row r="275" spans="1:9" ht="43.5" customHeight="1" x14ac:dyDescent="0.5">
      <c r="A275" s="2" t="s">
        <v>1226</v>
      </c>
      <c r="B275" s="2" t="s">
        <v>4486</v>
      </c>
      <c r="C275" s="2">
        <v>1</v>
      </c>
      <c r="D275" s="2" t="s">
        <v>135</v>
      </c>
      <c r="E275" s="2" t="s">
        <v>1168</v>
      </c>
      <c r="F275" s="2" t="s">
        <v>4211</v>
      </c>
      <c r="G275" s="2" t="s">
        <v>274</v>
      </c>
      <c r="H275" s="2" t="s">
        <v>4212</v>
      </c>
      <c r="I275" s="2" t="s">
        <v>4213</v>
      </c>
    </row>
    <row r="276" spans="1:9" ht="43.5" customHeight="1" x14ac:dyDescent="0.5">
      <c r="A276" s="2" t="s">
        <v>1229</v>
      </c>
      <c r="B276" s="2" t="s">
        <v>4487</v>
      </c>
      <c r="C276" s="2">
        <v>1</v>
      </c>
      <c r="D276" s="2" t="s">
        <v>135</v>
      </c>
      <c r="E276" s="2" t="s">
        <v>1174</v>
      </c>
      <c r="F276" s="2" t="s">
        <v>4211</v>
      </c>
      <c r="G276" s="2" t="s">
        <v>274</v>
      </c>
      <c r="H276" s="2" t="s">
        <v>4212</v>
      </c>
      <c r="I276" s="2" t="s">
        <v>4213</v>
      </c>
    </row>
    <row r="277" spans="1:9" ht="43.5" customHeight="1" x14ac:dyDescent="0.5">
      <c r="A277" s="2" t="s">
        <v>1231</v>
      </c>
      <c r="B277" s="2" t="s">
        <v>4488</v>
      </c>
      <c r="C277" s="2">
        <v>1</v>
      </c>
      <c r="D277" s="2" t="s">
        <v>135</v>
      </c>
      <c r="E277" s="2" t="s">
        <v>1177</v>
      </c>
      <c r="F277" s="2" t="s">
        <v>4211</v>
      </c>
      <c r="G277" s="2" t="s">
        <v>297</v>
      </c>
      <c r="H277" s="2" t="s">
        <v>4212</v>
      </c>
      <c r="I277" s="2" t="s">
        <v>4213</v>
      </c>
    </row>
    <row r="278" spans="1:9" ht="43.5" customHeight="1" x14ac:dyDescent="0.5">
      <c r="A278" s="2" t="s">
        <v>1233</v>
      </c>
      <c r="B278" s="2" t="s">
        <v>4489</v>
      </c>
      <c r="C278" s="2">
        <v>1</v>
      </c>
      <c r="D278" s="2" t="s">
        <v>135</v>
      </c>
      <c r="E278" s="2" t="s">
        <v>1182</v>
      </c>
      <c r="F278" s="2" t="s">
        <v>4211</v>
      </c>
      <c r="G278" s="2" t="s">
        <v>297</v>
      </c>
      <c r="H278" s="2" t="s">
        <v>4212</v>
      </c>
      <c r="I278" s="2" t="s">
        <v>4213</v>
      </c>
    </row>
    <row r="279" spans="1:9" ht="43.5" customHeight="1" x14ac:dyDescent="0.5">
      <c r="A279" s="2" t="s">
        <v>1235</v>
      </c>
      <c r="B279" s="2" t="s">
        <v>4490</v>
      </c>
      <c r="C279" s="2">
        <v>1</v>
      </c>
      <c r="D279" s="2" t="s">
        <v>137</v>
      </c>
      <c r="E279" s="2" t="s">
        <v>1168</v>
      </c>
      <c r="F279" s="2" t="s">
        <v>4211</v>
      </c>
      <c r="G279" s="2" t="s">
        <v>274</v>
      </c>
      <c r="H279" s="2" t="s">
        <v>4212</v>
      </c>
      <c r="I279" s="2" t="s">
        <v>4213</v>
      </c>
    </row>
    <row r="280" spans="1:9" ht="43.5" customHeight="1" x14ac:dyDescent="0.5">
      <c r="A280" s="2" t="s">
        <v>1240</v>
      </c>
      <c r="B280" s="2" t="s">
        <v>4491</v>
      </c>
      <c r="C280" s="2">
        <v>1</v>
      </c>
      <c r="D280" s="2" t="s">
        <v>137</v>
      </c>
      <c r="E280" s="2" t="s">
        <v>1174</v>
      </c>
      <c r="F280" s="2" t="s">
        <v>4211</v>
      </c>
      <c r="G280" s="2" t="s">
        <v>274</v>
      </c>
      <c r="H280" s="2" t="s">
        <v>4212</v>
      </c>
      <c r="I280" s="2" t="s">
        <v>4213</v>
      </c>
    </row>
    <row r="281" spans="1:9" ht="43.5" customHeight="1" x14ac:dyDescent="0.5">
      <c r="A281" s="2" t="s">
        <v>1242</v>
      </c>
      <c r="B281" s="2" t="s">
        <v>4492</v>
      </c>
      <c r="C281" s="2">
        <v>1</v>
      </c>
      <c r="D281" s="2" t="s">
        <v>137</v>
      </c>
      <c r="E281" s="2" t="s">
        <v>1177</v>
      </c>
      <c r="F281" s="2" t="s">
        <v>4211</v>
      </c>
      <c r="G281" s="2" t="s">
        <v>297</v>
      </c>
      <c r="H281" s="2" t="s">
        <v>4212</v>
      </c>
      <c r="I281" s="2" t="s">
        <v>4213</v>
      </c>
    </row>
    <row r="282" spans="1:9" ht="43.5" customHeight="1" x14ac:dyDescent="0.5">
      <c r="A282" s="2" t="s">
        <v>1244</v>
      </c>
      <c r="B282" s="2" t="s">
        <v>4493</v>
      </c>
      <c r="C282" s="2">
        <v>1</v>
      </c>
      <c r="D282" s="2" t="s">
        <v>137</v>
      </c>
      <c r="E282" s="2" t="s">
        <v>1182</v>
      </c>
      <c r="F282" s="2" t="s">
        <v>4211</v>
      </c>
      <c r="G282" s="2" t="s">
        <v>297</v>
      </c>
      <c r="H282" s="2" t="s">
        <v>4212</v>
      </c>
      <c r="I282" s="2" t="s">
        <v>4213</v>
      </c>
    </row>
    <row r="283" spans="1:9" ht="43.5" customHeight="1" x14ac:dyDescent="0.5">
      <c r="A283" s="2" t="s">
        <v>1246</v>
      </c>
      <c r="B283" s="2" t="s">
        <v>4494</v>
      </c>
      <c r="C283" s="2">
        <v>1</v>
      </c>
      <c r="D283" s="2" t="s">
        <v>140</v>
      </c>
      <c r="E283" s="2" t="s">
        <v>1168</v>
      </c>
      <c r="F283" s="2" t="s">
        <v>4211</v>
      </c>
      <c r="G283" s="2" t="s">
        <v>274</v>
      </c>
      <c r="H283" s="2" t="s">
        <v>4212</v>
      </c>
      <c r="I283" s="2" t="s">
        <v>4213</v>
      </c>
    </row>
    <row r="284" spans="1:9" ht="43.5" customHeight="1" x14ac:dyDescent="0.5">
      <c r="A284" s="2" t="s">
        <v>1249</v>
      </c>
      <c r="B284" s="2" t="s">
        <v>4495</v>
      </c>
      <c r="C284" s="2">
        <v>1</v>
      </c>
      <c r="D284" s="2" t="s">
        <v>140</v>
      </c>
      <c r="E284" s="2" t="s">
        <v>1174</v>
      </c>
      <c r="F284" s="2" t="s">
        <v>4211</v>
      </c>
      <c r="G284" s="2" t="s">
        <v>274</v>
      </c>
      <c r="H284" s="2" t="s">
        <v>4212</v>
      </c>
      <c r="I284" s="2" t="s">
        <v>4213</v>
      </c>
    </row>
    <row r="285" spans="1:9" ht="43.5" customHeight="1" x14ac:dyDescent="0.5">
      <c r="A285" s="2" t="s">
        <v>1251</v>
      </c>
      <c r="B285" s="2" t="s">
        <v>4496</v>
      </c>
      <c r="C285" s="2">
        <v>1</v>
      </c>
      <c r="D285" s="2" t="s">
        <v>140</v>
      </c>
      <c r="E285" s="2" t="s">
        <v>1177</v>
      </c>
      <c r="F285" s="2" t="s">
        <v>4211</v>
      </c>
      <c r="G285" s="2" t="s">
        <v>297</v>
      </c>
      <c r="H285" s="2" t="s">
        <v>4212</v>
      </c>
      <c r="I285" s="2" t="s">
        <v>4213</v>
      </c>
    </row>
    <row r="286" spans="1:9" ht="43.5" customHeight="1" x14ac:dyDescent="0.5">
      <c r="A286" s="2" t="s">
        <v>1253</v>
      </c>
      <c r="B286" s="2" t="s">
        <v>4497</v>
      </c>
      <c r="C286" s="2">
        <v>1</v>
      </c>
      <c r="D286" s="2" t="s">
        <v>140</v>
      </c>
      <c r="E286" s="2" t="s">
        <v>1182</v>
      </c>
      <c r="F286" s="2" t="s">
        <v>4211</v>
      </c>
      <c r="G286" s="2" t="s">
        <v>297</v>
      </c>
      <c r="H286" s="2" t="s">
        <v>4212</v>
      </c>
      <c r="I286" s="2" t="s">
        <v>4213</v>
      </c>
    </row>
    <row r="287" spans="1:9" ht="43.5" customHeight="1" x14ac:dyDescent="0.5">
      <c r="A287" s="2" t="s">
        <v>1255</v>
      </c>
      <c r="B287" s="2" t="s">
        <v>4498</v>
      </c>
      <c r="C287" s="2">
        <v>1</v>
      </c>
      <c r="D287" s="2" t="s">
        <v>142</v>
      </c>
      <c r="E287" s="2" t="s">
        <v>1168</v>
      </c>
      <c r="F287" s="2" t="s">
        <v>4211</v>
      </c>
      <c r="G287" s="2" t="s">
        <v>274</v>
      </c>
      <c r="H287" s="2" t="s">
        <v>4212</v>
      </c>
      <c r="I287" s="2" t="s">
        <v>4213</v>
      </c>
    </row>
    <row r="288" spans="1:9" ht="43.5" customHeight="1" x14ac:dyDescent="0.5">
      <c r="A288" s="2" t="s">
        <v>1258</v>
      </c>
      <c r="B288" s="2" t="s">
        <v>4499</v>
      </c>
      <c r="C288" s="2">
        <v>1</v>
      </c>
      <c r="D288" s="2" t="s">
        <v>142</v>
      </c>
      <c r="E288" s="2" t="s">
        <v>1174</v>
      </c>
      <c r="F288" s="2" t="s">
        <v>4211</v>
      </c>
      <c r="G288" s="2" t="s">
        <v>274</v>
      </c>
      <c r="H288" s="2" t="s">
        <v>4212</v>
      </c>
      <c r="I288" s="2" t="s">
        <v>4213</v>
      </c>
    </row>
    <row r="289" spans="1:9" ht="43.5" customHeight="1" x14ac:dyDescent="0.5">
      <c r="A289" s="2" t="s">
        <v>1260</v>
      </c>
      <c r="B289" s="2" t="s">
        <v>4500</v>
      </c>
      <c r="C289" s="2">
        <v>1</v>
      </c>
      <c r="D289" s="2" t="s">
        <v>142</v>
      </c>
      <c r="E289" s="2" t="s">
        <v>1177</v>
      </c>
      <c r="F289" s="2" t="s">
        <v>4211</v>
      </c>
      <c r="G289" s="2" t="s">
        <v>297</v>
      </c>
      <c r="H289" s="2" t="s">
        <v>4212</v>
      </c>
      <c r="I289" s="2" t="s">
        <v>4213</v>
      </c>
    </row>
    <row r="290" spans="1:9" ht="43.5" customHeight="1" x14ac:dyDescent="0.5">
      <c r="A290" s="2" t="s">
        <v>1262</v>
      </c>
      <c r="B290" s="2" t="s">
        <v>4501</v>
      </c>
      <c r="C290" s="2">
        <v>1</v>
      </c>
      <c r="D290" s="2" t="s">
        <v>142</v>
      </c>
      <c r="E290" s="2" t="s">
        <v>1182</v>
      </c>
      <c r="F290" s="2" t="s">
        <v>4211</v>
      </c>
      <c r="G290" s="2" t="s">
        <v>297</v>
      </c>
      <c r="H290" s="2" t="s">
        <v>4212</v>
      </c>
      <c r="I290" s="2" t="s">
        <v>4213</v>
      </c>
    </row>
    <row r="291" spans="1:9" ht="43.5" customHeight="1" x14ac:dyDescent="0.5">
      <c r="A291" s="2" t="s">
        <v>1264</v>
      </c>
      <c r="B291" s="2" t="s">
        <v>4502</v>
      </c>
      <c r="C291" s="2">
        <v>1</v>
      </c>
      <c r="D291" s="2" t="s">
        <v>144</v>
      </c>
      <c r="E291" s="2" t="s">
        <v>1168</v>
      </c>
      <c r="F291" s="2" t="s">
        <v>4211</v>
      </c>
      <c r="G291" s="2" t="s">
        <v>274</v>
      </c>
      <c r="H291" s="2" t="s">
        <v>4212</v>
      </c>
      <c r="I291" s="2" t="s">
        <v>4213</v>
      </c>
    </row>
    <row r="292" spans="1:9" ht="43.5" customHeight="1" x14ac:dyDescent="0.5">
      <c r="A292" s="2" t="s">
        <v>1268</v>
      </c>
      <c r="B292" s="2" t="s">
        <v>4503</v>
      </c>
      <c r="C292" s="2">
        <v>1</v>
      </c>
      <c r="D292" s="2" t="s">
        <v>144</v>
      </c>
      <c r="E292" s="2" t="s">
        <v>1269</v>
      </c>
      <c r="F292" s="2" t="s">
        <v>4211</v>
      </c>
      <c r="G292" s="2" t="s">
        <v>274</v>
      </c>
      <c r="H292" s="2" t="s">
        <v>4212</v>
      </c>
      <c r="I292" s="2" t="s">
        <v>4213</v>
      </c>
    </row>
    <row r="293" spans="1:9" ht="43.5" customHeight="1" x14ac:dyDescent="0.5">
      <c r="A293" s="2" t="s">
        <v>1274</v>
      </c>
      <c r="B293" s="2" t="s">
        <v>4504</v>
      </c>
      <c r="C293" s="2">
        <v>1</v>
      </c>
      <c r="D293" s="2" t="s">
        <v>144</v>
      </c>
      <c r="E293" s="2" t="s">
        <v>1174</v>
      </c>
      <c r="F293" s="2" t="s">
        <v>4211</v>
      </c>
      <c r="G293" s="2" t="s">
        <v>274</v>
      </c>
      <c r="H293" s="2" t="s">
        <v>4212</v>
      </c>
      <c r="I293" s="2" t="s">
        <v>4213</v>
      </c>
    </row>
    <row r="294" spans="1:9" ht="43.5" customHeight="1" x14ac:dyDescent="0.5">
      <c r="A294" s="2" t="s">
        <v>1276</v>
      </c>
      <c r="B294" s="2" t="s">
        <v>4505</v>
      </c>
      <c r="C294" s="2">
        <v>1</v>
      </c>
      <c r="D294" s="2" t="s">
        <v>144</v>
      </c>
      <c r="E294" s="2" t="s">
        <v>1177</v>
      </c>
      <c r="F294" s="2" t="s">
        <v>4211</v>
      </c>
      <c r="G294" s="2" t="s">
        <v>297</v>
      </c>
      <c r="H294" s="2" t="s">
        <v>4212</v>
      </c>
      <c r="I294" s="2" t="s">
        <v>4213</v>
      </c>
    </row>
    <row r="295" spans="1:9" ht="43.5" customHeight="1" x14ac:dyDescent="0.5">
      <c r="A295" s="2" t="s">
        <v>1280</v>
      </c>
      <c r="B295" s="2" t="s">
        <v>4506</v>
      </c>
      <c r="C295" s="2">
        <v>1</v>
      </c>
      <c r="D295" s="2" t="s">
        <v>144</v>
      </c>
      <c r="E295" s="2" t="s">
        <v>1182</v>
      </c>
      <c r="F295" s="2" t="s">
        <v>4211</v>
      </c>
      <c r="G295" s="2" t="s">
        <v>297</v>
      </c>
      <c r="H295" s="2" t="s">
        <v>4212</v>
      </c>
      <c r="I295" s="2" t="s">
        <v>4213</v>
      </c>
    </row>
    <row r="296" spans="1:9" ht="43.5" customHeight="1" x14ac:dyDescent="0.5">
      <c r="A296" s="2" t="s">
        <v>1284</v>
      </c>
      <c r="B296" s="2" t="s">
        <v>4507</v>
      </c>
      <c r="C296" s="2">
        <v>1</v>
      </c>
      <c r="D296" s="2" t="s">
        <v>147</v>
      </c>
      <c r="E296" s="2" t="s">
        <v>1168</v>
      </c>
      <c r="F296" s="2" t="s">
        <v>4211</v>
      </c>
      <c r="G296" s="2" t="s">
        <v>274</v>
      </c>
      <c r="H296" s="2" t="s">
        <v>4212</v>
      </c>
      <c r="I296" s="2" t="s">
        <v>4213</v>
      </c>
    </row>
    <row r="297" spans="1:9" ht="43.5" customHeight="1" x14ac:dyDescent="0.5">
      <c r="A297" s="2" t="s">
        <v>1287</v>
      </c>
      <c r="B297" s="2" t="s">
        <v>4508</v>
      </c>
      <c r="C297" s="2">
        <v>1</v>
      </c>
      <c r="D297" s="2" t="s">
        <v>147</v>
      </c>
      <c r="E297" s="2" t="s">
        <v>1174</v>
      </c>
      <c r="F297" s="2" t="s">
        <v>4211</v>
      </c>
      <c r="G297" s="2" t="s">
        <v>274</v>
      </c>
      <c r="H297" s="2" t="s">
        <v>4212</v>
      </c>
      <c r="I297" s="2" t="s">
        <v>4213</v>
      </c>
    </row>
    <row r="298" spans="1:9" ht="43.5" customHeight="1" x14ac:dyDescent="0.5">
      <c r="A298" s="2" t="s">
        <v>1289</v>
      </c>
      <c r="B298" s="2" t="s">
        <v>4509</v>
      </c>
      <c r="C298" s="2">
        <v>1</v>
      </c>
      <c r="D298" s="2" t="s">
        <v>147</v>
      </c>
      <c r="E298" s="2" t="s">
        <v>1177</v>
      </c>
      <c r="F298" s="2" t="s">
        <v>4211</v>
      </c>
      <c r="G298" s="2" t="s">
        <v>297</v>
      </c>
      <c r="H298" s="2" t="s">
        <v>4212</v>
      </c>
      <c r="I298" s="2" t="s">
        <v>4213</v>
      </c>
    </row>
    <row r="299" spans="1:9" ht="43.5" customHeight="1" x14ac:dyDescent="0.5">
      <c r="A299" s="2" t="s">
        <v>1291</v>
      </c>
      <c r="B299" s="2" t="s">
        <v>4510</v>
      </c>
      <c r="C299" s="2">
        <v>1</v>
      </c>
      <c r="D299" s="2" t="s">
        <v>147</v>
      </c>
      <c r="E299" s="2" t="s">
        <v>1182</v>
      </c>
      <c r="F299" s="2" t="s">
        <v>4211</v>
      </c>
      <c r="G299" s="2" t="s">
        <v>297</v>
      </c>
      <c r="H299" s="2" t="s">
        <v>4212</v>
      </c>
      <c r="I299" s="2" t="s">
        <v>4213</v>
      </c>
    </row>
    <row r="300" spans="1:9" ht="43.5" customHeight="1" x14ac:dyDescent="0.5">
      <c r="A300" s="2" t="s">
        <v>1293</v>
      </c>
      <c r="B300" s="2" t="s">
        <v>4511</v>
      </c>
      <c r="C300" s="2">
        <v>1</v>
      </c>
      <c r="D300" s="2" t="s">
        <v>149</v>
      </c>
      <c r="E300" s="2" t="s">
        <v>1168</v>
      </c>
      <c r="F300" s="2" t="s">
        <v>4211</v>
      </c>
      <c r="G300" s="2" t="s">
        <v>274</v>
      </c>
      <c r="H300" s="2" t="s">
        <v>4212</v>
      </c>
      <c r="I300" s="2" t="s">
        <v>4213</v>
      </c>
    </row>
    <row r="301" spans="1:9" ht="43.5" customHeight="1" x14ac:dyDescent="0.5">
      <c r="A301" s="2" t="s">
        <v>1296</v>
      </c>
      <c r="B301" s="2" t="s">
        <v>4512</v>
      </c>
      <c r="C301" s="2">
        <v>1</v>
      </c>
      <c r="D301" s="2" t="s">
        <v>149</v>
      </c>
      <c r="E301" s="2" t="s">
        <v>1174</v>
      </c>
      <c r="F301" s="2" t="s">
        <v>4211</v>
      </c>
      <c r="G301" s="2" t="s">
        <v>274</v>
      </c>
      <c r="H301" s="2" t="s">
        <v>4212</v>
      </c>
      <c r="I301" s="2" t="s">
        <v>4213</v>
      </c>
    </row>
    <row r="302" spans="1:9" ht="43.5" customHeight="1" x14ac:dyDescent="0.5">
      <c r="A302" s="2" t="s">
        <v>1298</v>
      </c>
      <c r="B302" s="2" t="s">
        <v>4513</v>
      </c>
      <c r="C302" s="2">
        <v>1</v>
      </c>
      <c r="D302" s="2" t="s">
        <v>149</v>
      </c>
      <c r="E302" s="2" t="s">
        <v>1177</v>
      </c>
      <c r="F302" s="2" t="s">
        <v>4211</v>
      </c>
      <c r="G302" s="2" t="s">
        <v>297</v>
      </c>
      <c r="H302" s="2" t="s">
        <v>4212</v>
      </c>
      <c r="I302" s="2" t="s">
        <v>4213</v>
      </c>
    </row>
    <row r="303" spans="1:9" ht="43.5" customHeight="1" x14ac:dyDescent="0.5">
      <c r="A303" s="2" t="s">
        <v>1300</v>
      </c>
      <c r="B303" s="2" t="s">
        <v>4514</v>
      </c>
      <c r="C303" s="2">
        <v>1</v>
      </c>
      <c r="D303" s="2" t="s">
        <v>149</v>
      </c>
      <c r="E303" s="2" t="s">
        <v>1182</v>
      </c>
      <c r="F303" s="2" t="s">
        <v>4211</v>
      </c>
      <c r="G303" s="2" t="s">
        <v>297</v>
      </c>
      <c r="H303" s="2" t="s">
        <v>4212</v>
      </c>
      <c r="I303" s="2" t="s">
        <v>4213</v>
      </c>
    </row>
    <row r="304" spans="1:9" ht="43.5" customHeight="1" x14ac:dyDescent="0.5">
      <c r="A304" s="2" t="s">
        <v>1302</v>
      </c>
      <c r="B304" s="2" t="s">
        <v>4515</v>
      </c>
      <c r="C304" s="2">
        <v>1</v>
      </c>
      <c r="D304" s="2" t="s">
        <v>121</v>
      </c>
      <c r="E304" s="2" t="s">
        <v>1303</v>
      </c>
      <c r="F304" s="2" t="s">
        <v>4211</v>
      </c>
      <c r="G304" s="2" t="s">
        <v>274</v>
      </c>
      <c r="H304" s="2" t="s">
        <v>4212</v>
      </c>
      <c r="I304" s="2" t="s">
        <v>4213</v>
      </c>
    </row>
    <row r="305" spans="1:9" ht="43.5" customHeight="1" x14ac:dyDescent="0.5">
      <c r="A305" s="2" t="s">
        <v>1310</v>
      </c>
      <c r="B305" s="2" t="s">
        <v>4516</v>
      </c>
      <c r="C305" s="2">
        <v>1</v>
      </c>
      <c r="D305" s="2" t="s">
        <v>121</v>
      </c>
      <c r="E305" s="2" t="s">
        <v>1311</v>
      </c>
      <c r="F305" s="2" t="s">
        <v>4211</v>
      </c>
      <c r="G305" s="2" t="s">
        <v>297</v>
      </c>
      <c r="H305" s="2" t="s">
        <v>4212</v>
      </c>
      <c r="I305" s="2" t="s">
        <v>4213</v>
      </c>
    </row>
    <row r="306" spans="1:9" ht="43.5" customHeight="1" x14ac:dyDescent="0.5">
      <c r="A306" s="2" t="s">
        <v>1318</v>
      </c>
      <c r="B306" s="2" t="s">
        <v>4517</v>
      </c>
      <c r="C306" s="2">
        <v>1</v>
      </c>
      <c r="D306" s="2" t="s">
        <v>126</v>
      </c>
      <c r="E306" s="2" t="s">
        <v>1319</v>
      </c>
      <c r="F306" s="2" t="s">
        <v>4211</v>
      </c>
      <c r="G306" s="2" t="s">
        <v>274</v>
      </c>
      <c r="H306" s="2" t="s">
        <v>4212</v>
      </c>
      <c r="I306" s="2" t="s">
        <v>4213</v>
      </c>
    </row>
    <row r="307" spans="1:9" ht="43.5" customHeight="1" x14ac:dyDescent="0.5">
      <c r="A307" s="2" t="s">
        <v>1324</v>
      </c>
      <c r="B307" s="2" t="s">
        <v>4518</v>
      </c>
      <c r="C307" s="2">
        <v>1</v>
      </c>
      <c r="D307" s="2" t="s">
        <v>126</v>
      </c>
      <c r="E307" s="2" t="s">
        <v>1325</v>
      </c>
      <c r="F307" s="2" t="s">
        <v>4211</v>
      </c>
      <c r="G307" s="2" t="s">
        <v>297</v>
      </c>
      <c r="H307" s="2" t="s">
        <v>4212</v>
      </c>
      <c r="I307" s="2" t="s">
        <v>4213</v>
      </c>
    </row>
    <row r="308" spans="1:9" ht="43.5" customHeight="1" x14ac:dyDescent="0.5">
      <c r="A308" s="2" t="s">
        <v>1331</v>
      </c>
      <c r="B308" s="2" t="s">
        <v>4519</v>
      </c>
      <c r="C308" s="2">
        <v>1</v>
      </c>
      <c r="D308" s="2" t="s">
        <v>140</v>
      </c>
      <c r="E308" s="2" t="s">
        <v>1332</v>
      </c>
      <c r="F308" s="2" t="s">
        <v>4211</v>
      </c>
      <c r="G308" s="2" t="s">
        <v>274</v>
      </c>
      <c r="H308" s="2" t="s">
        <v>4212</v>
      </c>
      <c r="I308" s="2" t="s">
        <v>4213</v>
      </c>
    </row>
    <row r="309" spans="1:9" ht="43.5" customHeight="1" x14ac:dyDescent="0.5">
      <c r="A309" s="2" t="s">
        <v>1338</v>
      </c>
      <c r="B309" s="2" t="s">
        <v>4520</v>
      </c>
      <c r="C309" s="2">
        <v>1</v>
      </c>
      <c r="D309" s="2" t="s">
        <v>140</v>
      </c>
      <c r="E309" s="2" t="s">
        <v>1339</v>
      </c>
      <c r="F309" s="2" t="s">
        <v>4211</v>
      </c>
      <c r="G309" s="2" t="s">
        <v>274</v>
      </c>
      <c r="H309" s="2" t="s">
        <v>4212</v>
      </c>
      <c r="I309" s="2" t="s">
        <v>4213</v>
      </c>
    </row>
    <row r="310" spans="1:9" ht="43.5" customHeight="1" x14ac:dyDescent="0.5">
      <c r="A310" s="2" t="s">
        <v>1344</v>
      </c>
      <c r="B310" s="2" t="s">
        <v>4521</v>
      </c>
      <c r="C310" s="2">
        <v>1</v>
      </c>
      <c r="D310" s="2" t="s">
        <v>140</v>
      </c>
      <c r="E310" s="2" t="s">
        <v>1345</v>
      </c>
      <c r="F310" s="2" t="s">
        <v>4211</v>
      </c>
      <c r="G310" s="2" t="s">
        <v>297</v>
      </c>
      <c r="H310" s="2" t="s">
        <v>4212</v>
      </c>
      <c r="I310" s="2" t="s">
        <v>4213</v>
      </c>
    </row>
    <row r="311" spans="1:9" ht="43.5" customHeight="1" x14ac:dyDescent="0.5">
      <c r="A311" s="2" t="s">
        <v>1350</v>
      </c>
      <c r="B311" s="2" t="s">
        <v>4522</v>
      </c>
      <c r="C311" s="2">
        <v>1</v>
      </c>
      <c r="D311" s="2" t="s">
        <v>147</v>
      </c>
      <c r="E311" s="2" t="s">
        <v>1319</v>
      </c>
      <c r="F311" s="2" t="s">
        <v>4211</v>
      </c>
      <c r="G311" s="2" t="s">
        <v>274</v>
      </c>
      <c r="H311" s="2" t="s">
        <v>4212</v>
      </c>
      <c r="I311" s="2" t="s">
        <v>4213</v>
      </c>
    </row>
    <row r="312" spans="1:9" ht="43.5" customHeight="1" x14ac:dyDescent="0.5">
      <c r="A312" s="2" t="s">
        <v>1353</v>
      </c>
      <c r="B312" s="2" t="s">
        <v>4523</v>
      </c>
      <c r="C312" s="2">
        <v>1</v>
      </c>
      <c r="D312" s="2" t="s">
        <v>147</v>
      </c>
      <c r="E312" s="2" t="s">
        <v>1325</v>
      </c>
      <c r="F312" s="2" t="s">
        <v>4211</v>
      </c>
      <c r="G312" s="2" t="s">
        <v>297</v>
      </c>
      <c r="H312" s="2" t="s">
        <v>4212</v>
      </c>
      <c r="I312" s="2" t="s">
        <v>4213</v>
      </c>
    </row>
    <row r="313" spans="1:9" ht="43.5" customHeight="1" x14ac:dyDescent="0.5">
      <c r="A313" s="2" t="s">
        <v>1356</v>
      </c>
      <c r="B313" s="2" t="s">
        <v>4524</v>
      </c>
      <c r="C313" s="2">
        <v>1</v>
      </c>
      <c r="D313" s="2" t="s">
        <v>149</v>
      </c>
      <c r="E313" s="2" t="s">
        <v>1319</v>
      </c>
      <c r="F313" s="2" t="s">
        <v>4211</v>
      </c>
      <c r="G313" s="2" t="s">
        <v>274</v>
      </c>
      <c r="H313" s="2" t="s">
        <v>4212</v>
      </c>
      <c r="I313" s="2" t="s">
        <v>4213</v>
      </c>
    </row>
    <row r="314" spans="1:9" ht="43.5" customHeight="1" x14ac:dyDescent="0.5">
      <c r="A314" s="2" t="s">
        <v>1359</v>
      </c>
      <c r="B314" s="2" t="s">
        <v>4525</v>
      </c>
      <c r="C314" s="2">
        <v>1</v>
      </c>
      <c r="D314" s="2" t="s">
        <v>149</v>
      </c>
      <c r="E314" s="2" t="s">
        <v>1360</v>
      </c>
      <c r="F314" s="2" t="s">
        <v>4211</v>
      </c>
      <c r="G314" s="2" t="s">
        <v>297</v>
      </c>
      <c r="H314" s="2" t="s">
        <v>4212</v>
      </c>
      <c r="I314" s="2" t="s">
        <v>4213</v>
      </c>
    </row>
    <row r="315" spans="1:9" ht="43.5" customHeight="1" x14ac:dyDescent="0.5">
      <c r="A315" s="2" t="s">
        <v>1362</v>
      </c>
      <c r="B315" s="2" t="s">
        <v>4526</v>
      </c>
      <c r="C315" s="2">
        <v>1</v>
      </c>
      <c r="D315" s="2" t="s">
        <v>75</v>
      </c>
      <c r="E315" s="2" t="s">
        <v>1363</v>
      </c>
      <c r="F315" s="2" t="s">
        <v>4211</v>
      </c>
      <c r="G315" s="2" t="s">
        <v>274</v>
      </c>
      <c r="H315" s="2" t="s">
        <v>4212</v>
      </c>
      <c r="I315" s="2" t="s">
        <v>4213</v>
      </c>
    </row>
    <row r="316" spans="1:9" ht="43.5" customHeight="1" x14ac:dyDescent="0.5">
      <c r="A316" s="2" t="s">
        <v>1371</v>
      </c>
      <c r="B316" s="2" t="s">
        <v>4527</v>
      </c>
      <c r="C316" s="2">
        <v>1</v>
      </c>
      <c r="D316" s="2" t="s">
        <v>81</v>
      </c>
      <c r="E316" s="2" t="s">
        <v>1363</v>
      </c>
      <c r="F316" s="2" t="s">
        <v>4211</v>
      </c>
      <c r="G316" s="2" t="s">
        <v>274</v>
      </c>
      <c r="H316" s="2" t="s">
        <v>4212</v>
      </c>
      <c r="I316" s="2" t="s">
        <v>4213</v>
      </c>
    </row>
    <row r="317" spans="1:9" ht="43.5" customHeight="1" x14ac:dyDescent="0.5">
      <c r="A317" s="2" t="s">
        <v>1374</v>
      </c>
      <c r="B317" s="2" t="s">
        <v>4528</v>
      </c>
      <c r="C317" s="2">
        <v>1</v>
      </c>
      <c r="D317" s="2" t="s">
        <v>84</v>
      </c>
      <c r="E317" s="2" t="s">
        <v>1363</v>
      </c>
      <c r="F317" s="2" t="s">
        <v>4211</v>
      </c>
      <c r="G317" s="2" t="s">
        <v>274</v>
      </c>
      <c r="H317" s="2" t="s">
        <v>4212</v>
      </c>
      <c r="I317" s="2" t="s">
        <v>4213</v>
      </c>
    </row>
    <row r="318" spans="1:9" ht="43.5" customHeight="1" x14ac:dyDescent="0.5">
      <c r="A318" s="2" t="s">
        <v>1379</v>
      </c>
      <c r="B318" s="2" t="s">
        <v>4529</v>
      </c>
      <c r="C318" s="2">
        <v>1</v>
      </c>
      <c r="D318" s="2" t="s">
        <v>88</v>
      </c>
      <c r="E318" s="2" t="s">
        <v>1363</v>
      </c>
      <c r="F318" s="2" t="s">
        <v>4211</v>
      </c>
      <c r="G318" s="2" t="s">
        <v>274</v>
      </c>
      <c r="H318" s="2" t="s">
        <v>4212</v>
      </c>
      <c r="I318" s="2" t="s">
        <v>4213</v>
      </c>
    </row>
    <row r="319" spans="1:9" ht="43.5" customHeight="1" x14ac:dyDescent="0.5">
      <c r="A319" s="2" t="s">
        <v>1384</v>
      </c>
      <c r="B319" s="2" t="s">
        <v>4530</v>
      </c>
      <c r="C319" s="2">
        <v>1</v>
      </c>
      <c r="D319" s="2" t="s">
        <v>90</v>
      </c>
      <c r="E319" s="2" t="s">
        <v>1363</v>
      </c>
      <c r="F319" s="2" t="s">
        <v>4211</v>
      </c>
      <c r="G319" s="2" t="s">
        <v>274</v>
      </c>
      <c r="H319" s="2" t="s">
        <v>4212</v>
      </c>
      <c r="I319" s="2" t="s">
        <v>4213</v>
      </c>
    </row>
    <row r="320" spans="1:9" ht="43.5" customHeight="1" x14ac:dyDescent="0.5">
      <c r="A320" s="2" t="s">
        <v>1387</v>
      </c>
      <c r="B320" s="2" t="s">
        <v>4531</v>
      </c>
      <c r="C320" s="2">
        <v>1</v>
      </c>
      <c r="D320" s="2" t="s">
        <v>93</v>
      </c>
      <c r="E320" s="2" t="s">
        <v>1363</v>
      </c>
      <c r="F320" s="2" t="s">
        <v>4211</v>
      </c>
      <c r="G320" s="2" t="s">
        <v>274</v>
      </c>
      <c r="H320" s="2" t="s">
        <v>4212</v>
      </c>
      <c r="I320" s="2" t="s">
        <v>4213</v>
      </c>
    </row>
    <row r="321" spans="1:9" ht="43.5" customHeight="1" x14ac:dyDescent="0.5">
      <c r="A321" s="2" t="s">
        <v>1390</v>
      </c>
      <c r="B321" s="2" t="s">
        <v>4532</v>
      </c>
      <c r="C321" s="2">
        <v>1</v>
      </c>
      <c r="D321" s="2" t="s">
        <v>96</v>
      </c>
      <c r="E321" s="2" t="s">
        <v>1363</v>
      </c>
      <c r="F321" s="2" t="s">
        <v>4211</v>
      </c>
      <c r="G321" s="2" t="s">
        <v>274</v>
      </c>
      <c r="H321" s="2" t="s">
        <v>4212</v>
      </c>
      <c r="I321" s="2" t="s">
        <v>4213</v>
      </c>
    </row>
    <row r="322" spans="1:9" ht="43.5" customHeight="1" x14ac:dyDescent="0.5">
      <c r="A322" s="2" t="s">
        <v>1393</v>
      </c>
      <c r="B322" s="2" t="s">
        <v>4533</v>
      </c>
      <c r="C322" s="2">
        <v>1</v>
      </c>
      <c r="D322" s="2" t="s">
        <v>99</v>
      </c>
      <c r="E322" s="2" t="s">
        <v>1363</v>
      </c>
      <c r="F322" s="2" t="s">
        <v>4211</v>
      </c>
      <c r="G322" s="2" t="s">
        <v>274</v>
      </c>
      <c r="H322" s="2" t="s">
        <v>4212</v>
      </c>
      <c r="I322" s="2" t="s">
        <v>4213</v>
      </c>
    </row>
    <row r="323" spans="1:9" ht="43.5" customHeight="1" x14ac:dyDescent="0.5">
      <c r="A323" s="2" t="s">
        <v>1396</v>
      </c>
      <c r="B323" s="2" t="s">
        <v>4534</v>
      </c>
      <c r="C323" s="2">
        <v>1</v>
      </c>
      <c r="D323" s="2" t="s">
        <v>102</v>
      </c>
      <c r="E323" s="2" t="s">
        <v>1363</v>
      </c>
      <c r="F323" s="2" t="s">
        <v>4211</v>
      </c>
      <c r="G323" s="2" t="s">
        <v>274</v>
      </c>
      <c r="H323" s="2" t="s">
        <v>4212</v>
      </c>
      <c r="I323" s="2" t="s">
        <v>4213</v>
      </c>
    </row>
    <row r="324" spans="1:9" ht="43.5" customHeight="1" x14ac:dyDescent="0.5">
      <c r="A324" s="2" t="s">
        <v>1399</v>
      </c>
      <c r="B324" s="2" t="s">
        <v>4535</v>
      </c>
      <c r="C324" s="2">
        <v>1</v>
      </c>
      <c r="D324" s="2" t="s">
        <v>105</v>
      </c>
      <c r="E324" s="2" t="s">
        <v>1363</v>
      </c>
      <c r="F324" s="2" t="s">
        <v>4211</v>
      </c>
      <c r="G324" s="2" t="s">
        <v>274</v>
      </c>
      <c r="H324" s="2" t="s">
        <v>4212</v>
      </c>
      <c r="I324" s="2" t="s">
        <v>4213</v>
      </c>
    </row>
    <row r="325" spans="1:9" ht="43.5" customHeight="1" x14ac:dyDescent="0.5">
      <c r="A325" s="2" t="s">
        <v>1404</v>
      </c>
      <c r="B325" s="2" t="s">
        <v>4536</v>
      </c>
      <c r="C325" s="2">
        <v>1</v>
      </c>
      <c r="D325" s="2" t="s">
        <v>108</v>
      </c>
      <c r="E325" s="2" t="s">
        <v>1363</v>
      </c>
      <c r="F325" s="2" t="s">
        <v>4211</v>
      </c>
      <c r="G325" s="2" t="s">
        <v>274</v>
      </c>
      <c r="H325" s="2" t="s">
        <v>4212</v>
      </c>
      <c r="I325" s="2" t="s">
        <v>4213</v>
      </c>
    </row>
    <row r="326" spans="1:9" ht="43.5" customHeight="1" x14ac:dyDescent="0.5">
      <c r="A326" s="2" t="s">
        <v>1407</v>
      </c>
      <c r="B326" s="2" t="s">
        <v>4537</v>
      </c>
      <c r="C326" s="2">
        <v>1</v>
      </c>
      <c r="D326" s="2" t="s">
        <v>111</v>
      </c>
      <c r="E326" s="2" t="s">
        <v>1363</v>
      </c>
      <c r="F326" s="2" t="s">
        <v>4211</v>
      </c>
      <c r="G326" s="2" t="s">
        <v>274</v>
      </c>
      <c r="H326" s="2" t="s">
        <v>4212</v>
      </c>
      <c r="I326" s="2" t="s">
        <v>4213</v>
      </c>
    </row>
    <row r="327" spans="1:9" ht="43.5" customHeight="1" x14ac:dyDescent="0.5">
      <c r="A327" s="2" t="s">
        <v>1410</v>
      </c>
      <c r="B327" s="2" t="s">
        <v>4538</v>
      </c>
      <c r="C327" s="2">
        <v>1</v>
      </c>
      <c r="D327" s="2" t="s">
        <v>114</v>
      </c>
      <c r="E327" s="2" t="s">
        <v>1363</v>
      </c>
      <c r="F327" s="2" t="s">
        <v>4211</v>
      </c>
      <c r="G327" s="2" t="s">
        <v>274</v>
      </c>
      <c r="H327" s="2" t="s">
        <v>4212</v>
      </c>
      <c r="I327" s="2" t="s">
        <v>4213</v>
      </c>
    </row>
    <row r="328" spans="1:9" ht="43.5" customHeight="1" x14ac:dyDescent="0.5">
      <c r="A328" s="2" t="s">
        <v>1415</v>
      </c>
      <c r="B328" s="2" t="s">
        <v>4539</v>
      </c>
      <c r="C328" s="2">
        <v>1</v>
      </c>
      <c r="D328" s="2" t="s">
        <v>117</v>
      </c>
      <c r="E328" s="2" t="s">
        <v>1363</v>
      </c>
      <c r="F328" s="2" t="s">
        <v>4211</v>
      </c>
      <c r="G328" s="2" t="s">
        <v>274</v>
      </c>
      <c r="H328" s="2" t="s">
        <v>4212</v>
      </c>
      <c r="I328" s="2" t="s">
        <v>4213</v>
      </c>
    </row>
    <row r="329" spans="1:9" ht="43.5" customHeight="1" x14ac:dyDescent="0.5">
      <c r="A329" s="2" t="s">
        <v>1420</v>
      </c>
      <c r="B329" s="2" t="s">
        <v>4540</v>
      </c>
      <c r="C329" s="2">
        <v>1</v>
      </c>
      <c r="D329" s="2" t="s">
        <v>121</v>
      </c>
      <c r="E329" s="2" t="s">
        <v>1363</v>
      </c>
      <c r="F329" s="2" t="s">
        <v>4211</v>
      </c>
      <c r="G329" s="2" t="s">
        <v>274</v>
      </c>
      <c r="H329" s="2" t="s">
        <v>4212</v>
      </c>
      <c r="I329" s="2" t="s">
        <v>4213</v>
      </c>
    </row>
    <row r="330" spans="1:9" ht="43.5" customHeight="1" x14ac:dyDescent="0.5">
      <c r="A330" s="2" t="s">
        <v>1425</v>
      </c>
      <c r="B330" s="2" t="s">
        <v>4541</v>
      </c>
      <c r="C330" s="2">
        <v>1</v>
      </c>
      <c r="D330" s="2" t="s">
        <v>126</v>
      </c>
      <c r="E330" s="2" t="s">
        <v>1363</v>
      </c>
      <c r="F330" s="2" t="s">
        <v>4211</v>
      </c>
      <c r="G330" s="2" t="s">
        <v>274</v>
      </c>
      <c r="H330" s="2" t="s">
        <v>4212</v>
      </c>
      <c r="I330" s="2" t="s">
        <v>4213</v>
      </c>
    </row>
    <row r="331" spans="1:9" ht="43.5" customHeight="1" x14ac:dyDescent="0.5">
      <c r="A331" s="2" t="s">
        <v>1431</v>
      </c>
      <c r="B331" s="2" t="s">
        <v>4542</v>
      </c>
      <c r="C331" s="2">
        <v>1</v>
      </c>
      <c r="D331" s="2" t="s">
        <v>129</v>
      </c>
      <c r="E331" s="2" t="s">
        <v>1363</v>
      </c>
      <c r="F331" s="2" t="s">
        <v>4211</v>
      </c>
      <c r="G331" s="2" t="s">
        <v>274</v>
      </c>
      <c r="H331" s="2" t="s">
        <v>4212</v>
      </c>
      <c r="I331" s="2" t="s">
        <v>4213</v>
      </c>
    </row>
    <row r="332" spans="1:9" ht="43.5" customHeight="1" x14ac:dyDescent="0.5">
      <c r="A332" s="2" t="s">
        <v>1434</v>
      </c>
      <c r="B332" s="2" t="s">
        <v>4543</v>
      </c>
      <c r="C332" s="2">
        <v>1</v>
      </c>
      <c r="D332" s="2" t="s">
        <v>131</v>
      </c>
      <c r="E332" s="2" t="s">
        <v>1363</v>
      </c>
      <c r="F332" s="2" t="s">
        <v>4211</v>
      </c>
      <c r="G332" s="2" t="s">
        <v>274</v>
      </c>
      <c r="H332" s="2" t="s">
        <v>4212</v>
      </c>
      <c r="I332" s="2" t="s">
        <v>4213</v>
      </c>
    </row>
    <row r="333" spans="1:9" ht="43.5" customHeight="1" x14ac:dyDescent="0.5">
      <c r="A333" s="2" t="s">
        <v>1437</v>
      </c>
      <c r="B333" s="2" t="s">
        <v>4544</v>
      </c>
      <c r="C333" s="2">
        <v>1</v>
      </c>
      <c r="D333" s="2" t="s">
        <v>135</v>
      </c>
      <c r="E333" s="2" t="s">
        <v>1363</v>
      </c>
      <c r="F333" s="2" t="s">
        <v>4211</v>
      </c>
      <c r="G333" s="2" t="s">
        <v>274</v>
      </c>
      <c r="H333" s="2" t="s">
        <v>4212</v>
      </c>
      <c r="I333" s="2" t="s">
        <v>4213</v>
      </c>
    </row>
    <row r="334" spans="1:9" ht="43.5" customHeight="1" x14ac:dyDescent="0.5">
      <c r="A334" s="2" t="s">
        <v>1440</v>
      </c>
      <c r="B334" s="2" t="s">
        <v>4545</v>
      </c>
      <c r="C334" s="2">
        <v>1</v>
      </c>
      <c r="D334" s="2" t="s">
        <v>137</v>
      </c>
      <c r="E334" s="2" t="s">
        <v>1363</v>
      </c>
      <c r="F334" s="2" t="s">
        <v>4211</v>
      </c>
      <c r="G334" s="2" t="s">
        <v>274</v>
      </c>
      <c r="H334" s="2" t="s">
        <v>4212</v>
      </c>
      <c r="I334" s="2" t="s">
        <v>4213</v>
      </c>
    </row>
    <row r="335" spans="1:9" ht="43.5" customHeight="1" x14ac:dyDescent="0.5">
      <c r="A335" s="2" t="s">
        <v>1443</v>
      </c>
      <c r="B335" s="2" t="s">
        <v>4546</v>
      </c>
      <c r="C335" s="2">
        <v>1</v>
      </c>
      <c r="D335" s="2" t="s">
        <v>140</v>
      </c>
      <c r="E335" s="2" t="s">
        <v>1363</v>
      </c>
      <c r="F335" s="2" t="s">
        <v>4211</v>
      </c>
      <c r="G335" s="2" t="s">
        <v>274</v>
      </c>
      <c r="H335" s="2" t="s">
        <v>4212</v>
      </c>
      <c r="I335" s="2" t="s">
        <v>4213</v>
      </c>
    </row>
    <row r="336" spans="1:9" ht="43.5" customHeight="1" x14ac:dyDescent="0.5">
      <c r="A336" s="2" t="s">
        <v>1446</v>
      </c>
      <c r="B336" s="2" t="s">
        <v>4547</v>
      </c>
      <c r="C336" s="2">
        <v>1</v>
      </c>
      <c r="D336" s="2" t="s">
        <v>142</v>
      </c>
      <c r="E336" s="2" t="s">
        <v>1363</v>
      </c>
      <c r="F336" s="2" t="s">
        <v>4211</v>
      </c>
      <c r="G336" s="2" t="s">
        <v>274</v>
      </c>
      <c r="H336" s="2" t="s">
        <v>4212</v>
      </c>
      <c r="I336" s="2" t="s">
        <v>4213</v>
      </c>
    </row>
    <row r="337" spans="1:9" ht="43.5" customHeight="1" x14ac:dyDescent="0.5">
      <c r="A337" s="2" t="s">
        <v>1449</v>
      </c>
      <c r="B337" s="2" t="s">
        <v>4548</v>
      </c>
      <c r="C337" s="2">
        <v>1</v>
      </c>
      <c r="D337" s="2" t="s">
        <v>144</v>
      </c>
      <c r="E337" s="2" t="s">
        <v>1450</v>
      </c>
      <c r="F337" s="2" t="s">
        <v>4211</v>
      </c>
      <c r="G337" s="2" t="s">
        <v>274</v>
      </c>
      <c r="H337" s="2" t="s">
        <v>4212</v>
      </c>
      <c r="I337" s="2" t="s">
        <v>4213</v>
      </c>
    </row>
    <row r="338" spans="1:9" ht="43.5" customHeight="1" x14ac:dyDescent="0.5">
      <c r="A338" s="2" t="s">
        <v>1455</v>
      </c>
      <c r="B338" s="2" t="s">
        <v>4549</v>
      </c>
      <c r="C338" s="2">
        <v>1</v>
      </c>
      <c r="D338" s="2" t="s">
        <v>147</v>
      </c>
      <c r="E338" s="2" t="s">
        <v>1363</v>
      </c>
      <c r="F338" s="2" t="s">
        <v>4211</v>
      </c>
      <c r="G338" s="2" t="s">
        <v>274</v>
      </c>
      <c r="H338" s="2" t="s">
        <v>4212</v>
      </c>
      <c r="I338" s="2" t="s">
        <v>4213</v>
      </c>
    </row>
    <row r="339" spans="1:9" ht="43.5" customHeight="1" x14ac:dyDescent="0.5">
      <c r="A339" s="2" t="s">
        <v>1458</v>
      </c>
      <c r="B339" s="2" t="s">
        <v>4550</v>
      </c>
      <c r="C339" s="2">
        <v>1</v>
      </c>
      <c r="D339" s="2" t="s">
        <v>149</v>
      </c>
      <c r="E339" s="2" t="s">
        <v>1363</v>
      </c>
      <c r="F339" s="2" t="s">
        <v>4211</v>
      </c>
      <c r="G339" s="2" t="s">
        <v>274</v>
      </c>
      <c r="H339" s="2" t="s">
        <v>4212</v>
      </c>
      <c r="I339" s="2" t="s">
        <v>4213</v>
      </c>
    </row>
    <row r="340" spans="1:9" ht="43.5" customHeight="1" x14ac:dyDescent="0.5">
      <c r="A340" s="2" t="s">
        <v>1461</v>
      </c>
      <c r="B340" s="2" t="s">
        <v>4551</v>
      </c>
      <c r="C340" s="2">
        <v>1</v>
      </c>
      <c r="D340" s="2" t="s">
        <v>131</v>
      </c>
      <c r="E340" s="2" t="s">
        <v>1462</v>
      </c>
      <c r="F340" s="2" t="s">
        <v>4211</v>
      </c>
      <c r="G340" s="2" t="s">
        <v>274</v>
      </c>
      <c r="H340" s="2" t="s">
        <v>4212</v>
      </c>
      <c r="I340" s="2" t="s">
        <v>4213</v>
      </c>
    </row>
    <row r="341" spans="1:9" ht="43.5" customHeight="1" x14ac:dyDescent="0.5">
      <c r="A341" s="2" t="s">
        <v>1469</v>
      </c>
      <c r="B341" s="2" t="s">
        <v>4552</v>
      </c>
      <c r="C341" s="2">
        <v>1</v>
      </c>
      <c r="D341" s="2" t="s">
        <v>131</v>
      </c>
      <c r="E341" s="2" t="s">
        <v>1470</v>
      </c>
      <c r="F341" s="2" t="s">
        <v>4211</v>
      </c>
      <c r="G341" s="2" t="s">
        <v>297</v>
      </c>
      <c r="H341" s="2" t="s">
        <v>4212</v>
      </c>
      <c r="I341" s="2" t="s">
        <v>4213</v>
      </c>
    </row>
    <row r="342" spans="1:9" ht="43.5" customHeight="1" x14ac:dyDescent="0.5">
      <c r="A342" s="2" t="s">
        <v>1477</v>
      </c>
      <c r="B342" s="2" t="s">
        <v>4553</v>
      </c>
      <c r="C342" s="2">
        <v>1</v>
      </c>
      <c r="D342" s="2" t="s">
        <v>131</v>
      </c>
      <c r="E342" s="2" t="s">
        <v>1478</v>
      </c>
      <c r="F342" s="2" t="s">
        <v>4211</v>
      </c>
      <c r="G342" s="2" t="s">
        <v>297</v>
      </c>
      <c r="H342" s="2" t="s">
        <v>4212</v>
      </c>
      <c r="I342" s="2" t="s">
        <v>4213</v>
      </c>
    </row>
    <row r="343" spans="1:9" ht="43.5" customHeight="1" x14ac:dyDescent="0.5">
      <c r="A343" s="2" t="s">
        <v>1485</v>
      </c>
      <c r="B343" s="2" t="s">
        <v>4554</v>
      </c>
      <c r="C343" s="2">
        <v>1</v>
      </c>
      <c r="D343" s="2" t="s">
        <v>131</v>
      </c>
      <c r="E343" s="2" t="s">
        <v>1486</v>
      </c>
      <c r="F343" s="2" t="s">
        <v>4211</v>
      </c>
      <c r="G343" s="2" t="s">
        <v>297</v>
      </c>
      <c r="H343" s="2" t="s">
        <v>4212</v>
      </c>
      <c r="I343" s="2" t="s">
        <v>4213</v>
      </c>
    </row>
    <row r="344" spans="1:9" ht="43.5" customHeight="1" x14ac:dyDescent="0.5">
      <c r="A344" s="2" t="s">
        <v>1493</v>
      </c>
      <c r="B344" s="2" t="s">
        <v>4555</v>
      </c>
      <c r="C344" s="2">
        <v>1</v>
      </c>
      <c r="D344" s="2" t="s">
        <v>131</v>
      </c>
      <c r="E344" s="2" t="s">
        <v>1494</v>
      </c>
      <c r="F344" s="2" t="s">
        <v>4211</v>
      </c>
      <c r="G344" s="2" t="s">
        <v>297</v>
      </c>
      <c r="H344" s="2" t="s">
        <v>4212</v>
      </c>
      <c r="I344" s="2" t="s">
        <v>4213</v>
      </c>
    </row>
    <row r="345" spans="1:9" ht="43.5" customHeight="1" x14ac:dyDescent="0.5">
      <c r="A345" s="2" t="s">
        <v>1502</v>
      </c>
      <c r="B345" s="2" t="s">
        <v>4556</v>
      </c>
      <c r="C345" s="2">
        <v>1</v>
      </c>
      <c r="D345" s="2" t="s">
        <v>131</v>
      </c>
      <c r="E345" s="2" t="s">
        <v>1503</v>
      </c>
      <c r="F345" s="2" t="s">
        <v>4211</v>
      </c>
      <c r="G345" s="2" t="s">
        <v>297</v>
      </c>
      <c r="H345" s="2" t="s">
        <v>4212</v>
      </c>
      <c r="I345" s="2" t="s">
        <v>4213</v>
      </c>
    </row>
    <row r="346" spans="1:9" ht="43.5" customHeight="1" x14ac:dyDescent="0.5">
      <c r="A346" s="2" t="s">
        <v>1510</v>
      </c>
      <c r="B346" s="2" t="s">
        <v>4557</v>
      </c>
      <c r="C346" s="2">
        <v>1</v>
      </c>
      <c r="D346" s="2" t="s">
        <v>131</v>
      </c>
      <c r="E346" s="2" t="s">
        <v>1511</v>
      </c>
      <c r="F346" s="2" t="s">
        <v>4211</v>
      </c>
      <c r="G346" s="2" t="s">
        <v>274</v>
      </c>
      <c r="H346" s="2" t="s">
        <v>4212</v>
      </c>
      <c r="I346" s="2" t="s">
        <v>4213</v>
      </c>
    </row>
    <row r="347" spans="1:9" ht="43.5" customHeight="1" x14ac:dyDescent="0.5">
      <c r="A347" s="2" t="s">
        <v>1517</v>
      </c>
      <c r="B347" s="2" t="s">
        <v>4558</v>
      </c>
      <c r="C347" s="2">
        <v>1</v>
      </c>
      <c r="D347" s="2" t="s">
        <v>140</v>
      </c>
      <c r="E347" s="2" t="s">
        <v>1518</v>
      </c>
      <c r="F347" s="2" t="s">
        <v>4211</v>
      </c>
      <c r="G347" s="2" t="s">
        <v>297</v>
      </c>
      <c r="H347" s="2" t="s">
        <v>4212</v>
      </c>
      <c r="I347" s="2" t="s">
        <v>4213</v>
      </c>
    </row>
    <row r="348" spans="1:9" ht="43.5" customHeight="1" x14ac:dyDescent="0.5">
      <c r="A348" s="2" t="s">
        <v>1526</v>
      </c>
      <c r="B348" s="2" t="s">
        <v>4559</v>
      </c>
      <c r="C348" s="2">
        <v>1</v>
      </c>
      <c r="D348" s="2" t="s">
        <v>140</v>
      </c>
      <c r="E348" s="2" t="s">
        <v>1527</v>
      </c>
      <c r="F348" s="2" t="s">
        <v>4211</v>
      </c>
      <c r="G348" s="2" t="s">
        <v>297</v>
      </c>
      <c r="H348" s="2" t="s">
        <v>4212</v>
      </c>
      <c r="I348" s="2" t="s">
        <v>4213</v>
      </c>
    </row>
    <row r="349" spans="1:9" ht="43.5" customHeight="1" x14ac:dyDescent="0.5">
      <c r="A349" s="2" t="s">
        <v>1533</v>
      </c>
      <c r="B349" s="2" t="s">
        <v>4560</v>
      </c>
      <c r="C349" s="2">
        <v>1</v>
      </c>
      <c r="D349" s="2" t="s">
        <v>140</v>
      </c>
      <c r="E349" s="2" t="s">
        <v>1462</v>
      </c>
      <c r="F349" s="2" t="s">
        <v>4211</v>
      </c>
      <c r="G349" s="2" t="s">
        <v>274</v>
      </c>
      <c r="H349" s="2" t="s">
        <v>4212</v>
      </c>
      <c r="I349" s="2" t="s">
        <v>4213</v>
      </c>
    </row>
    <row r="350" spans="1:9" ht="43.5" customHeight="1" x14ac:dyDescent="0.5">
      <c r="A350" s="2" t="s">
        <v>1538</v>
      </c>
      <c r="B350" s="2" t="s">
        <v>4561</v>
      </c>
      <c r="C350" s="2">
        <v>1</v>
      </c>
      <c r="D350" s="2" t="s">
        <v>140</v>
      </c>
      <c r="E350" s="2" t="s">
        <v>1511</v>
      </c>
      <c r="F350" s="2" t="s">
        <v>4211</v>
      </c>
      <c r="G350" s="2" t="s">
        <v>274</v>
      </c>
      <c r="H350" s="2" t="s">
        <v>4212</v>
      </c>
      <c r="I350" s="2" t="s">
        <v>4213</v>
      </c>
    </row>
    <row r="351" spans="1:9" ht="43.5" customHeight="1" x14ac:dyDescent="0.5">
      <c r="A351" s="2" t="s">
        <v>1542</v>
      </c>
      <c r="B351" s="2" t="s">
        <v>4562</v>
      </c>
      <c r="C351" s="2">
        <v>1</v>
      </c>
      <c r="D351" s="2" t="s">
        <v>142</v>
      </c>
      <c r="E351" s="2" t="s">
        <v>1543</v>
      </c>
      <c r="F351" s="2" t="s">
        <v>4211</v>
      </c>
      <c r="G351" s="2" t="s">
        <v>274</v>
      </c>
      <c r="H351" s="2" t="s">
        <v>4212</v>
      </c>
      <c r="I351" s="2" t="s">
        <v>4213</v>
      </c>
    </row>
    <row r="352" spans="1:9" ht="43.5" customHeight="1" x14ac:dyDescent="0.5">
      <c r="A352" s="2" t="s">
        <v>1550</v>
      </c>
      <c r="B352" s="2" t="s">
        <v>4563</v>
      </c>
      <c r="C352" s="2">
        <v>1</v>
      </c>
      <c r="D352" s="2" t="s">
        <v>142</v>
      </c>
      <c r="E352" s="2" t="s">
        <v>1551</v>
      </c>
      <c r="F352" s="2" t="s">
        <v>4211</v>
      </c>
      <c r="G352" s="2" t="s">
        <v>297</v>
      </c>
      <c r="H352" s="2" t="s">
        <v>4212</v>
      </c>
      <c r="I352" s="2" t="s">
        <v>4213</v>
      </c>
    </row>
    <row r="353" spans="1:9" ht="43.5" customHeight="1" x14ac:dyDescent="0.5">
      <c r="A353" s="2" t="s">
        <v>1557</v>
      </c>
      <c r="B353" s="2" t="s">
        <v>4564</v>
      </c>
      <c r="C353" s="2">
        <v>1</v>
      </c>
      <c r="D353" s="2" t="s">
        <v>142</v>
      </c>
      <c r="E353" s="2" t="s">
        <v>1558</v>
      </c>
      <c r="F353" s="2" t="s">
        <v>4211</v>
      </c>
      <c r="G353" s="2" t="s">
        <v>274</v>
      </c>
      <c r="H353" s="2" t="s">
        <v>4212</v>
      </c>
      <c r="I353" s="2" t="s">
        <v>4213</v>
      </c>
    </row>
    <row r="354" spans="1:9" ht="43.5" customHeight="1" x14ac:dyDescent="0.5">
      <c r="A354" s="2" t="s">
        <v>1565</v>
      </c>
      <c r="B354" s="2" t="s">
        <v>4565</v>
      </c>
      <c r="C354" s="2">
        <v>1</v>
      </c>
      <c r="D354" s="2" t="s">
        <v>142</v>
      </c>
      <c r="E354" s="2" t="s">
        <v>1566</v>
      </c>
      <c r="F354" s="2" t="s">
        <v>4211</v>
      </c>
      <c r="G354" s="2" t="s">
        <v>297</v>
      </c>
      <c r="H354" s="2" t="s">
        <v>4212</v>
      </c>
      <c r="I354" s="2" t="s">
        <v>4213</v>
      </c>
    </row>
    <row r="355" spans="1:9" ht="43.5" customHeight="1" x14ac:dyDescent="0.5">
      <c r="A355" s="2" t="s">
        <v>1571</v>
      </c>
      <c r="B355" s="2" t="s">
        <v>4566</v>
      </c>
      <c r="C355" s="2">
        <v>1</v>
      </c>
      <c r="D355" s="2" t="s">
        <v>142</v>
      </c>
      <c r="E355" s="2" t="s">
        <v>1572</v>
      </c>
      <c r="F355" s="2" t="s">
        <v>4211</v>
      </c>
      <c r="G355" s="2" t="s">
        <v>297</v>
      </c>
      <c r="H355" s="2" t="s">
        <v>4212</v>
      </c>
      <c r="I355" s="2" t="s">
        <v>4213</v>
      </c>
    </row>
    <row r="356" spans="1:9" ht="43.5" customHeight="1" x14ac:dyDescent="0.5">
      <c r="A356" s="2" t="s">
        <v>1578</v>
      </c>
      <c r="B356" s="2" t="s">
        <v>4567</v>
      </c>
      <c r="C356" s="2">
        <v>1</v>
      </c>
      <c r="D356" s="2" t="s">
        <v>142</v>
      </c>
      <c r="E356" s="2" t="s">
        <v>1579</v>
      </c>
      <c r="F356" s="2" t="s">
        <v>4211</v>
      </c>
      <c r="G356" s="2" t="s">
        <v>297</v>
      </c>
      <c r="H356" s="2" t="s">
        <v>4212</v>
      </c>
      <c r="I356" s="2" t="s">
        <v>4213</v>
      </c>
    </row>
    <row r="357" spans="1:9" ht="43.5" customHeight="1" x14ac:dyDescent="0.5">
      <c r="A357" s="2" t="s">
        <v>1584</v>
      </c>
      <c r="B357" s="2" t="s">
        <v>4568</v>
      </c>
      <c r="C357" s="2">
        <v>1</v>
      </c>
      <c r="D357" s="2" t="s">
        <v>142</v>
      </c>
      <c r="E357" s="2" t="s">
        <v>1511</v>
      </c>
      <c r="F357" s="2" t="s">
        <v>4211</v>
      </c>
      <c r="G357" s="2" t="s">
        <v>274</v>
      </c>
      <c r="H357" s="2" t="s">
        <v>4212</v>
      </c>
      <c r="I357" s="2" t="s">
        <v>4213</v>
      </c>
    </row>
    <row r="358" spans="1:9" ht="43.5" customHeight="1" x14ac:dyDescent="0.5">
      <c r="A358" s="2" t="s">
        <v>1607</v>
      </c>
      <c r="B358" s="2" t="s">
        <v>4569</v>
      </c>
      <c r="C358" s="2">
        <v>1</v>
      </c>
      <c r="D358" s="2" t="s">
        <v>131</v>
      </c>
      <c r="E358" s="2" t="s">
        <v>1608</v>
      </c>
      <c r="F358" s="2" t="s">
        <v>4211</v>
      </c>
      <c r="G358" s="2" t="s">
        <v>274</v>
      </c>
      <c r="H358" s="2" t="s">
        <v>4212</v>
      </c>
      <c r="I358" s="2" t="s">
        <v>4213</v>
      </c>
    </row>
    <row r="359" spans="1:9" ht="43.5" customHeight="1" x14ac:dyDescent="0.5">
      <c r="A359" s="2" t="s">
        <v>1618</v>
      </c>
      <c r="B359" s="2" t="s">
        <v>4570</v>
      </c>
      <c r="C359" s="2">
        <v>1</v>
      </c>
      <c r="D359" s="2" t="s">
        <v>131</v>
      </c>
      <c r="E359" s="2" t="s">
        <v>1619</v>
      </c>
      <c r="F359" s="2" t="s">
        <v>4211</v>
      </c>
      <c r="G359" s="2" t="s">
        <v>297</v>
      </c>
      <c r="H359" s="2" t="s">
        <v>4212</v>
      </c>
      <c r="I359" s="2" t="s">
        <v>4213</v>
      </c>
    </row>
    <row r="360" spans="1:9" ht="43.5" customHeight="1" x14ac:dyDescent="0.5">
      <c r="A360" s="2" t="s">
        <v>1628</v>
      </c>
      <c r="B360" s="2" t="s">
        <v>4571</v>
      </c>
      <c r="C360" s="2">
        <v>1</v>
      </c>
      <c r="D360" s="2" t="s">
        <v>140</v>
      </c>
      <c r="E360" s="2" t="s">
        <v>1608</v>
      </c>
      <c r="F360" s="2" t="s">
        <v>4211</v>
      </c>
      <c r="G360" s="2" t="s">
        <v>274</v>
      </c>
      <c r="H360" s="2" t="s">
        <v>4212</v>
      </c>
      <c r="I360" s="2" t="s">
        <v>4213</v>
      </c>
    </row>
    <row r="361" spans="1:9" ht="43.5" customHeight="1" x14ac:dyDescent="0.5">
      <c r="A361" s="2" t="s">
        <v>1633</v>
      </c>
      <c r="B361" s="2" t="s">
        <v>4572</v>
      </c>
      <c r="C361" s="2">
        <v>1</v>
      </c>
      <c r="D361" s="2" t="s">
        <v>140</v>
      </c>
      <c r="E361" s="2" t="s">
        <v>1619</v>
      </c>
      <c r="F361" s="2" t="s">
        <v>4211</v>
      </c>
      <c r="G361" s="2" t="s">
        <v>297</v>
      </c>
      <c r="H361" s="2" t="s">
        <v>4212</v>
      </c>
      <c r="I361" s="2" t="s">
        <v>4213</v>
      </c>
    </row>
  </sheetData>
  <autoFilter ref="A1:I361" xr:uid="{00000000-0009-0000-0000-00000D000000}"/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21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03125" defaultRowHeight="14.35" x14ac:dyDescent="0.5"/>
  <cols>
    <col min="1" max="1" width="17" customWidth="1"/>
    <col min="2" max="2" width="40" customWidth="1"/>
    <col min="3" max="3" width="10" customWidth="1"/>
    <col min="4" max="4" width="40" customWidth="1"/>
    <col min="5" max="5" width="12" customWidth="1"/>
    <col min="6" max="6" width="38" customWidth="1"/>
    <col min="7" max="7" width="29" customWidth="1"/>
    <col min="8" max="8" width="74" customWidth="1"/>
    <col min="9" max="9" width="58" customWidth="1"/>
  </cols>
  <sheetData>
    <row r="1" spans="1:9" ht="30" customHeight="1" x14ac:dyDescent="0.5">
      <c r="A1" s="1" t="s">
        <v>244</v>
      </c>
      <c r="B1" s="1" t="s">
        <v>4573</v>
      </c>
      <c r="C1" s="1" t="s">
        <v>3481</v>
      </c>
      <c r="D1" s="1" t="s">
        <v>4574</v>
      </c>
      <c r="E1" s="1" t="s">
        <v>4209</v>
      </c>
      <c r="F1" s="1" t="s">
        <v>4575</v>
      </c>
      <c r="G1" s="1" t="s">
        <v>254</v>
      </c>
      <c r="H1" s="1" t="s">
        <v>4576</v>
      </c>
      <c r="I1" s="1" t="s">
        <v>3485</v>
      </c>
    </row>
    <row r="2" spans="1:9" ht="43.5" customHeight="1" x14ac:dyDescent="0.5">
      <c r="A2" s="2" t="s">
        <v>264</v>
      </c>
      <c r="B2" s="2" t="s">
        <v>4577</v>
      </c>
      <c r="C2" s="2">
        <v>1</v>
      </c>
      <c r="D2" s="2" t="s">
        <v>1775</v>
      </c>
      <c r="E2" s="2" t="s">
        <v>4211</v>
      </c>
      <c r="F2" s="2" t="s">
        <v>4578</v>
      </c>
      <c r="G2" s="2" t="s">
        <v>274</v>
      </c>
      <c r="H2" s="2" t="s">
        <v>4579</v>
      </c>
      <c r="I2" s="2" t="s">
        <v>4580</v>
      </c>
    </row>
    <row r="3" spans="1:9" ht="43.5" customHeight="1" x14ac:dyDescent="0.5">
      <c r="A3" s="2" t="s">
        <v>282</v>
      </c>
      <c r="B3" s="2" t="s">
        <v>4581</v>
      </c>
      <c r="C3" s="2">
        <v>1</v>
      </c>
      <c r="D3" s="2" t="s">
        <v>1783</v>
      </c>
      <c r="E3" s="2" t="s">
        <v>4211</v>
      </c>
      <c r="F3" s="2" t="s">
        <v>4578</v>
      </c>
      <c r="G3" s="2" t="s">
        <v>274</v>
      </c>
      <c r="H3" s="2" t="s">
        <v>4579</v>
      </c>
      <c r="I3" s="2" t="s">
        <v>4580</v>
      </c>
    </row>
    <row r="4" spans="1:9" ht="43.5" customHeight="1" x14ac:dyDescent="0.5">
      <c r="A4" s="2" t="s">
        <v>318</v>
      </c>
      <c r="B4" s="2" t="s">
        <v>4582</v>
      </c>
      <c r="C4" s="2">
        <v>1</v>
      </c>
      <c r="D4" s="2" t="s">
        <v>1803</v>
      </c>
      <c r="E4" s="2" t="s">
        <v>4211</v>
      </c>
      <c r="F4" s="2" t="s">
        <v>4578</v>
      </c>
      <c r="G4" s="2" t="s">
        <v>274</v>
      </c>
      <c r="H4" s="2" t="s">
        <v>4579</v>
      </c>
      <c r="I4" s="2" t="s">
        <v>4580</v>
      </c>
    </row>
    <row r="5" spans="1:9" ht="43.5" customHeight="1" x14ac:dyDescent="0.5">
      <c r="A5" s="2" t="s">
        <v>323</v>
      </c>
      <c r="B5" s="2" t="s">
        <v>4583</v>
      </c>
      <c r="C5" s="2">
        <v>1</v>
      </c>
      <c r="D5" s="2" t="s">
        <v>1809</v>
      </c>
      <c r="E5" s="2" t="s">
        <v>4211</v>
      </c>
      <c r="F5" s="2" t="s">
        <v>4578</v>
      </c>
      <c r="G5" s="2" t="s">
        <v>274</v>
      </c>
      <c r="H5" s="2" t="s">
        <v>4579</v>
      </c>
      <c r="I5" s="2" t="s">
        <v>4580</v>
      </c>
    </row>
    <row r="6" spans="1:9" ht="43.5" customHeight="1" x14ac:dyDescent="0.5">
      <c r="A6" s="2" t="s">
        <v>339</v>
      </c>
      <c r="B6" s="2" t="s">
        <v>4584</v>
      </c>
      <c r="C6" s="2">
        <v>1</v>
      </c>
      <c r="D6" s="2" t="s">
        <v>1827</v>
      </c>
      <c r="E6" s="2" t="s">
        <v>4211</v>
      </c>
      <c r="F6" s="2" t="s">
        <v>4578</v>
      </c>
      <c r="G6" s="2" t="s">
        <v>274</v>
      </c>
      <c r="H6" s="2" t="s">
        <v>4579</v>
      </c>
      <c r="I6" s="2" t="s">
        <v>4580</v>
      </c>
    </row>
    <row r="7" spans="1:9" ht="43.5" customHeight="1" x14ac:dyDescent="0.5">
      <c r="A7" s="2" t="s">
        <v>344</v>
      </c>
      <c r="B7" s="2" t="s">
        <v>4585</v>
      </c>
      <c r="C7" s="2">
        <v>1</v>
      </c>
      <c r="D7" s="2" t="s">
        <v>1833</v>
      </c>
      <c r="E7" s="2" t="s">
        <v>4211</v>
      </c>
      <c r="F7" s="2" t="s">
        <v>4578</v>
      </c>
      <c r="G7" s="2" t="s">
        <v>274</v>
      </c>
      <c r="H7" s="2" t="s">
        <v>4579</v>
      </c>
      <c r="I7" s="2" t="s">
        <v>4580</v>
      </c>
    </row>
    <row r="8" spans="1:9" ht="43.5" customHeight="1" x14ac:dyDescent="0.5">
      <c r="A8" s="2" t="s">
        <v>363</v>
      </c>
      <c r="B8" s="2" t="s">
        <v>4586</v>
      </c>
      <c r="C8" s="2">
        <v>1</v>
      </c>
      <c r="D8" s="2" t="s">
        <v>1851</v>
      </c>
      <c r="E8" s="2" t="s">
        <v>4211</v>
      </c>
      <c r="F8" s="2" t="s">
        <v>4578</v>
      </c>
      <c r="G8" s="2" t="s">
        <v>274</v>
      </c>
      <c r="H8" s="2" t="s">
        <v>4579</v>
      </c>
      <c r="I8" s="2" t="s">
        <v>4580</v>
      </c>
    </row>
    <row r="9" spans="1:9" ht="43.5" customHeight="1" x14ac:dyDescent="0.5">
      <c r="A9" s="2" t="s">
        <v>366</v>
      </c>
      <c r="B9" s="2" t="s">
        <v>4587</v>
      </c>
      <c r="C9" s="2">
        <v>1</v>
      </c>
      <c r="D9" s="2" t="s">
        <v>1857</v>
      </c>
      <c r="E9" s="2" t="s">
        <v>4211</v>
      </c>
      <c r="F9" s="2" t="s">
        <v>4578</v>
      </c>
      <c r="G9" s="2" t="s">
        <v>274</v>
      </c>
      <c r="H9" s="2" t="s">
        <v>4579</v>
      </c>
      <c r="I9" s="2" t="s">
        <v>4580</v>
      </c>
    </row>
    <row r="10" spans="1:9" ht="43.5" customHeight="1" x14ac:dyDescent="0.5">
      <c r="A10" s="2" t="s">
        <v>368</v>
      </c>
      <c r="B10" s="2" t="s">
        <v>4588</v>
      </c>
      <c r="C10" s="2">
        <v>1</v>
      </c>
      <c r="D10" s="2" t="s">
        <v>1863</v>
      </c>
      <c r="E10" s="2" t="s">
        <v>4211</v>
      </c>
      <c r="F10" s="2" t="s">
        <v>4578</v>
      </c>
      <c r="G10" s="2" t="s">
        <v>297</v>
      </c>
      <c r="H10" s="2" t="s">
        <v>4579</v>
      </c>
      <c r="I10" s="2" t="s">
        <v>4580</v>
      </c>
    </row>
    <row r="11" spans="1:9" ht="43.5" customHeight="1" x14ac:dyDescent="0.5">
      <c r="A11" s="2" t="s">
        <v>377</v>
      </c>
      <c r="B11" s="2" t="s">
        <v>4589</v>
      </c>
      <c r="C11" s="2">
        <v>1</v>
      </c>
      <c r="D11" s="2" t="s">
        <v>1877</v>
      </c>
      <c r="E11" s="2" t="s">
        <v>4211</v>
      </c>
      <c r="F11" s="2" t="s">
        <v>4578</v>
      </c>
      <c r="G11" s="2" t="s">
        <v>274</v>
      </c>
      <c r="H11" s="2" t="s">
        <v>4579</v>
      </c>
      <c r="I11" s="2" t="s">
        <v>4580</v>
      </c>
    </row>
    <row r="12" spans="1:9" ht="43.5" customHeight="1" x14ac:dyDescent="0.5">
      <c r="A12" s="2" t="s">
        <v>379</v>
      </c>
      <c r="B12" s="2" t="s">
        <v>4590</v>
      </c>
      <c r="C12" s="2">
        <v>1</v>
      </c>
      <c r="D12" s="2" t="s">
        <v>1883</v>
      </c>
      <c r="E12" s="2" t="s">
        <v>4211</v>
      </c>
      <c r="F12" s="2" t="s">
        <v>4578</v>
      </c>
      <c r="G12" s="2" t="s">
        <v>274</v>
      </c>
      <c r="H12" s="2" t="s">
        <v>4579</v>
      </c>
      <c r="I12" s="2" t="s">
        <v>4580</v>
      </c>
    </row>
    <row r="13" spans="1:9" ht="43.5" customHeight="1" x14ac:dyDescent="0.5">
      <c r="A13" s="2" t="s">
        <v>387</v>
      </c>
      <c r="B13" s="2" t="s">
        <v>4591</v>
      </c>
      <c r="C13" s="2">
        <v>1</v>
      </c>
      <c r="D13" s="2" t="s">
        <v>1901</v>
      </c>
      <c r="E13" s="2" t="s">
        <v>4211</v>
      </c>
      <c r="F13" s="2" t="s">
        <v>4578</v>
      </c>
      <c r="G13" s="2" t="s">
        <v>274</v>
      </c>
      <c r="H13" s="2" t="s">
        <v>4579</v>
      </c>
      <c r="I13" s="2" t="s">
        <v>4580</v>
      </c>
    </row>
    <row r="14" spans="1:9" ht="43.5" customHeight="1" x14ac:dyDescent="0.5">
      <c r="A14" s="2" t="s">
        <v>392</v>
      </c>
      <c r="B14" s="2" t="s">
        <v>4592</v>
      </c>
      <c r="C14" s="2">
        <v>1</v>
      </c>
      <c r="D14" s="2" t="s">
        <v>1907</v>
      </c>
      <c r="E14" s="2" t="s">
        <v>4211</v>
      </c>
      <c r="F14" s="2" t="s">
        <v>4578</v>
      </c>
      <c r="G14" s="2" t="s">
        <v>274</v>
      </c>
      <c r="H14" s="2" t="s">
        <v>4579</v>
      </c>
      <c r="I14" s="2" t="s">
        <v>4580</v>
      </c>
    </row>
    <row r="15" spans="1:9" ht="43.5" customHeight="1" x14ac:dyDescent="0.5">
      <c r="A15" s="2" t="s">
        <v>413</v>
      </c>
      <c r="B15" s="2" t="s">
        <v>4593</v>
      </c>
      <c r="C15" s="2">
        <v>1</v>
      </c>
      <c r="D15" s="2" t="s">
        <v>1925</v>
      </c>
      <c r="E15" s="2" t="s">
        <v>4211</v>
      </c>
      <c r="F15" s="2" t="s">
        <v>4578</v>
      </c>
      <c r="G15" s="2" t="s">
        <v>274</v>
      </c>
      <c r="H15" s="2" t="s">
        <v>4579</v>
      </c>
      <c r="I15" s="2" t="s">
        <v>4580</v>
      </c>
    </row>
    <row r="16" spans="1:9" ht="43.5" customHeight="1" x14ac:dyDescent="0.5">
      <c r="A16" s="2" t="s">
        <v>418</v>
      </c>
      <c r="B16" s="2" t="s">
        <v>4594</v>
      </c>
      <c r="C16" s="2">
        <v>1</v>
      </c>
      <c r="D16" s="2" t="s">
        <v>1931</v>
      </c>
      <c r="E16" s="2" t="s">
        <v>4211</v>
      </c>
      <c r="F16" s="2" t="s">
        <v>4578</v>
      </c>
      <c r="G16" s="2" t="s">
        <v>274</v>
      </c>
      <c r="H16" s="2" t="s">
        <v>4579</v>
      </c>
      <c r="I16" s="2" t="s">
        <v>4580</v>
      </c>
    </row>
    <row r="17" spans="1:9" ht="43.5" customHeight="1" x14ac:dyDescent="0.5">
      <c r="A17" s="2" t="s">
        <v>434</v>
      </c>
      <c r="B17" s="2" t="s">
        <v>4595</v>
      </c>
      <c r="C17" s="2">
        <v>1</v>
      </c>
      <c r="D17" s="2" t="s">
        <v>1949</v>
      </c>
      <c r="E17" s="2" t="s">
        <v>4211</v>
      </c>
      <c r="F17" s="2" t="s">
        <v>4578</v>
      </c>
      <c r="G17" s="2" t="s">
        <v>274</v>
      </c>
      <c r="H17" s="2" t="s">
        <v>4579</v>
      </c>
      <c r="I17" s="2" t="s">
        <v>4580</v>
      </c>
    </row>
    <row r="18" spans="1:9" ht="43.5" customHeight="1" x14ac:dyDescent="0.5">
      <c r="A18" s="2" t="s">
        <v>439</v>
      </c>
      <c r="B18" s="2" t="s">
        <v>4596</v>
      </c>
      <c r="C18" s="2">
        <v>1</v>
      </c>
      <c r="D18" s="2" t="s">
        <v>1955</v>
      </c>
      <c r="E18" s="2" t="s">
        <v>4211</v>
      </c>
      <c r="F18" s="2" t="s">
        <v>4578</v>
      </c>
      <c r="G18" s="2" t="s">
        <v>274</v>
      </c>
      <c r="H18" s="2" t="s">
        <v>4579</v>
      </c>
      <c r="I18" s="2" t="s">
        <v>4580</v>
      </c>
    </row>
    <row r="19" spans="1:9" ht="43.5" customHeight="1" x14ac:dyDescent="0.5">
      <c r="A19" s="2" t="s">
        <v>463</v>
      </c>
      <c r="B19" s="2" t="s">
        <v>4597</v>
      </c>
      <c r="C19" s="2">
        <v>1</v>
      </c>
      <c r="D19" s="2" t="s">
        <v>1977</v>
      </c>
      <c r="E19" s="2" t="s">
        <v>4211</v>
      </c>
      <c r="F19" s="2" t="s">
        <v>4578</v>
      </c>
      <c r="G19" s="2" t="s">
        <v>274</v>
      </c>
      <c r="H19" s="2" t="s">
        <v>4579</v>
      </c>
      <c r="I19" s="2" t="s">
        <v>4580</v>
      </c>
    </row>
    <row r="20" spans="1:9" ht="43.5" customHeight="1" x14ac:dyDescent="0.5">
      <c r="A20" s="2" t="s">
        <v>467</v>
      </c>
      <c r="B20" s="2" t="s">
        <v>4598</v>
      </c>
      <c r="C20" s="2">
        <v>1</v>
      </c>
      <c r="D20" s="2" t="s">
        <v>1983</v>
      </c>
      <c r="E20" s="2" t="s">
        <v>4211</v>
      </c>
      <c r="F20" s="2" t="s">
        <v>4578</v>
      </c>
      <c r="G20" s="2" t="s">
        <v>274</v>
      </c>
      <c r="H20" s="2" t="s">
        <v>4579</v>
      </c>
      <c r="I20" s="2" t="s">
        <v>4580</v>
      </c>
    </row>
    <row r="21" spans="1:9" ht="43.5" customHeight="1" x14ac:dyDescent="0.5">
      <c r="A21" s="2" t="s">
        <v>486</v>
      </c>
      <c r="B21" s="2" t="s">
        <v>4599</v>
      </c>
      <c r="C21" s="2">
        <v>1</v>
      </c>
      <c r="D21" s="2" t="s">
        <v>2005</v>
      </c>
      <c r="E21" s="2" t="s">
        <v>4211</v>
      </c>
      <c r="F21" s="2" t="s">
        <v>4578</v>
      </c>
      <c r="G21" s="2" t="s">
        <v>274</v>
      </c>
      <c r="H21" s="2" t="s">
        <v>4579</v>
      </c>
      <c r="I21" s="2" t="s">
        <v>4580</v>
      </c>
    </row>
    <row r="22" spans="1:9" ht="43.5" customHeight="1" x14ac:dyDescent="0.5">
      <c r="A22" s="2" t="s">
        <v>491</v>
      </c>
      <c r="B22" s="2" t="s">
        <v>4600</v>
      </c>
      <c r="C22" s="2">
        <v>1</v>
      </c>
      <c r="D22" s="2" t="s">
        <v>2011</v>
      </c>
      <c r="E22" s="2" t="s">
        <v>4211</v>
      </c>
      <c r="F22" s="2" t="s">
        <v>4578</v>
      </c>
      <c r="G22" s="2" t="s">
        <v>274</v>
      </c>
      <c r="H22" s="2" t="s">
        <v>4579</v>
      </c>
      <c r="I22" s="2" t="s">
        <v>4580</v>
      </c>
    </row>
    <row r="23" spans="1:9" ht="43.5" customHeight="1" x14ac:dyDescent="0.5">
      <c r="A23" s="2" t="s">
        <v>511</v>
      </c>
      <c r="B23" s="2" t="s">
        <v>4601</v>
      </c>
      <c r="C23" s="2">
        <v>1</v>
      </c>
      <c r="D23" s="2" t="s">
        <v>2033</v>
      </c>
      <c r="E23" s="2" t="s">
        <v>4211</v>
      </c>
      <c r="F23" s="2" t="s">
        <v>4578</v>
      </c>
      <c r="G23" s="2" t="s">
        <v>274</v>
      </c>
      <c r="H23" s="2" t="s">
        <v>4579</v>
      </c>
      <c r="I23" s="2" t="s">
        <v>4580</v>
      </c>
    </row>
    <row r="24" spans="1:9" ht="43.5" customHeight="1" x14ac:dyDescent="0.5">
      <c r="A24" s="2" t="s">
        <v>515</v>
      </c>
      <c r="B24" s="2" t="s">
        <v>4602</v>
      </c>
      <c r="C24" s="2">
        <v>1</v>
      </c>
      <c r="D24" s="2" t="s">
        <v>2039</v>
      </c>
      <c r="E24" s="2" t="s">
        <v>4211</v>
      </c>
      <c r="F24" s="2" t="s">
        <v>4578</v>
      </c>
      <c r="G24" s="2" t="s">
        <v>274</v>
      </c>
      <c r="H24" s="2" t="s">
        <v>4579</v>
      </c>
      <c r="I24" s="2" t="s">
        <v>4580</v>
      </c>
    </row>
    <row r="25" spans="1:9" ht="43.5" customHeight="1" x14ac:dyDescent="0.5">
      <c r="A25" s="2" t="s">
        <v>533</v>
      </c>
      <c r="B25" s="2" t="s">
        <v>4603</v>
      </c>
      <c r="C25" s="2">
        <v>1</v>
      </c>
      <c r="D25" s="2" t="s">
        <v>2061</v>
      </c>
      <c r="E25" s="2" t="s">
        <v>4211</v>
      </c>
      <c r="F25" s="2" t="s">
        <v>4578</v>
      </c>
      <c r="G25" s="2" t="s">
        <v>274</v>
      </c>
      <c r="H25" s="2" t="s">
        <v>4579</v>
      </c>
      <c r="I25" s="2" t="s">
        <v>4580</v>
      </c>
    </row>
    <row r="26" spans="1:9" ht="43.5" customHeight="1" x14ac:dyDescent="0.5">
      <c r="A26" s="2" t="s">
        <v>537</v>
      </c>
      <c r="B26" s="2" t="s">
        <v>4604</v>
      </c>
      <c r="C26" s="2">
        <v>1</v>
      </c>
      <c r="D26" s="2" t="s">
        <v>2067</v>
      </c>
      <c r="E26" s="2" t="s">
        <v>4211</v>
      </c>
      <c r="F26" s="2" t="s">
        <v>4578</v>
      </c>
      <c r="G26" s="2" t="s">
        <v>274</v>
      </c>
      <c r="H26" s="2" t="s">
        <v>4579</v>
      </c>
      <c r="I26" s="2" t="s">
        <v>4580</v>
      </c>
    </row>
    <row r="27" spans="1:9" ht="43.5" customHeight="1" x14ac:dyDescent="0.5">
      <c r="A27" s="2" t="s">
        <v>553</v>
      </c>
      <c r="B27" s="2" t="s">
        <v>4605</v>
      </c>
      <c r="C27" s="2">
        <v>1</v>
      </c>
      <c r="D27" s="2" t="s">
        <v>2089</v>
      </c>
      <c r="E27" s="2" t="s">
        <v>4211</v>
      </c>
      <c r="F27" s="2" t="s">
        <v>4578</v>
      </c>
      <c r="G27" s="2" t="s">
        <v>274</v>
      </c>
      <c r="H27" s="2" t="s">
        <v>4579</v>
      </c>
      <c r="I27" s="2" t="s">
        <v>4580</v>
      </c>
    </row>
    <row r="28" spans="1:9" ht="43.5" customHeight="1" x14ac:dyDescent="0.5">
      <c r="A28" s="2" t="s">
        <v>556</v>
      </c>
      <c r="B28" s="2" t="s">
        <v>4606</v>
      </c>
      <c r="C28" s="2">
        <v>1</v>
      </c>
      <c r="D28" s="2" t="s">
        <v>2095</v>
      </c>
      <c r="E28" s="2" t="s">
        <v>4211</v>
      </c>
      <c r="F28" s="2" t="s">
        <v>4578</v>
      </c>
      <c r="G28" s="2" t="s">
        <v>274</v>
      </c>
      <c r="H28" s="2" t="s">
        <v>4579</v>
      </c>
      <c r="I28" s="2" t="s">
        <v>4580</v>
      </c>
    </row>
    <row r="29" spans="1:9" ht="43.5" customHeight="1" x14ac:dyDescent="0.5">
      <c r="A29" s="2" t="s">
        <v>571</v>
      </c>
      <c r="B29" s="2" t="s">
        <v>4607</v>
      </c>
      <c r="C29" s="2">
        <v>1</v>
      </c>
      <c r="D29" s="2" t="s">
        <v>2117</v>
      </c>
      <c r="E29" s="2" t="s">
        <v>4211</v>
      </c>
      <c r="F29" s="2" t="s">
        <v>4578</v>
      </c>
      <c r="G29" s="2" t="s">
        <v>274</v>
      </c>
      <c r="H29" s="2" t="s">
        <v>4579</v>
      </c>
      <c r="I29" s="2" t="s">
        <v>4580</v>
      </c>
    </row>
    <row r="30" spans="1:9" ht="43.5" customHeight="1" x14ac:dyDescent="0.5">
      <c r="A30" s="2" t="s">
        <v>575</v>
      </c>
      <c r="B30" s="2" t="s">
        <v>4608</v>
      </c>
      <c r="C30" s="2">
        <v>1</v>
      </c>
      <c r="D30" s="2" t="s">
        <v>2123</v>
      </c>
      <c r="E30" s="2" t="s">
        <v>4211</v>
      </c>
      <c r="F30" s="2" t="s">
        <v>4578</v>
      </c>
      <c r="G30" s="2" t="s">
        <v>274</v>
      </c>
      <c r="H30" s="2" t="s">
        <v>4579</v>
      </c>
      <c r="I30" s="2" t="s">
        <v>4580</v>
      </c>
    </row>
    <row r="31" spans="1:9" ht="43.5" customHeight="1" x14ac:dyDescent="0.5">
      <c r="A31" s="2" t="s">
        <v>595</v>
      </c>
      <c r="B31" s="2" t="s">
        <v>4609</v>
      </c>
      <c r="C31" s="2">
        <v>1</v>
      </c>
      <c r="D31" s="2" t="s">
        <v>2145</v>
      </c>
      <c r="E31" s="2" t="s">
        <v>4211</v>
      </c>
      <c r="F31" s="2" t="s">
        <v>4578</v>
      </c>
      <c r="G31" s="2" t="s">
        <v>274</v>
      </c>
      <c r="H31" s="2" t="s">
        <v>4579</v>
      </c>
      <c r="I31" s="2" t="s">
        <v>4580</v>
      </c>
    </row>
    <row r="32" spans="1:9" ht="43.5" customHeight="1" x14ac:dyDescent="0.5">
      <c r="A32" s="2" t="s">
        <v>600</v>
      </c>
      <c r="B32" s="2" t="s">
        <v>4610</v>
      </c>
      <c r="C32" s="2">
        <v>1</v>
      </c>
      <c r="D32" s="2" t="s">
        <v>2151</v>
      </c>
      <c r="E32" s="2" t="s">
        <v>4211</v>
      </c>
      <c r="F32" s="2" t="s">
        <v>4578</v>
      </c>
      <c r="G32" s="2" t="s">
        <v>274</v>
      </c>
      <c r="H32" s="2" t="s">
        <v>4579</v>
      </c>
      <c r="I32" s="2" t="s">
        <v>4580</v>
      </c>
    </row>
    <row r="33" spans="1:9" ht="43.5" customHeight="1" x14ac:dyDescent="0.5">
      <c r="A33" s="2" t="s">
        <v>620</v>
      </c>
      <c r="B33" s="2" t="s">
        <v>4611</v>
      </c>
      <c r="C33" s="2">
        <v>1</v>
      </c>
      <c r="D33" s="2" t="s">
        <v>2173</v>
      </c>
      <c r="E33" s="2" t="s">
        <v>4211</v>
      </c>
      <c r="F33" s="2" t="s">
        <v>4578</v>
      </c>
      <c r="G33" s="2" t="s">
        <v>274</v>
      </c>
      <c r="H33" s="2" t="s">
        <v>4579</v>
      </c>
      <c r="I33" s="2" t="s">
        <v>4580</v>
      </c>
    </row>
    <row r="34" spans="1:9" ht="43.5" customHeight="1" x14ac:dyDescent="0.5">
      <c r="A34" s="2" t="s">
        <v>623</v>
      </c>
      <c r="B34" s="2" t="s">
        <v>4612</v>
      </c>
      <c r="C34" s="2">
        <v>1</v>
      </c>
      <c r="D34" s="2" t="s">
        <v>2179</v>
      </c>
      <c r="E34" s="2" t="s">
        <v>4211</v>
      </c>
      <c r="F34" s="2" t="s">
        <v>4578</v>
      </c>
      <c r="G34" s="2" t="s">
        <v>274</v>
      </c>
      <c r="H34" s="2" t="s">
        <v>4579</v>
      </c>
      <c r="I34" s="2" t="s">
        <v>4580</v>
      </c>
    </row>
    <row r="35" spans="1:9" ht="43.5" customHeight="1" x14ac:dyDescent="0.5">
      <c r="A35" s="2" t="s">
        <v>633</v>
      </c>
      <c r="B35" s="2" t="s">
        <v>4613</v>
      </c>
      <c r="C35" s="2">
        <v>1</v>
      </c>
      <c r="D35" s="2" t="s">
        <v>2201</v>
      </c>
      <c r="E35" s="2" t="s">
        <v>4211</v>
      </c>
      <c r="F35" s="2" t="s">
        <v>4578</v>
      </c>
      <c r="G35" s="2" t="s">
        <v>274</v>
      </c>
      <c r="H35" s="2" t="s">
        <v>4579</v>
      </c>
      <c r="I35" s="2" t="s">
        <v>4580</v>
      </c>
    </row>
    <row r="36" spans="1:9" ht="43.5" customHeight="1" x14ac:dyDescent="0.5">
      <c r="A36" s="2" t="s">
        <v>636</v>
      </c>
      <c r="B36" s="2" t="s">
        <v>4614</v>
      </c>
      <c r="C36" s="2">
        <v>1</v>
      </c>
      <c r="D36" s="2" t="s">
        <v>2207</v>
      </c>
      <c r="E36" s="2" t="s">
        <v>4211</v>
      </c>
      <c r="F36" s="2" t="s">
        <v>4578</v>
      </c>
      <c r="G36" s="2" t="s">
        <v>274</v>
      </c>
      <c r="H36" s="2" t="s">
        <v>4579</v>
      </c>
      <c r="I36" s="2" t="s">
        <v>4580</v>
      </c>
    </row>
    <row r="37" spans="1:9" ht="43.5" customHeight="1" x14ac:dyDescent="0.5">
      <c r="A37" s="2" t="s">
        <v>646</v>
      </c>
      <c r="B37" s="2" t="s">
        <v>4615</v>
      </c>
      <c r="C37" s="2">
        <v>1</v>
      </c>
      <c r="D37" s="2" t="s">
        <v>2229</v>
      </c>
      <c r="E37" s="2" t="s">
        <v>4211</v>
      </c>
      <c r="F37" s="2" t="s">
        <v>4578</v>
      </c>
      <c r="G37" s="2" t="s">
        <v>274</v>
      </c>
      <c r="H37" s="2" t="s">
        <v>4579</v>
      </c>
      <c r="I37" s="2" t="s">
        <v>4580</v>
      </c>
    </row>
    <row r="38" spans="1:9" ht="43.5" customHeight="1" x14ac:dyDescent="0.5">
      <c r="A38" s="2" t="s">
        <v>649</v>
      </c>
      <c r="B38" s="2" t="s">
        <v>4616</v>
      </c>
      <c r="C38" s="2">
        <v>1</v>
      </c>
      <c r="D38" s="2" t="s">
        <v>2235</v>
      </c>
      <c r="E38" s="2" t="s">
        <v>4211</v>
      </c>
      <c r="F38" s="2" t="s">
        <v>4578</v>
      </c>
      <c r="G38" s="2" t="s">
        <v>274</v>
      </c>
      <c r="H38" s="2" t="s">
        <v>4579</v>
      </c>
      <c r="I38" s="2" t="s">
        <v>4580</v>
      </c>
    </row>
    <row r="39" spans="1:9" ht="43.5" customHeight="1" x14ac:dyDescent="0.5">
      <c r="A39" s="2" t="s">
        <v>659</v>
      </c>
      <c r="B39" s="2" t="s">
        <v>4617</v>
      </c>
      <c r="C39" s="2">
        <v>1</v>
      </c>
      <c r="D39" s="2" t="s">
        <v>2257</v>
      </c>
      <c r="E39" s="2" t="s">
        <v>4211</v>
      </c>
      <c r="F39" s="2" t="s">
        <v>4578</v>
      </c>
      <c r="G39" s="2" t="s">
        <v>274</v>
      </c>
      <c r="H39" s="2" t="s">
        <v>4579</v>
      </c>
      <c r="I39" s="2" t="s">
        <v>4580</v>
      </c>
    </row>
    <row r="40" spans="1:9" ht="43.5" customHeight="1" x14ac:dyDescent="0.5">
      <c r="A40" s="2" t="s">
        <v>661</v>
      </c>
      <c r="B40" s="2" t="s">
        <v>4618</v>
      </c>
      <c r="C40" s="2">
        <v>1</v>
      </c>
      <c r="D40" s="2" t="s">
        <v>2263</v>
      </c>
      <c r="E40" s="2" t="s">
        <v>4211</v>
      </c>
      <c r="F40" s="2" t="s">
        <v>4578</v>
      </c>
      <c r="G40" s="2" t="s">
        <v>274</v>
      </c>
      <c r="H40" s="2" t="s">
        <v>4579</v>
      </c>
      <c r="I40" s="2" t="s">
        <v>4580</v>
      </c>
    </row>
    <row r="41" spans="1:9" ht="43.5" customHeight="1" x14ac:dyDescent="0.5">
      <c r="A41" s="2" t="s">
        <v>671</v>
      </c>
      <c r="B41" s="2" t="s">
        <v>4619</v>
      </c>
      <c r="C41" s="2">
        <v>1</v>
      </c>
      <c r="D41" s="2" t="s">
        <v>2285</v>
      </c>
      <c r="E41" s="2" t="s">
        <v>4211</v>
      </c>
      <c r="F41" s="2" t="s">
        <v>4578</v>
      </c>
      <c r="G41" s="2" t="s">
        <v>274</v>
      </c>
      <c r="H41" s="2" t="s">
        <v>4579</v>
      </c>
      <c r="I41" s="2" t="s">
        <v>4580</v>
      </c>
    </row>
    <row r="42" spans="1:9" ht="43.5" customHeight="1" x14ac:dyDescent="0.5">
      <c r="A42" s="2" t="s">
        <v>675</v>
      </c>
      <c r="B42" s="2" t="s">
        <v>4620</v>
      </c>
      <c r="C42" s="2">
        <v>1</v>
      </c>
      <c r="D42" s="2" t="s">
        <v>2291</v>
      </c>
      <c r="E42" s="2" t="s">
        <v>4211</v>
      </c>
      <c r="F42" s="2" t="s">
        <v>4578</v>
      </c>
      <c r="G42" s="2" t="s">
        <v>274</v>
      </c>
      <c r="H42" s="2" t="s">
        <v>4579</v>
      </c>
      <c r="I42" s="2" t="s">
        <v>4580</v>
      </c>
    </row>
    <row r="43" spans="1:9" ht="43.5" customHeight="1" x14ac:dyDescent="0.5">
      <c r="A43" s="2" t="s">
        <v>690</v>
      </c>
      <c r="B43" s="2" t="s">
        <v>4621</v>
      </c>
      <c r="C43" s="2">
        <v>1</v>
      </c>
      <c r="D43" s="2" t="s">
        <v>2313</v>
      </c>
      <c r="E43" s="2" t="s">
        <v>4211</v>
      </c>
      <c r="F43" s="2" t="s">
        <v>4578</v>
      </c>
      <c r="G43" s="2" t="s">
        <v>274</v>
      </c>
      <c r="H43" s="2" t="s">
        <v>4579</v>
      </c>
      <c r="I43" s="2" t="s">
        <v>4580</v>
      </c>
    </row>
    <row r="44" spans="1:9" ht="43.5" customHeight="1" x14ac:dyDescent="0.5">
      <c r="A44" s="2" t="s">
        <v>693</v>
      </c>
      <c r="B44" s="2" t="s">
        <v>4622</v>
      </c>
      <c r="C44" s="2">
        <v>1</v>
      </c>
      <c r="D44" s="2" t="s">
        <v>2319</v>
      </c>
      <c r="E44" s="2" t="s">
        <v>4211</v>
      </c>
      <c r="F44" s="2" t="s">
        <v>4578</v>
      </c>
      <c r="G44" s="2" t="s">
        <v>274</v>
      </c>
      <c r="H44" s="2" t="s">
        <v>4579</v>
      </c>
      <c r="I44" s="2" t="s">
        <v>4580</v>
      </c>
    </row>
    <row r="45" spans="1:9" ht="43.5" customHeight="1" x14ac:dyDescent="0.5">
      <c r="A45" s="2" t="s">
        <v>708</v>
      </c>
      <c r="B45" s="2" t="s">
        <v>4623</v>
      </c>
      <c r="C45" s="2">
        <v>1</v>
      </c>
      <c r="D45" s="2" t="s">
        <v>2341</v>
      </c>
      <c r="E45" s="2" t="s">
        <v>4211</v>
      </c>
      <c r="F45" s="2" t="s">
        <v>4578</v>
      </c>
      <c r="G45" s="2" t="s">
        <v>274</v>
      </c>
      <c r="H45" s="2" t="s">
        <v>4579</v>
      </c>
      <c r="I45" s="2" t="s">
        <v>4580</v>
      </c>
    </row>
    <row r="46" spans="1:9" ht="43.5" customHeight="1" x14ac:dyDescent="0.5">
      <c r="A46" s="2" t="s">
        <v>713</v>
      </c>
      <c r="B46" s="2" t="s">
        <v>4624</v>
      </c>
      <c r="C46" s="2">
        <v>1</v>
      </c>
      <c r="D46" s="2" t="s">
        <v>2347</v>
      </c>
      <c r="E46" s="2" t="s">
        <v>4211</v>
      </c>
      <c r="F46" s="2" t="s">
        <v>4578</v>
      </c>
      <c r="G46" s="2" t="s">
        <v>274</v>
      </c>
      <c r="H46" s="2" t="s">
        <v>4579</v>
      </c>
      <c r="I46" s="2" t="s">
        <v>4580</v>
      </c>
    </row>
    <row r="47" spans="1:9" ht="43.5" customHeight="1" x14ac:dyDescent="0.5">
      <c r="A47" s="2" t="s">
        <v>729</v>
      </c>
      <c r="B47" s="2" t="s">
        <v>4625</v>
      </c>
      <c r="C47" s="2">
        <v>1</v>
      </c>
      <c r="D47" s="2" t="s">
        <v>2369</v>
      </c>
      <c r="E47" s="2" t="s">
        <v>4211</v>
      </c>
      <c r="F47" s="2" t="s">
        <v>4578</v>
      </c>
      <c r="G47" s="2" t="s">
        <v>274</v>
      </c>
      <c r="H47" s="2" t="s">
        <v>4579</v>
      </c>
      <c r="I47" s="2" t="s">
        <v>4580</v>
      </c>
    </row>
    <row r="48" spans="1:9" ht="43.5" customHeight="1" x14ac:dyDescent="0.5">
      <c r="A48" s="2" t="s">
        <v>733</v>
      </c>
      <c r="B48" s="2" t="s">
        <v>4626</v>
      </c>
      <c r="C48" s="2">
        <v>1</v>
      </c>
      <c r="D48" s="2" t="s">
        <v>2375</v>
      </c>
      <c r="E48" s="2" t="s">
        <v>4211</v>
      </c>
      <c r="F48" s="2" t="s">
        <v>4578</v>
      </c>
      <c r="G48" s="2" t="s">
        <v>274</v>
      </c>
      <c r="H48" s="2" t="s">
        <v>4579</v>
      </c>
      <c r="I48" s="2" t="s">
        <v>4580</v>
      </c>
    </row>
    <row r="49" spans="1:9" ht="43.5" customHeight="1" x14ac:dyDescent="0.5">
      <c r="A49" s="2" t="s">
        <v>748</v>
      </c>
      <c r="B49" s="2" t="s">
        <v>4627</v>
      </c>
      <c r="C49" s="2">
        <v>1</v>
      </c>
      <c r="D49" s="2" t="s">
        <v>2397</v>
      </c>
      <c r="E49" s="2" t="s">
        <v>4211</v>
      </c>
      <c r="F49" s="2" t="s">
        <v>4578</v>
      </c>
      <c r="G49" s="2" t="s">
        <v>274</v>
      </c>
      <c r="H49" s="2" t="s">
        <v>4579</v>
      </c>
      <c r="I49" s="2" t="s">
        <v>4580</v>
      </c>
    </row>
    <row r="50" spans="1:9" ht="43.5" customHeight="1" x14ac:dyDescent="0.5">
      <c r="A50" s="2" t="s">
        <v>752</v>
      </c>
      <c r="B50" s="2" t="s">
        <v>4628</v>
      </c>
      <c r="C50" s="2">
        <v>1</v>
      </c>
      <c r="D50" s="2" t="s">
        <v>2403</v>
      </c>
      <c r="E50" s="2" t="s">
        <v>4211</v>
      </c>
      <c r="F50" s="2" t="s">
        <v>4578</v>
      </c>
      <c r="G50" s="2" t="s">
        <v>274</v>
      </c>
      <c r="H50" s="2" t="s">
        <v>4579</v>
      </c>
      <c r="I50" s="2" t="s">
        <v>4580</v>
      </c>
    </row>
    <row r="51" spans="1:9" ht="43.5" customHeight="1" x14ac:dyDescent="0.5">
      <c r="A51" s="2" t="s">
        <v>767</v>
      </c>
      <c r="B51" s="2" t="s">
        <v>4629</v>
      </c>
      <c r="C51" s="2">
        <v>1</v>
      </c>
      <c r="D51" s="2" t="s">
        <v>2425</v>
      </c>
      <c r="E51" s="2" t="s">
        <v>4211</v>
      </c>
      <c r="F51" s="2" t="s">
        <v>4578</v>
      </c>
      <c r="G51" s="2" t="s">
        <v>274</v>
      </c>
      <c r="H51" s="2" t="s">
        <v>4579</v>
      </c>
      <c r="I51" s="2" t="s">
        <v>4580</v>
      </c>
    </row>
    <row r="52" spans="1:9" ht="43.5" customHeight="1" x14ac:dyDescent="0.5">
      <c r="A52" s="2" t="s">
        <v>772</v>
      </c>
      <c r="B52" s="2" t="s">
        <v>4630</v>
      </c>
      <c r="C52" s="2">
        <v>1</v>
      </c>
      <c r="D52" s="2" t="s">
        <v>2431</v>
      </c>
      <c r="E52" s="2" t="s">
        <v>4211</v>
      </c>
      <c r="F52" s="2" t="s">
        <v>4578</v>
      </c>
      <c r="G52" s="2" t="s">
        <v>274</v>
      </c>
      <c r="H52" s="2" t="s">
        <v>4579</v>
      </c>
      <c r="I52" s="2" t="s">
        <v>4580</v>
      </c>
    </row>
    <row r="53" spans="1:9" ht="43.5" customHeight="1" x14ac:dyDescent="0.5">
      <c r="A53" s="2" t="s">
        <v>788</v>
      </c>
      <c r="B53" s="2" t="s">
        <v>4631</v>
      </c>
      <c r="C53" s="2">
        <v>1</v>
      </c>
      <c r="D53" s="2" t="s">
        <v>2453</v>
      </c>
      <c r="E53" s="2" t="s">
        <v>4211</v>
      </c>
      <c r="F53" s="2" t="s">
        <v>4578</v>
      </c>
      <c r="G53" s="2" t="s">
        <v>297</v>
      </c>
      <c r="H53" s="2" t="s">
        <v>4579</v>
      </c>
      <c r="I53" s="2" t="s">
        <v>4580</v>
      </c>
    </row>
    <row r="54" spans="1:9" ht="43.5" customHeight="1" x14ac:dyDescent="0.5">
      <c r="A54" s="2" t="s">
        <v>794</v>
      </c>
      <c r="B54" s="2" t="s">
        <v>4632</v>
      </c>
      <c r="C54" s="2">
        <v>1</v>
      </c>
      <c r="D54" s="2" t="s">
        <v>2459</v>
      </c>
      <c r="E54" s="2" t="s">
        <v>4211</v>
      </c>
      <c r="F54" s="2" t="s">
        <v>4578</v>
      </c>
      <c r="G54" s="2" t="s">
        <v>274</v>
      </c>
      <c r="H54" s="2" t="s">
        <v>4579</v>
      </c>
      <c r="I54" s="2" t="s">
        <v>4580</v>
      </c>
    </row>
    <row r="55" spans="1:9" ht="43.5" customHeight="1" x14ac:dyDescent="0.5">
      <c r="A55" s="2" t="s">
        <v>799</v>
      </c>
      <c r="B55" s="2" t="s">
        <v>4633</v>
      </c>
      <c r="C55" s="2">
        <v>1</v>
      </c>
      <c r="D55" s="2" t="s">
        <v>2465</v>
      </c>
      <c r="E55" s="2" t="s">
        <v>4211</v>
      </c>
      <c r="F55" s="2" t="s">
        <v>4578</v>
      </c>
      <c r="G55" s="2" t="s">
        <v>274</v>
      </c>
      <c r="H55" s="2" t="s">
        <v>4579</v>
      </c>
      <c r="I55" s="2" t="s">
        <v>4580</v>
      </c>
    </row>
    <row r="56" spans="1:9" ht="43.5" customHeight="1" x14ac:dyDescent="0.5">
      <c r="A56" s="2" t="s">
        <v>819</v>
      </c>
      <c r="B56" s="2" t="s">
        <v>4634</v>
      </c>
      <c r="C56" s="2">
        <v>1</v>
      </c>
      <c r="D56" s="2" t="s">
        <v>2487</v>
      </c>
      <c r="E56" s="2" t="s">
        <v>4211</v>
      </c>
      <c r="F56" s="2" t="s">
        <v>4578</v>
      </c>
      <c r="G56" s="2" t="s">
        <v>297</v>
      </c>
      <c r="H56" s="2" t="s">
        <v>4579</v>
      </c>
      <c r="I56" s="2" t="s">
        <v>4580</v>
      </c>
    </row>
    <row r="57" spans="1:9" ht="43.5" customHeight="1" x14ac:dyDescent="0.5">
      <c r="A57" s="2" t="s">
        <v>823</v>
      </c>
      <c r="B57" s="2" t="s">
        <v>4635</v>
      </c>
      <c r="C57" s="2">
        <v>1</v>
      </c>
      <c r="D57" s="2" t="s">
        <v>2493</v>
      </c>
      <c r="E57" s="2" t="s">
        <v>4211</v>
      </c>
      <c r="F57" s="2" t="s">
        <v>4578</v>
      </c>
      <c r="G57" s="2" t="s">
        <v>274</v>
      </c>
      <c r="H57" s="2" t="s">
        <v>4579</v>
      </c>
      <c r="I57" s="2" t="s">
        <v>4580</v>
      </c>
    </row>
    <row r="58" spans="1:9" ht="43.5" customHeight="1" x14ac:dyDescent="0.5">
      <c r="A58" s="2" t="s">
        <v>827</v>
      </c>
      <c r="B58" s="2" t="s">
        <v>4636</v>
      </c>
      <c r="C58" s="2">
        <v>1</v>
      </c>
      <c r="D58" s="2" t="s">
        <v>2499</v>
      </c>
      <c r="E58" s="2" t="s">
        <v>4211</v>
      </c>
      <c r="F58" s="2" t="s">
        <v>4578</v>
      </c>
      <c r="G58" s="2" t="s">
        <v>274</v>
      </c>
      <c r="H58" s="2" t="s">
        <v>4579</v>
      </c>
      <c r="I58" s="2" t="s">
        <v>4580</v>
      </c>
    </row>
    <row r="59" spans="1:9" ht="43.5" customHeight="1" x14ac:dyDescent="0.5">
      <c r="A59" s="2" t="s">
        <v>845</v>
      </c>
      <c r="B59" s="2" t="s">
        <v>4637</v>
      </c>
      <c r="C59" s="2">
        <v>1</v>
      </c>
      <c r="D59" s="2" t="s">
        <v>2521</v>
      </c>
      <c r="E59" s="2" t="s">
        <v>4211</v>
      </c>
      <c r="F59" s="2" t="s">
        <v>4578</v>
      </c>
      <c r="G59" s="2" t="s">
        <v>297</v>
      </c>
      <c r="H59" s="2" t="s">
        <v>4579</v>
      </c>
      <c r="I59" s="2" t="s">
        <v>4580</v>
      </c>
    </row>
    <row r="60" spans="1:9" ht="43.5" customHeight="1" x14ac:dyDescent="0.5">
      <c r="A60" s="2" t="s">
        <v>849</v>
      </c>
      <c r="B60" s="2" t="s">
        <v>4638</v>
      </c>
      <c r="C60" s="2">
        <v>1</v>
      </c>
      <c r="D60" s="2" t="s">
        <v>2527</v>
      </c>
      <c r="E60" s="2" t="s">
        <v>4211</v>
      </c>
      <c r="F60" s="2" t="s">
        <v>4578</v>
      </c>
      <c r="G60" s="2" t="s">
        <v>274</v>
      </c>
      <c r="H60" s="2" t="s">
        <v>4579</v>
      </c>
      <c r="I60" s="2" t="s">
        <v>4580</v>
      </c>
    </row>
    <row r="61" spans="1:9" ht="43.5" customHeight="1" x14ac:dyDescent="0.5">
      <c r="A61" s="2" t="s">
        <v>854</v>
      </c>
      <c r="B61" s="2" t="s">
        <v>4639</v>
      </c>
      <c r="C61" s="2">
        <v>1</v>
      </c>
      <c r="D61" s="2" t="s">
        <v>2533</v>
      </c>
      <c r="E61" s="2" t="s">
        <v>4211</v>
      </c>
      <c r="F61" s="2" t="s">
        <v>4578</v>
      </c>
      <c r="G61" s="2" t="s">
        <v>274</v>
      </c>
      <c r="H61" s="2" t="s">
        <v>4579</v>
      </c>
      <c r="I61" s="2" t="s">
        <v>4580</v>
      </c>
    </row>
    <row r="62" spans="1:9" ht="43.5" customHeight="1" x14ac:dyDescent="0.5">
      <c r="A62" s="2" t="s">
        <v>874</v>
      </c>
      <c r="B62" s="2" t="s">
        <v>4640</v>
      </c>
      <c r="C62" s="2">
        <v>1</v>
      </c>
      <c r="D62" s="2" t="s">
        <v>2555</v>
      </c>
      <c r="E62" s="2" t="s">
        <v>4211</v>
      </c>
      <c r="F62" s="2" t="s">
        <v>4578</v>
      </c>
      <c r="G62" s="2" t="s">
        <v>297</v>
      </c>
      <c r="H62" s="2" t="s">
        <v>4579</v>
      </c>
      <c r="I62" s="2" t="s">
        <v>4580</v>
      </c>
    </row>
    <row r="63" spans="1:9" ht="43.5" customHeight="1" x14ac:dyDescent="0.5">
      <c r="A63" s="2" t="s">
        <v>878</v>
      </c>
      <c r="B63" s="2" t="s">
        <v>4641</v>
      </c>
      <c r="C63" s="2">
        <v>1</v>
      </c>
      <c r="D63" s="2" t="s">
        <v>2561</v>
      </c>
      <c r="E63" s="2" t="s">
        <v>4211</v>
      </c>
      <c r="F63" s="2" t="s">
        <v>4578</v>
      </c>
      <c r="G63" s="2" t="s">
        <v>274</v>
      </c>
      <c r="H63" s="2" t="s">
        <v>4579</v>
      </c>
      <c r="I63" s="2" t="s">
        <v>4580</v>
      </c>
    </row>
    <row r="64" spans="1:9" ht="43.5" customHeight="1" x14ac:dyDescent="0.5">
      <c r="A64" s="2" t="s">
        <v>881</v>
      </c>
      <c r="B64" s="2" t="s">
        <v>4642</v>
      </c>
      <c r="C64" s="2">
        <v>1</v>
      </c>
      <c r="D64" s="2" t="s">
        <v>2567</v>
      </c>
      <c r="E64" s="2" t="s">
        <v>4211</v>
      </c>
      <c r="F64" s="2" t="s">
        <v>4578</v>
      </c>
      <c r="G64" s="2" t="s">
        <v>274</v>
      </c>
      <c r="H64" s="2" t="s">
        <v>4579</v>
      </c>
      <c r="I64" s="2" t="s">
        <v>4580</v>
      </c>
    </row>
    <row r="65" spans="1:9" ht="43.5" customHeight="1" x14ac:dyDescent="0.5">
      <c r="A65" s="2" t="s">
        <v>891</v>
      </c>
      <c r="B65" s="2" t="s">
        <v>4643</v>
      </c>
      <c r="C65" s="2">
        <v>1</v>
      </c>
      <c r="D65" s="2" t="s">
        <v>2589</v>
      </c>
      <c r="E65" s="2" t="s">
        <v>4211</v>
      </c>
      <c r="F65" s="2" t="s">
        <v>4578</v>
      </c>
      <c r="G65" s="2" t="s">
        <v>297</v>
      </c>
      <c r="H65" s="2" t="s">
        <v>4579</v>
      </c>
      <c r="I65" s="2" t="s">
        <v>4580</v>
      </c>
    </row>
    <row r="66" spans="1:9" ht="43.5" customHeight="1" x14ac:dyDescent="0.5">
      <c r="A66" s="2" t="s">
        <v>893</v>
      </c>
      <c r="B66" s="2" t="s">
        <v>4644</v>
      </c>
      <c r="C66" s="2">
        <v>1</v>
      </c>
      <c r="D66" s="2" t="s">
        <v>2595</v>
      </c>
      <c r="E66" s="2" t="s">
        <v>4211</v>
      </c>
      <c r="F66" s="2" t="s">
        <v>4578</v>
      </c>
      <c r="G66" s="2" t="s">
        <v>274</v>
      </c>
      <c r="H66" s="2" t="s">
        <v>4579</v>
      </c>
      <c r="I66" s="2" t="s">
        <v>4580</v>
      </c>
    </row>
    <row r="67" spans="1:9" ht="43.5" customHeight="1" x14ac:dyDescent="0.5">
      <c r="A67" s="2" t="s">
        <v>896</v>
      </c>
      <c r="B67" s="2" t="s">
        <v>4645</v>
      </c>
      <c r="C67" s="2">
        <v>1</v>
      </c>
      <c r="D67" s="2" t="s">
        <v>2601</v>
      </c>
      <c r="E67" s="2" t="s">
        <v>4211</v>
      </c>
      <c r="F67" s="2" t="s">
        <v>4578</v>
      </c>
      <c r="G67" s="2" t="s">
        <v>274</v>
      </c>
      <c r="H67" s="2" t="s">
        <v>4579</v>
      </c>
      <c r="I67" s="2" t="s">
        <v>4580</v>
      </c>
    </row>
    <row r="68" spans="1:9" ht="43.5" customHeight="1" x14ac:dyDescent="0.5">
      <c r="A68" s="2" t="s">
        <v>906</v>
      </c>
      <c r="B68" s="2" t="s">
        <v>4646</v>
      </c>
      <c r="C68" s="2">
        <v>1</v>
      </c>
      <c r="D68" s="2" t="s">
        <v>2623</v>
      </c>
      <c r="E68" s="2" t="s">
        <v>4211</v>
      </c>
      <c r="F68" s="2" t="s">
        <v>4578</v>
      </c>
      <c r="G68" s="2" t="s">
        <v>297</v>
      </c>
      <c r="H68" s="2" t="s">
        <v>4579</v>
      </c>
      <c r="I68" s="2" t="s">
        <v>4580</v>
      </c>
    </row>
    <row r="69" spans="1:9" ht="43.5" customHeight="1" x14ac:dyDescent="0.5">
      <c r="A69" s="2" t="s">
        <v>908</v>
      </c>
      <c r="B69" s="2" t="s">
        <v>4647</v>
      </c>
      <c r="C69" s="2">
        <v>1</v>
      </c>
      <c r="D69" s="2" t="s">
        <v>2629</v>
      </c>
      <c r="E69" s="2" t="s">
        <v>4211</v>
      </c>
      <c r="F69" s="2" t="s">
        <v>4578</v>
      </c>
      <c r="G69" s="2" t="s">
        <v>274</v>
      </c>
      <c r="H69" s="2" t="s">
        <v>4579</v>
      </c>
      <c r="I69" s="2" t="s">
        <v>4580</v>
      </c>
    </row>
    <row r="70" spans="1:9" ht="43.5" customHeight="1" x14ac:dyDescent="0.5">
      <c r="A70" s="2" t="s">
        <v>913</v>
      </c>
      <c r="B70" s="2" t="s">
        <v>4648</v>
      </c>
      <c r="C70" s="2">
        <v>1</v>
      </c>
      <c r="D70" s="2" t="s">
        <v>2635</v>
      </c>
      <c r="E70" s="2" t="s">
        <v>4211</v>
      </c>
      <c r="F70" s="2" t="s">
        <v>4578</v>
      </c>
      <c r="G70" s="2" t="s">
        <v>274</v>
      </c>
      <c r="H70" s="2" t="s">
        <v>4579</v>
      </c>
      <c r="I70" s="2" t="s">
        <v>4580</v>
      </c>
    </row>
    <row r="71" spans="1:9" ht="43.5" customHeight="1" x14ac:dyDescent="0.5">
      <c r="A71" s="2" t="s">
        <v>933</v>
      </c>
      <c r="B71" s="2" t="s">
        <v>4649</v>
      </c>
      <c r="C71" s="2">
        <v>1</v>
      </c>
      <c r="D71" s="2" t="s">
        <v>2657</v>
      </c>
      <c r="E71" s="2" t="s">
        <v>4211</v>
      </c>
      <c r="F71" s="2" t="s">
        <v>4578</v>
      </c>
      <c r="G71" s="2" t="s">
        <v>297</v>
      </c>
      <c r="H71" s="2" t="s">
        <v>4579</v>
      </c>
      <c r="I71" s="2" t="s">
        <v>4580</v>
      </c>
    </row>
    <row r="72" spans="1:9" ht="43.5" customHeight="1" x14ac:dyDescent="0.5">
      <c r="A72" s="2" t="s">
        <v>937</v>
      </c>
      <c r="B72" s="2" t="s">
        <v>4650</v>
      </c>
      <c r="C72" s="2">
        <v>1</v>
      </c>
      <c r="D72" s="2" t="s">
        <v>2663</v>
      </c>
      <c r="E72" s="2" t="s">
        <v>4211</v>
      </c>
      <c r="F72" s="2" t="s">
        <v>4578</v>
      </c>
      <c r="G72" s="2" t="s">
        <v>274</v>
      </c>
      <c r="H72" s="2" t="s">
        <v>4579</v>
      </c>
      <c r="I72" s="2" t="s">
        <v>4580</v>
      </c>
    </row>
    <row r="73" spans="1:9" ht="43.5" customHeight="1" x14ac:dyDescent="0.5">
      <c r="A73" s="2" t="s">
        <v>941</v>
      </c>
      <c r="B73" s="2" t="s">
        <v>4651</v>
      </c>
      <c r="C73" s="2">
        <v>1</v>
      </c>
      <c r="D73" s="2" t="s">
        <v>2669</v>
      </c>
      <c r="E73" s="2" t="s">
        <v>4211</v>
      </c>
      <c r="F73" s="2" t="s">
        <v>4578</v>
      </c>
      <c r="G73" s="2" t="s">
        <v>274</v>
      </c>
      <c r="H73" s="2" t="s">
        <v>4579</v>
      </c>
      <c r="I73" s="2" t="s">
        <v>4580</v>
      </c>
    </row>
    <row r="74" spans="1:9" ht="43.5" customHeight="1" x14ac:dyDescent="0.5">
      <c r="A74" s="2" t="s">
        <v>956</v>
      </c>
      <c r="B74" s="2" t="s">
        <v>4652</v>
      </c>
      <c r="C74" s="2">
        <v>1</v>
      </c>
      <c r="D74" s="2" t="s">
        <v>2691</v>
      </c>
      <c r="E74" s="2" t="s">
        <v>4211</v>
      </c>
      <c r="F74" s="2" t="s">
        <v>4578</v>
      </c>
      <c r="G74" s="2" t="s">
        <v>297</v>
      </c>
      <c r="H74" s="2" t="s">
        <v>4579</v>
      </c>
      <c r="I74" s="2" t="s">
        <v>4580</v>
      </c>
    </row>
    <row r="75" spans="1:9" ht="43.5" customHeight="1" x14ac:dyDescent="0.5">
      <c r="A75" s="2" t="s">
        <v>959</v>
      </c>
      <c r="B75" s="2" t="s">
        <v>4653</v>
      </c>
      <c r="C75" s="2">
        <v>1</v>
      </c>
      <c r="D75" s="2" t="s">
        <v>2697</v>
      </c>
      <c r="E75" s="2" t="s">
        <v>4211</v>
      </c>
      <c r="F75" s="2" t="s">
        <v>4578</v>
      </c>
      <c r="G75" s="2" t="s">
        <v>274</v>
      </c>
      <c r="H75" s="2" t="s">
        <v>4579</v>
      </c>
      <c r="I75" s="2" t="s">
        <v>4580</v>
      </c>
    </row>
    <row r="76" spans="1:9" ht="43.5" customHeight="1" x14ac:dyDescent="0.5">
      <c r="A76" s="2" t="s">
        <v>963</v>
      </c>
      <c r="B76" s="2" t="s">
        <v>4654</v>
      </c>
      <c r="C76" s="2">
        <v>1</v>
      </c>
      <c r="D76" s="2" t="s">
        <v>2703</v>
      </c>
      <c r="E76" s="2" t="s">
        <v>4211</v>
      </c>
      <c r="F76" s="2" t="s">
        <v>4578</v>
      </c>
      <c r="G76" s="2" t="s">
        <v>274</v>
      </c>
      <c r="H76" s="2" t="s">
        <v>4579</v>
      </c>
      <c r="I76" s="2" t="s">
        <v>4580</v>
      </c>
    </row>
    <row r="77" spans="1:9" ht="43.5" customHeight="1" x14ac:dyDescent="0.5">
      <c r="A77" s="2" t="s">
        <v>978</v>
      </c>
      <c r="B77" s="2" t="s">
        <v>4655</v>
      </c>
      <c r="C77" s="2">
        <v>1</v>
      </c>
      <c r="D77" s="2" t="s">
        <v>2725</v>
      </c>
      <c r="E77" s="2" t="s">
        <v>4211</v>
      </c>
      <c r="F77" s="2" t="s">
        <v>4578</v>
      </c>
      <c r="G77" s="2" t="s">
        <v>297</v>
      </c>
      <c r="H77" s="2" t="s">
        <v>4579</v>
      </c>
      <c r="I77" s="2" t="s">
        <v>4580</v>
      </c>
    </row>
    <row r="78" spans="1:9" ht="43.5" customHeight="1" x14ac:dyDescent="0.5">
      <c r="A78" s="2" t="s">
        <v>981</v>
      </c>
      <c r="B78" s="2" t="s">
        <v>4656</v>
      </c>
      <c r="C78" s="2">
        <v>1</v>
      </c>
      <c r="D78" s="2" t="s">
        <v>2731</v>
      </c>
      <c r="E78" s="2" t="s">
        <v>4211</v>
      </c>
      <c r="F78" s="2" t="s">
        <v>4578</v>
      </c>
      <c r="G78" s="2" t="s">
        <v>274</v>
      </c>
      <c r="H78" s="2" t="s">
        <v>4579</v>
      </c>
      <c r="I78" s="2" t="s">
        <v>4580</v>
      </c>
    </row>
    <row r="79" spans="1:9" ht="43.5" customHeight="1" x14ac:dyDescent="0.5">
      <c r="A79" s="2" t="s">
        <v>985</v>
      </c>
      <c r="B79" s="2" t="s">
        <v>4657</v>
      </c>
      <c r="C79" s="2">
        <v>1</v>
      </c>
      <c r="D79" s="2" t="s">
        <v>2737</v>
      </c>
      <c r="E79" s="2" t="s">
        <v>4211</v>
      </c>
      <c r="F79" s="2" t="s">
        <v>4578</v>
      </c>
      <c r="G79" s="2" t="s">
        <v>274</v>
      </c>
      <c r="H79" s="2" t="s">
        <v>4579</v>
      </c>
      <c r="I79" s="2" t="s">
        <v>4580</v>
      </c>
    </row>
    <row r="80" spans="1:9" ht="43.5" customHeight="1" x14ac:dyDescent="0.5">
      <c r="A80" s="2" t="s">
        <v>1005</v>
      </c>
      <c r="B80" s="2" t="s">
        <v>4658</v>
      </c>
      <c r="C80" s="2">
        <v>1</v>
      </c>
      <c r="D80" s="2" t="s">
        <v>2759</v>
      </c>
      <c r="E80" s="2" t="s">
        <v>4211</v>
      </c>
      <c r="F80" s="2" t="s">
        <v>4578</v>
      </c>
      <c r="G80" s="2" t="s">
        <v>297</v>
      </c>
      <c r="H80" s="2" t="s">
        <v>4579</v>
      </c>
      <c r="I80" s="2" t="s">
        <v>4580</v>
      </c>
    </row>
    <row r="81" spans="1:9" ht="43.5" customHeight="1" x14ac:dyDescent="0.5">
      <c r="A81" s="2" t="s">
        <v>1009</v>
      </c>
      <c r="B81" s="2" t="s">
        <v>4659</v>
      </c>
      <c r="C81" s="2">
        <v>1</v>
      </c>
      <c r="D81" s="2" t="s">
        <v>2765</v>
      </c>
      <c r="E81" s="2" t="s">
        <v>4211</v>
      </c>
      <c r="F81" s="2" t="s">
        <v>4578</v>
      </c>
      <c r="G81" s="2" t="s">
        <v>274</v>
      </c>
      <c r="H81" s="2" t="s">
        <v>4579</v>
      </c>
      <c r="I81" s="2" t="s">
        <v>4580</v>
      </c>
    </row>
    <row r="82" spans="1:9" ht="43.5" customHeight="1" x14ac:dyDescent="0.5">
      <c r="A82" s="2" t="s">
        <v>1014</v>
      </c>
      <c r="B82" s="2" t="s">
        <v>4660</v>
      </c>
      <c r="C82" s="2">
        <v>1</v>
      </c>
      <c r="D82" s="2" t="s">
        <v>2771</v>
      </c>
      <c r="E82" s="2" t="s">
        <v>4211</v>
      </c>
      <c r="F82" s="2" t="s">
        <v>4578</v>
      </c>
      <c r="G82" s="2" t="s">
        <v>274</v>
      </c>
      <c r="H82" s="2" t="s">
        <v>4579</v>
      </c>
      <c r="I82" s="2" t="s">
        <v>4580</v>
      </c>
    </row>
    <row r="83" spans="1:9" ht="43.5" customHeight="1" x14ac:dyDescent="0.5">
      <c r="A83" s="2" t="s">
        <v>1037</v>
      </c>
      <c r="B83" s="2" t="s">
        <v>4661</v>
      </c>
      <c r="C83" s="2">
        <v>1</v>
      </c>
      <c r="D83" s="2" t="s">
        <v>2797</v>
      </c>
      <c r="E83" s="2" t="s">
        <v>4211</v>
      </c>
      <c r="F83" s="2" t="s">
        <v>4578</v>
      </c>
      <c r="G83" s="2" t="s">
        <v>274</v>
      </c>
      <c r="H83" s="2" t="s">
        <v>4579</v>
      </c>
      <c r="I83" s="2" t="s">
        <v>4580</v>
      </c>
    </row>
    <row r="84" spans="1:9" ht="43.5" customHeight="1" x14ac:dyDescent="0.5">
      <c r="A84" s="2" t="s">
        <v>1042</v>
      </c>
      <c r="B84" s="2" t="s">
        <v>4662</v>
      </c>
      <c r="C84" s="2">
        <v>1</v>
      </c>
      <c r="D84" s="2" t="s">
        <v>2803</v>
      </c>
      <c r="E84" s="2" t="s">
        <v>4211</v>
      </c>
      <c r="F84" s="2" t="s">
        <v>4578</v>
      </c>
      <c r="G84" s="2" t="s">
        <v>274</v>
      </c>
      <c r="H84" s="2" t="s">
        <v>4579</v>
      </c>
      <c r="I84" s="2" t="s">
        <v>4580</v>
      </c>
    </row>
    <row r="85" spans="1:9" ht="43.5" customHeight="1" x14ac:dyDescent="0.5">
      <c r="A85" s="2" t="s">
        <v>1061</v>
      </c>
      <c r="B85" s="2" t="s">
        <v>4663</v>
      </c>
      <c r="C85" s="2">
        <v>1</v>
      </c>
      <c r="D85" s="2" t="s">
        <v>2829</v>
      </c>
      <c r="E85" s="2" t="s">
        <v>4211</v>
      </c>
      <c r="F85" s="2" t="s">
        <v>4578</v>
      </c>
      <c r="G85" s="2" t="s">
        <v>274</v>
      </c>
      <c r="H85" s="2" t="s">
        <v>4579</v>
      </c>
      <c r="I85" s="2" t="s">
        <v>4580</v>
      </c>
    </row>
    <row r="86" spans="1:9" ht="43.5" customHeight="1" x14ac:dyDescent="0.5">
      <c r="A86" s="2" t="s">
        <v>1065</v>
      </c>
      <c r="B86" s="2" t="s">
        <v>4664</v>
      </c>
      <c r="C86" s="2">
        <v>1</v>
      </c>
      <c r="D86" s="2" t="s">
        <v>2835</v>
      </c>
      <c r="E86" s="2" t="s">
        <v>4211</v>
      </c>
      <c r="F86" s="2" t="s">
        <v>4578</v>
      </c>
      <c r="G86" s="2" t="s">
        <v>274</v>
      </c>
      <c r="H86" s="2" t="s">
        <v>4579</v>
      </c>
      <c r="I86" s="2" t="s">
        <v>4580</v>
      </c>
    </row>
    <row r="87" spans="1:9" ht="43.5" customHeight="1" x14ac:dyDescent="0.5">
      <c r="A87" s="2" t="s">
        <v>1080</v>
      </c>
      <c r="B87" s="2" t="s">
        <v>4665</v>
      </c>
      <c r="C87" s="2">
        <v>1</v>
      </c>
      <c r="D87" s="2" t="s">
        <v>2857</v>
      </c>
      <c r="E87" s="2" t="s">
        <v>4211</v>
      </c>
      <c r="F87" s="2" t="s">
        <v>4578</v>
      </c>
      <c r="G87" s="2" t="s">
        <v>274</v>
      </c>
      <c r="H87" s="2" t="s">
        <v>4579</v>
      </c>
      <c r="I87" s="2" t="s">
        <v>4580</v>
      </c>
    </row>
    <row r="88" spans="1:9" ht="43.5" customHeight="1" x14ac:dyDescent="0.5">
      <c r="A88" s="2" t="s">
        <v>1083</v>
      </c>
      <c r="B88" s="2" t="s">
        <v>4666</v>
      </c>
      <c r="C88" s="2">
        <v>1</v>
      </c>
      <c r="D88" s="2" t="s">
        <v>2863</v>
      </c>
      <c r="E88" s="2" t="s">
        <v>4211</v>
      </c>
      <c r="F88" s="2" t="s">
        <v>4578</v>
      </c>
      <c r="G88" s="2" t="s">
        <v>274</v>
      </c>
      <c r="H88" s="2" t="s">
        <v>4579</v>
      </c>
      <c r="I88" s="2" t="s">
        <v>4580</v>
      </c>
    </row>
    <row r="89" spans="1:9" ht="43.5" customHeight="1" x14ac:dyDescent="0.5">
      <c r="A89" s="2" t="s">
        <v>1098</v>
      </c>
      <c r="B89" s="2" t="s">
        <v>4667</v>
      </c>
      <c r="C89" s="2">
        <v>1</v>
      </c>
      <c r="D89" s="2" t="s">
        <v>2885</v>
      </c>
      <c r="E89" s="2" t="s">
        <v>4211</v>
      </c>
      <c r="F89" s="2" t="s">
        <v>4578</v>
      </c>
      <c r="G89" s="2" t="s">
        <v>274</v>
      </c>
      <c r="H89" s="2" t="s">
        <v>4579</v>
      </c>
      <c r="I89" s="2" t="s">
        <v>4580</v>
      </c>
    </row>
    <row r="90" spans="1:9" ht="43.5" customHeight="1" x14ac:dyDescent="0.5">
      <c r="A90" s="2" t="s">
        <v>1103</v>
      </c>
      <c r="B90" s="2" t="s">
        <v>4668</v>
      </c>
      <c r="C90" s="2">
        <v>1</v>
      </c>
      <c r="D90" s="2" t="s">
        <v>2891</v>
      </c>
      <c r="E90" s="2" t="s">
        <v>4211</v>
      </c>
      <c r="F90" s="2" t="s">
        <v>4578</v>
      </c>
      <c r="G90" s="2" t="s">
        <v>274</v>
      </c>
      <c r="H90" s="2" t="s">
        <v>4579</v>
      </c>
      <c r="I90" s="2" t="s">
        <v>4580</v>
      </c>
    </row>
    <row r="91" spans="1:9" ht="43.5" customHeight="1" x14ac:dyDescent="0.5">
      <c r="A91" s="2" t="s">
        <v>1123</v>
      </c>
      <c r="B91" s="2" t="s">
        <v>4669</v>
      </c>
      <c r="C91" s="2">
        <v>1</v>
      </c>
      <c r="D91" s="2" t="s">
        <v>2913</v>
      </c>
      <c r="E91" s="2" t="s">
        <v>4211</v>
      </c>
      <c r="F91" s="2" t="s">
        <v>4578</v>
      </c>
      <c r="G91" s="2" t="s">
        <v>274</v>
      </c>
      <c r="H91" s="2" t="s">
        <v>4579</v>
      </c>
      <c r="I91" s="2" t="s">
        <v>4580</v>
      </c>
    </row>
    <row r="92" spans="1:9" ht="43.5" customHeight="1" x14ac:dyDescent="0.5">
      <c r="A92" s="2" t="s">
        <v>1126</v>
      </c>
      <c r="B92" s="2" t="s">
        <v>4670</v>
      </c>
      <c r="C92" s="2">
        <v>1</v>
      </c>
      <c r="D92" s="2" t="s">
        <v>2919</v>
      </c>
      <c r="E92" s="2" t="s">
        <v>4211</v>
      </c>
      <c r="F92" s="2" t="s">
        <v>4578</v>
      </c>
      <c r="G92" s="2" t="s">
        <v>274</v>
      </c>
      <c r="H92" s="2" t="s">
        <v>4579</v>
      </c>
      <c r="I92" s="2" t="s">
        <v>4580</v>
      </c>
    </row>
    <row r="93" spans="1:9" ht="43.5" customHeight="1" x14ac:dyDescent="0.5">
      <c r="A93" s="2" t="s">
        <v>1141</v>
      </c>
      <c r="B93" s="2" t="s">
        <v>4671</v>
      </c>
      <c r="C93" s="2">
        <v>1</v>
      </c>
      <c r="D93" s="2" t="s">
        <v>2941</v>
      </c>
      <c r="E93" s="2" t="s">
        <v>4211</v>
      </c>
      <c r="F93" s="2" t="s">
        <v>4578</v>
      </c>
      <c r="G93" s="2" t="s">
        <v>274</v>
      </c>
      <c r="H93" s="2" t="s">
        <v>4579</v>
      </c>
      <c r="I93" s="2" t="s">
        <v>4580</v>
      </c>
    </row>
    <row r="94" spans="1:9" ht="43.5" customHeight="1" x14ac:dyDescent="0.5">
      <c r="A94" s="2" t="s">
        <v>1144</v>
      </c>
      <c r="B94" s="2" t="s">
        <v>4672</v>
      </c>
      <c r="C94" s="2">
        <v>1</v>
      </c>
      <c r="D94" s="2" t="s">
        <v>2947</v>
      </c>
      <c r="E94" s="2" t="s">
        <v>4211</v>
      </c>
      <c r="F94" s="2" t="s">
        <v>4578</v>
      </c>
      <c r="G94" s="2" t="s">
        <v>274</v>
      </c>
      <c r="H94" s="2" t="s">
        <v>4579</v>
      </c>
      <c r="I94" s="2" t="s">
        <v>4580</v>
      </c>
    </row>
    <row r="95" spans="1:9" ht="43.5" customHeight="1" x14ac:dyDescent="0.5">
      <c r="A95" s="2" t="s">
        <v>1154</v>
      </c>
      <c r="B95" s="2" t="s">
        <v>4673</v>
      </c>
      <c r="C95" s="2">
        <v>1</v>
      </c>
      <c r="D95" s="2" t="s">
        <v>2969</v>
      </c>
      <c r="E95" s="2" t="s">
        <v>4211</v>
      </c>
      <c r="F95" s="2" t="s">
        <v>4578</v>
      </c>
      <c r="G95" s="2" t="s">
        <v>274</v>
      </c>
      <c r="H95" s="2" t="s">
        <v>4579</v>
      </c>
      <c r="I95" s="2" t="s">
        <v>4580</v>
      </c>
    </row>
    <row r="96" spans="1:9" ht="43.5" customHeight="1" x14ac:dyDescent="0.5">
      <c r="A96" s="2" t="s">
        <v>1157</v>
      </c>
      <c r="B96" s="2" t="s">
        <v>4674</v>
      </c>
      <c r="C96" s="2">
        <v>1</v>
      </c>
      <c r="D96" s="2" t="s">
        <v>2975</v>
      </c>
      <c r="E96" s="2" t="s">
        <v>4211</v>
      </c>
      <c r="F96" s="2" t="s">
        <v>4578</v>
      </c>
      <c r="G96" s="2" t="s">
        <v>274</v>
      </c>
      <c r="H96" s="2" t="s">
        <v>4579</v>
      </c>
      <c r="I96" s="2" t="s">
        <v>4580</v>
      </c>
    </row>
    <row r="97" spans="1:9" ht="43.5" customHeight="1" x14ac:dyDescent="0.5">
      <c r="A97" s="2" t="s">
        <v>1167</v>
      </c>
      <c r="B97" s="2" t="s">
        <v>4675</v>
      </c>
      <c r="C97" s="2">
        <v>1</v>
      </c>
      <c r="D97" s="2" t="s">
        <v>2997</v>
      </c>
      <c r="E97" s="2" t="s">
        <v>4211</v>
      </c>
      <c r="F97" s="2" t="s">
        <v>4578</v>
      </c>
      <c r="G97" s="2" t="s">
        <v>274</v>
      </c>
      <c r="H97" s="2" t="s">
        <v>4579</v>
      </c>
      <c r="I97" s="2" t="s">
        <v>4580</v>
      </c>
    </row>
    <row r="98" spans="1:9" ht="43.5" customHeight="1" x14ac:dyDescent="0.5">
      <c r="A98" s="2" t="s">
        <v>1235</v>
      </c>
      <c r="B98" s="2" t="s">
        <v>4676</v>
      </c>
      <c r="C98" s="2">
        <v>1</v>
      </c>
      <c r="D98" s="2" t="s">
        <v>3079</v>
      </c>
      <c r="E98" s="2" t="s">
        <v>4211</v>
      </c>
      <c r="F98" s="2" t="s">
        <v>4578</v>
      </c>
      <c r="G98" s="2" t="s">
        <v>274</v>
      </c>
      <c r="H98" s="2" t="s">
        <v>4579</v>
      </c>
      <c r="I98" s="2" t="s">
        <v>4580</v>
      </c>
    </row>
    <row r="99" spans="1:9" ht="43.5" customHeight="1" x14ac:dyDescent="0.5">
      <c r="A99" s="2" t="s">
        <v>1255</v>
      </c>
      <c r="B99" s="2" t="s">
        <v>4677</v>
      </c>
      <c r="C99" s="2">
        <v>1</v>
      </c>
      <c r="D99" s="2" t="s">
        <v>3113</v>
      </c>
      <c r="E99" s="2" t="s">
        <v>4211</v>
      </c>
      <c r="F99" s="2" t="s">
        <v>4578</v>
      </c>
      <c r="G99" s="2" t="s">
        <v>274</v>
      </c>
      <c r="H99" s="2" t="s">
        <v>4579</v>
      </c>
      <c r="I99" s="2" t="s">
        <v>4580</v>
      </c>
    </row>
    <row r="100" spans="1:9" ht="43.5" customHeight="1" x14ac:dyDescent="0.5">
      <c r="A100" s="2" t="s">
        <v>1362</v>
      </c>
      <c r="B100" s="2" t="s">
        <v>4678</v>
      </c>
      <c r="C100" s="2">
        <v>1</v>
      </c>
      <c r="D100" s="2" t="s">
        <v>3227</v>
      </c>
      <c r="E100" s="2" t="s">
        <v>4211</v>
      </c>
      <c r="F100" s="2" t="s">
        <v>4578</v>
      </c>
      <c r="G100" s="2" t="s">
        <v>274</v>
      </c>
      <c r="H100" s="2" t="s">
        <v>4579</v>
      </c>
      <c r="I100" s="2" t="s">
        <v>4580</v>
      </c>
    </row>
    <row r="101" spans="1:9" ht="43.5" customHeight="1" x14ac:dyDescent="0.5">
      <c r="A101" s="2" t="s">
        <v>1371</v>
      </c>
      <c r="B101" s="2" t="s">
        <v>4679</v>
      </c>
      <c r="C101" s="2">
        <v>1</v>
      </c>
      <c r="D101" s="2" t="s">
        <v>3233</v>
      </c>
      <c r="E101" s="2" t="s">
        <v>4211</v>
      </c>
      <c r="F101" s="2" t="s">
        <v>4578</v>
      </c>
      <c r="G101" s="2" t="s">
        <v>274</v>
      </c>
      <c r="H101" s="2" t="s">
        <v>4579</v>
      </c>
      <c r="I101" s="2" t="s">
        <v>4580</v>
      </c>
    </row>
    <row r="102" spans="1:9" ht="43.5" customHeight="1" x14ac:dyDescent="0.5">
      <c r="A102" s="2" t="s">
        <v>1374</v>
      </c>
      <c r="B102" s="2" t="s">
        <v>4680</v>
      </c>
      <c r="C102" s="2">
        <v>1</v>
      </c>
      <c r="D102" s="2" t="s">
        <v>3239</v>
      </c>
      <c r="E102" s="2" t="s">
        <v>4211</v>
      </c>
      <c r="F102" s="2" t="s">
        <v>4578</v>
      </c>
      <c r="G102" s="2" t="s">
        <v>274</v>
      </c>
      <c r="H102" s="2" t="s">
        <v>4579</v>
      </c>
      <c r="I102" s="2" t="s">
        <v>4580</v>
      </c>
    </row>
    <row r="103" spans="1:9" ht="43.5" customHeight="1" x14ac:dyDescent="0.5">
      <c r="A103" s="2" t="s">
        <v>1379</v>
      </c>
      <c r="B103" s="2" t="s">
        <v>4681</v>
      </c>
      <c r="C103" s="2">
        <v>1</v>
      </c>
      <c r="D103" s="2" t="s">
        <v>3245</v>
      </c>
      <c r="E103" s="2" t="s">
        <v>4211</v>
      </c>
      <c r="F103" s="2" t="s">
        <v>4578</v>
      </c>
      <c r="G103" s="2" t="s">
        <v>274</v>
      </c>
      <c r="H103" s="2" t="s">
        <v>4579</v>
      </c>
      <c r="I103" s="2" t="s">
        <v>4580</v>
      </c>
    </row>
    <row r="104" spans="1:9" ht="43.5" customHeight="1" x14ac:dyDescent="0.5">
      <c r="A104" s="2" t="s">
        <v>1384</v>
      </c>
      <c r="B104" s="2" t="s">
        <v>4682</v>
      </c>
      <c r="C104" s="2">
        <v>1</v>
      </c>
      <c r="D104" s="2" t="s">
        <v>3251</v>
      </c>
      <c r="E104" s="2" t="s">
        <v>4211</v>
      </c>
      <c r="F104" s="2" t="s">
        <v>4578</v>
      </c>
      <c r="G104" s="2" t="s">
        <v>274</v>
      </c>
      <c r="H104" s="2" t="s">
        <v>4579</v>
      </c>
      <c r="I104" s="2" t="s">
        <v>4580</v>
      </c>
    </row>
    <row r="105" spans="1:9" ht="43.5" customHeight="1" x14ac:dyDescent="0.5">
      <c r="A105" s="2" t="s">
        <v>1387</v>
      </c>
      <c r="B105" s="2" t="s">
        <v>4683</v>
      </c>
      <c r="C105" s="2">
        <v>1</v>
      </c>
      <c r="D105" s="2" t="s">
        <v>3257</v>
      </c>
      <c r="E105" s="2" t="s">
        <v>4211</v>
      </c>
      <c r="F105" s="2" t="s">
        <v>4578</v>
      </c>
      <c r="G105" s="2" t="s">
        <v>274</v>
      </c>
      <c r="H105" s="2" t="s">
        <v>4579</v>
      </c>
      <c r="I105" s="2" t="s">
        <v>4580</v>
      </c>
    </row>
    <row r="106" spans="1:9" ht="43.5" customHeight="1" x14ac:dyDescent="0.5">
      <c r="A106" s="2" t="s">
        <v>1390</v>
      </c>
      <c r="B106" s="2" t="s">
        <v>4684</v>
      </c>
      <c r="C106" s="2">
        <v>1</v>
      </c>
      <c r="D106" s="2" t="s">
        <v>3263</v>
      </c>
      <c r="E106" s="2" t="s">
        <v>4211</v>
      </c>
      <c r="F106" s="2" t="s">
        <v>4578</v>
      </c>
      <c r="G106" s="2" t="s">
        <v>274</v>
      </c>
      <c r="H106" s="2" t="s">
        <v>4579</v>
      </c>
      <c r="I106" s="2" t="s">
        <v>4580</v>
      </c>
    </row>
    <row r="107" spans="1:9" ht="43.5" customHeight="1" x14ac:dyDescent="0.5">
      <c r="A107" s="2" t="s">
        <v>1393</v>
      </c>
      <c r="B107" s="2" t="s">
        <v>4685</v>
      </c>
      <c r="C107" s="2">
        <v>1</v>
      </c>
      <c r="D107" s="2" t="s">
        <v>3269</v>
      </c>
      <c r="E107" s="2" t="s">
        <v>4211</v>
      </c>
      <c r="F107" s="2" t="s">
        <v>4578</v>
      </c>
      <c r="G107" s="2" t="s">
        <v>274</v>
      </c>
      <c r="H107" s="2" t="s">
        <v>4579</v>
      </c>
      <c r="I107" s="2" t="s">
        <v>4580</v>
      </c>
    </row>
    <row r="108" spans="1:9" ht="43.5" customHeight="1" x14ac:dyDescent="0.5">
      <c r="A108" s="2" t="s">
        <v>1396</v>
      </c>
      <c r="B108" s="2" t="s">
        <v>4686</v>
      </c>
      <c r="C108" s="2">
        <v>1</v>
      </c>
      <c r="D108" s="2" t="s">
        <v>3275</v>
      </c>
      <c r="E108" s="2" t="s">
        <v>4211</v>
      </c>
      <c r="F108" s="2" t="s">
        <v>4578</v>
      </c>
      <c r="G108" s="2" t="s">
        <v>274</v>
      </c>
      <c r="H108" s="2" t="s">
        <v>4579</v>
      </c>
      <c r="I108" s="2" t="s">
        <v>4580</v>
      </c>
    </row>
    <row r="109" spans="1:9" ht="43.5" customHeight="1" x14ac:dyDescent="0.5">
      <c r="A109" s="2" t="s">
        <v>1399</v>
      </c>
      <c r="B109" s="2" t="s">
        <v>4687</v>
      </c>
      <c r="C109" s="2">
        <v>1</v>
      </c>
      <c r="D109" s="2" t="s">
        <v>3281</v>
      </c>
      <c r="E109" s="2" t="s">
        <v>4211</v>
      </c>
      <c r="F109" s="2" t="s">
        <v>4578</v>
      </c>
      <c r="G109" s="2" t="s">
        <v>274</v>
      </c>
      <c r="H109" s="2" t="s">
        <v>4579</v>
      </c>
      <c r="I109" s="2" t="s">
        <v>4580</v>
      </c>
    </row>
    <row r="110" spans="1:9" ht="43.5" customHeight="1" x14ac:dyDescent="0.5">
      <c r="A110" s="2" t="s">
        <v>1404</v>
      </c>
      <c r="B110" s="2" t="s">
        <v>4688</v>
      </c>
      <c r="C110" s="2">
        <v>1</v>
      </c>
      <c r="D110" s="2" t="s">
        <v>3287</v>
      </c>
      <c r="E110" s="2" t="s">
        <v>4211</v>
      </c>
      <c r="F110" s="2" t="s">
        <v>4578</v>
      </c>
      <c r="G110" s="2" t="s">
        <v>274</v>
      </c>
      <c r="H110" s="2" t="s">
        <v>4579</v>
      </c>
      <c r="I110" s="2" t="s">
        <v>4580</v>
      </c>
    </row>
    <row r="111" spans="1:9" ht="43.5" customHeight="1" x14ac:dyDescent="0.5">
      <c r="A111" s="2" t="s">
        <v>1407</v>
      </c>
      <c r="B111" s="2" t="s">
        <v>4689</v>
      </c>
      <c r="C111" s="2">
        <v>1</v>
      </c>
      <c r="D111" s="2" t="s">
        <v>3293</v>
      </c>
      <c r="E111" s="2" t="s">
        <v>4211</v>
      </c>
      <c r="F111" s="2" t="s">
        <v>4578</v>
      </c>
      <c r="G111" s="2" t="s">
        <v>274</v>
      </c>
      <c r="H111" s="2" t="s">
        <v>4579</v>
      </c>
      <c r="I111" s="2" t="s">
        <v>4580</v>
      </c>
    </row>
    <row r="112" spans="1:9" ht="43.5" customHeight="1" x14ac:dyDescent="0.5">
      <c r="A112" s="2" t="s">
        <v>1410</v>
      </c>
      <c r="B112" s="2" t="s">
        <v>4690</v>
      </c>
      <c r="C112" s="2">
        <v>1</v>
      </c>
      <c r="D112" s="2" t="s">
        <v>3299</v>
      </c>
      <c r="E112" s="2" t="s">
        <v>4211</v>
      </c>
      <c r="F112" s="2" t="s">
        <v>4578</v>
      </c>
      <c r="G112" s="2" t="s">
        <v>274</v>
      </c>
      <c r="H112" s="2" t="s">
        <v>4579</v>
      </c>
      <c r="I112" s="2" t="s">
        <v>4580</v>
      </c>
    </row>
    <row r="113" spans="1:9" ht="43.5" customHeight="1" x14ac:dyDescent="0.5">
      <c r="A113" s="2" t="s">
        <v>1415</v>
      </c>
      <c r="B113" s="2" t="s">
        <v>4691</v>
      </c>
      <c r="C113" s="2">
        <v>1</v>
      </c>
      <c r="D113" s="2" t="s">
        <v>3305</v>
      </c>
      <c r="E113" s="2" t="s">
        <v>4211</v>
      </c>
      <c r="F113" s="2" t="s">
        <v>4578</v>
      </c>
      <c r="G113" s="2" t="s">
        <v>274</v>
      </c>
      <c r="H113" s="2" t="s">
        <v>4579</v>
      </c>
      <c r="I113" s="2" t="s">
        <v>4580</v>
      </c>
    </row>
    <row r="114" spans="1:9" ht="43.5" customHeight="1" x14ac:dyDescent="0.5">
      <c r="A114" s="2" t="s">
        <v>1420</v>
      </c>
      <c r="B114" s="2" t="s">
        <v>4692</v>
      </c>
      <c r="C114" s="2">
        <v>1</v>
      </c>
      <c r="D114" s="2" t="s">
        <v>3311</v>
      </c>
      <c r="E114" s="2" t="s">
        <v>4211</v>
      </c>
      <c r="F114" s="2" t="s">
        <v>4578</v>
      </c>
      <c r="G114" s="2" t="s">
        <v>274</v>
      </c>
      <c r="H114" s="2" t="s">
        <v>4579</v>
      </c>
      <c r="I114" s="2" t="s">
        <v>4580</v>
      </c>
    </row>
    <row r="115" spans="1:9" ht="43.5" customHeight="1" x14ac:dyDescent="0.5">
      <c r="A115" s="2" t="s">
        <v>1440</v>
      </c>
      <c r="B115" s="2" t="s">
        <v>4693</v>
      </c>
      <c r="C115" s="2">
        <v>1</v>
      </c>
      <c r="D115" s="2" t="s">
        <v>3333</v>
      </c>
      <c r="E115" s="2" t="s">
        <v>4211</v>
      </c>
      <c r="F115" s="2" t="s">
        <v>4578</v>
      </c>
      <c r="G115" s="2" t="s">
        <v>274</v>
      </c>
      <c r="H115" s="2" t="s">
        <v>4579</v>
      </c>
      <c r="I115" s="2" t="s">
        <v>4580</v>
      </c>
    </row>
    <row r="116" spans="1:9" ht="43.5" customHeight="1" x14ac:dyDescent="0.5">
      <c r="A116" s="2" t="s">
        <v>1446</v>
      </c>
      <c r="B116" s="2" t="s">
        <v>4694</v>
      </c>
      <c r="C116" s="2">
        <v>1</v>
      </c>
      <c r="D116" s="2" t="s">
        <v>3343</v>
      </c>
      <c r="E116" s="2" t="s">
        <v>4211</v>
      </c>
      <c r="F116" s="2" t="s">
        <v>4578</v>
      </c>
      <c r="G116" s="2" t="s">
        <v>274</v>
      </c>
      <c r="H116" s="2" t="s">
        <v>4579</v>
      </c>
      <c r="I116" s="2" t="s">
        <v>4580</v>
      </c>
    </row>
    <row r="117" spans="1:9" ht="43.5" customHeight="1" x14ac:dyDescent="0.5">
      <c r="A117" s="2" t="s">
        <v>1542</v>
      </c>
      <c r="B117" s="2" t="s">
        <v>4695</v>
      </c>
      <c r="C117" s="2">
        <v>1</v>
      </c>
      <c r="D117" s="2" t="s">
        <v>3405</v>
      </c>
      <c r="E117" s="2" t="s">
        <v>4211</v>
      </c>
      <c r="F117" s="2" t="s">
        <v>4578</v>
      </c>
      <c r="G117" s="2" t="s">
        <v>274</v>
      </c>
      <c r="H117" s="2" t="s">
        <v>4579</v>
      </c>
      <c r="I117" s="2" t="s">
        <v>4580</v>
      </c>
    </row>
    <row r="118" spans="1:9" ht="43.5" customHeight="1" x14ac:dyDescent="0.5">
      <c r="A118" s="2" t="s">
        <v>1565</v>
      </c>
      <c r="B118" s="2" t="s">
        <v>4696</v>
      </c>
      <c r="C118" s="2">
        <v>1</v>
      </c>
      <c r="D118" s="2" t="s">
        <v>3419</v>
      </c>
      <c r="E118" s="2" t="s">
        <v>4211</v>
      </c>
      <c r="F118" s="2" t="s">
        <v>4578</v>
      </c>
      <c r="G118" s="2" t="s">
        <v>297</v>
      </c>
      <c r="H118" s="2" t="s">
        <v>4579</v>
      </c>
      <c r="I118" s="2" t="s">
        <v>4580</v>
      </c>
    </row>
    <row r="119" spans="1:9" ht="43.5" customHeight="1" x14ac:dyDescent="0.5">
      <c r="A119" s="2" t="s">
        <v>1578</v>
      </c>
      <c r="B119" s="2" t="s">
        <v>4697</v>
      </c>
      <c r="C119" s="2">
        <v>1</v>
      </c>
      <c r="D119" s="2" t="s">
        <v>3429</v>
      </c>
      <c r="E119" s="2" t="s">
        <v>4211</v>
      </c>
      <c r="F119" s="2" t="s">
        <v>4578</v>
      </c>
      <c r="G119" s="2" t="s">
        <v>297</v>
      </c>
      <c r="H119" s="2" t="s">
        <v>4579</v>
      </c>
      <c r="I119" s="2" t="s">
        <v>4580</v>
      </c>
    </row>
    <row r="120" spans="1:9" ht="43.5" customHeight="1" x14ac:dyDescent="0.5">
      <c r="A120" s="2" t="s">
        <v>1584</v>
      </c>
      <c r="B120" s="2" t="s">
        <v>4698</v>
      </c>
      <c r="C120" s="2">
        <v>1</v>
      </c>
      <c r="D120" s="2" t="s">
        <v>3435</v>
      </c>
      <c r="E120" s="2" t="s">
        <v>4211</v>
      </c>
      <c r="F120" s="2" t="s">
        <v>4578</v>
      </c>
      <c r="G120" s="2" t="s">
        <v>274</v>
      </c>
      <c r="H120" s="2" t="s">
        <v>4579</v>
      </c>
      <c r="I120" s="2" t="s">
        <v>4580</v>
      </c>
    </row>
    <row r="121" spans="1:9" ht="43.5" customHeight="1" x14ac:dyDescent="0.5"/>
  </sheetData>
  <autoFilter ref="A1:I121" xr:uid="{00000000-0009-0000-0000-00000E000000}"/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361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03125" defaultRowHeight="14.35" x14ac:dyDescent="0.5"/>
  <cols>
    <col min="1" max="1" width="17" customWidth="1"/>
    <col min="2" max="2" width="40" customWidth="1"/>
    <col min="3" max="3" width="10" customWidth="1"/>
    <col min="4" max="4" width="16" customWidth="1"/>
    <col min="5" max="5" width="14" customWidth="1"/>
    <col min="6" max="6" width="29" customWidth="1"/>
    <col min="7" max="7" width="31" customWidth="1"/>
    <col min="8" max="8" width="29" customWidth="1"/>
    <col min="9" max="9" width="48" customWidth="1"/>
    <col min="10" max="10" width="58" customWidth="1"/>
  </cols>
  <sheetData>
    <row r="1" spans="1:10" ht="30" customHeight="1" x14ac:dyDescent="0.5">
      <c r="A1" s="1" t="s">
        <v>244</v>
      </c>
      <c r="B1" s="1" t="s">
        <v>4699</v>
      </c>
      <c r="C1" s="1" t="s">
        <v>3481</v>
      </c>
      <c r="D1" s="1" t="s">
        <v>3482</v>
      </c>
      <c r="E1" s="1" t="s">
        <v>172</v>
      </c>
      <c r="F1" s="1" t="s">
        <v>4700</v>
      </c>
      <c r="G1" s="1" t="s">
        <v>4701</v>
      </c>
      <c r="H1" s="1" t="s">
        <v>254</v>
      </c>
      <c r="I1" s="1" t="s">
        <v>3484</v>
      </c>
      <c r="J1" s="1" t="s">
        <v>3485</v>
      </c>
    </row>
    <row r="2" spans="1:10" ht="43.5" customHeight="1" x14ac:dyDescent="0.5">
      <c r="A2" s="2" t="s">
        <v>264</v>
      </c>
      <c r="B2" s="2" t="s">
        <v>4702</v>
      </c>
      <c r="C2" s="2">
        <v>1</v>
      </c>
      <c r="D2" s="2" t="s">
        <v>75</v>
      </c>
      <c r="E2" s="2" t="s">
        <v>4703</v>
      </c>
      <c r="F2" s="2" t="s">
        <v>3462</v>
      </c>
      <c r="G2" s="2" t="s">
        <v>3473</v>
      </c>
      <c r="H2" s="2" t="s">
        <v>274</v>
      </c>
      <c r="I2" s="2" t="s">
        <v>4704</v>
      </c>
      <c r="J2" s="2" t="s">
        <v>4705</v>
      </c>
    </row>
    <row r="3" spans="1:10" ht="43.5" customHeight="1" x14ac:dyDescent="0.5">
      <c r="A3" s="2" t="s">
        <v>282</v>
      </c>
      <c r="B3" s="2" t="s">
        <v>4706</v>
      </c>
      <c r="C3" s="2">
        <v>1</v>
      </c>
      <c r="D3" s="2" t="s">
        <v>75</v>
      </c>
      <c r="E3" s="2" t="s">
        <v>4703</v>
      </c>
      <c r="F3" s="2" t="s">
        <v>3462</v>
      </c>
      <c r="G3" s="2" t="s">
        <v>3473</v>
      </c>
      <c r="H3" s="2" t="s">
        <v>274</v>
      </c>
      <c r="I3" s="2" t="s">
        <v>4704</v>
      </c>
      <c r="J3" s="2" t="s">
        <v>4705</v>
      </c>
    </row>
    <row r="4" spans="1:10" ht="43.5" customHeight="1" x14ac:dyDescent="0.5">
      <c r="A4" s="2" t="s">
        <v>289</v>
      </c>
      <c r="B4" s="2" t="s">
        <v>4707</v>
      </c>
      <c r="C4" s="2">
        <v>1</v>
      </c>
      <c r="D4" s="2" t="s">
        <v>75</v>
      </c>
      <c r="E4" s="2" t="s">
        <v>4703</v>
      </c>
      <c r="F4" s="2" t="s">
        <v>3462</v>
      </c>
      <c r="G4" s="2" t="s">
        <v>3473</v>
      </c>
      <c r="H4" s="2" t="s">
        <v>297</v>
      </c>
      <c r="I4" s="2" t="s">
        <v>4704</v>
      </c>
      <c r="J4" s="2" t="s">
        <v>4705</v>
      </c>
    </row>
    <row r="5" spans="1:10" ht="43.5" customHeight="1" x14ac:dyDescent="0.5">
      <c r="A5" s="2" t="s">
        <v>301</v>
      </c>
      <c r="B5" s="2" t="s">
        <v>4708</v>
      </c>
      <c r="C5" s="2">
        <v>1</v>
      </c>
      <c r="D5" s="2" t="s">
        <v>75</v>
      </c>
      <c r="E5" s="2" t="s">
        <v>4703</v>
      </c>
      <c r="F5" s="2" t="s">
        <v>3462</v>
      </c>
      <c r="G5" s="2" t="s">
        <v>3473</v>
      </c>
      <c r="H5" s="2" t="s">
        <v>297</v>
      </c>
      <c r="I5" s="2" t="s">
        <v>4704</v>
      </c>
      <c r="J5" s="2" t="s">
        <v>4705</v>
      </c>
    </row>
    <row r="6" spans="1:10" ht="43.5" customHeight="1" x14ac:dyDescent="0.5">
      <c r="A6" s="2" t="s">
        <v>311</v>
      </c>
      <c r="B6" s="2" t="s">
        <v>4709</v>
      </c>
      <c r="C6" s="2">
        <v>1</v>
      </c>
      <c r="D6" s="2" t="s">
        <v>75</v>
      </c>
      <c r="E6" s="2" t="s">
        <v>4703</v>
      </c>
      <c r="F6" s="2" t="s">
        <v>3462</v>
      </c>
      <c r="G6" s="2" t="s">
        <v>3473</v>
      </c>
      <c r="H6" s="2" t="s">
        <v>297</v>
      </c>
      <c r="I6" s="2" t="s">
        <v>4704</v>
      </c>
      <c r="J6" s="2" t="s">
        <v>4705</v>
      </c>
    </row>
    <row r="7" spans="1:10" ht="43.5" customHeight="1" x14ac:dyDescent="0.5">
      <c r="A7" s="2" t="s">
        <v>318</v>
      </c>
      <c r="B7" s="2" t="s">
        <v>4710</v>
      </c>
      <c r="C7" s="2">
        <v>1</v>
      </c>
      <c r="D7" s="2" t="s">
        <v>75</v>
      </c>
      <c r="E7" s="2" t="s">
        <v>4703</v>
      </c>
      <c r="F7" s="2" t="s">
        <v>3462</v>
      </c>
      <c r="G7" s="2" t="s">
        <v>3473</v>
      </c>
      <c r="H7" s="2" t="s">
        <v>274</v>
      </c>
      <c r="I7" s="2" t="s">
        <v>4704</v>
      </c>
      <c r="J7" s="2" t="s">
        <v>4705</v>
      </c>
    </row>
    <row r="8" spans="1:10" ht="43.5" customHeight="1" x14ac:dyDescent="0.5">
      <c r="A8" s="2" t="s">
        <v>323</v>
      </c>
      <c r="B8" s="2" t="s">
        <v>4711</v>
      </c>
      <c r="C8" s="2">
        <v>1</v>
      </c>
      <c r="D8" s="2" t="s">
        <v>75</v>
      </c>
      <c r="E8" s="2" t="s">
        <v>4703</v>
      </c>
      <c r="F8" s="2" t="s">
        <v>3462</v>
      </c>
      <c r="G8" s="2" t="s">
        <v>3473</v>
      </c>
      <c r="H8" s="2" t="s">
        <v>274</v>
      </c>
      <c r="I8" s="2" t="s">
        <v>4704</v>
      </c>
      <c r="J8" s="2" t="s">
        <v>4705</v>
      </c>
    </row>
    <row r="9" spans="1:10" ht="43.5" customHeight="1" x14ac:dyDescent="0.5">
      <c r="A9" s="2" t="s">
        <v>327</v>
      </c>
      <c r="B9" s="2" t="s">
        <v>4712</v>
      </c>
      <c r="C9" s="2">
        <v>1</v>
      </c>
      <c r="D9" s="2" t="s">
        <v>75</v>
      </c>
      <c r="E9" s="2" t="s">
        <v>4703</v>
      </c>
      <c r="F9" s="2" t="s">
        <v>3462</v>
      </c>
      <c r="G9" s="2" t="s">
        <v>3473</v>
      </c>
      <c r="H9" s="2" t="s">
        <v>297</v>
      </c>
      <c r="I9" s="2" t="s">
        <v>4704</v>
      </c>
      <c r="J9" s="2" t="s">
        <v>4705</v>
      </c>
    </row>
    <row r="10" spans="1:10" ht="43.5" customHeight="1" x14ac:dyDescent="0.5">
      <c r="A10" s="2" t="s">
        <v>330</v>
      </c>
      <c r="B10" s="2" t="s">
        <v>4713</v>
      </c>
      <c r="C10" s="2">
        <v>1</v>
      </c>
      <c r="D10" s="2" t="s">
        <v>75</v>
      </c>
      <c r="E10" s="2" t="s">
        <v>4703</v>
      </c>
      <c r="F10" s="2" t="s">
        <v>3462</v>
      </c>
      <c r="G10" s="2" t="s">
        <v>3473</v>
      </c>
      <c r="H10" s="2" t="s">
        <v>297</v>
      </c>
      <c r="I10" s="2" t="s">
        <v>4704</v>
      </c>
      <c r="J10" s="2" t="s">
        <v>4705</v>
      </c>
    </row>
    <row r="11" spans="1:10" ht="43.5" customHeight="1" x14ac:dyDescent="0.5">
      <c r="A11" s="2" t="s">
        <v>335</v>
      </c>
      <c r="B11" s="2" t="s">
        <v>4714</v>
      </c>
      <c r="C11" s="2">
        <v>1</v>
      </c>
      <c r="D11" s="2" t="s">
        <v>75</v>
      </c>
      <c r="E11" s="2" t="s">
        <v>4703</v>
      </c>
      <c r="F11" s="2" t="s">
        <v>3462</v>
      </c>
      <c r="G11" s="2" t="s">
        <v>3473</v>
      </c>
      <c r="H11" s="2" t="s">
        <v>297</v>
      </c>
      <c r="I11" s="2" t="s">
        <v>4704</v>
      </c>
      <c r="J11" s="2" t="s">
        <v>4705</v>
      </c>
    </row>
    <row r="12" spans="1:10" ht="43.5" customHeight="1" x14ac:dyDescent="0.5">
      <c r="A12" s="2" t="s">
        <v>339</v>
      </c>
      <c r="B12" s="2" t="s">
        <v>4715</v>
      </c>
      <c r="C12" s="2">
        <v>1</v>
      </c>
      <c r="D12" s="2" t="s">
        <v>75</v>
      </c>
      <c r="E12" s="2" t="s">
        <v>4703</v>
      </c>
      <c r="F12" s="2" t="s">
        <v>3462</v>
      </c>
      <c r="G12" s="2" t="s">
        <v>3473</v>
      </c>
      <c r="H12" s="2" t="s">
        <v>274</v>
      </c>
      <c r="I12" s="2" t="s">
        <v>4704</v>
      </c>
      <c r="J12" s="2" t="s">
        <v>4705</v>
      </c>
    </row>
    <row r="13" spans="1:10" ht="43.5" customHeight="1" x14ac:dyDescent="0.5">
      <c r="A13" s="2" t="s">
        <v>344</v>
      </c>
      <c r="B13" s="2" t="s">
        <v>4716</v>
      </c>
      <c r="C13" s="2">
        <v>1</v>
      </c>
      <c r="D13" s="2" t="s">
        <v>75</v>
      </c>
      <c r="E13" s="2" t="s">
        <v>4703</v>
      </c>
      <c r="F13" s="2" t="s">
        <v>3462</v>
      </c>
      <c r="G13" s="2" t="s">
        <v>3473</v>
      </c>
      <c r="H13" s="2" t="s">
        <v>274</v>
      </c>
      <c r="I13" s="2" t="s">
        <v>4704</v>
      </c>
      <c r="J13" s="2" t="s">
        <v>4705</v>
      </c>
    </row>
    <row r="14" spans="1:10" ht="43.5" customHeight="1" x14ac:dyDescent="0.5">
      <c r="A14" s="2" t="s">
        <v>348</v>
      </c>
      <c r="B14" s="2" t="s">
        <v>4717</v>
      </c>
      <c r="C14" s="2">
        <v>1</v>
      </c>
      <c r="D14" s="2" t="s">
        <v>75</v>
      </c>
      <c r="E14" s="2" t="s">
        <v>4703</v>
      </c>
      <c r="F14" s="2" t="s">
        <v>3462</v>
      </c>
      <c r="G14" s="2" t="s">
        <v>3473</v>
      </c>
      <c r="H14" s="2" t="s">
        <v>297</v>
      </c>
      <c r="I14" s="2" t="s">
        <v>4704</v>
      </c>
      <c r="J14" s="2" t="s">
        <v>4705</v>
      </c>
    </row>
    <row r="15" spans="1:10" ht="43.5" customHeight="1" x14ac:dyDescent="0.5">
      <c r="A15" s="2" t="s">
        <v>351</v>
      </c>
      <c r="B15" s="2" t="s">
        <v>4718</v>
      </c>
      <c r="C15" s="2">
        <v>1</v>
      </c>
      <c r="D15" s="2" t="s">
        <v>75</v>
      </c>
      <c r="E15" s="2" t="s">
        <v>4703</v>
      </c>
      <c r="F15" s="2" t="s">
        <v>3462</v>
      </c>
      <c r="G15" s="2" t="s">
        <v>3473</v>
      </c>
      <c r="H15" s="2" t="s">
        <v>297</v>
      </c>
      <c r="I15" s="2" t="s">
        <v>4704</v>
      </c>
      <c r="J15" s="2" t="s">
        <v>4705</v>
      </c>
    </row>
    <row r="16" spans="1:10" ht="43.5" customHeight="1" x14ac:dyDescent="0.5">
      <c r="A16" s="2" t="s">
        <v>356</v>
      </c>
      <c r="B16" s="2" t="s">
        <v>4719</v>
      </c>
      <c r="C16" s="2">
        <v>1</v>
      </c>
      <c r="D16" s="2" t="s">
        <v>75</v>
      </c>
      <c r="E16" s="2" t="s">
        <v>4703</v>
      </c>
      <c r="F16" s="2" t="s">
        <v>3462</v>
      </c>
      <c r="G16" s="2" t="s">
        <v>3473</v>
      </c>
      <c r="H16" s="2" t="s">
        <v>297</v>
      </c>
      <c r="I16" s="2" t="s">
        <v>4704</v>
      </c>
      <c r="J16" s="2" t="s">
        <v>4705</v>
      </c>
    </row>
    <row r="17" spans="1:10" ht="43.5" customHeight="1" x14ac:dyDescent="0.5">
      <c r="A17" s="2" t="s">
        <v>363</v>
      </c>
      <c r="B17" s="2" t="s">
        <v>4720</v>
      </c>
      <c r="C17" s="2">
        <v>1</v>
      </c>
      <c r="D17" s="2" t="s">
        <v>81</v>
      </c>
      <c r="E17" s="2" t="s">
        <v>4703</v>
      </c>
      <c r="F17" s="2" t="s">
        <v>3462</v>
      </c>
      <c r="G17" s="2" t="s">
        <v>3473</v>
      </c>
      <c r="H17" s="2" t="s">
        <v>274</v>
      </c>
      <c r="I17" s="2" t="s">
        <v>4704</v>
      </c>
      <c r="J17" s="2" t="s">
        <v>4705</v>
      </c>
    </row>
    <row r="18" spans="1:10" ht="43.5" customHeight="1" x14ac:dyDescent="0.5">
      <c r="A18" s="2" t="s">
        <v>366</v>
      </c>
      <c r="B18" s="2" t="s">
        <v>4721</v>
      </c>
      <c r="C18" s="2">
        <v>1</v>
      </c>
      <c r="D18" s="2" t="s">
        <v>81</v>
      </c>
      <c r="E18" s="2" t="s">
        <v>4703</v>
      </c>
      <c r="F18" s="2" t="s">
        <v>3462</v>
      </c>
      <c r="G18" s="2" t="s">
        <v>3473</v>
      </c>
      <c r="H18" s="2" t="s">
        <v>274</v>
      </c>
      <c r="I18" s="2" t="s">
        <v>4704</v>
      </c>
      <c r="J18" s="2" t="s">
        <v>4705</v>
      </c>
    </row>
    <row r="19" spans="1:10" ht="43.5" customHeight="1" x14ac:dyDescent="0.5">
      <c r="A19" s="2" t="s">
        <v>368</v>
      </c>
      <c r="B19" s="2" t="s">
        <v>4722</v>
      </c>
      <c r="C19" s="2">
        <v>1</v>
      </c>
      <c r="D19" s="2" t="s">
        <v>81</v>
      </c>
      <c r="E19" s="2" t="s">
        <v>4703</v>
      </c>
      <c r="F19" s="2" t="s">
        <v>3462</v>
      </c>
      <c r="G19" s="2" t="s">
        <v>3473</v>
      </c>
      <c r="H19" s="2" t="s">
        <v>297</v>
      </c>
      <c r="I19" s="2" t="s">
        <v>4704</v>
      </c>
      <c r="J19" s="2" t="s">
        <v>4705</v>
      </c>
    </row>
    <row r="20" spans="1:10" ht="43.5" customHeight="1" x14ac:dyDescent="0.5">
      <c r="A20" s="2" t="s">
        <v>373</v>
      </c>
      <c r="B20" s="2" t="s">
        <v>4723</v>
      </c>
      <c r="C20" s="2">
        <v>1</v>
      </c>
      <c r="D20" s="2" t="s">
        <v>81</v>
      </c>
      <c r="E20" s="2" t="s">
        <v>4703</v>
      </c>
      <c r="F20" s="2" t="s">
        <v>3462</v>
      </c>
      <c r="G20" s="2" t="s">
        <v>3473</v>
      </c>
      <c r="H20" s="2" t="s">
        <v>297</v>
      </c>
      <c r="I20" s="2" t="s">
        <v>4704</v>
      </c>
      <c r="J20" s="2" t="s">
        <v>4705</v>
      </c>
    </row>
    <row r="21" spans="1:10" ht="43.5" customHeight="1" x14ac:dyDescent="0.5">
      <c r="A21" s="2" t="s">
        <v>375</v>
      </c>
      <c r="B21" s="2" t="s">
        <v>4724</v>
      </c>
      <c r="C21" s="2">
        <v>1</v>
      </c>
      <c r="D21" s="2" t="s">
        <v>81</v>
      </c>
      <c r="E21" s="2" t="s">
        <v>4703</v>
      </c>
      <c r="F21" s="2" t="s">
        <v>3462</v>
      </c>
      <c r="G21" s="2" t="s">
        <v>3473</v>
      </c>
      <c r="H21" s="2" t="s">
        <v>297</v>
      </c>
      <c r="I21" s="2" t="s">
        <v>4704</v>
      </c>
      <c r="J21" s="2" t="s">
        <v>4705</v>
      </c>
    </row>
    <row r="22" spans="1:10" ht="43.5" customHeight="1" x14ac:dyDescent="0.5">
      <c r="A22" s="2" t="s">
        <v>377</v>
      </c>
      <c r="B22" s="2" t="s">
        <v>4725</v>
      </c>
      <c r="C22" s="2">
        <v>1</v>
      </c>
      <c r="D22" s="2" t="s">
        <v>81</v>
      </c>
      <c r="E22" s="2" t="s">
        <v>4703</v>
      </c>
      <c r="F22" s="2" t="s">
        <v>3462</v>
      </c>
      <c r="G22" s="2" t="s">
        <v>3473</v>
      </c>
      <c r="H22" s="2" t="s">
        <v>274</v>
      </c>
      <c r="I22" s="2" t="s">
        <v>4704</v>
      </c>
      <c r="J22" s="2" t="s">
        <v>4705</v>
      </c>
    </row>
    <row r="23" spans="1:10" ht="43.5" customHeight="1" x14ac:dyDescent="0.5">
      <c r="A23" s="2" t="s">
        <v>379</v>
      </c>
      <c r="B23" s="2" t="s">
        <v>4726</v>
      </c>
      <c r="C23" s="2">
        <v>1</v>
      </c>
      <c r="D23" s="2" t="s">
        <v>81</v>
      </c>
      <c r="E23" s="2" t="s">
        <v>4703</v>
      </c>
      <c r="F23" s="2" t="s">
        <v>3462</v>
      </c>
      <c r="G23" s="2" t="s">
        <v>3473</v>
      </c>
      <c r="H23" s="2" t="s">
        <v>274</v>
      </c>
      <c r="I23" s="2" t="s">
        <v>4704</v>
      </c>
      <c r="J23" s="2" t="s">
        <v>4705</v>
      </c>
    </row>
    <row r="24" spans="1:10" ht="43.5" customHeight="1" x14ac:dyDescent="0.5">
      <c r="A24" s="2" t="s">
        <v>381</v>
      </c>
      <c r="B24" s="2" t="s">
        <v>4727</v>
      </c>
      <c r="C24" s="2">
        <v>1</v>
      </c>
      <c r="D24" s="2" t="s">
        <v>81</v>
      </c>
      <c r="E24" s="2" t="s">
        <v>4703</v>
      </c>
      <c r="F24" s="2" t="s">
        <v>3462</v>
      </c>
      <c r="G24" s="2" t="s">
        <v>3473</v>
      </c>
      <c r="H24" s="2" t="s">
        <v>297</v>
      </c>
      <c r="I24" s="2" t="s">
        <v>4704</v>
      </c>
      <c r="J24" s="2" t="s">
        <v>4705</v>
      </c>
    </row>
    <row r="25" spans="1:10" ht="43.5" customHeight="1" x14ac:dyDescent="0.5">
      <c r="A25" s="2" t="s">
        <v>383</v>
      </c>
      <c r="B25" s="2" t="s">
        <v>4728</v>
      </c>
      <c r="C25" s="2">
        <v>1</v>
      </c>
      <c r="D25" s="2" t="s">
        <v>81</v>
      </c>
      <c r="E25" s="2" t="s">
        <v>4703</v>
      </c>
      <c r="F25" s="2" t="s">
        <v>3462</v>
      </c>
      <c r="G25" s="2" t="s">
        <v>3473</v>
      </c>
      <c r="H25" s="2" t="s">
        <v>297</v>
      </c>
      <c r="I25" s="2" t="s">
        <v>4704</v>
      </c>
      <c r="J25" s="2" t="s">
        <v>4705</v>
      </c>
    </row>
    <row r="26" spans="1:10" ht="43.5" customHeight="1" x14ac:dyDescent="0.5">
      <c r="A26" s="2" t="s">
        <v>385</v>
      </c>
      <c r="B26" s="2" t="s">
        <v>4729</v>
      </c>
      <c r="C26" s="2">
        <v>1</v>
      </c>
      <c r="D26" s="2" t="s">
        <v>81</v>
      </c>
      <c r="E26" s="2" t="s">
        <v>4703</v>
      </c>
      <c r="F26" s="2" t="s">
        <v>3462</v>
      </c>
      <c r="G26" s="2" t="s">
        <v>3473</v>
      </c>
      <c r="H26" s="2" t="s">
        <v>297</v>
      </c>
      <c r="I26" s="2" t="s">
        <v>4704</v>
      </c>
      <c r="J26" s="2" t="s">
        <v>4705</v>
      </c>
    </row>
    <row r="27" spans="1:10" ht="43.5" customHeight="1" x14ac:dyDescent="0.5">
      <c r="A27" s="2" t="s">
        <v>387</v>
      </c>
      <c r="B27" s="2" t="s">
        <v>4730</v>
      </c>
      <c r="C27" s="2">
        <v>1</v>
      </c>
      <c r="D27" s="2" t="s">
        <v>81</v>
      </c>
      <c r="E27" s="2" t="s">
        <v>4703</v>
      </c>
      <c r="F27" s="2" t="s">
        <v>3462</v>
      </c>
      <c r="G27" s="2" t="s">
        <v>3473</v>
      </c>
      <c r="H27" s="2" t="s">
        <v>274</v>
      </c>
      <c r="I27" s="2" t="s">
        <v>4704</v>
      </c>
      <c r="J27" s="2" t="s">
        <v>4705</v>
      </c>
    </row>
    <row r="28" spans="1:10" ht="43.5" customHeight="1" x14ac:dyDescent="0.5">
      <c r="A28" s="2" t="s">
        <v>392</v>
      </c>
      <c r="B28" s="2" t="s">
        <v>4731</v>
      </c>
      <c r="C28" s="2">
        <v>1</v>
      </c>
      <c r="D28" s="2" t="s">
        <v>81</v>
      </c>
      <c r="E28" s="2" t="s">
        <v>4703</v>
      </c>
      <c r="F28" s="2" t="s">
        <v>3462</v>
      </c>
      <c r="G28" s="2" t="s">
        <v>3473</v>
      </c>
      <c r="H28" s="2" t="s">
        <v>274</v>
      </c>
      <c r="I28" s="2" t="s">
        <v>4704</v>
      </c>
      <c r="J28" s="2" t="s">
        <v>4705</v>
      </c>
    </row>
    <row r="29" spans="1:10" ht="43.5" customHeight="1" x14ac:dyDescent="0.5">
      <c r="A29" s="2" t="s">
        <v>396</v>
      </c>
      <c r="B29" s="2" t="s">
        <v>4732</v>
      </c>
      <c r="C29" s="2">
        <v>1</v>
      </c>
      <c r="D29" s="2" t="s">
        <v>81</v>
      </c>
      <c r="E29" s="2" t="s">
        <v>4703</v>
      </c>
      <c r="F29" s="2" t="s">
        <v>3462</v>
      </c>
      <c r="G29" s="2" t="s">
        <v>3473</v>
      </c>
      <c r="H29" s="2" t="s">
        <v>274</v>
      </c>
      <c r="I29" s="2" t="s">
        <v>4704</v>
      </c>
      <c r="J29" s="2" t="s">
        <v>4705</v>
      </c>
    </row>
    <row r="30" spans="1:10" ht="43.5" customHeight="1" x14ac:dyDescent="0.5">
      <c r="A30" s="2" t="s">
        <v>404</v>
      </c>
      <c r="B30" s="2" t="s">
        <v>4733</v>
      </c>
      <c r="C30" s="2">
        <v>1</v>
      </c>
      <c r="D30" s="2" t="s">
        <v>81</v>
      </c>
      <c r="E30" s="2" t="s">
        <v>4703</v>
      </c>
      <c r="F30" s="2" t="s">
        <v>3462</v>
      </c>
      <c r="G30" s="2" t="s">
        <v>3473</v>
      </c>
      <c r="H30" s="2" t="s">
        <v>297</v>
      </c>
      <c r="I30" s="2" t="s">
        <v>4704</v>
      </c>
      <c r="J30" s="2" t="s">
        <v>4705</v>
      </c>
    </row>
    <row r="31" spans="1:10" ht="43.5" customHeight="1" x14ac:dyDescent="0.5">
      <c r="A31" s="2" t="s">
        <v>409</v>
      </c>
      <c r="B31" s="2" t="s">
        <v>4734</v>
      </c>
      <c r="C31" s="2">
        <v>1</v>
      </c>
      <c r="D31" s="2" t="s">
        <v>81</v>
      </c>
      <c r="E31" s="2" t="s">
        <v>4703</v>
      </c>
      <c r="F31" s="2" t="s">
        <v>3462</v>
      </c>
      <c r="G31" s="2" t="s">
        <v>3473</v>
      </c>
      <c r="H31" s="2" t="s">
        <v>297</v>
      </c>
      <c r="I31" s="2" t="s">
        <v>4704</v>
      </c>
      <c r="J31" s="2" t="s">
        <v>4705</v>
      </c>
    </row>
    <row r="32" spans="1:10" ht="43.5" customHeight="1" x14ac:dyDescent="0.5">
      <c r="A32" s="2" t="s">
        <v>413</v>
      </c>
      <c r="B32" s="2" t="s">
        <v>4735</v>
      </c>
      <c r="C32" s="2">
        <v>1</v>
      </c>
      <c r="D32" s="2" t="s">
        <v>84</v>
      </c>
      <c r="E32" s="2" t="s">
        <v>4703</v>
      </c>
      <c r="F32" s="2" t="s">
        <v>3462</v>
      </c>
      <c r="G32" s="2" t="s">
        <v>3473</v>
      </c>
      <c r="H32" s="2" t="s">
        <v>274</v>
      </c>
      <c r="I32" s="2" t="s">
        <v>4704</v>
      </c>
      <c r="J32" s="2" t="s">
        <v>4705</v>
      </c>
    </row>
    <row r="33" spans="1:10" ht="43.5" customHeight="1" x14ac:dyDescent="0.5">
      <c r="A33" s="2" t="s">
        <v>418</v>
      </c>
      <c r="B33" s="2" t="s">
        <v>4736</v>
      </c>
      <c r="C33" s="2">
        <v>1</v>
      </c>
      <c r="D33" s="2" t="s">
        <v>84</v>
      </c>
      <c r="E33" s="2" t="s">
        <v>4703</v>
      </c>
      <c r="F33" s="2" t="s">
        <v>3462</v>
      </c>
      <c r="G33" s="2" t="s">
        <v>3473</v>
      </c>
      <c r="H33" s="2" t="s">
        <v>274</v>
      </c>
      <c r="I33" s="2" t="s">
        <v>4704</v>
      </c>
      <c r="J33" s="2" t="s">
        <v>4705</v>
      </c>
    </row>
    <row r="34" spans="1:10" ht="43.5" customHeight="1" x14ac:dyDescent="0.5">
      <c r="A34" s="2" t="s">
        <v>422</v>
      </c>
      <c r="B34" s="2" t="s">
        <v>4737</v>
      </c>
      <c r="C34" s="2">
        <v>1</v>
      </c>
      <c r="D34" s="2" t="s">
        <v>84</v>
      </c>
      <c r="E34" s="2" t="s">
        <v>4703</v>
      </c>
      <c r="F34" s="2" t="s">
        <v>3462</v>
      </c>
      <c r="G34" s="2" t="s">
        <v>3473</v>
      </c>
      <c r="H34" s="2" t="s">
        <v>297</v>
      </c>
      <c r="I34" s="2" t="s">
        <v>4704</v>
      </c>
      <c r="J34" s="2" t="s">
        <v>4705</v>
      </c>
    </row>
    <row r="35" spans="1:10" ht="43.5" customHeight="1" x14ac:dyDescent="0.5">
      <c r="A35" s="2" t="s">
        <v>425</v>
      </c>
      <c r="B35" s="2" t="s">
        <v>4738</v>
      </c>
      <c r="C35" s="2">
        <v>1</v>
      </c>
      <c r="D35" s="2" t="s">
        <v>84</v>
      </c>
      <c r="E35" s="2" t="s">
        <v>4703</v>
      </c>
      <c r="F35" s="2" t="s">
        <v>3462</v>
      </c>
      <c r="G35" s="2" t="s">
        <v>3473</v>
      </c>
      <c r="H35" s="2" t="s">
        <v>297</v>
      </c>
      <c r="I35" s="2" t="s">
        <v>4704</v>
      </c>
      <c r="J35" s="2" t="s">
        <v>4705</v>
      </c>
    </row>
    <row r="36" spans="1:10" ht="43.5" customHeight="1" x14ac:dyDescent="0.5">
      <c r="A36" s="2" t="s">
        <v>430</v>
      </c>
      <c r="B36" s="2" t="s">
        <v>4739</v>
      </c>
      <c r="C36" s="2">
        <v>1</v>
      </c>
      <c r="D36" s="2" t="s">
        <v>84</v>
      </c>
      <c r="E36" s="2" t="s">
        <v>4703</v>
      </c>
      <c r="F36" s="2" t="s">
        <v>3462</v>
      </c>
      <c r="G36" s="2" t="s">
        <v>3473</v>
      </c>
      <c r="H36" s="2" t="s">
        <v>297</v>
      </c>
      <c r="I36" s="2" t="s">
        <v>4704</v>
      </c>
      <c r="J36" s="2" t="s">
        <v>4705</v>
      </c>
    </row>
    <row r="37" spans="1:10" ht="43.5" customHeight="1" x14ac:dyDescent="0.5">
      <c r="A37" s="2" t="s">
        <v>434</v>
      </c>
      <c r="B37" s="2" t="s">
        <v>4740</v>
      </c>
      <c r="C37" s="2">
        <v>1</v>
      </c>
      <c r="D37" s="2" t="s">
        <v>88</v>
      </c>
      <c r="E37" s="2" t="s">
        <v>4703</v>
      </c>
      <c r="F37" s="2" t="s">
        <v>3462</v>
      </c>
      <c r="G37" s="2" t="s">
        <v>3473</v>
      </c>
      <c r="H37" s="2" t="s">
        <v>274</v>
      </c>
      <c r="I37" s="2" t="s">
        <v>4704</v>
      </c>
      <c r="J37" s="2" t="s">
        <v>4705</v>
      </c>
    </row>
    <row r="38" spans="1:10" ht="43.5" customHeight="1" x14ac:dyDescent="0.5">
      <c r="A38" s="2" t="s">
        <v>439</v>
      </c>
      <c r="B38" s="2" t="s">
        <v>4741</v>
      </c>
      <c r="C38" s="2">
        <v>1</v>
      </c>
      <c r="D38" s="2" t="s">
        <v>88</v>
      </c>
      <c r="E38" s="2" t="s">
        <v>4703</v>
      </c>
      <c r="F38" s="2" t="s">
        <v>3462</v>
      </c>
      <c r="G38" s="2" t="s">
        <v>3473</v>
      </c>
      <c r="H38" s="2" t="s">
        <v>274</v>
      </c>
      <c r="I38" s="2" t="s">
        <v>4704</v>
      </c>
      <c r="J38" s="2" t="s">
        <v>4705</v>
      </c>
    </row>
    <row r="39" spans="1:10" ht="43.5" customHeight="1" x14ac:dyDescent="0.5">
      <c r="A39" s="2" t="s">
        <v>443</v>
      </c>
      <c r="B39" s="2" t="s">
        <v>4742</v>
      </c>
      <c r="C39" s="2">
        <v>1</v>
      </c>
      <c r="D39" s="2" t="s">
        <v>88</v>
      </c>
      <c r="E39" s="2" t="s">
        <v>4703</v>
      </c>
      <c r="F39" s="2" t="s">
        <v>3462</v>
      </c>
      <c r="G39" s="2" t="s">
        <v>3473</v>
      </c>
      <c r="H39" s="2" t="s">
        <v>297</v>
      </c>
      <c r="I39" s="2" t="s">
        <v>4704</v>
      </c>
      <c r="J39" s="2" t="s">
        <v>4705</v>
      </c>
    </row>
    <row r="40" spans="1:10" ht="43.5" customHeight="1" x14ac:dyDescent="0.5">
      <c r="A40" s="2" t="s">
        <v>446</v>
      </c>
      <c r="B40" s="2" t="s">
        <v>4743</v>
      </c>
      <c r="C40" s="2">
        <v>1</v>
      </c>
      <c r="D40" s="2" t="s">
        <v>88</v>
      </c>
      <c r="E40" s="2" t="s">
        <v>4703</v>
      </c>
      <c r="F40" s="2" t="s">
        <v>3462</v>
      </c>
      <c r="G40" s="2" t="s">
        <v>3473</v>
      </c>
      <c r="H40" s="2" t="s">
        <v>297</v>
      </c>
      <c r="I40" s="2" t="s">
        <v>4704</v>
      </c>
      <c r="J40" s="2" t="s">
        <v>4705</v>
      </c>
    </row>
    <row r="41" spans="1:10" ht="43.5" customHeight="1" x14ac:dyDescent="0.5">
      <c r="A41" s="2" t="s">
        <v>451</v>
      </c>
      <c r="B41" s="2" t="s">
        <v>4744</v>
      </c>
      <c r="C41" s="2">
        <v>1</v>
      </c>
      <c r="D41" s="2" t="s">
        <v>88</v>
      </c>
      <c r="E41" s="2" t="s">
        <v>4703</v>
      </c>
      <c r="F41" s="2" t="s">
        <v>3462</v>
      </c>
      <c r="G41" s="2" t="s">
        <v>3473</v>
      </c>
      <c r="H41" s="2" t="s">
        <v>297</v>
      </c>
      <c r="I41" s="2" t="s">
        <v>4704</v>
      </c>
      <c r="J41" s="2" t="s">
        <v>4705</v>
      </c>
    </row>
    <row r="42" spans="1:10" ht="43.5" customHeight="1" x14ac:dyDescent="0.5">
      <c r="A42" s="2" t="s">
        <v>455</v>
      </c>
      <c r="B42" s="2" t="s">
        <v>4745</v>
      </c>
      <c r="C42" s="2">
        <v>1</v>
      </c>
      <c r="D42" s="2" t="s">
        <v>88</v>
      </c>
      <c r="E42" s="2" t="s">
        <v>4703</v>
      </c>
      <c r="F42" s="2" t="s">
        <v>3462</v>
      </c>
      <c r="G42" s="2" t="s">
        <v>3473</v>
      </c>
      <c r="H42" s="2" t="s">
        <v>297</v>
      </c>
      <c r="I42" s="2" t="s">
        <v>4704</v>
      </c>
      <c r="J42" s="2" t="s">
        <v>4705</v>
      </c>
    </row>
    <row r="43" spans="1:10" ht="43.5" customHeight="1" x14ac:dyDescent="0.5">
      <c r="A43" s="2" t="s">
        <v>463</v>
      </c>
      <c r="B43" s="2" t="s">
        <v>4746</v>
      </c>
      <c r="C43" s="2">
        <v>1</v>
      </c>
      <c r="D43" s="2" t="s">
        <v>88</v>
      </c>
      <c r="E43" s="2" t="s">
        <v>4703</v>
      </c>
      <c r="F43" s="2" t="s">
        <v>3462</v>
      </c>
      <c r="G43" s="2" t="s">
        <v>3473</v>
      </c>
      <c r="H43" s="2" t="s">
        <v>274</v>
      </c>
      <c r="I43" s="2" t="s">
        <v>4704</v>
      </c>
      <c r="J43" s="2" t="s">
        <v>4705</v>
      </c>
    </row>
    <row r="44" spans="1:10" ht="43.5" customHeight="1" x14ac:dyDescent="0.5">
      <c r="A44" s="2" t="s">
        <v>467</v>
      </c>
      <c r="B44" s="2" t="s">
        <v>4747</v>
      </c>
      <c r="C44" s="2">
        <v>1</v>
      </c>
      <c r="D44" s="2" t="s">
        <v>88</v>
      </c>
      <c r="E44" s="2" t="s">
        <v>4703</v>
      </c>
      <c r="F44" s="2" t="s">
        <v>3462</v>
      </c>
      <c r="G44" s="2" t="s">
        <v>3473</v>
      </c>
      <c r="H44" s="2" t="s">
        <v>274</v>
      </c>
      <c r="I44" s="2" t="s">
        <v>4704</v>
      </c>
      <c r="J44" s="2" t="s">
        <v>4705</v>
      </c>
    </row>
    <row r="45" spans="1:10" ht="43.5" customHeight="1" x14ac:dyDescent="0.5">
      <c r="A45" s="2" t="s">
        <v>470</v>
      </c>
      <c r="B45" s="2" t="s">
        <v>4748</v>
      </c>
      <c r="C45" s="2">
        <v>1</v>
      </c>
      <c r="D45" s="2" t="s">
        <v>88</v>
      </c>
      <c r="E45" s="2" t="s">
        <v>4703</v>
      </c>
      <c r="F45" s="2" t="s">
        <v>3462</v>
      </c>
      <c r="G45" s="2" t="s">
        <v>3473</v>
      </c>
      <c r="H45" s="2" t="s">
        <v>297</v>
      </c>
      <c r="I45" s="2" t="s">
        <v>4704</v>
      </c>
      <c r="J45" s="2" t="s">
        <v>4705</v>
      </c>
    </row>
    <row r="46" spans="1:10" ht="43.5" customHeight="1" x14ac:dyDescent="0.5">
      <c r="A46" s="2" t="s">
        <v>473</v>
      </c>
      <c r="B46" s="2" t="s">
        <v>4749</v>
      </c>
      <c r="C46" s="2">
        <v>1</v>
      </c>
      <c r="D46" s="2" t="s">
        <v>88</v>
      </c>
      <c r="E46" s="2" t="s">
        <v>4703</v>
      </c>
      <c r="F46" s="2" t="s">
        <v>3462</v>
      </c>
      <c r="G46" s="2" t="s">
        <v>3473</v>
      </c>
      <c r="H46" s="2" t="s">
        <v>297</v>
      </c>
      <c r="I46" s="2" t="s">
        <v>4704</v>
      </c>
      <c r="J46" s="2" t="s">
        <v>4705</v>
      </c>
    </row>
    <row r="47" spans="1:10" ht="43.5" customHeight="1" x14ac:dyDescent="0.5">
      <c r="A47" s="2" t="s">
        <v>478</v>
      </c>
      <c r="B47" s="2" t="s">
        <v>4750</v>
      </c>
      <c r="C47" s="2">
        <v>1</v>
      </c>
      <c r="D47" s="2" t="s">
        <v>88</v>
      </c>
      <c r="E47" s="2" t="s">
        <v>4703</v>
      </c>
      <c r="F47" s="2" t="s">
        <v>3462</v>
      </c>
      <c r="G47" s="2" t="s">
        <v>3473</v>
      </c>
      <c r="H47" s="2" t="s">
        <v>297</v>
      </c>
      <c r="I47" s="2" t="s">
        <v>4704</v>
      </c>
      <c r="J47" s="2" t="s">
        <v>4705</v>
      </c>
    </row>
    <row r="48" spans="1:10" ht="43.5" customHeight="1" x14ac:dyDescent="0.5">
      <c r="A48" s="2" t="s">
        <v>482</v>
      </c>
      <c r="B48" s="2" t="s">
        <v>4751</v>
      </c>
      <c r="C48" s="2">
        <v>1</v>
      </c>
      <c r="D48" s="2" t="s">
        <v>88</v>
      </c>
      <c r="E48" s="2" t="s">
        <v>4703</v>
      </c>
      <c r="F48" s="2" t="s">
        <v>3462</v>
      </c>
      <c r="G48" s="2" t="s">
        <v>3473</v>
      </c>
      <c r="H48" s="2" t="s">
        <v>297</v>
      </c>
      <c r="I48" s="2" t="s">
        <v>4704</v>
      </c>
      <c r="J48" s="2" t="s">
        <v>4705</v>
      </c>
    </row>
    <row r="49" spans="1:10" ht="43.5" customHeight="1" x14ac:dyDescent="0.5">
      <c r="A49" s="2" t="s">
        <v>486</v>
      </c>
      <c r="B49" s="2" t="s">
        <v>4752</v>
      </c>
      <c r="C49" s="2">
        <v>1</v>
      </c>
      <c r="D49" s="2" t="s">
        <v>88</v>
      </c>
      <c r="E49" s="2" t="s">
        <v>4703</v>
      </c>
      <c r="F49" s="2" t="s">
        <v>3462</v>
      </c>
      <c r="G49" s="2" t="s">
        <v>3473</v>
      </c>
      <c r="H49" s="2" t="s">
        <v>274</v>
      </c>
      <c r="I49" s="2" t="s">
        <v>4704</v>
      </c>
      <c r="J49" s="2" t="s">
        <v>4705</v>
      </c>
    </row>
    <row r="50" spans="1:10" ht="43.5" customHeight="1" x14ac:dyDescent="0.5">
      <c r="A50" s="2" t="s">
        <v>491</v>
      </c>
      <c r="B50" s="2" t="s">
        <v>4753</v>
      </c>
      <c r="C50" s="2">
        <v>1</v>
      </c>
      <c r="D50" s="2" t="s">
        <v>88</v>
      </c>
      <c r="E50" s="2" t="s">
        <v>4703</v>
      </c>
      <c r="F50" s="2" t="s">
        <v>3462</v>
      </c>
      <c r="G50" s="2" t="s">
        <v>3473</v>
      </c>
      <c r="H50" s="2" t="s">
        <v>274</v>
      </c>
      <c r="I50" s="2" t="s">
        <v>4704</v>
      </c>
      <c r="J50" s="2" t="s">
        <v>4705</v>
      </c>
    </row>
    <row r="51" spans="1:10" ht="43.5" customHeight="1" x14ac:dyDescent="0.5">
      <c r="A51" s="2" t="s">
        <v>495</v>
      </c>
      <c r="B51" s="2" t="s">
        <v>4754</v>
      </c>
      <c r="C51" s="2">
        <v>1</v>
      </c>
      <c r="D51" s="2" t="s">
        <v>88</v>
      </c>
      <c r="E51" s="2" t="s">
        <v>4703</v>
      </c>
      <c r="F51" s="2" t="s">
        <v>3462</v>
      </c>
      <c r="G51" s="2" t="s">
        <v>3473</v>
      </c>
      <c r="H51" s="2" t="s">
        <v>297</v>
      </c>
      <c r="I51" s="2" t="s">
        <v>4704</v>
      </c>
      <c r="J51" s="2" t="s">
        <v>4705</v>
      </c>
    </row>
    <row r="52" spans="1:10" ht="43.5" customHeight="1" x14ac:dyDescent="0.5">
      <c r="A52" s="2" t="s">
        <v>498</v>
      </c>
      <c r="B52" s="2" t="s">
        <v>4755</v>
      </c>
      <c r="C52" s="2">
        <v>1</v>
      </c>
      <c r="D52" s="2" t="s">
        <v>88</v>
      </c>
      <c r="E52" s="2" t="s">
        <v>4703</v>
      </c>
      <c r="F52" s="2" t="s">
        <v>3462</v>
      </c>
      <c r="G52" s="2" t="s">
        <v>3473</v>
      </c>
      <c r="H52" s="2" t="s">
        <v>297</v>
      </c>
      <c r="I52" s="2" t="s">
        <v>4704</v>
      </c>
      <c r="J52" s="2" t="s">
        <v>4705</v>
      </c>
    </row>
    <row r="53" spans="1:10" ht="43.5" customHeight="1" x14ac:dyDescent="0.5">
      <c r="A53" s="2" t="s">
        <v>503</v>
      </c>
      <c r="B53" s="2" t="s">
        <v>4756</v>
      </c>
      <c r="C53" s="2">
        <v>1</v>
      </c>
      <c r="D53" s="2" t="s">
        <v>88</v>
      </c>
      <c r="E53" s="2" t="s">
        <v>4703</v>
      </c>
      <c r="F53" s="2" t="s">
        <v>3462</v>
      </c>
      <c r="G53" s="2" t="s">
        <v>3473</v>
      </c>
      <c r="H53" s="2" t="s">
        <v>297</v>
      </c>
      <c r="I53" s="2" t="s">
        <v>4704</v>
      </c>
      <c r="J53" s="2" t="s">
        <v>4705</v>
      </c>
    </row>
    <row r="54" spans="1:10" ht="43.5" customHeight="1" x14ac:dyDescent="0.5">
      <c r="A54" s="2" t="s">
        <v>507</v>
      </c>
      <c r="B54" s="2" t="s">
        <v>4757</v>
      </c>
      <c r="C54" s="2">
        <v>1</v>
      </c>
      <c r="D54" s="2" t="s">
        <v>88</v>
      </c>
      <c r="E54" s="2" t="s">
        <v>4703</v>
      </c>
      <c r="F54" s="2" t="s">
        <v>3462</v>
      </c>
      <c r="G54" s="2" t="s">
        <v>3473</v>
      </c>
      <c r="H54" s="2" t="s">
        <v>297</v>
      </c>
      <c r="I54" s="2" t="s">
        <v>4704</v>
      </c>
      <c r="J54" s="2" t="s">
        <v>4705</v>
      </c>
    </row>
    <row r="55" spans="1:10" ht="43.5" customHeight="1" x14ac:dyDescent="0.5">
      <c r="A55" s="2" t="s">
        <v>511</v>
      </c>
      <c r="B55" s="2" t="s">
        <v>4758</v>
      </c>
      <c r="C55" s="2">
        <v>1</v>
      </c>
      <c r="D55" s="2" t="s">
        <v>90</v>
      </c>
      <c r="E55" s="2" t="s">
        <v>4703</v>
      </c>
      <c r="F55" s="2" t="s">
        <v>3462</v>
      </c>
      <c r="G55" s="2" t="s">
        <v>3473</v>
      </c>
      <c r="H55" s="2" t="s">
        <v>274</v>
      </c>
      <c r="I55" s="2" t="s">
        <v>4704</v>
      </c>
      <c r="J55" s="2" t="s">
        <v>4705</v>
      </c>
    </row>
    <row r="56" spans="1:10" ht="43.5" customHeight="1" x14ac:dyDescent="0.5">
      <c r="A56" s="2" t="s">
        <v>515</v>
      </c>
      <c r="B56" s="2" t="s">
        <v>4759</v>
      </c>
      <c r="C56" s="2">
        <v>1</v>
      </c>
      <c r="D56" s="2" t="s">
        <v>90</v>
      </c>
      <c r="E56" s="2" t="s">
        <v>4703</v>
      </c>
      <c r="F56" s="2" t="s">
        <v>3462</v>
      </c>
      <c r="G56" s="2" t="s">
        <v>3473</v>
      </c>
      <c r="H56" s="2" t="s">
        <v>274</v>
      </c>
      <c r="I56" s="2" t="s">
        <v>4704</v>
      </c>
      <c r="J56" s="2" t="s">
        <v>4705</v>
      </c>
    </row>
    <row r="57" spans="1:10" ht="43.5" customHeight="1" x14ac:dyDescent="0.5">
      <c r="A57" s="2" t="s">
        <v>518</v>
      </c>
      <c r="B57" s="2" t="s">
        <v>4760</v>
      </c>
      <c r="C57" s="2">
        <v>1</v>
      </c>
      <c r="D57" s="2" t="s">
        <v>90</v>
      </c>
      <c r="E57" s="2" t="s">
        <v>4703</v>
      </c>
      <c r="F57" s="2" t="s">
        <v>3462</v>
      </c>
      <c r="G57" s="2" t="s">
        <v>3473</v>
      </c>
      <c r="H57" s="2" t="s">
        <v>297</v>
      </c>
      <c r="I57" s="2" t="s">
        <v>4704</v>
      </c>
      <c r="J57" s="2" t="s">
        <v>4705</v>
      </c>
    </row>
    <row r="58" spans="1:10" ht="43.5" customHeight="1" x14ac:dyDescent="0.5">
      <c r="A58" s="2" t="s">
        <v>521</v>
      </c>
      <c r="B58" s="2" t="s">
        <v>4761</v>
      </c>
      <c r="C58" s="2">
        <v>1</v>
      </c>
      <c r="D58" s="2" t="s">
        <v>90</v>
      </c>
      <c r="E58" s="2" t="s">
        <v>4703</v>
      </c>
      <c r="F58" s="2" t="s">
        <v>3462</v>
      </c>
      <c r="G58" s="2" t="s">
        <v>3473</v>
      </c>
      <c r="H58" s="2" t="s">
        <v>297</v>
      </c>
      <c r="I58" s="2" t="s">
        <v>4704</v>
      </c>
      <c r="J58" s="2" t="s">
        <v>4705</v>
      </c>
    </row>
    <row r="59" spans="1:10" ht="43.5" customHeight="1" x14ac:dyDescent="0.5">
      <c r="A59" s="2" t="s">
        <v>526</v>
      </c>
      <c r="B59" s="2" t="s">
        <v>4762</v>
      </c>
      <c r="C59" s="2">
        <v>1</v>
      </c>
      <c r="D59" s="2" t="s">
        <v>90</v>
      </c>
      <c r="E59" s="2" t="s">
        <v>4703</v>
      </c>
      <c r="F59" s="2" t="s">
        <v>3462</v>
      </c>
      <c r="G59" s="2" t="s">
        <v>3473</v>
      </c>
      <c r="H59" s="2" t="s">
        <v>297</v>
      </c>
      <c r="I59" s="2" t="s">
        <v>4704</v>
      </c>
      <c r="J59" s="2" t="s">
        <v>4705</v>
      </c>
    </row>
    <row r="60" spans="1:10" ht="43.5" customHeight="1" x14ac:dyDescent="0.5">
      <c r="A60" s="2" t="s">
        <v>530</v>
      </c>
      <c r="B60" s="2" t="s">
        <v>4763</v>
      </c>
      <c r="C60" s="2">
        <v>1</v>
      </c>
      <c r="D60" s="2" t="s">
        <v>90</v>
      </c>
      <c r="E60" s="2" t="s">
        <v>4703</v>
      </c>
      <c r="F60" s="2" t="s">
        <v>3462</v>
      </c>
      <c r="G60" s="2" t="s">
        <v>3473</v>
      </c>
      <c r="H60" s="2" t="s">
        <v>297</v>
      </c>
      <c r="I60" s="2" t="s">
        <v>4704</v>
      </c>
      <c r="J60" s="2" t="s">
        <v>4705</v>
      </c>
    </row>
    <row r="61" spans="1:10" ht="43.5" customHeight="1" x14ac:dyDescent="0.5">
      <c r="A61" s="2" t="s">
        <v>533</v>
      </c>
      <c r="B61" s="2" t="s">
        <v>4764</v>
      </c>
      <c r="C61" s="2">
        <v>1</v>
      </c>
      <c r="D61" s="2" t="s">
        <v>90</v>
      </c>
      <c r="E61" s="2" t="s">
        <v>4703</v>
      </c>
      <c r="F61" s="2" t="s">
        <v>3462</v>
      </c>
      <c r="G61" s="2" t="s">
        <v>3473</v>
      </c>
      <c r="H61" s="2" t="s">
        <v>274</v>
      </c>
      <c r="I61" s="2" t="s">
        <v>4704</v>
      </c>
      <c r="J61" s="2" t="s">
        <v>4705</v>
      </c>
    </row>
    <row r="62" spans="1:10" ht="43.5" customHeight="1" x14ac:dyDescent="0.5">
      <c r="A62" s="2" t="s">
        <v>537</v>
      </c>
      <c r="B62" s="2" t="s">
        <v>4765</v>
      </c>
      <c r="C62" s="2">
        <v>1</v>
      </c>
      <c r="D62" s="2" t="s">
        <v>90</v>
      </c>
      <c r="E62" s="2" t="s">
        <v>4703</v>
      </c>
      <c r="F62" s="2" t="s">
        <v>3462</v>
      </c>
      <c r="G62" s="2" t="s">
        <v>3473</v>
      </c>
      <c r="H62" s="2" t="s">
        <v>274</v>
      </c>
      <c r="I62" s="2" t="s">
        <v>4704</v>
      </c>
      <c r="J62" s="2" t="s">
        <v>4705</v>
      </c>
    </row>
    <row r="63" spans="1:10" ht="43.5" customHeight="1" x14ac:dyDescent="0.5">
      <c r="A63" s="2" t="s">
        <v>540</v>
      </c>
      <c r="B63" s="2" t="s">
        <v>4766</v>
      </c>
      <c r="C63" s="2">
        <v>1</v>
      </c>
      <c r="D63" s="2" t="s">
        <v>90</v>
      </c>
      <c r="E63" s="2" t="s">
        <v>4703</v>
      </c>
      <c r="F63" s="2" t="s">
        <v>3462</v>
      </c>
      <c r="G63" s="2" t="s">
        <v>3473</v>
      </c>
      <c r="H63" s="2" t="s">
        <v>297</v>
      </c>
      <c r="I63" s="2" t="s">
        <v>4704</v>
      </c>
      <c r="J63" s="2" t="s">
        <v>4705</v>
      </c>
    </row>
    <row r="64" spans="1:10" ht="43.5" customHeight="1" x14ac:dyDescent="0.5">
      <c r="A64" s="2" t="s">
        <v>543</v>
      </c>
      <c r="B64" s="2" t="s">
        <v>4767</v>
      </c>
      <c r="C64" s="2">
        <v>1</v>
      </c>
      <c r="D64" s="2" t="s">
        <v>90</v>
      </c>
      <c r="E64" s="2" t="s">
        <v>4703</v>
      </c>
      <c r="F64" s="2" t="s">
        <v>3462</v>
      </c>
      <c r="G64" s="2" t="s">
        <v>3473</v>
      </c>
      <c r="H64" s="2" t="s">
        <v>297</v>
      </c>
      <c r="I64" s="2" t="s">
        <v>4704</v>
      </c>
      <c r="J64" s="2" t="s">
        <v>4705</v>
      </c>
    </row>
    <row r="65" spans="1:10" ht="43.5" customHeight="1" x14ac:dyDescent="0.5">
      <c r="A65" s="2" t="s">
        <v>546</v>
      </c>
      <c r="B65" s="2" t="s">
        <v>4768</v>
      </c>
      <c r="C65" s="2">
        <v>1</v>
      </c>
      <c r="D65" s="2" t="s">
        <v>90</v>
      </c>
      <c r="E65" s="2" t="s">
        <v>4703</v>
      </c>
      <c r="F65" s="2" t="s">
        <v>3462</v>
      </c>
      <c r="G65" s="2" t="s">
        <v>3473</v>
      </c>
      <c r="H65" s="2" t="s">
        <v>297</v>
      </c>
      <c r="I65" s="2" t="s">
        <v>4704</v>
      </c>
      <c r="J65" s="2" t="s">
        <v>4705</v>
      </c>
    </row>
    <row r="66" spans="1:10" ht="43.5" customHeight="1" x14ac:dyDescent="0.5">
      <c r="A66" s="2" t="s">
        <v>549</v>
      </c>
      <c r="B66" s="2" t="s">
        <v>4769</v>
      </c>
      <c r="C66" s="2">
        <v>1</v>
      </c>
      <c r="D66" s="2" t="s">
        <v>90</v>
      </c>
      <c r="E66" s="2" t="s">
        <v>4703</v>
      </c>
      <c r="F66" s="2" t="s">
        <v>3462</v>
      </c>
      <c r="G66" s="2" t="s">
        <v>3473</v>
      </c>
      <c r="H66" s="2" t="s">
        <v>297</v>
      </c>
      <c r="I66" s="2" t="s">
        <v>4704</v>
      </c>
      <c r="J66" s="2" t="s">
        <v>4705</v>
      </c>
    </row>
    <row r="67" spans="1:10" ht="43.5" customHeight="1" x14ac:dyDescent="0.5">
      <c r="A67" s="2" t="s">
        <v>553</v>
      </c>
      <c r="B67" s="2" t="s">
        <v>4770</v>
      </c>
      <c r="C67" s="2">
        <v>1</v>
      </c>
      <c r="D67" s="2" t="s">
        <v>90</v>
      </c>
      <c r="E67" s="2" t="s">
        <v>4703</v>
      </c>
      <c r="F67" s="2" t="s">
        <v>3462</v>
      </c>
      <c r="G67" s="2" t="s">
        <v>3473</v>
      </c>
      <c r="H67" s="2" t="s">
        <v>274</v>
      </c>
      <c r="I67" s="2" t="s">
        <v>4704</v>
      </c>
      <c r="J67" s="2" t="s">
        <v>4705</v>
      </c>
    </row>
    <row r="68" spans="1:10" ht="43.5" customHeight="1" x14ac:dyDescent="0.5">
      <c r="A68" s="2" t="s">
        <v>556</v>
      </c>
      <c r="B68" s="2" t="s">
        <v>4771</v>
      </c>
      <c r="C68" s="2">
        <v>1</v>
      </c>
      <c r="D68" s="2" t="s">
        <v>90</v>
      </c>
      <c r="E68" s="2" t="s">
        <v>4703</v>
      </c>
      <c r="F68" s="2" t="s">
        <v>3462</v>
      </c>
      <c r="G68" s="2" t="s">
        <v>3473</v>
      </c>
      <c r="H68" s="2" t="s">
        <v>274</v>
      </c>
      <c r="I68" s="2" t="s">
        <v>4704</v>
      </c>
      <c r="J68" s="2" t="s">
        <v>4705</v>
      </c>
    </row>
    <row r="69" spans="1:10" ht="43.5" customHeight="1" x14ac:dyDescent="0.5">
      <c r="A69" s="2" t="s">
        <v>559</v>
      </c>
      <c r="B69" s="2" t="s">
        <v>4772</v>
      </c>
      <c r="C69" s="2">
        <v>1</v>
      </c>
      <c r="D69" s="2" t="s">
        <v>90</v>
      </c>
      <c r="E69" s="2" t="s">
        <v>4703</v>
      </c>
      <c r="F69" s="2" t="s">
        <v>3462</v>
      </c>
      <c r="G69" s="2" t="s">
        <v>3473</v>
      </c>
      <c r="H69" s="2" t="s">
        <v>297</v>
      </c>
      <c r="I69" s="2" t="s">
        <v>4704</v>
      </c>
      <c r="J69" s="2" t="s">
        <v>4705</v>
      </c>
    </row>
    <row r="70" spans="1:10" ht="43.5" customHeight="1" x14ac:dyDescent="0.5">
      <c r="A70" s="2" t="s">
        <v>562</v>
      </c>
      <c r="B70" s="2" t="s">
        <v>4773</v>
      </c>
      <c r="C70" s="2">
        <v>1</v>
      </c>
      <c r="D70" s="2" t="s">
        <v>90</v>
      </c>
      <c r="E70" s="2" t="s">
        <v>4703</v>
      </c>
      <c r="F70" s="2" t="s">
        <v>3462</v>
      </c>
      <c r="G70" s="2" t="s">
        <v>3473</v>
      </c>
      <c r="H70" s="2" t="s">
        <v>297</v>
      </c>
      <c r="I70" s="2" t="s">
        <v>4704</v>
      </c>
      <c r="J70" s="2" t="s">
        <v>4705</v>
      </c>
    </row>
    <row r="71" spans="1:10" ht="43.5" customHeight="1" x14ac:dyDescent="0.5">
      <c r="A71" s="2" t="s">
        <v>565</v>
      </c>
      <c r="B71" s="2" t="s">
        <v>4774</v>
      </c>
      <c r="C71" s="2">
        <v>1</v>
      </c>
      <c r="D71" s="2" t="s">
        <v>90</v>
      </c>
      <c r="E71" s="2" t="s">
        <v>4703</v>
      </c>
      <c r="F71" s="2" t="s">
        <v>3462</v>
      </c>
      <c r="G71" s="2" t="s">
        <v>3473</v>
      </c>
      <c r="H71" s="2" t="s">
        <v>297</v>
      </c>
      <c r="I71" s="2" t="s">
        <v>4704</v>
      </c>
      <c r="J71" s="2" t="s">
        <v>4705</v>
      </c>
    </row>
    <row r="72" spans="1:10" ht="43.5" customHeight="1" x14ac:dyDescent="0.5">
      <c r="A72" s="2" t="s">
        <v>568</v>
      </c>
      <c r="B72" s="2" t="s">
        <v>4775</v>
      </c>
      <c r="C72" s="2">
        <v>1</v>
      </c>
      <c r="D72" s="2" t="s">
        <v>90</v>
      </c>
      <c r="E72" s="2" t="s">
        <v>4703</v>
      </c>
      <c r="F72" s="2" t="s">
        <v>3462</v>
      </c>
      <c r="G72" s="2" t="s">
        <v>3473</v>
      </c>
      <c r="H72" s="2" t="s">
        <v>297</v>
      </c>
      <c r="I72" s="2" t="s">
        <v>4704</v>
      </c>
      <c r="J72" s="2" t="s">
        <v>4705</v>
      </c>
    </row>
    <row r="73" spans="1:10" ht="43.5" customHeight="1" x14ac:dyDescent="0.5">
      <c r="A73" s="2" t="s">
        <v>571</v>
      </c>
      <c r="B73" s="2" t="s">
        <v>4776</v>
      </c>
      <c r="C73" s="2">
        <v>1</v>
      </c>
      <c r="D73" s="2" t="s">
        <v>90</v>
      </c>
      <c r="E73" s="2" t="s">
        <v>4703</v>
      </c>
      <c r="F73" s="2" t="s">
        <v>3462</v>
      </c>
      <c r="G73" s="2" t="s">
        <v>3473</v>
      </c>
      <c r="H73" s="2" t="s">
        <v>274</v>
      </c>
      <c r="I73" s="2" t="s">
        <v>4704</v>
      </c>
      <c r="J73" s="2" t="s">
        <v>4705</v>
      </c>
    </row>
    <row r="74" spans="1:10" ht="43.5" customHeight="1" x14ac:dyDescent="0.5">
      <c r="A74" s="2" t="s">
        <v>575</v>
      </c>
      <c r="B74" s="2" t="s">
        <v>4777</v>
      </c>
      <c r="C74" s="2">
        <v>1</v>
      </c>
      <c r="D74" s="2" t="s">
        <v>90</v>
      </c>
      <c r="E74" s="2" t="s">
        <v>4703</v>
      </c>
      <c r="F74" s="2" t="s">
        <v>3462</v>
      </c>
      <c r="G74" s="2" t="s">
        <v>3473</v>
      </c>
      <c r="H74" s="2" t="s">
        <v>274</v>
      </c>
      <c r="I74" s="2" t="s">
        <v>4704</v>
      </c>
      <c r="J74" s="2" t="s">
        <v>4705</v>
      </c>
    </row>
    <row r="75" spans="1:10" ht="43.5" customHeight="1" x14ac:dyDescent="0.5">
      <c r="A75" s="2" t="s">
        <v>579</v>
      </c>
      <c r="B75" s="2" t="s">
        <v>4778</v>
      </c>
      <c r="C75" s="2">
        <v>1</v>
      </c>
      <c r="D75" s="2" t="s">
        <v>90</v>
      </c>
      <c r="E75" s="2" t="s">
        <v>4703</v>
      </c>
      <c r="F75" s="2" t="s">
        <v>3462</v>
      </c>
      <c r="G75" s="2" t="s">
        <v>3473</v>
      </c>
      <c r="H75" s="2" t="s">
        <v>297</v>
      </c>
      <c r="I75" s="2" t="s">
        <v>4704</v>
      </c>
      <c r="J75" s="2" t="s">
        <v>4705</v>
      </c>
    </row>
    <row r="76" spans="1:10" ht="43.5" customHeight="1" x14ac:dyDescent="0.5">
      <c r="A76" s="2" t="s">
        <v>582</v>
      </c>
      <c r="B76" s="2" t="s">
        <v>4779</v>
      </c>
      <c r="C76" s="2">
        <v>1</v>
      </c>
      <c r="D76" s="2" t="s">
        <v>90</v>
      </c>
      <c r="E76" s="2" t="s">
        <v>4703</v>
      </c>
      <c r="F76" s="2" t="s">
        <v>3462</v>
      </c>
      <c r="G76" s="2" t="s">
        <v>3473</v>
      </c>
      <c r="H76" s="2" t="s">
        <v>297</v>
      </c>
      <c r="I76" s="2" t="s">
        <v>4704</v>
      </c>
      <c r="J76" s="2" t="s">
        <v>4705</v>
      </c>
    </row>
    <row r="77" spans="1:10" ht="43.5" customHeight="1" x14ac:dyDescent="0.5">
      <c r="A77" s="2" t="s">
        <v>587</v>
      </c>
      <c r="B77" s="2" t="s">
        <v>4780</v>
      </c>
      <c r="C77" s="2">
        <v>1</v>
      </c>
      <c r="D77" s="2" t="s">
        <v>90</v>
      </c>
      <c r="E77" s="2" t="s">
        <v>4703</v>
      </c>
      <c r="F77" s="2" t="s">
        <v>3462</v>
      </c>
      <c r="G77" s="2" t="s">
        <v>3473</v>
      </c>
      <c r="H77" s="2" t="s">
        <v>297</v>
      </c>
      <c r="I77" s="2" t="s">
        <v>4704</v>
      </c>
      <c r="J77" s="2" t="s">
        <v>4705</v>
      </c>
    </row>
    <row r="78" spans="1:10" ht="43.5" customHeight="1" x14ac:dyDescent="0.5">
      <c r="A78" s="2" t="s">
        <v>591</v>
      </c>
      <c r="B78" s="2" t="s">
        <v>4781</v>
      </c>
      <c r="C78" s="2">
        <v>1</v>
      </c>
      <c r="D78" s="2" t="s">
        <v>90</v>
      </c>
      <c r="E78" s="2" t="s">
        <v>4703</v>
      </c>
      <c r="F78" s="2" t="s">
        <v>3462</v>
      </c>
      <c r="G78" s="2" t="s">
        <v>3473</v>
      </c>
      <c r="H78" s="2" t="s">
        <v>297</v>
      </c>
      <c r="I78" s="2" t="s">
        <v>4704</v>
      </c>
      <c r="J78" s="2" t="s">
        <v>4705</v>
      </c>
    </row>
    <row r="79" spans="1:10" ht="43.5" customHeight="1" x14ac:dyDescent="0.5">
      <c r="A79" s="2" t="s">
        <v>595</v>
      </c>
      <c r="B79" s="2" t="s">
        <v>4782</v>
      </c>
      <c r="C79" s="2">
        <v>1</v>
      </c>
      <c r="D79" s="2" t="s">
        <v>90</v>
      </c>
      <c r="E79" s="2" t="s">
        <v>4703</v>
      </c>
      <c r="F79" s="2" t="s">
        <v>3462</v>
      </c>
      <c r="G79" s="2" t="s">
        <v>3473</v>
      </c>
      <c r="H79" s="2" t="s">
        <v>274</v>
      </c>
      <c r="I79" s="2" t="s">
        <v>4704</v>
      </c>
      <c r="J79" s="2" t="s">
        <v>4705</v>
      </c>
    </row>
    <row r="80" spans="1:10" ht="43.5" customHeight="1" x14ac:dyDescent="0.5">
      <c r="A80" s="2" t="s">
        <v>600</v>
      </c>
      <c r="B80" s="2" t="s">
        <v>4783</v>
      </c>
      <c r="C80" s="2">
        <v>1</v>
      </c>
      <c r="D80" s="2" t="s">
        <v>90</v>
      </c>
      <c r="E80" s="2" t="s">
        <v>4703</v>
      </c>
      <c r="F80" s="2" t="s">
        <v>3462</v>
      </c>
      <c r="G80" s="2" t="s">
        <v>3473</v>
      </c>
      <c r="H80" s="2" t="s">
        <v>274</v>
      </c>
      <c r="I80" s="2" t="s">
        <v>4704</v>
      </c>
      <c r="J80" s="2" t="s">
        <v>4705</v>
      </c>
    </row>
    <row r="81" spans="1:10" ht="43.5" customHeight="1" x14ac:dyDescent="0.5">
      <c r="A81" s="2" t="s">
        <v>604</v>
      </c>
      <c r="B81" s="2" t="s">
        <v>4784</v>
      </c>
      <c r="C81" s="2">
        <v>1</v>
      </c>
      <c r="D81" s="2" t="s">
        <v>90</v>
      </c>
      <c r="E81" s="2" t="s">
        <v>4703</v>
      </c>
      <c r="F81" s="2" t="s">
        <v>3462</v>
      </c>
      <c r="G81" s="2" t="s">
        <v>3473</v>
      </c>
      <c r="H81" s="2" t="s">
        <v>297</v>
      </c>
      <c r="I81" s="2" t="s">
        <v>4704</v>
      </c>
      <c r="J81" s="2" t="s">
        <v>4705</v>
      </c>
    </row>
    <row r="82" spans="1:10" ht="43.5" customHeight="1" x14ac:dyDescent="0.5">
      <c r="A82" s="2" t="s">
        <v>607</v>
      </c>
      <c r="B82" s="2" t="s">
        <v>4785</v>
      </c>
      <c r="C82" s="2">
        <v>1</v>
      </c>
      <c r="D82" s="2" t="s">
        <v>90</v>
      </c>
      <c r="E82" s="2" t="s">
        <v>4703</v>
      </c>
      <c r="F82" s="2" t="s">
        <v>3462</v>
      </c>
      <c r="G82" s="2" t="s">
        <v>3473</v>
      </c>
      <c r="H82" s="2" t="s">
        <v>297</v>
      </c>
      <c r="I82" s="2" t="s">
        <v>4704</v>
      </c>
      <c r="J82" s="2" t="s">
        <v>4705</v>
      </c>
    </row>
    <row r="83" spans="1:10" ht="43.5" customHeight="1" x14ac:dyDescent="0.5">
      <c r="A83" s="2" t="s">
        <v>612</v>
      </c>
      <c r="B83" s="2" t="s">
        <v>4786</v>
      </c>
      <c r="C83" s="2">
        <v>1</v>
      </c>
      <c r="D83" s="2" t="s">
        <v>90</v>
      </c>
      <c r="E83" s="2" t="s">
        <v>4703</v>
      </c>
      <c r="F83" s="2" t="s">
        <v>3462</v>
      </c>
      <c r="G83" s="2" t="s">
        <v>3473</v>
      </c>
      <c r="H83" s="2" t="s">
        <v>297</v>
      </c>
      <c r="I83" s="2" t="s">
        <v>4704</v>
      </c>
      <c r="J83" s="2" t="s">
        <v>4705</v>
      </c>
    </row>
    <row r="84" spans="1:10" ht="43.5" customHeight="1" x14ac:dyDescent="0.5">
      <c r="A84" s="2" t="s">
        <v>616</v>
      </c>
      <c r="B84" s="2" t="s">
        <v>4787</v>
      </c>
      <c r="C84" s="2">
        <v>1</v>
      </c>
      <c r="D84" s="2" t="s">
        <v>90</v>
      </c>
      <c r="E84" s="2" t="s">
        <v>4703</v>
      </c>
      <c r="F84" s="2" t="s">
        <v>3462</v>
      </c>
      <c r="G84" s="2" t="s">
        <v>3473</v>
      </c>
      <c r="H84" s="2" t="s">
        <v>297</v>
      </c>
      <c r="I84" s="2" t="s">
        <v>4704</v>
      </c>
      <c r="J84" s="2" t="s">
        <v>4705</v>
      </c>
    </row>
    <row r="85" spans="1:10" ht="43.5" customHeight="1" x14ac:dyDescent="0.5">
      <c r="A85" s="2" t="s">
        <v>620</v>
      </c>
      <c r="B85" s="2" t="s">
        <v>4788</v>
      </c>
      <c r="C85" s="2">
        <v>1</v>
      </c>
      <c r="D85" s="2" t="s">
        <v>93</v>
      </c>
      <c r="E85" s="2" t="s">
        <v>4703</v>
      </c>
      <c r="F85" s="2" t="s">
        <v>3462</v>
      </c>
      <c r="G85" s="2" t="s">
        <v>3473</v>
      </c>
      <c r="H85" s="2" t="s">
        <v>274</v>
      </c>
      <c r="I85" s="2" t="s">
        <v>4704</v>
      </c>
      <c r="J85" s="2" t="s">
        <v>4705</v>
      </c>
    </row>
    <row r="86" spans="1:10" ht="43.5" customHeight="1" x14ac:dyDescent="0.5">
      <c r="A86" s="2" t="s">
        <v>623</v>
      </c>
      <c r="B86" s="2" t="s">
        <v>4789</v>
      </c>
      <c r="C86" s="2">
        <v>1</v>
      </c>
      <c r="D86" s="2" t="s">
        <v>93</v>
      </c>
      <c r="E86" s="2" t="s">
        <v>4703</v>
      </c>
      <c r="F86" s="2" t="s">
        <v>3462</v>
      </c>
      <c r="G86" s="2" t="s">
        <v>3473</v>
      </c>
      <c r="H86" s="2" t="s">
        <v>274</v>
      </c>
      <c r="I86" s="2" t="s">
        <v>4704</v>
      </c>
      <c r="J86" s="2" t="s">
        <v>4705</v>
      </c>
    </row>
    <row r="87" spans="1:10" ht="43.5" customHeight="1" x14ac:dyDescent="0.5">
      <c r="A87" s="2" t="s">
        <v>625</v>
      </c>
      <c r="B87" s="2" t="s">
        <v>4790</v>
      </c>
      <c r="C87" s="2">
        <v>1</v>
      </c>
      <c r="D87" s="2" t="s">
        <v>93</v>
      </c>
      <c r="E87" s="2" t="s">
        <v>4703</v>
      </c>
      <c r="F87" s="2" t="s">
        <v>3462</v>
      </c>
      <c r="G87" s="2" t="s">
        <v>3473</v>
      </c>
      <c r="H87" s="2" t="s">
        <v>297</v>
      </c>
      <c r="I87" s="2" t="s">
        <v>4704</v>
      </c>
      <c r="J87" s="2" t="s">
        <v>4705</v>
      </c>
    </row>
    <row r="88" spans="1:10" ht="43.5" customHeight="1" x14ac:dyDescent="0.5">
      <c r="A88" s="2" t="s">
        <v>627</v>
      </c>
      <c r="B88" s="2" t="s">
        <v>4791</v>
      </c>
      <c r="C88" s="2">
        <v>1</v>
      </c>
      <c r="D88" s="2" t="s">
        <v>93</v>
      </c>
      <c r="E88" s="2" t="s">
        <v>4703</v>
      </c>
      <c r="F88" s="2" t="s">
        <v>3462</v>
      </c>
      <c r="G88" s="2" t="s">
        <v>3473</v>
      </c>
      <c r="H88" s="2" t="s">
        <v>297</v>
      </c>
      <c r="I88" s="2" t="s">
        <v>4704</v>
      </c>
      <c r="J88" s="2" t="s">
        <v>4705</v>
      </c>
    </row>
    <row r="89" spans="1:10" ht="43.5" customHeight="1" x14ac:dyDescent="0.5">
      <c r="A89" s="2" t="s">
        <v>629</v>
      </c>
      <c r="B89" s="2" t="s">
        <v>4792</v>
      </c>
      <c r="C89" s="2">
        <v>1</v>
      </c>
      <c r="D89" s="2" t="s">
        <v>93</v>
      </c>
      <c r="E89" s="2" t="s">
        <v>4703</v>
      </c>
      <c r="F89" s="2" t="s">
        <v>3462</v>
      </c>
      <c r="G89" s="2" t="s">
        <v>3473</v>
      </c>
      <c r="H89" s="2" t="s">
        <v>297</v>
      </c>
      <c r="I89" s="2" t="s">
        <v>4704</v>
      </c>
      <c r="J89" s="2" t="s">
        <v>4705</v>
      </c>
    </row>
    <row r="90" spans="1:10" ht="43.5" customHeight="1" x14ac:dyDescent="0.5">
      <c r="A90" s="2" t="s">
        <v>631</v>
      </c>
      <c r="B90" s="2" t="s">
        <v>4793</v>
      </c>
      <c r="C90" s="2">
        <v>1</v>
      </c>
      <c r="D90" s="2" t="s">
        <v>93</v>
      </c>
      <c r="E90" s="2" t="s">
        <v>4703</v>
      </c>
      <c r="F90" s="2" t="s">
        <v>3462</v>
      </c>
      <c r="G90" s="2" t="s">
        <v>3473</v>
      </c>
      <c r="H90" s="2" t="s">
        <v>297</v>
      </c>
      <c r="I90" s="2" t="s">
        <v>4704</v>
      </c>
      <c r="J90" s="2" t="s">
        <v>4705</v>
      </c>
    </row>
    <row r="91" spans="1:10" ht="43.5" customHeight="1" x14ac:dyDescent="0.5">
      <c r="A91" s="2" t="s">
        <v>633</v>
      </c>
      <c r="B91" s="2" t="s">
        <v>4794</v>
      </c>
      <c r="C91" s="2">
        <v>1</v>
      </c>
      <c r="D91" s="2" t="s">
        <v>93</v>
      </c>
      <c r="E91" s="2" t="s">
        <v>4703</v>
      </c>
      <c r="F91" s="2" t="s">
        <v>3462</v>
      </c>
      <c r="G91" s="2" t="s">
        <v>3473</v>
      </c>
      <c r="H91" s="2" t="s">
        <v>274</v>
      </c>
      <c r="I91" s="2" t="s">
        <v>4704</v>
      </c>
      <c r="J91" s="2" t="s">
        <v>4705</v>
      </c>
    </row>
    <row r="92" spans="1:10" ht="43.5" customHeight="1" x14ac:dyDescent="0.5">
      <c r="A92" s="2" t="s">
        <v>636</v>
      </c>
      <c r="B92" s="2" t="s">
        <v>4795</v>
      </c>
      <c r="C92" s="2">
        <v>1</v>
      </c>
      <c r="D92" s="2" t="s">
        <v>93</v>
      </c>
      <c r="E92" s="2" t="s">
        <v>4703</v>
      </c>
      <c r="F92" s="2" t="s">
        <v>3462</v>
      </c>
      <c r="G92" s="2" t="s">
        <v>3473</v>
      </c>
      <c r="H92" s="2" t="s">
        <v>274</v>
      </c>
      <c r="I92" s="2" t="s">
        <v>4704</v>
      </c>
      <c r="J92" s="2" t="s">
        <v>4705</v>
      </c>
    </row>
    <row r="93" spans="1:10" ht="43.5" customHeight="1" x14ac:dyDescent="0.5">
      <c r="A93" s="2" t="s">
        <v>638</v>
      </c>
      <c r="B93" s="2" t="s">
        <v>4796</v>
      </c>
      <c r="C93" s="2">
        <v>1</v>
      </c>
      <c r="D93" s="2" t="s">
        <v>93</v>
      </c>
      <c r="E93" s="2" t="s">
        <v>4703</v>
      </c>
      <c r="F93" s="2" t="s">
        <v>3462</v>
      </c>
      <c r="G93" s="2" t="s">
        <v>3473</v>
      </c>
      <c r="H93" s="2" t="s">
        <v>297</v>
      </c>
      <c r="I93" s="2" t="s">
        <v>4704</v>
      </c>
      <c r="J93" s="2" t="s">
        <v>4705</v>
      </c>
    </row>
    <row r="94" spans="1:10" ht="43.5" customHeight="1" x14ac:dyDescent="0.5">
      <c r="A94" s="2" t="s">
        <v>640</v>
      </c>
      <c r="B94" s="2" t="s">
        <v>4797</v>
      </c>
      <c r="C94" s="2">
        <v>1</v>
      </c>
      <c r="D94" s="2" t="s">
        <v>93</v>
      </c>
      <c r="E94" s="2" t="s">
        <v>4703</v>
      </c>
      <c r="F94" s="2" t="s">
        <v>3462</v>
      </c>
      <c r="G94" s="2" t="s">
        <v>3473</v>
      </c>
      <c r="H94" s="2" t="s">
        <v>297</v>
      </c>
      <c r="I94" s="2" t="s">
        <v>4704</v>
      </c>
      <c r="J94" s="2" t="s">
        <v>4705</v>
      </c>
    </row>
    <row r="95" spans="1:10" ht="43.5" customHeight="1" x14ac:dyDescent="0.5">
      <c r="A95" s="2" t="s">
        <v>642</v>
      </c>
      <c r="B95" s="2" t="s">
        <v>4798</v>
      </c>
      <c r="C95" s="2">
        <v>1</v>
      </c>
      <c r="D95" s="2" t="s">
        <v>93</v>
      </c>
      <c r="E95" s="2" t="s">
        <v>4703</v>
      </c>
      <c r="F95" s="2" t="s">
        <v>3462</v>
      </c>
      <c r="G95" s="2" t="s">
        <v>3473</v>
      </c>
      <c r="H95" s="2" t="s">
        <v>297</v>
      </c>
      <c r="I95" s="2" t="s">
        <v>4704</v>
      </c>
      <c r="J95" s="2" t="s">
        <v>4705</v>
      </c>
    </row>
    <row r="96" spans="1:10" ht="43.5" customHeight="1" x14ac:dyDescent="0.5">
      <c r="A96" s="2" t="s">
        <v>644</v>
      </c>
      <c r="B96" s="2" t="s">
        <v>4799</v>
      </c>
      <c r="C96" s="2">
        <v>1</v>
      </c>
      <c r="D96" s="2" t="s">
        <v>93</v>
      </c>
      <c r="E96" s="2" t="s">
        <v>4703</v>
      </c>
      <c r="F96" s="2" t="s">
        <v>3462</v>
      </c>
      <c r="G96" s="2" t="s">
        <v>3473</v>
      </c>
      <c r="H96" s="2" t="s">
        <v>297</v>
      </c>
      <c r="I96" s="2" t="s">
        <v>4704</v>
      </c>
      <c r="J96" s="2" t="s">
        <v>4705</v>
      </c>
    </row>
    <row r="97" spans="1:10" ht="43.5" customHeight="1" x14ac:dyDescent="0.5">
      <c r="A97" s="2" t="s">
        <v>646</v>
      </c>
      <c r="B97" s="2" t="s">
        <v>4800</v>
      </c>
      <c r="C97" s="2">
        <v>1</v>
      </c>
      <c r="D97" s="2" t="s">
        <v>93</v>
      </c>
      <c r="E97" s="2" t="s">
        <v>4703</v>
      </c>
      <c r="F97" s="2" t="s">
        <v>3462</v>
      </c>
      <c r="G97" s="2" t="s">
        <v>3473</v>
      </c>
      <c r="H97" s="2" t="s">
        <v>274</v>
      </c>
      <c r="I97" s="2" t="s">
        <v>4704</v>
      </c>
      <c r="J97" s="2" t="s">
        <v>4705</v>
      </c>
    </row>
    <row r="98" spans="1:10" ht="43.5" customHeight="1" x14ac:dyDescent="0.5">
      <c r="A98" s="2" t="s">
        <v>649</v>
      </c>
      <c r="B98" s="2" t="s">
        <v>4801</v>
      </c>
      <c r="C98" s="2">
        <v>1</v>
      </c>
      <c r="D98" s="2" t="s">
        <v>93</v>
      </c>
      <c r="E98" s="2" t="s">
        <v>4703</v>
      </c>
      <c r="F98" s="2" t="s">
        <v>3462</v>
      </c>
      <c r="G98" s="2" t="s">
        <v>3473</v>
      </c>
      <c r="H98" s="2" t="s">
        <v>274</v>
      </c>
      <c r="I98" s="2" t="s">
        <v>4704</v>
      </c>
      <c r="J98" s="2" t="s">
        <v>4705</v>
      </c>
    </row>
    <row r="99" spans="1:10" ht="43.5" customHeight="1" x14ac:dyDescent="0.5">
      <c r="A99" s="2" t="s">
        <v>651</v>
      </c>
      <c r="B99" s="2" t="s">
        <v>4802</v>
      </c>
      <c r="C99" s="2">
        <v>1</v>
      </c>
      <c r="D99" s="2" t="s">
        <v>93</v>
      </c>
      <c r="E99" s="2" t="s">
        <v>4703</v>
      </c>
      <c r="F99" s="2" t="s">
        <v>3462</v>
      </c>
      <c r="G99" s="2" t="s">
        <v>3473</v>
      </c>
      <c r="H99" s="2" t="s">
        <v>297</v>
      </c>
      <c r="I99" s="2" t="s">
        <v>4704</v>
      </c>
      <c r="J99" s="2" t="s">
        <v>4705</v>
      </c>
    </row>
    <row r="100" spans="1:10" ht="43.5" customHeight="1" x14ac:dyDescent="0.5">
      <c r="A100" s="2" t="s">
        <v>653</v>
      </c>
      <c r="B100" s="2" t="s">
        <v>4803</v>
      </c>
      <c r="C100" s="2">
        <v>1</v>
      </c>
      <c r="D100" s="2" t="s">
        <v>93</v>
      </c>
      <c r="E100" s="2" t="s">
        <v>4703</v>
      </c>
      <c r="F100" s="2" t="s">
        <v>3462</v>
      </c>
      <c r="G100" s="2" t="s">
        <v>3473</v>
      </c>
      <c r="H100" s="2" t="s">
        <v>297</v>
      </c>
      <c r="I100" s="2" t="s">
        <v>4704</v>
      </c>
      <c r="J100" s="2" t="s">
        <v>4705</v>
      </c>
    </row>
    <row r="101" spans="1:10" ht="43.5" customHeight="1" x14ac:dyDescent="0.5">
      <c r="A101" s="2" t="s">
        <v>655</v>
      </c>
      <c r="B101" s="2" t="s">
        <v>4804</v>
      </c>
      <c r="C101" s="2">
        <v>1</v>
      </c>
      <c r="D101" s="2" t="s">
        <v>93</v>
      </c>
      <c r="E101" s="2" t="s">
        <v>4703</v>
      </c>
      <c r="F101" s="2" t="s">
        <v>3462</v>
      </c>
      <c r="G101" s="2" t="s">
        <v>3473</v>
      </c>
      <c r="H101" s="2" t="s">
        <v>297</v>
      </c>
      <c r="I101" s="2" t="s">
        <v>4704</v>
      </c>
      <c r="J101" s="2" t="s">
        <v>4705</v>
      </c>
    </row>
    <row r="102" spans="1:10" ht="43.5" customHeight="1" x14ac:dyDescent="0.5">
      <c r="A102" s="2" t="s">
        <v>657</v>
      </c>
      <c r="B102" s="2" t="s">
        <v>4805</v>
      </c>
      <c r="C102" s="2">
        <v>1</v>
      </c>
      <c r="D102" s="2" t="s">
        <v>93</v>
      </c>
      <c r="E102" s="2" t="s">
        <v>4703</v>
      </c>
      <c r="F102" s="2" t="s">
        <v>3462</v>
      </c>
      <c r="G102" s="2" t="s">
        <v>3473</v>
      </c>
      <c r="H102" s="2" t="s">
        <v>297</v>
      </c>
      <c r="I102" s="2" t="s">
        <v>4704</v>
      </c>
      <c r="J102" s="2" t="s">
        <v>4705</v>
      </c>
    </row>
    <row r="103" spans="1:10" ht="43.5" customHeight="1" x14ac:dyDescent="0.5">
      <c r="A103" s="2" t="s">
        <v>659</v>
      </c>
      <c r="B103" s="2" t="s">
        <v>4806</v>
      </c>
      <c r="C103" s="2">
        <v>1</v>
      </c>
      <c r="D103" s="2" t="s">
        <v>93</v>
      </c>
      <c r="E103" s="2" t="s">
        <v>4703</v>
      </c>
      <c r="F103" s="2" t="s">
        <v>3462</v>
      </c>
      <c r="G103" s="2" t="s">
        <v>3473</v>
      </c>
      <c r="H103" s="2" t="s">
        <v>274</v>
      </c>
      <c r="I103" s="2" t="s">
        <v>4704</v>
      </c>
      <c r="J103" s="2" t="s">
        <v>4705</v>
      </c>
    </row>
    <row r="104" spans="1:10" ht="43.5" customHeight="1" x14ac:dyDescent="0.5">
      <c r="A104" s="2" t="s">
        <v>661</v>
      </c>
      <c r="B104" s="2" t="s">
        <v>4807</v>
      </c>
      <c r="C104" s="2">
        <v>1</v>
      </c>
      <c r="D104" s="2" t="s">
        <v>93</v>
      </c>
      <c r="E104" s="2" t="s">
        <v>4703</v>
      </c>
      <c r="F104" s="2" t="s">
        <v>3462</v>
      </c>
      <c r="G104" s="2" t="s">
        <v>3473</v>
      </c>
      <c r="H104" s="2" t="s">
        <v>274</v>
      </c>
      <c r="I104" s="2" t="s">
        <v>4704</v>
      </c>
      <c r="J104" s="2" t="s">
        <v>4705</v>
      </c>
    </row>
    <row r="105" spans="1:10" ht="43.5" customHeight="1" x14ac:dyDescent="0.5">
      <c r="A105" s="2" t="s">
        <v>663</v>
      </c>
      <c r="B105" s="2" t="s">
        <v>4808</v>
      </c>
      <c r="C105" s="2">
        <v>1</v>
      </c>
      <c r="D105" s="2" t="s">
        <v>93</v>
      </c>
      <c r="E105" s="2" t="s">
        <v>4703</v>
      </c>
      <c r="F105" s="2" t="s">
        <v>3462</v>
      </c>
      <c r="G105" s="2" t="s">
        <v>3473</v>
      </c>
      <c r="H105" s="2" t="s">
        <v>297</v>
      </c>
      <c r="I105" s="2" t="s">
        <v>4704</v>
      </c>
      <c r="J105" s="2" t="s">
        <v>4705</v>
      </c>
    </row>
    <row r="106" spans="1:10" ht="43.5" customHeight="1" x14ac:dyDescent="0.5">
      <c r="A106" s="2" t="s">
        <v>665</v>
      </c>
      <c r="B106" s="2" t="s">
        <v>4809</v>
      </c>
      <c r="C106" s="2">
        <v>1</v>
      </c>
      <c r="D106" s="2" t="s">
        <v>93</v>
      </c>
      <c r="E106" s="2" t="s">
        <v>4703</v>
      </c>
      <c r="F106" s="2" t="s">
        <v>3462</v>
      </c>
      <c r="G106" s="2" t="s">
        <v>3473</v>
      </c>
      <c r="H106" s="2" t="s">
        <v>297</v>
      </c>
      <c r="I106" s="2" t="s">
        <v>4704</v>
      </c>
      <c r="J106" s="2" t="s">
        <v>4705</v>
      </c>
    </row>
    <row r="107" spans="1:10" ht="43.5" customHeight="1" x14ac:dyDescent="0.5">
      <c r="A107" s="2" t="s">
        <v>667</v>
      </c>
      <c r="B107" s="2" t="s">
        <v>4810</v>
      </c>
      <c r="C107" s="2">
        <v>1</v>
      </c>
      <c r="D107" s="2" t="s">
        <v>93</v>
      </c>
      <c r="E107" s="2" t="s">
        <v>4703</v>
      </c>
      <c r="F107" s="2" t="s">
        <v>3462</v>
      </c>
      <c r="G107" s="2" t="s">
        <v>3473</v>
      </c>
      <c r="H107" s="2" t="s">
        <v>297</v>
      </c>
      <c r="I107" s="2" t="s">
        <v>4704</v>
      </c>
      <c r="J107" s="2" t="s">
        <v>4705</v>
      </c>
    </row>
    <row r="108" spans="1:10" ht="43.5" customHeight="1" x14ac:dyDescent="0.5">
      <c r="A108" s="2" t="s">
        <v>669</v>
      </c>
      <c r="B108" s="2" t="s">
        <v>4811</v>
      </c>
      <c r="C108" s="2">
        <v>1</v>
      </c>
      <c r="D108" s="2" t="s">
        <v>93</v>
      </c>
      <c r="E108" s="2" t="s">
        <v>4703</v>
      </c>
      <c r="F108" s="2" t="s">
        <v>3462</v>
      </c>
      <c r="G108" s="2" t="s">
        <v>3473</v>
      </c>
      <c r="H108" s="2" t="s">
        <v>297</v>
      </c>
      <c r="I108" s="2" t="s">
        <v>4704</v>
      </c>
      <c r="J108" s="2" t="s">
        <v>4705</v>
      </c>
    </row>
    <row r="109" spans="1:10" ht="43.5" customHeight="1" x14ac:dyDescent="0.5">
      <c r="A109" s="2" t="s">
        <v>671</v>
      </c>
      <c r="B109" s="2" t="s">
        <v>4812</v>
      </c>
      <c r="C109" s="2">
        <v>1</v>
      </c>
      <c r="D109" s="2" t="s">
        <v>96</v>
      </c>
      <c r="E109" s="2" t="s">
        <v>4703</v>
      </c>
      <c r="F109" s="2" t="s">
        <v>3462</v>
      </c>
      <c r="G109" s="2" t="s">
        <v>3473</v>
      </c>
      <c r="H109" s="2" t="s">
        <v>274</v>
      </c>
      <c r="I109" s="2" t="s">
        <v>4704</v>
      </c>
      <c r="J109" s="2" t="s">
        <v>4705</v>
      </c>
    </row>
    <row r="110" spans="1:10" ht="43.5" customHeight="1" x14ac:dyDescent="0.5">
      <c r="A110" s="2" t="s">
        <v>675</v>
      </c>
      <c r="B110" s="2" t="s">
        <v>4813</v>
      </c>
      <c r="C110" s="2">
        <v>1</v>
      </c>
      <c r="D110" s="2" t="s">
        <v>96</v>
      </c>
      <c r="E110" s="2" t="s">
        <v>4703</v>
      </c>
      <c r="F110" s="2" t="s">
        <v>3462</v>
      </c>
      <c r="G110" s="2" t="s">
        <v>3473</v>
      </c>
      <c r="H110" s="2" t="s">
        <v>274</v>
      </c>
      <c r="I110" s="2" t="s">
        <v>4704</v>
      </c>
      <c r="J110" s="2" t="s">
        <v>4705</v>
      </c>
    </row>
    <row r="111" spans="1:10" ht="43.5" customHeight="1" x14ac:dyDescent="0.5">
      <c r="A111" s="2" t="s">
        <v>678</v>
      </c>
      <c r="B111" s="2" t="s">
        <v>4814</v>
      </c>
      <c r="C111" s="2">
        <v>1</v>
      </c>
      <c r="D111" s="2" t="s">
        <v>96</v>
      </c>
      <c r="E111" s="2" t="s">
        <v>4703</v>
      </c>
      <c r="F111" s="2" t="s">
        <v>3462</v>
      </c>
      <c r="G111" s="2" t="s">
        <v>3473</v>
      </c>
      <c r="H111" s="2" t="s">
        <v>297</v>
      </c>
      <c r="I111" s="2" t="s">
        <v>4704</v>
      </c>
      <c r="J111" s="2" t="s">
        <v>4705</v>
      </c>
    </row>
    <row r="112" spans="1:10" ht="43.5" customHeight="1" x14ac:dyDescent="0.5">
      <c r="A112" s="2" t="s">
        <v>681</v>
      </c>
      <c r="B112" s="2" t="s">
        <v>4815</v>
      </c>
      <c r="C112" s="2">
        <v>1</v>
      </c>
      <c r="D112" s="2" t="s">
        <v>96</v>
      </c>
      <c r="E112" s="2" t="s">
        <v>4703</v>
      </c>
      <c r="F112" s="2" t="s">
        <v>3462</v>
      </c>
      <c r="G112" s="2" t="s">
        <v>3473</v>
      </c>
      <c r="H112" s="2" t="s">
        <v>297</v>
      </c>
      <c r="I112" s="2" t="s">
        <v>4704</v>
      </c>
      <c r="J112" s="2" t="s">
        <v>4705</v>
      </c>
    </row>
    <row r="113" spans="1:10" ht="43.5" customHeight="1" x14ac:dyDescent="0.5">
      <c r="A113" s="2" t="s">
        <v>684</v>
      </c>
      <c r="B113" s="2" t="s">
        <v>4816</v>
      </c>
      <c r="C113" s="2">
        <v>1</v>
      </c>
      <c r="D113" s="2" t="s">
        <v>96</v>
      </c>
      <c r="E113" s="2" t="s">
        <v>4703</v>
      </c>
      <c r="F113" s="2" t="s">
        <v>3462</v>
      </c>
      <c r="G113" s="2" t="s">
        <v>3473</v>
      </c>
      <c r="H113" s="2" t="s">
        <v>297</v>
      </c>
      <c r="I113" s="2" t="s">
        <v>4704</v>
      </c>
      <c r="J113" s="2" t="s">
        <v>4705</v>
      </c>
    </row>
    <row r="114" spans="1:10" ht="43.5" customHeight="1" x14ac:dyDescent="0.5">
      <c r="A114" s="2" t="s">
        <v>687</v>
      </c>
      <c r="B114" s="2" t="s">
        <v>4817</v>
      </c>
      <c r="C114" s="2">
        <v>1</v>
      </c>
      <c r="D114" s="2" t="s">
        <v>96</v>
      </c>
      <c r="E114" s="2" t="s">
        <v>4703</v>
      </c>
      <c r="F114" s="2" t="s">
        <v>3462</v>
      </c>
      <c r="G114" s="2" t="s">
        <v>3473</v>
      </c>
      <c r="H114" s="2" t="s">
        <v>297</v>
      </c>
      <c r="I114" s="2" t="s">
        <v>4704</v>
      </c>
      <c r="J114" s="2" t="s">
        <v>4705</v>
      </c>
    </row>
    <row r="115" spans="1:10" ht="43.5" customHeight="1" x14ac:dyDescent="0.5">
      <c r="A115" s="2" t="s">
        <v>690</v>
      </c>
      <c r="B115" s="2" t="s">
        <v>4818</v>
      </c>
      <c r="C115" s="2">
        <v>1</v>
      </c>
      <c r="D115" s="2" t="s">
        <v>96</v>
      </c>
      <c r="E115" s="2" t="s">
        <v>4703</v>
      </c>
      <c r="F115" s="2" t="s">
        <v>3462</v>
      </c>
      <c r="G115" s="2" t="s">
        <v>3473</v>
      </c>
      <c r="H115" s="2" t="s">
        <v>274</v>
      </c>
      <c r="I115" s="2" t="s">
        <v>4704</v>
      </c>
      <c r="J115" s="2" t="s">
        <v>4705</v>
      </c>
    </row>
    <row r="116" spans="1:10" ht="43.5" customHeight="1" x14ac:dyDescent="0.5">
      <c r="A116" s="2" t="s">
        <v>693</v>
      </c>
      <c r="B116" s="2" t="s">
        <v>4819</v>
      </c>
      <c r="C116" s="2">
        <v>1</v>
      </c>
      <c r="D116" s="2" t="s">
        <v>96</v>
      </c>
      <c r="E116" s="2" t="s">
        <v>4703</v>
      </c>
      <c r="F116" s="2" t="s">
        <v>3462</v>
      </c>
      <c r="G116" s="2" t="s">
        <v>3473</v>
      </c>
      <c r="H116" s="2" t="s">
        <v>274</v>
      </c>
      <c r="I116" s="2" t="s">
        <v>4704</v>
      </c>
      <c r="J116" s="2" t="s">
        <v>4705</v>
      </c>
    </row>
    <row r="117" spans="1:10" ht="43.5" customHeight="1" x14ac:dyDescent="0.5">
      <c r="A117" s="2" t="s">
        <v>696</v>
      </c>
      <c r="B117" s="2" t="s">
        <v>4820</v>
      </c>
      <c r="C117" s="2">
        <v>1</v>
      </c>
      <c r="D117" s="2" t="s">
        <v>96</v>
      </c>
      <c r="E117" s="2" t="s">
        <v>4703</v>
      </c>
      <c r="F117" s="2" t="s">
        <v>3462</v>
      </c>
      <c r="G117" s="2" t="s">
        <v>3473</v>
      </c>
      <c r="H117" s="2" t="s">
        <v>297</v>
      </c>
      <c r="I117" s="2" t="s">
        <v>4704</v>
      </c>
      <c r="J117" s="2" t="s">
        <v>4705</v>
      </c>
    </row>
    <row r="118" spans="1:10" ht="43.5" customHeight="1" x14ac:dyDescent="0.5">
      <c r="A118" s="2" t="s">
        <v>699</v>
      </c>
      <c r="B118" s="2" t="s">
        <v>4821</v>
      </c>
      <c r="C118" s="2">
        <v>1</v>
      </c>
      <c r="D118" s="2" t="s">
        <v>96</v>
      </c>
      <c r="E118" s="2" t="s">
        <v>4703</v>
      </c>
      <c r="F118" s="2" t="s">
        <v>3462</v>
      </c>
      <c r="G118" s="2" t="s">
        <v>3473</v>
      </c>
      <c r="H118" s="2" t="s">
        <v>297</v>
      </c>
      <c r="I118" s="2" t="s">
        <v>4704</v>
      </c>
      <c r="J118" s="2" t="s">
        <v>4705</v>
      </c>
    </row>
    <row r="119" spans="1:10" ht="43.5" customHeight="1" x14ac:dyDescent="0.5">
      <c r="A119" s="2" t="s">
        <v>702</v>
      </c>
      <c r="B119" s="2" t="s">
        <v>4822</v>
      </c>
      <c r="C119" s="2">
        <v>1</v>
      </c>
      <c r="D119" s="2" t="s">
        <v>96</v>
      </c>
      <c r="E119" s="2" t="s">
        <v>4703</v>
      </c>
      <c r="F119" s="2" t="s">
        <v>3462</v>
      </c>
      <c r="G119" s="2" t="s">
        <v>3473</v>
      </c>
      <c r="H119" s="2" t="s">
        <v>297</v>
      </c>
      <c r="I119" s="2" t="s">
        <v>4704</v>
      </c>
      <c r="J119" s="2" t="s">
        <v>4705</v>
      </c>
    </row>
    <row r="120" spans="1:10" ht="43.5" customHeight="1" x14ac:dyDescent="0.5">
      <c r="A120" s="2" t="s">
        <v>705</v>
      </c>
      <c r="B120" s="2" t="s">
        <v>4823</v>
      </c>
      <c r="C120" s="2">
        <v>1</v>
      </c>
      <c r="D120" s="2" t="s">
        <v>96</v>
      </c>
      <c r="E120" s="2" t="s">
        <v>4703</v>
      </c>
      <c r="F120" s="2" t="s">
        <v>3462</v>
      </c>
      <c r="G120" s="2" t="s">
        <v>3473</v>
      </c>
      <c r="H120" s="2" t="s">
        <v>297</v>
      </c>
      <c r="I120" s="2" t="s">
        <v>4704</v>
      </c>
      <c r="J120" s="2" t="s">
        <v>4705</v>
      </c>
    </row>
    <row r="121" spans="1:10" ht="43.5" customHeight="1" x14ac:dyDescent="0.5">
      <c r="A121" s="2" t="s">
        <v>708</v>
      </c>
      <c r="B121" s="2" t="s">
        <v>4824</v>
      </c>
      <c r="C121" s="2">
        <v>1</v>
      </c>
      <c r="D121" s="2" t="s">
        <v>96</v>
      </c>
      <c r="E121" s="2" t="s">
        <v>4703</v>
      </c>
      <c r="F121" s="2" t="s">
        <v>3462</v>
      </c>
      <c r="G121" s="2" t="s">
        <v>3473</v>
      </c>
      <c r="H121" s="2" t="s">
        <v>274</v>
      </c>
      <c r="I121" s="2" t="s">
        <v>4704</v>
      </c>
      <c r="J121" s="2" t="s">
        <v>4705</v>
      </c>
    </row>
    <row r="122" spans="1:10" ht="43.5" customHeight="1" x14ac:dyDescent="0.5">
      <c r="A122" s="2" t="s">
        <v>713</v>
      </c>
      <c r="B122" s="2" t="s">
        <v>4825</v>
      </c>
      <c r="C122" s="2">
        <v>1</v>
      </c>
      <c r="D122" s="2" t="s">
        <v>96</v>
      </c>
      <c r="E122" s="2" t="s">
        <v>4703</v>
      </c>
      <c r="F122" s="2" t="s">
        <v>3462</v>
      </c>
      <c r="G122" s="2" t="s">
        <v>3473</v>
      </c>
      <c r="H122" s="2" t="s">
        <v>274</v>
      </c>
      <c r="I122" s="2" t="s">
        <v>4704</v>
      </c>
      <c r="J122" s="2" t="s">
        <v>4705</v>
      </c>
    </row>
    <row r="123" spans="1:10" ht="43.5" customHeight="1" x14ac:dyDescent="0.5">
      <c r="A123" s="2" t="s">
        <v>717</v>
      </c>
      <c r="B123" s="2" t="s">
        <v>4826</v>
      </c>
      <c r="C123" s="2">
        <v>1</v>
      </c>
      <c r="D123" s="2" t="s">
        <v>96</v>
      </c>
      <c r="E123" s="2" t="s">
        <v>4703</v>
      </c>
      <c r="F123" s="2" t="s">
        <v>3462</v>
      </c>
      <c r="G123" s="2" t="s">
        <v>3473</v>
      </c>
      <c r="H123" s="2" t="s">
        <v>297</v>
      </c>
      <c r="I123" s="2" t="s">
        <v>4704</v>
      </c>
      <c r="J123" s="2" t="s">
        <v>4705</v>
      </c>
    </row>
    <row r="124" spans="1:10" ht="43.5" customHeight="1" x14ac:dyDescent="0.5">
      <c r="A124" s="2" t="s">
        <v>720</v>
      </c>
      <c r="B124" s="2" t="s">
        <v>4827</v>
      </c>
      <c r="C124" s="2">
        <v>1</v>
      </c>
      <c r="D124" s="2" t="s">
        <v>96</v>
      </c>
      <c r="E124" s="2" t="s">
        <v>4703</v>
      </c>
      <c r="F124" s="2" t="s">
        <v>3462</v>
      </c>
      <c r="G124" s="2" t="s">
        <v>3473</v>
      </c>
      <c r="H124" s="2" t="s">
        <v>297</v>
      </c>
      <c r="I124" s="2" t="s">
        <v>4704</v>
      </c>
      <c r="J124" s="2" t="s">
        <v>4705</v>
      </c>
    </row>
    <row r="125" spans="1:10" ht="43.5" customHeight="1" x14ac:dyDescent="0.5">
      <c r="A125" s="2" t="s">
        <v>723</v>
      </c>
      <c r="B125" s="2" t="s">
        <v>4828</v>
      </c>
      <c r="C125" s="2">
        <v>1</v>
      </c>
      <c r="D125" s="2" t="s">
        <v>96</v>
      </c>
      <c r="E125" s="2" t="s">
        <v>4703</v>
      </c>
      <c r="F125" s="2" t="s">
        <v>3462</v>
      </c>
      <c r="G125" s="2" t="s">
        <v>3473</v>
      </c>
      <c r="H125" s="2" t="s">
        <v>297</v>
      </c>
      <c r="I125" s="2" t="s">
        <v>4704</v>
      </c>
      <c r="J125" s="2" t="s">
        <v>4705</v>
      </c>
    </row>
    <row r="126" spans="1:10" ht="43.5" customHeight="1" x14ac:dyDescent="0.5">
      <c r="A126" s="2" t="s">
        <v>726</v>
      </c>
      <c r="B126" s="2" t="s">
        <v>4829</v>
      </c>
      <c r="C126" s="2">
        <v>1</v>
      </c>
      <c r="D126" s="2" t="s">
        <v>96</v>
      </c>
      <c r="E126" s="2" t="s">
        <v>4703</v>
      </c>
      <c r="F126" s="2" t="s">
        <v>3462</v>
      </c>
      <c r="G126" s="2" t="s">
        <v>3473</v>
      </c>
      <c r="H126" s="2" t="s">
        <v>297</v>
      </c>
      <c r="I126" s="2" t="s">
        <v>4704</v>
      </c>
      <c r="J126" s="2" t="s">
        <v>4705</v>
      </c>
    </row>
    <row r="127" spans="1:10" ht="43.5" customHeight="1" x14ac:dyDescent="0.5">
      <c r="A127" s="2" t="s">
        <v>729</v>
      </c>
      <c r="B127" s="2" t="s">
        <v>4830</v>
      </c>
      <c r="C127" s="2">
        <v>1</v>
      </c>
      <c r="D127" s="2" t="s">
        <v>99</v>
      </c>
      <c r="E127" s="2" t="s">
        <v>4703</v>
      </c>
      <c r="F127" s="2" t="s">
        <v>3462</v>
      </c>
      <c r="G127" s="2" t="s">
        <v>3473</v>
      </c>
      <c r="H127" s="2" t="s">
        <v>274</v>
      </c>
      <c r="I127" s="2" t="s">
        <v>4704</v>
      </c>
      <c r="J127" s="2" t="s">
        <v>4705</v>
      </c>
    </row>
    <row r="128" spans="1:10" ht="43.5" customHeight="1" x14ac:dyDescent="0.5">
      <c r="A128" s="2" t="s">
        <v>733</v>
      </c>
      <c r="B128" s="2" t="s">
        <v>4831</v>
      </c>
      <c r="C128" s="2">
        <v>1</v>
      </c>
      <c r="D128" s="2" t="s">
        <v>99</v>
      </c>
      <c r="E128" s="2" t="s">
        <v>4703</v>
      </c>
      <c r="F128" s="2" t="s">
        <v>3462</v>
      </c>
      <c r="G128" s="2" t="s">
        <v>3473</v>
      </c>
      <c r="H128" s="2" t="s">
        <v>274</v>
      </c>
      <c r="I128" s="2" t="s">
        <v>4704</v>
      </c>
      <c r="J128" s="2" t="s">
        <v>4705</v>
      </c>
    </row>
    <row r="129" spans="1:10" ht="43.5" customHeight="1" x14ac:dyDescent="0.5">
      <c r="A129" s="2" t="s">
        <v>736</v>
      </c>
      <c r="B129" s="2" t="s">
        <v>4832</v>
      </c>
      <c r="C129" s="2">
        <v>1</v>
      </c>
      <c r="D129" s="2" t="s">
        <v>99</v>
      </c>
      <c r="E129" s="2" t="s">
        <v>4703</v>
      </c>
      <c r="F129" s="2" t="s">
        <v>3462</v>
      </c>
      <c r="G129" s="2" t="s">
        <v>3473</v>
      </c>
      <c r="H129" s="2" t="s">
        <v>297</v>
      </c>
      <c r="I129" s="2" t="s">
        <v>4704</v>
      </c>
      <c r="J129" s="2" t="s">
        <v>4705</v>
      </c>
    </row>
    <row r="130" spans="1:10" ht="43.5" customHeight="1" x14ac:dyDescent="0.5">
      <c r="A130" s="2" t="s">
        <v>739</v>
      </c>
      <c r="B130" s="2" t="s">
        <v>4833</v>
      </c>
      <c r="C130" s="2">
        <v>1</v>
      </c>
      <c r="D130" s="2" t="s">
        <v>99</v>
      </c>
      <c r="E130" s="2" t="s">
        <v>4703</v>
      </c>
      <c r="F130" s="2" t="s">
        <v>3462</v>
      </c>
      <c r="G130" s="2" t="s">
        <v>3473</v>
      </c>
      <c r="H130" s="2" t="s">
        <v>297</v>
      </c>
      <c r="I130" s="2" t="s">
        <v>4704</v>
      </c>
      <c r="J130" s="2" t="s">
        <v>4705</v>
      </c>
    </row>
    <row r="131" spans="1:10" ht="43.5" customHeight="1" x14ac:dyDescent="0.5">
      <c r="A131" s="2" t="s">
        <v>742</v>
      </c>
      <c r="B131" s="2" t="s">
        <v>4834</v>
      </c>
      <c r="C131" s="2">
        <v>1</v>
      </c>
      <c r="D131" s="2" t="s">
        <v>99</v>
      </c>
      <c r="E131" s="2" t="s">
        <v>4703</v>
      </c>
      <c r="F131" s="2" t="s">
        <v>3462</v>
      </c>
      <c r="G131" s="2" t="s">
        <v>3473</v>
      </c>
      <c r="H131" s="2" t="s">
        <v>297</v>
      </c>
      <c r="I131" s="2" t="s">
        <v>4704</v>
      </c>
      <c r="J131" s="2" t="s">
        <v>4705</v>
      </c>
    </row>
    <row r="132" spans="1:10" ht="43.5" customHeight="1" x14ac:dyDescent="0.5">
      <c r="A132" s="2" t="s">
        <v>745</v>
      </c>
      <c r="B132" s="2" t="s">
        <v>4835</v>
      </c>
      <c r="C132" s="2">
        <v>1</v>
      </c>
      <c r="D132" s="2" t="s">
        <v>99</v>
      </c>
      <c r="E132" s="2" t="s">
        <v>4703</v>
      </c>
      <c r="F132" s="2" t="s">
        <v>3462</v>
      </c>
      <c r="G132" s="2" t="s">
        <v>3473</v>
      </c>
      <c r="H132" s="2" t="s">
        <v>297</v>
      </c>
      <c r="I132" s="2" t="s">
        <v>4704</v>
      </c>
      <c r="J132" s="2" t="s">
        <v>4705</v>
      </c>
    </row>
    <row r="133" spans="1:10" ht="43.5" customHeight="1" x14ac:dyDescent="0.5">
      <c r="A133" s="2" t="s">
        <v>748</v>
      </c>
      <c r="B133" s="2" t="s">
        <v>4836</v>
      </c>
      <c r="C133" s="2">
        <v>1</v>
      </c>
      <c r="D133" s="2" t="s">
        <v>102</v>
      </c>
      <c r="E133" s="2" t="s">
        <v>4703</v>
      </c>
      <c r="F133" s="2" t="s">
        <v>3462</v>
      </c>
      <c r="G133" s="2" t="s">
        <v>3473</v>
      </c>
      <c r="H133" s="2" t="s">
        <v>274</v>
      </c>
      <c r="I133" s="2" t="s">
        <v>4704</v>
      </c>
      <c r="J133" s="2" t="s">
        <v>4705</v>
      </c>
    </row>
    <row r="134" spans="1:10" ht="43.5" customHeight="1" x14ac:dyDescent="0.5">
      <c r="A134" s="2" t="s">
        <v>752</v>
      </c>
      <c r="B134" s="2" t="s">
        <v>4837</v>
      </c>
      <c r="C134" s="2">
        <v>1</v>
      </c>
      <c r="D134" s="2" t="s">
        <v>102</v>
      </c>
      <c r="E134" s="2" t="s">
        <v>4703</v>
      </c>
      <c r="F134" s="2" t="s">
        <v>3462</v>
      </c>
      <c r="G134" s="2" t="s">
        <v>3473</v>
      </c>
      <c r="H134" s="2" t="s">
        <v>274</v>
      </c>
      <c r="I134" s="2" t="s">
        <v>4704</v>
      </c>
      <c r="J134" s="2" t="s">
        <v>4705</v>
      </c>
    </row>
    <row r="135" spans="1:10" ht="43.5" customHeight="1" x14ac:dyDescent="0.5">
      <c r="A135" s="2" t="s">
        <v>755</v>
      </c>
      <c r="B135" s="2" t="s">
        <v>4838</v>
      </c>
      <c r="C135" s="2">
        <v>1</v>
      </c>
      <c r="D135" s="2" t="s">
        <v>102</v>
      </c>
      <c r="E135" s="2" t="s">
        <v>4703</v>
      </c>
      <c r="F135" s="2" t="s">
        <v>3462</v>
      </c>
      <c r="G135" s="2" t="s">
        <v>3473</v>
      </c>
      <c r="H135" s="2" t="s">
        <v>297</v>
      </c>
      <c r="I135" s="2" t="s">
        <v>4704</v>
      </c>
      <c r="J135" s="2" t="s">
        <v>4705</v>
      </c>
    </row>
    <row r="136" spans="1:10" ht="43.5" customHeight="1" x14ac:dyDescent="0.5">
      <c r="A136" s="2" t="s">
        <v>758</v>
      </c>
      <c r="B136" s="2" t="s">
        <v>4839</v>
      </c>
      <c r="C136" s="2">
        <v>1</v>
      </c>
      <c r="D136" s="2" t="s">
        <v>102</v>
      </c>
      <c r="E136" s="2" t="s">
        <v>4703</v>
      </c>
      <c r="F136" s="2" t="s">
        <v>3462</v>
      </c>
      <c r="G136" s="2" t="s">
        <v>3473</v>
      </c>
      <c r="H136" s="2" t="s">
        <v>297</v>
      </c>
      <c r="I136" s="2" t="s">
        <v>4704</v>
      </c>
      <c r="J136" s="2" t="s">
        <v>4705</v>
      </c>
    </row>
    <row r="137" spans="1:10" ht="43.5" customHeight="1" x14ac:dyDescent="0.5">
      <c r="A137" s="2" t="s">
        <v>761</v>
      </c>
      <c r="B137" s="2" t="s">
        <v>4840</v>
      </c>
      <c r="C137" s="2">
        <v>1</v>
      </c>
      <c r="D137" s="2" t="s">
        <v>102</v>
      </c>
      <c r="E137" s="2" t="s">
        <v>4703</v>
      </c>
      <c r="F137" s="2" t="s">
        <v>3462</v>
      </c>
      <c r="G137" s="2" t="s">
        <v>3473</v>
      </c>
      <c r="H137" s="2" t="s">
        <v>297</v>
      </c>
      <c r="I137" s="2" t="s">
        <v>4704</v>
      </c>
      <c r="J137" s="2" t="s">
        <v>4705</v>
      </c>
    </row>
    <row r="138" spans="1:10" ht="43.5" customHeight="1" x14ac:dyDescent="0.5">
      <c r="A138" s="2" t="s">
        <v>764</v>
      </c>
      <c r="B138" s="2" t="s">
        <v>4841</v>
      </c>
      <c r="C138" s="2">
        <v>1</v>
      </c>
      <c r="D138" s="2" t="s">
        <v>102</v>
      </c>
      <c r="E138" s="2" t="s">
        <v>4703</v>
      </c>
      <c r="F138" s="2" t="s">
        <v>3462</v>
      </c>
      <c r="G138" s="2" t="s">
        <v>3473</v>
      </c>
      <c r="H138" s="2" t="s">
        <v>297</v>
      </c>
      <c r="I138" s="2" t="s">
        <v>4704</v>
      </c>
      <c r="J138" s="2" t="s">
        <v>4705</v>
      </c>
    </row>
    <row r="139" spans="1:10" ht="43.5" customHeight="1" x14ac:dyDescent="0.5">
      <c r="A139" s="2" t="s">
        <v>767</v>
      </c>
      <c r="B139" s="2" t="s">
        <v>4842</v>
      </c>
      <c r="C139" s="2">
        <v>1</v>
      </c>
      <c r="D139" s="2" t="s">
        <v>105</v>
      </c>
      <c r="E139" s="2" t="s">
        <v>4703</v>
      </c>
      <c r="F139" s="2" t="s">
        <v>3462</v>
      </c>
      <c r="G139" s="2" t="s">
        <v>3473</v>
      </c>
      <c r="H139" s="2" t="s">
        <v>274</v>
      </c>
      <c r="I139" s="2" t="s">
        <v>4704</v>
      </c>
      <c r="J139" s="2" t="s">
        <v>4705</v>
      </c>
    </row>
    <row r="140" spans="1:10" ht="43.5" customHeight="1" x14ac:dyDescent="0.5">
      <c r="A140" s="2" t="s">
        <v>772</v>
      </c>
      <c r="B140" s="2" t="s">
        <v>4843</v>
      </c>
      <c r="C140" s="2">
        <v>1</v>
      </c>
      <c r="D140" s="2" t="s">
        <v>105</v>
      </c>
      <c r="E140" s="2" t="s">
        <v>4703</v>
      </c>
      <c r="F140" s="2" t="s">
        <v>3462</v>
      </c>
      <c r="G140" s="2" t="s">
        <v>3473</v>
      </c>
      <c r="H140" s="2" t="s">
        <v>274</v>
      </c>
      <c r="I140" s="2" t="s">
        <v>4704</v>
      </c>
      <c r="J140" s="2" t="s">
        <v>4705</v>
      </c>
    </row>
    <row r="141" spans="1:10" ht="43.5" customHeight="1" x14ac:dyDescent="0.5">
      <c r="A141" s="2" t="s">
        <v>776</v>
      </c>
      <c r="B141" s="2" t="s">
        <v>4844</v>
      </c>
      <c r="C141" s="2">
        <v>1</v>
      </c>
      <c r="D141" s="2" t="s">
        <v>105</v>
      </c>
      <c r="E141" s="2" t="s">
        <v>4703</v>
      </c>
      <c r="F141" s="2" t="s">
        <v>3462</v>
      </c>
      <c r="G141" s="2" t="s">
        <v>3473</v>
      </c>
      <c r="H141" s="2" t="s">
        <v>297</v>
      </c>
      <c r="I141" s="2" t="s">
        <v>4704</v>
      </c>
      <c r="J141" s="2" t="s">
        <v>4705</v>
      </c>
    </row>
    <row r="142" spans="1:10" ht="43.5" customHeight="1" x14ac:dyDescent="0.5">
      <c r="A142" s="2" t="s">
        <v>779</v>
      </c>
      <c r="B142" s="2" t="s">
        <v>4845</v>
      </c>
      <c r="C142" s="2">
        <v>1</v>
      </c>
      <c r="D142" s="2" t="s">
        <v>105</v>
      </c>
      <c r="E142" s="2" t="s">
        <v>4703</v>
      </c>
      <c r="F142" s="2" t="s">
        <v>3462</v>
      </c>
      <c r="G142" s="2" t="s">
        <v>3473</v>
      </c>
      <c r="H142" s="2" t="s">
        <v>297</v>
      </c>
      <c r="I142" s="2" t="s">
        <v>4704</v>
      </c>
      <c r="J142" s="2" t="s">
        <v>4705</v>
      </c>
    </row>
    <row r="143" spans="1:10" ht="43.5" customHeight="1" x14ac:dyDescent="0.5">
      <c r="A143" s="2" t="s">
        <v>782</v>
      </c>
      <c r="B143" s="2" t="s">
        <v>4846</v>
      </c>
      <c r="C143" s="2">
        <v>1</v>
      </c>
      <c r="D143" s="2" t="s">
        <v>105</v>
      </c>
      <c r="E143" s="2" t="s">
        <v>4703</v>
      </c>
      <c r="F143" s="2" t="s">
        <v>3462</v>
      </c>
      <c r="G143" s="2" t="s">
        <v>3473</v>
      </c>
      <c r="H143" s="2" t="s">
        <v>297</v>
      </c>
      <c r="I143" s="2" t="s">
        <v>4704</v>
      </c>
      <c r="J143" s="2" t="s">
        <v>4705</v>
      </c>
    </row>
    <row r="144" spans="1:10" ht="43.5" customHeight="1" x14ac:dyDescent="0.5">
      <c r="A144" s="2" t="s">
        <v>785</v>
      </c>
      <c r="B144" s="2" t="s">
        <v>4847</v>
      </c>
      <c r="C144" s="2">
        <v>1</v>
      </c>
      <c r="D144" s="2" t="s">
        <v>105</v>
      </c>
      <c r="E144" s="2" t="s">
        <v>4703</v>
      </c>
      <c r="F144" s="2" t="s">
        <v>3462</v>
      </c>
      <c r="G144" s="2" t="s">
        <v>3473</v>
      </c>
      <c r="H144" s="2" t="s">
        <v>297</v>
      </c>
      <c r="I144" s="2" t="s">
        <v>4704</v>
      </c>
      <c r="J144" s="2" t="s">
        <v>4705</v>
      </c>
    </row>
    <row r="145" spans="1:10" ht="43.5" customHeight="1" x14ac:dyDescent="0.5">
      <c r="A145" s="2" t="s">
        <v>788</v>
      </c>
      <c r="B145" s="2" t="s">
        <v>4848</v>
      </c>
      <c r="C145" s="2">
        <v>1</v>
      </c>
      <c r="D145" s="2" t="s">
        <v>105</v>
      </c>
      <c r="E145" s="2" t="s">
        <v>4703</v>
      </c>
      <c r="F145" s="2" t="s">
        <v>3462</v>
      </c>
      <c r="G145" s="2" t="s">
        <v>3473</v>
      </c>
      <c r="H145" s="2" t="s">
        <v>297</v>
      </c>
      <c r="I145" s="2" t="s">
        <v>4704</v>
      </c>
      <c r="J145" s="2" t="s">
        <v>4705</v>
      </c>
    </row>
    <row r="146" spans="1:10" ht="43.5" customHeight="1" x14ac:dyDescent="0.5">
      <c r="A146" s="2" t="s">
        <v>794</v>
      </c>
      <c r="B146" s="2" t="s">
        <v>4849</v>
      </c>
      <c r="C146" s="2">
        <v>1</v>
      </c>
      <c r="D146" s="2" t="s">
        <v>105</v>
      </c>
      <c r="E146" s="2" t="s">
        <v>4703</v>
      </c>
      <c r="F146" s="2" t="s">
        <v>3462</v>
      </c>
      <c r="G146" s="2" t="s">
        <v>3473</v>
      </c>
      <c r="H146" s="2" t="s">
        <v>274</v>
      </c>
      <c r="I146" s="2" t="s">
        <v>4704</v>
      </c>
      <c r="J146" s="2" t="s">
        <v>4705</v>
      </c>
    </row>
    <row r="147" spans="1:10" ht="43.5" customHeight="1" x14ac:dyDescent="0.5">
      <c r="A147" s="2" t="s">
        <v>799</v>
      </c>
      <c r="B147" s="2" t="s">
        <v>4850</v>
      </c>
      <c r="C147" s="2">
        <v>1</v>
      </c>
      <c r="D147" s="2" t="s">
        <v>105</v>
      </c>
      <c r="E147" s="2" t="s">
        <v>4703</v>
      </c>
      <c r="F147" s="2" t="s">
        <v>3462</v>
      </c>
      <c r="G147" s="2" t="s">
        <v>3473</v>
      </c>
      <c r="H147" s="2" t="s">
        <v>274</v>
      </c>
      <c r="I147" s="2" t="s">
        <v>4704</v>
      </c>
      <c r="J147" s="2" t="s">
        <v>4705</v>
      </c>
    </row>
    <row r="148" spans="1:10" ht="43.5" customHeight="1" x14ac:dyDescent="0.5">
      <c r="A148" s="2" t="s">
        <v>803</v>
      </c>
      <c r="B148" s="2" t="s">
        <v>4851</v>
      </c>
      <c r="C148" s="2">
        <v>1</v>
      </c>
      <c r="D148" s="2" t="s">
        <v>105</v>
      </c>
      <c r="E148" s="2" t="s">
        <v>4703</v>
      </c>
      <c r="F148" s="2" t="s">
        <v>3462</v>
      </c>
      <c r="G148" s="2" t="s">
        <v>3473</v>
      </c>
      <c r="H148" s="2" t="s">
        <v>297</v>
      </c>
      <c r="I148" s="2" t="s">
        <v>4704</v>
      </c>
      <c r="J148" s="2" t="s">
        <v>4705</v>
      </c>
    </row>
    <row r="149" spans="1:10" ht="43.5" customHeight="1" x14ac:dyDescent="0.5">
      <c r="A149" s="2" t="s">
        <v>806</v>
      </c>
      <c r="B149" s="2" t="s">
        <v>4852</v>
      </c>
      <c r="C149" s="2">
        <v>1</v>
      </c>
      <c r="D149" s="2" t="s">
        <v>105</v>
      </c>
      <c r="E149" s="2" t="s">
        <v>4703</v>
      </c>
      <c r="F149" s="2" t="s">
        <v>3462</v>
      </c>
      <c r="G149" s="2" t="s">
        <v>3473</v>
      </c>
      <c r="H149" s="2" t="s">
        <v>297</v>
      </c>
      <c r="I149" s="2" t="s">
        <v>4704</v>
      </c>
      <c r="J149" s="2" t="s">
        <v>4705</v>
      </c>
    </row>
    <row r="150" spans="1:10" ht="43.5" customHeight="1" x14ac:dyDescent="0.5">
      <c r="A150" s="2" t="s">
        <v>811</v>
      </c>
      <c r="B150" s="2" t="s">
        <v>4853</v>
      </c>
      <c r="C150" s="2">
        <v>1</v>
      </c>
      <c r="D150" s="2" t="s">
        <v>105</v>
      </c>
      <c r="E150" s="2" t="s">
        <v>4703</v>
      </c>
      <c r="F150" s="2" t="s">
        <v>3462</v>
      </c>
      <c r="G150" s="2" t="s">
        <v>3473</v>
      </c>
      <c r="H150" s="2" t="s">
        <v>297</v>
      </c>
      <c r="I150" s="2" t="s">
        <v>4704</v>
      </c>
      <c r="J150" s="2" t="s">
        <v>4705</v>
      </c>
    </row>
    <row r="151" spans="1:10" ht="43.5" customHeight="1" x14ac:dyDescent="0.5">
      <c r="A151" s="2" t="s">
        <v>815</v>
      </c>
      <c r="B151" s="2" t="s">
        <v>4854</v>
      </c>
      <c r="C151" s="2">
        <v>1</v>
      </c>
      <c r="D151" s="2" t="s">
        <v>105</v>
      </c>
      <c r="E151" s="2" t="s">
        <v>4703</v>
      </c>
      <c r="F151" s="2" t="s">
        <v>3462</v>
      </c>
      <c r="G151" s="2" t="s">
        <v>3473</v>
      </c>
      <c r="H151" s="2" t="s">
        <v>297</v>
      </c>
      <c r="I151" s="2" t="s">
        <v>4704</v>
      </c>
      <c r="J151" s="2" t="s">
        <v>4705</v>
      </c>
    </row>
    <row r="152" spans="1:10" ht="43.5" customHeight="1" x14ac:dyDescent="0.5">
      <c r="A152" s="2" t="s">
        <v>819</v>
      </c>
      <c r="B152" s="2" t="s">
        <v>4855</v>
      </c>
      <c r="C152" s="2">
        <v>1</v>
      </c>
      <c r="D152" s="2" t="s">
        <v>105</v>
      </c>
      <c r="E152" s="2" t="s">
        <v>4703</v>
      </c>
      <c r="F152" s="2" t="s">
        <v>3462</v>
      </c>
      <c r="G152" s="2" t="s">
        <v>3473</v>
      </c>
      <c r="H152" s="2" t="s">
        <v>297</v>
      </c>
      <c r="I152" s="2" t="s">
        <v>4704</v>
      </c>
      <c r="J152" s="2" t="s">
        <v>4705</v>
      </c>
    </row>
    <row r="153" spans="1:10" ht="43.5" customHeight="1" x14ac:dyDescent="0.5">
      <c r="A153" s="2" t="s">
        <v>823</v>
      </c>
      <c r="B153" s="2" t="s">
        <v>4856</v>
      </c>
      <c r="C153" s="2">
        <v>1</v>
      </c>
      <c r="D153" s="2" t="s">
        <v>105</v>
      </c>
      <c r="E153" s="2" t="s">
        <v>4703</v>
      </c>
      <c r="F153" s="2" t="s">
        <v>3462</v>
      </c>
      <c r="G153" s="2" t="s">
        <v>3473</v>
      </c>
      <c r="H153" s="2" t="s">
        <v>274</v>
      </c>
      <c r="I153" s="2" t="s">
        <v>4704</v>
      </c>
      <c r="J153" s="2" t="s">
        <v>4705</v>
      </c>
    </row>
    <row r="154" spans="1:10" ht="43.5" customHeight="1" x14ac:dyDescent="0.5">
      <c r="A154" s="2" t="s">
        <v>827</v>
      </c>
      <c r="B154" s="2" t="s">
        <v>4857</v>
      </c>
      <c r="C154" s="2">
        <v>1</v>
      </c>
      <c r="D154" s="2" t="s">
        <v>105</v>
      </c>
      <c r="E154" s="2" t="s">
        <v>4703</v>
      </c>
      <c r="F154" s="2" t="s">
        <v>3462</v>
      </c>
      <c r="G154" s="2" t="s">
        <v>3473</v>
      </c>
      <c r="H154" s="2" t="s">
        <v>274</v>
      </c>
      <c r="I154" s="2" t="s">
        <v>4704</v>
      </c>
      <c r="J154" s="2" t="s">
        <v>4705</v>
      </c>
    </row>
    <row r="155" spans="1:10" ht="43.5" customHeight="1" x14ac:dyDescent="0.5">
      <c r="A155" s="2" t="s">
        <v>830</v>
      </c>
      <c r="B155" s="2" t="s">
        <v>4858</v>
      </c>
      <c r="C155" s="2">
        <v>1</v>
      </c>
      <c r="D155" s="2" t="s">
        <v>105</v>
      </c>
      <c r="E155" s="2" t="s">
        <v>4703</v>
      </c>
      <c r="F155" s="2" t="s">
        <v>3462</v>
      </c>
      <c r="G155" s="2" t="s">
        <v>3473</v>
      </c>
      <c r="H155" s="2" t="s">
        <v>274</v>
      </c>
      <c r="I155" s="2" t="s">
        <v>4704</v>
      </c>
      <c r="J155" s="2" t="s">
        <v>4705</v>
      </c>
    </row>
    <row r="156" spans="1:10" ht="43.5" customHeight="1" x14ac:dyDescent="0.5">
      <c r="A156" s="2" t="s">
        <v>833</v>
      </c>
      <c r="B156" s="2" t="s">
        <v>4859</v>
      </c>
      <c r="C156" s="2">
        <v>1</v>
      </c>
      <c r="D156" s="2" t="s">
        <v>105</v>
      </c>
      <c r="E156" s="2" t="s">
        <v>4703</v>
      </c>
      <c r="F156" s="2" t="s">
        <v>3462</v>
      </c>
      <c r="G156" s="2" t="s">
        <v>3473</v>
      </c>
      <c r="H156" s="2" t="s">
        <v>297</v>
      </c>
      <c r="I156" s="2" t="s">
        <v>4704</v>
      </c>
      <c r="J156" s="2" t="s">
        <v>4705</v>
      </c>
    </row>
    <row r="157" spans="1:10" ht="43.5" customHeight="1" x14ac:dyDescent="0.5">
      <c r="A157" s="2" t="s">
        <v>838</v>
      </c>
      <c r="B157" s="2" t="s">
        <v>4860</v>
      </c>
      <c r="C157" s="2">
        <v>1</v>
      </c>
      <c r="D157" s="2" t="s">
        <v>105</v>
      </c>
      <c r="E157" s="2" t="s">
        <v>4703</v>
      </c>
      <c r="F157" s="2" t="s">
        <v>3462</v>
      </c>
      <c r="G157" s="2" t="s">
        <v>3473</v>
      </c>
      <c r="H157" s="2" t="s">
        <v>297</v>
      </c>
      <c r="I157" s="2" t="s">
        <v>4704</v>
      </c>
      <c r="J157" s="2" t="s">
        <v>4705</v>
      </c>
    </row>
    <row r="158" spans="1:10" ht="43.5" customHeight="1" x14ac:dyDescent="0.5">
      <c r="A158" s="2" t="s">
        <v>842</v>
      </c>
      <c r="B158" s="2" t="s">
        <v>4861</v>
      </c>
      <c r="C158" s="2">
        <v>1</v>
      </c>
      <c r="D158" s="2" t="s">
        <v>105</v>
      </c>
      <c r="E158" s="2" t="s">
        <v>4703</v>
      </c>
      <c r="F158" s="2" t="s">
        <v>3462</v>
      </c>
      <c r="G158" s="2" t="s">
        <v>3473</v>
      </c>
      <c r="H158" s="2" t="s">
        <v>297</v>
      </c>
      <c r="I158" s="2" t="s">
        <v>4704</v>
      </c>
      <c r="J158" s="2" t="s">
        <v>4705</v>
      </c>
    </row>
    <row r="159" spans="1:10" ht="43.5" customHeight="1" x14ac:dyDescent="0.5">
      <c r="A159" s="2" t="s">
        <v>845</v>
      </c>
      <c r="B159" s="2" t="s">
        <v>4862</v>
      </c>
      <c r="C159" s="2">
        <v>1</v>
      </c>
      <c r="D159" s="2" t="s">
        <v>105</v>
      </c>
      <c r="E159" s="2" t="s">
        <v>4703</v>
      </c>
      <c r="F159" s="2" t="s">
        <v>3462</v>
      </c>
      <c r="G159" s="2" t="s">
        <v>3473</v>
      </c>
      <c r="H159" s="2" t="s">
        <v>297</v>
      </c>
      <c r="I159" s="2" t="s">
        <v>4704</v>
      </c>
      <c r="J159" s="2" t="s">
        <v>4705</v>
      </c>
    </row>
    <row r="160" spans="1:10" ht="43.5" customHeight="1" x14ac:dyDescent="0.5">
      <c r="A160" s="2" t="s">
        <v>849</v>
      </c>
      <c r="B160" s="2" t="s">
        <v>4863</v>
      </c>
      <c r="C160" s="2">
        <v>1</v>
      </c>
      <c r="D160" s="2" t="s">
        <v>105</v>
      </c>
      <c r="E160" s="2" t="s">
        <v>4703</v>
      </c>
      <c r="F160" s="2" t="s">
        <v>3462</v>
      </c>
      <c r="G160" s="2" t="s">
        <v>3473</v>
      </c>
      <c r="H160" s="2" t="s">
        <v>274</v>
      </c>
      <c r="I160" s="2" t="s">
        <v>4704</v>
      </c>
      <c r="J160" s="2" t="s">
        <v>4705</v>
      </c>
    </row>
    <row r="161" spans="1:10" ht="43.5" customHeight="1" x14ac:dyDescent="0.5">
      <c r="A161" s="2" t="s">
        <v>854</v>
      </c>
      <c r="B161" s="2" t="s">
        <v>4864</v>
      </c>
      <c r="C161" s="2">
        <v>1</v>
      </c>
      <c r="D161" s="2" t="s">
        <v>105</v>
      </c>
      <c r="E161" s="2" t="s">
        <v>4703</v>
      </c>
      <c r="F161" s="2" t="s">
        <v>3462</v>
      </c>
      <c r="G161" s="2" t="s">
        <v>3473</v>
      </c>
      <c r="H161" s="2" t="s">
        <v>274</v>
      </c>
      <c r="I161" s="2" t="s">
        <v>4704</v>
      </c>
      <c r="J161" s="2" t="s">
        <v>4705</v>
      </c>
    </row>
    <row r="162" spans="1:10" ht="43.5" customHeight="1" x14ac:dyDescent="0.5">
      <c r="A162" s="2" t="s">
        <v>858</v>
      </c>
      <c r="B162" s="2" t="s">
        <v>4865</v>
      </c>
      <c r="C162" s="2">
        <v>1</v>
      </c>
      <c r="D162" s="2" t="s">
        <v>105</v>
      </c>
      <c r="E162" s="2" t="s">
        <v>4703</v>
      </c>
      <c r="F162" s="2" t="s">
        <v>3462</v>
      </c>
      <c r="G162" s="2" t="s">
        <v>3473</v>
      </c>
      <c r="H162" s="2" t="s">
        <v>274</v>
      </c>
      <c r="I162" s="2" t="s">
        <v>4704</v>
      </c>
      <c r="J162" s="2" t="s">
        <v>4705</v>
      </c>
    </row>
    <row r="163" spans="1:10" ht="43.5" customHeight="1" x14ac:dyDescent="0.5">
      <c r="A163" s="2" t="s">
        <v>861</v>
      </c>
      <c r="B163" s="2" t="s">
        <v>4866</v>
      </c>
      <c r="C163" s="2">
        <v>1</v>
      </c>
      <c r="D163" s="2" t="s">
        <v>105</v>
      </c>
      <c r="E163" s="2" t="s">
        <v>4703</v>
      </c>
      <c r="F163" s="2" t="s">
        <v>3462</v>
      </c>
      <c r="G163" s="2" t="s">
        <v>3473</v>
      </c>
      <c r="H163" s="2" t="s">
        <v>297</v>
      </c>
      <c r="I163" s="2" t="s">
        <v>4704</v>
      </c>
      <c r="J163" s="2" t="s">
        <v>4705</v>
      </c>
    </row>
    <row r="164" spans="1:10" ht="43.5" customHeight="1" x14ac:dyDescent="0.5">
      <c r="A164" s="2" t="s">
        <v>866</v>
      </c>
      <c r="B164" s="2" t="s">
        <v>4867</v>
      </c>
      <c r="C164" s="2">
        <v>1</v>
      </c>
      <c r="D164" s="2" t="s">
        <v>105</v>
      </c>
      <c r="E164" s="2" t="s">
        <v>4703</v>
      </c>
      <c r="F164" s="2" t="s">
        <v>3462</v>
      </c>
      <c r="G164" s="2" t="s">
        <v>3473</v>
      </c>
      <c r="H164" s="2" t="s">
        <v>297</v>
      </c>
      <c r="I164" s="2" t="s">
        <v>4704</v>
      </c>
      <c r="J164" s="2" t="s">
        <v>4705</v>
      </c>
    </row>
    <row r="165" spans="1:10" ht="43.5" customHeight="1" x14ac:dyDescent="0.5">
      <c r="A165" s="2" t="s">
        <v>870</v>
      </c>
      <c r="B165" s="2" t="s">
        <v>4868</v>
      </c>
      <c r="C165" s="2">
        <v>1</v>
      </c>
      <c r="D165" s="2" t="s">
        <v>105</v>
      </c>
      <c r="E165" s="2" t="s">
        <v>4703</v>
      </c>
      <c r="F165" s="2" t="s">
        <v>3462</v>
      </c>
      <c r="G165" s="2" t="s">
        <v>3473</v>
      </c>
      <c r="H165" s="2" t="s">
        <v>297</v>
      </c>
      <c r="I165" s="2" t="s">
        <v>4704</v>
      </c>
      <c r="J165" s="2" t="s">
        <v>4705</v>
      </c>
    </row>
    <row r="166" spans="1:10" ht="43.5" customHeight="1" x14ac:dyDescent="0.5">
      <c r="A166" s="2" t="s">
        <v>874</v>
      </c>
      <c r="B166" s="2" t="s">
        <v>4869</v>
      </c>
      <c r="C166" s="2">
        <v>1</v>
      </c>
      <c r="D166" s="2" t="s">
        <v>105</v>
      </c>
      <c r="E166" s="2" t="s">
        <v>4703</v>
      </c>
      <c r="F166" s="2" t="s">
        <v>3462</v>
      </c>
      <c r="G166" s="2" t="s">
        <v>3473</v>
      </c>
      <c r="H166" s="2" t="s">
        <v>297</v>
      </c>
      <c r="I166" s="2" t="s">
        <v>4704</v>
      </c>
      <c r="J166" s="2" t="s">
        <v>4705</v>
      </c>
    </row>
    <row r="167" spans="1:10" ht="43.5" customHeight="1" x14ac:dyDescent="0.5">
      <c r="A167" s="2" t="s">
        <v>878</v>
      </c>
      <c r="B167" s="2" t="s">
        <v>4870</v>
      </c>
      <c r="C167" s="2">
        <v>1</v>
      </c>
      <c r="D167" s="2" t="s">
        <v>108</v>
      </c>
      <c r="E167" s="2" t="s">
        <v>4703</v>
      </c>
      <c r="F167" s="2" t="s">
        <v>3462</v>
      </c>
      <c r="G167" s="2" t="s">
        <v>3473</v>
      </c>
      <c r="H167" s="2" t="s">
        <v>274</v>
      </c>
      <c r="I167" s="2" t="s">
        <v>4704</v>
      </c>
      <c r="J167" s="2" t="s">
        <v>4705</v>
      </c>
    </row>
    <row r="168" spans="1:10" ht="43.5" customHeight="1" x14ac:dyDescent="0.5">
      <c r="A168" s="2" t="s">
        <v>881</v>
      </c>
      <c r="B168" s="2" t="s">
        <v>4871</v>
      </c>
      <c r="C168" s="2">
        <v>1</v>
      </c>
      <c r="D168" s="2" t="s">
        <v>108</v>
      </c>
      <c r="E168" s="2" t="s">
        <v>4703</v>
      </c>
      <c r="F168" s="2" t="s">
        <v>3462</v>
      </c>
      <c r="G168" s="2" t="s">
        <v>3473</v>
      </c>
      <c r="H168" s="2" t="s">
        <v>274</v>
      </c>
      <c r="I168" s="2" t="s">
        <v>4704</v>
      </c>
      <c r="J168" s="2" t="s">
        <v>4705</v>
      </c>
    </row>
    <row r="169" spans="1:10" ht="43.5" customHeight="1" x14ac:dyDescent="0.5">
      <c r="A169" s="2" t="s">
        <v>883</v>
      </c>
      <c r="B169" s="2" t="s">
        <v>4872</v>
      </c>
      <c r="C169" s="2">
        <v>1</v>
      </c>
      <c r="D169" s="2" t="s">
        <v>108</v>
      </c>
      <c r="E169" s="2" t="s">
        <v>4703</v>
      </c>
      <c r="F169" s="2" t="s">
        <v>3462</v>
      </c>
      <c r="G169" s="2" t="s">
        <v>3473</v>
      </c>
      <c r="H169" s="2" t="s">
        <v>297</v>
      </c>
      <c r="I169" s="2" t="s">
        <v>4704</v>
      </c>
      <c r="J169" s="2" t="s">
        <v>4705</v>
      </c>
    </row>
    <row r="170" spans="1:10" ht="43.5" customHeight="1" x14ac:dyDescent="0.5">
      <c r="A170" s="2" t="s">
        <v>885</v>
      </c>
      <c r="B170" s="2" t="s">
        <v>4873</v>
      </c>
      <c r="C170" s="2">
        <v>1</v>
      </c>
      <c r="D170" s="2" t="s">
        <v>108</v>
      </c>
      <c r="E170" s="2" t="s">
        <v>4703</v>
      </c>
      <c r="F170" s="2" t="s">
        <v>3462</v>
      </c>
      <c r="G170" s="2" t="s">
        <v>3473</v>
      </c>
      <c r="H170" s="2" t="s">
        <v>297</v>
      </c>
      <c r="I170" s="2" t="s">
        <v>4704</v>
      </c>
      <c r="J170" s="2" t="s">
        <v>4705</v>
      </c>
    </row>
    <row r="171" spans="1:10" ht="43.5" customHeight="1" x14ac:dyDescent="0.5">
      <c r="A171" s="2" t="s">
        <v>887</v>
      </c>
      <c r="B171" s="2" t="s">
        <v>4874</v>
      </c>
      <c r="C171" s="2">
        <v>1</v>
      </c>
      <c r="D171" s="2" t="s">
        <v>108</v>
      </c>
      <c r="E171" s="2" t="s">
        <v>4703</v>
      </c>
      <c r="F171" s="2" t="s">
        <v>3462</v>
      </c>
      <c r="G171" s="2" t="s">
        <v>3473</v>
      </c>
      <c r="H171" s="2" t="s">
        <v>297</v>
      </c>
      <c r="I171" s="2" t="s">
        <v>4704</v>
      </c>
      <c r="J171" s="2" t="s">
        <v>4705</v>
      </c>
    </row>
    <row r="172" spans="1:10" ht="43.5" customHeight="1" x14ac:dyDescent="0.5">
      <c r="A172" s="2" t="s">
        <v>889</v>
      </c>
      <c r="B172" s="2" t="s">
        <v>4875</v>
      </c>
      <c r="C172" s="2">
        <v>1</v>
      </c>
      <c r="D172" s="2" t="s">
        <v>108</v>
      </c>
      <c r="E172" s="2" t="s">
        <v>4703</v>
      </c>
      <c r="F172" s="2" t="s">
        <v>3462</v>
      </c>
      <c r="G172" s="2" t="s">
        <v>3473</v>
      </c>
      <c r="H172" s="2" t="s">
        <v>297</v>
      </c>
      <c r="I172" s="2" t="s">
        <v>4704</v>
      </c>
      <c r="J172" s="2" t="s">
        <v>4705</v>
      </c>
    </row>
    <row r="173" spans="1:10" ht="43.5" customHeight="1" x14ac:dyDescent="0.5">
      <c r="A173" s="2" t="s">
        <v>891</v>
      </c>
      <c r="B173" s="2" t="s">
        <v>4876</v>
      </c>
      <c r="C173" s="2">
        <v>1</v>
      </c>
      <c r="D173" s="2" t="s">
        <v>108</v>
      </c>
      <c r="E173" s="2" t="s">
        <v>4703</v>
      </c>
      <c r="F173" s="2" t="s">
        <v>3462</v>
      </c>
      <c r="G173" s="2" t="s">
        <v>3473</v>
      </c>
      <c r="H173" s="2" t="s">
        <v>297</v>
      </c>
      <c r="I173" s="2" t="s">
        <v>4704</v>
      </c>
      <c r="J173" s="2" t="s">
        <v>4705</v>
      </c>
    </row>
    <row r="174" spans="1:10" ht="43.5" customHeight="1" x14ac:dyDescent="0.5">
      <c r="A174" s="2" t="s">
        <v>893</v>
      </c>
      <c r="B174" s="2" t="s">
        <v>4877</v>
      </c>
      <c r="C174" s="2">
        <v>1</v>
      </c>
      <c r="D174" s="2" t="s">
        <v>108</v>
      </c>
      <c r="E174" s="2" t="s">
        <v>4703</v>
      </c>
      <c r="F174" s="2" t="s">
        <v>3462</v>
      </c>
      <c r="G174" s="2" t="s">
        <v>3473</v>
      </c>
      <c r="H174" s="2" t="s">
        <v>274</v>
      </c>
      <c r="I174" s="2" t="s">
        <v>4704</v>
      </c>
      <c r="J174" s="2" t="s">
        <v>4705</v>
      </c>
    </row>
    <row r="175" spans="1:10" ht="43.5" customHeight="1" x14ac:dyDescent="0.5">
      <c r="A175" s="2" t="s">
        <v>896</v>
      </c>
      <c r="B175" s="2" t="s">
        <v>4878</v>
      </c>
      <c r="C175" s="2">
        <v>1</v>
      </c>
      <c r="D175" s="2" t="s">
        <v>108</v>
      </c>
      <c r="E175" s="2" t="s">
        <v>4703</v>
      </c>
      <c r="F175" s="2" t="s">
        <v>3462</v>
      </c>
      <c r="G175" s="2" t="s">
        <v>3473</v>
      </c>
      <c r="H175" s="2" t="s">
        <v>274</v>
      </c>
      <c r="I175" s="2" t="s">
        <v>4704</v>
      </c>
      <c r="J175" s="2" t="s">
        <v>4705</v>
      </c>
    </row>
    <row r="176" spans="1:10" ht="43.5" customHeight="1" x14ac:dyDescent="0.5">
      <c r="A176" s="2" t="s">
        <v>898</v>
      </c>
      <c r="B176" s="2" t="s">
        <v>4879</v>
      </c>
      <c r="C176" s="2">
        <v>1</v>
      </c>
      <c r="D176" s="2" t="s">
        <v>108</v>
      </c>
      <c r="E176" s="2" t="s">
        <v>4703</v>
      </c>
      <c r="F176" s="2" t="s">
        <v>3462</v>
      </c>
      <c r="G176" s="2" t="s">
        <v>3473</v>
      </c>
      <c r="H176" s="2" t="s">
        <v>297</v>
      </c>
      <c r="I176" s="2" t="s">
        <v>4704</v>
      </c>
      <c r="J176" s="2" t="s">
        <v>4705</v>
      </c>
    </row>
    <row r="177" spans="1:10" ht="43.5" customHeight="1" x14ac:dyDescent="0.5">
      <c r="A177" s="2" t="s">
        <v>900</v>
      </c>
      <c r="B177" s="2" t="s">
        <v>4880</v>
      </c>
      <c r="C177" s="2">
        <v>1</v>
      </c>
      <c r="D177" s="2" t="s">
        <v>108</v>
      </c>
      <c r="E177" s="2" t="s">
        <v>4703</v>
      </c>
      <c r="F177" s="2" t="s">
        <v>3462</v>
      </c>
      <c r="G177" s="2" t="s">
        <v>3473</v>
      </c>
      <c r="H177" s="2" t="s">
        <v>297</v>
      </c>
      <c r="I177" s="2" t="s">
        <v>4704</v>
      </c>
      <c r="J177" s="2" t="s">
        <v>4705</v>
      </c>
    </row>
    <row r="178" spans="1:10" ht="43.5" customHeight="1" x14ac:dyDescent="0.5">
      <c r="A178" s="2" t="s">
        <v>902</v>
      </c>
      <c r="B178" s="2" t="s">
        <v>4881</v>
      </c>
      <c r="C178" s="2">
        <v>1</v>
      </c>
      <c r="D178" s="2" t="s">
        <v>108</v>
      </c>
      <c r="E178" s="2" t="s">
        <v>4703</v>
      </c>
      <c r="F178" s="2" t="s">
        <v>3462</v>
      </c>
      <c r="G178" s="2" t="s">
        <v>3473</v>
      </c>
      <c r="H178" s="2" t="s">
        <v>297</v>
      </c>
      <c r="I178" s="2" t="s">
        <v>4704</v>
      </c>
      <c r="J178" s="2" t="s">
        <v>4705</v>
      </c>
    </row>
    <row r="179" spans="1:10" ht="43.5" customHeight="1" x14ac:dyDescent="0.5">
      <c r="A179" s="2" t="s">
        <v>904</v>
      </c>
      <c r="B179" s="2" t="s">
        <v>4882</v>
      </c>
      <c r="C179" s="2">
        <v>1</v>
      </c>
      <c r="D179" s="2" t="s">
        <v>108</v>
      </c>
      <c r="E179" s="2" t="s">
        <v>4703</v>
      </c>
      <c r="F179" s="2" t="s">
        <v>3462</v>
      </c>
      <c r="G179" s="2" t="s">
        <v>3473</v>
      </c>
      <c r="H179" s="2" t="s">
        <v>297</v>
      </c>
      <c r="I179" s="2" t="s">
        <v>4704</v>
      </c>
      <c r="J179" s="2" t="s">
        <v>4705</v>
      </c>
    </row>
    <row r="180" spans="1:10" ht="43.5" customHeight="1" x14ac:dyDescent="0.5">
      <c r="A180" s="2" t="s">
        <v>906</v>
      </c>
      <c r="B180" s="2" t="s">
        <v>4883</v>
      </c>
      <c r="C180" s="2">
        <v>1</v>
      </c>
      <c r="D180" s="2" t="s">
        <v>108</v>
      </c>
      <c r="E180" s="2" t="s">
        <v>4703</v>
      </c>
      <c r="F180" s="2" t="s">
        <v>3462</v>
      </c>
      <c r="G180" s="2" t="s">
        <v>3473</v>
      </c>
      <c r="H180" s="2" t="s">
        <v>297</v>
      </c>
      <c r="I180" s="2" t="s">
        <v>4704</v>
      </c>
      <c r="J180" s="2" t="s">
        <v>4705</v>
      </c>
    </row>
    <row r="181" spans="1:10" ht="43.5" customHeight="1" x14ac:dyDescent="0.5">
      <c r="A181" s="2" t="s">
        <v>908</v>
      </c>
      <c r="B181" s="2" t="s">
        <v>4884</v>
      </c>
      <c r="C181" s="2">
        <v>1</v>
      </c>
      <c r="D181" s="2" t="s">
        <v>108</v>
      </c>
      <c r="E181" s="2" t="s">
        <v>4703</v>
      </c>
      <c r="F181" s="2" t="s">
        <v>3462</v>
      </c>
      <c r="G181" s="2" t="s">
        <v>3473</v>
      </c>
      <c r="H181" s="2" t="s">
        <v>274</v>
      </c>
      <c r="I181" s="2" t="s">
        <v>4704</v>
      </c>
      <c r="J181" s="2" t="s">
        <v>4705</v>
      </c>
    </row>
    <row r="182" spans="1:10" ht="43.5" customHeight="1" x14ac:dyDescent="0.5">
      <c r="A182" s="2" t="s">
        <v>913</v>
      </c>
      <c r="B182" s="2" t="s">
        <v>4885</v>
      </c>
      <c r="C182" s="2">
        <v>1</v>
      </c>
      <c r="D182" s="2" t="s">
        <v>108</v>
      </c>
      <c r="E182" s="2" t="s">
        <v>4703</v>
      </c>
      <c r="F182" s="2" t="s">
        <v>3462</v>
      </c>
      <c r="G182" s="2" t="s">
        <v>3473</v>
      </c>
      <c r="H182" s="2" t="s">
        <v>274</v>
      </c>
      <c r="I182" s="2" t="s">
        <v>4704</v>
      </c>
      <c r="J182" s="2" t="s">
        <v>4705</v>
      </c>
    </row>
    <row r="183" spans="1:10" ht="43.5" customHeight="1" x14ac:dyDescent="0.5">
      <c r="A183" s="2" t="s">
        <v>917</v>
      </c>
      <c r="B183" s="2" t="s">
        <v>4886</v>
      </c>
      <c r="C183" s="2">
        <v>1</v>
      </c>
      <c r="D183" s="2" t="s">
        <v>108</v>
      </c>
      <c r="E183" s="2" t="s">
        <v>4703</v>
      </c>
      <c r="F183" s="2" t="s">
        <v>3462</v>
      </c>
      <c r="G183" s="2" t="s">
        <v>3473</v>
      </c>
      <c r="H183" s="2" t="s">
        <v>297</v>
      </c>
      <c r="I183" s="2" t="s">
        <v>4704</v>
      </c>
      <c r="J183" s="2" t="s">
        <v>4705</v>
      </c>
    </row>
    <row r="184" spans="1:10" ht="43.5" customHeight="1" x14ac:dyDescent="0.5">
      <c r="A184" s="2" t="s">
        <v>920</v>
      </c>
      <c r="B184" s="2" t="s">
        <v>4887</v>
      </c>
      <c r="C184" s="2">
        <v>1</v>
      </c>
      <c r="D184" s="2" t="s">
        <v>108</v>
      </c>
      <c r="E184" s="2" t="s">
        <v>4703</v>
      </c>
      <c r="F184" s="2" t="s">
        <v>3462</v>
      </c>
      <c r="G184" s="2" t="s">
        <v>3473</v>
      </c>
      <c r="H184" s="2" t="s">
        <v>297</v>
      </c>
      <c r="I184" s="2" t="s">
        <v>4704</v>
      </c>
      <c r="J184" s="2" t="s">
        <v>4705</v>
      </c>
    </row>
    <row r="185" spans="1:10" ht="43.5" customHeight="1" x14ac:dyDescent="0.5">
      <c r="A185" s="2" t="s">
        <v>925</v>
      </c>
      <c r="B185" s="2" t="s">
        <v>4888</v>
      </c>
      <c r="C185" s="2">
        <v>1</v>
      </c>
      <c r="D185" s="2" t="s">
        <v>108</v>
      </c>
      <c r="E185" s="2" t="s">
        <v>4703</v>
      </c>
      <c r="F185" s="2" t="s">
        <v>3462</v>
      </c>
      <c r="G185" s="2" t="s">
        <v>3473</v>
      </c>
      <c r="H185" s="2" t="s">
        <v>297</v>
      </c>
      <c r="I185" s="2" t="s">
        <v>4704</v>
      </c>
      <c r="J185" s="2" t="s">
        <v>4705</v>
      </c>
    </row>
    <row r="186" spans="1:10" ht="43.5" customHeight="1" x14ac:dyDescent="0.5">
      <c r="A186" s="2" t="s">
        <v>929</v>
      </c>
      <c r="B186" s="2" t="s">
        <v>4889</v>
      </c>
      <c r="C186" s="2">
        <v>1</v>
      </c>
      <c r="D186" s="2" t="s">
        <v>108</v>
      </c>
      <c r="E186" s="2" t="s">
        <v>4703</v>
      </c>
      <c r="F186" s="2" t="s">
        <v>3462</v>
      </c>
      <c r="G186" s="2" t="s">
        <v>3473</v>
      </c>
      <c r="H186" s="2" t="s">
        <v>297</v>
      </c>
      <c r="I186" s="2" t="s">
        <v>4704</v>
      </c>
      <c r="J186" s="2" t="s">
        <v>4705</v>
      </c>
    </row>
    <row r="187" spans="1:10" ht="43.5" customHeight="1" x14ac:dyDescent="0.5">
      <c r="A187" s="2" t="s">
        <v>933</v>
      </c>
      <c r="B187" s="2" t="s">
        <v>4890</v>
      </c>
      <c r="C187" s="2">
        <v>1</v>
      </c>
      <c r="D187" s="2" t="s">
        <v>108</v>
      </c>
      <c r="E187" s="2" t="s">
        <v>4703</v>
      </c>
      <c r="F187" s="2" t="s">
        <v>3462</v>
      </c>
      <c r="G187" s="2" t="s">
        <v>3473</v>
      </c>
      <c r="H187" s="2" t="s">
        <v>297</v>
      </c>
      <c r="I187" s="2" t="s">
        <v>4704</v>
      </c>
      <c r="J187" s="2" t="s">
        <v>4705</v>
      </c>
    </row>
    <row r="188" spans="1:10" ht="43.5" customHeight="1" x14ac:dyDescent="0.5">
      <c r="A188" s="2" t="s">
        <v>937</v>
      </c>
      <c r="B188" s="2" t="s">
        <v>4891</v>
      </c>
      <c r="C188" s="2">
        <v>1</v>
      </c>
      <c r="D188" s="2" t="s">
        <v>108</v>
      </c>
      <c r="E188" s="2" t="s">
        <v>4703</v>
      </c>
      <c r="F188" s="2" t="s">
        <v>3462</v>
      </c>
      <c r="G188" s="2" t="s">
        <v>3473</v>
      </c>
      <c r="H188" s="2" t="s">
        <v>274</v>
      </c>
      <c r="I188" s="2" t="s">
        <v>4704</v>
      </c>
      <c r="J188" s="2" t="s">
        <v>4705</v>
      </c>
    </row>
    <row r="189" spans="1:10" ht="43.5" customHeight="1" x14ac:dyDescent="0.5">
      <c r="A189" s="2" t="s">
        <v>941</v>
      </c>
      <c r="B189" s="2" t="s">
        <v>4892</v>
      </c>
      <c r="C189" s="2">
        <v>1</v>
      </c>
      <c r="D189" s="2" t="s">
        <v>108</v>
      </c>
      <c r="E189" s="2" t="s">
        <v>4703</v>
      </c>
      <c r="F189" s="2" t="s">
        <v>3462</v>
      </c>
      <c r="G189" s="2" t="s">
        <v>3473</v>
      </c>
      <c r="H189" s="2" t="s">
        <v>274</v>
      </c>
      <c r="I189" s="2" t="s">
        <v>4704</v>
      </c>
      <c r="J189" s="2" t="s">
        <v>4705</v>
      </c>
    </row>
    <row r="190" spans="1:10" ht="43.5" customHeight="1" x14ac:dyDescent="0.5">
      <c r="A190" s="2" t="s">
        <v>944</v>
      </c>
      <c r="B190" s="2" t="s">
        <v>4893</v>
      </c>
      <c r="C190" s="2">
        <v>1</v>
      </c>
      <c r="D190" s="2" t="s">
        <v>108</v>
      </c>
      <c r="E190" s="2" t="s">
        <v>4703</v>
      </c>
      <c r="F190" s="2" t="s">
        <v>3462</v>
      </c>
      <c r="G190" s="2" t="s">
        <v>3473</v>
      </c>
      <c r="H190" s="2" t="s">
        <v>297</v>
      </c>
      <c r="I190" s="2" t="s">
        <v>4704</v>
      </c>
      <c r="J190" s="2" t="s">
        <v>4705</v>
      </c>
    </row>
    <row r="191" spans="1:10" ht="43.5" customHeight="1" x14ac:dyDescent="0.5">
      <c r="A191" s="2" t="s">
        <v>947</v>
      </c>
      <c r="B191" s="2" t="s">
        <v>4894</v>
      </c>
      <c r="C191" s="2">
        <v>1</v>
      </c>
      <c r="D191" s="2" t="s">
        <v>108</v>
      </c>
      <c r="E191" s="2" t="s">
        <v>4703</v>
      </c>
      <c r="F191" s="2" t="s">
        <v>3462</v>
      </c>
      <c r="G191" s="2" t="s">
        <v>3473</v>
      </c>
      <c r="H191" s="2" t="s">
        <v>297</v>
      </c>
      <c r="I191" s="2" t="s">
        <v>4704</v>
      </c>
      <c r="J191" s="2" t="s">
        <v>4705</v>
      </c>
    </row>
    <row r="192" spans="1:10" ht="43.5" customHeight="1" x14ac:dyDescent="0.5">
      <c r="A192" s="2" t="s">
        <v>950</v>
      </c>
      <c r="B192" s="2" t="s">
        <v>4895</v>
      </c>
      <c r="C192" s="2">
        <v>1</v>
      </c>
      <c r="D192" s="2" t="s">
        <v>108</v>
      </c>
      <c r="E192" s="2" t="s">
        <v>4703</v>
      </c>
      <c r="F192" s="2" t="s">
        <v>3462</v>
      </c>
      <c r="G192" s="2" t="s">
        <v>3473</v>
      </c>
      <c r="H192" s="2" t="s">
        <v>297</v>
      </c>
      <c r="I192" s="2" t="s">
        <v>4704</v>
      </c>
      <c r="J192" s="2" t="s">
        <v>4705</v>
      </c>
    </row>
    <row r="193" spans="1:10" ht="43.5" customHeight="1" x14ac:dyDescent="0.5">
      <c r="A193" s="2" t="s">
        <v>953</v>
      </c>
      <c r="B193" s="2" t="s">
        <v>4896</v>
      </c>
      <c r="C193" s="2">
        <v>1</v>
      </c>
      <c r="D193" s="2" t="s">
        <v>108</v>
      </c>
      <c r="E193" s="2" t="s">
        <v>4703</v>
      </c>
      <c r="F193" s="2" t="s">
        <v>3462</v>
      </c>
      <c r="G193" s="2" t="s">
        <v>3473</v>
      </c>
      <c r="H193" s="2" t="s">
        <v>297</v>
      </c>
      <c r="I193" s="2" t="s">
        <v>4704</v>
      </c>
      <c r="J193" s="2" t="s">
        <v>4705</v>
      </c>
    </row>
    <row r="194" spans="1:10" ht="43.5" customHeight="1" x14ac:dyDescent="0.5">
      <c r="A194" s="2" t="s">
        <v>956</v>
      </c>
      <c r="B194" s="2" t="s">
        <v>4897</v>
      </c>
      <c r="C194" s="2">
        <v>1</v>
      </c>
      <c r="D194" s="2" t="s">
        <v>108</v>
      </c>
      <c r="E194" s="2" t="s">
        <v>4703</v>
      </c>
      <c r="F194" s="2" t="s">
        <v>3462</v>
      </c>
      <c r="G194" s="2" t="s">
        <v>3473</v>
      </c>
      <c r="H194" s="2" t="s">
        <v>297</v>
      </c>
      <c r="I194" s="2" t="s">
        <v>4704</v>
      </c>
      <c r="J194" s="2" t="s">
        <v>4705</v>
      </c>
    </row>
    <row r="195" spans="1:10" ht="43.5" customHeight="1" x14ac:dyDescent="0.5">
      <c r="A195" s="2" t="s">
        <v>959</v>
      </c>
      <c r="B195" s="2" t="s">
        <v>4898</v>
      </c>
      <c r="C195" s="2">
        <v>1</v>
      </c>
      <c r="D195" s="2" t="s">
        <v>108</v>
      </c>
      <c r="E195" s="2" t="s">
        <v>4703</v>
      </c>
      <c r="F195" s="2" t="s">
        <v>3462</v>
      </c>
      <c r="G195" s="2" t="s">
        <v>3473</v>
      </c>
      <c r="H195" s="2" t="s">
        <v>274</v>
      </c>
      <c r="I195" s="2" t="s">
        <v>4704</v>
      </c>
      <c r="J195" s="2" t="s">
        <v>4705</v>
      </c>
    </row>
    <row r="196" spans="1:10" ht="43.5" customHeight="1" x14ac:dyDescent="0.5">
      <c r="A196" s="2" t="s">
        <v>963</v>
      </c>
      <c r="B196" s="2" t="s">
        <v>4899</v>
      </c>
      <c r="C196" s="2">
        <v>1</v>
      </c>
      <c r="D196" s="2" t="s">
        <v>108</v>
      </c>
      <c r="E196" s="2" t="s">
        <v>4703</v>
      </c>
      <c r="F196" s="2" t="s">
        <v>3462</v>
      </c>
      <c r="G196" s="2" t="s">
        <v>3473</v>
      </c>
      <c r="H196" s="2" t="s">
        <v>274</v>
      </c>
      <c r="I196" s="2" t="s">
        <v>4704</v>
      </c>
      <c r="J196" s="2" t="s">
        <v>4705</v>
      </c>
    </row>
    <row r="197" spans="1:10" ht="43.5" customHeight="1" x14ac:dyDescent="0.5">
      <c r="A197" s="2" t="s">
        <v>966</v>
      </c>
      <c r="B197" s="2" t="s">
        <v>4900</v>
      </c>
      <c r="C197" s="2">
        <v>1</v>
      </c>
      <c r="D197" s="2" t="s">
        <v>108</v>
      </c>
      <c r="E197" s="2" t="s">
        <v>4703</v>
      </c>
      <c r="F197" s="2" t="s">
        <v>3462</v>
      </c>
      <c r="G197" s="2" t="s">
        <v>3473</v>
      </c>
      <c r="H197" s="2" t="s">
        <v>274</v>
      </c>
      <c r="I197" s="2" t="s">
        <v>4704</v>
      </c>
      <c r="J197" s="2" t="s">
        <v>4705</v>
      </c>
    </row>
    <row r="198" spans="1:10" ht="43.5" customHeight="1" x14ac:dyDescent="0.5">
      <c r="A198" s="2" t="s">
        <v>969</v>
      </c>
      <c r="B198" s="2" t="s">
        <v>4901</v>
      </c>
      <c r="C198" s="2">
        <v>1</v>
      </c>
      <c r="D198" s="2" t="s">
        <v>108</v>
      </c>
      <c r="E198" s="2" t="s">
        <v>4703</v>
      </c>
      <c r="F198" s="2" t="s">
        <v>3462</v>
      </c>
      <c r="G198" s="2" t="s">
        <v>3473</v>
      </c>
      <c r="H198" s="2" t="s">
        <v>297</v>
      </c>
      <c r="I198" s="2" t="s">
        <v>4704</v>
      </c>
      <c r="J198" s="2" t="s">
        <v>4705</v>
      </c>
    </row>
    <row r="199" spans="1:10" ht="43.5" customHeight="1" x14ac:dyDescent="0.5">
      <c r="A199" s="2" t="s">
        <v>972</v>
      </c>
      <c r="B199" s="2" t="s">
        <v>4902</v>
      </c>
      <c r="C199" s="2">
        <v>1</v>
      </c>
      <c r="D199" s="2" t="s">
        <v>108</v>
      </c>
      <c r="E199" s="2" t="s">
        <v>4703</v>
      </c>
      <c r="F199" s="2" t="s">
        <v>3462</v>
      </c>
      <c r="G199" s="2" t="s">
        <v>3473</v>
      </c>
      <c r="H199" s="2" t="s">
        <v>297</v>
      </c>
      <c r="I199" s="2" t="s">
        <v>4704</v>
      </c>
      <c r="J199" s="2" t="s">
        <v>4705</v>
      </c>
    </row>
    <row r="200" spans="1:10" ht="43.5" customHeight="1" x14ac:dyDescent="0.5">
      <c r="A200" s="2" t="s">
        <v>975</v>
      </c>
      <c r="B200" s="2" t="s">
        <v>4903</v>
      </c>
      <c r="C200" s="2">
        <v>1</v>
      </c>
      <c r="D200" s="2" t="s">
        <v>108</v>
      </c>
      <c r="E200" s="2" t="s">
        <v>4703</v>
      </c>
      <c r="F200" s="2" t="s">
        <v>3462</v>
      </c>
      <c r="G200" s="2" t="s">
        <v>3473</v>
      </c>
      <c r="H200" s="2" t="s">
        <v>297</v>
      </c>
      <c r="I200" s="2" t="s">
        <v>4704</v>
      </c>
      <c r="J200" s="2" t="s">
        <v>4705</v>
      </c>
    </row>
    <row r="201" spans="1:10" ht="43.5" customHeight="1" x14ac:dyDescent="0.5">
      <c r="A201" s="2" t="s">
        <v>978</v>
      </c>
      <c r="B201" s="2" t="s">
        <v>4904</v>
      </c>
      <c r="C201" s="2">
        <v>1</v>
      </c>
      <c r="D201" s="2" t="s">
        <v>108</v>
      </c>
      <c r="E201" s="2" t="s">
        <v>4703</v>
      </c>
      <c r="F201" s="2" t="s">
        <v>3462</v>
      </c>
      <c r="G201" s="2" t="s">
        <v>3473</v>
      </c>
      <c r="H201" s="2" t="s">
        <v>297</v>
      </c>
      <c r="I201" s="2" t="s">
        <v>4704</v>
      </c>
      <c r="J201" s="2" t="s">
        <v>4705</v>
      </c>
    </row>
    <row r="202" spans="1:10" ht="43.5" customHeight="1" x14ac:dyDescent="0.5">
      <c r="A202" s="2" t="s">
        <v>981</v>
      </c>
      <c r="B202" s="2" t="s">
        <v>4905</v>
      </c>
      <c r="C202" s="2">
        <v>1</v>
      </c>
      <c r="D202" s="2" t="s">
        <v>108</v>
      </c>
      <c r="E202" s="2" t="s">
        <v>4703</v>
      </c>
      <c r="F202" s="2" t="s">
        <v>3462</v>
      </c>
      <c r="G202" s="2" t="s">
        <v>3473</v>
      </c>
      <c r="H202" s="2" t="s">
        <v>274</v>
      </c>
      <c r="I202" s="2" t="s">
        <v>4704</v>
      </c>
      <c r="J202" s="2" t="s">
        <v>4705</v>
      </c>
    </row>
    <row r="203" spans="1:10" ht="43.5" customHeight="1" x14ac:dyDescent="0.5">
      <c r="A203" s="2" t="s">
        <v>985</v>
      </c>
      <c r="B203" s="2" t="s">
        <v>4906</v>
      </c>
      <c r="C203" s="2">
        <v>1</v>
      </c>
      <c r="D203" s="2" t="s">
        <v>108</v>
      </c>
      <c r="E203" s="2" t="s">
        <v>4703</v>
      </c>
      <c r="F203" s="2" t="s">
        <v>3462</v>
      </c>
      <c r="G203" s="2" t="s">
        <v>3473</v>
      </c>
      <c r="H203" s="2" t="s">
        <v>274</v>
      </c>
      <c r="I203" s="2" t="s">
        <v>4704</v>
      </c>
      <c r="J203" s="2" t="s">
        <v>4705</v>
      </c>
    </row>
    <row r="204" spans="1:10" ht="43.5" customHeight="1" x14ac:dyDescent="0.5">
      <c r="A204" s="2" t="s">
        <v>989</v>
      </c>
      <c r="B204" s="2" t="s">
        <v>4907</v>
      </c>
      <c r="C204" s="2">
        <v>1</v>
      </c>
      <c r="D204" s="2" t="s">
        <v>108</v>
      </c>
      <c r="E204" s="2" t="s">
        <v>4703</v>
      </c>
      <c r="F204" s="2" t="s">
        <v>3462</v>
      </c>
      <c r="G204" s="2" t="s">
        <v>3473</v>
      </c>
      <c r="H204" s="2" t="s">
        <v>274</v>
      </c>
      <c r="I204" s="2" t="s">
        <v>4704</v>
      </c>
      <c r="J204" s="2" t="s">
        <v>4705</v>
      </c>
    </row>
    <row r="205" spans="1:10" ht="43.5" customHeight="1" x14ac:dyDescent="0.5">
      <c r="A205" s="2" t="s">
        <v>992</v>
      </c>
      <c r="B205" s="2" t="s">
        <v>4908</v>
      </c>
      <c r="C205" s="2">
        <v>1</v>
      </c>
      <c r="D205" s="2" t="s">
        <v>108</v>
      </c>
      <c r="E205" s="2" t="s">
        <v>4703</v>
      </c>
      <c r="F205" s="2" t="s">
        <v>3462</v>
      </c>
      <c r="G205" s="2" t="s">
        <v>3473</v>
      </c>
      <c r="H205" s="2" t="s">
        <v>297</v>
      </c>
      <c r="I205" s="2" t="s">
        <v>4704</v>
      </c>
      <c r="J205" s="2" t="s">
        <v>4705</v>
      </c>
    </row>
    <row r="206" spans="1:10" ht="43.5" customHeight="1" x14ac:dyDescent="0.5">
      <c r="A206" s="2" t="s">
        <v>997</v>
      </c>
      <c r="B206" s="2" t="s">
        <v>4909</v>
      </c>
      <c r="C206" s="2">
        <v>1</v>
      </c>
      <c r="D206" s="2" t="s">
        <v>108</v>
      </c>
      <c r="E206" s="2" t="s">
        <v>4703</v>
      </c>
      <c r="F206" s="2" t="s">
        <v>3462</v>
      </c>
      <c r="G206" s="2" t="s">
        <v>3473</v>
      </c>
      <c r="H206" s="2" t="s">
        <v>297</v>
      </c>
      <c r="I206" s="2" t="s">
        <v>4704</v>
      </c>
      <c r="J206" s="2" t="s">
        <v>4705</v>
      </c>
    </row>
    <row r="207" spans="1:10" ht="43.5" customHeight="1" x14ac:dyDescent="0.5">
      <c r="A207" s="2" t="s">
        <v>1001</v>
      </c>
      <c r="B207" s="2" t="s">
        <v>4910</v>
      </c>
      <c r="C207" s="2">
        <v>1</v>
      </c>
      <c r="D207" s="2" t="s">
        <v>108</v>
      </c>
      <c r="E207" s="2" t="s">
        <v>4703</v>
      </c>
      <c r="F207" s="2" t="s">
        <v>3462</v>
      </c>
      <c r="G207" s="2" t="s">
        <v>3473</v>
      </c>
      <c r="H207" s="2" t="s">
        <v>297</v>
      </c>
      <c r="I207" s="2" t="s">
        <v>4704</v>
      </c>
      <c r="J207" s="2" t="s">
        <v>4705</v>
      </c>
    </row>
    <row r="208" spans="1:10" ht="43.5" customHeight="1" x14ac:dyDescent="0.5">
      <c r="A208" s="2" t="s">
        <v>1005</v>
      </c>
      <c r="B208" s="2" t="s">
        <v>4911</v>
      </c>
      <c r="C208" s="2">
        <v>1</v>
      </c>
      <c r="D208" s="2" t="s">
        <v>108</v>
      </c>
      <c r="E208" s="2" t="s">
        <v>4703</v>
      </c>
      <c r="F208" s="2" t="s">
        <v>3462</v>
      </c>
      <c r="G208" s="2" t="s">
        <v>3473</v>
      </c>
      <c r="H208" s="2" t="s">
        <v>297</v>
      </c>
      <c r="I208" s="2" t="s">
        <v>4704</v>
      </c>
      <c r="J208" s="2" t="s">
        <v>4705</v>
      </c>
    </row>
    <row r="209" spans="1:10" ht="43.5" customHeight="1" x14ac:dyDescent="0.5">
      <c r="A209" s="2" t="s">
        <v>1009</v>
      </c>
      <c r="B209" s="2" t="s">
        <v>4912</v>
      </c>
      <c r="C209" s="2">
        <v>1</v>
      </c>
      <c r="D209" s="2" t="s">
        <v>111</v>
      </c>
      <c r="E209" s="2" t="s">
        <v>4703</v>
      </c>
      <c r="F209" s="2" t="s">
        <v>3462</v>
      </c>
      <c r="G209" s="2" t="s">
        <v>3473</v>
      </c>
      <c r="H209" s="2" t="s">
        <v>274</v>
      </c>
      <c r="I209" s="2" t="s">
        <v>4704</v>
      </c>
      <c r="J209" s="2" t="s">
        <v>4705</v>
      </c>
    </row>
    <row r="210" spans="1:10" ht="43.5" customHeight="1" x14ac:dyDescent="0.5">
      <c r="A210" s="2" t="s">
        <v>1014</v>
      </c>
      <c r="B210" s="2" t="s">
        <v>4913</v>
      </c>
      <c r="C210" s="2">
        <v>1</v>
      </c>
      <c r="D210" s="2" t="s">
        <v>111</v>
      </c>
      <c r="E210" s="2" t="s">
        <v>4703</v>
      </c>
      <c r="F210" s="2" t="s">
        <v>3462</v>
      </c>
      <c r="G210" s="2" t="s">
        <v>3473</v>
      </c>
      <c r="H210" s="2" t="s">
        <v>274</v>
      </c>
      <c r="I210" s="2" t="s">
        <v>4704</v>
      </c>
      <c r="J210" s="2" t="s">
        <v>4705</v>
      </c>
    </row>
    <row r="211" spans="1:10" ht="43.5" customHeight="1" x14ac:dyDescent="0.5">
      <c r="A211" s="2" t="s">
        <v>1018</v>
      </c>
      <c r="B211" s="2" t="s">
        <v>4914</v>
      </c>
      <c r="C211" s="2">
        <v>1</v>
      </c>
      <c r="D211" s="2" t="s">
        <v>111</v>
      </c>
      <c r="E211" s="2" t="s">
        <v>4703</v>
      </c>
      <c r="F211" s="2" t="s">
        <v>3462</v>
      </c>
      <c r="G211" s="2" t="s">
        <v>3473</v>
      </c>
      <c r="H211" s="2" t="s">
        <v>297</v>
      </c>
      <c r="I211" s="2" t="s">
        <v>4704</v>
      </c>
      <c r="J211" s="2" t="s">
        <v>4705</v>
      </c>
    </row>
    <row r="212" spans="1:10" ht="43.5" customHeight="1" x14ac:dyDescent="0.5">
      <c r="A212" s="2" t="s">
        <v>1021</v>
      </c>
      <c r="B212" s="2" t="s">
        <v>4915</v>
      </c>
      <c r="C212" s="2">
        <v>1</v>
      </c>
      <c r="D212" s="2" t="s">
        <v>111</v>
      </c>
      <c r="E212" s="2" t="s">
        <v>4703</v>
      </c>
      <c r="F212" s="2" t="s">
        <v>3462</v>
      </c>
      <c r="G212" s="2" t="s">
        <v>3473</v>
      </c>
      <c r="H212" s="2" t="s">
        <v>297</v>
      </c>
      <c r="I212" s="2" t="s">
        <v>4704</v>
      </c>
      <c r="J212" s="2" t="s">
        <v>4705</v>
      </c>
    </row>
    <row r="213" spans="1:10" ht="43.5" customHeight="1" x14ac:dyDescent="0.5">
      <c r="A213" s="2" t="s">
        <v>1024</v>
      </c>
      <c r="B213" s="2" t="s">
        <v>4916</v>
      </c>
      <c r="C213" s="2">
        <v>1</v>
      </c>
      <c r="D213" s="2" t="s">
        <v>111</v>
      </c>
      <c r="E213" s="2" t="s">
        <v>4703</v>
      </c>
      <c r="F213" s="2" t="s">
        <v>3462</v>
      </c>
      <c r="G213" s="2" t="s">
        <v>3473</v>
      </c>
      <c r="H213" s="2" t="s">
        <v>297</v>
      </c>
      <c r="I213" s="2" t="s">
        <v>4704</v>
      </c>
      <c r="J213" s="2" t="s">
        <v>4705</v>
      </c>
    </row>
    <row r="214" spans="1:10" ht="43.5" customHeight="1" x14ac:dyDescent="0.5">
      <c r="A214" s="2" t="s">
        <v>1027</v>
      </c>
      <c r="B214" s="2" t="s">
        <v>4917</v>
      </c>
      <c r="C214" s="2">
        <v>1</v>
      </c>
      <c r="D214" s="2" t="s">
        <v>111</v>
      </c>
      <c r="E214" s="2" t="s">
        <v>4703</v>
      </c>
      <c r="F214" s="2" t="s">
        <v>3462</v>
      </c>
      <c r="G214" s="2" t="s">
        <v>3473</v>
      </c>
      <c r="H214" s="2" t="s">
        <v>297</v>
      </c>
      <c r="I214" s="2" t="s">
        <v>4704</v>
      </c>
      <c r="J214" s="2" t="s">
        <v>4705</v>
      </c>
    </row>
    <row r="215" spans="1:10" ht="43.5" customHeight="1" x14ac:dyDescent="0.5">
      <c r="A215" s="2" t="s">
        <v>1030</v>
      </c>
      <c r="B215" s="2" t="s">
        <v>4918</v>
      </c>
      <c r="C215" s="2">
        <v>1</v>
      </c>
      <c r="D215" s="2" t="s">
        <v>111</v>
      </c>
      <c r="E215" s="2" t="s">
        <v>4703</v>
      </c>
      <c r="F215" s="2" t="s">
        <v>3462</v>
      </c>
      <c r="G215" s="2" t="s">
        <v>3473</v>
      </c>
      <c r="H215" s="2" t="s">
        <v>297</v>
      </c>
      <c r="I215" s="2" t="s">
        <v>4704</v>
      </c>
      <c r="J215" s="2" t="s">
        <v>4705</v>
      </c>
    </row>
    <row r="216" spans="1:10" ht="43.5" customHeight="1" x14ac:dyDescent="0.5">
      <c r="A216" s="2" t="s">
        <v>1037</v>
      </c>
      <c r="B216" s="2" t="s">
        <v>4919</v>
      </c>
      <c r="C216" s="2">
        <v>1</v>
      </c>
      <c r="D216" s="2" t="s">
        <v>111</v>
      </c>
      <c r="E216" s="2" t="s">
        <v>4703</v>
      </c>
      <c r="F216" s="2" t="s">
        <v>3462</v>
      </c>
      <c r="G216" s="2" t="s">
        <v>3473</v>
      </c>
      <c r="H216" s="2" t="s">
        <v>274</v>
      </c>
      <c r="I216" s="2" t="s">
        <v>4704</v>
      </c>
      <c r="J216" s="2" t="s">
        <v>4705</v>
      </c>
    </row>
    <row r="217" spans="1:10" ht="43.5" customHeight="1" x14ac:dyDescent="0.5">
      <c r="A217" s="2" t="s">
        <v>1042</v>
      </c>
      <c r="B217" s="2" t="s">
        <v>4920</v>
      </c>
      <c r="C217" s="2">
        <v>1</v>
      </c>
      <c r="D217" s="2" t="s">
        <v>111</v>
      </c>
      <c r="E217" s="2" t="s">
        <v>4703</v>
      </c>
      <c r="F217" s="2" t="s">
        <v>3462</v>
      </c>
      <c r="G217" s="2" t="s">
        <v>3473</v>
      </c>
      <c r="H217" s="2" t="s">
        <v>274</v>
      </c>
      <c r="I217" s="2" t="s">
        <v>4704</v>
      </c>
      <c r="J217" s="2" t="s">
        <v>4705</v>
      </c>
    </row>
    <row r="218" spans="1:10" ht="43.5" customHeight="1" x14ac:dyDescent="0.5">
      <c r="A218" s="2" t="s">
        <v>1046</v>
      </c>
      <c r="B218" s="2" t="s">
        <v>4921</v>
      </c>
      <c r="C218" s="2">
        <v>1</v>
      </c>
      <c r="D218" s="2" t="s">
        <v>111</v>
      </c>
      <c r="E218" s="2" t="s">
        <v>4703</v>
      </c>
      <c r="F218" s="2" t="s">
        <v>3462</v>
      </c>
      <c r="G218" s="2" t="s">
        <v>3473</v>
      </c>
      <c r="H218" s="2" t="s">
        <v>297</v>
      </c>
      <c r="I218" s="2" t="s">
        <v>4704</v>
      </c>
      <c r="J218" s="2" t="s">
        <v>4705</v>
      </c>
    </row>
    <row r="219" spans="1:10" ht="43.5" customHeight="1" x14ac:dyDescent="0.5">
      <c r="A219" s="2" t="s">
        <v>1049</v>
      </c>
      <c r="B219" s="2" t="s">
        <v>4922</v>
      </c>
      <c r="C219" s="2">
        <v>1</v>
      </c>
      <c r="D219" s="2" t="s">
        <v>111</v>
      </c>
      <c r="E219" s="2" t="s">
        <v>4703</v>
      </c>
      <c r="F219" s="2" t="s">
        <v>3462</v>
      </c>
      <c r="G219" s="2" t="s">
        <v>3473</v>
      </c>
      <c r="H219" s="2" t="s">
        <v>297</v>
      </c>
      <c r="I219" s="2" t="s">
        <v>4704</v>
      </c>
      <c r="J219" s="2" t="s">
        <v>4705</v>
      </c>
    </row>
    <row r="220" spans="1:10" ht="43.5" customHeight="1" x14ac:dyDescent="0.5">
      <c r="A220" s="2" t="s">
        <v>1052</v>
      </c>
      <c r="B220" s="2" t="s">
        <v>4923</v>
      </c>
      <c r="C220" s="2">
        <v>1</v>
      </c>
      <c r="D220" s="2" t="s">
        <v>111</v>
      </c>
      <c r="E220" s="2" t="s">
        <v>4703</v>
      </c>
      <c r="F220" s="2" t="s">
        <v>3462</v>
      </c>
      <c r="G220" s="2" t="s">
        <v>3473</v>
      </c>
      <c r="H220" s="2" t="s">
        <v>297</v>
      </c>
      <c r="I220" s="2" t="s">
        <v>4704</v>
      </c>
      <c r="J220" s="2" t="s">
        <v>4705</v>
      </c>
    </row>
    <row r="221" spans="1:10" ht="43.5" customHeight="1" x14ac:dyDescent="0.5">
      <c r="A221" s="2" t="s">
        <v>1055</v>
      </c>
      <c r="B221" s="2" t="s">
        <v>4924</v>
      </c>
      <c r="C221" s="2">
        <v>1</v>
      </c>
      <c r="D221" s="2" t="s">
        <v>111</v>
      </c>
      <c r="E221" s="2" t="s">
        <v>4703</v>
      </c>
      <c r="F221" s="2" t="s">
        <v>3462</v>
      </c>
      <c r="G221" s="2" t="s">
        <v>3473</v>
      </c>
      <c r="H221" s="2" t="s">
        <v>297</v>
      </c>
      <c r="I221" s="2" t="s">
        <v>4704</v>
      </c>
      <c r="J221" s="2" t="s">
        <v>4705</v>
      </c>
    </row>
    <row r="222" spans="1:10" ht="43.5" customHeight="1" x14ac:dyDescent="0.5">
      <c r="A222" s="2" t="s">
        <v>1058</v>
      </c>
      <c r="B222" s="2" t="s">
        <v>4925</v>
      </c>
      <c r="C222" s="2">
        <v>1</v>
      </c>
      <c r="D222" s="2" t="s">
        <v>111</v>
      </c>
      <c r="E222" s="2" t="s">
        <v>4703</v>
      </c>
      <c r="F222" s="2" t="s">
        <v>3462</v>
      </c>
      <c r="G222" s="2" t="s">
        <v>3473</v>
      </c>
      <c r="H222" s="2" t="s">
        <v>297</v>
      </c>
      <c r="I222" s="2" t="s">
        <v>4704</v>
      </c>
      <c r="J222" s="2" t="s">
        <v>4705</v>
      </c>
    </row>
    <row r="223" spans="1:10" ht="43.5" customHeight="1" x14ac:dyDescent="0.5">
      <c r="A223" s="2" t="s">
        <v>1061</v>
      </c>
      <c r="B223" s="2" t="s">
        <v>4926</v>
      </c>
      <c r="C223" s="2">
        <v>1</v>
      </c>
      <c r="D223" s="2" t="s">
        <v>114</v>
      </c>
      <c r="E223" s="2" t="s">
        <v>4703</v>
      </c>
      <c r="F223" s="2" t="s">
        <v>3462</v>
      </c>
      <c r="G223" s="2" t="s">
        <v>3473</v>
      </c>
      <c r="H223" s="2" t="s">
        <v>274</v>
      </c>
      <c r="I223" s="2" t="s">
        <v>4704</v>
      </c>
      <c r="J223" s="2" t="s">
        <v>4705</v>
      </c>
    </row>
    <row r="224" spans="1:10" ht="43.5" customHeight="1" x14ac:dyDescent="0.5">
      <c r="A224" s="2" t="s">
        <v>1065</v>
      </c>
      <c r="B224" s="2" t="s">
        <v>4927</v>
      </c>
      <c r="C224" s="2">
        <v>1</v>
      </c>
      <c r="D224" s="2" t="s">
        <v>114</v>
      </c>
      <c r="E224" s="2" t="s">
        <v>4703</v>
      </c>
      <c r="F224" s="2" t="s">
        <v>3462</v>
      </c>
      <c r="G224" s="2" t="s">
        <v>3473</v>
      </c>
      <c r="H224" s="2" t="s">
        <v>274</v>
      </c>
      <c r="I224" s="2" t="s">
        <v>4704</v>
      </c>
      <c r="J224" s="2" t="s">
        <v>4705</v>
      </c>
    </row>
    <row r="225" spans="1:10" ht="43.5" customHeight="1" x14ac:dyDescent="0.5">
      <c r="A225" s="2" t="s">
        <v>1068</v>
      </c>
      <c r="B225" s="2" t="s">
        <v>4928</v>
      </c>
      <c r="C225" s="2">
        <v>1</v>
      </c>
      <c r="D225" s="2" t="s">
        <v>114</v>
      </c>
      <c r="E225" s="2" t="s">
        <v>4703</v>
      </c>
      <c r="F225" s="2" t="s">
        <v>3462</v>
      </c>
      <c r="G225" s="2" t="s">
        <v>3473</v>
      </c>
      <c r="H225" s="2" t="s">
        <v>297</v>
      </c>
      <c r="I225" s="2" t="s">
        <v>4704</v>
      </c>
      <c r="J225" s="2" t="s">
        <v>4705</v>
      </c>
    </row>
    <row r="226" spans="1:10" ht="43.5" customHeight="1" x14ac:dyDescent="0.5">
      <c r="A226" s="2" t="s">
        <v>1071</v>
      </c>
      <c r="B226" s="2" t="s">
        <v>4929</v>
      </c>
      <c r="C226" s="2">
        <v>1</v>
      </c>
      <c r="D226" s="2" t="s">
        <v>114</v>
      </c>
      <c r="E226" s="2" t="s">
        <v>4703</v>
      </c>
      <c r="F226" s="2" t="s">
        <v>3462</v>
      </c>
      <c r="G226" s="2" t="s">
        <v>3473</v>
      </c>
      <c r="H226" s="2" t="s">
        <v>297</v>
      </c>
      <c r="I226" s="2" t="s">
        <v>4704</v>
      </c>
      <c r="J226" s="2" t="s">
        <v>4705</v>
      </c>
    </row>
    <row r="227" spans="1:10" ht="43.5" customHeight="1" x14ac:dyDescent="0.5">
      <c r="A227" s="2" t="s">
        <v>1074</v>
      </c>
      <c r="B227" s="2" t="s">
        <v>4930</v>
      </c>
      <c r="C227" s="2">
        <v>1</v>
      </c>
      <c r="D227" s="2" t="s">
        <v>114</v>
      </c>
      <c r="E227" s="2" t="s">
        <v>4703</v>
      </c>
      <c r="F227" s="2" t="s">
        <v>3462</v>
      </c>
      <c r="G227" s="2" t="s">
        <v>3473</v>
      </c>
      <c r="H227" s="2" t="s">
        <v>297</v>
      </c>
      <c r="I227" s="2" t="s">
        <v>4704</v>
      </c>
      <c r="J227" s="2" t="s">
        <v>4705</v>
      </c>
    </row>
    <row r="228" spans="1:10" ht="43.5" customHeight="1" x14ac:dyDescent="0.5">
      <c r="A228" s="2" t="s">
        <v>1077</v>
      </c>
      <c r="B228" s="2" t="s">
        <v>4931</v>
      </c>
      <c r="C228" s="2">
        <v>1</v>
      </c>
      <c r="D228" s="2" t="s">
        <v>114</v>
      </c>
      <c r="E228" s="2" t="s">
        <v>4703</v>
      </c>
      <c r="F228" s="2" t="s">
        <v>3462</v>
      </c>
      <c r="G228" s="2" t="s">
        <v>3473</v>
      </c>
      <c r="H228" s="2" t="s">
        <v>297</v>
      </c>
      <c r="I228" s="2" t="s">
        <v>4704</v>
      </c>
      <c r="J228" s="2" t="s">
        <v>4705</v>
      </c>
    </row>
    <row r="229" spans="1:10" ht="43.5" customHeight="1" x14ac:dyDescent="0.5">
      <c r="A229" s="2" t="s">
        <v>1080</v>
      </c>
      <c r="B229" s="2" t="s">
        <v>4932</v>
      </c>
      <c r="C229" s="2">
        <v>1</v>
      </c>
      <c r="D229" s="2" t="s">
        <v>114</v>
      </c>
      <c r="E229" s="2" t="s">
        <v>4703</v>
      </c>
      <c r="F229" s="2" t="s">
        <v>3462</v>
      </c>
      <c r="G229" s="2" t="s">
        <v>3473</v>
      </c>
      <c r="H229" s="2" t="s">
        <v>274</v>
      </c>
      <c r="I229" s="2" t="s">
        <v>4704</v>
      </c>
      <c r="J229" s="2" t="s">
        <v>4705</v>
      </c>
    </row>
    <row r="230" spans="1:10" ht="43.5" customHeight="1" x14ac:dyDescent="0.5">
      <c r="A230" s="2" t="s">
        <v>1083</v>
      </c>
      <c r="B230" s="2" t="s">
        <v>4933</v>
      </c>
      <c r="C230" s="2">
        <v>1</v>
      </c>
      <c r="D230" s="2" t="s">
        <v>114</v>
      </c>
      <c r="E230" s="2" t="s">
        <v>4703</v>
      </c>
      <c r="F230" s="2" t="s">
        <v>3462</v>
      </c>
      <c r="G230" s="2" t="s">
        <v>3473</v>
      </c>
      <c r="H230" s="2" t="s">
        <v>274</v>
      </c>
      <c r="I230" s="2" t="s">
        <v>4704</v>
      </c>
      <c r="J230" s="2" t="s">
        <v>4705</v>
      </c>
    </row>
    <row r="231" spans="1:10" ht="43.5" customHeight="1" x14ac:dyDescent="0.5">
      <c r="A231" s="2" t="s">
        <v>1086</v>
      </c>
      <c r="B231" s="2" t="s">
        <v>4934</v>
      </c>
      <c r="C231" s="2">
        <v>1</v>
      </c>
      <c r="D231" s="2" t="s">
        <v>114</v>
      </c>
      <c r="E231" s="2" t="s">
        <v>4703</v>
      </c>
      <c r="F231" s="2" t="s">
        <v>3462</v>
      </c>
      <c r="G231" s="2" t="s">
        <v>3473</v>
      </c>
      <c r="H231" s="2" t="s">
        <v>297</v>
      </c>
      <c r="I231" s="2" t="s">
        <v>4704</v>
      </c>
      <c r="J231" s="2" t="s">
        <v>4705</v>
      </c>
    </row>
    <row r="232" spans="1:10" ht="43.5" customHeight="1" x14ac:dyDescent="0.5">
      <c r="A232" s="2" t="s">
        <v>1089</v>
      </c>
      <c r="B232" s="2" t="s">
        <v>4935</v>
      </c>
      <c r="C232" s="2">
        <v>1</v>
      </c>
      <c r="D232" s="2" t="s">
        <v>114</v>
      </c>
      <c r="E232" s="2" t="s">
        <v>4703</v>
      </c>
      <c r="F232" s="2" t="s">
        <v>3462</v>
      </c>
      <c r="G232" s="2" t="s">
        <v>3473</v>
      </c>
      <c r="H232" s="2" t="s">
        <v>297</v>
      </c>
      <c r="I232" s="2" t="s">
        <v>4704</v>
      </c>
      <c r="J232" s="2" t="s">
        <v>4705</v>
      </c>
    </row>
    <row r="233" spans="1:10" ht="43.5" customHeight="1" x14ac:dyDescent="0.5">
      <c r="A233" s="2" t="s">
        <v>1092</v>
      </c>
      <c r="B233" s="2" t="s">
        <v>4936</v>
      </c>
      <c r="C233" s="2">
        <v>1</v>
      </c>
      <c r="D233" s="2" t="s">
        <v>114</v>
      </c>
      <c r="E233" s="2" t="s">
        <v>4703</v>
      </c>
      <c r="F233" s="2" t="s">
        <v>3462</v>
      </c>
      <c r="G233" s="2" t="s">
        <v>3473</v>
      </c>
      <c r="H233" s="2" t="s">
        <v>297</v>
      </c>
      <c r="I233" s="2" t="s">
        <v>4704</v>
      </c>
      <c r="J233" s="2" t="s">
        <v>4705</v>
      </c>
    </row>
    <row r="234" spans="1:10" ht="43.5" customHeight="1" x14ac:dyDescent="0.5">
      <c r="A234" s="2" t="s">
        <v>1095</v>
      </c>
      <c r="B234" s="2" t="s">
        <v>4937</v>
      </c>
      <c r="C234" s="2">
        <v>1</v>
      </c>
      <c r="D234" s="2" t="s">
        <v>114</v>
      </c>
      <c r="E234" s="2" t="s">
        <v>4703</v>
      </c>
      <c r="F234" s="2" t="s">
        <v>3462</v>
      </c>
      <c r="G234" s="2" t="s">
        <v>3473</v>
      </c>
      <c r="H234" s="2" t="s">
        <v>297</v>
      </c>
      <c r="I234" s="2" t="s">
        <v>4704</v>
      </c>
      <c r="J234" s="2" t="s">
        <v>4705</v>
      </c>
    </row>
    <row r="235" spans="1:10" ht="43.5" customHeight="1" x14ac:dyDescent="0.5">
      <c r="A235" s="2" t="s">
        <v>1098</v>
      </c>
      <c r="B235" s="2" t="s">
        <v>4938</v>
      </c>
      <c r="C235" s="2">
        <v>1</v>
      </c>
      <c r="D235" s="2" t="s">
        <v>117</v>
      </c>
      <c r="E235" s="2" t="s">
        <v>4703</v>
      </c>
      <c r="F235" s="2" t="s">
        <v>3462</v>
      </c>
      <c r="G235" s="2" t="s">
        <v>3473</v>
      </c>
      <c r="H235" s="2" t="s">
        <v>274</v>
      </c>
      <c r="I235" s="2" t="s">
        <v>4704</v>
      </c>
      <c r="J235" s="2" t="s">
        <v>4705</v>
      </c>
    </row>
    <row r="236" spans="1:10" ht="43.5" customHeight="1" x14ac:dyDescent="0.5">
      <c r="A236" s="2" t="s">
        <v>1103</v>
      </c>
      <c r="B236" s="2" t="s">
        <v>4939</v>
      </c>
      <c r="C236" s="2">
        <v>1</v>
      </c>
      <c r="D236" s="2" t="s">
        <v>117</v>
      </c>
      <c r="E236" s="2" t="s">
        <v>4703</v>
      </c>
      <c r="F236" s="2" t="s">
        <v>3462</v>
      </c>
      <c r="G236" s="2" t="s">
        <v>3473</v>
      </c>
      <c r="H236" s="2" t="s">
        <v>274</v>
      </c>
      <c r="I236" s="2" t="s">
        <v>4704</v>
      </c>
      <c r="J236" s="2" t="s">
        <v>4705</v>
      </c>
    </row>
    <row r="237" spans="1:10" ht="43.5" customHeight="1" x14ac:dyDescent="0.5">
      <c r="A237" s="2" t="s">
        <v>1107</v>
      </c>
      <c r="B237" s="2" t="s">
        <v>4940</v>
      </c>
      <c r="C237" s="2">
        <v>1</v>
      </c>
      <c r="D237" s="2" t="s">
        <v>117</v>
      </c>
      <c r="E237" s="2" t="s">
        <v>4703</v>
      </c>
      <c r="F237" s="2" t="s">
        <v>3462</v>
      </c>
      <c r="G237" s="2" t="s">
        <v>3473</v>
      </c>
      <c r="H237" s="2" t="s">
        <v>297</v>
      </c>
      <c r="I237" s="2" t="s">
        <v>4704</v>
      </c>
      <c r="J237" s="2" t="s">
        <v>4705</v>
      </c>
    </row>
    <row r="238" spans="1:10" ht="43.5" customHeight="1" x14ac:dyDescent="0.5">
      <c r="A238" s="2" t="s">
        <v>1110</v>
      </c>
      <c r="B238" s="2" t="s">
        <v>4941</v>
      </c>
      <c r="C238" s="2">
        <v>1</v>
      </c>
      <c r="D238" s="2" t="s">
        <v>117</v>
      </c>
      <c r="E238" s="2" t="s">
        <v>4703</v>
      </c>
      <c r="F238" s="2" t="s">
        <v>3462</v>
      </c>
      <c r="G238" s="2" t="s">
        <v>3473</v>
      </c>
      <c r="H238" s="2" t="s">
        <v>297</v>
      </c>
      <c r="I238" s="2" t="s">
        <v>4704</v>
      </c>
      <c r="J238" s="2" t="s">
        <v>4705</v>
      </c>
    </row>
    <row r="239" spans="1:10" ht="43.5" customHeight="1" x14ac:dyDescent="0.5">
      <c r="A239" s="2" t="s">
        <v>1115</v>
      </c>
      <c r="B239" s="2" t="s">
        <v>4942</v>
      </c>
      <c r="C239" s="2">
        <v>1</v>
      </c>
      <c r="D239" s="2" t="s">
        <v>117</v>
      </c>
      <c r="E239" s="2" t="s">
        <v>4703</v>
      </c>
      <c r="F239" s="2" t="s">
        <v>3462</v>
      </c>
      <c r="G239" s="2" t="s">
        <v>3473</v>
      </c>
      <c r="H239" s="2" t="s">
        <v>297</v>
      </c>
      <c r="I239" s="2" t="s">
        <v>4704</v>
      </c>
      <c r="J239" s="2" t="s">
        <v>4705</v>
      </c>
    </row>
    <row r="240" spans="1:10" ht="43.5" customHeight="1" x14ac:dyDescent="0.5">
      <c r="A240" s="2" t="s">
        <v>1119</v>
      </c>
      <c r="B240" s="2" t="s">
        <v>4943</v>
      </c>
      <c r="C240" s="2">
        <v>1</v>
      </c>
      <c r="D240" s="2" t="s">
        <v>117</v>
      </c>
      <c r="E240" s="2" t="s">
        <v>4703</v>
      </c>
      <c r="F240" s="2" t="s">
        <v>3462</v>
      </c>
      <c r="G240" s="2" t="s">
        <v>3473</v>
      </c>
      <c r="H240" s="2" t="s">
        <v>297</v>
      </c>
      <c r="I240" s="2" t="s">
        <v>4704</v>
      </c>
      <c r="J240" s="2" t="s">
        <v>4705</v>
      </c>
    </row>
    <row r="241" spans="1:10" ht="43.5" customHeight="1" x14ac:dyDescent="0.5">
      <c r="A241" s="2" t="s">
        <v>1123</v>
      </c>
      <c r="B241" s="2" t="s">
        <v>4944</v>
      </c>
      <c r="C241" s="2">
        <v>1</v>
      </c>
      <c r="D241" s="2" t="s">
        <v>117</v>
      </c>
      <c r="E241" s="2" t="s">
        <v>4703</v>
      </c>
      <c r="F241" s="2" t="s">
        <v>3462</v>
      </c>
      <c r="G241" s="2" t="s">
        <v>3473</v>
      </c>
      <c r="H241" s="2" t="s">
        <v>274</v>
      </c>
      <c r="I241" s="2" t="s">
        <v>4704</v>
      </c>
      <c r="J241" s="2" t="s">
        <v>4705</v>
      </c>
    </row>
    <row r="242" spans="1:10" ht="43.5" customHeight="1" x14ac:dyDescent="0.5">
      <c r="A242" s="2" t="s">
        <v>1126</v>
      </c>
      <c r="B242" s="2" t="s">
        <v>4945</v>
      </c>
      <c r="C242" s="2">
        <v>1</v>
      </c>
      <c r="D242" s="2" t="s">
        <v>117</v>
      </c>
      <c r="E242" s="2" t="s">
        <v>4703</v>
      </c>
      <c r="F242" s="2" t="s">
        <v>3462</v>
      </c>
      <c r="G242" s="2" t="s">
        <v>3473</v>
      </c>
      <c r="H242" s="2" t="s">
        <v>274</v>
      </c>
      <c r="I242" s="2" t="s">
        <v>4704</v>
      </c>
      <c r="J242" s="2" t="s">
        <v>4705</v>
      </c>
    </row>
    <row r="243" spans="1:10" ht="43.5" customHeight="1" x14ac:dyDescent="0.5">
      <c r="A243" s="2" t="s">
        <v>1129</v>
      </c>
      <c r="B243" s="2" t="s">
        <v>4946</v>
      </c>
      <c r="C243" s="2">
        <v>1</v>
      </c>
      <c r="D243" s="2" t="s">
        <v>117</v>
      </c>
      <c r="E243" s="2" t="s">
        <v>4703</v>
      </c>
      <c r="F243" s="2" t="s">
        <v>3462</v>
      </c>
      <c r="G243" s="2" t="s">
        <v>3473</v>
      </c>
      <c r="H243" s="2" t="s">
        <v>297</v>
      </c>
      <c r="I243" s="2" t="s">
        <v>4704</v>
      </c>
      <c r="J243" s="2" t="s">
        <v>4705</v>
      </c>
    </row>
    <row r="244" spans="1:10" ht="43.5" customHeight="1" x14ac:dyDescent="0.5">
      <c r="A244" s="2" t="s">
        <v>1132</v>
      </c>
      <c r="B244" s="2" t="s">
        <v>4947</v>
      </c>
      <c r="C244" s="2">
        <v>1</v>
      </c>
      <c r="D244" s="2" t="s">
        <v>117</v>
      </c>
      <c r="E244" s="2" t="s">
        <v>4703</v>
      </c>
      <c r="F244" s="2" t="s">
        <v>3462</v>
      </c>
      <c r="G244" s="2" t="s">
        <v>3473</v>
      </c>
      <c r="H244" s="2" t="s">
        <v>297</v>
      </c>
      <c r="I244" s="2" t="s">
        <v>4704</v>
      </c>
      <c r="J244" s="2" t="s">
        <v>4705</v>
      </c>
    </row>
    <row r="245" spans="1:10" ht="43.5" customHeight="1" x14ac:dyDescent="0.5">
      <c r="A245" s="2" t="s">
        <v>1135</v>
      </c>
      <c r="B245" s="2" t="s">
        <v>4948</v>
      </c>
      <c r="C245" s="2">
        <v>1</v>
      </c>
      <c r="D245" s="2" t="s">
        <v>117</v>
      </c>
      <c r="E245" s="2" t="s">
        <v>4703</v>
      </c>
      <c r="F245" s="2" t="s">
        <v>3462</v>
      </c>
      <c r="G245" s="2" t="s">
        <v>3473</v>
      </c>
      <c r="H245" s="2" t="s">
        <v>297</v>
      </c>
      <c r="I245" s="2" t="s">
        <v>4704</v>
      </c>
      <c r="J245" s="2" t="s">
        <v>4705</v>
      </c>
    </row>
    <row r="246" spans="1:10" ht="43.5" customHeight="1" x14ac:dyDescent="0.5">
      <c r="A246" s="2" t="s">
        <v>1138</v>
      </c>
      <c r="B246" s="2" t="s">
        <v>4949</v>
      </c>
      <c r="C246" s="2">
        <v>1</v>
      </c>
      <c r="D246" s="2" t="s">
        <v>117</v>
      </c>
      <c r="E246" s="2" t="s">
        <v>4703</v>
      </c>
      <c r="F246" s="2" t="s">
        <v>3462</v>
      </c>
      <c r="G246" s="2" t="s">
        <v>3473</v>
      </c>
      <c r="H246" s="2" t="s">
        <v>297</v>
      </c>
      <c r="I246" s="2" t="s">
        <v>4704</v>
      </c>
      <c r="J246" s="2" t="s">
        <v>4705</v>
      </c>
    </row>
    <row r="247" spans="1:10" ht="43.5" customHeight="1" x14ac:dyDescent="0.5">
      <c r="A247" s="2" t="s">
        <v>1141</v>
      </c>
      <c r="B247" s="2" t="s">
        <v>4950</v>
      </c>
      <c r="C247" s="2">
        <v>1</v>
      </c>
      <c r="D247" s="2" t="s">
        <v>117</v>
      </c>
      <c r="E247" s="2" t="s">
        <v>4703</v>
      </c>
      <c r="F247" s="2" t="s">
        <v>3462</v>
      </c>
      <c r="G247" s="2" t="s">
        <v>3473</v>
      </c>
      <c r="H247" s="2" t="s">
        <v>274</v>
      </c>
      <c r="I247" s="2" t="s">
        <v>4704</v>
      </c>
      <c r="J247" s="2" t="s">
        <v>4705</v>
      </c>
    </row>
    <row r="248" spans="1:10" ht="43.5" customHeight="1" x14ac:dyDescent="0.5">
      <c r="A248" s="2" t="s">
        <v>1144</v>
      </c>
      <c r="B248" s="2" t="s">
        <v>4951</v>
      </c>
      <c r="C248" s="2">
        <v>1</v>
      </c>
      <c r="D248" s="2" t="s">
        <v>117</v>
      </c>
      <c r="E248" s="2" t="s">
        <v>4703</v>
      </c>
      <c r="F248" s="2" t="s">
        <v>3462</v>
      </c>
      <c r="G248" s="2" t="s">
        <v>3473</v>
      </c>
      <c r="H248" s="2" t="s">
        <v>274</v>
      </c>
      <c r="I248" s="2" t="s">
        <v>4704</v>
      </c>
      <c r="J248" s="2" t="s">
        <v>4705</v>
      </c>
    </row>
    <row r="249" spans="1:10" ht="43.5" customHeight="1" x14ac:dyDescent="0.5">
      <c r="A249" s="2" t="s">
        <v>1146</v>
      </c>
      <c r="B249" s="2" t="s">
        <v>4952</v>
      </c>
      <c r="C249" s="2">
        <v>1</v>
      </c>
      <c r="D249" s="2" t="s">
        <v>117</v>
      </c>
      <c r="E249" s="2" t="s">
        <v>4703</v>
      </c>
      <c r="F249" s="2" t="s">
        <v>3462</v>
      </c>
      <c r="G249" s="2" t="s">
        <v>3473</v>
      </c>
      <c r="H249" s="2" t="s">
        <v>297</v>
      </c>
      <c r="I249" s="2" t="s">
        <v>4704</v>
      </c>
      <c r="J249" s="2" t="s">
        <v>4705</v>
      </c>
    </row>
    <row r="250" spans="1:10" ht="43.5" customHeight="1" x14ac:dyDescent="0.5">
      <c r="A250" s="2" t="s">
        <v>1148</v>
      </c>
      <c r="B250" s="2" t="s">
        <v>4953</v>
      </c>
      <c r="C250" s="2">
        <v>1</v>
      </c>
      <c r="D250" s="2" t="s">
        <v>117</v>
      </c>
      <c r="E250" s="2" t="s">
        <v>4703</v>
      </c>
      <c r="F250" s="2" t="s">
        <v>3462</v>
      </c>
      <c r="G250" s="2" t="s">
        <v>3473</v>
      </c>
      <c r="H250" s="2" t="s">
        <v>297</v>
      </c>
      <c r="I250" s="2" t="s">
        <v>4704</v>
      </c>
      <c r="J250" s="2" t="s">
        <v>4705</v>
      </c>
    </row>
    <row r="251" spans="1:10" ht="43.5" customHeight="1" x14ac:dyDescent="0.5">
      <c r="A251" s="2" t="s">
        <v>1150</v>
      </c>
      <c r="B251" s="2" t="s">
        <v>4954</v>
      </c>
      <c r="C251" s="2">
        <v>1</v>
      </c>
      <c r="D251" s="2" t="s">
        <v>117</v>
      </c>
      <c r="E251" s="2" t="s">
        <v>4703</v>
      </c>
      <c r="F251" s="2" t="s">
        <v>3462</v>
      </c>
      <c r="G251" s="2" t="s">
        <v>3473</v>
      </c>
      <c r="H251" s="2" t="s">
        <v>297</v>
      </c>
      <c r="I251" s="2" t="s">
        <v>4704</v>
      </c>
      <c r="J251" s="2" t="s">
        <v>4705</v>
      </c>
    </row>
    <row r="252" spans="1:10" ht="43.5" customHeight="1" x14ac:dyDescent="0.5">
      <c r="A252" s="2" t="s">
        <v>1152</v>
      </c>
      <c r="B252" s="2" t="s">
        <v>4955</v>
      </c>
      <c r="C252" s="2">
        <v>1</v>
      </c>
      <c r="D252" s="2" t="s">
        <v>117</v>
      </c>
      <c r="E252" s="2" t="s">
        <v>4703</v>
      </c>
      <c r="F252" s="2" t="s">
        <v>3462</v>
      </c>
      <c r="G252" s="2" t="s">
        <v>3473</v>
      </c>
      <c r="H252" s="2" t="s">
        <v>297</v>
      </c>
      <c r="I252" s="2" t="s">
        <v>4704</v>
      </c>
      <c r="J252" s="2" t="s">
        <v>4705</v>
      </c>
    </row>
    <row r="253" spans="1:10" ht="43.5" customHeight="1" x14ac:dyDescent="0.5">
      <c r="A253" s="2" t="s">
        <v>1154</v>
      </c>
      <c r="B253" s="2" t="s">
        <v>4956</v>
      </c>
      <c r="C253" s="2">
        <v>1</v>
      </c>
      <c r="D253" s="2" t="s">
        <v>117</v>
      </c>
      <c r="E253" s="2" t="s">
        <v>4703</v>
      </c>
      <c r="F253" s="2" t="s">
        <v>3462</v>
      </c>
      <c r="G253" s="2" t="s">
        <v>3473</v>
      </c>
      <c r="H253" s="2" t="s">
        <v>274</v>
      </c>
      <c r="I253" s="2" t="s">
        <v>4704</v>
      </c>
      <c r="J253" s="2" t="s">
        <v>4705</v>
      </c>
    </row>
    <row r="254" spans="1:10" ht="43.5" customHeight="1" x14ac:dyDescent="0.5">
      <c r="A254" s="2" t="s">
        <v>1157</v>
      </c>
      <c r="B254" s="2" t="s">
        <v>4957</v>
      </c>
      <c r="C254" s="2">
        <v>1</v>
      </c>
      <c r="D254" s="2" t="s">
        <v>117</v>
      </c>
      <c r="E254" s="2" t="s">
        <v>4703</v>
      </c>
      <c r="F254" s="2" t="s">
        <v>3462</v>
      </c>
      <c r="G254" s="2" t="s">
        <v>3473</v>
      </c>
      <c r="H254" s="2" t="s">
        <v>274</v>
      </c>
      <c r="I254" s="2" t="s">
        <v>4704</v>
      </c>
      <c r="J254" s="2" t="s">
        <v>4705</v>
      </c>
    </row>
    <row r="255" spans="1:10" ht="43.5" customHeight="1" x14ac:dyDescent="0.5">
      <c r="A255" s="2" t="s">
        <v>1159</v>
      </c>
      <c r="B255" s="2" t="s">
        <v>4958</v>
      </c>
      <c r="C255" s="2">
        <v>1</v>
      </c>
      <c r="D255" s="2" t="s">
        <v>117</v>
      </c>
      <c r="E255" s="2" t="s">
        <v>4703</v>
      </c>
      <c r="F255" s="2" t="s">
        <v>3462</v>
      </c>
      <c r="G255" s="2" t="s">
        <v>3473</v>
      </c>
      <c r="H255" s="2" t="s">
        <v>297</v>
      </c>
      <c r="I255" s="2" t="s">
        <v>4704</v>
      </c>
      <c r="J255" s="2" t="s">
        <v>4705</v>
      </c>
    </row>
    <row r="256" spans="1:10" ht="43.5" customHeight="1" x14ac:dyDescent="0.5">
      <c r="A256" s="2" t="s">
        <v>1161</v>
      </c>
      <c r="B256" s="2" t="s">
        <v>4959</v>
      </c>
      <c r="C256" s="2">
        <v>1</v>
      </c>
      <c r="D256" s="2" t="s">
        <v>117</v>
      </c>
      <c r="E256" s="2" t="s">
        <v>4703</v>
      </c>
      <c r="F256" s="2" t="s">
        <v>3462</v>
      </c>
      <c r="G256" s="2" t="s">
        <v>3473</v>
      </c>
      <c r="H256" s="2" t="s">
        <v>297</v>
      </c>
      <c r="I256" s="2" t="s">
        <v>4704</v>
      </c>
      <c r="J256" s="2" t="s">
        <v>4705</v>
      </c>
    </row>
    <row r="257" spans="1:10" ht="43.5" customHeight="1" x14ac:dyDescent="0.5">
      <c r="A257" s="2" t="s">
        <v>1163</v>
      </c>
      <c r="B257" s="2" t="s">
        <v>4960</v>
      </c>
      <c r="C257" s="2">
        <v>1</v>
      </c>
      <c r="D257" s="2" t="s">
        <v>117</v>
      </c>
      <c r="E257" s="2" t="s">
        <v>4703</v>
      </c>
      <c r="F257" s="2" t="s">
        <v>3462</v>
      </c>
      <c r="G257" s="2" t="s">
        <v>3473</v>
      </c>
      <c r="H257" s="2" t="s">
        <v>297</v>
      </c>
      <c r="I257" s="2" t="s">
        <v>4704</v>
      </c>
      <c r="J257" s="2" t="s">
        <v>4705</v>
      </c>
    </row>
    <row r="258" spans="1:10" ht="43.5" customHeight="1" x14ac:dyDescent="0.5">
      <c r="A258" s="2" t="s">
        <v>1165</v>
      </c>
      <c r="B258" s="2" t="s">
        <v>4961</v>
      </c>
      <c r="C258" s="2">
        <v>1</v>
      </c>
      <c r="D258" s="2" t="s">
        <v>117</v>
      </c>
      <c r="E258" s="2" t="s">
        <v>4703</v>
      </c>
      <c r="F258" s="2" t="s">
        <v>3462</v>
      </c>
      <c r="G258" s="2" t="s">
        <v>3473</v>
      </c>
      <c r="H258" s="2" t="s">
        <v>297</v>
      </c>
      <c r="I258" s="2" t="s">
        <v>4704</v>
      </c>
      <c r="J258" s="2" t="s">
        <v>4705</v>
      </c>
    </row>
    <row r="259" spans="1:10" ht="43.5" customHeight="1" x14ac:dyDescent="0.5">
      <c r="A259" s="2" t="s">
        <v>1167</v>
      </c>
      <c r="B259" s="2" t="s">
        <v>4962</v>
      </c>
      <c r="C259" s="2">
        <v>1</v>
      </c>
      <c r="D259" s="2" t="s">
        <v>121</v>
      </c>
      <c r="E259" s="2" t="s">
        <v>4703</v>
      </c>
      <c r="F259" s="2" t="s">
        <v>3462</v>
      </c>
      <c r="G259" s="2" t="s">
        <v>3473</v>
      </c>
      <c r="H259" s="2" t="s">
        <v>274</v>
      </c>
      <c r="I259" s="2" t="s">
        <v>4704</v>
      </c>
      <c r="J259" s="2" t="s">
        <v>4705</v>
      </c>
    </row>
    <row r="260" spans="1:10" ht="43.5" customHeight="1" x14ac:dyDescent="0.5">
      <c r="A260" s="2" t="s">
        <v>1173</v>
      </c>
      <c r="B260" s="2" t="s">
        <v>4963</v>
      </c>
      <c r="C260" s="2">
        <v>1</v>
      </c>
      <c r="D260" s="2" t="s">
        <v>121</v>
      </c>
      <c r="E260" s="2" t="s">
        <v>4703</v>
      </c>
      <c r="F260" s="2" t="s">
        <v>3462</v>
      </c>
      <c r="G260" s="2" t="s">
        <v>3473</v>
      </c>
      <c r="H260" s="2" t="s">
        <v>274</v>
      </c>
      <c r="I260" s="2" t="s">
        <v>4704</v>
      </c>
      <c r="J260" s="2" t="s">
        <v>4705</v>
      </c>
    </row>
    <row r="261" spans="1:10" ht="43.5" customHeight="1" x14ac:dyDescent="0.5">
      <c r="A261" s="2" t="s">
        <v>1176</v>
      </c>
      <c r="B261" s="2" t="s">
        <v>4964</v>
      </c>
      <c r="C261" s="2">
        <v>1</v>
      </c>
      <c r="D261" s="2" t="s">
        <v>121</v>
      </c>
      <c r="E261" s="2" t="s">
        <v>4703</v>
      </c>
      <c r="F261" s="2" t="s">
        <v>3462</v>
      </c>
      <c r="G261" s="2" t="s">
        <v>3473</v>
      </c>
      <c r="H261" s="2" t="s">
        <v>297</v>
      </c>
      <c r="I261" s="2" t="s">
        <v>4704</v>
      </c>
      <c r="J261" s="2" t="s">
        <v>4705</v>
      </c>
    </row>
    <row r="262" spans="1:10" ht="43.5" customHeight="1" x14ac:dyDescent="0.5">
      <c r="A262" s="2" t="s">
        <v>1181</v>
      </c>
      <c r="B262" s="2" t="s">
        <v>4965</v>
      </c>
      <c r="C262" s="2">
        <v>1</v>
      </c>
      <c r="D262" s="2" t="s">
        <v>121</v>
      </c>
      <c r="E262" s="2" t="s">
        <v>4703</v>
      </c>
      <c r="F262" s="2" t="s">
        <v>3462</v>
      </c>
      <c r="G262" s="2" t="s">
        <v>3473</v>
      </c>
      <c r="H262" s="2" t="s">
        <v>297</v>
      </c>
      <c r="I262" s="2" t="s">
        <v>4704</v>
      </c>
      <c r="J262" s="2" t="s">
        <v>4705</v>
      </c>
    </row>
    <row r="263" spans="1:10" ht="43.5" customHeight="1" x14ac:dyDescent="0.5">
      <c r="A263" s="2" t="s">
        <v>1188</v>
      </c>
      <c r="B263" s="2" t="s">
        <v>4966</v>
      </c>
      <c r="C263" s="2">
        <v>1</v>
      </c>
      <c r="D263" s="2" t="s">
        <v>126</v>
      </c>
      <c r="E263" s="2" t="s">
        <v>4703</v>
      </c>
      <c r="F263" s="2" t="s">
        <v>3462</v>
      </c>
      <c r="G263" s="2" t="s">
        <v>3473</v>
      </c>
      <c r="H263" s="2" t="s">
        <v>274</v>
      </c>
      <c r="I263" s="2" t="s">
        <v>4704</v>
      </c>
      <c r="J263" s="2" t="s">
        <v>4705</v>
      </c>
    </row>
    <row r="264" spans="1:10" ht="43.5" customHeight="1" x14ac:dyDescent="0.5">
      <c r="A264" s="2" t="s">
        <v>1193</v>
      </c>
      <c r="B264" s="2" t="s">
        <v>4967</v>
      </c>
      <c r="C264" s="2">
        <v>1</v>
      </c>
      <c r="D264" s="2" t="s">
        <v>126</v>
      </c>
      <c r="E264" s="2" t="s">
        <v>4703</v>
      </c>
      <c r="F264" s="2" t="s">
        <v>3462</v>
      </c>
      <c r="G264" s="2" t="s">
        <v>3473</v>
      </c>
      <c r="H264" s="2" t="s">
        <v>274</v>
      </c>
      <c r="I264" s="2" t="s">
        <v>4704</v>
      </c>
      <c r="J264" s="2" t="s">
        <v>4705</v>
      </c>
    </row>
    <row r="265" spans="1:10" ht="43.5" customHeight="1" x14ac:dyDescent="0.5">
      <c r="A265" s="2" t="s">
        <v>1195</v>
      </c>
      <c r="B265" s="2" t="s">
        <v>4968</v>
      </c>
      <c r="C265" s="2">
        <v>1</v>
      </c>
      <c r="D265" s="2" t="s">
        <v>126</v>
      </c>
      <c r="E265" s="2" t="s">
        <v>4703</v>
      </c>
      <c r="F265" s="2" t="s">
        <v>3462</v>
      </c>
      <c r="G265" s="2" t="s">
        <v>3473</v>
      </c>
      <c r="H265" s="2" t="s">
        <v>297</v>
      </c>
      <c r="I265" s="2" t="s">
        <v>4704</v>
      </c>
      <c r="J265" s="2" t="s">
        <v>4705</v>
      </c>
    </row>
    <row r="266" spans="1:10" ht="43.5" customHeight="1" x14ac:dyDescent="0.5">
      <c r="A266" s="2" t="s">
        <v>1199</v>
      </c>
      <c r="B266" s="2" t="s">
        <v>4969</v>
      </c>
      <c r="C266" s="2">
        <v>1</v>
      </c>
      <c r="D266" s="2" t="s">
        <v>126</v>
      </c>
      <c r="E266" s="2" t="s">
        <v>4703</v>
      </c>
      <c r="F266" s="2" t="s">
        <v>3462</v>
      </c>
      <c r="G266" s="2" t="s">
        <v>3473</v>
      </c>
      <c r="H266" s="2" t="s">
        <v>297</v>
      </c>
      <c r="I266" s="2" t="s">
        <v>4704</v>
      </c>
      <c r="J266" s="2" t="s">
        <v>4705</v>
      </c>
    </row>
    <row r="267" spans="1:10" ht="43.5" customHeight="1" x14ac:dyDescent="0.5">
      <c r="A267" s="2" t="s">
        <v>1204</v>
      </c>
      <c r="B267" s="2" t="s">
        <v>4970</v>
      </c>
      <c r="C267" s="2">
        <v>1</v>
      </c>
      <c r="D267" s="2" t="s">
        <v>129</v>
      </c>
      <c r="E267" s="2" t="s">
        <v>4703</v>
      </c>
      <c r="F267" s="2" t="s">
        <v>3462</v>
      </c>
      <c r="G267" s="2" t="s">
        <v>3473</v>
      </c>
      <c r="H267" s="2" t="s">
        <v>274</v>
      </c>
      <c r="I267" s="2" t="s">
        <v>4704</v>
      </c>
      <c r="J267" s="2" t="s">
        <v>4705</v>
      </c>
    </row>
    <row r="268" spans="1:10" ht="43.5" customHeight="1" x14ac:dyDescent="0.5">
      <c r="A268" s="2" t="s">
        <v>1207</v>
      </c>
      <c r="B268" s="2" t="s">
        <v>4971</v>
      </c>
      <c r="C268" s="2">
        <v>1</v>
      </c>
      <c r="D268" s="2" t="s">
        <v>129</v>
      </c>
      <c r="E268" s="2" t="s">
        <v>4703</v>
      </c>
      <c r="F268" s="2" t="s">
        <v>3462</v>
      </c>
      <c r="G268" s="2" t="s">
        <v>3473</v>
      </c>
      <c r="H268" s="2" t="s">
        <v>274</v>
      </c>
      <c r="I268" s="2" t="s">
        <v>4704</v>
      </c>
      <c r="J268" s="2" t="s">
        <v>4705</v>
      </c>
    </row>
    <row r="269" spans="1:10" ht="43.5" customHeight="1" x14ac:dyDescent="0.5">
      <c r="A269" s="2" t="s">
        <v>1209</v>
      </c>
      <c r="B269" s="2" t="s">
        <v>4972</v>
      </c>
      <c r="C269" s="2">
        <v>1</v>
      </c>
      <c r="D269" s="2" t="s">
        <v>129</v>
      </c>
      <c r="E269" s="2" t="s">
        <v>4703</v>
      </c>
      <c r="F269" s="2" t="s">
        <v>3462</v>
      </c>
      <c r="G269" s="2" t="s">
        <v>3473</v>
      </c>
      <c r="H269" s="2" t="s">
        <v>297</v>
      </c>
      <c r="I269" s="2" t="s">
        <v>4704</v>
      </c>
      <c r="J269" s="2" t="s">
        <v>4705</v>
      </c>
    </row>
    <row r="270" spans="1:10" ht="43.5" customHeight="1" x14ac:dyDescent="0.5">
      <c r="A270" s="2" t="s">
        <v>1213</v>
      </c>
      <c r="B270" s="2" t="s">
        <v>4973</v>
      </c>
      <c r="C270" s="2">
        <v>1</v>
      </c>
      <c r="D270" s="2" t="s">
        <v>129</v>
      </c>
      <c r="E270" s="2" t="s">
        <v>4703</v>
      </c>
      <c r="F270" s="2" t="s">
        <v>3462</v>
      </c>
      <c r="G270" s="2" t="s">
        <v>3473</v>
      </c>
      <c r="H270" s="2" t="s">
        <v>297</v>
      </c>
      <c r="I270" s="2" t="s">
        <v>4704</v>
      </c>
      <c r="J270" s="2" t="s">
        <v>4705</v>
      </c>
    </row>
    <row r="271" spans="1:10" ht="43.5" customHeight="1" x14ac:dyDescent="0.5">
      <c r="A271" s="2" t="s">
        <v>1217</v>
      </c>
      <c r="B271" s="2" t="s">
        <v>4974</v>
      </c>
      <c r="C271" s="2">
        <v>1</v>
      </c>
      <c r="D271" s="2" t="s">
        <v>131</v>
      </c>
      <c r="E271" s="2" t="s">
        <v>4703</v>
      </c>
      <c r="F271" s="2" t="s">
        <v>3462</v>
      </c>
      <c r="G271" s="2" t="s">
        <v>3473</v>
      </c>
      <c r="H271" s="2" t="s">
        <v>274</v>
      </c>
      <c r="I271" s="2" t="s">
        <v>4704</v>
      </c>
      <c r="J271" s="2" t="s">
        <v>4705</v>
      </c>
    </row>
    <row r="272" spans="1:10" ht="43.5" customHeight="1" x14ac:dyDescent="0.5">
      <c r="A272" s="2" t="s">
        <v>1220</v>
      </c>
      <c r="B272" s="2" t="s">
        <v>4975</v>
      </c>
      <c r="C272" s="2">
        <v>1</v>
      </c>
      <c r="D272" s="2" t="s">
        <v>131</v>
      </c>
      <c r="E272" s="2" t="s">
        <v>4703</v>
      </c>
      <c r="F272" s="2" t="s">
        <v>3462</v>
      </c>
      <c r="G272" s="2" t="s">
        <v>3473</v>
      </c>
      <c r="H272" s="2" t="s">
        <v>274</v>
      </c>
      <c r="I272" s="2" t="s">
        <v>4704</v>
      </c>
      <c r="J272" s="2" t="s">
        <v>4705</v>
      </c>
    </row>
    <row r="273" spans="1:10" ht="43.5" customHeight="1" x14ac:dyDescent="0.5">
      <c r="A273" s="2" t="s">
        <v>1222</v>
      </c>
      <c r="B273" s="2" t="s">
        <v>4976</v>
      </c>
      <c r="C273" s="2">
        <v>1</v>
      </c>
      <c r="D273" s="2" t="s">
        <v>131</v>
      </c>
      <c r="E273" s="2" t="s">
        <v>4703</v>
      </c>
      <c r="F273" s="2" t="s">
        <v>3462</v>
      </c>
      <c r="G273" s="2" t="s">
        <v>3473</v>
      </c>
      <c r="H273" s="2" t="s">
        <v>297</v>
      </c>
      <c r="I273" s="2" t="s">
        <v>4704</v>
      </c>
      <c r="J273" s="2" t="s">
        <v>4705</v>
      </c>
    </row>
    <row r="274" spans="1:10" ht="43.5" customHeight="1" x14ac:dyDescent="0.5">
      <c r="A274" s="2" t="s">
        <v>1224</v>
      </c>
      <c r="B274" s="2" t="s">
        <v>4977</v>
      </c>
      <c r="C274" s="2">
        <v>1</v>
      </c>
      <c r="D274" s="2" t="s">
        <v>131</v>
      </c>
      <c r="E274" s="2" t="s">
        <v>4703</v>
      </c>
      <c r="F274" s="2" t="s">
        <v>3462</v>
      </c>
      <c r="G274" s="2" t="s">
        <v>3473</v>
      </c>
      <c r="H274" s="2" t="s">
        <v>297</v>
      </c>
      <c r="I274" s="2" t="s">
        <v>4704</v>
      </c>
      <c r="J274" s="2" t="s">
        <v>4705</v>
      </c>
    </row>
    <row r="275" spans="1:10" ht="43.5" customHeight="1" x14ac:dyDescent="0.5">
      <c r="A275" s="2" t="s">
        <v>1226</v>
      </c>
      <c r="B275" s="2" t="s">
        <v>4978</v>
      </c>
      <c r="C275" s="2">
        <v>1</v>
      </c>
      <c r="D275" s="2" t="s">
        <v>135</v>
      </c>
      <c r="E275" s="2" t="s">
        <v>4703</v>
      </c>
      <c r="F275" s="2" t="s">
        <v>3462</v>
      </c>
      <c r="G275" s="2" t="s">
        <v>3473</v>
      </c>
      <c r="H275" s="2" t="s">
        <v>274</v>
      </c>
      <c r="I275" s="2" t="s">
        <v>4704</v>
      </c>
      <c r="J275" s="2" t="s">
        <v>4705</v>
      </c>
    </row>
    <row r="276" spans="1:10" ht="43.5" customHeight="1" x14ac:dyDescent="0.5">
      <c r="A276" s="2" t="s">
        <v>1229</v>
      </c>
      <c r="B276" s="2" t="s">
        <v>4979</v>
      </c>
      <c r="C276" s="2">
        <v>1</v>
      </c>
      <c r="D276" s="2" t="s">
        <v>135</v>
      </c>
      <c r="E276" s="2" t="s">
        <v>4703</v>
      </c>
      <c r="F276" s="2" t="s">
        <v>3462</v>
      </c>
      <c r="G276" s="2" t="s">
        <v>3473</v>
      </c>
      <c r="H276" s="2" t="s">
        <v>274</v>
      </c>
      <c r="I276" s="2" t="s">
        <v>4704</v>
      </c>
      <c r="J276" s="2" t="s">
        <v>4705</v>
      </c>
    </row>
    <row r="277" spans="1:10" ht="43.5" customHeight="1" x14ac:dyDescent="0.5">
      <c r="A277" s="2" t="s">
        <v>1231</v>
      </c>
      <c r="B277" s="2" t="s">
        <v>4980</v>
      </c>
      <c r="C277" s="2">
        <v>1</v>
      </c>
      <c r="D277" s="2" t="s">
        <v>135</v>
      </c>
      <c r="E277" s="2" t="s">
        <v>4703</v>
      </c>
      <c r="F277" s="2" t="s">
        <v>3462</v>
      </c>
      <c r="G277" s="2" t="s">
        <v>3473</v>
      </c>
      <c r="H277" s="2" t="s">
        <v>297</v>
      </c>
      <c r="I277" s="2" t="s">
        <v>4704</v>
      </c>
      <c r="J277" s="2" t="s">
        <v>4705</v>
      </c>
    </row>
    <row r="278" spans="1:10" ht="43.5" customHeight="1" x14ac:dyDescent="0.5">
      <c r="A278" s="2" t="s">
        <v>1233</v>
      </c>
      <c r="B278" s="2" t="s">
        <v>4981</v>
      </c>
      <c r="C278" s="2">
        <v>1</v>
      </c>
      <c r="D278" s="2" t="s">
        <v>135</v>
      </c>
      <c r="E278" s="2" t="s">
        <v>4703</v>
      </c>
      <c r="F278" s="2" t="s">
        <v>3462</v>
      </c>
      <c r="G278" s="2" t="s">
        <v>3473</v>
      </c>
      <c r="H278" s="2" t="s">
        <v>297</v>
      </c>
      <c r="I278" s="2" t="s">
        <v>4704</v>
      </c>
      <c r="J278" s="2" t="s">
        <v>4705</v>
      </c>
    </row>
    <row r="279" spans="1:10" ht="43.5" customHeight="1" x14ac:dyDescent="0.5">
      <c r="A279" s="2" t="s">
        <v>1235</v>
      </c>
      <c r="B279" s="2" t="s">
        <v>4982</v>
      </c>
      <c r="C279" s="2">
        <v>1</v>
      </c>
      <c r="D279" s="2" t="s">
        <v>137</v>
      </c>
      <c r="E279" s="2" t="s">
        <v>4703</v>
      </c>
      <c r="F279" s="2" t="s">
        <v>3462</v>
      </c>
      <c r="G279" s="2" t="s">
        <v>3473</v>
      </c>
      <c r="H279" s="2" t="s">
        <v>274</v>
      </c>
      <c r="I279" s="2" t="s">
        <v>4704</v>
      </c>
      <c r="J279" s="2" t="s">
        <v>4705</v>
      </c>
    </row>
    <row r="280" spans="1:10" ht="43.5" customHeight="1" x14ac:dyDescent="0.5">
      <c r="A280" s="2" t="s">
        <v>1240</v>
      </c>
      <c r="B280" s="2" t="s">
        <v>4983</v>
      </c>
      <c r="C280" s="2">
        <v>1</v>
      </c>
      <c r="D280" s="2" t="s">
        <v>137</v>
      </c>
      <c r="E280" s="2" t="s">
        <v>4703</v>
      </c>
      <c r="F280" s="2" t="s">
        <v>3462</v>
      </c>
      <c r="G280" s="2" t="s">
        <v>3473</v>
      </c>
      <c r="H280" s="2" t="s">
        <v>274</v>
      </c>
      <c r="I280" s="2" t="s">
        <v>4704</v>
      </c>
      <c r="J280" s="2" t="s">
        <v>4705</v>
      </c>
    </row>
    <row r="281" spans="1:10" ht="43.5" customHeight="1" x14ac:dyDescent="0.5">
      <c r="A281" s="2" t="s">
        <v>1242</v>
      </c>
      <c r="B281" s="2" t="s">
        <v>4984</v>
      </c>
      <c r="C281" s="2">
        <v>1</v>
      </c>
      <c r="D281" s="2" t="s">
        <v>137</v>
      </c>
      <c r="E281" s="2" t="s">
        <v>4703</v>
      </c>
      <c r="F281" s="2" t="s">
        <v>3462</v>
      </c>
      <c r="G281" s="2" t="s">
        <v>3473</v>
      </c>
      <c r="H281" s="2" t="s">
        <v>297</v>
      </c>
      <c r="I281" s="2" t="s">
        <v>4704</v>
      </c>
      <c r="J281" s="2" t="s">
        <v>4705</v>
      </c>
    </row>
    <row r="282" spans="1:10" ht="43.5" customHeight="1" x14ac:dyDescent="0.5">
      <c r="A282" s="2" t="s">
        <v>1244</v>
      </c>
      <c r="B282" s="2" t="s">
        <v>4985</v>
      </c>
      <c r="C282" s="2">
        <v>1</v>
      </c>
      <c r="D282" s="2" t="s">
        <v>137</v>
      </c>
      <c r="E282" s="2" t="s">
        <v>4703</v>
      </c>
      <c r="F282" s="2" t="s">
        <v>3462</v>
      </c>
      <c r="G282" s="2" t="s">
        <v>3473</v>
      </c>
      <c r="H282" s="2" t="s">
        <v>297</v>
      </c>
      <c r="I282" s="2" t="s">
        <v>4704</v>
      </c>
      <c r="J282" s="2" t="s">
        <v>4705</v>
      </c>
    </row>
    <row r="283" spans="1:10" ht="43.5" customHeight="1" x14ac:dyDescent="0.5">
      <c r="A283" s="2" t="s">
        <v>1246</v>
      </c>
      <c r="B283" s="2" t="s">
        <v>4986</v>
      </c>
      <c r="C283" s="2">
        <v>1</v>
      </c>
      <c r="D283" s="2" t="s">
        <v>140</v>
      </c>
      <c r="E283" s="2" t="s">
        <v>4703</v>
      </c>
      <c r="F283" s="2" t="s">
        <v>3462</v>
      </c>
      <c r="G283" s="2" t="s">
        <v>3473</v>
      </c>
      <c r="H283" s="2" t="s">
        <v>274</v>
      </c>
      <c r="I283" s="2" t="s">
        <v>4704</v>
      </c>
      <c r="J283" s="2" t="s">
        <v>4705</v>
      </c>
    </row>
    <row r="284" spans="1:10" ht="43.5" customHeight="1" x14ac:dyDescent="0.5">
      <c r="A284" s="2" t="s">
        <v>1249</v>
      </c>
      <c r="B284" s="2" t="s">
        <v>4987</v>
      </c>
      <c r="C284" s="2">
        <v>1</v>
      </c>
      <c r="D284" s="2" t="s">
        <v>140</v>
      </c>
      <c r="E284" s="2" t="s">
        <v>4703</v>
      </c>
      <c r="F284" s="2" t="s">
        <v>3462</v>
      </c>
      <c r="G284" s="2" t="s">
        <v>3473</v>
      </c>
      <c r="H284" s="2" t="s">
        <v>274</v>
      </c>
      <c r="I284" s="2" t="s">
        <v>4704</v>
      </c>
      <c r="J284" s="2" t="s">
        <v>4705</v>
      </c>
    </row>
    <row r="285" spans="1:10" ht="43.5" customHeight="1" x14ac:dyDescent="0.5">
      <c r="A285" s="2" t="s">
        <v>1251</v>
      </c>
      <c r="B285" s="2" t="s">
        <v>4988</v>
      </c>
      <c r="C285" s="2">
        <v>1</v>
      </c>
      <c r="D285" s="2" t="s">
        <v>140</v>
      </c>
      <c r="E285" s="2" t="s">
        <v>4703</v>
      </c>
      <c r="F285" s="2" t="s">
        <v>3462</v>
      </c>
      <c r="G285" s="2" t="s">
        <v>3473</v>
      </c>
      <c r="H285" s="2" t="s">
        <v>297</v>
      </c>
      <c r="I285" s="2" t="s">
        <v>4704</v>
      </c>
      <c r="J285" s="2" t="s">
        <v>4705</v>
      </c>
    </row>
    <row r="286" spans="1:10" ht="43.5" customHeight="1" x14ac:dyDescent="0.5">
      <c r="A286" s="2" t="s">
        <v>1253</v>
      </c>
      <c r="B286" s="2" t="s">
        <v>4989</v>
      </c>
      <c r="C286" s="2">
        <v>1</v>
      </c>
      <c r="D286" s="2" t="s">
        <v>140</v>
      </c>
      <c r="E286" s="2" t="s">
        <v>4703</v>
      </c>
      <c r="F286" s="2" t="s">
        <v>3462</v>
      </c>
      <c r="G286" s="2" t="s">
        <v>3473</v>
      </c>
      <c r="H286" s="2" t="s">
        <v>297</v>
      </c>
      <c r="I286" s="2" t="s">
        <v>4704</v>
      </c>
      <c r="J286" s="2" t="s">
        <v>4705</v>
      </c>
    </row>
    <row r="287" spans="1:10" ht="43.5" customHeight="1" x14ac:dyDescent="0.5">
      <c r="A287" s="2" t="s">
        <v>1255</v>
      </c>
      <c r="B287" s="2" t="s">
        <v>4990</v>
      </c>
      <c r="C287" s="2">
        <v>1</v>
      </c>
      <c r="D287" s="2" t="s">
        <v>142</v>
      </c>
      <c r="E287" s="2" t="s">
        <v>4703</v>
      </c>
      <c r="F287" s="2" t="s">
        <v>3462</v>
      </c>
      <c r="G287" s="2" t="s">
        <v>3473</v>
      </c>
      <c r="H287" s="2" t="s">
        <v>274</v>
      </c>
      <c r="I287" s="2" t="s">
        <v>4704</v>
      </c>
      <c r="J287" s="2" t="s">
        <v>4705</v>
      </c>
    </row>
    <row r="288" spans="1:10" ht="43.5" customHeight="1" x14ac:dyDescent="0.5">
      <c r="A288" s="2" t="s">
        <v>1258</v>
      </c>
      <c r="B288" s="2" t="s">
        <v>4991</v>
      </c>
      <c r="C288" s="2">
        <v>1</v>
      </c>
      <c r="D288" s="2" t="s">
        <v>142</v>
      </c>
      <c r="E288" s="2" t="s">
        <v>4703</v>
      </c>
      <c r="F288" s="2" t="s">
        <v>3462</v>
      </c>
      <c r="G288" s="2" t="s">
        <v>3473</v>
      </c>
      <c r="H288" s="2" t="s">
        <v>274</v>
      </c>
      <c r="I288" s="2" t="s">
        <v>4704</v>
      </c>
      <c r="J288" s="2" t="s">
        <v>4705</v>
      </c>
    </row>
    <row r="289" spans="1:10" ht="43.5" customHeight="1" x14ac:dyDescent="0.5">
      <c r="A289" s="2" t="s">
        <v>1260</v>
      </c>
      <c r="B289" s="2" t="s">
        <v>4992</v>
      </c>
      <c r="C289" s="2">
        <v>1</v>
      </c>
      <c r="D289" s="2" t="s">
        <v>142</v>
      </c>
      <c r="E289" s="2" t="s">
        <v>4703</v>
      </c>
      <c r="F289" s="2" t="s">
        <v>3462</v>
      </c>
      <c r="G289" s="2" t="s">
        <v>3473</v>
      </c>
      <c r="H289" s="2" t="s">
        <v>297</v>
      </c>
      <c r="I289" s="2" t="s">
        <v>4704</v>
      </c>
      <c r="J289" s="2" t="s">
        <v>4705</v>
      </c>
    </row>
    <row r="290" spans="1:10" ht="43.5" customHeight="1" x14ac:dyDescent="0.5">
      <c r="A290" s="2" t="s">
        <v>1262</v>
      </c>
      <c r="B290" s="2" t="s">
        <v>4993</v>
      </c>
      <c r="C290" s="2">
        <v>1</v>
      </c>
      <c r="D290" s="2" t="s">
        <v>142</v>
      </c>
      <c r="E290" s="2" t="s">
        <v>4703</v>
      </c>
      <c r="F290" s="2" t="s">
        <v>3462</v>
      </c>
      <c r="G290" s="2" t="s">
        <v>3473</v>
      </c>
      <c r="H290" s="2" t="s">
        <v>297</v>
      </c>
      <c r="I290" s="2" t="s">
        <v>4704</v>
      </c>
      <c r="J290" s="2" t="s">
        <v>4705</v>
      </c>
    </row>
    <row r="291" spans="1:10" ht="43.5" customHeight="1" x14ac:dyDescent="0.5">
      <c r="A291" s="2" t="s">
        <v>1264</v>
      </c>
      <c r="B291" s="2" t="s">
        <v>4994</v>
      </c>
      <c r="C291" s="2">
        <v>1</v>
      </c>
      <c r="D291" s="2" t="s">
        <v>144</v>
      </c>
      <c r="E291" s="2" t="s">
        <v>4703</v>
      </c>
      <c r="F291" s="2" t="s">
        <v>3462</v>
      </c>
      <c r="G291" s="2" t="s">
        <v>3473</v>
      </c>
      <c r="H291" s="2" t="s">
        <v>274</v>
      </c>
      <c r="I291" s="2" t="s">
        <v>4704</v>
      </c>
      <c r="J291" s="2" t="s">
        <v>4705</v>
      </c>
    </row>
    <row r="292" spans="1:10" ht="43.5" customHeight="1" x14ac:dyDescent="0.5">
      <c r="A292" s="2" t="s">
        <v>1268</v>
      </c>
      <c r="B292" s="2" t="s">
        <v>4995</v>
      </c>
      <c r="C292" s="2">
        <v>1</v>
      </c>
      <c r="D292" s="2" t="s">
        <v>144</v>
      </c>
      <c r="E292" s="2" t="s">
        <v>4703</v>
      </c>
      <c r="F292" s="2" t="s">
        <v>3462</v>
      </c>
      <c r="G292" s="2" t="s">
        <v>3473</v>
      </c>
      <c r="H292" s="2" t="s">
        <v>274</v>
      </c>
      <c r="I292" s="2" t="s">
        <v>4704</v>
      </c>
      <c r="J292" s="2" t="s">
        <v>4705</v>
      </c>
    </row>
    <row r="293" spans="1:10" ht="43.5" customHeight="1" x14ac:dyDescent="0.5">
      <c r="A293" s="2" t="s">
        <v>1274</v>
      </c>
      <c r="B293" s="2" t="s">
        <v>4996</v>
      </c>
      <c r="C293" s="2">
        <v>1</v>
      </c>
      <c r="D293" s="2" t="s">
        <v>144</v>
      </c>
      <c r="E293" s="2" t="s">
        <v>4703</v>
      </c>
      <c r="F293" s="2" t="s">
        <v>3462</v>
      </c>
      <c r="G293" s="2" t="s">
        <v>3473</v>
      </c>
      <c r="H293" s="2" t="s">
        <v>274</v>
      </c>
      <c r="I293" s="2" t="s">
        <v>4704</v>
      </c>
      <c r="J293" s="2" t="s">
        <v>4705</v>
      </c>
    </row>
    <row r="294" spans="1:10" ht="43.5" customHeight="1" x14ac:dyDescent="0.5">
      <c r="A294" s="2" t="s">
        <v>1276</v>
      </c>
      <c r="B294" s="2" t="s">
        <v>4997</v>
      </c>
      <c r="C294" s="2">
        <v>1</v>
      </c>
      <c r="D294" s="2" t="s">
        <v>144</v>
      </c>
      <c r="E294" s="2" t="s">
        <v>4703</v>
      </c>
      <c r="F294" s="2" t="s">
        <v>3462</v>
      </c>
      <c r="G294" s="2" t="s">
        <v>3473</v>
      </c>
      <c r="H294" s="2" t="s">
        <v>297</v>
      </c>
      <c r="I294" s="2" t="s">
        <v>4704</v>
      </c>
      <c r="J294" s="2" t="s">
        <v>4705</v>
      </c>
    </row>
    <row r="295" spans="1:10" ht="43.5" customHeight="1" x14ac:dyDescent="0.5">
      <c r="A295" s="2" t="s">
        <v>1280</v>
      </c>
      <c r="B295" s="2" t="s">
        <v>4998</v>
      </c>
      <c r="C295" s="2">
        <v>1</v>
      </c>
      <c r="D295" s="2" t="s">
        <v>144</v>
      </c>
      <c r="E295" s="2" t="s">
        <v>4703</v>
      </c>
      <c r="F295" s="2" t="s">
        <v>3462</v>
      </c>
      <c r="G295" s="2" t="s">
        <v>3473</v>
      </c>
      <c r="H295" s="2" t="s">
        <v>297</v>
      </c>
      <c r="I295" s="2" t="s">
        <v>4704</v>
      </c>
      <c r="J295" s="2" t="s">
        <v>4705</v>
      </c>
    </row>
    <row r="296" spans="1:10" ht="43.5" customHeight="1" x14ac:dyDescent="0.5">
      <c r="A296" s="2" t="s">
        <v>1284</v>
      </c>
      <c r="B296" s="2" t="s">
        <v>4999</v>
      </c>
      <c r="C296" s="2">
        <v>1</v>
      </c>
      <c r="D296" s="2" t="s">
        <v>147</v>
      </c>
      <c r="E296" s="2" t="s">
        <v>4703</v>
      </c>
      <c r="F296" s="2" t="s">
        <v>3462</v>
      </c>
      <c r="G296" s="2" t="s">
        <v>3473</v>
      </c>
      <c r="H296" s="2" t="s">
        <v>274</v>
      </c>
      <c r="I296" s="2" t="s">
        <v>4704</v>
      </c>
      <c r="J296" s="2" t="s">
        <v>4705</v>
      </c>
    </row>
    <row r="297" spans="1:10" ht="43.5" customHeight="1" x14ac:dyDescent="0.5">
      <c r="A297" s="2" t="s">
        <v>1287</v>
      </c>
      <c r="B297" s="2" t="s">
        <v>5000</v>
      </c>
      <c r="C297" s="2">
        <v>1</v>
      </c>
      <c r="D297" s="2" t="s">
        <v>147</v>
      </c>
      <c r="E297" s="2" t="s">
        <v>4703</v>
      </c>
      <c r="F297" s="2" t="s">
        <v>3462</v>
      </c>
      <c r="G297" s="2" t="s">
        <v>3473</v>
      </c>
      <c r="H297" s="2" t="s">
        <v>274</v>
      </c>
      <c r="I297" s="2" t="s">
        <v>4704</v>
      </c>
      <c r="J297" s="2" t="s">
        <v>4705</v>
      </c>
    </row>
    <row r="298" spans="1:10" ht="43.5" customHeight="1" x14ac:dyDescent="0.5">
      <c r="A298" s="2" t="s">
        <v>1289</v>
      </c>
      <c r="B298" s="2" t="s">
        <v>5001</v>
      </c>
      <c r="C298" s="2">
        <v>1</v>
      </c>
      <c r="D298" s="2" t="s">
        <v>147</v>
      </c>
      <c r="E298" s="2" t="s">
        <v>4703</v>
      </c>
      <c r="F298" s="2" t="s">
        <v>3462</v>
      </c>
      <c r="G298" s="2" t="s">
        <v>3473</v>
      </c>
      <c r="H298" s="2" t="s">
        <v>297</v>
      </c>
      <c r="I298" s="2" t="s">
        <v>4704</v>
      </c>
      <c r="J298" s="2" t="s">
        <v>4705</v>
      </c>
    </row>
    <row r="299" spans="1:10" ht="43.5" customHeight="1" x14ac:dyDescent="0.5">
      <c r="A299" s="2" t="s">
        <v>1291</v>
      </c>
      <c r="B299" s="2" t="s">
        <v>5002</v>
      </c>
      <c r="C299" s="2">
        <v>1</v>
      </c>
      <c r="D299" s="2" t="s">
        <v>147</v>
      </c>
      <c r="E299" s="2" t="s">
        <v>4703</v>
      </c>
      <c r="F299" s="2" t="s">
        <v>3462</v>
      </c>
      <c r="G299" s="2" t="s">
        <v>3473</v>
      </c>
      <c r="H299" s="2" t="s">
        <v>297</v>
      </c>
      <c r="I299" s="2" t="s">
        <v>4704</v>
      </c>
      <c r="J299" s="2" t="s">
        <v>4705</v>
      </c>
    </row>
    <row r="300" spans="1:10" ht="43.5" customHeight="1" x14ac:dyDescent="0.5">
      <c r="A300" s="2" t="s">
        <v>1293</v>
      </c>
      <c r="B300" s="2" t="s">
        <v>5003</v>
      </c>
      <c r="C300" s="2">
        <v>1</v>
      </c>
      <c r="D300" s="2" t="s">
        <v>149</v>
      </c>
      <c r="E300" s="2" t="s">
        <v>4703</v>
      </c>
      <c r="F300" s="2" t="s">
        <v>3462</v>
      </c>
      <c r="G300" s="2" t="s">
        <v>3473</v>
      </c>
      <c r="H300" s="2" t="s">
        <v>274</v>
      </c>
      <c r="I300" s="2" t="s">
        <v>4704</v>
      </c>
      <c r="J300" s="2" t="s">
        <v>4705</v>
      </c>
    </row>
    <row r="301" spans="1:10" ht="43.5" customHeight="1" x14ac:dyDescent="0.5">
      <c r="A301" s="2" t="s">
        <v>1296</v>
      </c>
      <c r="B301" s="2" t="s">
        <v>5004</v>
      </c>
      <c r="C301" s="2">
        <v>1</v>
      </c>
      <c r="D301" s="2" t="s">
        <v>149</v>
      </c>
      <c r="E301" s="2" t="s">
        <v>4703</v>
      </c>
      <c r="F301" s="2" t="s">
        <v>3462</v>
      </c>
      <c r="G301" s="2" t="s">
        <v>3473</v>
      </c>
      <c r="H301" s="2" t="s">
        <v>274</v>
      </c>
      <c r="I301" s="2" t="s">
        <v>4704</v>
      </c>
      <c r="J301" s="2" t="s">
        <v>4705</v>
      </c>
    </row>
    <row r="302" spans="1:10" ht="43.5" customHeight="1" x14ac:dyDescent="0.5">
      <c r="A302" s="2" t="s">
        <v>1298</v>
      </c>
      <c r="B302" s="2" t="s">
        <v>5005</v>
      </c>
      <c r="C302" s="2">
        <v>1</v>
      </c>
      <c r="D302" s="2" t="s">
        <v>149</v>
      </c>
      <c r="E302" s="2" t="s">
        <v>4703</v>
      </c>
      <c r="F302" s="2" t="s">
        <v>3462</v>
      </c>
      <c r="G302" s="2" t="s">
        <v>3473</v>
      </c>
      <c r="H302" s="2" t="s">
        <v>297</v>
      </c>
      <c r="I302" s="2" t="s">
        <v>4704</v>
      </c>
      <c r="J302" s="2" t="s">
        <v>4705</v>
      </c>
    </row>
    <row r="303" spans="1:10" ht="43.5" customHeight="1" x14ac:dyDescent="0.5">
      <c r="A303" s="2" t="s">
        <v>1300</v>
      </c>
      <c r="B303" s="2" t="s">
        <v>5006</v>
      </c>
      <c r="C303" s="2">
        <v>1</v>
      </c>
      <c r="D303" s="2" t="s">
        <v>149</v>
      </c>
      <c r="E303" s="2" t="s">
        <v>4703</v>
      </c>
      <c r="F303" s="2" t="s">
        <v>3462</v>
      </c>
      <c r="G303" s="2" t="s">
        <v>3473</v>
      </c>
      <c r="H303" s="2" t="s">
        <v>297</v>
      </c>
      <c r="I303" s="2" t="s">
        <v>4704</v>
      </c>
      <c r="J303" s="2" t="s">
        <v>4705</v>
      </c>
    </row>
    <row r="304" spans="1:10" ht="43.5" customHeight="1" x14ac:dyDescent="0.5">
      <c r="A304" s="2" t="s">
        <v>1302</v>
      </c>
      <c r="B304" s="2" t="s">
        <v>5007</v>
      </c>
      <c r="C304" s="2">
        <v>1</v>
      </c>
      <c r="D304" s="2" t="s">
        <v>121</v>
      </c>
      <c r="E304" s="2" t="s">
        <v>4703</v>
      </c>
      <c r="F304" s="2" t="s">
        <v>3462</v>
      </c>
      <c r="G304" s="2" t="s">
        <v>3473</v>
      </c>
      <c r="H304" s="2" t="s">
        <v>274</v>
      </c>
      <c r="I304" s="2" t="s">
        <v>4704</v>
      </c>
      <c r="J304" s="2" t="s">
        <v>4705</v>
      </c>
    </row>
    <row r="305" spans="1:10" ht="43.5" customHeight="1" x14ac:dyDescent="0.5">
      <c r="A305" s="2" t="s">
        <v>1310</v>
      </c>
      <c r="B305" s="2" t="s">
        <v>5008</v>
      </c>
      <c r="C305" s="2">
        <v>1</v>
      </c>
      <c r="D305" s="2" t="s">
        <v>121</v>
      </c>
      <c r="E305" s="2" t="s">
        <v>4703</v>
      </c>
      <c r="F305" s="2" t="s">
        <v>3462</v>
      </c>
      <c r="G305" s="2" t="s">
        <v>3473</v>
      </c>
      <c r="H305" s="2" t="s">
        <v>297</v>
      </c>
      <c r="I305" s="2" t="s">
        <v>4704</v>
      </c>
      <c r="J305" s="2" t="s">
        <v>4705</v>
      </c>
    </row>
    <row r="306" spans="1:10" ht="43.5" customHeight="1" x14ac:dyDescent="0.5">
      <c r="A306" s="2" t="s">
        <v>1318</v>
      </c>
      <c r="B306" s="2" t="s">
        <v>5009</v>
      </c>
      <c r="C306" s="2">
        <v>1</v>
      </c>
      <c r="D306" s="2" t="s">
        <v>126</v>
      </c>
      <c r="E306" s="2" t="s">
        <v>4703</v>
      </c>
      <c r="F306" s="2" t="s">
        <v>3462</v>
      </c>
      <c r="G306" s="2" t="s">
        <v>3473</v>
      </c>
      <c r="H306" s="2" t="s">
        <v>274</v>
      </c>
      <c r="I306" s="2" t="s">
        <v>4704</v>
      </c>
      <c r="J306" s="2" t="s">
        <v>4705</v>
      </c>
    </row>
    <row r="307" spans="1:10" ht="43.5" customHeight="1" x14ac:dyDescent="0.5">
      <c r="A307" s="2" t="s">
        <v>1324</v>
      </c>
      <c r="B307" s="2" t="s">
        <v>5010</v>
      </c>
      <c r="C307" s="2">
        <v>1</v>
      </c>
      <c r="D307" s="2" t="s">
        <v>126</v>
      </c>
      <c r="E307" s="2" t="s">
        <v>4703</v>
      </c>
      <c r="F307" s="2" t="s">
        <v>3462</v>
      </c>
      <c r="G307" s="2" t="s">
        <v>3473</v>
      </c>
      <c r="H307" s="2" t="s">
        <v>297</v>
      </c>
      <c r="I307" s="2" t="s">
        <v>4704</v>
      </c>
      <c r="J307" s="2" t="s">
        <v>4705</v>
      </c>
    </row>
    <row r="308" spans="1:10" ht="43.5" customHeight="1" x14ac:dyDescent="0.5">
      <c r="A308" s="2" t="s">
        <v>1331</v>
      </c>
      <c r="B308" s="2" t="s">
        <v>5011</v>
      </c>
      <c r="C308" s="2">
        <v>1</v>
      </c>
      <c r="D308" s="2" t="s">
        <v>140</v>
      </c>
      <c r="E308" s="2" t="s">
        <v>4703</v>
      </c>
      <c r="F308" s="2" t="s">
        <v>3462</v>
      </c>
      <c r="G308" s="2" t="s">
        <v>3473</v>
      </c>
      <c r="H308" s="2" t="s">
        <v>274</v>
      </c>
      <c r="I308" s="2" t="s">
        <v>4704</v>
      </c>
      <c r="J308" s="2" t="s">
        <v>4705</v>
      </c>
    </row>
    <row r="309" spans="1:10" ht="43.5" customHeight="1" x14ac:dyDescent="0.5">
      <c r="A309" s="2" t="s">
        <v>1338</v>
      </c>
      <c r="B309" s="2" t="s">
        <v>5012</v>
      </c>
      <c r="C309" s="2">
        <v>1</v>
      </c>
      <c r="D309" s="2" t="s">
        <v>140</v>
      </c>
      <c r="E309" s="2" t="s">
        <v>4703</v>
      </c>
      <c r="F309" s="2" t="s">
        <v>3462</v>
      </c>
      <c r="G309" s="2" t="s">
        <v>3473</v>
      </c>
      <c r="H309" s="2" t="s">
        <v>274</v>
      </c>
      <c r="I309" s="2" t="s">
        <v>4704</v>
      </c>
      <c r="J309" s="2" t="s">
        <v>4705</v>
      </c>
    </row>
    <row r="310" spans="1:10" ht="43.5" customHeight="1" x14ac:dyDescent="0.5">
      <c r="A310" s="2" t="s">
        <v>1344</v>
      </c>
      <c r="B310" s="2" t="s">
        <v>5013</v>
      </c>
      <c r="C310" s="2">
        <v>1</v>
      </c>
      <c r="D310" s="2" t="s">
        <v>140</v>
      </c>
      <c r="E310" s="2" t="s">
        <v>4703</v>
      </c>
      <c r="F310" s="2" t="s">
        <v>3462</v>
      </c>
      <c r="G310" s="2" t="s">
        <v>3473</v>
      </c>
      <c r="H310" s="2" t="s">
        <v>297</v>
      </c>
      <c r="I310" s="2" t="s">
        <v>4704</v>
      </c>
      <c r="J310" s="2" t="s">
        <v>4705</v>
      </c>
    </row>
    <row r="311" spans="1:10" ht="43.5" customHeight="1" x14ac:dyDescent="0.5">
      <c r="A311" s="2" t="s">
        <v>1350</v>
      </c>
      <c r="B311" s="2" t="s">
        <v>5014</v>
      </c>
      <c r="C311" s="2">
        <v>1</v>
      </c>
      <c r="D311" s="2" t="s">
        <v>147</v>
      </c>
      <c r="E311" s="2" t="s">
        <v>4703</v>
      </c>
      <c r="F311" s="2" t="s">
        <v>3462</v>
      </c>
      <c r="G311" s="2" t="s">
        <v>3473</v>
      </c>
      <c r="H311" s="2" t="s">
        <v>274</v>
      </c>
      <c r="I311" s="2" t="s">
        <v>4704</v>
      </c>
      <c r="J311" s="2" t="s">
        <v>4705</v>
      </c>
    </row>
    <row r="312" spans="1:10" ht="43.5" customHeight="1" x14ac:dyDescent="0.5">
      <c r="A312" s="2" t="s">
        <v>1353</v>
      </c>
      <c r="B312" s="2" t="s">
        <v>5015</v>
      </c>
      <c r="C312" s="2">
        <v>1</v>
      </c>
      <c r="D312" s="2" t="s">
        <v>147</v>
      </c>
      <c r="E312" s="2" t="s">
        <v>4703</v>
      </c>
      <c r="F312" s="2" t="s">
        <v>3462</v>
      </c>
      <c r="G312" s="2" t="s">
        <v>3473</v>
      </c>
      <c r="H312" s="2" t="s">
        <v>297</v>
      </c>
      <c r="I312" s="2" t="s">
        <v>4704</v>
      </c>
      <c r="J312" s="2" t="s">
        <v>4705</v>
      </c>
    </row>
    <row r="313" spans="1:10" ht="43.5" customHeight="1" x14ac:dyDescent="0.5">
      <c r="A313" s="2" t="s">
        <v>1356</v>
      </c>
      <c r="B313" s="2" t="s">
        <v>5016</v>
      </c>
      <c r="C313" s="2">
        <v>1</v>
      </c>
      <c r="D313" s="2" t="s">
        <v>149</v>
      </c>
      <c r="E313" s="2" t="s">
        <v>4703</v>
      </c>
      <c r="F313" s="2" t="s">
        <v>3462</v>
      </c>
      <c r="G313" s="2" t="s">
        <v>3473</v>
      </c>
      <c r="H313" s="2" t="s">
        <v>274</v>
      </c>
      <c r="I313" s="2" t="s">
        <v>4704</v>
      </c>
      <c r="J313" s="2" t="s">
        <v>4705</v>
      </c>
    </row>
    <row r="314" spans="1:10" ht="43.5" customHeight="1" x14ac:dyDescent="0.5">
      <c r="A314" s="2" t="s">
        <v>1359</v>
      </c>
      <c r="B314" s="2" t="s">
        <v>5017</v>
      </c>
      <c r="C314" s="2">
        <v>1</v>
      </c>
      <c r="D314" s="2" t="s">
        <v>149</v>
      </c>
      <c r="E314" s="2" t="s">
        <v>4703</v>
      </c>
      <c r="F314" s="2" t="s">
        <v>3462</v>
      </c>
      <c r="G314" s="2" t="s">
        <v>3473</v>
      </c>
      <c r="H314" s="2" t="s">
        <v>297</v>
      </c>
      <c r="I314" s="2" t="s">
        <v>4704</v>
      </c>
      <c r="J314" s="2" t="s">
        <v>4705</v>
      </c>
    </row>
    <row r="315" spans="1:10" ht="43.5" customHeight="1" x14ac:dyDescent="0.5">
      <c r="A315" s="2" t="s">
        <v>1362</v>
      </c>
      <c r="B315" s="2" t="s">
        <v>5018</v>
      </c>
      <c r="C315" s="2">
        <v>1</v>
      </c>
      <c r="D315" s="2" t="s">
        <v>75</v>
      </c>
      <c r="E315" s="2" t="s">
        <v>4703</v>
      </c>
      <c r="F315" s="2" t="s">
        <v>3462</v>
      </c>
      <c r="G315" s="2" t="s">
        <v>3473</v>
      </c>
      <c r="H315" s="2" t="s">
        <v>274</v>
      </c>
      <c r="I315" s="2" t="s">
        <v>4704</v>
      </c>
      <c r="J315" s="2" t="s">
        <v>4705</v>
      </c>
    </row>
    <row r="316" spans="1:10" ht="43.5" customHeight="1" x14ac:dyDescent="0.5">
      <c r="A316" s="2" t="s">
        <v>1371</v>
      </c>
      <c r="B316" s="2" t="s">
        <v>5019</v>
      </c>
      <c r="C316" s="2">
        <v>1</v>
      </c>
      <c r="D316" s="2" t="s">
        <v>81</v>
      </c>
      <c r="E316" s="2" t="s">
        <v>4703</v>
      </c>
      <c r="F316" s="2" t="s">
        <v>3462</v>
      </c>
      <c r="G316" s="2" t="s">
        <v>3473</v>
      </c>
      <c r="H316" s="2" t="s">
        <v>274</v>
      </c>
      <c r="I316" s="2" t="s">
        <v>4704</v>
      </c>
      <c r="J316" s="2" t="s">
        <v>4705</v>
      </c>
    </row>
    <row r="317" spans="1:10" ht="43.5" customHeight="1" x14ac:dyDescent="0.5">
      <c r="A317" s="2" t="s">
        <v>1374</v>
      </c>
      <c r="B317" s="2" t="s">
        <v>5020</v>
      </c>
      <c r="C317" s="2">
        <v>1</v>
      </c>
      <c r="D317" s="2" t="s">
        <v>84</v>
      </c>
      <c r="E317" s="2" t="s">
        <v>4703</v>
      </c>
      <c r="F317" s="2" t="s">
        <v>3462</v>
      </c>
      <c r="G317" s="2" t="s">
        <v>3473</v>
      </c>
      <c r="H317" s="2" t="s">
        <v>274</v>
      </c>
      <c r="I317" s="2" t="s">
        <v>4704</v>
      </c>
      <c r="J317" s="2" t="s">
        <v>4705</v>
      </c>
    </row>
    <row r="318" spans="1:10" ht="43.5" customHeight="1" x14ac:dyDescent="0.5">
      <c r="A318" s="2" t="s">
        <v>1379</v>
      </c>
      <c r="B318" s="2" t="s">
        <v>5021</v>
      </c>
      <c r="C318" s="2">
        <v>1</v>
      </c>
      <c r="D318" s="2" t="s">
        <v>88</v>
      </c>
      <c r="E318" s="2" t="s">
        <v>4703</v>
      </c>
      <c r="F318" s="2" t="s">
        <v>3462</v>
      </c>
      <c r="G318" s="2" t="s">
        <v>3473</v>
      </c>
      <c r="H318" s="2" t="s">
        <v>274</v>
      </c>
      <c r="I318" s="2" t="s">
        <v>4704</v>
      </c>
      <c r="J318" s="2" t="s">
        <v>4705</v>
      </c>
    </row>
    <row r="319" spans="1:10" ht="43.5" customHeight="1" x14ac:dyDescent="0.5">
      <c r="A319" s="2" t="s">
        <v>1384</v>
      </c>
      <c r="B319" s="2" t="s">
        <v>5022</v>
      </c>
      <c r="C319" s="2">
        <v>1</v>
      </c>
      <c r="D319" s="2" t="s">
        <v>90</v>
      </c>
      <c r="E319" s="2" t="s">
        <v>4703</v>
      </c>
      <c r="F319" s="2" t="s">
        <v>3462</v>
      </c>
      <c r="G319" s="2" t="s">
        <v>3473</v>
      </c>
      <c r="H319" s="2" t="s">
        <v>274</v>
      </c>
      <c r="I319" s="2" t="s">
        <v>4704</v>
      </c>
      <c r="J319" s="2" t="s">
        <v>4705</v>
      </c>
    </row>
    <row r="320" spans="1:10" ht="43.5" customHeight="1" x14ac:dyDescent="0.5">
      <c r="A320" s="2" t="s">
        <v>1387</v>
      </c>
      <c r="B320" s="2" t="s">
        <v>5023</v>
      </c>
      <c r="C320" s="2">
        <v>1</v>
      </c>
      <c r="D320" s="2" t="s">
        <v>93</v>
      </c>
      <c r="E320" s="2" t="s">
        <v>4703</v>
      </c>
      <c r="F320" s="2" t="s">
        <v>3462</v>
      </c>
      <c r="G320" s="2" t="s">
        <v>3473</v>
      </c>
      <c r="H320" s="2" t="s">
        <v>274</v>
      </c>
      <c r="I320" s="2" t="s">
        <v>4704</v>
      </c>
      <c r="J320" s="2" t="s">
        <v>4705</v>
      </c>
    </row>
    <row r="321" spans="1:10" ht="43.5" customHeight="1" x14ac:dyDescent="0.5">
      <c r="A321" s="2" t="s">
        <v>1390</v>
      </c>
      <c r="B321" s="2" t="s">
        <v>5024</v>
      </c>
      <c r="C321" s="2">
        <v>1</v>
      </c>
      <c r="D321" s="2" t="s">
        <v>96</v>
      </c>
      <c r="E321" s="2" t="s">
        <v>4703</v>
      </c>
      <c r="F321" s="2" t="s">
        <v>3462</v>
      </c>
      <c r="G321" s="2" t="s">
        <v>3473</v>
      </c>
      <c r="H321" s="2" t="s">
        <v>274</v>
      </c>
      <c r="I321" s="2" t="s">
        <v>4704</v>
      </c>
      <c r="J321" s="2" t="s">
        <v>4705</v>
      </c>
    </row>
    <row r="322" spans="1:10" ht="43.5" customHeight="1" x14ac:dyDescent="0.5">
      <c r="A322" s="2" t="s">
        <v>1393</v>
      </c>
      <c r="B322" s="2" t="s">
        <v>5025</v>
      </c>
      <c r="C322" s="2">
        <v>1</v>
      </c>
      <c r="D322" s="2" t="s">
        <v>99</v>
      </c>
      <c r="E322" s="2" t="s">
        <v>4703</v>
      </c>
      <c r="F322" s="2" t="s">
        <v>3462</v>
      </c>
      <c r="G322" s="2" t="s">
        <v>3473</v>
      </c>
      <c r="H322" s="2" t="s">
        <v>274</v>
      </c>
      <c r="I322" s="2" t="s">
        <v>4704</v>
      </c>
      <c r="J322" s="2" t="s">
        <v>4705</v>
      </c>
    </row>
    <row r="323" spans="1:10" ht="43.5" customHeight="1" x14ac:dyDescent="0.5">
      <c r="A323" s="2" t="s">
        <v>1396</v>
      </c>
      <c r="B323" s="2" t="s">
        <v>5026</v>
      </c>
      <c r="C323" s="2">
        <v>1</v>
      </c>
      <c r="D323" s="2" t="s">
        <v>102</v>
      </c>
      <c r="E323" s="2" t="s">
        <v>4703</v>
      </c>
      <c r="F323" s="2" t="s">
        <v>3462</v>
      </c>
      <c r="G323" s="2" t="s">
        <v>3473</v>
      </c>
      <c r="H323" s="2" t="s">
        <v>274</v>
      </c>
      <c r="I323" s="2" t="s">
        <v>4704</v>
      </c>
      <c r="J323" s="2" t="s">
        <v>4705</v>
      </c>
    </row>
    <row r="324" spans="1:10" ht="43.5" customHeight="1" x14ac:dyDescent="0.5">
      <c r="A324" s="2" t="s">
        <v>1399</v>
      </c>
      <c r="B324" s="2" t="s">
        <v>5027</v>
      </c>
      <c r="C324" s="2">
        <v>1</v>
      </c>
      <c r="D324" s="2" t="s">
        <v>105</v>
      </c>
      <c r="E324" s="2" t="s">
        <v>4703</v>
      </c>
      <c r="F324" s="2" t="s">
        <v>3462</v>
      </c>
      <c r="G324" s="2" t="s">
        <v>3473</v>
      </c>
      <c r="H324" s="2" t="s">
        <v>274</v>
      </c>
      <c r="I324" s="2" t="s">
        <v>4704</v>
      </c>
      <c r="J324" s="2" t="s">
        <v>4705</v>
      </c>
    </row>
    <row r="325" spans="1:10" ht="43.5" customHeight="1" x14ac:dyDescent="0.5">
      <c r="A325" s="2" t="s">
        <v>1404</v>
      </c>
      <c r="B325" s="2" t="s">
        <v>5028</v>
      </c>
      <c r="C325" s="2">
        <v>1</v>
      </c>
      <c r="D325" s="2" t="s">
        <v>108</v>
      </c>
      <c r="E325" s="2" t="s">
        <v>4703</v>
      </c>
      <c r="F325" s="2" t="s">
        <v>3462</v>
      </c>
      <c r="G325" s="2" t="s">
        <v>3473</v>
      </c>
      <c r="H325" s="2" t="s">
        <v>274</v>
      </c>
      <c r="I325" s="2" t="s">
        <v>4704</v>
      </c>
      <c r="J325" s="2" t="s">
        <v>4705</v>
      </c>
    </row>
    <row r="326" spans="1:10" ht="43.5" customHeight="1" x14ac:dyDescent="0.5">
      <c r="A326" s="2" t="s">
        <v>1407</v>
      </c>
      <c r="B326" s="2" t="s">
        <v>5029</v>
      </c>
      <c r="C326" s="2">
        <v>1</v>
      </c>
      <c r="D326" s="2" t="s">
        <v>111</v>
      </c>
      <c r="E326" s="2" t="s">
        <v>4703</v>
      </c>
      <c r="F326" s="2" t="s">
        <v>3462</v>
      </c>
      <c r="G326" s="2" t="s">
        <v>3473</v>
      </c>
      <c r="H326" s="2" t="s">
        <v>274</v>
      </c>
      <c r="I326" s="2" t="s">
        <v>4704</v>
      </c>
      <c r="J326" s="2" t="s">
        <v>4705</v>
      </c>
    </row>
    <row r="327" spans="1:10" ht="43.5" customHeight="1" x14ac:dyDescent="0.5">
      <c r="A327" s="2" t="s">
        <v>1410</v>
      </c>
      <c r="B327" s="2" t="s">
        <v>5030</v>
      </c>
      <c r="C327" s="2">
        <v>1</v>
      </c>
      <c r="D327" s="2" t="s">
        <v>114</v>
      </c>
      <c r="E327" s="2" t="s">
        <v>4703</v>
      </c>
      <c r="F327" s="2" t="s">
        <v>3462</v>
      </c>
      <c r="G327" s="2" t="s">
        <v>3473</v>
      </c>
      <c r="H327" s="2" t="s">
        <v>274</v>
      </c>
      <c r="I327" s="2" t="s">
        <v>4704</v>
      </c>
      <c r="J327" s="2" t="s">
        <v>4705</v>
      </c>
    </row>
    <row r="328" spans="1:10" ht="43.5" customHeight="1" x14ac:dyDescent="0.5">
      <c r="A328" s="2" t="s">
        <v>1415</v>
      </c>
      <c r="B328" s="2" t="s">
        <v>5031</v>
      </c>
      <c r="C328" s="2">
        <v>1</v>
      </c>
      <c r="D328" s="2" t="s">
        <v>117</v>
      </c>
      <c r="E328" s="2" t="s">
        <v>4703</v>
      </c>
      <c r="F328" s="2" t="s">
        <v>3462</v>
      </c>
      <c r="G328" s="2" t="s">
        <v>3473</v>
      </c>
      <c r="H328" s="2" t="s">
        <v>274</v>
      </c>
      <c r="I328" s="2" t="s">
        <v>4704</v>
      </c>
      <c r="J328" s="2" t="s">
        <v>4705</v>
      </c>
    </row>
    <row r="329" spans="1:10" ht="43.5" customHeight="1" x14ac:dyDescent="0.5">
      <c r="A329" s="2" t="s">
        <v>1420</v>
      </c>
      <c r="B329" s="2" t="s">
        <v>5032</v>
      </c>
      <c r="C329" s="2">
        <v>1</v>
      </c>
      <c r="D329" s="2" t="s">
        <v>121</v>
      </c>
      <c r="E329" s="2" t="s">
        <v>4703</v>
      </c>
      <c r="F329" s="2" t="s">
        <v>3462</v>
      </c>
      <c r="G329" s="2" t="s">
        <v>3473</v>
      </c>
      <c r="H329" s="2" t="s">
        <v>274</v>
      </c>
      <c r="I329" s="2" t="s">
        <v>4704</v>
      </c>
      <c r="J329" s="2" t="s">
        <v>4705</v>
      </c>
    </row>
    <row r="330" spans="1:10" ht="43.5" customHeight="1" x14ac:dyDescent="0.5">
      <c r="A330" s="2" t="s">
        <v>1425</v>
      </c>
      <c r="B330" s="2" t="s">
        <v>5033</v>
      </c>
      <c r="C330" s="2">
        <v>1</v>
      </c>
      <c r="D330" s="2" t="s">
        <v>126</v>
      </c>
      <c r="E330" s="2" t="s">
        <v>4703</v>
      </c>
      <c r="F330" s="2" t="s">
        <v>3462</v>
      </c>
      <c r="G330" s="2" t="s">
        <v>3473</v>
      </c>
      <c r="H330" s="2" t="s">
        <v>274</v>
      </c>
      <c r="I330" s="2" t="s">
        <v>4704</v>
      </c>
      <c r="J330" s="2" t="s">
        <v>4705</v>
      </c>
    </row>
    <row r="331" spans="1:10" ht="43.5" customHeight="1" x14ac:dyDescent="0.5">
      <c r="A331" s="2" t="s">
        <v>1431</v>
      </c>
      <c r="B331" s="2" t="s">
        <v>5034</v>
      </c>
      <c r="C331" s="2">
        <v>1</v>
      </c>
      <c r="D331" s="2" t="s">
        <v>129</v>
      </c>
      <c r="E331" s="2" t="s">
        <v>4703</v>
      </c>
      <c r="F331" s="2" t="s">
        <v>3462</v>
      </c>
      <c r="G331" s="2" t="s">
        <v>3473</v>
      </c>
      <c r="H331" s="2" t="s">
        <v>274</v>
      </c>
      <c r="I331" s="2" t="s">
        <v>4704</v>
      </c>
      <c r="J331" s="2" t="s">
        <v>4705</v>
      </c>
    </row>
    <row r="332" spans="1:10" ht="43.5" customHeight="1" x14ac:dyDescent="0.5">
      <c r="A332" s="2" t="s">
        <v>1434</v>
      </c>
      <c r="B332" s="2" t="s">
        <v>5035</v>
      </c>
      <c r="C332" s="2">
        <v>1</v>
      </c>
      <c r="D332" s="2" t="s">
        <v>131</v>
      </c>
      <c r="E332" s="2" t="s">
        <v>4703</v>
      </c>
      <c r="F332" s="2" t="s">
        <v>3462</v>
      </c>
      <c r="G332" s="2" t="s">
        <v>3473</v>
      </c>
      <c r="H332" s="2" t="s">
        <v>274</v>
      </c>
      <c r="I332" s="2" t="s">
        <v>4704</v>
      </c>
      <c r="J332" s="2" t="s">
        <v>4705</v>
      </c>
    </row>
    <row r="333" spans="1:10" ht="43.5" customHeight="1" x14ac:dyDescent="0.5">
      <c r="A333" s="2" t="s">
        <v>1437</v>
      </c>
      <c r="B333" s="2" t="s">
        <v>5036</v>
      </c>
      <c r="C333" s="2">
        <v>1</v>
      </c>
      <c r="D333" s="2" t="s">
        <v>135</v>
      </c>
      <c r="E333" s="2" t="s">
        <v>4703</v>
      </c>
      <c r="F333" s="2" t="s">
        <v>3462</v>
      </c>
      <c r="G333" s="2" t="s">
        <v>3473</v>
      </c>
      <c r="H333" s="2" t="s">
        <v>274</v>
      </c>
      <c r="I333" s="2" t="s">
        <v>4704</v>
      </c>
      <c r="J333" s="2" t="s">
        <v>4705</v>
      </c>
    </row>
    <row r="334" spans="1:10" ht="43.5" customHeight="1" x14ac:dyDescent="0.5">
      <c r="A334" s="2" t="s">
        <v>1440</v>
      </c>
      <c r="B334" s="2" t="s">
        <v>5037</v>
      </c>
      <c r="C334" s="2">
        <v>1</v>
      </c>
      <c r="D334" s="2" t="s">
        <v>137</v>
      </c>
      <c r="E334" s="2" t="s">
        <v>4703</v>
      </c>
      <c r="F334" s="2" t="s">
        <v>3462</v>
      </c>
      <c r="G334" s="2" t="s">
        <v>3473</v>
      </c>
      <c r="H334" s="2" t="s">
        <v>274</v>
      </c>
      <c r="I334" s="2" t="s">
        <v>4704</v>
      </c>
      <c r="J334" s="2" t="s">
        <v>4705</v>
      </c>
    </row>
    <row r="335" spans="1:10" ht="43.5" customHeight="1" x14ac:dyDescent="0.5">
      <c r="A335" s="2" t="s">
        <v>1443</v>
      </c>
      <c r="B335" s="2" t="s">
        <v>5038</v>
      </c>
      <c r="C335" s="2">
        <v>1</v>
      </c>
      <c r="D335" s="2" t="s">
        <v>140</v>
      </c>
      <c r="E335" s="2" t="s">
        <v>4703</v>
      </c>
      <c r="F335" s="2" t="s">
        <v>3462</v>
      </c>
      <c r="G335" s="2" t="s">
        <v>3473</v>
      </c>
      <c r="H335" s="2" t="s">
        <v>274</v>
      </c>
      <c r="I335" s="2" t="s">
        <v>4704</v>
      </c>
      <c r="J335" s="2" t="s">
        <v>4705</v>
      </c>
    </row>
    <row r="336" spans="1:10" ht="43.5" customHeight="1" x14ac:dyDescent="0.5">
      <c r="A336" s="2" t="s">
        <v>1446</v>
      </c>
      <c r="B336" s="2" t="s">
        <v>5039</v>
      </c>
      <c r="C336" s="2">
        <v>1</v>
      </c>
      <c r="D336" s="2" t="s">
        <v>142</v>
      </c>
      <c r="E336" s="2" t="s">
        <v>4703</v>
      </c>
      <c r="F336" s="2" t="s">
        <v>3462</v>
      </c>
      <c r="G336" s="2" t="s">
        <v>3473</v>
      </c>
      <c r="H336" s="2" t="s">
        <v>274</v>
      </c>
      <c r="I336" s="2" t="s">
        <v>4704</v>
      </c>
      <c r="J336" s="2" t="s">
        <v>4705</v>
      </c>
    </row>
    <row r="337" spans="1:10" ht="43.5" customHeight="1" x14ac:dyDescent="0.5">
      <c r="A337" s="2" t="s">
        <v>1449</v>
      </c>
      <c r="B337" s="2" t="s">
        <v>5040</v>
      </c>
      <c r="C337" s="2">
        <v>1</v>
      </c>
      <c r="D337" s="2" t="s">
        <v>144</v>
      </c>
      <c r="E337" s="2" t="s">
        <v>4703</v>
      </c>
      <c r="F337" s="2" t="s">
        <v>3462</v>
      </c>
      <c r="G337" s="2" t="s">
        <v>3473</v>
      </c>
      <c r="H337" s="2" t="s">
        <v>274</v>
      </c>
      <c r="I337" s="2" t="s">
        <v>4704</v>
      </c>
      <c r="J337" s="2" t="s">
        <v>4705</v>
      </c>
    </row>
    <row r="338" spans="1:10" ht="43.5" customHeight="1" x14ac:dyDescent="0.5">
      <c r="A338" s="2" t="s">
        <v>1455</v>
      </c>
      <c r="B338" s="2" t="s">
        <v>5041</v>
      </c>
      <c r="C338" s="2">
        <v>1</v>
      </c>
      <c r="D338" s="2" t="s">
        <v>147</v>
      </c>
      <c r="E338" s="2" t="s">
        <v>4703</v>
      </c>
      <c r="F338" s="2" t="s">
        <v>3462</v>
      </c>
      <c r="G338" s="2" t="s">
        <v>3473</v>
      </c>
      <c r="H338" s="2" t="s">
        <v>274</v>
      </c>
      <c r="I338" s="2" t="s">
        <v>4704</v>
      </c>
      <c r="J338" s="2" t="s">
        <v>4705</v>
      </c>
    </row>
    <row r="339" spans="1:10" ht="43.5" customHeight="1" x14ac:dyDescent="0.5">
      <c r="A339" s="2" t="s">
        <v>1458</v>
      </c>
      <c r="B339" s="2" t="s">
        <v>5042</v>
      </c>
      <c r="C339" s="2">
        <v>1</v>
      </c>
      <c r="D339" s="2" t="s">
        <v>149</v>
      </c>
      <c r="E339" s="2" t="s">
        <v>4703</v>
      </c>
      <c r="F339" s="2" t="s">
        <v>3462</v>
      </c>
      <c r="G339" s="2" t="s">
        <v>3473</v>
      </c>
      <c r="H339" s="2" t="s">
        <v>274</v>
      </c>
      <c r="I339" s="2" t="s">
        <v>4704</v>
      </c>
      <c r="J339" s="2" t="s">
        <v>4705</v>
      </c>
    </row>
    <row r="340" spans="1:10" ht="43.5" customHeight="1" x14ac:dyDescent="0.5">
      <c r="A340" s="2" t="s">
        <v>1461</v>
      </c>
      <c r="B340" s="2" t="s">
        <v>5043</v>
      </c>
      <c r="C340" s="2">
        <v>1</v>
      </c>
      <c r="D340" s="2" t="s">
        <v>131</v>
      </c>
      <c r="E340" s="2" t="s">
        <v>4703</v>
      </c>
      <c r="F340" s="2" t="s">
        <v>3462</v>
      </c>
      <c r="G340" s="2" t="s">
        <v>3473</v>
      </c>
      <c r="H340" s="2" t="s">
        <v>274</v>
      </c>
      <c r="I340" s="2" t="s">
        <v>4704</v>
      </c>
      <c r="J340" s="2" t="s">
        <v>4705</v>
      </c>
    </row>
    <row r="341" spans="1:10" ht="43.5" customHeight="1" x14ac:dyDescent="0.5">
      <c r="A341" s="2" t="s">
        <v>1469</v>
      </c>
      <c r="B341" s="2" t="s">
        <v>5044</v>
      </c>
      <c r="C341" s="2">
        <v>1</v>
      </c>
      <c r="D341" s="2" t="s">
        <v>131</v>
      </c>
      <c r="E341" s="2" t="s">
        <v>4703</v>
      </c>
      <c r="F341" s="2" t="s">
        <v>3462</v>
      </c>
      <c r="G341" s="2" t="s">
        <v>3473</v>
      </c>
      <c r="H341" s="2" t="s">
        <v>297</v>
      </c>
      <c r="I341" s="2" t="s">
        <v>4704</v>
      </c>
      <c r="J341" s="2" t="s">
        <v>4705</v>
      </c>
    </row>
    <row r="342" spans="1:10" ht="43.5" customHeight="1" x14ac:dyDescent="0.5">
      <c r="A342" s="2" t="s">
        <v>1477</v>
      </c>
      <c r="B342" s="2" t="s">
        <v>5045</v>
      </c>
      <c r="C342" s="2">
        <v>1</v>
      </c>
      <c r="D342" s="2" t="s">
        <v>131</v>
      </c>
      <c r="E342" s="2" t="s">
        <v>4703</v>
      </c>
      <c r="F342" s="2" t="s">
        <v>3462</v>
      </c>
      <c r="G342" s="2" t="s">
        <v>3473</v>
      </c>
      <c r="H342" s="2" t="s">
        <v>297</v>
      </c>
      <c r="I342" s="2" t="s">
        <v>4704</v>
      </c>
      <c r="J342" s="2" t="s">
        <v>4705</v>
      </c>
    </row>
    <row r="343" spans="1:10" ht="43.5" customHeight="1" x14ac:dyDescent="0.5">
      <c r="A343" s="2" t="s">
        <v>1485</v>
      </c>
      <c r="B343" s="2" t="s">
        <v>5046</v>
      </c>
      <c r="C343" s="2">
        <v>1</v>
      </c>
      <c r="D343" s="2" t="s">
        <v>131</v>
      </c>
      <c r="E343" s="2" t="s">
        <v>4703</v>
      </c>
      <c r="F343" s="2" t="s">
        <v>3462</v>
      </c>
      <c r="G343" s="2" t="s">
        <v>3473</v>
      </c>
      <c r="H343" s="2" t="s">
        <v>297</v>
      </c>
      <c r="I343" s="2" t="s">
        <v>4704</v>
      </c>
      <c r="J343" s="2" t="s">
        <v>4705</v>
      </c>
    </row>
    <row r="344" spans="1:10" ht="43.5" customHeight="1" x14ac:dyDescent="0.5">
      <c r="A344" s="2" t="s">
        <v>1493</v>
      </c>
      <c r="B344" s="2" t="s">
        <v>5047</v>
      </c>
      <c r="C344" s="2">
        <v>1</v>
      </c>
      <c r="D344" s="2" t="s">
        <v>131</v>
      </c>
      <c r="E344" s="2" t="s">
        <v>4703</v>
      </c>
      <c r="F344" s="2" t="s">
        <v>3462</v>
      </c>
      <c r="G344" s="2" t="s">
        <v>3473</v>
      </c>
      <c r="H344" s="2" t="s">
        <v>297</v>
      </c>
      <c r="I344" s="2" t="s">
        <v>4704</v>
      </c>
      <c r="J344" s="2" t="s">
        <v>4705</v>
      </c>
    </row>
    <row r="345" spans="1:10" ht="43.5" customHeight="1" x14ac:dyDescent="0.5">
      <c r="A345" s="2" t="s">
        <v>1502</v>
      </c>
      <c r="B345" s="2" t="s">
        <v>5048</v>
      </c>
      <c r="C345" s="2">
        <v>1</v>
      </c>
      <c r="D345" s="2" t="s">
        <v>131</v>
      </c>
      <c r="E345" s="2" t="s">
        <v>4703</v>
      </c>
      <c r="F345" s="2" t="s">
        <v>3462</v>
      </c>
      <c r="G345" s="2" t="s">
        <v>3473</v>
      </c>
      <c r="H345" s="2" t="s">
        <v>297</v>
      </c>
      <c r="I345" s="2" t="s">
        <v>4704</v>
      </c>
      <c r="J345" s="2" t="s">
        <v>4705</v>
      </c>
    </row>
    <row r="346" spans="1:10" ht="43.5" customHeight="1" x14ac:dyDescent="0.5">
      <c r="A346" s="2" t="s">
        <v>1510</v>
      </c>
      <c r="B346" s="2" t="s">
        <v>5049</v>
      </c>
      <c r="C346" s="2">
        <v>1</v>
      </c>
      <c r="D346" s="2" t="s">
        <v>131</v>
      </c>
      <c r="E346" s="2" t="s">
        <v>4703</v>
      </c>
      <c r="F346" s="2" t="s">
        <v>3462</v>
      </c>
      <c r="G346" s="2" t="s">
        <v>3473</v>
      </c>
      <c r="H346" s="2" t="s">
        <v>274</v>
      </c>
      <c r="I346" s="2" t="s">
        <v>4704</v>
      </c>
      <c r="J346" s="2" t="s">
        <v>4705</v>
      </c>
    </row>
    <row r="347" spans="1:10" ht="43.5" customHeight="1" x14ac:dyDescent="0.5">
      <c r="A347" s="2" t="s">
        <v>1517</v>
      </c>
      <c r="B347" s="2" t="s">
        <v>5050</v>
      </c>
      <c r="C347" s="2">
        <v>1</v>
      </c>
      <c r="D347" s="2" t="s">
        <v>140</v>
      </c>
      <c r="E347" s="2" t="s">
        <v>4703</v>
      </c>
      <c r="F347" s="2" t="s">
        <v>3462</v>
      </c>
      <c r="G347" s="2" t="s">
        <v>3473</v>
      </c>
      <c r="H347" s="2" t="s">
        <v>297</v>
      </c>
      <c r="I347" s="2" t="s">
        <v>4704</v>
      </c>
      <c r="J347" s="2" t="s">
        <v>4705</v>
      </c>
    </row>
    <row r="348" spans="1:10" ht="43.5" customHeight="1" x14ac:dyDescent="0.5">
      <c r="A348" s="2" t="s">
        <v>1526</v>
      </c>
      <c r="B348" s="2" t="s">
        <v>5051</v>
      </c>
      <c r="C348" s="2">
        <v>1</v>
      </c>
      <c r="D348" s="2" t="s">
        <v>140</v>
      </c>
      <c r="E348" s="2" t="s">
        <v>4703</v>
      </c>
      <c r="F348" s="2" t="s">
        <v>3462</v>
      </c>
      <c r="G348" s="2" t="s">
        <v>3473</v>
      </c>
      <c r="H348" s="2" t="s">
        <v>297</v>
      </c>
      <c r="I348" s="2" t="s">
        <v>4704</v>
      </c>
      <c r="J348" s="2" t="s">
        <v>4705</v>
      </c>
    </row>
    <row r="349" spans="1:10" ht="43.5" customHeight="1" x14ac:dyDescent="0.5">
      <c r="A349" s="2" t="s">
        <v>1533</v>
      </c>
      <c r="B349" s="2" t="s">
        <v>5052</v>
      </c>
      <c r="C349" s="2">
        <v>1</v>
      </c>
      <c r="D349" s="2" t="s">
        <v>140</v>
      </c>
      <c r="E349" s="2" t="s">
        <v>4703</v>
      </c>
      <c r="F349" s="2" t="s">
        <v>3462</v>
      </c>
      <c r="G349" s="2" t="s">
        <v>3473</v>
      </c>
      <c r="H349" s="2" t="s">
        <v>274</v>
      </c>
      <c r="I349" s="2" t="s">
        <v>4704</v>
      </c>
      <c r="J349" s="2" t="s">
        <v>4705</v>
      </c>
    </row>
    <row r="350" spans="1:10" ht="43.5" customHeight="1" x14ac:dyDescent="0.5">
      <c r="A350" s="2" t="s">
        <v>1538</v>
      </c>
      <c r="B350" s="2" t="s">
        <v>5053</v>
      </c>
      <c r="C350" s="2">
        <v>1</v>
      </c>
      <c r="D350" s="2" t="s">
        <v>140</v>
      </c>
      <c r="E350" s="2" t="s">
        <v>4703</v>
      </c>
      <c r="F350" s="2" t="s">
        <v>3462</v>
      </c>
      <c r="G350" s="2" t="s">
        <v>3473</v>
      </c>
      <c r="H350" s="2" t="s">
        <v>274</v>
      </c>
      <c r="I350" s="2" t="s">
        <v>4704</v>
      </c>
      <c r="J350" s="2" t="s">
        <v>4705</v>
      </c>
    </row>
    <row r="351" spans="1:10" ht="43.5" customHeight="1" x14ac:dyDescent="0.5">
      <c r="A351" s="2" t="s">
        <v>1542</v>
      </c>
      <c r="B351" s="2" t="s">
        <v>5054</v>
      </c>
      <c r="C351" s="2">
        <v>1</v>
      </c>
      <c r="D351" s="2" t="s">
        <v>142</v>
      </c>
      <c r="E351" s="2" t="s">
        <v>4703</v>
      </c>
      <c r="F351" s="2" t="s">
        <v>3462</v>
      </c>
      <c r="G351" s="2" t="s">
        <v>3473</v>
      </c>
      <c r="H351" s="2" t="s">
        <v>274</v>
      </c>
      <c r="I351" s="2" t="s">
        <v>4704</v>
      </c>
      <c r="J351" s="2" t="s">
        <v>4705</v>
      </c>
    </row>
    <row r="352" spans="1:10" ht="43.5" customHeight="1" x14ac:dyDescent="0.5">
      <c r="A352" s="2" t="s">
        <v>1550</v>
      </c>
      <c r="B352" s="2" t="s">
        <v>5055</v>
      </c>
      <c r="C352" s="2">
        <v>1</v>
      </c>
      <c r="D352" s="2" t="s">
        <v>142</v>
      </c>
      <c r="E352" s="2" t="s">
        <v>4703</v>
      </c>
      <c r="F352" s="2" t="s">
        <v>3462</v>
      </c>
      <c r="G352" s="2" t="s">
        <v>3473</v>
      </c>
      <c r="H352" s="2" t="s">
        <v>297</v>
      </c>
      <c r="I352" s="2" t="s">
        <v>4704</v>
      </c>
      <c r="J352" s="2" t="s">
        <v>4705</v>
      </c>
    </row>
    <row r="353" spans="1:10" ht="43.5" customHeight="1" x14ac:dyDescent="0.5">
      <c r="A353" s="2" t="s">
        <v>1557</v>
      </c>
      <c r="B353" s="2" t="s">
        <v>5056</v>
      </c>
      <c r="C353" s="2">
        <v>1</v>
      </c>
      <c r="D353" s="2" t="s">
        <v>142</v>
      </c>
      <c r="E353" s="2" t="s">
        <v>4703</v>
      </c>
      <c r="F353" s="2" t="s">
        <v>3462</v>
      </c>
      <c r="G353" s="2" t="s">
        <v>3473</v>
      </c>
      <c r="H353" s="2" t="s">
        <v>274</v>
      </c>
      <c r="I353" s="2" t="s">
        <v>4704</v>
      </c>
      <c r="J353" s="2" t="s">
        <v>4705</v>
      </c>
    </row>
    <row r="354" spans="1:10" ht="43.5" customHeight="1" x14ac:dyDescent="0.5">
      <c r="A354" s="2" t="s">
        <v>1565</v>
      </c>
      <c r="B354" s="2" t="s">
        <v>5057</v>
      </c>
      <c r="C354" s="2">
        <v>1</v>
      </c>
      <c r="D354" s="2" t="s">
        <v>142</v>
      </c>
      <c r="E354" s="2" t="s">
        <v>4703</v>
      </c>
      <c r="F354" s="2" t="s">
        <v>3462</v>
      </c>
      <c r="G354" s="2" t="s">
        <v>3473</v>
      </c>
      <c r="H354" s="2" t="s">
        <v>297</v>
      </c>
      <c r="I354" s="2" t="s">
        <v>4704</v>
      </c>
      <c r="J354" s="2" t="s">
        <v>4705</v>
      </c>
    </row>
    <row r="355" spans="1:10" ht="43.5" customHeight="1" x14ac:dyDescent="0.5">
      <c r="A355" s="2" t="s">
        <v>1571</v>
      </c>
      <c r="B355" s="2" t="s">
        <v>5058</v>
      </c>
      <c r="C355" s="2">
        <v>1</v>
      </c>
      <c r="D355" s="2" t="s">
        <v>142</v>
      </c>
      <c r="E355" s="2" t="s">
        <v>4703</v>
      </c>
      <c r="F355" s="2" t="s">
        <v>3462</v>
      </c>
      <c r="G355" s="2" t="s">
        <v>3473</v>
      </c>
      <c r="H355" s="2" t="s">
        <v>297</v>
      </c>
      <c r="I355" s="2" t="s">
        <v>4704</v>
      </c>
      <c r="J355" s="2" t="s">
        <v>4705</v>
      </c>
    </row>
    <row r="356" spans="1:10" ht="43.5" customHeight="1" x14ac:dyDescent="0.5">
      <c r="A356" s="2" t="s">
        <v>1578</v>
      </c>
      <c r="B356" s="2" t="s">
        <v>5059</v>
      </c>
      <c r="C356" s="2">
        <v>1</v>
      </c>
      <c r="D356" s="2" t="s">
        <v>142</v>
      </c>
      <c r="E356" s="2" t="s">
        <v>4703</v>
      </c>
      <c r="F356" s="2" t="s">
        <v>3462</v>
      </c>
      <c r="G356" s="2" t="s">
        <v>3473</v>
      </c>
      <c r="H356" s="2" t="s">
        <v>297</v>
      </c>
      <c r="I356" s="2" t="s">
        <v>4704</v>
      </c>
      <c r="J356" s="2" t="s">
        <v>4705</v>
      </c>
    </row>
    <row r="357" spans="1:10" ht="43.5" customHeight="1" x14ac:dyDescent="0.5">
      <c r="A357" s="2" t="s">
        <v>1584</v>
      </c>
      <c r="B357" s="2" t="s">
        <v>5060</v>
      </c>
      <c r="C357" s="2">
        <v>1</v>
      </c>
      <c r="D357" s="2" t="s">
        <v>142</v>
      </c>
      <c r="E357" s="2" t="s">
        <v>4703</v>
      </c>
      <c r="F357" s="2" t="s">
        <v>3462</v>
      </c>
      <c r="G357" s="2" t="s">
        <v>3473</v>
      </c>
      <c r="H357" s="2" t="s">
        <v>274</v>
      </c>
      <c r="I357" s="2" t="s">
        <v>4704</v>
      </c>
      <c r="J357" s="2" t="s">
        <v>4705</v>
      </c>
    </row>
    <row r="358" spans="1:10" ht="43.5" customHeight="1" x14ac:dyDescent="0.5">
      <c r="A358" s="2" t="s">
        <v>1607</v>
      </c>
      <c r="B358" s="2" t="s">
        <v>5061</v>
      </c>
      <c r="C358" s="2">
        <v>1</v>
      </c>
      <c r="D358" s="2" t="s">
        <v>131</v>
      </c>
      <c r="E358" s="2" t="s">
        <v>4703</v>
      </c>
      <c r="F358" s="2" t="s">
        <v>3462</v>
      </c>
      <c r="G358" s="2" t="s">
        <v>3473</v>
      </c>
      <c r="H358" s="2" t="s">
        <v>274</v>
      </c>
      <c r="I358" s="2" t="s">
        <v>4704</v>
      </c>
      <c r="J358" s="2" t="s">
        <v>4705</v>
      </c>
    </row>
    <row r="359" spans="1:10" ht="43.5" customHeight="1" x14ac:dyDescent="0.5">
      <c r="A359" s="2" t="s">
        <v>1618</v>
      </c>
      <c r="B359" s="2" t="s">
        <v>5062</v>
      </c>
      <c r="C359" s="2">
        <v>1</v>
      </c>
      <c r="D359" s="2" t="s">
        <v>131</v>
      </c>
      <c r="E359" s="2" t="s">
        <v>4703</v>
      </c>
      <c r="F359" s="2" t="s">
        <v>3462</v>
      </c>
      <c r="G359" s="2" t="s">
        <v>3473</v>
      </c>
      <c r="H359" s="2" t="s">
        <v>297</v>
      </c>
      <c r="I359" s="2" t="s">
        <v>4704</v>
      </c>
      <c r="J359" s="2" t="s">
        <v>4705</v>
      </c>
    </row>
    <row r="360" spans="1:10" ht="43.5" customHeight="1" x14ac:dyDescent="0.5">
      <c r="A360" s="2" t="s">
        <v>1628</v>
      </c>
      <c r="B360" s="2" t="s">
        <v>5063</v>
      </c>
      <c r="C360" s="2">
        <v>1</v>
      </c>
      <c r="D360" s="2" t="s">
        <v>140</v>
      </c>
      <c r="E360" s="2" t="s">
        <v>4703</v>
      </c>
      <c r="F360" s="2" t="s">
        <v>3462</v>
      </c>
      <c r="G360" s="2" t="s">
        <v>3473</v>
      </c>
      <c r="H360" s="2" t="s">
        <v>274</v>
      </c>
      <c r="I360" s="2" t="s">
        <v>4704</v>
      </c>
      <c r="J360" s="2" t="s">
        <v>4705</v>
      </c>
    </row>
    <row r="361" spans="1:10" ht="43.5" customHeight="1" x14ac:dyDescent="0.5">
      <c r="A361" s="2" t="s">
        <v>1633</v>
      </c>
      <c r="B361" s="2" t="s">
        <v>5064</v>
      </c>
      <c r="C361" s="2">
        <v>1</v>
      </c>
      <c r="D361" s="2" t="s">
        <v>140</v>
      </c>
      <c r="E361" s="2" t="s">
        <v>4703</v>
      </c>
      <c r="F361" s="2" t="s">
        <v>3462</v>
      </c>
      <c r="G361" s="2" t="s">
        <v>3473</v>
      </c>
      <c r="H361" s="2" t="s">
        <v>297</v>
      </c>
      <c r="I361" s="2" t="s">
        <v>4704</v>
      </c>
      <c r="J361" s="2" t="s">
        <v>4705</v>
      </c>
    </row>
  </sheetData>
  <autoFilter ref="A1:J361" xr:uid="{00000000-0009-0000-0000-00000F000000}"/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53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03125" defaultRowHeight="14.35" x14ac:dyDescent="0.5"/>
  <cols>
    <col min="1" max="1" width="17" customWidth="1"/>
    <col min="2" max="2" width="24" customWidth="1"/>
    <col min="3" max="3" width="29" customWidth="1"/>
    <col min="4" max="5" width="43" customWidth="1"/>
    <col min="6" max="6" width="62" customWidth="1"/>
    <col min="7" max="7" width="43" customWidth="1"/>
    <col min="8" max="8" width="42" customWidth="1"/>
    <col min="9" max="9" width="40" customWidth="1"/>
    <col min="10" max="10" width="70" customWidth="1"/>
    <col min="11" max="11" width="34" customWidth="1"/>
  </cols>
  <sheetData>
    <row r="1" spans="1:11" ht="30" customHeight="1" x14ac:dyDescent="0.5">
      <c r="A1" s="1" t="s">
        <v>244</v>
      </c>
      <c r="B1" s="1" t="s">
        <v>5065</v>
      </c>
      <c r="C1" s="1" t="s">
        <v>254</v>
      </c>
      <c r="D1" s="1" t="s">
        <v>5066</v>
      </c>
      <c r="E1" s="1" t="s">
        <v>5067</v>
      </c>
      <c r="F1" s="1" t="s">
        <v>5068</v>
      </c>
      <c r="G1" s="1" t="s">
        <v>5069</v>
      </c>
      <c r="H1" s="1" t="s">
        <v>256</v>
      </c>
      <c r="I1" s="1" t="s">
        <v>5070</v>
      </c>
      <c r="J1" s="1" t="s">
        <v>5071</v>
      </c>
      <c r="K1" s="1" t="s">
        <v>6</v>
      </c>
    </row>
    <row r="2" spans="1:11" ht="43.5" customHeight="1" x14ac:dyDescent="0.5">
      <c r="A2" s="2" t="s">
        <v>264</v>
      </c>
      <c r="B2" s="2" t="s">
        <v>1770</v>
      </c>
      <c r="C2" s="2" t="s">
        <v>274</v>
      </c>
      <c r="D2" s="2" t="s">
        <v>5072</v>
      </c>
      <c r="E2" s="2" t="s">
        <v>5073</v>
      </c>
      <c r="F2" s="2" t="s">
        <v>5074</v>
      </c>
      <c r="G2" s="2" t="s">
        <v>5075</v>
      </c>
      <c r="H2" s="2" t="s">
        <v>276</v>
      </c>
      <c r="I2" s="2" t="s">
        <v>5076</v>
      </c>
      <c r="J2" s="2" t="s">
        <v>5077</v>
      </c>
      <c r="K2" s="2" t="s">
        <v>5078</v>
      </c>
    </row>
    <row r="3" spans="1:11" ht="43.5" customHeight="1" x14ac:dyDescent="0.5">
      <c r="A3" s="2" t="s">
        <v>282</v>
      </c>
      <c r="B3" s="2" t="s">
        <v>1779</v>
      </c>
      <c r="C3" s="2" t="s">
        <v>274</v>
      </c>
      <c r="D3" s="2" t="s">
        <v>5079</v>
      </c>
      <c r="E3" s="2" t="s">
        <v>5080</v>
      </c>
      <c r="F3" s="2" t="s">
        <v>5081</v>
      </c>
      <c r="G3" s="2" t="s">
        <v>5082</v>
      </c>
      <c r="H3" s="2" t="s">
        <v>276</v>
      </c>
      <c r="I3" s="2" t="s">
        <v>5076</v>
      </c>
      <c r="J3" s="2" t="s">
        <v>5077</v>
      </c>
      <c r="K3" s="2" t="s">
        <v>5078</v>
      </c>
    </row>
    <row r="4" spans="1:11" ht="43.5" customHeight="1" x14ac:dyDescent="0.5">
      <c r="A4" s="2" t="s">
        <v>318</v>
      </c>
      <c r="B4" s="2" t="s">
        <v>1799</v>
      </c>
      <c r="C4" s="2" t="s">
        <v>274</v>
      </c>
      <c r="D4" s="2" t="s">
        <v>5083</v>
      </c>
      <c r="E4" s="2" t="s">
        <v>5084</v>
      </c>
      <c r="F4" s="2" t="s">
        <v>5085</v>
      </c>
      <c r="G4" s="2" t="s">
        <v>5086</v>
      </c>
      <c r="H4" s="2" t="s">
        <v>276</v>
      </c>
      <c r="I4" s="2" t="s">
        <v>5076</v>
      </c>
      <c r="J4" s="2" t="s">
        <v>5077</v>
      </c>
      <c r="K4" s="2" t="s">
        <v>5078</v>
      </c>
    </row>
    <row r="5" spans="1:11" ht="43.5" customHeight="1" x14ac:dyDescent="0.5">
      <c r="A5" s="2" t="s">
        <v>323</v>
      </c>
      <c r="B5" s="2" t="s">
        <v>1805</v>
      </c>
      <c r="C5" s="2" t="s">
        <v>274</v>
      </c>
      <c r="D5" s="2" t="s">
        <v>5087</v>
      </c>
      <c r="E5" s="2" t="s">
        <v>5088</v>
      </c>
      <c r="F5" s="2" t="s">
        <v>5089</v>
      </c>
      <c r="G5" s="2" t="s">
        <v>5090</v>
      </c>
      <c r="H5" s="2" t="s">
        <v>276</v>
      </c>
      <c r="I5" s="2" t="s">
        <v>5076</v>
      </c>
      <c r="J5" s="2" t="s">
        <v>5077</v>
      </c>
      <c r="K5" s="2" t="s">
        <v>5078</v>
      </c>
    </row>
    <row r="6" spans="1:11" ht="43.5" customHeight="1" x14ac:dyDescent="0.5">
      <c r="A6" s="2" t="s">
        <v>339</v>
      </c>
      <c r="B6" s="2" t="s">
        <v>1823</v>
      </c>
      <c r="C6" s="2" t="s">
        <v>274</v>
      </c>
      <c r="D6" s="2" t="s">
        <v>5091</v>
      </c>
      <c r="E6" s="2" t="s">
        <v>5092</v>
      </c>
      <c r="F6" s="2" t="s">
        <v>5093</v>
      </c>
      <c r="G6" s="2" t="s">
        <v>5094</v>
      </c>
      <c r="H6" s="2" t="s">
        <v>276</v>
      </c>
      <c r="I6" s="2" t="s">
        <v>5076</v>
      </c>
      <c r="J6" s="2" t="s">
        <v>5077</v>
      </c>
      <c r="K6" s="2" t="s">
        <v>5078</v>
      </c>
    </row>
    <row r="7" spans="1:11" ht="43.5" customHeight="1" x14ac:dyDescent="0.5">
      <c r="A7" s="2" t="s">
        <v>344</v>
      </c>
      <c r="B7" s="2" t="s">
        <v>1829</v>
      </c>
      <c r="C7" s="2" t="s">
        <v>274</v>
      </c>
      <c r="D7" s="2" t="s">
        <v>5095</v>
      </c>
      <c r="E7" s="2" t="s">
        <v>5096</v>
      </c>
      <c r="F7" s="2" t="s">
        <v>5097</v>
      </c>
      <c r="G7" s="2" t="s">
        <v>5098</v>
      </c>
      <c r="H7" s="2" t="s">
        <v>276</v>
      </c>
      <c r="I7" s="2" t="s">
        <v>5076</v>
      </c>
      <c r="J7" s="2" t="s">
        <v>5077</v>
      </c>
      <c r="K7" s="2" t="s">
        <v>5078</v>
      </c>
    </row>
    <row r="8" spans="1:11" ht="43.5" customHeight="1" x14ac:dyDescent="0.5">
      <c r="A8" s="2" t="s">
        <v>363</v>
      </c>
      <c r="B8" s="2" t="s">
        <v>1847</v>
      </c>
      <c r="C8" s="2" t="s">
        <v>274</v>
      </c>
      <c r="D8" s="2" t="s">
        <v>5099</v>
      </c>
      <c r="E8" s="2" t="s">
        <v>5100</v>
      </c>
      <c r="F8" s="2" t="s">
        <v>5101</v>
      </c>
      <c r="G8" s="2" t="s">
        <v>5102</v>
      </c>
      <c r="H8" s="2" t="s">
        <v>276</v>
      </c>
      <c r="I8" s="2" t="s">
        <v>5076</v>
      </c>
      <c r="J8" s="2" t="s">
        <v>5077</v>
      </c>
      <c r="K8" s="2" t="s">
        <v>5078</v>
      </c>
    </row>
    <row r="9" spans="1:11" ht="43.5" customHeight="1" x14ac:dyDescent="0.5">
      <c r="A9" s="2" t="s">
        <v>366</v>
      </c>
      <c r="B9" s="2" t="s">
        <v>1853</v>
      </c>
      <c r="C9" s="2" t="s">
        <v>274</v>
      </c>
      <c r="D9" s="2" t="s">
        <v>5103</v>
      </c>
      <c r="E9" s="2" t="s">
        <v>5104</v>
      </c>
      <c r="F9" s="2" t="s">
        <v>5105</v>
      </c>
      <c r="G9" s="2" t="s">
        <v>5106</v>
      </c>
      <c r="H9" s="2" t="s">
        <v>276</v>
      </c>
      <c r="I9" s="2" t="s">
        <v>5076</v>
      </c>
      <c r="J9" s="2" t="s">
        <v>5077</v>
      </c>
      <c r="K9" s="2" t="s">
        <v>5078</v>
      </c>
    </row>
    <row r="10" spans="1:11" ht="43.5" customHeight="1" x14ac:dyDescent="0.5">
      <c r="A10" s="2" t="s">
        <v>377</v>
      </c>
      <c r="B10" s="2" t="s">
        <v>1873</v>
      </c>
      <c r="C10" s="2" t="s">
        <v>274</v>
      </c>
      <c r="D10" s="2" t="s">
        <v>5107</v>
      </c>
      <c r="E10" s="2" t="s">
        <v>5108</v>
      </c>
      <c r="F10" s="2" t="s">
        <v>5109</v>
      </c>
      <c r="G10" s="2" t="s">
        <v>5110</v>
      </c>
      <c r="H10" s="2" t="s">
        <v>276</v>
      </c>
      <c r="I10" s="2" t="s">
        <v>5076</v>
      </c>
      <c r="J10" s="2" t="s">
        <v>5077</v>
      </c>
      <c r="K10" s="2" t="s">
        <v>5078</v>
      </c>
    </row>
    <row r="11" spans="1:11" ht="43.5" customHeight="1" x14ac:dyDescent="0.5">
      <c r="A11" s="2" t="s">
        <v>379</v>
      </c>
      <c r="B11" s="2" t="s">
        <v>1879</v>
      </c>
      <c r="C11" s="2" t="s">
        <v>274</v>
      </c>
      <c r="D11" s="2" t="s">
        <v>5111</v>
      </c>
      <c r="E11" s="2" t="s">
        <v>5112</v>
      </c>
      <c r="F11" s="2" t="s">
        <v>5113</v>
      </c>
      <c r="G11" s="2" t="s">
        <v>5114</v>
      </c>
      <c r="H11" s="2" t="s">
        <v>276</v>
      </c>
      <c r="I11" s="2" t="s">
        <v>5076</v>
      </c>
      <c r="J11" s="2" t="s">
        <v>5077</v>
      </c>
      <c r="K11" s="2" t="s">
        <v>5078</v>
      </c>
    </row>
    <row r="12" spans="1:11" ht="43.5" customHeight="1" x14ac:dyDescent="0.5">
      <c r="A12" s="2" t="s">
        <v>387</v>
      </c>
      <c r="B12" s="2" t="s">
        <v>1897</v>
      </c>
      <c r="C12" s="2" t="s">
        <v>274</v>
      </c>
      <c r="D12" s="2" t="s">
        <v>5115</v>
      </c>
      <c r="E12" s="2" t="s">
        <v>5116</v>
      </c>
      <c r="F12" s="2" t="s">
        <v>5117</v>
      </c>
      <c r="G12" s="2" t="s">
        <v>5118</v>
      </c>
      <c r="H12" s="2" t="s">
        <v>276</v>
      </c>
      <c r="I12" s="2" t="s">
        <v>5076</v>
      </c>
      <c r="J12" s="2" t="s">
        <v>5077</v>
      </c>
      <c r="K12" s="2" t="s">
        <v>5078</v>
      </c>
    </row>
    <row r="13" spans="1:11" ht="43.5" customHeight="1" x14ac:dyDescent="0.5">
      <c r="A13" s="2" t="s">
        <v>392</v>
      </c>
      <c r="B13" s="2" t="s">
        <v>1903</v>
      </c>
      <c r="C13" s="2" t="s">
        <v>274</v>
      </c>
      <c r="D13" s="2" t="s">
        <v>5119</v>
      </c>
      <c r="E13" s="2" t="s">
        <v>5120</v>
      </c>
      <c r="F13" s="2" t="s">
        <v>5121</v>
      </c>
      <c r="G13" s="2" t="s">
        <v>5122</v>
      </c>
      <c r="H13" s="2" t="s">
        <v>276</v>
      </c>
      <c r="I13" s="2" t="s">
        <v>5076</v>
      </c>
      <c r="J13" s="2" t="s">
        <v>5077</v>
      </c>
      <c r="K13" s="2" t="s">
        <v>5078</v>
      </c>
    </row>
    <row r="14" spans="1:11" ht="43.5" customHeight="1" x14ac:dyDescent="0.5">
      <c r="A14" s="2" t="s">
        <v>396</v>
      </c>
      <c r="B14" s="2" t="s">
        <v>1909</v>
      </c>
      <c r="C14" s="2" t="s">
        <v>274</v>
      </c>
      <c r="D14" s="2" t="s">
        <v>5123</v>
      </c>
      <c r="E14" s="2" t="s">
        <v>5124</v>
      </c>
      <c r="F14" s="2" t="s">
        <v>1789</v>
      </c>
      <c r="G14" s="2" t="s">
        <v>5125</v>
      </c>
      <c r="H14" s="2" t="s">
        <v>276</v>
      </c>
      <c r="I14" s="2" t="s">
        <v>5076</v>
      </c>
      <c r="J14" s="2" t="s">
        <v>5077</v>
      </c>
      <c r="K14" s="2" t="s">
        <v>5078</v>
      </c>
    </row>
    <row r="15" spans="1:11" ht="43.5" customHeight="1" x14ac:dyDescent="0.5">
      <c r="A15" s="2" t="s">
        <v>413</v>
      </c>
      <c r="B15" s="2" t="s">
        <v>1921</v>
      </c>
      <c r="C15" s="2" t="s">
        <v>274</v>
      </c>
      <c r="D15" s="2" t="s">
        <v>5126</v>
      </c>
      <c r="E15" s="2" t="s">
        <v>5127</v>
      </c>
      <c r="F15" s="2" t="s">
        <v>5128</v>
      </c>
      <c r="G15" s="2" t="s">
        <v>5129</v>
      </c>
      <c r="H15" s="2" t="s">
        <v>276</v>
      </c>
      <c r="I15" s="2" t="s">
        <v>5076</v>
      </c>
      <c r="J15" s="2" t="s">
        <v>5077</v>
      </c>
      <c r="K15" s="2" t="s">
        <v>5078</v>
      </c>
    </row>
    <row r="16" spans="1:11" ht="43.5" customHeight="1" x14ac:dyDescent="0.5">
      <c r="A16" s="2" t="s">
        <v>418</v>
      </c>
      <c r="B16" s="2" t="s">
        <v>1927</v>
      </c>
      <c r="C16" s="2" t="s">
        <v>274</v>
      </c>
      <c r="D16" s="2" t="s">
        <v>5130</v>
      </c>
      <c r="E16" s="2" t="s">
        <v>5131</v>
      </c>
      <c r="F16" s="2" t="s">
        <v>5132</v>
      </c>
      <c r="G16" s="2" t="s">
        <v>5133</v>
      </c>
      <c r="H16" s="2" t="s">
        <v>276</v>
      </c>
      <c r="I16" s="2" t="s">
        <v>5076</v>
      </c>
      <c r="J16" s="2" t="s">
        <v>5077</v>
      </c>
      <c r="K16" s="2" t="s">
        <v>5078</v>
      </c>
    </row>
    <row r="17" spans="1:11" ht="43.5" customHeight="1" x14ac:dyDescent="0.5">
      <c r="A17" s="2" t="s">
        <v>434</v>
      </c>
      <c r="B17" s="2" t="s">
        <v>1945</v>
      </c>
      <c r="C17" s="2" t="s">
        <v>274</v>
      </c>
      <c r="D17" s="2" t="s">
        <v>5134</v>
      </c>
      <c r="E17" s="2" t="s">
        <v>5135</v>
      </c>
      <c r="F17" s="2" t="s">
        <v>5136</v>
      </c>
      <c r="G17" s="2" t="s">
        <v>5137</v>
      </c>
      <c r="H17" s="2" t="s">
        <v>276</v>
      </c>
      <c r="I17" s="2" t="s">
        <v>5076</v>
      </c>
      <c r="J17" s="2" t="s">
        <v>5077</v>
      </c>
      <c r="K17" s="2" t="s">
        <v>5078</v>
      </c>
    </row>
    <row r="18" spans="1:11" ht="43.5" customHeight="1" x14ac:dyDescent="0.5">
      <c r="A18" s="2" t="s">
        <v>439</v>
      </c>
      <c r="B18" s="2" t="s">
        <v>1951</v>
      </c>
      <c r="C18" s="2" t="s">
        <v>274</v>
      </c>
      <c r="D18" s="2" t="s">
        <v>5138</v>
      </c>
      <c r="E18" s="2" t="s">
        <v>5139</v>
      </c>
      <c r="F18" s="2" t="s">
        <v>5140</v>
      </c>
      <c r="G18" s="2" t="s">
        <v>5141</v>
      </c>
      <c r="H18" s="2" t="s">
        <v>276</v>
      </c>
      <c r="I18" s="2" t="s">
        <v>5076</v>
      </c>
      <c r="J18" s="2" t="s">
        <v>5077</v>
      </c>
      <c r="K18" s="2" t="s">
        <v>5078</v>
      </c>
    </row>
    <row r="19" spans="1:11" ht="43.5" customHeight="1" x14ac:dyDescent="0.5">
      <c r="A19" s="2" t="s">
        <v>463</v>
      </c>
      <c r="B19" s="2" t="s">
        <v>1973</v>
      </c>
      <c r="C19" s="2" t="s">
        <v>274</v>
      </c>
      <c r="D19" s="2" t="s">
        <v>5142</v>
      </c>
      <c r="E19" s="2" t="s">
        <v>5143</v>
      </c>
      <c r="F19" s="2" t="s">
        <v>5144</v>
      </c>
      <c r="G19" s="2" t="s">
        <v>5145</v>
      </c>
      <c r="H19" s="2" t="s">
        <v>276</v>
      </c>
      <c r="I19" s="2" t="s">
        <v>5076</v>
      </c>
      <c r="J19" s="2" t="s">
        <v>5077</v>
      </c>
      <c r="K19" s="2" t="s">
        <v>5078</v>
      </c>
    </row>
    <row r="20" spans="1:11" ht="43.5" customHeight="1" x14ac:dyDescent="0.5">
      <c r="A20" s="2" t="s">
        <v>467</v>
      </c>
      <c r="B20" s="2" t="s">
        <v>1979</v>
      </c>
      <c r="C20" s="2" t="s">
        <v>274</v>
      </c>
      <c r="D20" s="2" t="s">
        <v>5146</v>
      </c>
      <c r="E20" s="2" t="s">
        <v>5147</v>
      </c>
      <c r="F20" s="2" t="s">
        <v>5148</v>
      </c>
      <c r="G20" s="2" t="s">
        <v>5149</v>
      </c>
      <c r="H20" s="2" t="s">
        <v>276</v>
      </c>
      <c r="I20" s="2" t="s">
        <v>5076</v>
      </c>
      <c r="J20" s="2" t="s">
        <v>5077</v>
      </c>
      <c r="K20" s="2" t="s">
        <v>5078</v>
      </c>
    </row>
    <row r="21" spans="1:11" ht="43.5" customHeight="1" x14ac:dyDescent="0.5">
      <c r="A21" s="2" t="s">
        <v>486</v>
      </c>
      <c r="B21" s="2" t="s">
        <v>2001</v>
      </c>
      <c r="C21" s="2" t="s">
        <v>274</v>
      </c>
      <c r="D21" s="2" t="s">
        <v>5150</v>
      </c>
      <c r="E21" s="2" t="s">
        <v>5151</v>
      </c>
      <c r="F21" s="2" t="s">
        <v>5152</v>
      </c>
      <c r="G21" s="2" t="s">
        <v>5153</v>
      </c>
      <c r="H21" s="2" t="s">
        <v>276</v>
      </c>
      <c r="I21" s="2" t="s">
        <v>5076</v>
      </c>
      <c r="J21" s="2" t="s">
        <v>5077</v>
      </c>
      <c r="K21" s="2" t="s">
        <v>5078</v>
      </c>
    </row>
    <row r="22" spans="1:11" ht="43.5" customHeight="1" x14ac:dyDescent="0.5">
      <c r="A22" s="2" t="s">
        <v>491</v>
      </c>
      <c r="B22" s="2" t="s">
        <v>2007</v>
      </c>
      <c r="C22" s="2" t="s">
        <v>274</v>
      </c>
      <c r="D22" s="2" t="s">
        <v>5154</v>
      </c>
      <c r="E22" s="2" t="s">
        <v>5155</v>
      </c>
      <c r="F22" s="2" t="s">
        <v>5156</v>
      </c>
      <c r="G22" s="2" t="s">
        <v>5157</v>
      </c>
      <c r="H22" s="2" t="s">
        <v>276</v>
      </c>
      <c r="I22" s="2" t="s">
        <v>5076</v>
      </c>
      <c r="J22" s="2" t="s">
        <v>5077</v>
      </c>
      <c r="K22" s="2" t="s">
        <v>5078</v>
      </c>
    </row>
    <row r="23" spans="1:11" ht="43.5" customHeight="1" x14ac:dyDescent="0.5">
      <c r="A23" s="2" t="s">
        <v>511</v>
      </c>
      <c r="B23" s="2" t="s">
        <v>2029</v>
      </c>
      <c r="C23" s="2" t="s">
        <v>274</v>
      </c>
      <c r="D23" s="2" t="s">
        <v>5158</v>
      </c>
      <c r="E23" s="2" t="s">
        <v>5159</v>
      </c>
      <c r="F23" s="2" t="s">
        <v>5160</v>
      </c>
      <c r="G23" s="2" t="s">
        <v>5161</v>
      </c>
      <c r="H23" s="2" t="s">
        <v>276</v>
      </c>
      <c r="I23" s="2" t="s">
        <v>5076</v>
      </c>
      <c r="J23" s="2" t="s">
        <v>5077</v>
      </c>
      <c r="K23" s="2" t="s">
        <v>5078</v>
      </c>
    </row>
    <row r="24" spans="1:11" ht="43.5" customHeight="1" x14ac:dyDescent="0.5">
      <c r="A24" s="2" t="s">
        <v>515</v>
      </c>
      <c r="B24" s="2" t="s">
        <v>2035</v>
      </c>
      <c r="C24" s="2" t="s">
        <v>274</v>
      </c>
      <c r="D24" s="2" t="s">
        <v>5162</v>
      </c>
      <c r="E24" s="2" t="s">
        <v>5163</v>
      </c>
      <c r="F24" s="2" t="s">
        <v>5164</v>
      </c>
      <c r="G24" s="2" t="s">
        <v>5165</v>
      </c>
      <c r="H24" s="2" t="s">
        <v>276</v>
      </c>
      <c r="I24" s="2" t="s">
        <v>5076</v>
      </c>
      <c r="J24" s="2" t="s">
        <v>5077</v>
      </c>
      <c r="K24" s="2" t="s">
        <v>5078</v>
      </c>
    </row>
    <row r="25" spans="1:11" ht="43.5" customHeight="1" x14ac:dyDescent="0.5">
      <c r="A25" s="2" t="s">
        <v>533</v>
      </c>
      <c r="B25" s="2" t="s">
        <v>2057</v>
      </c>
      <c r="C25" s="2" t="s">
        <v>274</v>
      </c>
      <c r="D25" s="2" t="s">
        <v>5166</v>
      </c>
      <c r="E25" s="2" t="s">
        <v>5167</v>
      </c>
      <c r="F25" s="2" t="s">
        <v>5168</v>
      </c>
      <c r="G25" s="2" t="s">
        <v>5169</v>
      </c>
      <c r="H25" s="2" t="s">
        <v>276</v>
      </c>
      <c r="I25" s="2" t="s">
        <v>5076</v>
      </c>
      <c r="J25" s="2" t="s">
        <v>5077</v>
      </c>
      <c r="K25" s="2" t="s">
        <v>5078</v>
      </c>
    </row>
    <row r="26" spans="1:11" ht="43.5" customHeight="1" x14ac:dyDescent="0.5">
      <c r="A26" s="2" t="s">
        <v>537</v>
      </c>
      <c r="B26" s="2" t="s">
        <v>2063</v>
      </c>
      <c r="C26" s="2" t="s">
        <v>274</v>
      </c>
      <c r="D26" s="2" t="s">
        <v>5170</v>
      </c>
      <c r="E26" s="2" t="s">
        <v>5171</v>
      </c>
      <c r="F26" s="2" t="s">
        <v>5172</v>
      </c>
      <c r="G26" s="2" t="s">
        <v>5173</v>
      </c>
      <c r="H26" s="2" t="s">
        <v>276</v>
      </c>
      <c r="I26" s="2" t="s">
        <v>5076</v>
      </c>
      <c r="J26" s="2" t="s">
        <v>5077</v>
      </c>
      <c r="K26" s="2" t="s">
        <v>5078</v>
      </c>
    </row>
    <row r="27" spans="1:11" ht="43.5" customHeight="1" x14ac:dyDescent="0.5">
      <c r="A27" s="2" t="s">
        <v>553</v>
      </c>
      <c r="B27" s="2" t="s">
        <v>2085</v>
      </c>
      <c r="C27" s="2" t="s">
        <v>274</v>
      </c>
      <c r="D27" s="2" t="s">
        <v>5174</v>
      </c>
      <c r="E27" s="2" t="s">
        <v>5175</v>
      </c>
      <c r="F27" s="2" t="s">
        <v>5176</v>
      </c>
      <c r="G27" s="2" t="s">
        <v>5177</v>
      </c>
      <c r="H27" s="2" t="s">
        <v>276</v>
      </c>
      <c r="I27" s="2" t="s">
        <v>5076</v>
      </c>
      <c r="J27" s="2" t="s">
        <v>5077</v>
      </c>
      <c r="K27" s="2" t="s">
        <v>5078</v>
      </c>
    </row>
    <row r="28" spans="1:11" ht="43.5" customHeight="1" x14ac:dyDescent="0.5">
      <c r="A28" s="2" t="s">
        <v>556</v>
      </c>
      <c r="B28" s="2" t="s">
        <v>2091</v>
      </c>
      <c r="C28" s="2" t="s">
        <v>274</v>
      </c>
      <c r="D28" s="2" t="s">
        <v>5178</v>
      </c>
      <c r="E28" s="2" t="s">
        <v>5179</v>
      </c>
      <c r="F28" s="2" t="s">
        <v>5180</v>
      </c>
      <c r="G28" s="2" t="s">
        <v>5181</v>
      </c>
      <c r="H28" s="2" t="s">
        <v>276</v>
      </c>
      <c r="I28" s="2" t="s">
        <v>5076</v>
      </c>
      <c r="J28" s="2" t="s">
        <v>5077</v>
      </c>
      <c r="K28" s="2" t="s">
        <v>5078</v>
      </c>
    </row>
    <row r="29" spans="1:11" ht="43.5" customHeight="1" x14ac:dyDescent="0.5">
      <c r="A29" s="2" t="s">
        <v>571</v>
      </c>
      <c r="B29" s="2" t="s">
        <v>2113</v>
      </c>
      <c r="C29" s="2" t="s">
        <v>274</v>
      </c>
      <c r="D29" s="2" t="s">
        <v>5182</v>
      </c>
      <c r="E29" s="2" t="s">
        <v>5183</v>
      </c>
      <c r="F29" s="2" t="s">
        <v>5184</v>
      </c>
      <c r="G29" s="2" t="s">
        <v>5185</v>
      </c>
      <c r="H29" s="2" t="s">
        <v>276</v>
      </c>
      <c r="I29" s="2" t="s">
        <v>5076</v>
      </c>
      <c r="J29" s="2" t="s">
        <v>5077</v>
      </c>
      <c r="K29" s="2" t="s">
        <v>5078</v>
      </c>
    </row>
    <row r="30" spans="1:11" ht="43.5" customHeight="1" x14ac:dyDescent="0.5">
      <c r="A30" s="2" t="s">
        <v>575</v>
      </c>
      <c r="B30" s="2" t="s">
        <v>2119</v>
      </c>
      <c r="C30" s="2" t="s">
        <v>274</v>
      </c>
      <c r="D30" s="2" t="s">
        <v>5186</v>
      </c>
      <c r="E30" s="2" t="s">
        <v>5187</v>
      </c>
      <c r="F30" s="2" t="s">
        <v>5188</v>
      </c>
      <c r="G30" s="2" t="s">
        <v>5189</v>
      </c>
      <c r="H30" s="2" t="s">
        <v>276</v>
      </c>
      <c r="I30" s="2" t="s">
        <v>5076</v>
      </c>
      <c r="J30" s="2" t="s">
        <v>5077</v>
      </c>
      <c r="K30" s="2" t="s">
        <v>5078</v>
      </c>
    </row>
    <row r="31" spans="1:11" ht="43.5" customHeight="1" x14ac:dyDescent="0.5">
      <c r="A31" s="2" t="s">
        <v>595</v>
      </c>
      <c r="B31" s="2" t="s">
        <v>2141</v>
      </c>
      <c r="C31" s="2" t="s">
        <v>274</v>
      </c>
      <c r="D31" s="2" t="s">
        <v>5190</v>
      </c>
      <c r="E31" s="2" t="s">
        <v>5191</v>
      </c>
      <c r="F31" s="2" t="s">
        <v>5192</v>
      </c>
      <c r="G31" s="2" t="s">
        <v>5193</v>
      </c>
      <c r="H31" s="2" t="s">
        <v>276</v>
      </c>
      <c r="I31" s="2" t="s">
        <v>5076</v>
      </c>
      <c r="J31" s="2" t="s">
        <v>5077</v>
      </c>
      <c r="K31" s="2" t="s">
        <v>5078</v>
      </c>
    </row>
    <row r="32" spans="1:11" ht="43.5" customHeight="1" x14ac:dyDescent="0.5">
      <c r="A32" s="2" t="s">
        <v>600</v>
      </c>
      <c r="B32" s="2" t="s">
        <v>2147</v>
      </c>
      <c r="C32" s="2" t="s">
        <v>274</v>
      </c>
      <c r="D32" s="2" t="s">
        <v>5194</v>
      </c>
      <c r="E32" s="2" t="s">
        <v>5195</v>
      </c>
      <c r="F32" s="2" t="s">
        <v>5196</v>
      </c>
      <c r="G32" s="2" t="s">
        <v>5197</v>
      </c>
      <c r="H32" s="2" t="s">
        <v>276</v>
      </c>
      <c r="I32" s="2" t="s">
        <v>5076</v>
      </c>
      <c r="J32" s="2" t="s">
        <v>5077</v>
      </c>
      <c r="K32" s="2" t="s">
        <v>5078</v>
      </c>
    </row>
    <row r="33" spans="1:11" ht="43.5" customHeight="1" x14ac:dyDescent="0.5">
      <c r="A33" s="2" t="s">
        <v>620</v>
      </c>
      <c r="B33" s="2" t="s">
        <v>2169</v>
      </c>
      <c r="C33" s="2" t="s">
        <v>274</v>
      </c>
      <c r="D33" s="2" t="s">
        <v>5198</v>
      </c>
      <c r="E33" s="2" t="s">
        <v>5199</v>
      </c>
      <c r="F33" s="2" t="s">
        <v>5200</v>
      </c>
      <c r="G33" s="2" t="s">
        <v>5201</v>
      </c>
      <c r="H33" s="2" t="s">
        <v>276</v>
      </c>
      <c r="I33" s="2" t="s">
        <v>5076</v>
      </c>
      <c r="J33" s="2" t="s">
        <v>5077</v>
      </c>
      <c r="K33" s="2" t="s">
        <v>5078</v>
      </c>
    </row>
    <row r="34" spans="1:11" ht="43.5" customHeight="1" x14ac:dyDescent="0.5">
      <c r="A34" s="2" t="s">
        <v>623</v>
      </c>
      <c r="B34" s="2" t="s">
        <v>2175</v>
      </c>
      <c r="C34" s="2" t="s">
        <v>274</v>
      </c>
      <c r="D34" s="2" t="s">
        <v>5202</v>
      </c>
      <c r="E34" s="2" t="s">
        <v>5203</v>
      </c>
      <c r="F34" s="2" t="s">
        <v>5204</v>
      </c>
      <c r="G34" s="2" t="s">
        <v>5205</v>
      </c>
      <c r="H34" s="2" t="s">
        <v>276</v>
      </c>
      <c r="I34" s="2" t="s">
        <v>5076</v>
      </c>
      <c r="J34" s="2" t="s">
        <v>5077</v>
      </c>
      <c r="K34" s="2" t="s">
        <v>5078</v>
      </c>
    </row>
    <row r="35" spans="1:11" ht="43.5" customHeight="1" x14ac:dyDescent="0.5">
      <c r="A35" s="2" t="s">
        <v>633</v>
      </c>
      <c r="B35" s="2" t="s">
        <v>2197</v>
      </c>
      <c r="C35" s="2" t="s">
        <v>274</v>
      </c>
      <c r="D35" s="2" t="s">
        <v>5206</v>
      </c>
      <c r="E35" s="2" t="s">
        <v>5207</v>
      </c>
      <c r="F35" s="2" t="s">
        <v>5208</v>
      </c>
      <c r="G35" s="2" t="s">
        <v>5209</v>
      </c>
      <c r="H35" s="2" t="s">
        <v>276</v>
      </c>
      <c r="I35" s="2" t="s">
        <v>5076</v>
      </c>
      <c r="J35" s="2" t="s">
        <v>5077</v>
      </c>
      <c r="K35" s="2" t="s">
        <v>5078</v>
      </c>
    </row>
    <row r="36" spans="1:11" ht="43.5" customHeight="1" x14ac:dyDescent="0.5">
      <c r="A36" s="2" t="s">
        <v>636</v>
      </c>
      <c r="B36" s="2" t="s">
        <v>2203</v>
      </c>
      <c r="C36" s="2" t="s">
        <v>274</v>
      </c>
      <c r="D36" s="2" t="s">
        <v>5210</v>
      </c>
      <c r="E36" s="2" t="s">
        <v>5211</v>
      </c>
      <c r="F36" s="2" t="s">
        <v>5212</v>
      </c>
      <c r="G36" s="2" t="s">
        <v>5213</v>
      </c>
      <c r="H36" s="2" t="s">
        <v>276</v>
      </c>
      <c r="I36" s="2" t="s">
        <v>5076</v>
      </c>
      <c r="J36" s="2" t="s">
        <v>5077</v>
      </c>
      <c r="K36" s="2" t="s">
        <v>5078</v>
      </c>
    </row>
    <row r="37" spans="1:11" ht="43.5" customHeight="1" x14ac:dyDescent="0.5">
      <c r="A37" s="2" t="s">
        <v>646</v>
      </c>
      <c r="B37" s="2" t="s">
        <v>2225</v>
      </c>
      <c r="C37" s="2" t="s">
        <v>274</v>
      </c>
      <c r="D37" s="2" t="s">
        <v>5214</v>
      </c>
      <c r="E37" s="2" t="s">
        <v>5215</v>
      </c>
      <c r="F37" s="2" t="s">
        <v>5216</v>
      </c>
      <c r="G37" s="2" t="s">
        <v>5217</v>
      </c>
      <c r="H37" s="2" t="s">
        <v>276</v>
      </c>
      <c r="I37" s="2" t="s">
        <v>5076</v>
      </c>
      <c r="J37" s="2" t="s">
        <v>5077</v>
      </c>
      <c r="K37" s="2" t="s">
        <v>5078</v>
      </c>
    </row>
    <row r="38" spans="1:11" ht="43.5" customHeight="1" x14ac:dyDescent="0.5">
      <c r="A38" s="2" t="s">
        <v>649</v>
      </c>
      <c r="B38" s="2" t="s">
        <v>2231</v>
      </c>
      <c r="C38" s="2" t="s">
        <v>274</v>
      </c>
      <c r="D38" s="2" t="s">
        <v>5218</v>
      </c>
      <c r="E38" s="2" t="s">
        <v>5219</v>
      </c>
      <c r="F38" s="2" t="s">
        <v>5220</v>
      </c>
      <c r="G38" s="2" t="s">
        <v>5221</v>
      </c>
      <c r="H38" s="2" t="s">
        <v>276</v>
      </c>
      <c r="I38" s="2" t="s">
        <v>5076</v>
      </c>
      <c r="J38" s="2" t="s">
        <v>5077</v>
      </c>
      <c r="K38" s="2" t="s">
        <v>5078</v>
      </c>
    </row>
    <row r="39" spans="1:11" ht="43.5" customHeight="1" x14ac:dyDescent="0.5">
      <c r="A39" s="2" t="s">
        <v>659</v>
      </c>
      <c r="B39" s="2" t="s">
        <v>2253</v>
      </c>
      <c r="C39" s="2" t="s">
        <v>274</v>
      </c>
      <c r="D39" s="2" t="s">
        <v>5222</v>
      </c>
      <c r="E39" s="2" t="s">
        <v>5223</v>
      </c>
      <c r="F39" s="2" t="s">
        <v>5224</v>
      </c>
      <c r="G39" s="2" t="s">
        <v>5225</v>
      </c>
      <c r="H39" s="2" t="s">
        <v>276</v>
      </c>
      <c r="I39" s="2" t="s">
        <v>5076</v>
      </c>
      <c r="J39" s="2" t="s">
        <v>5077</v>
      </c>
      <c r="K39" s="2" t="s">
        <v>5078</v>
      </c>
    </row>
    <row r="40" spans="1:11" ht="43.5" customHeight="1" x14ac:dyDescent="0.5">
      <c r="A40" s="2" t="s">
        <v>661</v>
      </c>
      <c r="B40" s="2" t="s">
        <v>2259</v>
      </c>
      <c r="C40" s="2" t="s">
        <v>274</v>
      </c>
      <c r="D40" s="2" t="s">
        <v>5226</v>
      </c>
      <c r="E40" s="2" t="s">
        <v>5227</v>
      </c>
      <c r="F40" s="2" t="s">
        <v>5228</v>
      </c>
      <c r="G40" s="2" t="s">
        <v>5229</v>
      </c>
      <c r="H40" s="2" t="s">
        <v>276</v>
      </c>
      <c r="I40" s="2" t="s">
        <v>5076</v>
      </c>
      <c r="J40" s="2" t="s">
        <v>5077</v>
      </c>
      <c r="K40" s="2" t="s">
        <v>5078</v>
      </c>
    </row>
    <row r="41" spans="1:11" ht="43.5" customHeight="1" x14ac:dyDescent="0.5">
      <c r="A41" s="2" t="s">
        <v>671</v>
      </c>
      <c r="B41" s="2" t="s">
        <v>2281</v>
      </c>
      <c r="C41" s="2" t="s">
        <v>274</v>
      </c>
      <c r="D41" s="2" t="s">
        <v>5230</v>
      </c>
      <c r="E41" s="2" t="s">
        <v>5231</v>
      </c>
      <c r="F41" s="2" t="s">
        <v>5232</v>
      </c>
      <c r="G41" s="2" t="s">
        <v>5233</v>
      </c>
      <c r="H41" s="2" t="s">
        <v>276</v>
      </c>
      <c r="I41" s="2" t="s">
        <v>5076</v>
      </c>
      <c r="J41" s="2" t="s">
        <v>5077</v>
      </c>
      <c r="K41" s="2" t="s">
        <v>5078</v>
      </c>
    </row>
    <row r="42" spans="1:11" ht="43.5" customHeight="1" x14ac:dyDescent="0.5">
      <c r="A42" s="2" t="s">
        <v>675</v>
      </c>
      <c r="B42" s="2" t="s">
        <v>2287</v>
      </c>
      <c r="C42" s="2" t="s">
        <v>274</v>
      </c>
      <c r="D42" s="2" t="s">
        <v>5234</v>
      </c>
      <c r="E42" s="2" t="s">
        <v>5235</v>
      </c>
      <c r="F42" s="2" t="s">
        <v>5236</v>
      </c>
      <c r="G42" s="2" t="s">
        <v>5237</v>
      </c>
      <c r="H42" s="2" t="s">
        <v>276</v>
      </c>
      <c r="I42" s="2" t="s">
        <v>5076</v>
      </c>
      <c r="J42" s="2" t="s">
        <v>5077</v>
      </c>
      <c r="K42" s="2" t="s">
        <v>5078</v>
      </c>
    </row>
    <row r="43" spans="1:11" ht="43.5" customHeight="1" x14ac:dyDescent="0.5">
      <c r="A43" s="2" t="s">
        <v>690</v>
      </c>
      <c r="B43" s="2" t="s">
        <v>2309</v>
      </c>
      <c r="C43" s="2" t="s">
        <v>274</v>
      </c>
      <c r="D43" s="2" t="s">
        <v>5238</v>
      </c>
      <c r="E43" s="2" t="s">
        <v>5239</v>
      </c>
      <c r="F43" s="2" t="s">
        <v>5240</v>
      </c>
      <c r="G43" s="2" t="s">
        <v>5241</v>
      </c>
      <c r="H43" s="2" t="s">
        <v>276</v>
      </c>
      <c r="I43" s="2" t="s">
        <v>5076</v>
      </c>
      <c r="J43" s="2" t="s">
        <v>5077</v>
      </c>
      <c r="K43" s="2" t="s">
        <v>5078</v>
      </c>
    </row>
    <row r="44" spans="1:11" ht="43.5" customHeight="1" x14ac:dyDescent="0.5">
      <c r="A44" s="2" t="s">
        <v>693</v>
      </c>
      <c r="B44" s="2" t="s">
        <v>2315</v>
      </c>
      <c r="C44" s="2" t="s">
        <v>274</v>
      </c>
      <c r="D44" s="2" t="s">
        <v>5242</v>
      </c>
      <c r="E44" s="2" t="s">
        <v>5243</v>
      </c>
      <c r="F44" s="2" t="s">
        <v>5244</v>
      </c>
      <c r="G44" s="2" t="s">
        <v>5245</v>
      </c>
      <c r="H44" s="2" t="s">
        <v>276</v>
      </c>
      <c r="I44" s="2" t="s">
        <v>5076</v>
      </c>
      <c r="J44" s="2" t="s">
        <v>5077</v>
      </c>
      <c r="K44" s="2" t="s">
        <v>5078</v>
      </c>
    </row>
    <row r="45" spans="1:11" ht="43.5" customHeight="1" x14ac:dyDescent="0.5">
      <c r="A45" s="2" t="s">
        <v>708</v>
      </c>
      <c r="B45" s="2" t="s">
        <v>2337</v>
      </c>
      <c r="C45" s="2" t="s">
        <v>274</v>
      </c>
      <c r="D45" s="2" t="s">
        <v>5246</v>
      </c>
      <c r="E45" s="2" t="s">
        <v>5247</v>
      </c>
      <c r="F45" s="2" t="s">
        <v>5248</v>
      </c>
      <c r="G45" s="2" t="s">
        <v>5249</v>
      </c>
      <c r="H45" s="2" t="s">
        <v>276</v>
      </c>
      <c r="I45" s="2" t="s">
        <v>5076</v>
      </c>
      <c r="J45" s="2" t="s">
        <v>5077</v>
      </c>
      <c r="K45" s="2" t="s">
        <v>5078</v>
      </c>
    </row>
    <row r="46" spans="1:11" ht="43.5" customHeight="1" x14ac:dyDescent="0.5">
      <c r="A46" s="2" t="s">
        <v>713</v>
      </c>
      <c r="B46" s="2" t="s">
        <v>2343</v>
      </c>
      <c r="C46" s="2" t="s">
        <v>274</v>
      </c>
      <c r="D46" s="2" t="s">
        <v>5250</v>
      </c>
      <c r="E46" s="2" t="s">
        <v>5251</v>
      </c>
      <c r="F46" s="2" t="s">
        <v>5252</v>
      </c>
      <c r="G46" s="2" t="s">
        <v>5253</v>
      </c>
      <c r="H46" s="2" t="s">
        <v>276</v>
      </c>
      <c r="I46" s="2" t="s">
        <v>5076</v>
      </c>
      <c r="J46" s="2" t="s">
        <v>5077</v>
      </c>
      <c r="K46" s="2" t="s">
        <v>5078</v>
      </c>
    </row>
    <row r="47" spans="1:11" ht="43.5" customHeight="1" x14ac:dyDescent="0.5">
      <c r="A47" s="2" t="s">
        <v>729</v>
      </c>
      <c r="B47" s="2" t="s">
        <v>2365</v>
      </c>
      <c r="C47" s="2" t="s">
        <v>274</v>
      </c>
      <c r="D47" s="2" t="s">
        <v>5254</v>
      </c>
      <c r="E47" s="2" t="s">
        <v>5255</v>
      </c>
      <c r="F47" s="2" t="s">
        <v>5256</v>
      </c>
      <c r="G47" s="2" t="s">
        <v>5257</v>
      </c>
      <c r="H47" s="2" t="s">
        <v>276</v>
      </c>
      <c r="I47" s="2" t="s">
        <v>5076</v>
      </c>
      <c r="J47" s="2" t="s">
        <v>5077</v>
      </c>
      <c r="K47" s="2" t="s">
        <v>5078</v>
      </c>
    </row>
    <row r="48" spans="1:11" ht="43.5" customHeight="1" x14ac:dyDescent="0.5">
      <c r="A48" s="2" t="s">
        <v>733</v>
      </c>
      <c r="B48" s="2" t="s">
        <v>2371</v>
      </c>
      <c r="C48" s="2" t="s">
        <v>274</v>
      </c>
      <c r="D48" s="2" t="s">
        <v>5258</v>
      </c>
      <c r="E48" s="2" t="s">
        <v>5259</v>
      </c>
      <c r="F48" s="2" t="s">
        <v>5260</v>
      </c>
      <c r="G48" s="2" t="s">
        <v>5261</v>
      </c>
      <c r="H48" s="2" t="s">
        <v>276</v>
      </c>
      <c r="I48" s="2" t="s">
        <v>5076</v>
      </c>
      <c r="J48" s="2" t="s">
        <v>5077</v>
      </c>
      <c r="K48" s="2" t="s">
        <v>5078</v>
      </c>
    </row>
    <row r="49" spans="1:11" ht="43.5" customHeight="1" x14ac:dyDescent="0.5">
      <c r="A49" s="2" t="s">
        <v>748</v>
      </c>
      <c r="B49" s="2" t="s">
        <v>2393</v>
      </c>
      <c r="C49" s="2" t="s">
        <v>274</v>
      </c>
      <c r="D49" s="2" t="s">
        <v>5262</v>
      </c>
      <c r="E49" s="2" t="s">
        <v>5263</v>
      </c>
      <c r="F49" s="2" t="s">
        <v>5264</v>
      </c>
      <c r="G49" s="2" t="s">
        <v>5265</v>
      </c>
      <c r="H49" s="2" t="s">
        <v>276</v>
      </c>
      <c r="I49" s="2" t="s">
        <v>5076</v>
      </c>
      <c r="J49" s="2" t="s">
        <v>5077</v>
      </c>
      <c r="K49" s="2" t="s">
        <v>5078</v>
      </c>
    </row>
    <row r="50" spans="1:11" ht="43.5" customHeight="1" x14ac:dyDescent="0.5">
      <c r="A50" s="2" t="s">
        <v>752</v>
      </c>
      <c r="B50" s="2" t="s">
        <v>2399</v>
      </c>
      <c r="C50" s="2" t="s">
        <v>274</v>
      </c>
      <c r="D50" s="2" t="s">
        <v>5266</v>
      </c>
      <c r="E50" s="2" t="s">
        <v>5267</v>
      </c>
      <c r="F50" s="2" t="s">
        <v>5268</v>
      </c>
      <c r="G50" s="2" t="s">
        <v>5269</v>
      </c>
      <c r="H50" s="2" t="s">
        <v>276</v>
      </c>
      <c r="I50" s="2" t="s">
        <v>5076</v>
      </c>
      <c r="J50" s="2" t="s">
        <v>5077</v>
      </c>
      <c r="K50" s="2" t="s">
        <v>5078</v>
      </c>
    </row>
    <row r="51" spans="1:11" ht="43.5" customHeight="1" x14ac:dyDescent="0.5">
      <c r="A51" s="2" t="s">
        <v>767</v>
      </c>
      <c r="B51" s="2" t="s">
        <v>2421</v>
      </c>
      <c r="C51" s="2" t="s">
        <v>274</v>
      </c>
      <c r="D51" s="2" t="s">
        <v>5270</v>
      </c>
      <c r="E51" s="2" t="s">
        <v>5271</v>
      </c>
      <c r="F51" s="2" t="s">
        <v>5272</v>
      </c>
      <c r="G51" s="2" t="s">
        <v>5273</v>
      </c>
      <c r="H51" s="2" t="s">
        <v>276</v>
      </c>
      <c r="I51" s="2" t="s">
        <v>5076</v>
      </c>
      <c r="J51" s="2" t="s">
        <v>5077</v>
      </c>
      <c r="K51" s="2" t="s">
        <v>5078</v>
      </c>
    </row>
    <row r="52" spans="1:11" ht="43.5" customHeight="1" x14ac:dyDescent="0.5">
      <c r="A52" s="2" t="s">
        <v>772</v>
      </c>
      <c r="B52" s="2" t="s">
        <v>2427</v>
      </c>
      <c r="C52" s="2" t="s">
        <v>274</v>
      </c>
      <c r="D52" s="2" t="s">
        <v>5274</v>
      </c>
      <c r="E52" s="2" t="s">
        <v>5275</v>
      </c>
      <c r="F52" s="2" t="s">
        <v>5276</v>
      </c>
      <c r="G52" s="2" t="s">
        <v>5277</v>
      </c>
      <c r="H52" s="2" t="s">
        <v>276</v>
      </c>
      <c r="I52" s="2" t="s">
        <v>5076</v>
      </c>
      <c r="J52" s="2" t="s">
        <v>5077</v>
      </c>
      <c r="K52" s="2" t="s">
        <v>5078</v>
      </c>
    </row>
    <row r="53" spans="1:11" ht="43.5" customHeight="1" x14ac:dyDescent="0.5">
      <c r="A53" s="2" t="s">
        <v>794</v>
      </c>
      <c r="B53" s="2" t="s">
        <v>2455</v>
      </c>
      <c r="C53" s="2" t="s">
        <v>274</v>
      </c>
      <c r="D53" s="2" t="s">
        <v>5278</v>
      </c>
      <c r="E53" s="2" t="s">
        <v>5279</v>
      </c>
      <c r="F53" s="2" t="s">
        <v>5280</v>
      </c>
      <c r="G53" s="2" t="s">
        <v>5281</v>
      </c>
      <c r="H53" s="2" t="s">
        <v>276</v>
      </c>
      <c r="I53" s="2" t="s">
        <v>5076</v>
      </c>
      <c r="J53" s="2" t="s">
        <v>5077</v>
      </c>
      <c r="K53" s="2" t="s">
        <v>5078</v>
      </c>
    </row>
    <row r="54" spans="1:11" ht="43.5" customHeight="1" x14ac:dyDescent="0.5">
      <c r="A54" s="2" t="s">
        <v>799</v>
      </c>
      <c r="B54" s="2" t="s">
        <v>2461</v>
      </c>
      <c r="C54" s="2" t="s">
        <v>274</v>
      </c>
      <c r="D54" s="2" t="s">
        <v>5282</v>
      </c>
      <c r="E54" s="2" t="s">
        <v>5283</v>
      </c>
      <c r="F54" s="2" t="s">
        <v>5284</v>
      </c>
      <c r="G54" s="2" t="s">
        <v>5285</v>
      </c>
      <c r="H54" s="2" t="s">
        <v>276</v>
      </c>
      <c r="I54" s="2" t="s">
        <v>5076</v>
      </c>
      <c r="J54" s="2" t="s">
        <v>5077</v>
      </c>
      <c r="K54" s="2" t="s">
        <v>5078</v>
      </c>
    </row>
    <row r="55" spans="1:11" ht="43.5" customHeight="1" x14ac:dyDescent="0.5">
      <c r="A55" s="2" t="s">
        <v>823</v>
      </c>
      <c r="B55" s="2" t="s">
        <v>2489</v>
      </c>
      <c r="C55" s="2" t="s">
        <v>274</v>
      </c>
      <c r="D55" s="2" t="s">
        <v>5286</v>
      </c>
      <c r="E55" s="2" t="s">
        <v>5287</v>
      </c>
      <c r="F55" s="2" t="s">
        <v>5288</v>
      </c>
      <c r="G55" s="2" t="s">
        <v>5289</v>
      </c>
      <c r="H55" s="2" t="s">
        <v>276</v>
      </c>
      <c r="I55" s="2" t="s">
        <v>5076</v>
      </c>
      <c r="J55" s="2" t="s">
        <v>5077</v>
      </c>
      <c r="K55" s="2" t="s">
        <v>5078</v>
      </c>
    </row>
    <row r="56" spans="1:11" ht="43.5" customHeight="1" x14ac:dyDescent="0.5">
      <c r="A56" s="2" t="s">
        <v>827</v>
      </c>
      <c r="B56" s="2" t="s">
        <v>2495</v>
      </c>
      <c r="C56" s="2" t="s">
        <v>274</v>
      </c>
      <c r="D56" s="2" t="s">
        <v>5290</v>
      </c>
      <c r="E56" s="2" t="s">
        <v>5291</v>
      </c>
      <c r="F56" s="2" t="s">
        <v>5292</v>
      </c>
      <c r="G56" s="2" t="s">
        <v>5293</v>
      </c>
      <c r="H56" s="2" t="s">
        <v>276</v>
      </c>
      <c r="I56" s="2" t="s">
        <v>5076</v>
      </c>
      <c r="J56" s="2" t="s">
        <v>5077</v>
      </c>
      <c r="K56" s="2" t="s">
        <v>5078</v>
      </c>
    </row>
    <row r="57" spans="1:11" ht="43.5" customHeight="1" x14ac:dyDescent="0.5">
      <c r="A57" s="2" t="s">
        <v>830</v>
      </c>
      <c r="B57" s="2" t="s">
        <v>2501</v>
      </c>
      <c r="C57" s="2" t="s">
        <v>274</v>
      </c>
      <c r="D57" s="2" t="s">
        <v>5294</v>
      </c>
      <c r="E57" s="2" t="s">
        <v>5295</v>
      </c>
      <c r="F57" s="2" t="s">
        <v>1789</v>
      </c>
      <c r="G57" s="2" t="s">
        <v>5296</v>
      </c>
      <c r="H57" s="2" t="s">
        <v>276</v>
      </c>
      <c r="I57" s="2" t="s">
        <v>5076</v>
      </c>
      <c r="J57" s="2" t="s">
        <v>5077</v>
      </c>
      <c r="K57" s="2" t="s">
        <v>5078</v>
      </c>
    </row>
    <row r="58" spans="1:11" ht="43.5" customHeight="1" x14ac:dyDescent="0.5">
      <c r="A58" s="2" t="s">
        <v>849</v>
      </c>
      <c r="B58" s="2" t="s">
        <v>2523</v>
      </c>
      <c r="C58" s="2" t="s">
        <v>274</v>
      </c>
      <c r="D58" s="2" t="s">
        <v>5297</v>
      </c>
      <c r="E58" s="2" t="s">
        <v>5298</v>
      </c>
      <c r="F58" s="2" t="s">
        <v>5299</v>
      </c>
      <c r="G58" s="2" t="s">
        <v>5300</v>
      </c>
      <c r="H58" s="2" t="s">
        <v>276</v>
      </c>
      <c r="I58" s="2" t="s">
        <v>5076</v>
      </c>
      <c r="J58" s="2" t="s">
        <v>5077</v>
      </c>
      <c r="K58" s="2" t="s">
        <v>5078</v>
      </c>
    </row>
    <row r="59" spans="1:11" ht="43.5" customHeight="1" x14ac:dyDescent="0.5">
      <c r="A59" s="2" t="s">
        <v>854</v>
      </c>
      <c r="B59" s="2" t="s">
        <v>2529</v>
      </c>
      <c r="C59" s="2" t="s">
        <v>274</v>
      </c>
      <c r="D59" s="2" t="s">
        <v>5301</v>
      </c>
      <c r="E59" s="2" t="s">
        <v>5302</v>
      </c>
      <c r="F59" s="2" t="s">
        <v>5303</v>
      </c>
      <c r="G59" s="2" t="s">
        <v>5304</v>
      </c>
      <c r="H59" s="2" t="s">
        <v>276</v>
      </c>
      <c r="I59" s="2" t="s">
        <v>5076</v>
      </c>
      <c r="J59" s="2" t="s">
        <v>5077</v>
      </c>
      <c r="K59" s="2" t="s">
        <v>5078</v>
      </c>
    </row>
    <row r="60" spans="1:11" ht="43.5" customHeight="1" x14ac:dyDescent="0.5">
      <c r="A60" s="2" t="s">
        <v>858</v>
      </c>
      <c r="B60" s="2" t="s">
        <v>2535</v>
      </c>
      <c r="C60" s="2" t="s">
        <v>274</v>
      </c>
      <c r="D60" s="2" t="s">
        <v>5305</v>
      </c>
      <c r="E60" s="2" t="s">
        <v>5306</v>
      </c>
      <c r="F60" s="2" t="s">
        <v>1789</v>
      </c>
      <c r="G60" s="2" t="s">
        <v>5307</v>
      </c>
      <c r="H60" s="2" t="s">
        <v>276</v>
      </c>
      <c r="I60" s="2" t="s">
        <v>5076</v>
      </c>
      <c r="J60" s="2" t="s">
        <v>5077</v>
      </c>
      <c r="K60" s="2" t="s">
        <v>5078</v>
      </c>
    </row>
    <row r="61" spans="1:11" ht="43.5" customHeight="1" x14ac:dyDescent="0.5">
      <c r="A61" s="2" t="s">
        <v>878</v>
      </c>
      <c r="B61" s="2" t="s">
        <v>2557</v>
      </c>
      <c r="C61" s="2" t="s">
        <v>274</v>
      </c>
      <c r="D61" s="2" t="s">
        <v>5308</v>
      </c>
      <c r="E61" s="2" t="s">
        <v>5309</v>
      </c>
      <c r="F61" s="2" t="s">
        <v>5310</v>
      </c>
      <c r="G61" s="2" t="s">
        <v>5311</v>
      </c>
      <c r="H61" s="2" t="s">
        <v>276</v>
      </c>
      <c r="I61" s="2" t="s">
        <v>5076</v>
      </c>
      <c r="J61" s="2" t="s">
        <v>5077</v>
      </c>
      <c r="K61" s="2" t="s">
        <v>5078</v>
      </c>
    </row>
    <row r="62" spans="1:11" ht="43.5" customHeight="1" x14ac:dyDescent="0.5">
      <c r="A62" s="2" t="s">
        <v>881</v>
      </c>
      <c r="B62" s="2" t="s">
        <v>2563</v>
      </c>
      <c r="C62" s="2" t="s">
        <v>274</v>
      </c>
      <c r="D62" s="2" t="s">
        <v>5312</v>
      </c>
      <c r="E62" s="2" t="s">
        <v>5313</v>
      </c>
      <c r="F62" s="2" t="s">
        <v>5314</v>
      </c>
      <c r="G62" s="2" t="s">
        <v>5315</v>
      </c>
      <c r="H62" s="2" t="s">
        <v>276</v>
      </c>
      <c r="I62" s="2" t="s">
        <v>5076</v>
      </c>
      <c r="J62" s="2" t="s">
        <v>5077</v>
      </c>
      <c r="K62" s="2" t="s">
        <v>5078</v>
      </c>
    </row>
    <row r="63" spans="1:11" ht="43.5" customHeight="1" x14ac:dyDescent="0.5">
      <c r="A63" s="2" t="s">
        <v>893</v>
      </c>
      <c r="B63" s="2" t="s">
        <v>2591</v>
      </c>
      <c r="C63" s="2" t="s">
        <v>274</v>
      </c>
      <c r="D63" s="2" t="s">
        <v>5316</v>
      </c>
      <c r="E63" s="2" t="s">
        <v>5317</v>
      </c>
      <c r="F63" s="2" t="s">
        <v>5318</v>
      </c>
      <c r="G63" s="2" t="s">
        <v>5319</v>
      </c>
      <c r="H63" s="2" t="s">
        <v>276</v>
      </c>
      <c r="I63" s="2" t="s">
        <v>5076</v>
      </c>
      <c r="J63" s="2" t="s">
        <v>5077</v>
      </c>
      <c r="K63" s="2" t="s">
        <v>5078</v>
      </c>
    </row>
    <row r="64" spans="1:11" ht="43.5" customHeight="1" x14ac:dyDescent="0.5">
      <c r="A64" s="2" t="s">
        <v>896</v>
      </c>
      <c r="B64" s="2" t="s">
        <v>2597</v>
      </c>
      <c r="C64" s="2" t="s">
        <v>274</v>
      </c>
      <c r="D64" s="2" t="s">
        <v>5320</v>
      </c>
      <c r="E64" s="2" t="s">
        <v>5321</v>
      </c>
      <c r="F64" s="2" t="s">
        <v>5322</v>
      </c>
      <c r="G64" s="2" t="s">
        <v>5323</v>
      </c>
      <c r="H64" s="2" t="s">
        <v>276</v>
      </c>
      <c r="I64" s="2" t="s">
        <v>5076</v>
      </c>
      <c r="J64" s="2" t="s">
        <v>5077</v>
      </c>
      <c r="K64" s="2" t="s">
        <v>5078</v>
      </c>
    </row>
    <row r="65" spans="1:11" ht="43.5" customHeight="1" x14ac:dyDescent="0.5">
      <c r="A65" s="2" t="s">
        <v>908</v>
      </c>
      <c r="B65" s="2" t="s">
        <v>2625</v>
      </c>
      <c r="C65" s="2" t="s">
        <v>274</v>
      </c>
      <c r="D65" s="2" t="s">
        <v>5324</v>
      </c>
      <c r="E65" s="2" t="s">
        <v>5325</v>
      </c>
      <c r="F65" s="2" t="s">
        <v>5326</v>
      </c>
      <c r="G65" s="2" t="s">
        <v>5327</v>
      </c>
      <c r="H65" s="2" t="s">
        <v>276</v>
      </c>
      <c r="I65" s="2" t="s">
        <v>5076</v>
      </c>
      <c r="J65" s="2" t="s">
        <v>5077</v>
      </c>
      <c r="K65" s="2" t="s">
        <v>5078</v>
      </c>
    </row>
    <row r="66" spans="1:11" ht="43.5" customHeight="1" x14ac:dyDescent="0.5">
      <c r="A66" s="2" t="s">
        <v>913</v>
      </c>
      <c r="B66" s="2" t="s">
        <v>2631</v>
      </c>
      <c r="C66" s="2" t="s">
        <v>274</v>
      </c>
      <c r="D66" s="2" t="s">
        <v>5328</v>
      </c>
      <c r="E66" s="2" t="s">
        <v>5329</v>
      </c>
      <c r="F66" s="2" t="s">
        <v>5330</v>
      </c>
      <c r="G66" s="2" t="s">
        <v>5331</v>
      </c>
      <c r="H66" s="2" t="s">
        <v>276</v>
      </c>
      <c r="I66" s="2" t="s">
        <v>5076</v>
      </c>
      <c r="J66" s="2" t="s">
        <v>5077</v>
      </c>
      <c r="K66" s="2" t="s">
        <v>5078</v>
      </c>
    </row>
    <row r="67" spans="1:11" ht="43.5" customHeight="1" x14ac:dyDescent="0.5">
      <c r="A67" s="2" t="s">
        <v>937</v>
      </c>
      <c r="B67" s="2" t="s">
        <v>2659</v>
      </c>
      <c r="C67" s="2" t="s">
        <v>274</v>
      </c>
      <c r="D67" s="2" t="s">
        <v>5332</v>
      </c>
      <c r="E67" s="2" t="s">
        <v>5333</v>
      </c>
      <c r="F67" s="2" t="s">
        <v>5334</v>
      </c>
      <c r="G67" s="2" t="s">
        <v>5335</v>
      </c>
      <c r="H67" s="2" t="s">
        <v>276</v>
      </c>
      <c r="I67" s="2" t="s">
        <v>5076</v>
      </c>
      <c r="J67" s="2" t="s">
        <v>5077</v>
      </c>
      <c r="K67" s="2" t="s">
        <v>5078</v>
      </c>
    </row>
    <row r="68" spans="1:11" ht="43.5" customHeight="1" x14ac:dyDescent="0.5">
      <c r="A68" s="2" t="s">
        <v>941</v>
      </c>
      <c r="B68" s="2" t="s">
        <v>2665</v>
      </c>
      <c r="C68" s="2" t="s">
        <v>274</v>
      </c>
      <c r="D68" s="2" t="s">
        <v>5336</v>
      </c>
      <c r="E68" s="2" t="s">
        <v>5337</v>
      </c>
      <c r="F68" s="2" t="s">
        <v>5338</v>
      </c>
      <c r="G68" s="2" t="s">
        <v>5339</v>
      </c>
      <c r="H68" s="2" t="s">
        <v>276</v>
      </c>
      <c r="I68" s="2" t="s">
        <v>5076</v>
      </c>
      <c r="J68" s="2" t="s">
        <v>5077</v>
      </c>
      <c r="K68" s="2" t="s">
        <v>5078</v>
      </c>
    </row>
    <row r="69" spans="1:11" ht="43.5" customHeight="1" x14ac:dyDescent="0.5">
      <c r="A69" s="2" t="s">
        <v>959</v>
      </c>
      <c r="B69" s="2" t="s">
        <v>2693</v>
      </c>
      <c r="C69" s="2" t="s">
        <v>274</v>
      </c>
      <c r="D69" s="2" t="s">
        <v>5340</v>
      </c>
      <c r="E69" s="2" t="s">
        <v>5341</v>
      </c>
      <c r="F69" s="2" t="s">
        <v>5342</v>
      </c>
      <c r="G69" s="2" t="s">
        <v>5343</v>
      </c>
      <c r="H69" s="2" t="s">
        <v>276</v>
      </c>
      <c r="I69" s="2" t="s">
        <v>5076</v>
      </c>
      <c r="J69" s="2" t="s">
        <v>5077</v>
      </c>
      <c r="K69" s="2" t="s">
        <v>5078</v>
      </c>
    </row>
    <row r="70" spans="1:11" ht="43.5" customHeight="1" x14ac:dyDescent="0.5">
      <c r="A70" s="2" t="s">
        <v>963</v>
      </c>
      <c r="B70" s="2" t="s">
        <v>2699</v>
      </c>
      <c r="C70" s="2" t="s">
        <v>274</v>
      </c>
      <c r="D70" s="2" t="s">
        <v>5344</v>
      </c>
      <c r="E70" s="2" t="s">
        <v>5345</v>
      </c>
      <c r="F70" s="2" t="s">
        <v>5346</v>
      </c>
      <c r="G70" s="2" t="s">
        <v>5347</v>
      </c>
      <c r="H70" s="2" t="s">
        <v>276</v>
      </c>
      <c r="I70" s="2" t="s">
        <v>5076</v>
      </c>
      <c r="J70" s="2" t="s">
        <v>5077</v>
      </c>
      <c r="K70" s="2" t="s">
        <v>5078</v>
      </c>
    </row>
    <row r="71" spans="1:11" ht="43.5" customHeight="1" x14ac:dyDescent="0.5">
      <c r="A71" s="2" t="s">
        <v>966</v>
      </c>
      <c r="B71" s="2" t="s">
        <v>2705</v>
      </c>
      <c r="C71" s="2" t="s">
        <v>274</v>
      </c>
      <c r="D71" s="2" t="s">
        <v>5348</v>
      </c>
      <c r="E71" s="2" t="s">
        <v>5349</v>
      </c>
      <c r="F71" s="2" t="s">
        <v>1789</v>
      </c>
      <c r="G71" s="2" t="s">
        <v>5350</v>
      </c>
      <c r="H71" s="2" t="s">
        <v>276</v>
      </c>
      <c r="I71" s="2" t="s">
        <v>5076</v>
      </c>
      <c r="J71" s="2" t="s">
        <v>5077</v>
      </c>
      <c r="K71" s="2" t="s">
        <v>5078</v>
      </c>
    </row>
    <row r="72" spans="1:11" ht="43.5" customHeight="1" x14ac:dyDescent="0.5">
      <c r="A72" s="2" t="s">
        <v>981</v>
      </c>
      <c r="B72" s="2" t="s">
        <v>2727</v>
      </c>
      <c r="C72" s="2" t="s">
        <v>274</v>
      </c>
      <c r="D72" s="2" t="s">
        <v>5351</v>
      </c>
      <c r="E72" s="2" t="s">
        <v>5352</v>
      </c>
      <c r="F72" s="2" t="s">
        <v>5353</v>
      </c>
      <c r="G72" s="2" t="s">
        <v>5354</v>
      </c>
      <c r="H72" s="2" t="s">
        <v>276</v>
      </c>
      <c r="I72" s="2" t="s">
        <v>5076</v>
      </c>
      <c r="J72" s="2" t="s">
        <v>5077</v>
      </c>
      <c r="K72" s="2" t="s">
        <v>5078</v>
      </c>
    </row>
    <row r="73" spans="1:11" ht="43.5" customHeight="1" x14ac:dyDescent="0.5">
      <c r="A73" s="2" t="s">
        <v>985</v>
      </c>
      <c r="B73" s="2" t="s">
        <v>2733</v>
      </c>
      <c r="C73" s="2" t="s">
        <v>274</v>
      </c>
      <c r="D73" s="2" t="s">
        <v>5355</v>
      </c>
      <c r="E73" s="2" t="s">
        <v>5356</v>
      </c>
      <c r="F73" s="2" t="s">
        <v>5357</v>
      </c>
      <c r="G73" s="2" t="s">
        <v>5358</v>
      </c>
      <c r="H73" s="2" t="s">
        <v>276</v>
      </c>
      <c r="I73" s="2" t="s">
        <v>5076</v>
      </c>
      <c r="J73" s="2" t="s">
        <v>5077</v>
      </c>
      <c r="K73" s="2" t="s">
        <v>5078</v>
      </c>
    </row>
    <row r="74" spans="1:11" ht="43.5" customHeight="1" x14ac:dyDescent="0.5">
      <c r="A74" s="2" t="s">
        <v>989</v>
      </c>
      <c r="B74" s="2" t="s">
        <v>2739</v>
      </c>
      <c r="C74" s="2" t="s">
        <v>274</v>
      </c>
      <c r="D74" s="2" t="s">
        <v>5359</v>
      </c>
      <c r="E74" s="2" t="s">
        <v>5360</v>
      </c>
      <c r="F74" s="2" t="s">
        <v>1789</v>
      </c>
      <c r="G74" s="2" t="s">
        <v>5361</v>
      </c>
      <c r="H74" s="2" t="s">
        <v>276</v>
      </c>
      <c r="I74" s="2" t="s">
        <v>5076</v>
      </c>
      <c r="J74" s="2" t="s">
        <v>5077</v>
      </c>
      <c r="K74" s="2" t="s">
        <v>5078</v>
      </c>
    </row>
    <row r="75" spans="1:11" ht="43.5" customHeight="1" x14ac:dyDescent="0.5">
      <c r="A75" s="2" t="s">
        <v>1009</v>
      </c>
      <c r="B75" s="2" t="s">
        <v>2761</v>
      </c>
      <c r="C75" s="2" t="s">
        <v>274</v>
      </c>
      <c r="D75" s="2" t="s">
        <v>5362</v>
      </c>
      <c r="E75" s="2" t="s">
        <v>5363</v>
      </c>
      <c r="F75" s="2" t="s">
        <v>5364</v>
      </c>
      <c r="G75" s="2" t="s">
        <v>5365</v>
      </c>
      <c r="H75" s="2" t="s">
        <v>276</v>
      </c>
      <c r="I75" s="2" t="s">
        <v>5076</v>
      </c>
      <c r="J75" s="2" t="s">
        <v>5077</v>
      </c>
      <c r="K75" s="2" t="s">
        <v>5078</v>
      </c>
    </row>
    <row r="76" spans="1:11" ht="43.5" customHeight="1" x14ac:dyDescent="0.5">
      <c r="A76" s="2" t="s">
        <v>1014</v>
      </c>
      <c r="B76" s="2" t="s">
        <v>2767</v>
      </c>
      <c r="C76" s="2" t="s">
        <v>274</v>
      </c>
      <c r="D76" s="2" t="s">
        <v>5366</v>
      </c>
      <c r="E76" s="2" t="s">
        <v>5367</v>
      </c>
      <c r="F76" s="2" t="s">
        <v>5368</v>
      </c>
      <c r="G76" s="2" t="s">
        <v>5369</v>
      </c>
      <c r="H76" s="2" t="s">
        <v>276</v>
      </c>
      <c r="I76" s="2" t="s">
        <v>5076</v>
      </c>
      <c r="J76" s="2" t="s">
        <v>5077</v>
      </c>
      <c r="K76" s="2" t="s">
        <v>5078</v>
      </c>
    </row>
    <row r="77" spans="1:11" ht="43.5" customHeight="1" x14ac:dyDescent="0.5">
      <c r="A77" s="2" t="s">
        <v>1037</v>
      </c>
      <c r="B77" s="2" t="s">
        <v>2793</v>
      </c>
      <c r="C77" s="2" t="s">
        <v>274</v>
      </c>
      <c r="D77" s="2" t="s">
        <v>5370</v>
      </c>
      <c r="E77" s="2" t="s">
        <v>5371</v>
      </c>
      <c r="F77" s="2" t="s">
        <v>5372</v>
      </c>
      <c r="G77" s="2" t="s">
        <v>5373</v>
      </c>
      <c r="H77" s="2" t="s">
        <v>276</v>
      </c>
      <c r="I77" s="2" t="s">
        <v>5076</v>
      </c>
      <c r="J77" s="2" t="s">
        <v>5077</v>
      </c>
      <c r="K77" s="2" t="s">
        <v>5078</v>
      </c>
    </row>
    <row r="78" spans="1:11" ht="43.5" customHeight="1" x14ac:dyDescent="0.5">
      <c r="A78" s="2" t="s">
        <v>1042</v>
      </c>
      <c r="B78" s="2" t="s">
        <v>2799</v>
      </c>
      <c r="C78" s="2" t="s">
        <v>274</v>
      </c>
      <c r="D78" s="2" t="s">
        <v>5374</v>
      </c>
      <c r="E78" s="2" t="s">
        <v>5375</v>
      </c>
      <c r="F78" s="2" t="s">
        <v>5376</v>
      </c>
      <c r="G78" s="2" t="s">
        <v>5377</v>
      </c>
      <c r="H78" s="2" t="s">
        <v>276</v>
      </c>
      <c r="I78" s="2" t="s">
        <v>5076</v>
      </c>
      <c r="J78" s="2" t="s">
        <v>5077</v>
      </c>
      <c r="K78" s="2" t="s">
        <v>5078</v>
      </c>
    </row>
    <row r="79" spans="1:11" ht="43.5" customHeight="1" x14ac:dyDescent="0.5">
      <c r="A79" s="2" t="s">
        <v>1061</v>
      </c>
      <c r="B79" s="2" t="s">
        <v>2825</v>
      </c>
      <c r="C79" s="2" t="s">
        <v>274</v>
      </c>
      <c r="D79" s="2" t="s">
        <v>5378</v>
      </c>
      <c r="E79" s="2" t="s">
        <v>5379</v>
      </c>
      <c r="F79" s="2" t="s">
        <v>5380</v>
      </c>
      <c r="G79" s="2" t="s">
        <v>5381</v>
      </c>
      <c r="H79" s="2" t="s">
        <v>276</v>
      </c>
      <c r="I79" s="2" t="s">
        <v>5076</v>
      </c>
      <c r="J79" s="2" t="s">
        <v>5077</v>
      </c>
      <c r="K79" s="2" t="s">
        <v>5078</v>
      </c>
    </row>
    <row r="80" spans="1:11" ht="43.5" customHeight="1" x14ac:dyDescent="0.5">
      <c r="A80" s="2" t="s">
        <v>1065</v>
      </c>
      <c r="B80" s="2" t="s">
        <v>2831</v>
      </c>
      <c r="C80" s="2" t="s">
        <v>274</v>
      </c>
      <c r="D80" s="2" t="s">
        <v>5382</v>
      </c>
      <c r="E80" s="2" t="s">
        <v>5383</v>
      </c>
      <c r="F80" s="2" t="s">
        <v>5384</v>
      </c>
      <c r="G80" s="2" t="s">
        <v>5385</v>
      </c>
      <c r="H80" s="2" t="s">
        <v>276</v>
      </c>
      <c r="I80" s="2" t="s">
        <v>5076</v>
      </c>
      <c r="J80" s="2" t="s">
        <v>5077</v>
      </c>
      <c r="K80" s="2" t="s">
        <v>5078</v>
      </c>
    </row>
    <row r="81" spans="1:11" ht="43.5" customHeight="1" x14ac:dyDescent="0.5">
      <c r="A81" s="2" t="s">
        <v>1080</v>
      </c>
      <c r="B81" s="2" t="s">
        <v>2853</v>
      </c>
      <c r="C81" s="2" t="s">
        <v>274</v>
      </c>
      <c r="D81" s="2" t="s">
        <v>5386</v>
      </c>
      <c r="E81" s="2" t="s">
        <v>5387</v>
      </c>
      <c r="F81" s="2" t="s">
        <v>5388</v>
      </c>
      <c r="G81" s="2" t="s">
        <v>5389</v>
      </c>
      <c r="H81" s="2" t="s">
        <v>276</v>
      </c>
      <c r="I81" s="2" t="s">
        <v>5076</v>
      </c>
      <c r="J81" s="2" t="s">
        <v>5077</v>
      </c>
      <c r="K81" s="2" t="s">
        <v>5078</v>
      </c>
    </row>
    <row r="82" spans="1:11" ht="43.5" customHeight="1" x14ac:dyDescent="0.5">
      <c r="A82" s="2" t="s">
        <v>1083</v>
      </c>
      <c r="B82" s="2" t="s">
        <v>2859</v>
      </c>
      <c r="C82" s="2" t="s">
        <v>274</v>
      </c>
      <c r="D82" s="2" t="s">
        <v>5390</v>
      </c>
      <c r="E82" s="2" t="s">
        <v>5391</v>
      </c>
      <c r="F82" s="2" t="s">
        <v>5392</v>
      </c>
      <c r="G82" s="2" t="s">
        <v>5393</v>
      </c>
      <c r="H82" s="2" t="s">
        <v>276</v>
      </c>
      <c r="I82" s="2" t="s">
        <v>5076</v>
      </c>
      <c r="J82" s="2" t="s">
        <v>5077</v>
      </c>
      <c r="K82" s="2" t="s">
        <v>5078</v>
      </c>
    </row>
    <row r="83" spans="1:11" ht="43.5" customHeight="1" x14ac:dyDescent="0.5">
      <c r="A83" s="2" t="s">
        <v>1098</v>
      </c>
      <c r="B83" s="2" t="s">
        <v>2881</v>
      </c>
      <c r="C83" s="2" t="s">
        <v>274</v>
      </c>
      <c r="D83" s="2" t="s">
        <v>5394</v>
      </c>
      <c r="E83" s="2" t="s">
        <v>5395</v>
      </c>
      <c r="F83" s="2" t="s">
        <v>5396</v>
      </c>
      <c r="G83" s="2" t="s">
        <v>5397</v>
      </c>
      <c r="H83" s="2" t="s">
        <v>276</v>
      </c>
      <c r="I83" s="2" t="s">
        <v>5076</v>
      </c>
      <c r="J83" s="2" t="s">
        <v>5077</v>
      </c>
      <c r="K83" s="2" t="s">
        <v>5078</v>
      </c>
    </row>
    <row r="84" spans="1:11" ht="43.5" customHeight="1" x14ac:dyDescent="0.5">
      <c r="A84" s="2" t="s">
        <v>1103</v>
      </c>
      <c r="B84" s="2" t="s">
        <v>2887</v>
      </c>
      <c r="C84" s="2" t="s">
        <v>274</v>
      </c>
      <c r="D84" s="2" t="s">
        <v>5398</v>
      </c>
      <c r="E84" s="2" t="s">
        <v>5399</v>
      </c>
      <c r="F84" s="2" t="s">
        <v>5400</v>
      </c>
      <c r="G84" s="2" t="s">
        <v>5401</v>
      </c>
      <c r="H84" s="2" t="s">
        <v>276</v>
      </c>
      <c r="I84" s="2" t="s">
        <v>5076</v>
      </c>
      <c r="J84" s="2" t="s">
        <v>5077</v>
      </c>
      <c r="K84" s="2" t="s">
        <v>5078</v>
      </c>
    </row>
    <row r="85" spans="1:11" ht="43.5" customHeight="1" x14ac:dyDescent="0.5">
      <c r="A85" s="2" t="s">
        <v>1123</v>
      </c>
      <c r="B85" s="2" t="s">
        <v>2909</v>
      </c>
      <c r="C85" s="2" t="s">
        <v>274</v>
      </c>
      <c r="D85" s="2" t="s">
        <v>5402</v>
      </c>
      <c r="E85" s="2" t="s">
        <v>5403</v>
      </c>
      <c r="F85" s="2" t="s">
        <v>5404</v>
      </c>
      <c r="G85" s="2" t="s">
        <v>5405</v>
      </c>
      <c r="H85" s="2" t="s">
        <v>276</v>
      </c>
      <c r="I85" s="2" t="s">
        <v>5076</v>
      </c>
      <c r="J85" s="2" t="s">
        <v>5077</v>
      </c>
      <c r="K85" s="2" t="s">
        <v>5078</v>
      </c>
    </row>
    <row r="86" spans="1:11" ht="43.5" customHeight="1" x14ac:dyDescent="0.5">
      <c r="A86" s="2" t="s">
        <v>1126</v>
      </c>
      <c r="B86" s="2" t="s">
        <v>2915</v>
      </c>
      <c r="C86" s="2" t="s">
        <v>274</v>
      </c>
      <c r="D86" s="2" t="s">
        <v>5406</v>
      </c>
      <c r="E86" s="2" t="s">
        <v>5407</v>
      </c>
      <c r="F86" s="2" t="s">
        <v>5408</v>
      </c>
      <c r="G86" s="2" t="s">
        <v>5409</v>
      </c>
      <c r="H86" s="2" t="s">
        <v>276</v>
      </c>
      <c r="I86" s="2" t="s">
        <v>5076</v>
      </c>
      <c r="J86" s="2" t="s">
        <v>5077</v>
      </c>
      <c r="K86" s="2" t="s">
        <v>5078</v>
      </c>
    </row>
    <row r="87" spans="1:11" ht="43.5" customHeight="1" x14ac:dyDescent="0.5">
      <c r="A87" s="2" t="s">
        <v>1141</v>
      </c>
      <c r="B87" s="2" t="s">
        <v>2937</v>
      </c>
      <c r="C87" s="2" t="s">
        <v>274</v>
      </c>
      <c r="D87" s="2" t="s">
        <v>5410</v>
      </c>
      <c r="E87" s="2" t="s">
        <v>5411</v>
      </c>
      <c r="F87" s="2" t="s">
        <v>5412</v>
      </c>
      <c r="G87" s="2" t="s">
        <v>5413</v>
      </c>
      <c r="H87" s="2" t="s">
        <v>276</v>
      </c>
      <c r="I87" s="2" t="s">
        <v>5076</v>
      </c>
      <c r="J87" s="2" t="s">
        <v>5077</v>
      </c>
      <c r="K87" s="2" t="s">
        <v>5078</v>
      </c>
    </row>
    <row r="88" spans="1:11" ht="43.5" customHeight="1" x14ac:dyDescent="0.5">
      <c r="A88" s="2" t="s">
        <v>1144</v>
      </c>
      <c r="B88" s="2" t="s">
        <v>2943</v>
      </c>
      <c r="C88" s="2" t="s">
        <v>274</v>
      </c>
      <c r="D88" s="2" t="s">
        <v>5414</v>
      </c>
      <c r="E88" s="2" t="s">
        <v>5415</v>
      </c>
      <c r="F88" s="2" t="s">
        <v>5416</v>
      </c>
      <c r="G88" s="2" t="s">
        <v>5417</v>
      </c>
      <c r="H88" s="2" t="s">
        <v>276</v>
      </c>
      <c r="I88" s="2" t="s">
        <v>5076</v>
      </c>
      <c r="J88" s="2" t="s">
        <v>5077</v>
      </c>
      <c r="K88" s="2" t="s">
        <v>5078</v>
      </c>
    </row>
    <row r="89" spans="1:11" ht="43.5" customHeight="1" x14ac:dyDescent="0.5">
      <c r="A89" s="2" t="s">
        <v>1154</v>
      </c>
      <c r="B89" s="2" t="s">
        <v>2965</v>
      </c>
      <c r="C89" s="2" t="s">
        <v>274</v>
      </c>
      <c r="D89" s="2" t="s">
        <v>5418</v>
      </c>
      <c r="E89" s="2" t="s">
        <v>5419</v>
      </c>
      <c r="F89" s="2" t="s">
        <v>5420</v>
      </c>
      <c r="G89" s="2" t="s">
        <v>5421</v>
      </c>
      <c r="H89" s="2" t="s">
        <v>276</v>
      </c>
      <c r="I89" s="2" t="s">
        <v>5076</v>
      </c>
      <c r="J89" s="2" t="s">
        <v>5077</v>
      </c>
      <c r="K89" s="2" t="s">
        <v>5078</v>
      </c>
    </row>
    <row r="90" spans="1:11" ht="43.5" customHeight="1" x14ac:dyDescent="0.5">
      <c r="A90" s="2" t="s">
        <v>1157</v>
      </c>
      <c r="B90" s="2" t="s">
        <v>2971</v>
      </c>
      <c r="C90" s="2" t="s">
        <v>274</v>
      </c>
      <c r="D90" s="2" t="s">
        <v>5422</v>
      </c>
      <c r="E90" s="2" t="s">
        <v>5423</v>
      </c>
      <c r="F90" s="2" t="s">
        <v>5424</v>
      </c>
      <c r="G90" s="2" t="s">
        <v>5425</v>
      </c>
      <c r="H90" s="2" t="s">
        <v>276</v>
      </c>
      <c r="I90" s="2" t="s">
        <v>5076</v>
      </c>
      <c r="J90" s="2" t="s">
        <v>5077</v>
      </c>
      <c r="K90" s="2" t="s">
        <v>5078</v>
      </c>
    </row>
    <row r="91" spans="1:11" ht="43.5" customHeight="1" x14ac:dyDescent="0.5">
      <c r="A91" s="2" t="s">
        <v>1167</v>
      </c>
      <c r="B91" s="2" t="s">
        <v>2993</v>
      </c>
      <c r="C91" s="2" t="s">
        <v>274</v>
      </c>
      <c r="D91" s="2" t="s">
        <v>5426</v>
      </c>
      <c r="E91" s="2" t="s">
        <v>5427</v>
      </c>
      <c r="F91" s="2" t="s">
        <v>5428</v>
      </c>
      <c r="G91" s="2" t="s">
        <v>5429</v>
      </c>
      <c r="H91" s="2" t="s">
        <v>276</v>
      </c>
      <c r="I91" s="2" t="s">
        <v>5076</v>
      </c>
      <c r="J91" s="2" t="s">
        <v>5077</v>
      </c>
      <c r="K91" s="2" t="s">
        <v>5078</v>
      </c>
    </row>
    <row r="92" spans="1:11" ht="43.5" customHeight="1" x14ac:dyDescent="0.5">
      <c r="A92" s="2" t="s">
        <v>1173</v>
      </c>
      <c r="B92" s="2" t="s">
        <v>2999</v>
      </c>
      <c r="C92" s="2" t="s">
        <v>274</v>
      </c>
      <c r="D92" s="2" t="s">
        <v>5430</v>
      </c>
      <c r="E92" s="2" t="s">
        <v>5431</v>
      </c>
      <c r="F92" s="2" t="s">
        <v>1789</v>
      </c>
      <c r="G92" s="2" t="s">
        <v>5432</v>
      </c>
      <c r="H92" s="2" t="s">
        <v>276</v>
      </c>
      <c r="I92" s="2" t="s">
        <v>5076</v>
      </c>
      <c r="J92" s="2" t="s">
        <v>5077</v>
      </c>
      <c r="K92" s="2" t="s">
        <v>5078</v>
      </c>
    </row>
    <row r="93" spans="1:11" ht="43.5" customHeight="1" x14ac:dyDescent="0.5">
      <c r="A93" s="2" t="s">
        <v>1188</v>
      </c>
      <c r="B93" s="2" t="s">
        <v>3011</v>
      </c>
      <c r="C93" s="2" t="s">
        <v>274</v>
      </c>
      <c r="D93" s="2" t="s">
        <v>5433</v>
      </c>
      <c r="E93" s="2" t="s">
        <v>5434</v>
      </c>
      <c r="F93" s="2" t="s">
        <v>1789</v>
      </c>
      <c r="G93" s="2" t="s">
        <v>5435</v>
      </c>
      <c r="H93" s="2" t="s">
        <v>276</v>
      </c>
      <c r="I93" s="2" t="s">
        <v>5076</v>
      </c>
      <c r="J93" s="2" t="s">
        <v>5077</v>
      </c>
      <c r="K93" s="2" t="s">
        <v>5078</v>
      </c>
    </row>
    <row r="94" spans="1:11" ht="43.5" customHeight="1" x14ac:dyDescent="0.5">
      <c r="A94" s="2" t="s">
        <v>1193</v>
      </c>
      <c r="B94" s="2" t="s">
        <v>3015</v>
      </c>
      <c r="C94" s="2" t="s">
        <v>274</v>
      </c>
      <c r="D94" s="2" t="s">
        <v>5436</v>
      </c>
      <c r="E94" s="2" t="s">
        <v>5437</v>
      </c>
      <c r="F94" s="2" t="s">
        <v>1789</v>
      </c>
      <c r="G94" s="2" t="s">
        <v>5438</v>
      </c>
      <c r="H94" s="2" t="s">
        <v>276</v>
      </c>
      <c r="I94" s="2" t="s">
        <v>5076</v>
      </c>
      <c r="J94" s="2" t="s">
        <v>5077</v>
      </c>
      <c r="K94" s="2" t="s">
        <v>5078</v>
      </c>
    </row>
    <row r="95" spans="1:11" ht="43.5" customHeight="1" x14ac:dyDescent="0.5">
      <c r="A95" s="2" t="s">
        <v>1204</v>
      </c>
      <c r="B95" s="2" t="s">
        <v>3027</v>
      </c>
      <c r="C95" s="2" t="s">
        <v>274</v>
      </c>
      <c r="D95" s="2" t="s">
        <v>5439</v>
      </c>
      <c r="E95" s="2" t="s">
        <v>5440</v>
      </c>
      <c r="F95" s="2" t="s">
        <v>1789</v>
      </c>
      <c r="G95" s="2" t="s">
        <v>5441</v>
      </c>
      <c r="H95" s="2" t="s">
        <v>276</v>
      </c>
      <c r="I95" s="2" t="s">
        <v>5076</v>
      </c>
      <c r="J95" s="2" t="s">
        <v>5077</v>
      </c>
      <c r="K95" s="2" t="s">
        <v>5078</v>
      </c>
    </row>
    <row r="96" spans="1:11" ht="43.5" customHeight="1" x14ac:dyDescent="0.5">
      <c r="A96" s="2" t="s">
        <v>1207</v>
      </c>
      <c r="B96" s="2" t="s">
        <v>3031</v>
      </c>
      <c r="C96" s="2" t="s">
        <v>274</v>
      </c>
      <c r="D96" s="2" t="s">
        <v>5442</v>
      </c>
      <c r="E96" s="2" t="s">
        <v>5443</v>
      </c>
      <c r="F96" s="2" t="s">
        <v>1789</v>
      </c>
      <c r="G96" s="2" t="s">
        <v>5444</v>
      </c>
      <c r="H96" s="2" t="s">
        <v>276</v>
      </c>
      <c r="I96" s="2" t="s">
        <v>5076</v>
      </c>
      <c r="J96" s="2" t="s">
        <v>5077</v>
      </c>
      <c r="K96" s="2" t="s">
        <v>5078</v>
      </c>
    </row>
    <row r="97" spans="1:11" ht="43.5" customHeight="1" x14ac:dyDescent="0.5">
      <c r="A97" s="2" t="s">
        <v>1217</v>
      </c>
      <c r="B97" s="2" t="s">
        <v>3043</v>
      </c>
      <c r="C97" s="2" t="s">
        <v>274</v>
      </c>
      <c r="D97" s="2" t="s">
        <v>5445</v>
      </c>
      <c r="E97" s="2" t="s">
        <v>5446</v>
      </c>
      <c r="F97" s="2" t="s">
        <v>1789</v>
      </c>
      <c r="G97" s="2" t="s">
        <v>5447</v>
      </c>
      <c r="H97" s="2" t="s">
        <v>276</v>
      </c>
      <c r="I97" s="2" t="s">
        <v>5076</v>
      </c>
      <c r="J97" s="2" t="s">
        <v>5077</v>
      </c>
      <c r="K97" s="2" t="s">
        <v>5078</v>
      </c>
    </row>
    <row r="98" spans="1:11" ht="43.5" customHeight="1" x14ac:dyDescent="0.5">
      <c r="A98" s="2" t="s">
        <v>1220</v>
      </c>
      <c r="B98" s="2" t="s">
        <v>3047</v>
      </c>
      <c r="C98" s="2" t="s">
        <v>274</v>
      </c>
      <c r="D98" s="2" t="s">
        <v>5448</v>
      </c>
      <c r="E98" s="2" t="s">
        <v>5449</v>
      </c>
      <c r="F98" s="2" t="s">
        <v>1789</v>
      </c>
      <c r="G98" s="2" t="s">
        <v>5450</v>
      </c>
      <c r="H98" s="2" t="s">
        <v>276</v>
      </c>
      <c r="I98" s="2" t="s">
        <v>5076</v>
      </c>
      <c r="J98" s="2" t="s">
        <v>5077</v>
      </c>
      <c r="K98" s="2" t="s">
        <v>5078</v>
      </c>
    </row>
    <row r="99" spans="1:11" ht="43.5" customHeight="1" x14ac:dyDescent="0.5">
      <c r="A99" s="2" t="s">
        <v>1226</v>
      </c>
      <c r="B99" s="2" t="s">
        <v>3059</v>
      </c>
      <c r="C99" s="2" t="s">
        <v>274</v>
      </c>
      <c r="D99" s="2" t="s">
        <v>5451</v>
      </c>
      <c r="E99" s="2" t="s">
        <v>5452</v>
      </c>
      <c r="F99" s="2" t="s">
        <v>1789</v>
      </c>
      <c r="G99" s="2" t="s">
        <v>5453</v>
      </c>
      <c r="H99" s="2" t="s">
        <v>276</v>
      </c>
      <c r="I99" s="2" t="s">
        <v>5076</v>
      </c>
      <c r="J99" s="2" t="s">
        <v>5077</v>
      </c>
      <c r="K99" s="2" t="s">
        <v>5078</v>
      </c>
    </row>
    <row r="100" spans="1:11" ht="43.5" customHeight="1" x14ac:dyDescent="0.5">
      <c r="A100" s="2" t="s">
        <v>1229</v>
      </c>
      <c r="B100" s="2" t="s">
        <v>3063</v>
      </c>
      <c r="C100" s="2" t="s">
        <v>274</v>
      </c>
      <c r="D100" s="2" t="s">
        <v>5454</v>
      </c>
      <c r="E100" s="2" t="s">
        <v>5455</v>
      </c>
      <c r="F100" s="2" t="s">
        <v>1789</v>
      </c>
      <c r="G100" s="2" t="s">
        <v>5456</v>
      </c>
      <c r="H100" s="2" t="s">
        <v>276</v>
      </c>
      <c r="I100" s="2" t="s">
        <v>5076</v>
      </c>
      <c r="J100" s="2" t="s">
        <v>5077</v>
      </c>
      <c r="K100" s="2" t="s">
        <v>5078</v>
      </c>
    </row>
    <row r="101" spans="1:11" ht="43.5" customHeight="1" x14ac:dyDescent="0.5">
      <c r="A101" s="2" t="s">
        <v>1235</v>
      </c>
      <c r="B101" s="2" t="s">
        <v>3075</v>
      </c>
      <c r="C101" s="2" t="s">
        <v>274</v>
      </c>
      <c r="D101" s="2" t="s">
        <v>5457</v>
      </c>
      <c r="E101" s="2" t="s">
        <v>5458</v>
      </c>
      <c r="F101" s="2" t="s">
        <v>5459</v>
      </c>
      <c r="G101" s="2" t="s">
        <v>5460</v>
      </c>
      <c r="H101" s="2" t="s">
        <v>276</v>
      </c>
      <c r="I101" s="2" t="s">
        <v>5076</v>
      </c>
      <c r="J101" s="2" t="s">
        <v>5077</v>
      </c>
      <c r="K101" s="2" t="s">
        <v>5078</v>
      </c>
    </row>
    <row r="102" spans="1:11" ht="43.5" customHeight="1" x14ac:dyDescent="0.5">
      <c r="A102" s="2" t="s">
        <v>1240</v>
      </c>
      <c r="B102" s="2" t="s">
        <v>3081</v>
      </c>
      <c r="C102" s="2" t="s">
        <v>274</v>
      </c>
      <c r="D102" s="2" t="s">
        <v>5461</v>
      </c>
      <c r="E102" s="2" t="s">
        <v>5462</v>
      </c>
      <c r="F102" s="2" t="s">
        <v>1789</v>
      </c>
      <c r="G102" s="2" t="s">
        <v>5463</v>
      </c>
      <c r="H102" s="2" t="s">
        <v>276</v>
      </c>
      <c r="I102" s="2" t="s">
        <v>5076</v>
      </c>
      <c r="J102" s="2" t="s">
        <v>5077</v>
      </c>
      <c r="K102" s="2" t="s">
        <v>5078</v>
      </c>
    </row>
    <row r="103" spans="1:11" ht="43.5" customHeight="1" x14ac:dyDescent="0.5">
      <c r="A103" s="2" t="s">
        <v>1246</v>
      </c>
      <c r="B103" s="2" t="s">
        <v>3093</v>
      </c>
      <c r="C103" s="2" t="s">
        <v>274</v>
      </c>
      <c r="D103" s="2" t="s">
        <v>5464</v>
      </c>
      <c r="E103" s="2" t="s">
        <v>5465</v>
      </c>
      <c r="F103" s="2" t="s">
        <v>1789</v>
      </c>
      <c r="G103" s="2" t="s">
        <v>5466</v>
      </c>
      <c r="H103" s="2" t="s">
        <v>276</v>
      </c>
      <c r="I103" s="2" t="s">
        <v>5076</v>
      </c>
      <c r="J103" s="2" t="s">
        <v>5077</v>
      </c>
      <c r="K103" s="2" t="s">
        <v>5078</v>
      </c>
    </row>
    <row r="104" spans="1:11" ht="43.5" customHeight="1" x14ac:dyDescent="0.5">
      <c r="A104" s="2" t="s">
        <v>1249</v>
      </c>
      <c r="B104" s="2" t="s">
        <v>3097</v>
      </c>
      <c r="C104" s="2" t="s">
        <v>274</v>
      </c>
      <c r="D104" s="2" t="s">
        <v>5467</v>
      </c>
      <c r="E104" s="2" t="s">
        <v>5468</v>
      </c>
      <c r="F104" s="2" t="s">
        <v>1789</v>
      </c>
      <c r="G104" s="2" t="s">
        <v>5469</v>
      </c>
      <c r="H104" s="2" t="s">
        <v>276</v>
      </c>
      <c r="I104" s="2" t="s">
        <v>5076</v>
      </c>
      <c r="J104" s="2" t="s">
        <v>5077</v>
      </c>
      <c r="K104" s="2" t="s">
        <v>5078</v>
      </c>
    </row>
    <row r="105" spans="1:11" ht="43.5" customHeight="1" x14ac:dyDescent="0.5">
      <c r="A105" s="2" t="s">
        <v>1255</v>
      </c>
      <c r="B105" s="2" t="s">
        <v>3109</v>
      </c>
      <c r="C105" s="2" t="s">
        <v>274</v>
      </c>
      <c r="D105" s="2" t="s">
        <v>5470</v>
      </c>
      <c r="E105" s="2" t="s">
        <v>5471</v>
      </c>
      <c r="F105" s="2" t="s">
        <v>5472</v>
      </c>
      <c r="G105" s="2" t="s">
        <v>5473</v>
      </c>
      <c r="H105" s="2" t="s">
        <v>276</v>
      </c>
      <c r="I105" s="2" t="s">
        <v>5076</v>
      </c>
      <c r="J105" s="2" t="s">
        <v>5077</v>
      </c>
      <c r="K105" s="2" t="s">
        <v>5078</v>
      </c>
    </row>
    <row r="106" spans="1:11" ht="43.5" customHeight="1" x14ac:dyDescent="0.5">
      <c r="A106" s="2" t="s">
        <v>1258</v>
      </c>
      <c r="B106" s="2" t="s">
        <v>3115</v>
      </c>
      <c r="C106" s="2" t="s">
        <v>274</v>
      </c>
      <c r="D106" s="2" t="s">
        <v>5474</v>
      </c>
      <c r="E106" s="2" t="s">
        <v>5475</v>
      </c>
      <c r="F106" s="2" t="s">
        <v>1789</v>
      </c>
      <c r="G106" s="2" t="s">
        <v>5476</v>
      </c>
      <c r="H106" s="2" t="s">
        <v>276</v>
      </c>
      <c r="I106" s="2" t="s">
        <v>5076</v>
      </c>
      <c r="J106" s="2" t="s">
        <v>5077</v>
      </c>
      <c r="K106" s="2" t="s">
        <v>5078</v>
      </c>
    </row>
    <row r="107" spans="1:11" ht="43.5" customHeight="1" x14ac:dyDescent="0.5">
      <c r="A107" s="2" t="s">
        <v>1264</v>
      </c>
      <c r="B107" s="2" t="s">
        <v>3127</v>
      </c>
      <c r="C107" s="2" t="s">
        <v>274</v>
      </c>
      <c r="D107" s="2" t="s">
        <v>5477</v>
      </c>
      <c r="E107" s="2" t="s">
        <v>5478</v>
      </c>
      <c r="F107" s="2" t="s">
        <v>1789</v>
      </c>
      <c r="G107" s="2" t="s">
        <v>5479</v>
      </c>
      <c r="H107" s="2" t="s">
        <v>276</v>
      </c>
      <c r="I107" s="2" t="s">
        <v>5076</v>
      </c>
      <c r="J107" s="2" t="s">
        <v>5077</v>
      </c>
      <c r="K107" s="2" t="s">
        <v>5078</v>
      </c>
    </row>
    <row r="108" spans="1:11" ht="43.5" customHeight="1" x14ac:dyDescent="0.5">
      <c r="A108" s="2" t="s">
        <v>1268</v>
      </c>
      <c r="B108" s="2" t="s">
        <v>3131</v>
      </c>
      <c r="C108" s="2" t="s">
        <v>274</v>
      </c>
      <c r="D108" s="2" t="s">
        <v>5480</v>
      </c>
      <c r="E108" s="2" t="s">
        <v>5481</v>
      </c>
      <c r="F108" s="2" t="s">
        <v>1789</v>
      </c>
      <c r="G108" s="2" t="s">
        <v>5482</v>
      </c>
      <c r="H108" s="2" t="s">
        <v>276</v>
      </c>
      <c r="I108" s="2" t="s">
        <v>5076</v>
      </c>
      <c r="J108" s="2" t="s">
        <v>5077</v>
      </c>
      <c r="K108" s="2" t="s">
        <v>5078</v>
      </c>
    </row>
    <row r="109" spans="1:11" ht="43.5" customHeight="1" x14ac:dyDescent="0.5">
      <c r="A109" s="2" t="s">
        <v>1274</v>
      </c>
      <c r="B109" s="2" t="s">
        <v>3135</v>
      </c>
      <c r="C109" s="2" t="s">
        <v>274</v>
      </c>
      <c r="D109" s="2" t="s">
        <v>5483</v>
      </c>
      <c r="E109" s="2" t="s">
        <v>5484</v>
      </c>
      <c r="F109" s="2" t="s">
        <v>1789</v>
      </c>
      <c r="G109" s="2" t="s">
        <v>5485</v>
      </c>
      <c r="H109" s="2" t="s">
        <v>276</v>
      </c>
      <c r="I109" s="2" t="s">
        <v>5076</v>
      </c>
      <c r="J109" s="2" t="s">
        <v>5077</v>
      </c>
      <c r="K109" s="2" t="s">
        <v>5078</v>
      </c>
    </row>
    <row r="110" spans="1:11" ht="43.5" customHeight="1" x14ac:dyDescent="0.5">
      <c r="A110" s="2" t="s">
        <v>1284</v>
      </c>
      <c r="B110" s="2" t="s">
        <v>3147</v>
      </c>
      <c r="C110" s="2" t="s">
        <v>274</v>
      </c>
      <c r="D110" s="2" t="s">
        <v>5486</v>
      </c>
      <c r="E110" s="2" t="s">
        <v>5487</v>
      </c>
      <c r="F110" s="2" t="s">
        <v>1789</v>
      </c>
      <c r="G110" s="2" t="s">
        <v>5488</v>
      </c>
      <c r="H110" s="2" t="s">
        <v>276</v>
      </c>
      <c r="I110" s="2" t="s">
        <v>5076</v>
      </c>
      <c r="J110" s="2" t="s">
        <v>5077</v>
      </c>
      <c r="K110" s="2" t="s">
        <v>5078</v>
      </c>
    </row>
    <row r="111" spans="1:11" ht="43.5" customHeight="1" x14ac:dyDescent="0.5">
      <c r="A111" s="2" t="s">
        <v>1287</v>
      </c>
      <c r="B111" s="2" t="s">
        <v>3151</v>
      </c>
      <c r="C111" s="2" t="s">
        <v>274</v>
      </c>
      <c r="D111" s="2" t="s">
        <v>5489</v>
      </c>
      <c r="E111" s="2" t="s">
        <v>5490</v>
      </c>
      <c r="F111" s="2" t="s">
        <v>1789</v>
      </c>
      <c r="G111" s="2" t="s">
        <v>5491</v>
      </c>
      <c r="H111" s="2" t="s">
        <v>276</v>
      </c>
      <c r="I111" s="2" t="s">
        <v>5076</v>
      </c>
      <c r="J111" s="2" t="s">
        <v>5077</v>
      </c>
      <c r="K111" s="2" t="s">
        <v>5078</v>
      </c>
    </row>
    <row r="112" spans="1:11" ht="43.5" customHeight="1" x14ac:dyDescent="0.5">
      <c r="A112" s="2" t="s">
        <v>1293</v>
      </c>
      <c r="B112" s="2" t="s">
        <v>3163</v>
      </c>
      <c r="C112" s="2" t="s">
        <v>274</v>
      </c>
      <c r="D112" s="2" t="s">
        <v>5492</v>
      </c>
      <c r="E112" s="2" t="s">
        <v>5493</v>
      </c>
      <c r="F112" s="2" t="s">
        <v>1789</v>
      </c>
      <c r="G112" s="2" t="s">
        <v>5494</v>
      </c>
      <c r="H112" s="2" t="s">
        <v>276</v>
      </c>
      <c r="I112" s="2" t="s">
        <v>5076</v>
      </c>
      <c r="J112" s="2" t="s">
        <v>5077</v>
      </c>
      <c r="K112" s="2" t="s">
        <v>5078</v>
      </c>
    </row>
    <row r="113" spans="1:11" ht="43.5" customHeight="1" x14ac:dyDescent="0.5">
      <c r="A113" s="2" t="s">
        <v>1296</v>
      </c>
      <c r="B113" s="2" t="s">
        <v>3167</v>
      </c>
      <c r="C113" s="2" t="s">
        <v>274</v>
      </c>
      <c r="D113" s="2" t="s">
        <v>5495</v>
      </c>
      <c r="E113" s="2" t="s">
        <v>5496</v>
      </c>
      <c r="F113" s="2" t="s">
        <v>1789</v>
      </c>
      <c r="G113" s="2" t="s">
        <v>5497</v>
      </c>
      <c r="H113" s="2" t="s">
        <v>276</v>
      </c>
      <c r="I113" s="2" t="s">
        <v>5076</v>
      </c>
      <c r="J113" s="2" t="s">
        <v>5077</v>
      </c>
      <c r="K113" s="2" t="s">
        <v>5078</v>
      </c>
    </row>
    <row r="114" spans="1:11" ht="43.5" customHeight="1" x14ac:dyDescent="0.5">
      <c r="A114" s="2" t="s">
        <v>1302</v>
      </c>
      <c r="B114" s="2" t="s">
        <v>3179</v>
      </c>
      <c r="C114" s="2" t="s">
        <v>274</v>
      </c>
      <c r="D114" s="2" t="s">
        <v>5498</v>
      </c>
      <c r="E114" s="2" t="s">
        <v>5499</v>
      </c>
      <c r="F114" s="2" t="s">
        <v>1789</v>
      </c>
      <c r="G114" s="2" t="s">
        <v>5500</v>
      </c>
      <c r="H114" s="2" t="s">
        <v>276</v>
      </c>
      <c r="I114" s="2" t="s">
        <v>5076</v>
      </c>
      <c r="J114" s="2" t="s">
        <v>5077</v>
      </c>
      <c r="K114" s="2" t="s">
        <v>5078</v>
      </c>
    </row>
    <row r="115" spans="1:11" ht="43.5" customHeight="1" x14ac:dyDescent="0.5">
      <c r="A115" s="2" t="s">
        <v>1318</v>
      </c>
      <c r="B115" s="2" t="s">
        <v>3187</v>
      </c>
      <c r="C115" s="2" t="s">
        <v>274</v>
      </c>
      <c r="D115" s="2" t="s">
        <v>5501</v>
      </c>
      <c r="E115" s="2" t="s">
        <v>5502</v>
      </c>
      <c r="F115" s="2" t="s">
        <v>1789</v>
      </c>
      <c r="G115" s="2" t="s">
        <v>5503</v>
      </c>
      <c r="H115" s="2" t="s">
        <v>276</v>
      </c>
      <c r="I115" s="2" t="s">
        <v>5076</v>
      </c>
      <c r="J115" s="2" t="s">
        <v>5077</v>
      </c>
      <c r="K115" s="2" t="s">
        <v>5078</v>
      </c>
    </row>
    <row r="116" spans="1:11" ht="43.5" customHeight="1" x14ac:dyDescent="0.5">
      <c r="A116" s="2" t="s">
        <v>1331</v>
      </c>
      <c r="B116" s="2" t="s">
        <v>3195</v>
      </c>
      <c r="C116" s="2" t="s">
        <v>274</v>
      </c>
      <c r="D116" s="2" t="s">
        <v>5504</v>
      </c>
      <c r="E116" s="2" t="s">
        <v>5505</v>
      </c>
      <c r="F116" s="2" t="s">
        <v>1789</v>
      </c>
      <c r="G116" s="2" t="s">
        <v>5506</v>
      </c>
      <c r="H116" s="2" t="s">
        <v>276</v>
      </c>
      <c r="I116" s="2" t="s">
        <v>5076</v>
      </c>
      <c r="J116" s="2" t="s">
        <v>5077</v>
      </c>
      <c r="K116" s="2" t="s">
        <v>5078</v>
      </c>
    </row>
    <row r="117" spans="1:11" ht="43.5" customHeight="1" x14ac:dyDescent="0.5">
      <c r="A117" s="2" t="s">
        <v>1338</v>
      </c>
      <c r="B117" s="2" t="s">
        <v>3199</v>
      </c>
      <c r="C117" s="2" t="s">
        <v>274</v>
      </c>
      <c r="D117" s="2" t="s">
        <v>5507</v>
      </c>
      <c r="E117" s="2" t="s">
        <v>5508</v>
      </c>
      <c r="F117" s="2" t="s">
        <v>1789</v>
      </c>
      <c r="G117" s="2" t="s">
        <v>5509</v>
      </c>
      <c r="H117" s="2" t="s">
        <v>276</v>
      </c>
      <c r="I117" s="2" t="s">
        <v>5076</v>
      </c>
      <c r="J117" s="2" t="s">
        <v>5077</v>
      </c>
      <c r="K117" s="2" t="s">
        <v>5078</v>
      </c>
    </row>
    <row r="118" spans="1:11" ht="43.5" customHeight="1" x14ac:dyDescent="0.5">
      <c r="A118" s="2" t="s">
        <v>1350</v>
      </c>
      <c r="B118" s="2" t="s">
        <v>3207</v>
      </c>
      <c r="C118" s="2" t="s">
        <v>274</v>
      </c>
      <c r="D118" s="2" t="s">
        <v>5510</v>
      </c>
      <c r="E118" s="2" t="s">
        <v>5511</v>
      </c>
      <c r="F118" s="2" t="s">
        <v>1789</v>
      </c>
      <c r="G118" s="2" t="s">
        <v>5512</v>
      </c>
      <c r="H118" s="2" t="s">
        <v>276</v>
      </c>
      <c r="I118" s="2" t="s">
        <v>5076</v>
      </c>
      <c r="J118" s="2" t="s">
        <v>5077</v>
      </c>
      <c r="K118" s="2" t="s">
        <v>5078</v>
      </c>
    </row>
    <row r="119" spans="1:11" ht="43.5" customHeight="1" x14ac:dyDescent="0.5">
      <c r="A119" s="2" t="s">
        <v>1356</v>
      </c>
      <c r="B119" s="2" t="s">
        <v>3215</v>
      </c>
      <c r="C119" s="2" t="s">
        <v>274</v>
      </c>
      <c r="D119" s="2" t="s">
        <v>5513</v>
      </c>
      <c r="E119" s="2" t="s">
        <v>5514</v>
      </c>
      <c r="F119" s="2" t="s">
        <v>1789</v>
      </c>
      <c r="G119" s="2" t="s">
        <v>5515</v>
      </c>
      <c r="H119" s="2" t="s">
        <v>276</v>
      </c>
      <c r="I119" s="2" t="s">
        <v>5076</v>
      </c>
      <c r="J119" s="2" t="s">
        <v>5077</v>
      </c>
      <c r="K119" s="2" t="s">
        <v>5078</v>
      </c>
    </row>
    <row r="120" spans="1:11" ht="43.5" customHeight="1" x14ac:dyDescent="0.5">
      <c r="A120" s="2" t="s">
        <v>1362</v>
      </c>
      <c r="B120" s="2" t="s">
        <v>3223</v>
      </c>
      <c r="C120" s="2" t="s">
        <v>274</v>
      </c>
      <c r="D120" s="2" t="s">
        <v>5516</v>
      </c>
      <c r="E120" s="2" t="s">
        <v>5517</v>
      </c>
      <c r="F120" s="2" t="s">
        <v>5518</v>
      </c>
      <c r="G120" s="2" t="s">
        <v>5519</v>
      </c>
      <c r="H120" s="2" t="s">
        <v>276</v>
      </c>
      <c r="I120" s="2" t="s">
        <v>5076</v>
      </c>
      <c r="J120" s="2" t="s">
        <v>5077</v>
      </c>
      <c r="K120" s="2" t="s">
        <v>5078</v>
      </c>
    </row>
    <row r="121" spans="1:11" ht="43.5" customHeight="1" x14ac:dyDescent="0.5">
      <c r="A121" s="2" t="s">
        <v>1371</v>
      </c>
      <c r="B121" s="2" t="s">
        <v>3229</v>
      </c>
      <c r="C121" s="2" t="s">
        <v>274</v>
      </c>
      <c r="D121" s="2" t="s">
        <v>5520</v>
      </c>
      <c r="E121" s="2" t="s">
        <v>5521</v>
      </c>
      <c r="F121" s="2" t="s">
        <v>5522</v>
      </c>
      <c r="G121" s="2" t="s">
        <v>5523</v>
      </c>
      <c r="H121" s="2" t="s">
        <v>276</v>
      </c>
      <c r="I121" s="2" t="s">
        <v>5076</v>
      </c>
      <c r="J121" s="2" t="s">
        <v>5077</v>
      </c>
      <c r="K121" s="2" t="s">
        <v>5078</v>
      </c>
    </row>
    <row r="122" spans="1:11" ht="43.5" customHeight="1" x14ac:dyDescent="0.5">
      <c r="A122" s="2" t="s">
        <v>1374</v>
      </c>
      <c r="B122" s="2" t="s">
        <v>3235</v>
      </c>
      <c r="C122" s="2" t="s">
        <v>274</v>
      </c>
      <c r="D122" s="2" t="s">
        <v>5524</v>
      </c>
      <c r="E122" s="2" t="s">
        <v>5525</v>
      </c>
      <c r="F122" s="2" t="s">
        <v>5526</v>
      </c>
      <c r="G122" s="2" t="s">
        <v>5527</v>
      </c>
      <c r="H122" s="2" t="s">
        <v>276</v>
      </c>
      <c r="I122" s="2" t="s">
        <v>5076</v>
      </c>
      <c r="J122" s="2" t="s">
        <v>5077</v>
      </c>
      <c r="K122" s="2" t="s">
        <v>5078</v>
      </c>
    </row>
    <row r="123" spans="1:11" ht="43.5" customHeight="1" x14ac:dyDescent="0.5">
      <c r="A123" s="2" t="s">
        <v>1379</v>
      </c>
      <c r="B123" s="2" t="s">
        <v>3241</v>
      </c>
      <c r="C123" s="2" t="s">
        <v>274</v>
      </c>
      <c r="D123" s="2" t="s">
        <v>5528</v>
      </c>
      <c r="E123" s="2" t="s">
        <v>5529</v>
      </c>
      <c r="F123" s="2" t="s">
        <v>5530</v>
      </c>
      <c r="G123" s="2" t="s">
        <v>5531</v>
      </c>
      <c r="H123" s="2" t="s">
        <v>276</v>
      </c>
      <c r="I123" s="2" t="s">
        <v>5076</v>
      </c>
      <c r="J123" s="2" t="s">
        <v>5077</v>
      </c>
      <c r="K123" s="2" t="s">
        <v>5078</v>
      </c>
    </row>
    <row r="124" spans="1:11" ht="43.5" customHeight="1" x14ac:dyDescent="0.5">
      <c r="A124" s="2" t="s">
        <v>1384</v>
      </c>
      <c r="B124" s="2" t="s">
        <v>3247</v>
      </c>
      <c r="C124" s="2" t="s">
        <v>274</v>
      </c>
      <c r="D124" s="2" t="s">
        <v>5532</v>
      </c>
      <c r="E124" s="2" t="s">
        <v>5533</v>
      </c>
      <c r="F124" s="2" t="s">
        <v>5534</v>
      </c>
      <c r="G124" s="2" t="s">
        <v>5535</v>
      </c>
      <c r="H124" s="2" t="s">
        <v>276</v>
      </c>
      <c r="I124" s="2" t="s">
        <v>5076</v>
      </c>
      <c r="J124" s="2" t="s">
        <v>5077</v>
      </c>
      <c r="K124" s="2" t="s">
        <v>5078</v>
      </c>
    </row>
    <row r="125" spans="1:11" ht="43.5" customHeight="1" x14ac:dyDescent="0.5">
      <c r="A125" s="2" t="s">
        <v>1387</v>
      </c>
      <c r="B125" s="2" t="s">
        <v>3253</v>
      </c>
      <c r="C125" s="2" t="s">
        <v>274</v>
      </c>
      <c r="D125" s="2" t="s">
        <v>5536</v>
      </c>
      <c r="E125" s="2" t="s">
        <v>5537</v>
      </c>
      <c r="F125" s="2" t="s">
        <v>5538</v>
      </c>
      <c r="G125" s="2" t="s">
        <v>5539</v>
      </c>
      <c r="H125" s="2" t="s">
        <v>276</v>
      </c>
      <c r="I125" s="2" t="s">
        <v>5076</v>
      </c>
      <c r="J125" s="2" t="s">
        <v>5077</v>
      </c>
      <c r="K125" s="2" t="s">
        <v>5078</v>
      </c>
    </row>
    <row r="126" spans="1:11" ht="43.5" customHeight="1" x14ac:dyDescent="0.5">
      <c r="A126" s="2" t="s">
        <v>1390</v>
      </c>
      <c r="B126" s="2" t="s">
        <v>3259</v>
      </c>
      <c r="C126" s="2" t="s">
        <v>274</v>
      </c>
      <c r="D126" s="2" t="s">
        <v>5540</v>
      </c>
      <c r="E126" s="2" t="s">
        <v>5541</v>
      </c>
      <c r="F126" s="2" t="s">
        <v>5542</v>
      </c>
      <c r="G126" s="2" t="s">
        <v>5543</v>
      </c>
      <c r="H126" s="2" t="s">
        <v>276</v>
      </c>
      <c r="I126" s="2" t="s">
        <v>5076</v>
      </c>
      <c r="J126" s="2" t="s">
        <v>5077</v>
      </c>
      <c r="K126" s="2" t="s">
        <v>5078</v>
      </c>
    </row>
    <row r="127" spans="1:11" ht="43.5" customHeight="1" x14ac:dyDescent="0.5">
      <c r="A127" s="2" t="s">
        <v>1393</v>
      </c>
      <c r="B127" s="2" t="s">
        <v>3265</v>
      </c>
      <c r="C127" s="2" t="s">
        <v>274</v>
      </c>
      <c r="D127" s="2" t="s">
        <v>5544</v>
      </c>
      <c r="E127" s="2" t="s">
        <v>5545</v>
      </c>
      <c r="F127" s="2" t="s">
        <v>5546</v>
      </c>
      <c r="G127" s="2" t="s">
        <v>5547</v>
      </c>
      <c r="H127" s="2" t="s">
        <v>276</v>
      </c>
      <c r="I127" s="2" t="s">
        <v>5076</v>
      </c>
      <c r="J127" s="2" t="s">
        <v>5077</v>
      </c>
      <c r="K127" s="2" t="s">
        <v>5078</v>
      </c>
    </row>
    <row r="128" spans="1:11" ht="43.5" customHeight="1" x14ac:dyDescent="0.5">
      <c r="A128" s="2" t="s">
        <v>1396</v>
      </c>
      <c r="B128" s="2" t="s">
        <v>3271</v>
      </c>
      <c r="C128" s="2" t="s">
        <v>274</v>
      </c>
      <c r="D128" s="2" t="s">
        <v>5548</v>
      </c>
      <c r="E128" s="2" t="s">
        <v>5549</v>
      </c>
      <c r="F128" s="2" t="s">
        <v>5550</v>
      </c>
      <c r="G128" s="2" t="s">
        <v>5551</v>
      </c>
      <c r="H128" s="2" t="s">
        <v>276</v>
      </c>
      <c r="I128" s="2" t="s">
        <v>5076</v>
      </c>
      <c r="J128" s="2" t="s">
        <v>5077</v>
      </c>
      <c r="K128" s="2" t="s">
        <v>5078</v>
      </c>
    </row>
    <row r="129" spans="1:11" ht="43.5" customHeight="1" x14ac:dyDescent="0.5">
      <c r="A129" s="2" t="s">
        <v>1399</v>
      </c>
      <c r="B129" s="2" t="s">
        <v>3277</v>
      </c>
      <c r="C129" s="2" t="s">
        <v>274</v>
      </c>
      <c r="D129" s="2" t="s">
        <v>5552</v>
      </c>
      <c r="E129" s="2" t="s">
        <v>5553</v>
      </c>
      <c r="F129" s="2" t="s">
        <v>5554</v>
      </c>
      <c r="G129" s="2" t="s">
        <v>5555</v>
      </c>
      <c r="H129" s="2" t="s">
        <v>276</v>
      </c>
      <c r="I129" s="2" t="s">
        <v>5076</v>
      </c>
      <c r="J129" s="2" t="s">
        <v>5077</v>
      </c>
      <c r="K129" s="2" t="s">
        <v>5078</v>
      </c>
    </row>
    <row r="130" spans="1:11" ht="43.5" customHeight="1" x14ac:dyDescent="0.5">
      <c r="A130" s="2" t="s">
        <v>1404</v>
      </c>
      <c r="B130" s="2" t="s">
        <v>3283</v>
      </c>
      <c r="C130" s="2" t="s">
        <v>274</v>
      </c>
      <c r="D130" s="2" t="s">
        <v>5556</v>
      </c>
      <c r="E130" s="2" t="s">
        <v>5557</v>
      </c>
      <c r="F130" s="2" t="s">
        <v>5558</v>
      </c>
      <c r="G130" s="2" t="s">
        <v>5559</v>
      </c>
      <c r="H130" s="2" t="s">
        <v>276</v>
      </c>
      <c r="I130" s="2" t="s">
        <v>5076</v>
      </c>
      <c r="J130" s="2" t="s">
        <v>5077</v>
      </c>
      <c r="K130" s="2" t="s">
        <v>5078</v>
      </c>
    </row>
    <row r="131" spans="1:11" ht="43.5" customHeight="1" x14ac:dyDescent="0.5">
      <c r="A131" s="2" t="s">
        <v>1407</v>
      </c>
      <c r="B131" s="2" t="s">
        <v>3289</v>
      </c>
      <c r="C131" s="2" t="s">
        <v>274</v>
      </c>
      <c r="D131" s="2" t="s">
        <v>5560</v>
      </c>
      <c r="E131" s="2" t="s">
        <v>5561</v>
      </c>
      <c r="F131" s="2" t="s">
        <v>5562</v>
      </c>
      <c r="G131" s="2" t="s">
        <v>5563</v>
      </c>
      <c r="H131" s="2" t="s">
        <v>276</v>
      </c>
      <c r="I131" s="2" t="s">
        <v>5076</v>
      </c>
      <c r="J131" s="2" t="s">
        <v>5077</v>
      </c>
      <c r="K131" s="2" t="s">
        <v>5078</v>
      </c>
    </row>
    <row r="132" spans="1:11" ht="43.5" customHeight="1" x14ac:dyDescent="0.5">
      <c r="A132" s="2" t="s">
        <v>1410</v>
      </c>
      <c r="B132" s="2" t="s">
        <v>3295</v>
      </c>
      <c r="C132" s="2" t="s">
        <v>274</v>
      </c>
      <c r="D132" s="2" t="s">
        <v>5564</v>
      </c>
      <c r="E132" s="2" t="s">
        <v>5565</v>
      </c>
      <c r="F132" s="2" t="s">
        <v>5566</v>
      </c>
      <c r="G132" s="2" t="s">
        <v>5567</v>
      </c>
      <c r="H132" s="2" t="s">
        <v>276</v>
      </c>
      <c r="I132" s="2" t="s">
        <v>5076</v>
      </c>
      <c r="J132" s="2" t="s">
        <v>5077</v>
      </c>
      <c r="K132" s="2" t="s">
        <v>5078</v>
      </c>
    </row>
    <row r="133" spans="1:11" ht="43.5" customHeight="1" x14ac:dyDescent="0.5">
      <c r="A133" s="2" t="s">
        <v>1415</v>
      </c>
      <c r="B133" s="2" t="s">
        <v>3301</v>
      </c>
      <c r="C133" s="2" t="s">
        <v>274</v>
      </c>
      <c r="D133" s="2" t="s">
        <v>5568</v>
      </c>
      <c r="E133" s="2" t="s">
        <v>5569</v>
      </c>
      <c r="F133" s="2" t="s">
        <v>5570</v>
      </c>
      <c r="G133" s="2" t="s">
        <v>5571</v>
      </c>
      <c r="H133" s="2" t="s">
        <v>276</v>
      </c>
      <c r="I133" s="2" t="s">
        <v>5076</v>
      </c>
      <c r="J133" s="2" t="s">
        <v>5077</v>
      </c>
      <c r="K133" s="2" t="s">
        <v>5078</v>
      </c>
    </row>
    <row r="134" spans="1:11" ht="43.5" customHeight="1" x14ac:dyDescent="0.5">
      <c r="A134" s="2" t="s">
        <v>1420</v>
      </c>
      <c r="B134" s="2" t="s">
        <v>3307</v>
      </c>
      <c r="C134" s="2" t="s">
        <v>274</v>
      </c>
      <c r="D134" s="2" t="s">
        <v>5572</v>
      </c>
      <c r="E134" s="2" t="s">
        <v>5573</v>
      </c>
      <c r="F134" s="2" t="s">
        <v>5574</v>
      </c>
      <c r="G134" s="2" t="s">
        <v>5575</v>
      </c>
      <c r="H134" s="2" t="s">
        <v>276</v>
      </c>
      <c r="I134" s="2" t="s">
        <v>5076</v>
      </c>
      <c r="J134" s="2" t="s">
        <v>5077</v>
      </c>
      <c r="K134" s="2" t="s">
        <v>5078</v>
      </c>
    </row>
    <row r="135" spans="1:11" ht="43.5" customHeight="1" x14ac:dyDescent="0.5">
      <c r="A135" s="2" t="s">
        <v>1425</v>
      </c>
      <c r="B135" s="2" t="s">
        <v>3313</v>
      </c>
      <c r="C135" s="2" t="s">
        <v>274</v>
      </c>
      <c r="D135" s="2" t="s">
        <v>5576</v>
      </c>
      <c r="E135" s="2" t="s">
        <v>5577</v>
      </c>
      <c r="F135" s="2" t="s">
        <v>1789</v>
      </c>
      <c r="G135" s="2" t="s">
        <v>5578</v>
      </c>
      <c r="H135" s="2" t="s">
        <v>276</v>
      </c>
      <c r="I135" s="2" t="s">
        <v>5076</v>
      </c>
      <c r="J135" s="2" t="s">
        <v>5077</v>
      </c>
      <c r="K135" s="2" t="s">
        <v>5078</v>
      </c>
    </row>
    <row r="136" spans="1:11" ht="43.5" customHeight="1" x14ac:dyDescent="0.5">
      <c r="A136" s="2" t="s">
        <v>1431</v>
      </c>
      <c r="B136" s="2" t="s">
        <v>3317</v>
      </c>
      <c r="C136" s="2" t="s">
        <v>274</v>
      </c>
      <c r="D136" s="2" t="s">
        <v>5579</v>
      </c>
      <c r="E136" s="2" t="s">
        <v>5580</v>
      </c>
      <c r="F136" s="2" t="s">
        <v>1789</v>
      </c>
      <c r="G136" s="2" t="s">
        <v>5581</v>
      </c>
      <c r="H136" s="2" t="s">
        <v>276</v>
      </c>
      <c r="I136" s="2" t="s">
        <v>5076</v>
      </c>
      <c r="J136" s="2" t="s">
        <v>5077</v>
      </c>
      <c r="K136" s="2" t="s">
        <v>5078</v>
      </c>
    </row>
    <row r="137" spans="1:11" ht="43.5" customHeight="1" x14ac:dyDescent="0.5">
      <c r="A137" s="2" t="s">
        <v>1434</v>
      </c>
      <c r="B137" s="2" t="s">
        <v>3321</v>
      </c>
      <c r="C137" s="2" t="s">
        <v>274</v>
      </c>
      <c r="D137" s="2" t="s">
        <v>5582</v>
      </c>
      <c r="E137" s="2" t="s">
        <v>5583</v>
      </c>
      <c r="F137" s="2" t="s">
        <v>1789</v>
      </c>
      <c r="G137" s="2" t="s">
        <v>5584</v>
      </c>
      <c r="H137" s="2" t="s">
        <v>276</v>
      </c>
      <c r="I137" s="2" t="s">
        <v>5076</v>
      </c>
      <c r="J137" s="2" t="s">
        <v>5077</v>
      </c>
      <c r="K137" s="2" t="s">
        <v>5078</v>
      </c>
    </row>
    <row r="138" spans="1:11" ht="43.5" customHeight="1" x14ac:dyDescent="0.5">
      <c r="A138" s="2" t="s">
        <v>1437</v>
      </c>
      <c r="B138" s="2" t="s">
        <v>3325</v>
      </c>
      <c r="C138" s="2" t="s">
        <v>274</v>
      </c>
      <c r="D138" s="2" t="s">
        <v>5585</v>
      </c>
      <c r="E138" s="2" t="s">
        <v>5586</v>
      </c>
      <c r="F138" s="2" t="s">
        <v>1789</v>
      </c>
      <c r="G138" s="2" t="s">
        <v>5587</v>
      </c>
      <c r="H138" s="2" t="s">
        <v>276</v>
      </c>
      <c r="I138" s="2" t="s">
        <v>5076</v>
      </c>
      <c r="J138" s="2" t="s">
        <v>5077</v>
      </c>
      <c r="K138" s="2" t="s">
        <v>5078</v>
      </c>
    </row>
    <row r="139" spans="1:11" ht="43.5" customHeight="1" x14ac:dyDescent="0.5">
      <c r="A139" s="2" t="s">
        <v>1440</v>
      </c>
      <c r="B139" s="2" t="s">
        <v>3329</v>
      </c>
      <c r="C139" s="2" t="s">
        <v>274</v>
      </c>
      <c r="D139" s="2" t="s">
        <v>5588</v>
      </c>
      <c r="E139" s="2" t="s">
        <v>5589</v>
      </c>
      <c r="F139" s="2" t="s">
        <v>5590</v>
      </c>
      <c r="G139" s="2" t="s">
        <v>5591</v>
      </c>
      <c r="H139" s="2" t="s">
        <v>276</v>
      </c>
      <c r="I139" s="2" t="s">
        <v>5076</v>
      </c>
      <c r="J139" s="2" t="s">
        <v>5077</v>
      </c>
      <c r="K139" s="2" t="s">
        <v>5078</v>
      </c>
    </row>
    <row r="140" spans="1:11" ht="43.5" customHeight="1" x14ac:dyDescent="0.5">
      <c r="A140" s="2" t="s">
        <v>1443</v>
      </c>
      <c r="B140" s="2" t="s">
        <v>3335</v>
      </c>
      <c r="C140" s="2" t="s">
        <v>274</v>
      </c>
      <c r="D140" s="2" t="s">
        <v>5592</v>
      </c>
      <c r="E140" s="2" t="s">
        <v>5593</v>
      </c>
      <c r="F140" s="2" t="s">
        <v>1789</v>
      </c>
      <c r="G140" s="2" t="s">
        <v>5594</v>
      </c>
      <c r="H140" s="2" t="s">
        <v>276</v>
      </c>
      <c r="I140" s="2" t="s">
        <v>5076</v>
      </c>
      <c r="J140" s="2" t="s">
        <v>5077</v>
      </c>
      <c r="K140" s="2" t="s">
        <v>5078</v>
      </c>
    </row>
    <row r="141" spans="1:11" ht="43.5" customHeight="1" x14ac:dyDescent="0.5">
      <c r="A141" s="2" t="s">
        <v>1446</v>
      </c>
      <c r="B141" s="2" t="s">
        <v>3339</v>
      </c>
      <c r="C141" s="2" t="s">
        <v>274</v>
      </c>
      <c r="D141" s="2" t="s">
        <v>5595</v>
      </c>
      <c r="E141" s="2" t="s">
        <v>5596</v>
      </c>
      <c r="F141" s="2" t="s">
        <v>5597</v>
      </c>
      <c r="G141" s="2" t="s">
        <v>5598</v>
      </c>
      <c r="H141" s="2" t="s">
        <v>276</v>
      </c>
      <c r="I141" s="2" t="s">
        <v>5076</v>
      </c>
      <c r="J141" s="2" t="s">
        <v>5077</v>
      </c>
      <c r="K141" s="2" t="s">
        <v>5078</v>
      </c>
    </row>
    <row r="142" spans="1:11" ht="43.5" customHeight="1" x14ac:dyDescent="0.5">
      <c r="A142" s="2" t="s">
        <v>1449</v>
      </c>
      <c r="B142" s="2" t="s">
        <v>3345</v>
      </c>
      <c r="C142" s="2" t="s">
        <v>274</v>
      </c>
      <c r="D142" s="2" t="s">
        <v>5599</v>
      </c>
      <c r="E142" s="2" t="s">
        <v>5600</v>
      </c>
      <c r="F142" s="2" t="s">
        <v>1789</v>
      </c>
      <c r="G142" s="2" t="s">
        <v>5601</v>
      </c>
      <c r="H142" s="2" t="s">
        <v>276</v>
      </c>
      <c r="I142" s="2" t="s">
        <v>5076</v>
      </c>
      <c r="J142" s="2" t="s">
        <v>5077</v>
      </c>
      <c r="K142" s="2" t="s">
        <v>5078</v>
      </c>
    </row>
    <row r="143" spans="1:11" ht="43.5" customHeight="1" x14ac:dyDescent="0.5">
      <c r="A143" s="2" t="s">
        <v>1455</v>
      </c>
      <c r="B143" s="2" t="s">
        <v>3349</v>
      </c>
      <c r="C143" s="2" t="s">
        <v>274</v>
      </c>
      <c r="D143" s="2" t="s">
        <v>5602</v>
      </c>
      <c r="E143" s="2" t="s">
        <v>5603</v>
      </c>
      <c r="F143" s="2" t="s">
        <v>1789</v>
      </c>
      <c r="G143" s="2" t="s">
        <v>5604</v>
      </c>
      <c r="H143" s="2" t="s">
        <v>276</v>
      </c>
      <c r="I143" s="2" t="s">
        <v>5076</v>
      </c>
      <c r="J143" s="2" t="s">
        <v>5077</v>
      </c>
      <c r="K143" s="2" t="s">
        <v>5078</v>
      </c>
    </row>
    <row r="144" spans="1:11" ht="43.5" customHeight="1" x14ac:dyDescent="0.5">
      <c r="A144" s="2" t="s">
        <v>1458</v>
      </c>
      <c r="B144" s="2" t="s">
        <v>3353</v>
      </c>
      <c r="C144" s="2" t="s">
        <v>274</v>
      </c>
      <c r="D144" s="2" t="s">
        <v>5605</v>
      </c>
      <c r="E144" s="2" t="s">
        <v>5606</v>
      </c>
      <c r="F144" s="2" t="s">
        <v>1789</v>
      </c>
      <c r="G144" s="2" t="s">
        <v>5607</v>
      </c>
      <c r="H144" s="2" t="s">
        <v>276</v>
      </c>
      <c r="I144" s="2" t="s">
        <v>5076</v>
      </c>
      <c r="J144" s="2" t="s">
        <v>5077</v>
      </c>
      <c r="K144" s="2" t="s">
        <v>5078</v>
      </c>
    </row>
    <row r="145" spans="1:11" ht="43.5" customHeight="1" x14ac:dyDescent="0.5">
      <c r="A145" s="2" t="s">
        <v>1461</v>
      </c>
      <c r="B145" s="2" t="s">
        <v>3357</v>
      </c>
      <c r="C145" s="2" t="s">
        <v>274</v>
      </c>
      <c r="D145" s="2" t="s">
        <v>5608</v>
      </c>
      <c r="E145" s="2" t="s">
        <v>5609</v>
      </c>
      <c r="F145" s="2" t="s">
        <v>1789</v>
      </c>
      <c r="G145" s="2" t="s">
        <v>5610</v>
      </c>
      <c r="H145" s="2" t="s">
        <v>276</v>
      </c>
      <c r="I145" s="2" t="s">
        <v>5076</v>
      </c>
      <c r="J145" s="2" t="s">
        <v>5077</v>
      </c>
      <c r="K145" s="2" t="s">
        <v>5078</v>
      </c>
    </row>
    <row r="146" spans="1:11" ht="43.5" customHeight="1" x14ac:dyDescent="0.5">
      <c r="A146" s="2" t="s">
        <v>1510</v>
      </c>
      <c r="B146" s="2" t="s">
        <v>3381</v>
      </c>
      <c r="C146" s="2" t="s">
        <v>274</v>
      </c>
      <c r="D146" s="2" t="s">
        <v>5611</v>
      </c>
      <c r="E146" s="2" t="s">
        <v>5612</v>
      </c>
      <c r="F146" s="2" t="s">
        <v>1789</v>
      </c>
      <c r="G146" s="2" t="s">
        <v>5613</v>
      </c>
      <c r="H146" s="2" t="s">
        <v>276</v>
      </c>
      <c r="I146" s="2" t="s">
        <v>5076</v>
      </c>
      <c r="J146" s="2" t="s">
        <v>5077</v>
      </c>
      <c r="K146" s="2" t="s">
        <v>5078</v>
      </c>
    </row>
    <row r="147" spans="1:11" ht="43.5" customHeight="1" x14ac:dyDescent="0.5">
      <c r="A147" s="2" t="s">
        <v>1533</v>
      </c>
      <c r="B147" s="2" t="s">
        <v>3393</v>
      </c>
      <c r="C147" s="2" t="s">
        <v>274</v>
      </c>
      <c r="D147" s="2" t="s">
        <v>5614</v>
      </c>
      <c r="E147" s="2" t="s">
        <v>5615</v>
      </c>
      <c r="F147" s="2" t="s">
        <v>1789</v>
      </c>
      <c r="G147" s="2" t="s">
        <v>5616</v>
      </c>
      <c r="H147" s="2" t="s">
        <v>276</v>
      </c>
      <c r="I147" s="2" t="s">
        <v>5076</v>
      </c>
      <c r="J147" s="2" t="s">
        <v>5077</v>
      </c>
      <c r="K147" s="2" t="s">
        <v>5078</v>
      </c>
    </row>
    <row r="148" spans="1:11" ht="43.5" customHeight="1" x14ac:dyDescent="0.5">
      <c r="A148" s="2" t="s">
        <v>1538</v>
      </c>
      <c r="B148" s="2" t="s">
        <v>3397</v>
      </c>
      <c r="C148" s="2" t="s">
        <v>274</v>
      </c>
      <c r="D148" s="2" t="s">
        <v>5617</v>
      </c>
      <c r="E148" s="2" t="s">
        <v>5618</v>
      </c>
      <c r="F148" s="2" t="s">
        <v>1789</v>
      </c>
      <c r="G148" s="2" t="s">
        <v>5619</v>
      </c>
      <c r="H148" s="2" t="s">
        <v>276</v>
      </c>
      <c r="I148" s="2" t="s">
        <v>5076</v>
      </c>
      <c r="J148" s="2" t="s">
        <v>5077</v>
      </c>
      <c r="K148" s="2" t="s">
        <v>5078</v>
      </c>
    </row>
    <row r="149" spans="1:11" ht="43.5" customHeight="1" x14ac:dyDescent="0.5">
      <c r="A149" s="2" t="s">
        <v>1542</v>
      </c>
      <c r="B149" s="2" t="s">
        <v>3401</v>
      </c>
      <c r="C149" s="2" t="s">
        <v>274</v>
      </c>
      <c r="D149" s="2" t="s">
        <v>5620</v>
      </c>
      <c r="E149" s="2" t="s">
        <v>5621</v>
      </c>
      <c r="F149" s="2" t="s">
        <v>5622</v>
      </c>
      <c r="G149" s="2" t="s">
        <v>5623</v>
      </c>
      <c r="H149" s="2" t="s">
        <v>276</v>
      </c>
      <c r="I149" s="2" t="s">
        <v>5076</v>
      </c>
      <c r="J149" s="2" t="s">
        <v>5077</v>
      </c>
      <c r="K149" s="2" t="s">
        <v>5078</v>
      </c>
    </row>
    <row r="150" spans="1:11" ht="43.5" customHeight="1" x14ac:dyDescent="0.5">
      <c r="A150" s="2" t="s">
        <v>1557</v>
      </c>
      <c r="B150" s="2" t="s">
        <v>3411</v>
      </c>
      <c r="C150" s="2" t="s">
        <v>274</v>
      </c>
      <c r="D150" s="2" t="s">
        <v>5624</v>
      </c>
      <c r="E150" s="2" t="s">
        <v>5625</v>
      </c>
      <c r="F150" s="2" t="s">
        <v>1789</v>
      </c>
      <c r="G150" s="2" t="s">
        <v>5626</v>
      </c>
      <c r="H150" s="2" t="s">
        <v>276</v>
      </c>
      <c r="I150" s="2" t="s">
        <v>5076</v>
      </c>
      <c r="J150" s="2" t="s">
        <v>5077</v>
      </c>
      <c r="K150" s="2" t="s">
        <v>5078</v>
      </c>
    </row>
    <row r="151" spans="1:11" ht="43.5" customHeight="1" x14ac:dyDescent="0.5">
      <c r="A151" s="2" t="s">
        <v>1584</v>
      </c>
      <c r="B151" s="2" t="s">
        <v>3431</v>
      </c>
      <c r="C151" s="2" t="s">
        <v>274</v>
      </c>
      <c r="D151" s="2" t="s">
        <v>5627</v>
      </c>
      <c r="E151" s="2" t="s">
        <v>5628</v>
      </c>
      <c r="F151" s="2" t="s">
        <v>5629</v>
      </c>
      <c r="G151" s="2" t="s">
        <v>5630</v>
      </c>
      <c r="H151" s="2" t="s">
        <v>276</v>
      </c>
      <c r="I151" s="2" t="s">
        <v>5076</v>
      </c>
      <c r="J151" s="2" t="s">
        <v>5077</v>
      </c>
      <c r="K151" s="2" t="s">
        <v>5078</v>
      </c>
    </row>
    <row r="152" spans="1:11" ht="43.5" customHeight="1" x14ac:dyDescent="0.5">
      <c r="A152" s="2" t="s">
        <v>1607</v>
      </c>
      <c r="B152" s="2" t="s">
        <v>3442</v>
      </c>
      <c r="C152" s="2" t="s">
        <v>274</v>
      </c>
      <c r="D152" s="2" t="s">
        <v>5631</v>
      </c>
      <c r="E152" s="2" t="s">
        <v>5632</v>
      </c>
      <c r="F152" s="2" t="s">
        <v>1789</v>
      </c>
      <c r="G152" s="2" t="s">
        <v>5633</v>
      </c>
      <c r="H152" s="2" t="s">
        <v>276</v>
      </c>
      <c r="I152" s="2" t="s">
        <v>5076</v>
      </c>
      <c r="J152" s="2" t="s">
        <v>5077</v>
      </c>
      <c r="K152" s="2" t="s">
        <v>5078</v>
      </c>
    </row>
    <row r="153" spans="1:11" ht="43.5" customHeight="1" x14ac:dyDescent="0.5">
      <c r="A153" s="2" t="s">
        <v>1628</v>
      </c>
      <c r="B153" s="2" t="s">
        <v>3450</v>
      </c>
      <c r="C153" s="2" t="s">
        <v>274</v>
      </c>
      <c r="D153" s="2" t="s">
        <v>5634</v>
      </c>
      <c r="E153" s="2" t="s">
        <v>5635</v>
      </c>
      <c r="F153" s="2" t="s">
        <v>1789</v>
      </c>
      <c r="G153" s="2" t="s">
        <v>5636</v>
      </c>
      <c r="H153" s="2" t="s">
        <v>276</v>
      </c>
      <c r="I153" s="2" t="s">
        <v>5076</v>
      </c>
      <c r="J153" s="2" t="s">
        <v>5077</v>
      </c>
      <c r="K153" s="2" t="s">
        <v>5078</v>
      </c>
    </row>
  </sheetData>
  <autoFilter ref="A1:K153" xr:uid="{00000000-0009-0000-0000-000010000000}"/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209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03125" defaultRowHeight="14.35" x14ac:dyDescent="0.5"/>
  <cols>
    <col min="1" max="1" width="17" customWidth="1"/>
    <col min="2" max="2" width="24" customWidth="1"/>
    <col min="3" max="3" width="29" customWidth="1"/>
    <col min="4" max="5" width="43" customWidth="1"/>
    <col min="6" max="6" width="62" customWidth="1"/>
    <col min="7" max="7" width="43" customWidth="1"/>
    <col min="8" max="8" width="48" customWidth="1"/>
    <col min="9" max="9" width="40" customWidth="1"/>
    <col min="10" max="10" width="70" customWidth="1"/>
    <col min="11" max="11" width="34" customWidth="1"/>
  </cols>
  <sheetData>
    <row r="1" spans="1:11" ht="30" customHeight="1" x14ac:dyDescent="0.5">
      <c r="A1" s="1" t="s">
        <v>244</v>
      </c>
      <c r="B1" s="1" t="s">
        <v>5065</v>
      </c>
      <c r="C1" s="1" t="s">
        <v>254</v>
      </c>
      <c r="D1" s="1" t="s">
        <v>5066</v>
      </c>
      <c r="E1" s="1" t="s">
        <v>5067</v>
      </c>
      <c r="F1" s="1" t="s">
        <v>5068</v>
      </c>
      <c r="G1" s="1" t="s">
        <v>5069</v>
      </c>
      <c r="H1" s="1" t="s">
        <v>256</v>
      </c>
      <c r="I1" s="1" t="s">
        <v>5070</v>
      </c>
      <c r="J1" s="1" t="s">
        <v>5071</v>
      </c>
      <c r="K1" s="1" t="s">
        <v>6</v>
      </c>
    </row>
    <row r="2" spans="1:11" ht="43.5" customHeight="1" x14ac:dyDescent="0.5">
      <c r="A2" s="2" t="s">
        <v>289</v>
      </c>
      <c r="B2" s="2" t="s">
        <v>1785</v>
      </c>
      <c r="C2" s="2" t="s">
        <v>297</v>
      </c>
      <c r="D2" s="2" t="s">
        <v>5637</v>
      </c>
      <c r="E2" s="2" t="s">
        <v>5638</v>
      </c>
      <c r="F2" s="2" t="s">
        <v>1789</v>
      </c>
      <c r="G2" s="2" t="s">
        <v>5639</v>
      </c>
      <c r="H2" s="2" t="s">
        <v>299</v>
      </c>
      <c r="I2" s="2" t="s">
        <v>5076</v>
      </c>
      <c r="J2" s="2" t="s">
        <v>5077</v>
      </c>
      <c r="K2" s="2" t="s">
        <v>5078</v>
      </c>
    </row>
    <row r="3" spans="1:11" ht="43.5" customHeight="1" x14ac:dyDescent="0.5">
      <c r="A3" s="2" t="s">
        <v>301</v>
      </c>
      <c r="B3" s="2" t="s">
        <v>1791</v>
      </c>
      <c r="C3" s="2" t="s">
        <v>297</v>
      </c>
      <c r="D3" s="2" t="s">
        <v>5640</v>
      </c>
      <c r="E3" s="2" t="s">
        <v>5641</v>
      </c>
      <c r="F3" s="2" t="s">
        <v>1789</v>
      </c>
      <c r="G3" s="2" t="s">
        <v>5642</v>
      </c>
      <c r="H3" s="2" t="s">
        <v>309</v>
      </c>
      <c r="I3" s="2" t="s">
        <v>5076</v>
      </c>
      <c r="J3" s="2" t="s">
        <v>5077</v>
      </c>
      <c r="K3" s="2" t="s">
        <v>5078</v>
      </c>
    </row>
    <row r="4" spans="1:11" ht="43.5" customHeight="1" x14ac:dyDescent="0.5">
      <c r="A4" s="2" t="s">
        <v>311</v>
      </c>
      <c r="B4" s="2" t="s">
        <v>1795</v>
      </c>
      <c r="C4" s="2" t="s">
        <v>297</v>
      </c>
      <c r="D4" s="2" t="s">
        <v>5643</v>
      </c>
      <c r="E4" s="2" t="s">
        <v>5644</v>
      </c>
      <c r="F4" s="2" t="s">
        <v>1789</v>
      </c>
      <c r="G4" s="2" t="s">
        <v>5645</v>
      </c>
      <c r="H4" s="2" t="s">
        <v>299</v>
      </c>
      <c r="I4" s="2" t="s">
        <v>5076</v>
      </c>
      <c r="J4" s="2" t="s">
        <v>5077</v>
      </c>
      <c r="K4" s="2" t="s">
        <v>5078</v>
      </c>
    </row>
    <row r="5" spans="1:11" ht="43.5" customHeight="1" x14ac:dyDescent="0.5">
      <c r="A5" s="2" t="s">
        <v>327</v>
      </c>
      <c r="B5" s="2" t="s">
        <v>1811</v>
      </c>
      <c r="C5" s="2" t="s">
        <v>297</v>
      </c>
      <c r="D5" s="2" t="s">
        <v>5646</v>
      </c>
      <c r="E5" s="2" t="s">
        <v>5647</v>
      </c>
      <c r="F5" s="2" t="s">
        <v>1789</v>
      </c>
      <c r="G5" s="2" t="s">
        <v>5648</v>
      </c>
      <c r="H5" s="2" t="s">
        <v>299</v>
      </c>
      <c r="I5" s="2" t="s">
        <v>5076</v>
      </c>
      <c r="J5" s="2" t="s">
        <v>5077</v>
      </c>
      <c r="K5" s="2" t="s">
        <v>5078</v>
      </c>
    </row>
    <row r="6" spans="1:11" ht="43.5" customHeight="1" x14ac:dyDescent="0.5">
      <c r="A6" s="2" t="s">
        <v>330</v>
      </c>
      <c r="B6" s="2" t="s">
        <v>1815</v>
      </c>
      <c r="C6" s="2" t="s">
        <v>297</v>
      </c>
      <c r="D6" s="2" t="s">
        <v>5649</v>
      </c>
      <c r="E6" s="2" t="s">
        <v>5650</v>
      </c>
      <c r="F6" s="2" t="s">
        <v>1789</v>
      </c>
      <c r="G6" s="2" t="s">
        <v>5651</v>
      </c>
      <c r="H6" s="2" t="s">
        <v>309</v>
      </c>
      <c r="I6" s="2" t="s">
        <v>5076</v>
      </c>
      <c r="J6" s="2" t="s">
        <v>5077</v>
      </c>
      <c r="K6" s="2" t="s">
        <v>5078</v>
      </c>
    </row>
    <row r="7" spans="1:11" ht="43.5" customHeight="1" x14ac:dyDescent="0.5">
      <c r="A7" s="2" t="s">
        <v>335</v>
      </c>
      <c r="B7" s="2" t="s">
        <v>1819</v>
      </c>
      <c r="C7" s="2" t="s">
        <v>297</v>
      </c>
      <c r="D7" s="2" t="s">
        <v>5652</v>
      </c>
      <c r="E7" s="2" t="s">
        <v>5653</v>
      </c>
      <c r="F7" s="2" t="s">
        <v>1789</v>
      </c>
      <c r="G7" s="2" t="s">
        <v>5654</v>
      </c>
      <c r="H7" s="2" t="s">
        <v>299</v>
      </c>
      <c r="I7" s="2" t="s">
        <v>5076</v>
      </c>
      <c r="J7" s="2" t="s">
        <v>5077</v>
      </c>
      <c r="K7" s="2" t="s">
        <v>5078</v>
      </c>
    </row>
    <row r="8" spans="1:11" ht="43.5" customHeight="1" x14ac:dyDescent="0.5">
      <c r="A8" s="2" t="s">
        <v>348</v>
      </c>
      <c r="B8" s="2" t="s">
        <v>1835</v>
      </c>
      <c r="C8" s="2" t="s">
        <v>297</v>
      </c>
      <c r="D8" s="2" t="s">
        <v>5655</v>
      </c>
      <c r="E8" s="2" t="s">
        <v>5656</v>
      </c>
      <c r="F8" s="2" t="s">
        <v>1789</v>
      </c>
      <c r="G8" s="2" t="s">
        <v>5657</v>
      </c>
      <c r="H8" s="2" t="s">
        <v>299</v>
      </c>
      <c r="I8" s="2" t="s">
        <v>5076</v>
      </c>
      <c r="J8" s="2" t="s">
        <v>5077</v>
      </c>
      <c r="K8" s="2" t="s">
        <v>5078</v>
      </c>
    </row>
    <row r="9" spans="1:11" ht="43.5" customHeight="1" x14ac:dyDescent="0.5">
      <c r="A9" s="2" t="s">
        <v>351</v>
      </c>
      <c r="B9" s="2" t="s">
        <v>1839</v>
      </c>
      <c r="C9" s="2" t="s">
        <v>297</v>
      </c>
      <c r="D9" s="2" t="s">
        <v>5658</v>
      </c>
      <c r="E9" s="2" t="s">
        <v>5659</v>
      </c>
      <c r="F9" s="2" t="s">
        <v>1789</v>
      </c>
      <c r="G9" s="2" t="s">
        <v>5660</v>
      </c>
      <c r="H9" s="2" t="s">
        <v>309</v>
      </c>
      <c r="I9" s="2" t="s">
        <v>5076</v>
      </c>
      <c r="J9" s="2" t="s">
        <v>5077</v>
      </c>
      <c r="K9" s="2" t="s">
        <v>5078</v>
      </c>
    </row>
    <row r="10" spans="1:11" ht="43.5" customHeight="1" x14ac:dyDescent="0.5">
      <c r="A10" s="2" t="s">
        <v>356</v>
      </c>
      <c r="B10" s="2" t="s">
        <v>1843</v>
      </c>
      <c r="C10" s="2" t="s">
        <v>297</v>
      </c>
      <c r="D10" s="2" t="s">
        <v>5661</v>
      </c>
      <c r="E10" s="2" t="s">
        <v>5662</v>
      </c>
      <c r="F10" s="2" t="s">
        <v>1789</v>
      </c>
      <c r="G10" s="2" t="s">
        <v>5663</v>
      </c>
      <c r="H10" s="2" t="s">
        <v>299</v>
      </c>
      <c r="I10" s="2" t="s">
        <v>5076</v>
      </c>
      <c r="J10" s="2" t="s">
        <v>5077</v>
      </c>
      <c r="K10" s="2" t="s">
        <v>5078</v>
      </c>
    </row>
    <row r="11" spans="1:11" ht="43.5" customHeight="1" x14ac:dyDescent="0.5">
      <c r="A11" s="2" t="s">
        <v>368</v>
      </c>
      <c r="B11" s="2" t="s">
        <v>1859</v>
      </c>
      <c r="C11" s="2" t="s">
        <v>297</v>
      </c>
      <c r="D11" s="2" t="s">
        <v>5664</v>
      </c>
      <c r="E11" s="2" t="s">
        <v>5665</v>
      </c>
      <c r="F11" s="2" t="s">
        <v>5666</v>
      </c>
      <c r="G11" s="2" t="s">
        <v>5667</v>
      </c>
      <c r="H11" s="2" t="s">
        <v>299</v>
      </c>
      <c r="I11" s="2" t="s">
        <v>5076</v>
      </c>
      <c r="J11" s="2" t="s">
        <v>5077</v>
      </c>
      <c r="K11" s="2" t="s">
        <v>5078</v>
      </c>
    </row>
    <row r="12" spans="1:11" ht="43.5" customHeight="1" x14ac:dyDescent="0.5">
      <c r="A12" s="2" t="s">
        <v>373</v>
      </c>
      <c r="B12" s="2" t="s">
        <v>1865</v>
      </c>
      <c r="C12" s="2" t="s">
        <v>297</v>
      </c>
      <c r="D12" s="2" t="s">
        <v>5668</v>
      </c>
      <c r="E12" s="2" t="s">
        <v>5669</v>
      </c>
      <c r="F12" s="2" t="s">
        <v>1789</v>
      </c>
      <c r="G12" s="2" t="s">
        <v>5670</v>
      </c>
      <c r="H12" s="2" t="s">
        <v>309</v>
      </c>
      <c r="I12" s="2" t="s">
        <v>5076</v>
      </c>
      <c r="J12" s="2" t="s">
        <v>5077</v>
      </c>
      <c r="K12" s="2" t="s">
        <v>5078</v>
      </c>
    </row>
    <row r="13" spans="1:11" ht="43.5" customHeight="1" x14ac:dyDescent="0.5">
      <c r="A13" s="2" t="s">
        <v>375</v>
      </c>
      <c r="B13" s="2" t="s">
        <v>1869</v>
      </c>
      <c r="C13" s="2" t="s">
        <v>297</v>
      </c>
      <c r="D13" s="2" t="s">
        <v>5671</v>
      </c>
      <c r="E13" s="2" t="s">
        <v>5672</v>
      </c>
      <c r="F13" s="2" t="s">
        <v>1789</v>
      </c>
      <c r="G13" s="2" t="s">
        <v>5673</v>
      </c>
      <c r="H13" s="2" t="s">
        <v>299</v>
      </c>
      <c r="I13" s="2" t="s">
        <v>5076</v>
      </c>
      <c r="J13" s="2" t="s">
        <v>5077</v>
      </c>
      <c r="K13" s="2" t="s">
        <v>5078</v>
      </c>
    </row>
    <row r="14" spans="1:11" ht="43.5" customHeight="1" x14ac:dyDescent="0.5">
      <c r="A14" s="2" t="s">
        <v>381</v>
      </c>
      <c r="B14" s="2" t="s">
        <v>1885</v>
      </c>
      <c r="C14" s="2" t="s">
        <v>297</v>
      </c>
      <c r="D14" s="2" t="s">
        <v>5674</v>
      </c>
      <c r="E14" s="2" t="s">
        <v>5675</v>
      </c>
      <c r="F14" s="2" t="s">
        <v>1789</v>
      </c>
      <c r="G14" s="2" t="s">
        <v>5676</v>
      </c>
      <c r="H14" s="2" t="s">
        <v>299</v>
      </c>
      <c r="I14" s="2" t="s">
        <v>5076</v>
      </c>
      <c r="J14" s="2" t="s">
        <v>5077</v>
      </c>
      <c r="K14" s="2" t="s">
        <v>5078</v>
      </c>
    </row>
    <row r="15" spans="1:11" ht="43.5" customHeight="1" x14ac:dyDescent="0.5">
      <c r="A15" s="2" t="s">
        <v>383</v>
      </c>
      <c r="B15" s="2" t="s">
        <v>1889</v>
      </c>
      <c r="C15" s="2" t="s">
        <v>297</v>
      </c>
      <c r="D15" s="2" t="s">
        <v>5677</v>
      </c>
      <c r="E15" s="2" t="s">
        <v>5678</v>
      </c>
      <c r="F15" s="2" t="s">
        <v>1789</v>
      </c>
      <c r="G15" s="2" t="s">
        <v>5679</v>
      </c>
      <c r="H15" s="2" t="s">
        <v>309</v>
      </c>
      <c r="I15" s="2" t="s">
        <v>5076</v>
      </c>
      <c r="J15" s="2" t="s">
        <v>5077</v>
      </c>
      <c r="K15" s="2" t="s">
        <v>5078</v>
      </c>
    </row>
    <row r="16" spans="1:11" ht="43.5" customHeight="1" x14ac:dyDescent="0.5">
      <c r="A16" s="2" t="s">
        <v>385</v>
      </c>
      <c r="B16" s="2" t="s">
        <v>1893</v>
      </c>
      <c r="C16" s="2" t="s">
        <v>297</v>
      </c>
      <c r="D16" s="2" t="s">
        <v>5680</v>
      </c>
      <c r="E16" s="2" t="s">
        <v>5681</v>
      </c>
      <c r="F16" s="2" t="s">
        <v>1789</v>
      </c>
      <c r="G16" s="2" t="s">
        <v>5682</v>
      </c>
      <c r="H16" s="2" t="s">
        <v>299</v>
      </c>
      <c r="I16" s="2" t="s">
        <v>5076</v>
      </c>
      <c r="J16" s="2" t="s">
        <v>5077</v>
      </c>
      <c r="K16" s="2" t="s">
        <v>5078</v>
      </c>
    </row>
    <row r="17" spans="1:11" ht="43.5" customHeight="1" x14ac:dyDescent="0.5">
      <c r="A17" s="2" t="s">
        <v>404</v>
      </c>
      <c r="B17" s="2" t="s">
        <v>1913</v>
      </c>
      <c r="C17" s="2" t="s">
        <v>297</v>
      </c>
      <c r="D17" s="2" t="s">
        <v>5683</v>
      </c>
      <c r="E17" s="2" t="s">
        <v>5684</v>
      </c>
      <c r="F17" s="2" t="s">
        <v>1789</v>
      </c>
      <c r="G17" s="2" t="s">
        <v>5685</v>
      </c>
      <c r="H17" s="2" t="s">
        <v>309</v>
      </c>
      <c r="I17" s="2" t="s">
        <v>5076</v>
      </c>
      <c r="J17" s="2" t="s">
        <v>5077</v>
      </c>
      <c r="K17" s="2" t="s">
        <v>5078</v>
      </c>
    </row>
    <row r="18" spans="1:11" ht="43.5" customHeight="1" x14ac:dyDescent="0.5">
      <c r="A18" s="2" t="s">
        <v>409</v>
      </c>
      <c r="B18" s="2" t="s">
        <v>1917</v>
      </c>
      <c r="C18" s="2" t="s">
        <v>297</v>
      </c>
      <c r="D18" s="2" t="s">
        <v>5686</v>
      </c>
      <c r="E18" s="2" t="s">
        <v>5687</v>
      </c>
      <c r="F18" s="2" t="s">
        <v>1789</v>
      </c>
      <c r="G18" s="2" t="s">
        <v>5688</v>
      </c>
      <c r="H18" s="2" t="s">
        <v>299</v>
      </c>
      <c r="I18" s="2" t="s">
        <v>5076</v>
      </c>
      <c r="J18" s="2" t="s">
        <v>5077</v>
      </c>
      <c r="K18" s="2" t="s">
        <v>5078</v>
      </c>
    </row>
    <row r="19" spans="1:11" ht="43.5" customHeight="1" x14ac:dyDescent="0.5">
      <c r="A19" s="2" t="s">
        <v>422</v>
      </c>
      <c r="B19" s="2" t="s">
        <v>1933</v>
      </c>
      <c r="C19" s="2" t="s">
        <v>297</v>
      </c>
      <c r="D19" s="2" t="s">
        <v>5689</v>
      </c>
      <c r="E19" s="2" t="s">
        <v>5690</v>
      </c>
      <c r="F19" s="2" t="s">
        <v>1789</v>
      </c>
      <c r="G19" s="2" t="s">
        <v>5691</v>
      </c>
      <c r="H19" s="2" t="s">
        <v>299</v>
      </c>
      <c r="I19" s="2" t="s">
        <v>5076</v>
      </c>
      <c r="J19" s="2" t="s">
        <v>5077</v>
      </c>
      <c r="K19" s="2" t="s">
        <v>5078</v>
      </c>
    </row>
    <row r="20" spans="1:11" ht="43.5" customHeight="1" x14ac:dyDescent="0.5">
      <c r="A20" s="2" t="s">
        <v>425</v>
      </c>
      <c r="B20" s="2" t="s">
        <v>1937</v>
      </c>
      <c r="C20" s="2" t="s">
        <v>297</v>
      </c>
      <c r="D20" s="2" t="s">
        <v>5692</v>
      </c>
      <c r="E20" s="2" t="s">
        <v>5693</v>
      </c>
      <c r="F20" s="2" t="s">
        <v>1789</v>
      </c>
      <c r="G20" s="2" t="s">
        <v>5694</v>
      </c>
      <c r="H20" s="2" t="s">
        <v>309</v>
      </c>
      <c r="I20" s="2" t="s">
        <v>5076</v>
      </c>
      <c r="J20" s="2" t="s">
        <v>5077</v>
      </c>
      <c r="K20" s="2" t="s">
        <v>5078</v>
      </c>
    </row>
    <row r="21" spans="1:11" ht="43.5" customHeight="1" x14ac:dyDescent="0.5">
      <c r="A21" s="2" t="s">
        <v>430</v>
      </c>
      <c r="B21" s="2" t="s">
        <v>1941</v>
      </c>
      <c r="C21" s="2" t="s">
        <v>297</v>
      </c>
      <c r="D21" s="2" t="s">
        <v>5695</v>
      </c>
      <c r="E21" s="2" t="s">
        <v>5696</v>
      </c>
      <c r="F21" s="2" t="s">
        <v>1789</v>
      </c>
      <c r="G21" s="2" t="s">
        <v>5697</v>
      </c>
      <c r="H21" s="2" t="s">
        <v>299</v>
      </c>
      <c r="I21" s="2" t="s">
        <v>5076</v>
      </c>
      <c r="J21" s="2" t="s">
        <v>5077</v>
      </c>
      <c r="K21" s="2" t="s">
        <v>5078</v>
      </c>
    </row>
    <row r="22" spans="1:11" ht="43.5" customHeight="1" x14ac:dyDescent="0.5">
      <c r="A22" s="2" t="s">
        <v>443</v>
      </c>
      <c r="B22" s="2" t="s">
        <v>1957</v>
      </c>
      <c r="C22" s="2" t="s">
        <v>297</v>
      </c>
      <c r="D22" s="2" t="s">
        <v>5698</v>
      </c>
      <c r="E22" s="2" t="s">
        <v>5699</v>
      </c>
      <c r="F22" s="2" t="s">
        <v>1789</v>
      </c>
      <c r="G22" s="2" t="s">
        <v>5700</v>
      </c>
      <c r="H22" s="2" t="s">
        <v>299</v>
      </c>
      <c r="I22" s="2" t="s">
        <v>5076</v>
      </c>
      <c r="J22" s="2" t="s">
        <v>5077</v>
      </c>
      <c r="K22" s="2" t="s">
        <v>5078</v>
      </c>
    </row>
    <row r="23" spans="1:11" ht="43.5" customHeight="1" x14ac:dyDescent="0.5">
      <c r="A23" s="2" t="s">
        <v>446</v>
      </c>
      <c r="B23" s="2" t="s">
        <v>1961</v>
      </c>
      <c r="C23" s="2" t="s">
        <v>297</v>
      </c>
      <c r="D23" s="2" t="s">
        <v>5701</v>
      </c>
      <c r="E23" s="2" t="s">
        <v>5702</v>
      </c>
      <c r="F23" s="2" t="s">
        <v>1789</v>
      </c>
      <c r="G23" s="2" t="s">
        <v>5703</v>
      </c>
      <c r="H23" s="2" t="s">
        <v>309</v>
      </c>
      <c r="I23" s="2" t="s">
        <v>5076</v>
      </c>
      <c r="J23" s="2" t="s">
        <v>5077</v>
      </c>
      <c r="K23" s="2" t="s">
        <v>5078</v>
      </c>
    </row>
    <row r="24" spans="1:11" ht="43.5" customHeight="1" x14ac:dyDescent="0.5">
      <c r="A24" s="2" t="s">
        <v>451</v>
      </c>
      <c r="B24" s="2" t="s">
        <v>1965</v>
      </c>
      <c r="C24" s="2" t="s">
        <v>297</v>
      </c>
      <c r="D24" s="2" t="s">
        <v>5704</v>
      </c>
      <c r="E24" s="2" t="s">
        <v>5705</v>
      </c>
      <c r="F24" s="2" t="s">
        <v>1789</v>
      </c>
      <c r="G24" s="2" t="s">
        <v>5706</v>
      </c>
      <c r="H24" s="2" t="s">
        <v>299</v>
      </c>
      <c r="I24" s="2" t="s">
        <v>5076</v>
      </c>
      <c r="J24" s="2" t="s">
        <v>5077</v>
      </c>
      <c r="K24" s="2" t="s">
        <v>5078</v>
      </c>
    </row>
    <row r="25" spans="1:11" ht="43.5" customHeight="1" x14ac:dyDescent="0.5">
      <c r="A25" s="2" t="s">
        <v>455</v>
      </c>
      <c r="B25" s="2" t="s">
        <v>1969</v>
      </c>
      <c r="C25" s="2" t="s">
        <v>297</v>
      </c>
      <c r="D25" s="2" t="s">
        <v>5707</v>
      </c>
      <c r="E25" s="2" t="s">
        <v>5708</v>
      </c>
      <c r="F25" s="2" t="s">
        <v>1789</v>
      </c>
      <c r="G25" s="2" t="s">
        <v>5709</v>
      </c>
      <c r="H25" s="2" t="s">
        <v>309</v>
      </c>
      <c r="I25" s="2" t="s">
        <v>5076</v>
      </c>
      <c r="J25" s="2" t="s">
        <v>5077</v>
      </c>
      <c r="K25" s="2" t="s">
        <v>5078</v>
      </c>
    </row>
    <row r="26" spans="1:11" ht="43.5" customHeight="1" x14ac:dyDescent="0.5">
      <c r="A26" s="2" t="s">
        <v>470</v>
      </c>
      <c r="B26" s="2" t="s">
        <v>1985</v>
      </c>
      <c r="C26" s="2" t="s">
        <v>297</v>
      </c>
      <c r="D26" s="2" t="s">
        <v>5710</v>
      </c>
      <c r="E26" s="2" t="s">
        <v>5711</v>
      </c>
      <c r="F26" s="2" t="s">
        <v>1789</v>
      </c>
      <c r="G26" s="2" t="s">
        <v>5712</v>
      </c>
      <c r="H26" s="2" t="s">
        <v>299</v>
      </c>
      <c r="I26" s="2" t="s">
        <v>5076</v>
      </c>
      <c r="J26" s="2" t="s">
        <v>5077</v>
      </c>
      <c r="K26" s="2" t="s">
        <v>5078</v>
      </c>
    </row>
    <row r="27" spans="1:11" ht="43.5" customHeight="1" x14ac:dyDescent="0.5">
      <c r="A27" s="2" t="s">
        <v>473</v>
      </c>
      <c r="B27" s="2" t="s">
        <v>1989</v>
      </c>
      <c r="C27" s="2" t="s">
        <v>297</v>
      </c>
      <c r="D27" s="2" t="s">
        <v>5713</v>
      </c>
      <c r="E27" s="2" t="s">
        <v>5714</v>
      </c>
      <c r="F27" s="2" t="s">
        <v>1789</v>
      </c>
      <c r="G27" s="2" t="s">
        <v>5715</v>
      </c>
      <c r="H27" s="2" t="s">
        <v>309</v>
      </c>
      <c r="I27" s="2" t="s">
        <v>5076</v>
      </c>
      <c r="J27" s="2" t="s">
        <v>5077</v>
      </c>
      <c r="K27" s="2" t="s">
        <v>5078</v>
      </c>
    </row>
    <row r="28" spans="1:11" ht="43.5" customHeight="1" x14ac:dyDescent="0.5">
      <c r="A28" s="2" t="s">
        <v>478</v>
      </c>
      <c r="B28" s="2" t="s">
        <v>1993</v>
      </c>
      <c r="C28" s="2" t="s">
        <v>297</v>
      </c>
      <c r="D28" s="2" t="s">
        <v>5716</v>
      </c>
      <c r="E28" s="2" t="s">
        <v>5717</v>
      </c>
      <c r="F28" s="2" t="s">
        <v>1789</v>
      </c>
      <c r="G28" s="2" t="s">
        <v>5718</v>
      </c>
      <c r="H28" s="2" t="s">
        <v>299</v>
      </c>
      <c r="I28" s="2" t="s">
        <v>5076</v>
      </c>
      <c r="J28" s="2" t="s">
        <v>5077</v>
      </c>
      <c r="K28" s="2" t="s">
        <v>5078</v>
      </c>
    </row>
    <row r="29" spans="1:11" ht="43.5" customHeight="1" x14ac:dyDescent="0.5">
      <c r="A29" s="2" t="s">
        <v>482</v>
      </c>
      <c r="B29" s="2" t="s">
        <v>1997</v>
      </c>
      <c r="C29" s="2" t="s">
        <v>297</v>
      </c>
      <c r="D29" s="2" t="s">
        <v>5719</v>
      </c>
      <c r="E29" s="2" t="s">
        <v>5720</v>
      </c>
      <c r="F29" s="2" t="s">
        <v>1789</v>
      </c>
      <c r="G29" s="2" t="s">
        <v>5721</v>
      </c>
      <c r="H29" s="2" t="s">
        <v>309</v>
      </c>
      <c r="I29" s="2" t="s">
        <v>5076</v>
      </c>
      <c r="J29" s="2" t="s">
        <v>5077</v>
      </c>
      <c r="K29" s="2" t="s">
        <v>5078</v>
      </c>
    </row>
    <row r="30" spans="1:11" ht="43.5" customHeight="1" x14ac:dyDescent="0.5">
      <c r="A30" s="2" t="s">
        <v>495</v>
      </c>
      <c r="B30" s="2" t="s">
        <v>2013</v>
      </c>
      <c r="C30" s="2" t="s">
        <v>297</v>
      </c>
      <c r="D30" s="2" t="s">
        <v>5722</v>
      </c>
      <c r="E30" s="2" t="s">
        <v>5723</v>
      </c>
      <c r="F30" s="2" t="s">
        <v>1789</v>
      </c>
      <c r="G30" s="2" t="s">
        <v>5724</v>
      </c>
      <c r="H30" s="2" t="s">
        <v>299</v>
      </c>
      <c r="I30" s="2" t="s">
        <v>5076</v>
      </c>
      <c r="J30" s="2" t="s">
        <v>5077</v>
      </c>
      <c r="K30" s="2" t="s">
        <v>5078</v>
      </c>
    </row>
    <row r="31" spans="1:11" ht="43.5" customHeight="1" x14ac:dyDescent="0.5">
      <c r="A31" s="2" t="s">
        <v>498</v>
      </c>
      <c r="B31" s="2" t="s">
        <v>2017</v>
      </c>
      <c r="C31" s="2" t="s">
        <v>297</v>
      </c>
      <c r="D31" s="2" t="s">
        <v>5725</v>
      </c>
      <c r="E31" s="2" t="s">
        <v>5726</v>
      </c>
      <c r="F31" s="2" t="s">
        <v>1789</v>
      </c>
      <c r="G31" s="2" t="s">
        <v>5727</v>
      </c>
      <c r="H31" s="2" t="s">
        <v>309</v>
      </c>
      <c r="I31" s="2" t="s">
        <v>5076</v>
      </c>
      <c r="J31" s="2" t="s">
        <v>5077</v>
      </c>
      <c r="K31" s="2" t="s">
        <v>5078</v>
      </c>
    </row>
    <row r="32" spans="1:11" ht="43.5" customHeight="1" x14ac:dyDescent="0.5">
      <c r="A32" s="2" t="s">
        <v>503</v>
      </c>
      <c r="B32" s="2" t="s">
        <v>2021</v>
      </c>
      <c r="C32" s="2" t="s">
        <v>297</v>
      </c>
      <c r="D32" s="2" t="s">
        <v>5728</v>
      </c>
      <c r="E32" s="2" t="s">
        <v>5729</v>
      </c>
      <c r="F32" s="2" t="s">
        <v>1789</v>
      </c>
      <c r="G32" s="2" t="s">
        <v>5730</v>
      </c>
      <c r="H32" s="2" t="s">
        <v>299</v>
      </c>
      <c r="I32" s="2" t="s">
        <v>5076</v>
      </c>
      <c r="J32" s="2" t="s">
        <v>5077</v>
      </c>
      <c r="K32" s="2" t="s">
        <v>5078</v>
      </c>
    </row>
    <row r="33" spans="1:11" ht="43.5" customHeight="1" x14ac:dyDescent="0.5">
      <c r="A33" s="2" t="s">
        <v>507</v>
      </c>
      <c r="B33" s="2" t="s">
        <v>2025</v>
      </c>
      <c r="C33" s="2" t="s">
        <v>297</v>
      </c>
      <c r="D33" s="2" t="s">
        <v>5731</v>
      </c>
      <c r="E33" s="2" t="s">
        <v>5732</v>
      </c>
      <c r="F33" s="2" t="s">
        <v>1789</v>
      </c>
      <c r="G33" s="2" t="s">
        <v>5733</v>
      </c>
      <c r="H33" s="2" t="s">
        <v>309</v>
      </c>
      <c r="I33" s="2" t="s">
        <v>5076</v>
      </c>
      <c r="J33" s="2" t="s">
        <v>5077</v>
      </c>
      <c r="K33" s="2" t="s">
        <v>5078</v>
      </c>
    </row>
    <row r="34" spans="1:11" ht="43.5" customHeight="1" x14ac:dyDescent="0.5">
      <c r="A34" s="2" t="s">
        <v>518</v>
      </c>
      <c r="B34" s="2" t="s">
        <v>2041</v>
      </c>
      <c r="C34" s="2" t="s">
        <v>297</v>
      </c>
      <c r="D34" s="2" t="s">
        <v>5734</v>
      </c>
      <c r="E34" s="2" t="s">
        <v>5735</v>
      </c>
      <c r="F34" s="2" t="s">
        <v>1789</v>
      </c>
      <c r="G34" s="2" t="s">
        <v>5736</v>
      </c>
      <c r="H34" s="2" t="s">
        <v>299</v>
      </c>
      <c r="I34" s="2" t="s">
        <v>5076</v>
      </c>
      <c r="J34" s="2" t="s">
        <v>5077</v>
      </c>
      <c r="K34" s="2" t="s">
        <v>5078</v>
      </c>
    </row>
    <row r="35" spans="1:11" ht="43.5" customHeight="1" x14ac:dyDescent="0.5">
      <c r="A35" s="2" t="s">
        <v>521</v>
      </c>
      <c r="B35" s="2" t="s">
        <v>2045</v>
      </c>
      <c r="C35" s="2" t="s">
        <v>297</v>
      </c>
      <c r="D35" s="2" t="s">
        <v>5737</v>
      </c>
      <c r="E35" s="2" t="s">
        <v>5738</v>
      </c>
      <c r="F35" s="2" t="s">
        <v>1789</v>
      </c>
      <c r="G35" s="2" t="s">
        <v>5739</v>
      </c>
      <c r="H35" s="2" t="s">
        <v>309</v>
      </c>
      <c r="I35" s="2" t="s">
        <v>5076</v>
      </c>
      <c r="J35" s="2" t="s">
        <v>5077</v>
      </c>
      <c r="K35" s="2" t="s">
        <v>5078</v>
      </c>
    </row>
    <row r="36" spans="1:11" ht="43.5" customHeight="1" x14ac:dyDescent="0.5">
      <c r="A36" s="2" t="s">
        <v>526</v>
      </c>
      <c r="B36" s="2" t="s">
        <v>2049</v>
      </c>
      <c r="C36" s="2" t="s">
        <v>297</v>
      </c>
      <c r="D36" s="2" t="s">
        <v>5740</v>
      </c>
      <c r="E36" s="2" t="s">
        <v>5741</v>
      </c>
      <c r="F36" s="2" t="s">
        <v>1789</v>
      </c>
      <c r="G36" s="2" t="s">
        <v>5742</v>
      </c>
      <c r="H36" s="2" t="s">
        <v>299</v>
      </c>
      <c r="I36" s="2" t="s">
        <v>5076</v>
      </c>
      <c r="J36" s="2" t="s">
        <v>5077</v>
      </c>
      <c r="K36" s="2" t="s">
        <v>5078</v>
      </c>
    </row>
    <row r="37" spans="1:11" ht="43.5" customHeight="1" x14ac:dyDescent="0.5">
      <c r="A37" s="2" t="s">
        <v>530</v>
      </c>
      <c r="B37" s="2" t="s">
        <v>2053</v>
      </c>
      <c r="C37" s="2" t="s">
        <v>297</v>
      </c>
      <c r="D37" s="2" t="s">
        <v>5743</v>
      </c>
      <c r="E37" s="2" t="s">
        <v>5744</v>
      </c>
      <c r="F37" s="2" t="s">
        <v>1789</v>
      </c>
      <c r="G37" s="2" t="s">
        <v>5745</v>
      </c>
      <c r="H37" s="2" t="s">
        <v>309</v>
      </c>
      <c r="I37" s="2" t="s">
        <v>5076</v>
      </c>
      <c r="J37" s="2" t="s">
        <v>5077</v>
      </c>
      <c r="K37" s="2" t="s">
        <v>5078</v>
      </c>
    </row>
    <row r="38" spans="1:11" ht="43.5" customHeight="1" x14ac:dyDescent="0.5">
      <c r="A38" s="2" t="s">
        <v>540</v>
      </c>
      <c r="B38" s="2" t="s">
        <v>2069</v>
      </c>
      <c r="C38" s="2" t="s">
        <v>297</v>
      </c>
      <c r="D38" s="2" t="s">
        <v>5746</v>
      </c>
      <c r="E38" s="2" t="s">
        <v>5747</v>
      </c>
      <c r="F38" s="2" t="s">
        <v>1789</v>
      </c>
      <c r="G38" s="2" t="s">
        <v>5748</v>
      </c>
      <c r="H38" s="2" t="s">
        <v>299</v>
      </c>
      <c r="I38" s="2" t="s">
        <v>5076</v>
      </c>
      <c r="J38" s="2" t="s">
        <v>5077</v>
      </c>
      <c r="K38" s="2" t="s">
        <v>5078</v>
      </c>
    </row>
    <row r="39" spans="1:11" ht="43.5" customHeight="1" x14ac:dyDescent="0.5">
      <c r="A39" s="2" t="s">
        <v>543</v>
      </c>
      <c r="B39" s="2" t="s">
        <v>2073</v>
      </c>
      <c r="C39" s="2" t="s">
        <v>297</v>
      </c>
      <c r="D39" s="2" t="s">
        <v>5749</v>
      </c>
      <c r="E39" s="2" t="s">
        <v>5750</v>
      </c>
      <c r="F39" s="2" t="s">
        <v>1789</v>
      </c>
      <c r="G39" s="2" t="s">
        <v>5751</v>
      </c>
      <c r="H39" s="2" t="s">
        <v>309</v>
      </c>
      <c r="I39" s="2" t="s">
        <v>5076</v>
      </c>
      <c r="J39" s="2" t="s">
        <v>5077</v>
      </c>
      <c r="K39" s="2" t="s">
        <v>5078</v>
      </c>
    </row>
    <row r="40" spans="1:11" ht="43.5" customHeight="1" x14ac:dyDescent="0.5">
      <c r="A40" s="2" t="s">
        <v>546</v>
      </c>
      <c r="B40" s="2" t="s">
        <v>2077</v>
      </c>
      <c r="C40" s="2" t="s">
        <v>297</v>
      </c>
      <c r="D40" s="2" t="s">
        <v>5752</v>
      </c>
      <c r="E40" s="2" t="s">
        <v>5753</v>
      </c>
      <c r="F40" s="2" t="s">
        <v>1789</v>
      </c>
      <c r="G40" s="2" t="s">
        <v>5754</v>
      </c>
      <c r="H40" s="2" t="s">
        <v>299</v>
      </c>
      <c r="I40" s="2" t="s">
        <v>5076</v>
      </c>
      <c r="J40" s="2" t="s">
        <v>5077</v>
      </c>
      <c r="K40" s="2" t="s">
        <v>5078</v>
      </c>
    </row>
    <row r="41" spans="1:11" ht="43.5" customHeight="1" x14ac:dyDescent="0.5">
      <c r="A41" s="2" t="s">
        <v>549</v>
      </c>
      <c r="B41" s="2" t="s">
        <v>2081</v>
      </c>
      <c r="C41" s="2" t="s">
        <v>297</v>
      </c>
      <c r="D41" s="2" t="s">
        <v>5755</v>
      </c>
      <c r="E41" s="2" t="s">
        <v>5756</v>
      </c>
      <c r="F41" s="2" t="s">
        <v>1789</v>
      </c>
      <c r="G41" s="2" t="s">
        <v>5757</v>
      </c>
      <c r="H41" s="2" t="s">
        <v>309</v>
      </c>
      <c r="I41" s="2" t="s">
        <v>5076</v>
      </c>
      <c r="J41" s="2" t="s">
        <v>5077</v>
      </c>
      <c r="K41" s="2" t="s">
        <v>5078</v>
      </c>
    </row>
    <row r="42" spans="1:11" ht="43.5" customHeight="1" x14ac:dyDescent="0.5">
      <c r="A42" s="2" t="s">
        <v>559</v>
      </c>
      <c r="B42" s="2" t="s">
        <v>2097</v>
      </c>
      <c r="C42" s="2" t="s">
        <v>297</v>
      </c>
      <c r="D42" s="2" t="s">
        <v>5758</v>
      </c>
      <c r="E42" s="2" t="s">
        <v>5759</v>
      </c>
      <c r="F42" s="2" t="s">
        <v>1789</v>
      </c>
      <c r="G42" s="2" t="s">
        <v>5760</v>
      </c>
      <c r="H42" s="2" t="s">
        <v>299</v>
      </c>
      <c r="I42" s="2" t="s">
        <v>5076</v>
      </c>
      <c r="J42" s="2" t="s">
        <v>5077</v>
      </c>
      <c r="K42" s="2" t="s">
        <v>5078</v>
      </c>
    </row>
    <row r="43" spans="1:11" ht="43.5" customHeight="1" x14ac:dyDescent="0.5">
      <c r="A43" s="2" t="s">
        <v>562</v>
      </c>
      <c r="B43" s="2" t="s">
        <v>2101</v>
      </c>
      <c r="C43" s="2" t="s">
        <v>297</v>
      </c>
      <c r="D43" s="2" t="s">
        <v>5761</v>
      </c>
      <c r="E43" s="2" t="s">
        <v>5762</v>
      </c>
      <c r="F43" s="2" t="s">
        <v>1789</v>
      </c>
      <c r="G43" s="2" t="s">
        <v>5763</v>
      </c>
      <c r="H43" s="2" t="s">
        <v>309</v>
      </c>
      <c r="I43" s="2" t="s">
        <v>5076</v>
      </c>
      <c r="J43" s="2" t="s">
        <v>5077</v>
      </c>
      <c r="K43" s="2" t="s">
        <v>5078</v>
      </c>
    </row>
    <row r="44" spans="1:11" ht="43.5" customHeight="1" x14ac:dyDescent="0.5">
      <c r="A44" s="2" t="s">
        <v>565</v>
      </c>
      <c r="B44" s="2" t="s">
        <v>2105</v>
      </c>
      <c r="C44" s="2" t="s">
        <v>297</v>
      </c>
      <c r="D44" s="2" t="s">
        <v>5764</v>
      </c>
      <c r="E44" s="2" t="s">
        <v>5765</v>
      </c>
      <c r="F44" s="2" t="s">
        <v>1789</v>
      </c>
      <c r="G44" s="2" t="s">
        <v>5766</v>
      </c>
      <c r="H44" s="2" t="s">
        <v>299</v>
      </c>
      <c r="I44" s="2" t="s">
        <v>5076</v>
      </c>
      <c r="J44" s="2" t="s">
        <v>5077</v>
      </c>
      <c r="K44" s="2" t="s">
        <v>5078</v>
      </c>
    </row>
    <row r="45" spans="1:11" ht="43.5" customHeight="1" x14ac:dyDescent="0.5">
      <c r="A45" s="2" t="s">
        <v>568</v>
      </c>
      <c r="B45" s="2" t="s">
        <v>2109</v>
      </c>
      <c r="C45" s="2" t="s">
        <v>297</v>
      </c>
      <c r="D45" s="2" t="s">
        <v>5767</v>
      </c>
      <c r="E45" s="2" t="s">
        <v>5768</v>
      </c>
      <c r="F45" s="2" t="s">
        <v>1789</v>
      </c>
      <c r="G45" s="2" t="s">
        <v>5769</v>
      </c>
      <c r="H45" s="2" t="s">
        <v>309</v>
      </c>
      <c r="I45" s="2" t="s">
        <v>5076</v>
      </c>
      <c r="J45" s="2" t="s">
        <v>5077</v>
      </c>
      <c r="K45" s="2" t="s">
        <v>5078</v>
      </c>
    </row>
    <row r="46" spans="1:11" ht="43.5" customHeight="1" x14ac:dyDescent="0.5">
      <c r="A46" s="2" t="s">
        <v>579</v>
      </c>
      <c r="B46" s="2" t="s">
        <v>2125</v>
      </c>
      <c r="C46" s="2" t="s">
        <v>297</v>
      </c>
      <c r="D46" s="2" t="s">
        <v>5770</v>
      </c>
      <c r="E46" s="2" t="s">
        <v>5771</v>
      </c>
      <c r="F46" s="2" t="s">
        <v>1789</v>
      </c>
      <c r="G46" s="2" t="s">
        <v>5772</v>
      </c>
      <c r="H46" s="2" t="s">
        <v>299</v>
      </c>
      <c r="I46" s="2" t="s">
        <v>5076</v>
      </c>
      <c r="J46" s="2" t="s">
        <v>5077</v>
      </c>
      <c r="K46" s="2" t="s">
        <v>5078</v>
      </c>
    </row>
    <row r="47" spans="1:11" ht="43.5" customHeight="1" x14ac:dyDescent="0.5">
      <c r="A47" s="2" t="s">
        <v>582</v>
      </c>
      <c r="B47" s="2" t="s">
        <v>2129</v>
      </c>
      <c r="C47" s="2" t="s">
        <v>297</v>
      </c>
      <c r="D47" s="2" t="s">
        <v>5773</v>
      </c>
      <c r="E47" s="2" t="s">
        <v>5774</v>
      </c>
      <c r="F47" s="2" t="s">
        <v>1789</v>
      </c>
      <c r="G47" s="2" t="s">
        <v>5775</v>
      </c>
      <c r="H47" s="2" t="s">
        <v>309</v>
      </c>
      <c r="I47" s="2" t="s">
        <v>5076</v>
      </c>
      <c r="J47" s="2" t="s">
        <v>5077</v>
      </c>
      <c r="K47" s="2" t="s">
        <v>5078</v>
      </c>
    </row>
    <row r="48" spans="1:11" ht="43.5" customHeight="1" x14ac:dyDescent="0.5">
      <c r="A48" s="2" t="s">
        <v>587</v>
      </c>
      <c r="B48" s="2" t="s">
        <v>2133</v>
      </c>
      <c r="C48" s="2" t="s">
        <v>297</v>
      </c>
      <c r="D48" s="2" t="s">
        <v>5776</v>
      </c>
      <c r="E48" s="2" t="s">
        <v>5777</v>
      </c>
      <c r="F48" s="2" t="s">
        <v>1789</v>
      </c>
      <c r="G48" s="2" t="s">
        <v>5778</v>
      </c>
      <c r="H48" s="2" t="s">
        <v>299</v>
      </c>
      <c r="I48" s="2" t="s">
        <v>5076</v>
      </c>
      <c r="J48" s="2" t="s">
        <v>5077</v>
      </c>
      <c r="K48" s="2" t="s">
        <v>5078</v>
      </c>
    </row>
    <row r="49" spans="1:11" ht="43.5" customHeight="1" x14ac:dyDescent="0.5">
      <c r="A49" s="2" t="s">
        <v>591</v>
      </c>
      <c r="B49" s="2" t="s">
        <v>2137</v>
      </c>
      <c r="C49" s="2" t="s">
        <v>297</v>
      </c>
      <c r="D49" s="2" t="s">
        <v>5779</v>
      </c>
      <c r="E49" s="2" t="s">
        <v>5780</v>
      </c>
      <c r="F49" s="2" t="s">
        <v>1789</v>
      </c>
      <c r="G49" s="2" t="s">
        <v>5781</v>
      </c>
      <c r="H49" s="2" t="s">
        <v>309</v>
      </c>
      <c r="I49" s="2" t="s">
        <v>5076</v>
      </c>
      <c r="J49" s="2" t="s">
        <v>5077</v>
      </c>
      <c r="K49" s="2" t="s">
        <v>5078</v>
      </c>
    </row>
    <row r="50" spans="1:11" ht="43.5" customHeight="1" x14ac:dyDescent="0.5">
      <c r="A50" s="2" t="s">
        <v>604</v>
      </c>
      <c r="B50" s="2" t="s">
        <v>2153</v>
      </c>
      <c r="C50" s="2" t="s">
        <v>297</v>
      </c>
      <c r="D50" s="2" t="s">
        <v>5782</v>
      </c>
      <c r="E50" s="2" t="s">
        <v>5783</v>
      </c>
      <c r="F50" s="2" t="s">
        <v>1789</v>
      </c>
      <c r="G50" s="2" t="s">
        <v>5784</v>
      </c>
      <c r="H50" s="2" t="s">
        <v>299</v>
      </c>
      <c r="I50" s="2" t="s">
        <v>5076</v>
      </c>
      <c r="J50" s="2" t="s">
        <v>5077</v>
      </c>
      <c r="K50" s="2" t="s">
        <v>5078</v>
      </c>
    </row>
    <row r="51" spans="1:11" ht="43.5" customHeight="1" x14ac:dyDescent="0.5">
      <c r="A51" s="2" t="s">
        <v>607</v>
      </c>
      <c r="B51" s="2" t="s">
        <v>2157</v>
      </c>
      <c r="C51" s="2" t="s">
        <v>297</v>
      </c>
      <c r="D51" s="2" t="s">
        <v>5785</v>
      </c>
      <c r="E51" s="2" t="s">
        <v>5786</v>
      </c>
      <c r="F51" s="2" t="s">
        <v>1789</v>
      </c>
      <c r="G51" s="2" t="s">
        <v>5787</v>
      </c>
      <c r="H51" s="2" t="s">
        <v>309</v>
      </c>
      <c r="I51" s="2" t="s">
        <v>5076</v>
      </c>
      <c r="J51" s="2" t="s">
        <v>5077</v>
      </c>
      <c r="K51" s="2" t="s">
        <v>5078</v>
      </c>
    </row>
    <row r="52" spans="1:11" ht="43.5" customHeight="1" x14ac:dyDescent="0.5">
      <c r="A52" s="2" t="s">
        <v>612</v>
      </c>
      <c r="B52" s="2" t="s">
        <v>2161</v>
      </c>
      <c r="C52" s="2" t="s">
        <v>297</v>
      </c>
      <c r="D52" s="2" t="s">
        <v>5788</v>
      </c>
      <c r="E52" s="2" t="s">
        <v>5789</v>
      </c>
      <c r="F52" s="2" t="s">
        <v>1789</v>
      </c>
      <c r="G52" s="2" t="s">
        <v>5790</v>
      </c>
      <c r="H52" s="2" t="s">
        <v>299</v>
      </c>
      <c r="I52" s="2" t="s">
        <v>5076</v>
      </c>
      <c r="J52" s="2" t="s">
        <v>5077</v>
      </c>
      <c r="K52" s="2" t="s">
        <v>5078</v>
      </c>
    </row>
    <row r="53" spans="1:11" ht="43.5" customHeight="1" x14ac:dyDescent="0.5">
      <c r="A53" s="2" t="s">
        <v>616</v>
      </c>
      <c r="B53" s="2" t="s">
        <v>2165</v>
      </c>
      <c r="C53" s="2" t="s">
        <v>297</v>
      </c>
      <c r="D53" s="2" t="s">
        <v>5791</v>
      </c>
      <c r="E53" s="2" t="s">
        <v>5792</v>
      </c>
      <c r="F53" s="2" t="s">
        <v>1789</v>
      </c>
      <c r="G53" s="2" t="s">
        <v>5793</v>
      </c>
      <c r="H53" s="2" t="s">
        <v>309</v>
      </c>
      <c r="I53" s="2" t="s">
        <v>5076</v>
      </c>
      <c r="J53" s="2" t="s">
        <v>5077</v>
      </c>
      <c r="K53" s="2" t="s">
        <v>5078</v>
      </c>
    </row>
    <row r="54" spans="1:11" ht="43.5" customHeight="1" x14ac:dyDescent="0.5">
      <c r="A54" s="2" t="s">
        <v>625</v>
      </c>
      <c r="B54" s="2" t="s">
        <v>2181</v>
      </c>
      <c r="C54" s="2" t="s">
        <v>297</v>
      </c>
      <c r="D54" s="2" t="s">
        <v>5794</v>
      </c>
      <c r="E54" s="2" t="s">
        <v>5795</v>
      </c>
      <c r="F54" s="2" t="s">
        <v>1789</v>
      </c>
      <c r="G54" s="2" t="s">
        <v>5796</v>
      </c>
      <c r="H54" s="2" t="s">
        <v>299</v>
      </c>
      <c r="I54" s="2" t="s">
        <v>5076</v>
      </c>
      <c r="J54" s="2" t="s">
        <v>5077</v>
      </c>
      <c r="K54" s="2" t="s">
        <v>5078</v>
      </c>
    </row>
    <row r="55" spans="1:11" ht="43.5" customHeight="1" x14ac:dyDescent="0.5">
      <c r="A55" s="2" t="s">
        <v>627</v>
      </c>
      <c r="B55" s="2" t="s">
        <v>2185</v>
      </c>
      <c r="C55" s="2" t="s">
        <v>297</v>
      </c>
      <c r="D55" s="2" t="s">
        <v>5797</v>
      </c>
      <c r="E55" s="2" t="s">
        <v>5798</v>
      </c>
      <c r="F55" s="2" t="s">
        <v>1789</v>
      </c>
      <c r="G55" s="2" t="s">
        <v>5799</v>
      </c>
      <c r="H55" s="2" t="s">
        <v>309</v>
      </c>
      <c r="I55" s="2" t="s">
        <v>5076</v>
      </c>
      <c r="J55" s="2" t="s">
        <v>5077</v>
      </c>
      <c r="K55" s="2" t="s">
        <v>5078</v>
      </c>
    </row>
    <row r="56" spans="1:11" ht="43.5" customHeight="1" x14ac:dyDescent="0.5">
      <c r="A56" s="2" t="s">
        <v>629</v>
      </c>
      <c r="B56" s="2" t="s">
        <v>2189</v>
      </c>
      <c r="C56" s="2" t="s">
        <v>297</v>
      </c>
      <c r="D56" s="2" t="s">
        <v>5800</v>
      </c>
      <c r="E56" s="2" t="s">
        <v>5801</v>
      </c>
      <c r="F56" s="2" t="s">
        <v>1789</v>
      </c>
      <c r="G56" s="2" t="s">
        <v>5802</v>
      </c>
      <c r="H56" s="2" t="s">
        <v>299</v>
      </c>
      <c r="I56" s="2" t="s">
        <v>5076</v>
      </c>
      <c r="J56" s="2" t="s">
        <v>5077</v>
      </c>
      <c r="K56" s="2" t="s">
        <v>5078</v>
      </c>
    </row>
    <row r="57" spans="1:11" ht="43.5" customHeight="1" x14ac:dyDescent="0.5">
      <c r="A57" s="2" t="s">
        <v>631</v>
      </c>
      <c r="B57" s="2" t="s">
        <v>2193</v>
      </c>
      <c r="C57" s="2" t="s">
        <v>297</v>
      </c>
      <c r="D57" s="2" t="s">
        <v>5803</v>
      </c>
      <c r="E57" s="2" t="s">
        <v>5804</v>
      </c>
      <c r="F57" s="2" t="s">
        <v>1789</v>
      </c>
      <c r="G57" s="2" t="s">
        <v>5805</v>
      </c>
      <c r="H57" s="2" t="s">
        <v>309</v>
      </c>
      <c r="I57" s="2" t="s">
        <v>5076</v>
      </c>
      <c r="J57" s="2" t="s">
        <v>5077</v>
      </c>
      <c r="K57" s="2" t="s">
        <v>5078</v>
      </c>
    </row>
    <row r="58" spans="1:11" ht="43.5" customHeight="1" x14ac:dyDescent="0.5">
      <c r="A58" s="2" t="s">
        <v>638</v>
      </c>
      <c r="B58" s="2" t="s">
        <v>2209</v>
      </c>
      <c r="C58" s="2" t="s">
        <v>297</v>
      </c>
      <c r="D58" s="2" t="s">
        <v>5806</v>
      </c>
      <c r="E58" s="2" t="s">
        <v>5807</v>
      </c>
      <c r="F58" s="2" t="s">
        <v>1789</v>
      </c>
      <c r="G58" s="2" t="s">
        <v>5808</v>
      </c>
      <c r="H58" s="2" t="s">
        <v>299</v>
      </c>
      <c r="I58" s="2" t="s">
        <v>5076</v>
      </c>
      <c r="J58" s="2" t="s">
        <v>5077</v>
      </c>
      <c r="K58" s="2" t="s">
        <v>5078</v>
      </c>
    </row>
    <row r="59" spans="1:11" ht="43.5" customHeight="1" x14ac:dyDescent="0.5">
      <c r="A59" s="2" t="s">
        <v>640</v>
      </c>
      <c r="B59" s="2" t="s">
        <v>2213</v>
      </c>
      <c r="C59" s="2" t="s">
        <v>297</v>
      </c>
      <c r="D59" s="2" t="s">
        <v>5809</v>
      </c>
      <c r="E59" s="2" t="s">
        <v>5810</v>
      </c>
      <c r="F59" s="2" t="s">
        <v>1789</v>
      </c>
      <c r="G59" s="2" t="s">
        <v>5811</v>
      </c>
      <c r="H59" s="2" t="s">
        <v>309</v>
      </c>
      <c r="I59" s="2" t="s">
        <v>5076</v>
      </c>
      <c r="J59" s="2" t="s">
        <v>5077</v>
      </c>
      <c r="K59" s="2" t="s">
        <v>5078</v>
      </c>
    </row>
    <row r="60" spans="1:11" ht="43.5" customHeight="1" x14ac:dyDescent="0.5">
      <c r="A60" s="2" t="s">
        <v>642</v>
      </c>
      <c r="B60" s="2" t="s">
        <v>2217</v>
      </c>
      <c r="C60" s="2" t="s">
        <v>297</v>
      </c>
      <c r="D60" s="2" t="s">
        <v>5812</v>
      </c>
      <c r="E60" s="2" t="s">
        <v>5813</v>
      </c>
      <c r="F60" s="2" t="s">
        <v>1789</v>
      </c>
      <c r="G60" s="2" t="s">
        <v>5814</v>
      </c>
      <c r="H60" s="2" t="s">
        <v>299</v>
      </c>
      <c r="I60" s="2" t="s">
        <v>5076</v>
      </c>
      <c r="J60" s="2" t="s">
        <v>5077</v>
      </c>
      <c r="K60" s="2" t="s">
        <v>5078</v>
      </c>
    </row>
    <row r="61" spans="1:11" ht="43.5" customHeight="1" x14ac:dyDescent="0.5">
      <c r="A61" s="2" t="s">
        <v>644</v>
      </c>
      <c r="B61" s="2" t="s">
        <v>2221</v>
      </c>
      <c r="C61" s="2" t="s">
        <v>297</v>
      </c>
      <c r="D61" s="2" t="s">
        <v>5815</v>
      </c>
      <c r="E61" s="2" t="s">
        <v>5816</v>
      </c>
      <c r="F61" s="2" t="s">
        <v>1789</v>
      </c>
      <c r="G61" s="2" t="s">
        <v>5817</v>
      </c>
      <c r="H61" s="2" t="s">
        <v>309</v>
      </c>
      <c r="I61" s="2" t="s">
        <v>5076</v>
      </c>
      <c r="J61" s="2" t="s">
        <v>5077</v>
      </c>
      <c r="K61" s="2" t="s">
        <v>5078</v>
      </c>
    </row>
    <row r="62" spans="1:11" ht="43.5" customHeight="1" x14ac:dyDescent="0.5">
      <c r="A62" s="2" t="s">
        <v>651</v>
      </c>
      <c r="B62" s="2" t="s">
        <v>2237</v>
      </c>
      <c r="C62" s="2" t="s">
        <v>297</v>
      </c>
      <c r="D62" s="2" t="s">
        <v>5818</v>
      </c>
      <c r="E62" s="2" t="s">
        <v>5819</v>
      </c>
      <c r="F62" s="2" t="s">
        <v>1789</v>
      </c>
      <c r="G62" s="2" t="s">
        <v>5820</v>
      </c>
      <c r="H62" s="2" t="s">
        <v>299</v>
      </c>
      <c r="I62" s="2" t="s">
        <v>5076</v>
      </c>
      <c r="J62" s="2" t="s">
        <v>5077</v>
      </c>
      <c r="K62" s="2" t="s">
        <v>5078</v>
      </c>
    </row>
    <row r="63" spans="1:11" ht="43.5" customHeight="1" x14ac:dyDescent="0.5">
      <c r="A63" s="2" t="s">
        <v>653</v>
      </c>
      <c r="B63" s="2" t="s">
        <v>2241</v>
      </c>
      <c r="C63" s="2" t="s">
        <v>297</v>
      </c>
      <c r="D63" s="2" t="s">
        <v>5821</v>
      </c>
      <c r="E63" s="2" t="s">
        <v>5822</v>
      </c>
      <c r="F63" s="2" t="s">
        <v>1789</v>
      </c>
      <c r="G63" s="2" t="s">
        <v>5823</v>
      </c>
      <c r="H63" s="2" t="s">
        <v>309</v>
      </c>
      <c r="I63" s="2" t="s">
        <v>5076</v>
      </c>
      <c r="J63" s="2" t="s">
        <v>5077</v>
      </c>
      <c r="K63" s="2" t="s">
        <v>5078</v>
      </c>
    </row>
    <row r="64" spans="1:11" ht="43.5" customHeight="1" x14ac:dyDescent="0.5">
      <c r="A64" s="2" t="s">
        <v>655</v>
      </c>
      <c r="B64" s="2" t="s">
        <v>2245</v>
      </c>
      <c r="C64" s="2" t="s">
        <v>297</v>
      </c>
      <c r="D64" s="2" t="s">
        <v>5824</v>
      </c>
      <c r="E64" s="2" t="s">
        <v>5825</v>
      </c>
      <c r="F64" s="2" t="s">
        <v>1789</v>
      </c>
      <c r="G64" s="2" t="s">
        <v>5826</v>
      </c>
      <c r="H64" s="2" t="s">
        <v>299</v>
      </c>
      <c r="I64" s="2" t="s">
        <v>5076</v>
      </c>
      <c r="J64" s="2" t="s">
        <v>5077</v>
      </c>
      <c r="K64" s="2" t="s">
        <v>5078</v>
      </c>
    </row>
    <row r="65" spans="1:11" ht="43.5" customHeight="1" x14ac:dyDescent="0.5">
      <c r="A65" s="2" t="s">
        <v>657</v>
      </c>
      <c r="B65" s="2" t="s">
        <v>2249</v>
      </c>
      <c r="C65" s="2" t="s">
        <v>297</v>
      </c>
      <c r="D65" s="2" t="s">
        <v>5827</v>
      </c>
      <c r="E65" s="2" t="s">
        <v>5828</v>
      </c>
      <c r="F65" s="2" t="s">
        <v>1789</v>
      </c>
      <c r="G65" s="2" t="s">
        <v>5829</v>
      </c>
      <c r="H65" s="2" t="s">
        <v>309</v>
      </c>
      <c r="I65" s="2" t="s">
        <v>5076</v>
      </c>
      <c r="J65" s="2" t="s">
        <v>5077</v>
      </c>
      <c r="K65" s="2" t="s">
        <v>5078</v>
      </c>
    </row>
    <row r="66" spans="1:11" ht="43.5" customHeight="1" x14ac:dyDescent="0.5">
      <c r="A66" s="2" t="s">
        <v>663</v>
      </c>
      <c r="B66" s="2" t="s">
        <v>2265</v>
      </c>
      <c r="C66" s="2" t="s">
        <v>297</v>
      </c>
      <c r="D66" s="2" t="s">
        <v>5830</v>
      </c>
      <c r="E66" s="2" t="s">
        <v>5831</v>
      </c>
      <c r="F66" s="2" t="s">
        <v>1789</v>
      </c>
      <c r="G66" s="2" t="s">
        <v>5832</v>
      </c>
      <c r="H66" s="2" t="s">
        <v>299</v>
      </c>
      <c r="I66" s="2" t="s">
        <v>5076</v>
      </c>
      <c r="J66" s="2" t="s">
        <v>5077</v>
      </c>
      <c r="K66" s="2" t="s">
        <v>5078</v>
      </c>
    </row>
    <row r="67" spans="1:11" ht="43.5" customHeight="1" x14ac:dyDescent="0.5">
      <c r="A67" s="2" t="s">
        <v>665</v>
      </c>
      <c r="B67" s="2" t="s">
        <v>2269</v>
      </c>
      <c r="C67" s="2" t="s">
        <v>297</v>
      </c>
      <c r="D67" s="2" t="s">
        <v>5833</v>
      </c>
      <c r="E67" s="2" t="s">
        <v>5834</v>
      </c>
      <c r="F67" s="2" t="s">
        <v>1789</v>
      </c>
      <c r="G67" s="2" t="s">
        <v>5835</v>
      </c>
      <c r="H67" s="2" t="s">
        <v>309</v>
      </c>
      <c r="I67" s="2" t="s">
        <v>5076</v>
      </c>
      <c r="J67" s="2" t="s">
        <v>5077</v>
      </c>
      <c r="K67" s="2" t="s">
        <v>5078</v>
      </c>
    </row>
    <row r="68" spans="1:11" ht="43.5" customHeight="1" x14ac:dyDescent="0.5">
      <c r="A68" s="2" t="s">
        <v>667</v>
      </c>
      <c r="B68" s="2" t="s">
        <v>2273</v>
      </c>
      <c r="C68" s="2" t="s">
        <v>297</v>
      </c>
      <c r="D68" s="2" t="s">
        <v>5836</v>
      </c>
      <c r="E68" s="2" t="s">
        <v>5837</v>
      </c>
      <c r="F68" s="2" t="s">
        <v>1789</v>
      </c>
      <c r="G68" s="2" t="s">
        <v>5838</v>
      </c>
      <c r="H68" s="2" t="s">
        <v>299</v>
      </c>
      <c r="I68" s="2" t="s">
        <v>5076</v>
      </c>
      <c r="J68" s="2" t="s">
        <v>5077</v>
      </c>
      <c r="K68" s="2" t="s">
        <v>5078</v>
      </c>
    </row>
    <row r="69" spans="1:11" ht="43.5" customHeight="1" x14ac:dyDescent="0.5">
      <c r="A69" s="2" t="s">
        <v>669</v>
      </c>
      <c r="B69" s="2" t="s">
        <v>2277</v>
      </c>
      <c r="C69" s="2" t="s">
        <v>297</v>
      </c>
      <c r="D69" s="2" t="s">
        <v>5839</v>
      </c>
      <c r="E69" s="2" t="s">
        <v>5840</v>
      </c>
      <c r="F69" s="2" t="s">
        <v>1789</v>
      </c>
      <c r="G69" s="2" t="s">
        <v>5841</v>
      </c>
      <c r="H69" s="2" t="s">
        <v>309</v>
      </c>
      <c r="I69" s="2" t="s">
        <v>5076</v>
      </c>
      <c r="J69" s="2" t="s">
        <v>5077</v>
      </c>
      <c r="K69" s="2" t="s">
        <v>5078</v>
      </c>
    </row>
    <row r="70" spans="1:11" ht="43.5" customHeight="1" x14ac:dyDescent="0.5">
      <c r="A70" s="2" t="s">
        <v>678</v>
      </c>
      <c r="B70" s="2" t="s">
        <v>2293</v>
      </c>
      <c r="C70" s="2" t="s">
        <v>297</v>
      </c>
      <c r="D70" s="2" t="s">
        <v>5842</v>
      </c>
      <c r="E70" s="2" t="s">
        <v>5843</v>
      </c>
      <c r="F70" s="2" t="s">
        <v>1789</v>
      </c>
      <c r="G70" s="2" t="s">
        <v>5844</v>
      </c>
      <c r="H70" s="2" t="s">
        <v>299</v>
      </c>
      <c r="I70" s="2" t="s">
        <v>5076</v>
      </c>
      <c r="J70" s="2" t="s">
        <v>5077</v>
      </c>
      <c r="K70" s="2" t="s">
        <v>5078</v>
      </c>
    </row>
    <row r="71" spans="1:11" ht="43.5" customHeight="1" x14ac:dyDescent="0.5">
      <c r="A71" s="2" t="s">
        <v>681</v>
      </c>
      <c r="B71" s="2" t="s">
        <v>2297</v>
      </c>
      <c r="C71" s="2" t="s">
        <v>297</v>
      </c>
      <c r="D71" s="2" t="s">
        <v>5845</v>
      </c>
      <c r="E71" s="2" t="s">
        <v>5846</v>
      </c>
      <c r="F71" s="2" t="s">
        <v>1789</v>
      </c>
      <c r="G71" s="2" t="s">
        <v>5847</v>
      </c>
      <c r="H71" s="2" t="s">
        <v>309</v>
      </c>
      <c r="I71" s="2" t="s">
        <v>5076</v>
      </c>
      <c r="J71" s="2" t="s">
        <v>5077</v>
      </c>
      <c r="K71" s="2" t="s">
        <v>5078</v>
      </c>
    </row>
    <row r="72" spans="1:11" ht="43.5" customHeight="1" x14ac:dyDescent="0.5">
      <c r="A72" s="2" t="s">
        <v>684</v>
      </c>
      <c r="B72" s="2" t="s">
        <v>2301</v>
      </c>
      <c r="C72" s="2" t="s">
        <v>297</v>
      </c>
      <c r="D72" s="2" t="s">
        <v>5848</v>
      </c>
      <c r="E72" s="2" t="s">
        <v>5849</v>
      </c>
      <c r="F72" s="2" t="s">
        <v>1789</v>
      </c>
      <c r="G72" s="2" t="s">
        <v>5850</v>
      </c>
      <c r="H72" s="2" t="s">
        <v>299</v>
      </c>
      <c r="I72" s="2" t="s">
        <v>5076</v>
      </c>
      <c r="J72" s="2" t="s">
        <v>5077</v>
      </c>
      <c r="K72" s="2" t="s">
        <v>5078</v>
      </c>
    </row>
    <row r="73" spans="1:11" ht="43.5" customHeight="1" x14ac:dyDescent="0.5">
      <c r="A73" s="2" t="s">
        <v>687</v>
      </c>
      <c r="B73" s="2" t="s">
        <v>2305</v>
      </c>
      <c r="C73" s="2" t="s">
        <v>297</v>
      </c>
      <c r="D73" s="2" t="s">
        <v>5851</v>
      </c>
      <c r="E73" s="2" t="s">
        <v>5852</v>
      </c>
      <c r="F73" s="2" t="s">
        <v>1789</v>
      </c>
      <c r="G73" s="2" t="s">
        <v>5853</v>
      </c>
      <c r="H73" s="2" t="s">
        <v>309</v>
      </c>
      <c r="I73" s="2" t="s">
        <v>5076</v>
      </c>
      <c r="J73" s="2" t="s">
        <v>5077</v>
      </c>
      <c r="K73" s="2" t="s">
        <v>5078</v>
      </c>
    </row>
    <row r="74" spans="1:11" ht="43.5" customHeight="1" x14ac:dyDescent="0.5">
      <c r="A74" s="2" t="s">
        <v>696</v>
      </c>
      <c r="B74" s="2" t="s">
        <v>2321</v>
      </c>
      <c r="C74" s="2" t="s">
        <v>297</v>
      </c>
      <c r="D74" s="2" t="s">
        <v>5854</v>
      </c>
      <c r="E74" s="2" t="s">
        <v>5855</v>
      </c>
      <c r="F74" s="2" t="s">
        <v>1789</v>
      </c>
      <c r="G74" s="2" t="s">
        <v>5856</v>
      </c>
      <c r="H74" s="2" t="s">
        <v>299</v>
      </c>
      <c r="I74" s="2" t="s">
        <v>5076</v>
      </c>
      <c r="J74" s="2" t="s">
        <v>5077</v>
      </c>
      <c r="K74" s="2" t="s">
        <v>5078</v>
      </c>
    </row>
    <row r="75" spans="1:11" ht="43.5" customHeight="1" x14ac:dyDescent="0.5">
      <c r="A75" s="2" t="s">
        <v>699</v>
      </c>
      <c r="B75" s="2" t="s">
        <v>2325</v>
      </c>
      <c r="C75" s="2" t="s">
        <v>297</v>
      </c>
      <c r="D75" s="2" t="s">
        <v>5857</v>
      </c>
      <c r="E75" s="2" t="s">
        <v>5858</v>
      </c>
      <c r="F75" s="2" t="s">
        <v>1789</v>
      </c>
      <c r="G75" s="2" t="s">
        <v>5859</v>
      </c>
      <c r="H75" s="2" t="s">
        <v>309</v>
      </c>
      <c r="I75" s="2" t="s">
        <v>5076</v>
      </c>
      <c r="J75" s="2" t="s">
        <v>5077</v>
      </c>
      <c r="K75" s="2" t="s">
        <v>5078</v>
      </c>
    </row>
    <row r="76" spans="1:11" ht="43.5" customHeight="1" x14ac:dyDescent="0.5">
      <c r="A76" s="2" t="s">
        <v>702</v>
      </c>
      <c r="B76" s="2" t="s">
        <v>2329</v>
      </c>
      <c r="C76" s="2" t="s">
        <v>297</v>
      </c>
      <c r="D76" s="2" t="s">
        <v>5860</v>
      </c>
      <c r="E76" s="2" t="s">
        <v>5861</v>
      </c>
      <c r="F76" s="2" t="s">
        <v>1789</v>
      </c>
      <c r="G76" s="2" t="s">
        <v>5862</v>
      </c>
      <c r="H76" s="2" t="s">
        <v>299</v>
      </c>
      <c r="I76" s="2" t="s">
        <v>5076</v>
      </c>
      <c r="J76" s="2" t="s">
        <v>5077</v>
      </c>
      <c r="K76" s="2" t="s">
        <v>5078</v>
      </c>
    </row>
    <row r="77" spans="1:11" ht="43.5" customHeight="1" x14ac:dyDescent="0.5">
      <c r="A77" s="2" t="s">
        <v>705</v>
      </c>
      <c r="B77" s="2" t="s">
        <v>2333</v>
      </c>
      <c r="C77" s="2" t="s">
        <v>297</v>
      </c>
      <c r="D77" s="2" t="s">
        <v>5863</v>
      </c>
      <c r="E77" s="2" t="s">
        <v>5864</v>
      </c>
      <c r="F77" s="2" t="s">
        <v>1789</v>
      </c>
      <c r="G77" s="2" t="s">
        <v>5865</v>
      </c>
      <c r="H77" s="2" t="s">
        <v>309</v>
      </c>
      <c r="I77" s="2" t="s">
        <v>5076</v>
      </c>
      <c r="J77" s="2" t="s">
        <v>5077</v>
      </c>
      <c r="K77" s="2" t="s">
        <v>5078</v>
      </c>
    </row>
    <row r="78" spans="1:11" ht="43.5" customHeight="1" x14ac:dyDescent="0.5">
      <c r="A78" s="2" t="s">
        <v>717</v>
      </c>
      <c r="B78" s="2" t="s">
        <v>2349</v>
      </c>
      <c r="C78" s="2" t="s">
        <v>297</v>
      </c>
      <c r="D78" s="2" t="s">
        <v>5866</v>
      </c>
      <c r="E78" s="2" t="s">
        <v>5867</v>
      </c>
      <c r="F78" s="2" t="s">
        <v>1789</v>
      </c>
      <c r="G78" s="2" t="s">
        <v>5868</v>
      </c>
      <c r="H78" s="2" t="s">
        <v>299</v>
      </c>
      <c r="I78" s="2" t="s">
        <v>5076</v>
      </c>
      <c r="J78" s="2" t="s">
        <v>5077</v>
      </c>
      <c r="K78" s="2" t="s">
        <v>5078</v>
      </c>
    </row>
    <row r="79" spans="1:11" ht="43.5" customHeight="1" x14ac:dyDescent="0.5">
      <c r="A79" s="2" t="s">
        <v>720</v>
      </c>
      <c r="B79" s="2" t="s">
        <v>2353</v>
      </c>
      <c r="C79" s="2" t="s">
        <v>297</v>
      </c>
      <c r="D79" s="2" t="s">
        <v>5869</v>
      </c>
      <c r="E79" s="2" t="s">
        <v>5870</v>
      </c>
      <c r="F79" s="2" t="s">
        <v>1789</v>
      </c>
      <c r="G79" s="2" t="s">
        <v>5871</v>
      </c>
      <c r="H79" s="2" t="s">
        <v>309</v>
      </c>
      <c r="I79" s="2" t="s">
        <v>5076</v>
      </c>
      <c r="J79" s="2" t="s">
        <v>5077</v>
      </c>
      <c r="K79" s="2" t="s">
        <v>5078</v>
      </c>
    </row>
    <row r="80" spans="1:11" ht="43.5" customHeight="1" x14ac:dyDescent="0.5">
      <c r="A80" s="2" t="s">
        <v>723</v>
      </c>
      <c r="B80" s="2" t="s">
        <v>2357</v>
      </c>
      <c r="C80" s="2" t="s">
        <v>297</v>
      </c>
      <c r="D80" s="2" t="s">
        <v>5872</v>
      </c>
      <c r="E80" s="2" t="s">
        <v>5873</v>
      </c>
      <c r="F80" s="2" t="s">
        <v>1789</v>
      </c>
      <c r="G80" s="2" t="s">
        <v>5874</v>
      </c>
      <c r="H80" s="2" t="s">
        <v>299</v>
      </c>
      <c r="I80" s="2" t="s">
        <v>5076</v>
      </c>
      <c r="J80" s="2" t="s">
        <v>5077</v>
      </c>
      <c r="K80" s="2" t="s">
        <v>5078</v>
      </c>
    </row>
    <row r="81" spans="1:11" ht="43.5" customHeight="1" x14ac:dyDescent="0.5">
      <c r="A81" s="2" t="s">
        <v>726</v>
      </c>
      <c r="B81" s="2" t="s">
        <v>2361</v>
      </c>
      <c r="C81" s="2" t="s">
        <v>297</v>
      </c>
      <c r="D81" s="2" t="s">
        <v>5875</v>
      </c>
      <c r="E81" s="2" t="s">
        <v>5876</v>
      </c>
      <c r="F81" s="2" t="s">
        <v>1789</v>
      </c>
      <c r="G81" s="2" t="s">
        <v>5877</v>
      </c>
      <c r="H81" s="2" t="s">
        <v>309</v>
      </c>
      <c r="I81" s="2" t="s">
        <v>5076</v>
      </c>
      <c r="J81" s="2" t="s">
        <v>5077</v>
      </c>
      <c r="K81" s="2" t="s">
        <v>5078</v>
      </c>
    </row>
    <row r="82" spans="1:11" ht="43.5" customHeight="1" x14ac:dyDescent="0.5">
      <c r="A82" s="2" t="s">
        <v>736</v>
      </c>
      <c r="B82" s="2" t="s">
        <v>2377</v>
      </c>
      <c r="C82" s="2" t="s">
        <v>297</v>
      </c>
      <c r="D82" s="2" t="s">
        <v>5878</v>
      </c>
      <c r="E82" s="2" t="s">
        <v>5879</v>
      </c>
      <c r="F82" s="2" t="s">
        <v>1789</v>
      </c>
      <c r="G82" s="2" t="s">
        <v>5880</v>
      </c>
      <c r="H82" s="2" t="s">
        <v>299</v>
      </c>
      <c r="I82" s="2" t="s">
        <v>5076</v>
      </c>
      <c r="J82" s="2" t="s">
        <v>5077</v>
      </c>
      <c r="K82" s="2" t="s">
        <v>5078</v>
      </c>
    </row>
    <row r="83" spans="1:11" ht="43.5" customHeight="1" x14ac:dyDescent="0.5">
      <c r="A83" s="2" t="s">
        <v>739</v>
      </c>
      <c r="B83" s="2" t="s">
        <v>2381</v>
      </c>
      <c r="C83" s="2" t="s">
        <v>297</v>
      </c>
      <c r="D83" s="2" t="s">
        <v>5881</v>
      </c>
      <c r="E83" s="2" t="s">
        <v>5882</v>
      </c>
      <c r="F83" s="2" t="s">
        <v>1789</v>
      </c>
      <c r="G83" s="2" t="s">
        <v>5883</v>
      </c>
      <c r="H83" s="2" t="s">
        <v>309</v>
      </c>
      <c r="I83" s="2" t="s">
        <v>5076</v>
      </c>
      <c r="J83" s="2" t="s">
        <v>5077</v>
      </c>
      <c r="K83" s="2" t="s">
        <v>5078</v>
      </c>
    </row>
    <row r="84" spans="1:11" ht="43.5" customHeight="1" x14ac:dyDescent="0.5">
      <c r="A84" s="2" t="s">
        <v>742</v>
      </c>
      <c r="B84" s="2" t="s">
        <v>2385</v>
      </c>
      <c r="C84" s="2" t="s">
        <v>297</v>
      </c>
      <c r="D84" s="2" t="s">
        <v>5884</v>
      </c>
      <c r="E84" s="2" t="s">
        <v>5885</v>
      </c>
      <c r="F84" s="2" t="s">
        <v>1789</v>
      </c>
      <c r="G84" s="2" t="s">
        <v>5886</v>
      </c>
      <c r="H84" s="2" t="s">
        <v>299</v>
      </c>
      <c r="I84" s="2" t="s">
        <v>5076</v>
      </c>
      <c r="J84" s="2" t="s">
        <v>5077</v>
      </c>
      <c r="K84" s="2" t="s">
        <v>5078</v>
      </c>
    </row>
    <row r="85" spans="1:11" ht="43.5" customHeight="1" x14ac:dyDescent="0.5">
      <c r="A85" s="2" t="s">
        <v>745</v>
      </c>
      <c r="B85" s="2" t="s">
        <v>2389</v>
      </c>
      <c r="C85" s="2" t="s">
        <v>297</v>
      </c>
      <c r="D85" s="2" t="s">
        <v>5887</v>
      </c>
      <c r="E85" s="2" t="s">
        <v>5888</v>
      </c>
      <c r="F85" s="2" t="s">
        <v>1789</v>
      </c>
      <c r="G85" s="2" t="s">
        <v>5889</v>
      </c>
      <c r="H85" s="2" t="s">
        <v>309</v>
      </c>
      <c r="I85" s="2" t="s">
        <v>5076</v>
      </c>
      <c r="J85" s="2" t="s">
        <v>5077</v>
      </c>
      <c r="K85" s="2" t="s">
        <v>5078</v>
      </c>
    </row>
    <row r="86" spans="1:11" ht="43.5" customHeight="1" x14ac:dyDescent="0.5">
      <c r="A86" s="2" t="s">
        <v>755</v>
      </c>
      <c r="B86" s="2" t="s">
        <v>2405</v>
      </c>
      <c r="C86" s="2" t="s">
        <v>297</v>
      </c>
      <c r="D86" s="2" t="s">
        <v>5890</v>
      </c>
      <c r="E86" s="2" t="s">
        <v>5891</v>
      </c>
      <c r="F86" s="2" t="s">
        <v>1789</v>
      </c>
      <c r="G86" s="2" t="s">
        <v>5892</v>
      </c>
      <c r="H86" s="2" t="s">
        <v>299</v>
      </c>
      <c r="I86" s="2" t="s">
        <v>5076</v>
      </c>
      <c r="J86" s="2" t="s">
        <v>5077</v>
      </c>
      <c r="K86" s="2" t="s">
        <v>5078</v>
      </c>
    </row>
    <row r="87" spans="1:11" ht="43.5" customHeight="1" x14ac:dyDescent="0.5">
      <c r="A87" s="2" t="s">
        <v>758</v>
      </c>
      <c r="B87" s="2" t="s">
        <v>2409</v>
      </c>
      <c r="C87" s="2" t="s">
        <v>297</v>
      </c>
      <c r="D87" s="2" t="s">
        <v>5893</v>
      </c>
      <c r="E87" s="2" t="s">
        <v>5894</v>
      </c>
      <c r="F87" s="2" t="s">
        <v>1789</v>
      </c>
      <c r="G87" s="2" t="s">
        <v>5895</v>
      </c>
      <c r="H87" s="2" t="s">
        <v>309</v>
      </c>
      <c r="I87" s="2" t="s">
        <v>5076</v>
      </c>
      <c r="J87" s="2" t="s">
        <v>5077</v>
      </c>
      <c r="K87" s="2" t="s">
        <v>5078</v>
      </c>
    </row>
    <row r="88" spans="1:11" ht="43.5" customHeight="1" x14ac:dyDescent="0.5">
      <c r="A88" s="2" t="s">
        <v>761</v>
      </c>
      <c r="B88" s="2" t="s">
        <v>2413</v>
      </c>
      <c r="C88" s="2" t="s">
        <v>297</v>
      </c>
      <c r="D88" s="2" t="s">
        <v>5896</v>
      </c>
      <c r="E88" s="2" t="s">
        <v>5897</v>
      </c>
      <c r="F88" s="2" t="s">
        <v>1789</v>
      </c>
      <c r="G88" s="2" t="s">
        <v>5898</v>
      </c>
      <c r="H88" s="2" t="s">
        <v>299</v>
      </c>
      <c r="I88" s="2" t="s">
        <v>5076</v>
      </c>
      <c r="J88" s="2" t="s">
        <v>5077</v>
      </c>
      <c r="K88" s="2" t="s">
        <v>5078</v>
      </c>
    </row>
    <row r="89" spans="1:11" ht="43.5" customHeight="1" x14ac:dyDescent="0.5">
      <c r="A89" s="2" t="s">
        <v>764</v>
      </c>
      <c r="B89" s="2" t="s">
        <v>2417</v>
      </c>
      <c r="C89" s="2" t="s">
        <v>297</v>
      </c>
      <c r="D89" s="2" t="s">
        <v>5899</v>
      </c>
      <c r="E89" s="2" t="s">
        <v>5900</v>
      </c>
      <c r="F89" s="2" t="s">
        <v>1789</v>
      </c>
      <c r="G89" s="2" t="s">
        <v>5901</v>
      </c>
      <c r="H89" s="2" t="s">
        <v>309</v>
      </c>
      <c r="I89" s="2" t="s">
        <v>5076</v>
      </c>
      <c r="J89" s="2" t="s">
        <v>5077</v>
      </c>
      <c r="K89" s="2" t="s">
        <v>5078</v>
      </c>
    </row>
    <row r="90" spans="1:11" ht="43.5" customHeight="1" x14ac:dyDescent="0.5">
      <c r="A90" s="2" t="s">
        <v>776</v>
      </c>
      <c r="B90" s="2" t="s">
        <v>2433</v>
      </c>
      <c r="C90" s="2" t="s">
        <v>297</v>
      </c>
      <c r="D90" s="2" t="s">
        <v>5902</v>
      </c>
      <c r="E90" s="2" t="s">
        <v>5903</v>
      </c>
      <c r="F90" s="2" t="s">
        <v>1789</v>
      </c>
      <c r="G90" s="2" t="s">
        <v>5904</v>
      </c>
      <c r="H90" s="2" t="s">
        <v>299</v>
      </c>
      <c r="I90" s="2" t="s">
        <v>5076</v>
      </c>
      <c r="J90" s="2" t="s">
        <v>5077</v>
      </c>
      <c r="K90" s="2" t="s">
        <v>5078</v>
      </c>
    </row>
    <row r="91" spans="1:11" ht="43.5" customHeight="1" x14ac:dyDescent="0.5">
      <c r="A91" s="2" t="s">
        <v>779</v>
      </c>
      <c r="B91" s="2" t="s">
        <v>2437</v>
      </c>
      <c r="C91" s="2" t="s">
        <v>297</v>
      </c>
      <c r="D91" s="2" t="s">
        <v>5905</v>
      </c>
      <c r="E91" s="2" t="s">
        <v>5906</v>
      </c>
      <c r="F91" s="2" t="s">
        <v>1789</v>
      </c>
      <c r="G91" s="2" t="s">
        <v>5907</v>
      </c>
      <c r="H91" s="2" t="s">
        <v>309</v>
      </c>
      <c r="I91" s="2" t="s">
        <v>5076</v>
      </c>
      <c r="J91" s="2" t="s">
        <v>5077</v>
      </c>
      <c r="K91" s="2" t="s">
        <v>5078</v>
      </c>
    </row>
    <row r="92" spans="1:11" ht="43.5" customHeight="1" x14ac:dyDescent="0.5">
      <c r="A92" s="2" t="s">
        <v>782</v>
      </c>
      <c r="B92" s="2" t="s">
        <v>2441</v>
      </c>
      <c r="C92" s="2" t="s">
        <v>297</v>
      </c>
      <c r="D92" s="2" t="s">
        <v>5908</v>
      </c>
      <c r="E92" s="2" t="s">
        <v>5909</v>
      </c>
      <c r="F92" s="2" t="s">
        <v>1789</v>
      </c>
      <c r="G92" s="2" t="s">
        <v>5910</v>
      </c>
      <c r="H92" s="2" t="s">
        <v>299</v>
      </c>
      <c r="I92" s="2" t="s">
        <v>5076</v>
      </c>
      <c r="J92" s="2" t="s">
        <v>5077</v>
      </c>
      <c r="K92" s="2" t="s">
        <v>5078</v>
      </c>
    </row>
    <row r="93" spans="1:11" ht="43.5" customHeight="1" x14ac:dyDescent="0.5">
      <c r="A93" s="2" t="s">
        <v>785</v>
      </c>
      <c r="B93" s="2" t="s">
        <v>2445</v>
      </c>
      <c r="C93" s="2" t="s">
        <v>297</v>
      </c>
      <c r="D93" s="2" t="s">
        <v>5911</v>
      </c>
      <c r="E93" s="2" t="s">
        <v>5912</v>
      </c>
      <c r="F93" s="2" t="s">
        <v>1789</v>
      </c>
      <c r="G93" s="2" t="s">
        <v>5913</v>
      </c>
      <c r="H93" s="2" t="s">
        <v>309</v>
      </c>
      <c r="I93" s="2" t="s">
        <v>5076</v>
      </c>
      <c r="J93" s="2" t="s">
        <v>5077</v>
      </c>
      <c r="K93" s="2" t="s">
        <v>5078</v>
      </c>
    </row>
    <row r="94" spans="1:11" ht="43.5" customHeight="1" x14ac:dyDescent="0.5">
      <c r="A94" s="2" t="s">
        <v>788</v>
      </c>
      <c r="B94" s="2" t="s">
        <v>2449</v>
      </c>
      <c r="C94" s="2" t="s">
        <v>297</v>
      </c>
      <c r="D94" s="2" t="s">
        <v>5914</v>
      </c>
      <c r="E94" s="2" t="s">
        <v>5915</v>
      </c>
      <c r="F94" s="2" t="s">
        <v>5916</v>
      </c>
      <c r="G94" s="2" t="s">
        <v>5917</v>
      </c>
      <c r="H94" s="2" t="s">
        <v>309</v>
      </c>
      <c r="I94" s="2" t="s">
        <v>5076</v>
      </c>
      <c r="J94" s="2" t="s">
        <v>5077</v>
      </c>
      <c r="K94" s="2" t="s">
        <v>5078</v>
      </c>
    </row>
    <row r="95" spans="1:11" ht="43.5" customHeight="1" x14ac:dyDescent="0.5">
      <c r="A95" s="2" t="s">
        <v>803</v>
      </c>
      <c r="B95" s="2" t="s">
        <v>2467</v>
      </c>
      <c r="C95" s="2" t="s">
        <v>297</v>
      </c>
      <c r="D95" s="2" t="s">
        <v>5918</v>
      </c>
      <c r="E95" s="2" t="s">
        <v>5919</v>
      </c>
      <c r="F95" s="2" t="s">
        <v>1789</v>
      </c>
      <c r="G95" s="2" t="s">
        <v>5920</v>
      </c>
      <c r="H95" s="2" t="s">
        <v>299</v>
      </c>
      <c r="I95" s="2" t="s">
        <v>5076</v>
      </c>
      <c r="J95" s="2" t="s">
        <v>5077</v>
      </c>
      <c r="K95" s="2" t="s">
        <v>5078</v>
      </c>
    </row>
    <row r="96" spans="1:11" ht="43.5" customHeight="1" x14ac:dyDescent="0.5">
      <c r="A96" s="2" t="s">
        <v>806</v>
      </c>
      <c r="B96" s="2" t="s">
        <v>2471</v>
      </c>
      <c r="C96" s="2" t="s">
        <v>297</v>
      </c>
      <c r="D96" s="2" t="s">
        <v>5921</v>
      </c>
      <c r="E96" s="2" t="s">
        <v>5922</v>
      </c>
      <c r="F96" s="2" t="s">
        <v>1789</v>
      </c>
      <c r="G96" s="2" t="s">
        <v>5923</v>
      </c>
      <c r="H96" s="2" t="s">
        <v>309</v>
      </c>
      <c r="I96" s="2" t="s">
        <v>5076</v>
      </c>
      <c r="J96" s="2" t="s">
        <v>5077</v>
      </c>
      <c r="K96" s="2" t="s">
        <v>5078</v>
      </c>
    </row>
    <row r="97" spans="1:11" ht="43.5" customHeight="1" x14ac:dyDescent="0.5">
      <c r="A97" s="2" t="s">
        <v>811</v>
      </c>
      <c r="B97" s="2" t="s">
        <v>2475</v>
      </c>
      <c r="C97" s="2" t="s">
        <v>297</v>
      </c>
      <c r="D97" s="2" t="s">
        <v>5924</v>
      </c>
      <c r="E97" s="2" t="s">
        <v>5925</v>
      </c>
      <c r="F97" s="2" t="s">
        <v>1789</v>
      </c>
      <c r="G97" s="2" t="s">
        <v>5926</v>
      </c>
      <c r="H97" s="2" t="s">
        <v>299</v>
      </c>
      <c r="I97" s="2" t="s">
        <v>5076</v>
      </c>
      <c r="J97" s="2" t="s">
        <v>5077</v>
      </c>
      <c r="K97" s="2" t="s">
        <v>5078</v>
      </c>
    </row>
    <row r="98" spans="1:11" ht="43.5" customHeight="1" x14ac:dyDescent="0.5">
      <c r="A98" s="2" t="s">
        <v>815</v>
      </c>
      <c r="B98" s="2" t="s">
        <v>2479</v>
      </c>
      <c r="C98" s="2" t="s">
        <v>297</v>
      </c>
      <c r="D98" s="2" t="s">
        <v>5927</v>
      </c>
      <c r="E98" s="2" t="s">
        <v>5928</v>
      </c>
      <c r="F98" s="2" t="s">
        <v>1789</v>
      </c>
      <c r="G98" s="2" t="s">
        <v>5929</v>
      </c>
      <c r="H98" s="2" t="s">
        <v>309</v>
      </c>
      <c r="I98" s="2" t="s">
        <v>5076</v>
      </c>
      <c r="J98" s="2" t="s">
        <v>5077</v>
      </c>
      <c r="K98" s="2" t="s">
        <v>5078</v>
      </c>
    </row>
    <row r="99" spans="1:11" ht="43.5" customHeight="1" x14ac:dyDescent="0.5">
      <c r="A99" s="2" t="s">
        <v>819</v>
      </c>
      <c r="B99" s="2" t="s">
        <v>2483</v>
      </c>
      <c r="C99" s="2" t="s">
        <v>297</v>
      </c>
      <c r="D99" s="2" t="s">
        <v>5930</v>
      </c>
      <c r="E99" s="2" t="s">
        <v>5931</v>
      </c>
      <c r="F99" s="2" t="s">
        <v>5932</v>
      </c>
      <c r="G99" s="2" t="s">
        <v>5933</v>
      </c>
      <c r="H99" s="2" t="s">
        <v>309</v>
      </c>
      <c r="I99" s="2" t="s">
        <v>5076</v>
      </c>
      <c r="J99" s="2" t="s">
        <v>5077</v>
      </c>
      <c r="K99" s="2" t="s">
        <v>5078</v>
      </c>
    </row>
    <row r="100" spans="1:11" ht="43.5" customHeight="1" x14ac:dyDescent="0.5">
      <c r="A100" s="2" t="s">
        <v>833</v>
      </c>
      <c r="B100" s="2" t="s">
        <v>2505</v>
      </c>
      <c r="C100" s="2" t="s">
        <v>297</v>
      </c>
      <c r="D100" s="2" t="s">
        <v>5934</v>
      </c>
      <c r="E100" s="2" t="s">
        <v>5935</v>
      </c>
      <c r="F100" s="2" t="s">
        <v>1789</v>
      </c>
      <c r="G100" s="2" t="s">
        <v>5936</v>
      </c>
      <c r="H100" s="2" t="s">
        <v>309</v>
      </c>
      <c r="I100" s="2" t="s">
        <v>5076</v>
      </c>
      <c r="J100" s="2" t="s">
        <v>5077</v>
      </c>
      <c r="K100" s="2" t="s">
        <v>5078</v>
      </c>
    </row>
    <row r="101" spans="1:11" ht="43.5" customHeight="1" x14ac:dyDescent="0.5">
      <c r="A101" s="2" t="s">
        <v>838</v>
      </c>
      <c r="B101" s="2" t="s">
        <v>2509</v>
      </c>
      <c r="C101" s="2" t="s">
        <v>297</v>
      </c>
      <c r="D101" s="2" t="s">
        <v>5937</v>
      </c>
      <c r="E101" s="2" t="s">
        <v>5938</v>
      </c>
      <c r="F101" s="2" t="s">
        <v>1789</v>
      </c>
      <c r="G101" s="2" t="s">
        <v>5939</v>
      </c>
      <c r="H101" s="2" t="s">
        <v>299</v>
      </c>
      <c r="I101" s="2" t="s">
        <v>5076</v>
      </c>
      <c r="J101" s="2" t="s">
        <v>5077</v>
      </c>
      <c r="K101" s="2" t="s">
        <v>5078</v>
      </c>
    </row>
    <row r="102" spans="1:11" ht="43.5" customHeight="1" x14ac:dyDescent="0.5">
      <c r="A102" s="2" t="s">
        <v>842</v>
      </c>
      <c r="B102" s="2" t="s">
        <v>2513</v>
      </c>
      <c r="C102" s="2" t="s">
        <v>297</v>
      </c>
      <c r="D102" s="2" t="s">
        <v>5940</v>
      </c>
      <c r="E102" s="2" t="s">
        <v>5941</v>
      </c>
      <c r="F102" s="2" t="s">
        <v>1789</v>
      </c>
      <c r="G102" s="2" t="s">
        <v>5942</v>
      </c>
      <c r="H102" s="2" t="s">
        <v>309</v>
      </c>
      <c r="I102" s="2" t="s">
        <v>5076</v>
      </c>
      <c r="J102" s="2" t="s">
        <v>5077</v>
      </c>
      <c r="K102" s="2" t="s">
        <v>5078</v>
      </c>
    </row>
    <row r="103" spans="1:11" ht="43.5" customHeight="1" x14ac:dyDescent="0.5">
      <c r="A103" s="2" t="s">
        <v>845</v>
      </c>
      <c r="B103" s="2" t="s">
        <v>2517</v>
      </c>
      <c r="C103" s="2" t="s">
        <v>297</v>
      </c>
      <c r="D103" s="2" t="s">
        <v>5943</v>
      </c>
      <c r="E103" s="2" t="s">
        <v>5944</v>
      </c>
      <c r="F103" s="2" t="s">
        <v>5945</v>
      </c>
      <c r="G103" s="2" t="s">
        <v>5946</v>
      </c>
      <c r="H103" s="2" t="s">
        <v>309</v>
      </c>
      <c r="I103" s="2" t="s">
        <v>5076</v>
      </c>
      <c r="J103" s="2" t="s">
        <v>5077</v>
      </c>
      <c r="K103" s="2" t="s">
        <v>5078</v>
      </c>
    </row>
    <row r="104" spans="1:11" ht="43.5" customHeight="1" x14ac:dyDescent="0.5">
      <c r="A104" s="2" t="s">
        <v>861</v>
      </c>
      <c r="B104" s="2" t="s">
        <v>2539</v>
      </c>
      <c r="C104" s="2" t="s">
        <v>297</v>
      </c>
      <c r="D104" s="2" t="s">
        <v>5947</v>
      </c>
      <c r="E104" s="2" t="s">
        <v>5948</v>
      </c>
      <c r="F104" s="2" t="s">
        <v>1789</v>
      </c>
      <c r="G104" s="2" t="s">
        <v>5949</v>
      </c>
      <c r="H104" s="2" t="s">
        <v>309</v>
      </c>
      <c r="I104" s="2" t="s">
        <v>5076</v>
      </c>
      <c r="J104" s="2" t="s">
        <v>5077</v>
      </c>
      <c r="K104" s="2" t="s">
        <v>5078</v>
      </c>
    </row>
    <row r="105" spans="1:11" ht="43.5" customHeight="1" x14ac:dyDescent="0.5">
      <c r="A105" s="2" t="s">
        <v>866</v>
      </c>
      <c r="B105" s="2" t="s">
        <v>2543</v>
      </c>
      <c r="C105" s="2" t="s">
        <v>297</v>
      </c>
      <c r="D105" s="2" t="s">
        <v>5950</v>
      </c>
      <c r="E105" s="2" t="s">
        <v>5951</v>
      </c>
      <c r="F105" s="2" t="s">
        <v>1789</v>
      </c>
      <c r="G105" s="2" t="s">
        <v>5952</v>
      </c>
      <c r="H105" s="2" t="s">
        <v>299</v>
      </c>
      <c r="I105" s="2" t="s">
        <v>5076</v>
      </c>
      <c r="J105" s="2" t="s">
        <v>5077</v>
      </c>
      <c r="K105" s="2" t="s">
        <v>5078</v>
      </c>
    </row>
    <row r="106" spans="1:11" ht="43.5" customHeight="1" x14ac:dyDescent="0.5">
      <c r="A106" s="2" t="s">
        <v>870</v>
      </c>
      <c r="B106" s="2" t="s">
        <v>2547</v>
      </c>
      <c r="C106" s="2" t="s">
        <v>297</v>
      </c>
      <c r="D106" s="2" t="s">
        <v>5953</v>
      </c>
      <c r="E106" s="2" t="s">
        <v>5954</v>
      </c>
      <c r="F106" s="2" t="s">
        <v>1789</v>
      </c>
      <c r="G106" s="2" t="s">
        <v>5955</v>
      </c>
      <c r="H106" s="2" t="s">
        <v>309</v>
      </c>
      <c r="I106" s="2" t="s">
        <v>5076</v>
      </c>
      <c r="J106" s="2" t="s">
        <v>5077</v>
      </c>
      <c r="K106" s="2" t="s">
        <v>5078</v>
      </c>
    </row>
    <row r="107" spans="1:11" ht="43.5" customHeight="1" x14ac:dyDescent="0.5">
      <c r="A107" s="2" t="s">
        <v>874</v>
      </c>
      <c r="B107" s="2" t="s">
        <v>2551</v>
      </c>
      <c r="C107" s="2" t="s">
        <v>297</v>
      </c>
      <c r="D107" s="2" t="s">
        <v>5956</v>
      </c>
      <c r="E107" s="2" t="s">
        <v>5957</v>
      </c>
      <c r="F107" s="2" t="s">
        <v>5958</v>
      </c>
      <c r="G107" s="2" t="s">
        <v>5959</v>
      </c>
      <c r="H107" s="2" t="s">
        <v>309</v>
      </c>
      <c r="I107" s="2" t="s">
        <v>5076</v>
      </c>
      <c r="J107" s="2" t="s">
        <v>5077</v>
      </c>
      <c r="K107" s="2" t="s">
        <v>5078</v>
      </c>
    </row>
    <row r="108" spans="1:11" ht="43.5" customHeight="1" x14ac:dyDescent="0.5">
      <c r="A108" s="2" t="s">
        <v>883</v>
      </c>
      <c r="B108" s="2" t="s">
        <v>2569</v>
      </c>
      <c r="C108" s="2" t="s">
        <v>297</v>
      </c>
      <c r="D108" s="2" t="s">
        <v>5960</v>
      </c>
      <c r="E108" s="2" t="s">
        <v>5961</v>
      </c>
      <c r="F108" s="2" t="s">
        <v>1789</v>
      </c>
      <c r="G108" s="2" t="s">
        <v>5962</v>
      </c>
      <c r="H108" s="2" t="s">
        <v>299</v>
      </c>
      <c r="I108" s="2" t="s">
        <v>5076</v>
      </c>
      <c r="J108" s="2" t="s">
        <v>5077</v>
      </c>
      <c r="K108" s="2" t="s">
        <v>5078</v>
      </c>
    </row>
    <row r="109" spans="1:11" ht="43.5" customHeight="1" x14ac:dyDescent="0.5">
      <c r="A109" s="2" t="s">
        <v>885</v>
      </c>
      <c r="B109" s="2" t="s">
        <v>2573</v>
      </c>
      <c r="C109" s="2" t="s">
        <v>297</v>
      </c>
      <c r="D109" s="2" t="s">
        <v>5963</v>
      </c>
      <c r="E109" s="2" t="s">
        <v>5964</v>
      </c>
      <c r="F109" s="2" t="s">
        <v>1789</v>
      </c>
      <c r="G109" s="2" t="s">
        <v>5965</v>
      </c>
      <c r="H109" s="2" t="s">
        <v>309</v>
      </c>
      <c r="I109" s="2" t="s">
        <v>5076</v>
      </c>
      <c r="J109" s="2" t="s">
        <v>5077</v>
      </c>
      <c r="K109" s="2" t="s">
        <v>5078</v>
      </c>
    </row>
    <row r="110" spans="1:11" ht="43.5" customHeight="1" x14ac:dyDescent="0.5">
      <c r="A110" s="2" t="s">
        <v>887</v>
      </c>
      <c r="B110" s="2" t="s">
        <v>2577</v>
      </c>
      <c r="C110" s="2" t="s">
        <v>297</v>
      </c>
      <c r="D110" s="2" t="s">
        <v>5966</v>
      </c>
      <c r="E110" s="2" t="s">
        <v>5967</v>
      </c>
      <c r="F110" s="2" t="s">
        <v>1789</v>
      </c>
      <c r="G110" s="2" t="s">
        <v>5968</v>
      </c>
      <c r="H110" s="2" t="s">
        <v>299</v>
      </c>
      <c r="I110" s="2" t="s">
        <v>5076</v>
      </c>
      <c r="J110" s="2" t="s">
        <v>5077</v>
      </c>
      <c r="K110" s="2" t="s">
        <v>5078</v>
      </c>
    </row>
    <row r="111" spans="1:11" ht="43.5" customHeight="1" x14ac:dyDescent="0.5">
      <c r="A111" s="2" t="s">
        <v>889</v>
      </c>
      <c r="B111" s="2" t="s">
        <v>2581</v>
      </c>
      <c r="C111" s="2" t="s">
        <v>297</v>
      </c>
      <c r="D111" s="2" t="s">
        <v>5969</v>
      </c>
      <c r="E111" s="2" t="s">
        <v>5970</v>
      </c>
      <c r="F111" s="2" t="s">
        <v>1789</v>
      </c>
      <c r="G111" s="2" t="s">
        <v>5971</v>
      </c>
      <c r="H111" s="2" t="s">
        <v>309</v>
      </c>
      <c r="I111" s="2" t="s">
        <v>5076</v>
      </c>
      <c r="J111" s="2" t="s">
        <v>5077</v>
      </c>
      <c r="K111" s="2" t="s">
        <v>5078</v>
      </c>
    </row>
    <row r="112" spans="1:11" ht="43.5" customHeight="1" x14ac:dyDescent="0.5">
      <c r="A112" s="2" t="s">
        <v>891</v>
      </c>
      <c r="B112" s="2" t="s">
        <v>2585</v>
      </c>
      <c r="C112" s="2" t="s">
        <v>297</v>
      </c>
      <c r="D112" s="2" t="s">
        <v>5972</v>
      </c>
      <c r="E112" s="2" t="s">
        <v>5973</v>
      </c>
      <c r="F112" s="2" t="s">
        <v>5974</v>
      </c>
      <c r="G112" s="2" t="s">
        <v>5975</v>
      </c>
      <c r="H112" s="2" t="s">
        <v>309</v>
      </c>
      <c r="I112" s="2" t="s">
        <v>5076</v>
      </c>
      <c r="J112" s="2" t="s">
        <v>5077</v>
      </c>
      <c r="K112" s="2" t="s">
        <v>5078</v>
      </c>
    </row>
    <row r="113" spans="1:11" ht="43.5" customHeight="1" x14ac:dyDescent="0.5">
      <c r="A113" s="2" t="s">
        <v>898</v>
      </c>
      <c r="B113" s="2" t="s">
        <v>2603</v>
      </c>
      <c r="C113" s="2" t="s">
        <v>297</v>
      </c>
      <c r="D113" s="2" t="s">
        <v>5976</v>
      </c>
      <c r="E113" s="2" t="s">
        <v>5977</v>
      </c>
      <c r="F113" s="2" t="s">
        <v>1789</v>
      </c>
      <c r="G113" s="2" t="s">
        <v>5978</v>
      </c>
      <c r="H113" s="2" t="s">
        <v>299</v>
      </c>
      <c r="I113" s="2" t="s">
        <v>5076</v>
      </c>
      <c r="J113" s="2" t="s">
        <v>5077</v>
      </c>
      <c r="K113" s="2" t="s">
        <v>5078</v>
      </c>
    </row>
    <row r="114" spans="1:11" ht="43.5" customHeight="1" x14ac:dyDescent="0.5">
      <c r="A114" s="2" t="s">
        <v>900</v>
      </c>
      <c r="B114" s="2" t="s">
        <v>2607</v>
      </c>
      <c r="C114" s="2" t="s">
        <v>297</v>
      </c>
      <c r="D114" s="2" t="s">
        <v>5979</v>
      </c>
      <c r="E114" s="2" t="s">
        <v>5980</v>
      </c>
      <c r="F114" s="2" t="s">
        <v>1789</v>
      </c>
      <c r="G114" s="2" t="s">
        <v>5981</v>
      </c>
      <c r="H114" s="2" t="s">
        <v>309</v>
      </c>
      <c r="I114" s="2" t="s">
        <v>5076</v>
      </c>
      <c r="J114" s="2" t="s">
        <v>5077</v>
      </c>
      <c r="K114" s="2" t="s">
        <v>5078</v>
      </c>
    </row>
    <row r="115" spans="1:11" ht="43.5" customHeight="1" x14ac:dyDescent="0.5">
      <c r="A115" s="2" t="s">
        <v>902</v>
      </c>
      <c r="B115" s="2" t="s">
        <v>2611</v>
      </c>
      <c r="C115" s="2" t="s">
        <v>297</v>
      </c>
      <c r="D115" s="2" t="s">
        <v>5982</v>
      </c>
      <c r="E115" s="2" t="s">
        <v>5983</v>
      </c>
      <c r="F115" s="2" t="s">
        <v>1789</v>
      </c>
      <c r="G115" s="2" t="s">
        <v>5984</v>
      </c>
      <c r="H115" s="2" t="s">
        <v>299</v>
      </c>
      <c r="I115" s="2" t="s">
        <v>5076</v>
      </c>
      <c r="J115" s="2" t="s">
        <v>5077</v>
      </c>
      <c r="K115" s="2" t="s">
        <v>5078</v>
      </c>
    </row>
    <row r="116" spans="1:11" ht="43.5" customHeight="1" x14ac:dyDescent="0.5">
      <c r="A116" s="2" t="s">
        <v>904</v>
      </c>
      <c r="B116" s="2" t="s">
        <v>2615</v>
      </c>
      <c r="C116" s="2" t="s">
        <v>297</v>
      </c>
      <c r="D116" s="2" t="s">
        <v>5985</v>
      </c>
      <c r="E116" s="2" t="s">
        <v>5986</v>
      </c>
      <c r="F116" s="2" t="s">
        <v>1789</v>
      </c>
      <c r="G116" s="2" t="s">
        <v>5987</v>
      </c>
      <c r="H116" s="2" t="s">
        <v>309</v>
      </c>
      <c r="I116" s="2" t="s">
        <v>5076</v>
      </c>
      <c r="J116" s="2" t="s">
        <v>5077</v>
      </c>
      <c r="K116" s="2" t="s">
        <v>5078</v>
      </c>
    </row>
    <row r="117" spans="1:11" ht="43.5" customHeight="1" x14ac:dyDescent="0.5">
      <c r="A117" s="2" t="s">
        <v>906</v>
      </c>
      <c r="B117" s="2" t="s">
        <v>2619</v>
      </c>
      <c r="C117" s="2" t="s">
        <v>297</v>
      </c>
      <c r="D117" s="2" t="s">
        <v>5988</v>
      </c>
      <c r="E117" s="2" t="s">
        <v>5989</v>
      </c>
      <c r="F117" s="2" t="s">
        <v>5990</v>
      </c>
      <c r="G117" s="2" t="s">
        <v>5991</v>
      </c>
      <c r="H117" s="2" t="s">
        <v>309</v>
      </c>
      <c r="I117" s="2" t="s">
        <v>5076</v>
      </c>
      <c r="J117" s="2" t="s">
        <v>5077</v>
      </c>
      <c r="K117" s="2" t="s">
        <v>5078</v>
      </c>
    </row>
    <row r="118" spans="1:11" ht="43.5" customHeight="1" x14ac:dyDescent="0.5">
      <c r="A118" s="2" t="s">
        <v>917</v>
      </c>
      <c r="B118" s="2" t="s">
        <v>2637</v>
      </c>
      <c r="C118" s="2" t="s">
        <v>297</v>
      </c>
      <c r="D118" s="2" t="s">
        <v>5992</v>
      </c>
      <c r="E118" s="2" t="s">
        <v>5993</v>
      </c>
      <c r="F118" s="2" t="s">
        <v>1789</v>
      </c>
      <c r="G118" s="2" t="s">
        <v>5994</v>
      </c>
      <c r="H118" s="2" t="s">
        <v>299</v>
      </c>
      <c r="I118" s="2" t="s">
        <v>5076</v>
      </c>
      <c r="J118" s="2" t="s">
        <v>5077</v>
      </c>
      <c r="K118" s="2" t="s">
        <v>5078</v>
      </c>
    </row>
    <row r="119" spans="1:11" ht="43.5" customHeight="1" x14ac:dyDescent="0.5">
      <c r="A119" s="2" t="s">
        <v>920</v>
      </c>
      <c r="B119" s="2" t="s">
        <v>2641</v>
      </c>
      <c r="C119" s="2" t="s">
        <v>297</v>
      </c>
      <c r="D119" s="2" t="s">
        <v>5995</v>
      </c>
      <c r="E119" s="2" t="s">
        <v>5996</v>
      </c>
      <c r="F119" s="2" t="s">
        <v>1789</v>
      </c>
      <c r="G119" s="2" t="s">
        <v>5997</v>
      </c>
      <c r="H119" s="2" t="s">
        <v>309</v>
      </c>
      <c r="I119" s="2" t="s">
        <v>5076</v>
      </c>
      <c r="J119" s="2" t="s">
        <v>5077</v>
      </c>
      <c r="K119" s="2" t="s">
        <v>5078</v>
      </c>
    </row>
    <row r="120" spans="1:11" ht="43.5" customHeight="1" x14ac:dyDescent="0.5">
      <c r="A120" s="2" t="s">
        <v>925</v>
      </c>
      <c r="B120" s="2" t="s">
        <v>2645</v>
      </c>
      <c r="C120" s="2" t="s">
        <v>297</v>
      </c>
      <c r="D120" s="2" t="s">
        <v>5998</v>
      </c>
      <c r="E120" s="2" t="s">
        <v>5999</v>
      </c>
      <c r="F120" s="2" t="s">
        <v>1789</v>
      </c>
      <c r="G120" s="2" t="s">
        <v>6000</v>
      </c>
      <c r="H120" s="2" t="s">
        <v>299</v>
      </c>
      <c r="I120" s="2" t="s">
        <v>5076</v>
      </c>
      <c r="J120" s="2" t="s">
        <v>5077</v>
      </c>
      <c r="K120" s="2" t="s">
        <v>5078</v>
      </c>
    </row>
    <row r="121" spans="1:11" ht="43.5" customHeight="1" x14ac:dyDescent="0.5">
      <c r="A121" s="2" t="s">
        <v>929</v>
      </c>
      <c r="B121" s="2" t="s">
        <v>2649</v>
      </c>
      <c r="C121" s="2" t="s">
        <v>297</v>
      </c>
      <c r="D121" s="2" t="s">
        <v>6001</v>
      </c>
      <c r="E121" s="2" t="s">
        <v>6002</v>
      </c>
      <c r="F121" s="2" t="s">
        <v>1789</v>
      </c>
      <c r="G121" s="2" t="s">
        <v>6003</v>
      </c>
      <c r="H121" s="2" t="s">
        <v>309</v>
      </c>
      <c r="I121" s="2" t="s">
        <v>5076</v>
      </c>
      <c r="J121" s="2" t="s">
        <v>5077</v>
      </c>
      <c r="K121" s="2" t="s">
        <v>5078</v>
      </c>
    </row>
    <row r="122" spans="1:11" ht="43.5" customHeight="1" x14ac:dyDescent="0.5">
      <c r="A122" s="2" t="s">
        <v>933</v>
      </c>
      <c r="B122" s="2" t="s">
        <v>2653</v>
      </c>
      <c r="C122" s="2" t="s">
        <v>297</v>
      </c>
      <c r="D122" s="2" t="s">
        <v>6004</v>
      </c>
      <c r="E122" s="2" t="s">
        <v>6005</v>
      </c>
      <c r="F122" s="2" t="s">
        <v>6006</v>
      </c>
      <c r="G122" s="2" t="s">
        <v>6007</v>
      </c>
      <c r="H122" s="2" t="s">
        <v>309</v>
      </c>
      <c r="I122" s="2" t="s">
        <v>5076</v>
      </c>
      <c r="J122" s="2" t="s">
        <v>5077</v>
      </c>
      <c r="K122" s="2" t="s">
        <v>5078</v>
      </c>
    </row>
    <row r="123" spans="1:11" ht="43.5" customHeight="1" x14ac:dyDescent="0.5">
      <c r="A123" s="2" t="s">
        <v>944</v>
      </c>
      <c r="B123" s="2" t="s">
        <v>2671</v>
      </c>
      <c r="C123" s="2" t="s">
        <v>297</v>
      </c>
      <c r="D123" s="2" t="s">
        <v>6008</v>
      </c>
      <c r="E123" s="2" t="s">
        <v>6009</v>
      </c>
      <c r="F123" s="2" t="s">
        <v>1789</v>
      </c>
      <c r="G123" s="2" t="s">
        <v>6010</v>
      </c>
      <c r="H123" s="2" t="s">
        <v>299</v>
      </c>
      <c r="I123" s="2" t="s">
        <v>5076</v>
      </c>
      <c r="J123" s="2" t="s">
        <v>5077</v>
      </c>
      <c r="K123" s="2" t="s">
        <v>5078</v>
      </c>
    </row>
    <row r="124" spans="1:11" ht="43.5" customHeight="1" x14ac:dyDescent="0.5">
      <c r="A124" s="2" t="s">
        <v>947</v>
      </c>
      <c r="B124" s="2" t="s">
        <v>2675</v>
      </c>
      <c r="C124" s="2" t="s">
        <v>297</v>
      </c>
      <c r="D124" s="2" t="s">
        <v>6011</v>
      </c>
      <c r="E124" s="2" t="s">
        <v>6012</v>
      </c>
      <c r="F124" s="2" t="s">
        <v>1789</v>
      </c>
      <c r="G124" s="2" t="s">
        <v>6013</v>
      </c>
      <c r="H124" s="2" t="s">
        <v>309</v>
      </c>
      <c r="I124" s="2" t="s">
        <v>5076</v>
      </c>
      <c r="J124" s="2" t="s">
        <v>5077</v>
      </c>
      <c r="K124" s="2" t="s">
        <v>5078</v>
      </c>
    </row>
    <row r="125" spans="1:11" ht="43.5" customHeight="1" x14ac:dyDescent="0.5">
      <c r="A125" s="2" t="s">
        <v>950</v>
      </c>
      <c r="B125" s="2" t="s">
        <v>2679</v>
      </c>
      <c r="C125" s="2" t="s">
        <v>297</v>
      </c>
      <c r="D125" s="2" t="s">
        <v>6014</v>
      </c>
      <c r="E125" s="2" t="s">
        <v>6015</v>
      </c>
      <c r="F125" s="2" t="s">
        <v>1789</v>
      </c>
      <c r="G125" s="2" t="s">
        <v>6016</v>
      </c>
      <c r="H125" s="2" t="s">
        <v>299</v>
      </c>
      <c r="I125" s="2" t="s">
        <v>5076</v>
      </c>
      <c r="J125" s="2" t="s">
        <v>5077</v>
      </c>
      <c r="K125" s="2" t="s">
        <v>5078</v>
      </c>
    </row>
    <row r="126" spans="1:11" ht="43.5" customHeight="1" x14ac:dyDescent="0.5">
      <c r="A126" s="2" t="s">
        <v>953</v>
      </c>
      <c r="B126" s="2" t="s">
        <v>2683</v>
      </c>
      <c r="C126" s="2" t="s">
        <v>297</v>
      </c>
      <c r="D126" s="2" t="s">
        <v>6017</v>
      </c>
      <c r="E126" s="2" t="s">
        <v>6018</v>
      </c>
      <c r="F126" s="2" t="s">
        <v>1789</v>
      </c>
      <c r="G126" s="2" t="s">
        <v>6019</v>
      </c>
      <c r="H126" s="2" t="s">
        <v>309</v>
      </c>
      <c r="I126" s="2" t="s">
        <v>5076</v>
      </c>
      <c r="J126" s="2" t="s">
        <v>5077</v>
      </c>
      <c r="K126" s="2" t="s">
        <v>5078</v>
      </c>
    </row>
    <row r="127" spans="1:11" ht="43.5" customHeight="1" x14ac:dyDescent="0.5">
      <c r="A127" s="2" t="s">
        <v>956</v>
      </c>
      <c r="B127" s="2" t="s">
        <v>2687</v>
      </c>
      <c r="C127" s="2" t="s">
        <v>297</v>
      </c>
      <c r="D127" s="2" t="s">
        <v>6020</v>
      </c>
      <c r="E127" s="2" t="s">
        <v>6021</v>
      </c>
      <c r="F127" s="2" t="s">
        <v>6022</v>
      </c>
      <c r="G127" s="2" t="s">
        <v>6023</v>
      </c>
      <c r="H127" s="2" t="s">
        <v>309</v>
      </c>
      <c r="I127" s="2" t="s">
        <v>5076</v>
      </c>
      <c r="J127" s="2" t="s">
        <v>5077</v>
      </c>
      <c r="K127" s="2" t="s">
        <v>5078</v>
      </c>
    </row>
    <row r="128" spans="1:11" ht="43.5" customHeight="1" x14ac:dyDescent="0.5">
      <c r="A128" s="2" t="s">
        <v>969</v>
      </c>
      <c r="B128" s="2" t="s">
        <v>2709</v>
      </c>
      <c r="C128" s="2" t="s">
        <v>297</v>
      </c>
      <c r="D128" s="2" t="s">
        <v>6024</v>
      </c>
      <c r="E128" s="2" t="s">
        <v>6025</v>
      </c>
      <c r="F128" s="2" t="s">
        <v>1789</v>
      </c>
      <c r="G128" s="2" t="s">
        <v>6026</v>
      </c>
      <c r="H128" s="2" t="s">
        <v>309</v>
      </c>
      <c r="I128" s="2" t="s">
        <v>5076</v>
      </c>
      <c r="J128" s="2" t="s">
        <v>5077</v>
      </c>
      <c r="K128" s="2" t="s">
        <v>5078</v>
      </c>
    </row>
    <row r="129" spans="1:11" ht="43.5" customHeight="1" x14ac:dyDescent="0.5">
      <c r="A129" s="2" t="s">
        <v>972</v>
      </c>
      <c r="B129" s="2" t="s">
        <v>2713</v>
      </c>
      <c r="C129" s="2" t="s">
        <v>297</v>
      </c>
      <c r="D129" s="2" t="s">
        <v>6027</v>
      </c>
      <c r="E129" s="2" t="s">
        <v>6028</v>
      </c>
      <c r="F129" s="2" t="s">
        <v>1789</v>
      </c>
      <c r="G129" s="2" t="s">
        <v>6029</v>
      </c>
      <c r="H129" s="2" t="s">
        <v>299</v>
      </c>
      <c r="I129" s="2" t="s">
        <v>5076</v>
      </c>
      <c r="J129" s="2" t="s">
        <v>5077</v>
      </c>
      <c r="K129" s="2" t="s">
        <v>5078</v>
      </c>
    </row>
    <row r="130" spans="1:11" ht="43.5" customHeight="1" x14ac:dyDescent="0.5">
      <c r="A130" s="2" t="s">
        <v>975</v>
      </c>
      <c r="B130" s="2" t="s">
        <v>2717</v>
      </c>
      <c r="C130" s="2" t="s">
        <v>297</v>
      </c>
      <c r="D130" s="2" t="s">
        <v>6030</v>
      </c>
      <c r="E130" s="2" t="s">
        <v>6031</v>
      </c>
      <c r="F130" s="2" t="s">
        <v>1789</v>
      </c>
      <c r="G130" s="2" t="s">
        <v>6032</v>
      </c>
      <c r="H130" s="2" t="s">
        <v>309</v>
      </c>
      <c r="I130" s="2" t="s">
        <v>5076</v>
      </c>
      <c r="J130" s="2" t="s">
        <v>5077</v>
      </c>
      <c r="K130" s="2" t="s">
        <v>5078</v>
      </c>
    </row>
    <row r="131" spans="1:11" ht="43.5" customHeight="1" x14ac:dyDescent="0.5">
      <c r="A131" s="2" t="s">
        <v>978</v>
      </c>
      <c r="B131" s="2" t="s">
        <v>2721</v>
      </c>
      <c r="C131" s="2" t="s">
        <v>297</v>
      </c>
      <c r="D131" s="2" t="s">
        <v>6033</v>
      </c>
      <c r="E131" s="2" t="s">
        <v>6034</v>
      </c>
      <c r="F131" s="2" t="s">
        <v>6035</v>
      </c>
      <c r="G131" s="2" t="s">
        <v>6036</v>
      </c>
      <c r="H131" s="2" t="s">
        <v>309</v>
      </c>
      <c r="I131" s="2" t="s">
        <v>5076</v>
      </c>
      <c r="J131" s="2" t="s">
        <v>5077</v>
      </c>
      <c r="K131" s="2" t="s">
        <v>5078</v>
      </c>
    </row>
    <row r="132" spans="1:11" ht="43.5" customHeight="1" x14ac:dyDescent="0.5">
      <c r="A132" s="2" t="s">
        <v>992</v>
      </c>
      <c r="B132" s="2" t="s">
        <v>2743</v>
      </c>
      <c r="C132" s="2" t="s">
        <v>297</v>
      </c>
      <c r="D132" s="2" t="s">
        <v>6037</v>
      </c>
      <c r="E132" s="2" t="s">
        <v>6038</v>
      </c>
      <c r="F132" s="2" t="s">
        <v>1789</v>
      </c>
      <c r="G132" s="2" t="s">
        <v>6039</v>
      </c>
      <c r="H132" s="2" t="s">
        <v>309</v>
      </c>
      <c r="I132" s="2" t="s">
        <v>5076</v>
      </c>
      <c r="J132" s="2" t="s">
        <v>5077</v>
      </c>
      <c r="K132" s="2" t="s">
        <v>5078</v>
      </c>
    </row>
    <row r="133" spans="1:11" ht="43.5" customHeight="1" x14ac:dyDescent="0.5">
      <c r="A133" s="2" t="s">
        <v>997</v>
      </c>
      <c r="B133" s="2" t="s">
        <v>2747</v>
      </c>
      <c r="C133" s="2" t="s">
        <v>297</v>
      </c>
      <c r="D133" s="2" t="s">
        <v>6040</v>
      </c>
      <c r="E133" s="2" t="s">
        <v>6041</v>
      </c>
      <c r="F133" s="2" t="s">
        <v>1789</v>
      </c>
      <c r="G133" s="2" t="s">
        <v>6042</v>
      </c>
      <c r="H133" s="2" t="s">
        <v>299</v>
      </c>
      <c r="I133" s="2" t="s">
        <v>5076</v>
      </c>
      <c r="J133" s="2" t="s">
        <v>5077</v>
      </c>
      <c r="K133" s="2" t="s">
        <v>5078</v>
      </c>
    </row>
    <row r="134" spans="1:11" ht="43.5" customHeight="1" x14ac:dyDescent="0.5">
      <c r="A134" s="2" t="s">
        <v>1001</v>
      </c>
      <c r="B134" s="2" t="s">
        <v>2751</v>
      </c>
      <c r="C134" s="2" t="s">
        <v>297</v>
      </c>
      <c r="D134" s="2" t="s">
        <v>6043</v>
      </c>
      <c r="E134" s="2" t="s">
        <v>6044</v>
      </c>
      <c r="F134" s="2" t="s">
        <v>1789</v>
      </c>
      <c r="G134" s="2" t="s">
        <v>6045</v>
      </c>
      <c r="H134" s="2" t="s">
        <v>309</v>
      </c>
      <c r="I134" s="2" t="s">
        <v>5076</v>
      </c>
      <c r="J134" s="2" t="s">
        <v>5077</v>
      </c>
      <c r="K134" s="2" t="s">
        <v>5078</v>
      </c>
    </row>
    <row r="135" spans="1:11" ht="43.5" customHeight="1" x14ac:dyDescent="0.5">
      <c r="A135" s="2" t="s">
        <v>1005</v>
      </c>
      <c r="B135" s="2" t="s">
        <v>2755</v>
      </c>
      <c r="C135" s="2" t="s">
        <v>297</v>
      </c>
      <c r="D135" s="2" t="s">
        <v>6046</v>
      </c>
      <c r="E135" s="2" t="s">
        <v>6047</v>
      </c>
      <c r="F135" s="2" t="s">
        <v>6048</v>
      </c>
      <c r="G135" s="2" t="s">
        <v>6049</v>
      </c>
      <c r="H135" s="2" t="s">
        <v>309</v>
      </c>
      <c r="I135" s="2" t="s">
        <v>5076</v>
      </c>
      <c r="J135" s="2" t="s">
        <v>5077</v>
      </c>
      <c r="K135" s="2" t="s">
        <v>5078</v>
      </c>
    </row>
    <row r="136" spans="1:11" ht="43.5" customHeight="1" x14ac:dyDescent="0.5">
      <c r="A136" s="2" t="s">
        <v>1018</v>
      </c>
      <c r="B136" s="2" t="s">
        <v>2773</v>
      </c>
      <c r="C136" s="2" t="s">
        <v>297</v>
      </c>
      <c r="D136" s="2" t="s">
        <v>6050</v>
      </c>
      <c r="E136" s="2" t="s">
        <v>6051</v>
      </c>
      <c r="F136" s="2" t="s">
        <v>1789</v>
      </c>
      <c r="G136" s="2" t="s">
        <v>6052</v>
      </c>
      <c r="H136" s="2" t="s">
        <v>299</v>
      </c>
      <c r="I136" s="2" t="s">
        <v>5076</v>
      </c>
      <c r="J136" s="2" t="s">
        <v>5077</v>
      </c>
      <c r="K136" s="2" t="s">
        <v>5078</v>
      </c>
    </row>
    <row r="137" spans="1:11" ht="43.5" customHeight="1" x14ac:dyDescent="0.5">
      <c r="A137" s="2" t="s">
        <v>1021</v>
      </c>
      <c r="B137" s="2" t="s">
        <v>2777</v>
      </c>
      <c r="C137" s="2" t="s">
        <v>297</v>
      </c>
      <c r="D137" s="2" t="s">
        <v>6053</v>
      </c>
      <c r="E137" s="2" t="s">
        <v>6054</v>
      </c>
      <c r="F137" s="2" t="s">
        <v>1789</v>
      </c>
      <c r="G137" s="2" t="s">
        <v>6055</v>
      </c>
      <c r="H137" s="2" t="s">
        <v>309</v>
      </c>
      <c r="I137" s="2" t="s">
        <v>5076</v>
      </c>
      <c r="J137" s="2" t="s">
        <v>5077</v>
      </c>
      <c r="K137" s="2" t="s">
        <v>5078</v>
      </c>
    </row>
    <row r="138" spans="1:11" ht="43.5" customHeight="1" x14ac:dyDescent="0.5">
      <c r="A138" s="2" t="s">
        <v>1024</v>
      </c>
      <c r="B138" s="2" t="s">
        <v>2781</v>
      </c>
      <c r="C138" s="2" t="s">
        <v>297</v>
      </c>
      <c r="D138" s="2" t="s">
        <v>6056</v>
      </c>
      <c r="E138" s="2" t="s">
        <v>6057</v>
      </c>
      <c r="F138" s="2" t="s">
        <v>1789</v>
      </c>
      <c r="G138" s="2" t="s">
        <v>6058</v>
      </c>
      <c r="H138" s="2" t="s">
        <v>299</v>
      </c>
      <c r="I138" s="2" t="s">
        <v>5076</v>
      </c>
      <c r="J138" s="2" t="s">
        <v>5077</v>
      </c>
      <c r="K138" s="2" t="s">
        <v>5078</v>
      </c>
    </row>
    <row r="139" spans="1:11" ht="43.5" customHeight="1" x14ac:dyDescent="0.5">
      <c r="A139" s="2" t="s">
        <v>1027</v>
      </c>
      <c r="B139" s="2" t="s">
        <v>2785</v>
      </c>
      <c r="C139" s="2" t="s">
        <v>297</v>
      </c>
      <c r="D139" s="2" t="s">
        <v>6059</v>
      </c>
      <c r="E139" s="2" t="s">
        <v>6060</v>
      </c>
      <c r="F139" s="2" t="s">
        <v>1789</v>
      </c>
      <c r="G139" s="2" t="s">
        <v>6061</v>
      </c>
      <c r="H139" s="2" t="s">
        <v>309</v>
      </c>
      <c r="I139" s="2" t="s">
        <v>5076</v>
      </c>
      <c r="J139" s="2" t="s">
        <v>5077</v>
      </c>
      <c r="K139" s="2" t="s">
        <v>5078</v>
      </c>
    </row>
    <row r="140" spans="1:11" ht="43.5" customHeight="1" x14ac:dyDescent="0.5">
      <c r="A140" s="2" t="s">
        <v>1030</v>
      </c>
      <c r="B140" s="2" t="s">
        <v>2789</v>
      </c>
      <c r="C140" s="2" t="s">
        <v>297</v>
      </c>
      <c r="D140" s="2" t="s">
        <v>6062</v>
      </c>
      <c r="E140" s="2" t="s">
        <v>6063</v>
      </c>
      <c r="F140" s="2" t="s">
        <v>1789</v>
      </c>
      <c r="G140" s="2" t="s">
        <v>6064</v>
      </c>
      <c r="H140" s="2" t="s">
        <v>309</v>
      </c>
      <c r="I140" s="2" t="s">
        <v>5076</v>
      </c>
      <c r="J140" s="2" t="s">
        <v>5077</v>
      </c>
      <c r="K140" s="2" t="s">
        <v>5078</v>
      </c>
    </row>
    <row r="141" spans="1:11" ht="43.5" customHeight="1" x14ac:dyDescent="0.5">
      <c r="A141" s="2" t="s">
        <v>1046</v>
      </c>
      <c r="B141" s="2" t="s">
        <v>2805</v>
      </c>
      <c r="C141" s="2" t="s">
        <v>297</v>
      </c>
      <c r="D141" s="2" t="s">
        <v>6065</v>
      </c>
      <c r="E141" s="2" t="s">
        <v>6066</v>
      </c>
      <c r="F141" s="2" t="s">
        <v>1789</v>
      </c>
      <c r="G141" s="2" t="s">
        <v>6067</v>
      </c>
      <c r="H141" s="2" t="s">
        <v>299</v>
      </c>
      <c r="I141" s="2" t="s">
        <v>5076</v>
      </c>
      <c r="J141" s="2" t="s">
        <v>5077</v>
      </c>
      <c r="K141" s="2" t="s">
        <v>5078</v>
      </c>
    </row>
    <row r="142" spans="1:11" ht="43.5" customHeight="1" x14ac:dyDescent="0.5">
      <c r="A142" s="2" t="s">
        <v>1049</v>
      </c>
      <c r="B142" s="2" t="s">
        <v>2809</v>
      </c>
      <c r="C142" s="2" t="s">
        <v>297</v>
      </c>
      <c r="D142" s="2" t="s">
        <v>6068</v>
      </c>
      <c r="E142" s="2" t="s">
        <v>6069</v>
      </c>
      <c r="F142" s="2" t="s">
        <v>1789</v>
      </c>
      <c r="G142" s="2" t="s">
        <v>6070</v>
      </c>
      <c r="H142" s="2" t="s">
        <v>309</v>
      </c>
      <c r="I142" s="2" t="s">
        <v>5076</v>
      </c>
      <c r="J142" s="2" t="s">
        <v>5077</v>
      </c>
      <c r="K142" s="2" t="s">
        <v>5078</v>
      </c>
    </row>
    <row r="143" spans="1:11" ht="43.5" customHeight="1" x14ac:dyDescent="0.5">
      <c r="A143" s="2" t="s">
        <v>1052</v>
      </c>
      <c r="B143" s="2" t="s">
        <v>2813</v>
      </c>
      <c r="C143" s="2" t="s">
        <v>297</v>
      </c>
      <c r="D143" s="2" t="s">
        <v>6071</v>
      </c>
      <c r="E143" s="2" t="s">
        <v>6072</v>
      </c>
      <c r="F143" s="2" t="s">
        <v>1789</v>
      </c>
      <c r="G143" s="2" t="s">
        <v>6073</v>
      </c>
      <c r="H143" s="2" t="s">
        <v>299</v>
      </c>
      <c r="I143" s="2" t="s">
        <v>5076</v>
      </c>
      <c r="J143" s="2" t="s">
        <v>5077</v>
      </c>
      <c r="K143" s="2" t="s">
        <v>5078</v>
      </c>
    </row>
    <row r="144" spans="1:11" ht="43.5" customHeight="1" x14ac:dyDescent="0.5">
      <c r="A144" s="2" t="s">
        <v>1055</v>
      </c>
      <c r="B144" s="2" t="s">
        <v>2817</v>
      </c>
      <c r="C144" s="2" t="s">
        <v>297</v>
      </c>
      <c r="D144" s="2" t="s">
        <v>6074</v>
      </c>
      <c r="E144" s="2" t="s">
        <v>6075</v>
      </c>
      <c r="F144" s="2" t="s">
        <v>1789</v>
      </c>
      <c r="G144" s="2" t="s">
        <v>6076</v>
      </c>
      <c r="H144" s="2" t="s">
        <v>309</v>
      </c>
      <c r="I144" s="2" t="s">
        <v>5076</v>
      </c>
      <c r="J144" s="2" t="s">
        <v>5077</v>
      </c>
      <c r="K144" s="2" t="s">
        <v>5078</v>
      </c>
    </row>
    <row r="145" spans="1:11" ht="43.5" customHeight="1" x14ac:dyDescent="0.5">
      <c r="A145" s="2" t="s">
        <v>1058</v>
      </c>
      <c r="B145" s="2" t="s">
        <v>2821</v>
      </c>
      <c r="C145" s="2" t="s">
        <v>297</v>
      </c>
      <c r="D145" s="2" t="s">
        <v>6077</v>
      </c>
      <c r="E145" s="2" t="s">
        <v>6078</v>
      </c>
      <c r="F145" s="2" t="s">
        <v>1789</v>
      </c>
      <c r="G145" s="2" t="s">
        <v>6079</v>
      </c>
      <c r="H145" s="2" t="s">
        <v>309</v>
      </c>
      <c r="I145" s="2" t="s">
        <v>5076</v>
      </c>
      <c r="J145" s="2" t="s">
        <v>5077</v>
      </c>
      <c r="K145" s="2" t="s">
        <v>5078</v>
      </c>
    </row>
    <row r="146" spans="1:11" ht="43.5" customHeight="1" x14ac:dyDescent="0.5">
      <c r="A146" s="2" t="s">
        <v>1068</v>
      </c>
      <c r="B146" s="2" t="s">
        <v>2837</v>
      </c>
      <c r="C146" s="2" t="s">
        <v>297</v>
      </c>
      <c r="D146" s="2" t="s">
        <v>6080</v>
      </c>
      <c r="E146" s="2" t="s">
        <v>6081</v>
      </c>
      <c r="F146" s="2" t="s">
        <v>1789</v>
      </c>
      <c r="G146" s="2" t="s">
        <v>6082</v>
      </c>
      <c r="H146" s="2" t="s">
        <v>299</v>
      </c>
      <c r="I146" s="2" t="s">
        <v>5076</v>
      </c>
      <c r="J146" s="2" t="s">
        <v>5077</v>
      </c>
      <c r="K146" s="2" t="s">
        <v>5078</v>
      </c>
    </row>
    <row r="147" spans="1:11" ht="43.5" customHeight="1" x14ac:dyDescent="0.5">
      <c r="A147" s="2" t="s">
        <v>1071</v>
      </c>
      <c r="B147" s="2" t="s">
        <v>2841</v>
      </c>
      <c r="C147" s="2" t="s">
        <v>297</v>
      </c>
      <c r="D147" s="2" t="s">
        <v>6083</v>
      </c>
      <c r="E147" s="2" t="s">
        <v>6084</v>
      </c>
      <c r="F147" s="2" t="s">
        <v>1789</v>
      </c>
      <c r="G147" s="2" t="s">
        <v>6085</v>
      </c>
      <c r="H147" s="2" t="s">
        <v>309</v>
      </c>
      <c r="I147" s="2" t="s">
        <v>5076</v>
      </c>
      <c r="J147" s="2" t="s">
        <v>5077</v>
      </c>
      <c r="K147" s="2" t="s">
        <v>5078</v>
      </c>
    </row>
    <row r="148" spans="1:11" ht="43.5" customHeight="1" x14ac:dyDescent="0.5">
      <c r="A148" s="2" t="s">
        <v>1074</v>
      </c>
      <c r="B148" s="2" t="s">
        <v>2845</v>
      </c>
      <c r="C148" s="2" t="s">
        <v>297</v>
      </c>
      <c r="D148" s="2" t="s">
        <v>6086</v>
      </c>
      <c r="E148" s="2" t="s">
        <v>6087</v>
      </c>
      <c r="F148" s="2" t="s">
        <v>1789</v>
      </c>
      <c r="G148" s="2" t="s">
        <v>6088</v>
      </c>
      <c r="H148" s="2" t="s">
        <v>299</v>
      </c>
      <c r="I148" s="2" t="s">
        <v>5076</v>
      </c>
      <c r="J148" s="2" t="s">
        <v>5077</v>
      </c>
      <c r="K148" s="2" t="s">
        <v>5078</v>
      </c>
    </row>
    <row r="149" spans="1:11" ht="43.5" customHeight="1" x14ac:dyDescent="0.5">
      <c r="A149" s="2" t="s">
        <v>1077</v>
      </c>
      <c r="B149" s="2" t="s">
        <v>2849</v>
      </c>
      <c r="C149" s="2" t="s">
        <v>297</v>
      </c>
      <c r="D149" s="2" t="s">
        <v>6089</v>
      </c>
      <c r="E149" s="2" t="s">
        <v>6090</v>
      </c>
      <c r="F149" s="2" t="s">
        <v>1789</v>
      </c>
      <c r="G149" s="2" t="s">
        <v>6091</v>
      </c>
      <c r="H149" s="2" t="s">
        <v>309</v>
      </c>
      <c r="I149" s="2" t="s">
        <v>5076</v>
      </c>
      <c r="J149" s="2" t="s">
        <v>5077</v>
      </c>
      <c r="K149" s="2" t="s">
        <v>5078</v>
      </c>
    </row>
    <row r="150" spans="1:11" ht="43.5" customHeight="1" x14ac:dyDescent="0.5">
      <c r="A150" s="2" t="s">
        <v>1086</v>
      </c>
      <c r="B150" s="2" t="s">
        <v>2865</v>
      </c>
      <c r="C150" s="2" t="s">
        <v>297</v>
      </c>
      <c r="D150" s="2" t="s">
        <v>6092</v>
      </c>
      <c r="E150" s="2" t="s">
        <v>6093</v>
      </c>
      <c r="F150" s="2" t="s">
        <v>1789</v>
      </c>
      <c r="G150" s="2" t="s">
        <v>6094</v>
      </c>
      <c r="H150" s="2" t="s">
        <v>299</v>
      </c>
      <c r="I150" s="2" t="s">
        <v>5076</v>
      </c>
      <c r="J150" s="2" t="s">
        <v>5077</v>
      </c>
      <c r="K150" s="2" t="s">
        <v>5078</v>
      </c>
    </row>
    <row r="151" spans="1:11" ht="43.5" customHeight="1" x14ac:dyDescent="0.5">
      <c r="A151" s="2" t="s">
        <v>1089</v>
      </c>
      <c r="B151" s="2" t="s">
        <v>2869</v>
      </c>
      <c r="C151" s="2" t="s">
        <v>297</v>
      </c>
      <c r="D151" s="2" t="s">
        <v>6095</v>
      </c>
      <c r="E151" s="2" t="s">
        <v>6096</v>
      </c>
      <c r="F151" s="2" t="s">
        <v>1789</v>
      </c>
      <c r="G151" s="2" t="s">
        <v>6097</v>
      </c>
      <c r="H151" s="2" t="s">
        <v>309</v>
      </c>
      <c r="I151" s="2" t="s">
        <v>5076</v>
      </c>
      <c r="J151" s="2" t="s">
        <v>5077</v>
      </c>
      <c r="K151" s="2" t="s">
        <v>5078</v>
      </c>
    </row>
    <row r="152" spans="1:11" ht="43.5" customHeight="1" x14ac:dyDescent="0.5">
      <c r="A152" s="2" t="s">
        <v>1092</v>
      </c>
      <c r="B152" s="2" t="s">
        <v>2873</v>
      </c>
      <c r="C152" s="2" t="s">
        <v>297</v>
      </c>
      <c r="D152" s="2" t="s">
        <v>6098</v>
      </c>
      <c r="E152" s="2" t="s">
        <v>6099</v>
      </c>
      <c r="F152" s="2" t="s">
        <v>1789</v>
      </c>
      <c r="G152" s="2" t="s">
        <v>6100</v>
      </c>
      <c r="H152" s="2" t="s">
        <v>299</v>
      </c>
      <c r="I152" s="2" t="s">
        <v>5076</v>
      </c>
      <c r="J152" s="2" t="s">
        <v>5077</v>
      </c>
      <c r="K152" s="2" t="s">
        <v>5078</v>
      </c>
    </row>
    <row r="153" spans="1:11" ht="43.5" customHeight="1" x14ac:dyDescent="0.5">
      <c r="A153" s="2" t="s">
        <v>1095</v>
      </c>
      <c r="B153" s="2" t="s">
        <v>2877</v>
      </c>
      <c r="C153" s="2" t="s">
        <v>297</v>
      </c>
      <c r="D153" s="2" t="s">
        <v>6101</v>
      </c>
      <c r="E153" s="2" t="s">
        <v>6102</v>
      </c>
      <c r="F153" s="2" t="s">
        <v>1789</v>
      </c>
      <c r="G153" s="2" t="s">
        <v>6103</v>
      </c>
      <c r="H153" s="2" t="s">
        <v>309</v>
      </c>
      <c r="I153" s="2" t="s">
        <v>5076</v>
      </c>
      <c r="J153" s="2" t="s">
        <v>5077</v>
      </c>
      <c r="K153" s="2" t="s">
        <v>5078</v>
      </c>
    </row>
    <row r="154" spans="1:11" ht="43.5" customHeight="1" x14ac:dyDescent="0.5">
      <c r="A154" s="2" t="s">
        <v>1107</v>
      </c>
      <c r="B154" s="2" t="s">
        <v>2893</v>
      </c>
      <c r="C154" s="2" t="s">
        <v>297</v>
      </c>
      <c r="D154" s="2" t="s">
        <v>6104</v>
      </c>
      <c r="E154" s="2" t="s">
        <v>6105</v>
      </c>
      <c r="F154" s="2" t="s">
        <v>1789</v>
      </c>
      <c r="G154" s="2" t="s">
        <v>6106</v>
      </c>
      <c r="H154" s="2" t="s">
        <v>299</v>
      </c>
      <c r="I154" s="2" t="s">
        <v>5076</v>
      </c>
      <c r="J154" s="2" t="s">
        <v>5077</v>
      </c>
      <c r="K154" s="2" t="s">
        <v>5078</v>
      </c>
    </row>
    <row r="155" spans="1:11" ht="43.5" customHeight="1" x14ac:dyDescent="0.5">
      <c r="A155" s="2" t="s">
        <v>1110</v>
      </c>
      <c r="B155" s="2" t="s">
        <v>2897</v>
      </c>
      <c r="C155" s="2" t="s">
        <v>297</v>
      </c>
      <c r="D155" s="2" t="s">
        <v>6107</v>
      </c>
      <c r="E155" s="2" t="s">
        <v>6108</v>
      </c>
      <c r="F155" s="2" t="s">
        <v>1789</v>
      </c>
      <c r="G155" s="2" t="s">
        <v>6109</v>
      </c>
      <c r="H155" s="2" t="s">
        <v>309</v>
      </c>
      <c r="I155" s="2" t="s">
        <v>5076</v>
      </c>
      <c r="J155" s="2" t="s">
        <v>5077</v>
      </c>
      <c r="K155" s="2" t="s">
        <v>5078</v>
      </c>
    </row>
    <row r="156" spans="1:11" ht="43.5" customHeight="1" x14ac:dyDescent="0.5">
      <c r="A156" s="2" t="s">
        <v>1115</v>
      </c>
      <c r="B156" s="2" t="s">
        <v>2901</v>
      </c>
      <c r="C156" s="2" t="s">
        <v>297</v>
      </c>
      <c r="D156" s="2" t="s">
        <v>6110</v>
      </c>
      <c r="E156" s="2" t="s">
        <v>6111</v>
      </c>
      <c r="F156" s="2" t="s">
        <v>1789</v>
      </c>
      <c r="G156" s="2" t="s">
        <v>6112</v>
      </c>
      <c r="H156" s="2" t="s">
        <v>299</v>
      </c>
      <c r="I156" s="2" t="s">
        <v>5076</v>
      </c>
      <c r="J156" s="2" t="s">
        <v>5077</v>
      </c>
      <c r="K156" s="2" t="s">
        <v>5078</v>
      </c>
    </row>
    <row r="157" spans="1:11" ht="43.5" customHeight="1" x14ac:dyDescent="0.5">
      <c r="A157" s="2" t="s">
        <v>1119</v>
      </c>
      <c r="B157" s="2" t="s">
        <v>2905</v>
      </c>
      <c r="C157" s="2" t="s">
        <v>297</v>
      </c>
      <c r="D157" s="2" t="s">
        <v>6113</v>
      </c>
      <c r="E157" s="2" t="s">
        <v>6114</v>
      </c>
      <c r="F157" s="2" t="s">
        <v>1789</v>
      </c>
      <c r="G157" s="2" t="s">
        <v>6115</v>
      </c>
      <c r="H157" s="2" t="s">
        <v>309</v>
      </c>
      <c r="I157" s="2" t="s">
        <v>5076</v>
      </c>
      <c r="J157" s="2" t="s">
        <v>5077</v>
      </c>
      <c r="K157" s="2" t="s">
        <v>5078</v>
      </c>
    </row>
    <row r="158" spans="1:11" ht="43.5" customHeight="1" x14ac:dyDescent="0.5">
      <c r="A158" s="2" t="s">
        <v>1129</v>
      </c>
      <c r="B158" s="2" t="s">
        <v>2921</v>
      </c>
      <c r="C158" s="2" t="s">
        <v>297</v>
      </c>
      <c r="D158" s="2" t="s">
        <v>6116</v>
      </c>
      <c r="E158" s="2" t="s">
        <v>6117</v>
      </c>
      <c r="F158" s="2" t="s">
        <v>1789</v>
      </c>
      <c r="G158" s="2" t="s">
        <v>6118</v>
      </c>
      <c r="H158" s="2" t="s">
        <v>299</v>
      </c>
      <c r="I158" s="2" t="s">
        <v>5076</v>
      </c>
      <c r="J158" s="2" t="s">
        <v>5077</v>
      </c>
      <c r="K158" s="2" t="s">
        <v>5078</v>
      </c>
    </row>
    <row r="159" spans="1:11" ht="43.5" customHeight="1" x14ac:dyDescent="0.5">
      <c r="A159" s="2" t="s">
        <v>1132</v>
      </c>
      <c r="B159" s="2" t="s">
        <v>2925</v>
      </c>
      <c r="C159" s="2" t="s">
        <v>297</v>
      </c>
      <c r="D159" s="2" t="s">
        <v>6119</v>
      </c>
      <c r="E159" s="2" t="s">
        <v>6120</v>
      </c>
      <c r="F159" s="2" t="s">
        <v>1789</v>
      </c>
      <c r="G159" s="2" t="s">
        <v>6121</v>
      </c>
      <c r="H159" s="2" t="s">
        <v>309</v>
      </c>
      <c r="I159" s="2" t="s">
        <v>5076</v>
      </c>
      <c r="J159" s="2" t="s">
        <v>5077</v>
      </c>
      <c r="K159" s="2" t="s">
        <v>5078</v>
      </c>
    </row>
    <row r="160" spans="1:11" ht="43.5" customHeight="1" x14ac:dyDescent="0.5">
      <c r="A160" s="2" t="s">
        <v>1135</v>
      </c>
      <c r="B160" s="2" t="s">
        <v>2929</v>
      </c>
      <c r="C160" s="2" t="s">
        <v>297</v>
      </c>
      <c r="D160" s="2" t="s">
        <v>6122</v>
      </c>
      <c r="E160" s="2" t="s">
        <v>6123</v>
      </c>
      <c r="F160" s="2" t="s">
        <v>1789</v>
      </c>
      <c r="G160" s="2" t="s">
        <v>6124</v>
      </c>
      <c r="H160" s="2" t="s">
        <v>299</v>
      </c>
      <c r="I160" s="2" t="s">
        <v>5076</v>
      </c>
      <c r="J160" s="2" t="s">
        <v>5077</v>
      </c>
      <c r="K160" s="2" t="s">
        <v>5078</v>
      </c>
    </row>
    <row r="161" spans="1:11" ht="43.5" customHeight="1" x14ac:dyDescent="0.5">
      <c r="A161" s="2" t="s">
        <v>1138</v>
      </c>
      <c r="B161" s="2" t="s">
        <v>2933</v>
      </c>
      <c r="C161" s="2" t="s">
        <v>297</v>
      </c>
      <c r="D161" s="2" t="s">
        <v>6125</v>
      </c>
      <c r="E161" s="2" t="s">
        <v>6126</v>
      </c>
      <c r="F161" s="2" t="s">
        <v>1789</v>
      </c>
      <c r="G161" s="2" t="s">
        <v>6127</v>
      </c>
      <c r="H161" s="2" t="s">
        <v>309</v>
      </c>
      <c r="I161" s="2" t="s">
        <v>5076</v>
      </c>
      <c r="J161" s="2" t="s">
        <v>5077</v>
      </c>
      <c r="K161" s="2" t="s">
        <v>5078</v>
      </c>
    </row>
    <row r="162" spans="1:11" ht="43.5" customHeight="1" x14ac:dyDescent="0.5">
      <c r="A162" s="2" t="s">
        <v>1146</v>
      </c>
      <c r="B162" s="2" t="s">
        <v>2949</v>
      </c>
      <c r="C162" s="2" t="s">
        <v>297</v>
      </c>
      <c r="D162" s="2" t="s">
        <v>6128</v>
      </c>
      <c r="E162" s="2" t="s">
        <v>6129</v>
      </c>
      <c r="F162" s="2" t="s">
        <v>1789</v>
      </c>
      <c r="G162" s="2" t="s">
        <v>6130</v>
      </c>
      <c r="H162" s="2" t="s">
        <v>299</v>
      </c>
      <c r="I162" s="2" t="s">
        <v>5076</v>
      </c>
      <c r="J162" s="2" t="s">
        <v>5077</v>
      </c>
      <c r="K162" s="2" t="s">
        <v>5078</v>
      </c>
    </row>
    <row r="163" spans="1:11" ht="43.5" customHeight="1" x14ac:dyDescent="0.5">
      <c r="A163" s="2" t="s">
        <v>1148</v>
      </c>
      <c r="B163" s="2" t="s">
        <v>2953</v>
      </c>
      <c r="C163" s="2" t="s">
        <v>297</v>
      </c>
      <c r="D163" s="2" t="s">
        <v>6131</v>
      </c>
      <c r="E163" s="2" t="s">
        <v>6132</v>
      </c>
      <c r="F163" s="2" t="s">
        <v>1789</v>
      </c>
      <c r="G163" s="2" t="s">
        <v>6133</v>
      </c>
      <c r="H163" s="2" t="s">
        <v>309</v>
      </c>
      <c r="I163" s="2" t="s">
        <v>5076</v>
      </c>
      <c r="J163" s="2" t="s">
        <v>5077</v>
      </c>
      <c r="K163" s="2" t="s">
        <v>5078</v>
      </c>
    </row>
    <row r="164" spans="1:11" ht="43.5" customHeight="1" x14ac:dyDescent="0.5">
      <c r="A164" s="2" t="s">
        <v>1150</v>
      </c>
      <c r="B164" s="2" t="s">
        <v>2957</v>
      </c>
      <c r="C164" s="2" t="s">
        <v>297</v>
      </c>
      <c r="D164" s="2" t="s">
        <v>6134</v>
      </c>
      <c r="E164" s="2" t="s">
        <v>6135</v>
      </c>
      <c r="F164" s="2" t="s">
        <v>1789</v>
      </c>
      <c r="G164" s="2" t="s">
        <v>6136</v>
      </c>
      <c r="H164" s="2" t="s">
        <v>299</v>
      </c>
      <c r="I164" s="2" t="s">
        <v>5076</v>
      </c>
      <c r="J164" s="2" t="s">
        <v>5077</v>
      </c>
      <c r="K164" s="2" t="s">
        <v>5078</v>
      </c>
    </row>
    <row r="165" spans="1:11" ht="43.5" customHeight="1" x14ac:dyDescent="0.5">
      <c r="A165" s="2" t="s">
        <v>1152</v>
      </c>
      <c r="B165" s="2" t="s">
        <v>2961</v>
      </c>
      <c r="C165" s="2" t="s">
        <v>297</v>
      </c>
      <c r="D165" s="2" t="s">
        <v>6137</v>
      </c>
      <c r="E165" s="2" t="s">
        <v>6138</v>
      </c>
      <c r="F165" s="2" t="s">
        <v>1789</v>
      </c>
      <c r="G165" s="2" t="s">
        <v>6139</v>
      </c>
      <c r="H165" s="2" t="s">
        <v>309</v>
      </c>
      <c r="I165" s="2" t="s">
        <v>5076</v>
      </c>
      <c r="J165" s="2" t="s">
        <v>5077</v>
      </c>
      <c r="K165" s="2" t="s">
        <v>5078</v>
      </c>
    </row>
    <row r="166" spans="1:11" ht="43.5" customHeight="1" x14ac:dyDescent="0.5">
      <c r="A166" s="2" t="s">
        <v>1159</v>
      </c>
      <c r="B166" s="2" t="s">
        <v>2977</v>
      </c>
      <c r="C166" s="2" t="s">
        <v>297</v>
      </c>
      <c r="D166" s="2" t="s">
        <v>6140</v>
      </c>
      <c r="E166" s="2" t="s">
        <v>6141</v>
      </c>
      <c r="F166" s="2" t="s">
        <v>1789</v>
      </c>
      <c r="G166" s="2" t="s">
        <v>6142</v>
      </c>
      <c r="H166" s="2" t="s">
        <v>299</v>
      </c>
      <c r="I166" s="2" t="s">
        <v>5076</v>
      </c>
      <c r="J166" s="2" t="s">
        <v>5077</v>
      </c>
      <c r="K166" s="2" t="s">
        <v>5078</v>
      </c>
    </row>
    <row r="167" spans="1:11" ht="43.5" customHeight="1" x14ac:dyDescent="0.5">
      <c r="A167" s="2" t="s">
        <v>1161</v>
      </c>
      <c r="B167" s="2" t="s">
        <v>2981</v>
      </c>
      <c r="C167" s="2" t="s">
        <v>297</v>
      </c>
      <c r="D167" s="2" t="s">
        <v>6143</v>
      </c>
      <c r="E167" s="2" t="s">
        <v>6144</v>
      </c>
      <c r="F167" s="2" t="s">
        <v>1789</v>
      </c>
      <c r="G167" s="2" t="s">
        <v>6145</v>
      </c>
      <c r="H167" s="2" t="s">
        <v>309</v>
      </c>
      <c r="I167" s="2" t="s">
        <v>5076</v>
      </c>
      <c r="J167" s="2" t="s">
        <v>5077</v>
      </c>
      <c r="K167" s="2" t="s">
        <v>5078</v>
      </c>
    </row>
    <row r="168" spans="1:11" ht="43.5" customHeight="1" x14ac:dyDescent="0.5">
      <c r="A168" s="2" t="s">
        <v>1163</v>
      </c>
      <c r="B168" s="2" t="s">
        <v>2985</v>
      </c>
      <c r="C168" s="2" t="s">
        <v>297</v>
      </c>
      <c r="D168" s="2" t="s">
        <v>6146</v>
      </c>
      <c r="E168" s="2" t="s">
        <v>6147</v>
      </c>
      <c r="F168" s="2" t="s">
        <v>1789</v>
      </c>
      <c r="G168" s="2" t="s">
        <v>6148</v>
      </c>
      <c r="H168" s="2" t="s">
        <v>299</v>
      </c>
      <c r="I168" s="2" t="s">
        <v>5076</v>
      </c>
      <c r="J168" s="2" t="s">
        <v>5077</v>
      </c>
      <c r="K168" s="2" t="s">
        <v>5078</v>
      </c>
    </row>
    <row r="169" spans="1:11" ht="43.5" customHeight="1" x14ac:dyDescent="0.5">
      <c r="A169" s="2" t="s">
        <v>1165</v>
      </c>
      <c r="B169" s="2" t="s">
        <v>2989</v>
      </c>
      <c r="C169" s="2" t="s">
        <v>297</v>
      </c>
      <c r="D169" s="2" t="s">
        <v>6149</v>
      </c>
      <c r="E169" s="2" t="s">
        <v>6150</v>
      </c>
      <c r="F169" s="2" t="s">
        <v>1789</v>
      </c>
      <c r="G169" s="2" t="s">
        <v>6151</v>
      </c>
      <c r="H169" s="2" t="s">
        <v>309</v>
      </c>
      <c r="I169" s="2" t="s">
        <v>5076</v>
      </c>
      <c r="J169" s="2" t="s">
        <v>5077</v>
      </c>
      <c r="K169" s="2" t="s">
        <v>5078</v>
      </c>
    </row>
    <row r="170" spans="1:11" ht="43.5" customHeight="1" x14ac:dyDescent="0.5">
      <c r="A170" s="2" t="s">
        <v>1176</v>
      </c>
      <c r="B170" s="2" t="s">
        <v>3003</v>
      </c>
      <c r="C170" s="2" t="s">
        <v>297</v>
      </c>
      <c r="D170" s="2" t="s">
        <v>6152</v>
      </c>
      <c r="E170" s="2" t="s">
        <v>6153</v>
      </c>
      <c r="F170" s="2" t="s">
        <v>1789</v>
      </c>
      <c r="G170" s="2" t="s">
        <v>6154</v>
      </c>
      <c r="H170" s="2" t="s">
        <v>309</v>
      </c>
      <c r="I170" s="2" t="s">
        <v>5076</v>
      </c>
      <c r="J170" s="2" t="s">
        <v>5077</v>
      </c>
      <c r="K170" s="2" t="s">
        <v>5078</v>
      </c>
    </row>
    <row r="171" spans="1:11" ht="43.5" customHeight="1" x14ac:dyDescent="0.5">
      <c r="A171" s="2" t="s">
        <v>1181</v>
      </c>
      <c r="B171" s="2" t="s">
        <v>3007</v>
      </c>
      <c r="C171" s="2" t="s">
        <v>297</v>
      </c>
      <c r="D171" s="2" t="s">
        <v>6155</v>
      </c>
      <c r="E171" s="2" t="s">
        <v>6156</v>
      </c>
      <c r="F171" s="2" t="s">
        <v>1789</v>
      </c>
      <c r="G171" s="2" t="s">
        <v>6157</v>
      </c>
      <c r="H171" s="2" t="s">
        <v>299</v>
      </c>
      <c r="I171" s="2" t="s">
        <v>5076</v>
      </c>
      <c r="J171" s="2" t="s">
        <v>5077</v>
      </c>
      <c r="K171" s="2" t="s">
        <v>5078</v>
      </c>
    </row>
    <row r="172" spans="1:11" ht="43.5" customHeight="1" x14ac:dyDescent="0.5">
      <c r="A172" s="2" t="s">
        <v>1195</v>
      </c>
      <c r="B172" s="2" t="s">
        <v>3019</v>
      </c>
      <c r="C172" s="2" t="s">
        <v>297</v>
      </c>
      <c r="D172" s="2" t="s">
        <v>6158</v>
      </c>
      <c r="E172" s="2" t="s">
        <v>6159</v>
      </c>
      <c r="F172" s="2" t="s">
        <v>1789</v>
      </c>
      <c r="G172" s="2" t="s">
        <v>6160</v>
      </c>
      <c r="H172" s="2" t="s">
        <v>309</v>
      </c>
      <c r="I172" s="2" t="s">
        <v>5076</v>
      </c>
      <c r="J172" s="2" t="s">
        <v>5077</v>
      </c>
      <c r="K172" s="2" t="s">
        <v>5078</v>
      </c>
    </row>
    <row r="173" spans="1:11" ht="43.5" customHeight="1" x14ac:dyDescent="0.5">
      <c r="A173" s="2" t="s">
        <v>1199</v>
      </c>
      <c r="B173" s="2" t="s">
        <v>3023</v>
      </c>
      <c r="C173" s="2" t="s">
        <v>297</v>
      </c>
      <c r="D173" s="2" t="s">
        <v>6161</v>
      </c>
      <c r="E173" s="2" t="s">
        <v>6162</v>
      </c>
      <c r="F173" s="2" t="s">
        <v>1789</v>
      </c>
      <c r="G173" s="2" t="s">
        <v>6163</v>
      </c>
      <c r="H173" s="2" t="s">
        <v>299</v>
      </c>
      <c r="I173" s="2" t="s">
        <v>5076</v>
      </c>
      <c r="J173" s="2" t="s">
        <v>5077</v>
      </c>
      <c r="K173" s="2" t="s">
        <v>5078</v>
      </c>
    </row>
    <row r="174" spans="1:11" ht="43.5" customHeight="1" x14ac:dyDescent="0.5">
      <c r="A174" s="2" t="s">
        <v>1209</v>
      </c>
      <c r="B174" s="2" t="s">
        <v>3035</v>
      </c>
      <c r="C174" s="2" t="s">
        <v>297</v>
      </c>
      <c r="D174" s="2" t="s">
        <v>6164</v>
      </c>
      <c r="E174" s="2" t="s">
        <v>6165</v>
      </c>
      <c r="F174" s="2" t="s">
        <v>1789</v>
      </c>
      <c r="G174" s="2" t="s">
        <v>6166</v>
      </c>
      <c r="H174" s="2" t="s">
        <v>309</v>
      </c>
      <c r="I174" s="2" t="s">
        <v>5076</v>
      </c>
      <c r="J174" s="2" t="s">
        <v>5077</v>
      </c>
      <c r="K174" s="2" t="s">
        <v>5078</v>
      </c>
    </row>
    <row r="175" spans="1:11" ht="43.5" customHeight="1" x14ac:dyDescent="0.5">
      <c r="A175" s="2" t="s">
        <v>1213</v>
      </c>
      <c r="B175" s="2" t="s">
        <v>3039</v>
      </c>
      <c r="C175" s="2" t="s">
        <v>297</v>
      </c>
      <c r="D175" s="2" t="s">
        <v>6167</v>
      </c>
      <c r="E175" s="2" t="s">
        <v>6168</v>
      </c>
      <c r="F175" s="2" t="s">
        <v>1789</v>
      </c>
      <c r="G175" s="2" t="s">
        <v>6169</v>
      </c>
      <c r="H175" s="2" t="s">
        <v>299</v>
      </c>
      <c r="I175" s="2" t="s">
        <v>5076</v>
      </c>
      <c r="J175" s="2" t="s">
        <v>5077</v>
      </c>
      <c r="K175" s="2" t="s">
        <v>5078</v>
      </c>
    </row>
    <row r="176" spans="1:11" ht="43.5" customHeight="1" x14ac:dyDescent="0.5">
      <c r="A176" s="2" t="s">
        <v>1222</v>
      </c>
      <c r="B176" s="2" t="s">
        <v>3051</v>
      </c>
      <c r="C176" s="2" t="s">
        <v>297</v>
      </c>
      <c r="D176" s="2" t="s">
        <v>6170</v>
      </c>
      <c r="E176" s="2" t="s">
        <v>6171</v>
      </c>
      <c r="F176" s="2" t="s">
        <v>1789</v>
      </c>
      <c r="G176" s="2" t="s">
        <v>6172</v>
      </c>
      <c r="H176" s="2" t="s">
        <v>309</v>
      </c>
      <c r="I176" s="2" t="s">
        <v>5076</v>
      </c>
      <c r="J176" s="2" t="s">
        <v>5077</v>
      </c>
      <c r="K176" s="2" t="s">
        <v>5078</v>
      </c>
    </row>
    <row r="177" spans="1:11" ht="43.5" customHeight="1" x14ac:dyDescent="0.5">
      <c r="A177" s="2" t="s">
        <v>1224</v>
      </c>
      <c r="B177" s="2" t="s">
        <v>3055</v>
      </c>
      <c r="C177" s="2" t="s">
        <v>297</v>
      </c>
      <c r="D177" s="2" t="s">
        <v>6173</v>
      </c>
      <c r="E177" s="2" t="s">
        <v>6174</v>
      </c>
      <c r="F177" s="2" t="s">
        <v>1789</v>
      </c>
      <c r="G177" s="2" t="s">
        <v>6175</v>
      </c>
      <c r="H177" s="2" t="s">
        <v>299</v>
      </c>
      <c r="I177" s="2" t="s">
        <v>5076</v>
      </c>
      <c r="J177" s="2" t="s">
        <v>5077</v>
      </c>
      <c r="K177" s="2" t="s">
        <v>5078</v>
      </c>
    </row>
    <row r="178" spans="1:11" ht="43.5" customHeight="1" x14ac:dyDescent="0.5">
      <c r="A178" s="2" t="s">
        <v>1231</v>
      </c>
      <c r="B178" s="2" t="s">
        <v>3067</v>
      </c>
      <c r="C178" s="2" t="s">
        <v>297</v>
      </c>
      <c r="D178" s="2" t="s">
        <v>6176</v>
      </c>
      <c r="E178" s="2" t="s">
        <v>6177</v>
      </c>
      <c r="F178" s="2" t="s">
        <v>1789</v>
      </c>
      <c r="G178" s="2" t="s">
        <v>6178</v>
      </c>
      <c r="H178" s="2" t="s">
        <v>309</v>
      </c>
      <c r="I178" s="2" t="s">
        <v>5076</v>
      </c>
      <c r="J178" s="2" t="s">
        <v>5077</v>
      </c>
      <c r="K178" s="2" t="s">
        <v>5078</v>
      </c>
    </row>
    <row r="179" spans="1:11" ht="43.5" customHeight="1" x14ac:dyDescent="0.5">
      <c r="A179" s="2" t="s">
        <v>1233</v>
      </c>
      <c r="B179" s="2" t="s">
        <v>3071</v>
      </c>
      <c r="C179" s="2" t="s">
        <v>297</v>
      </c>
      <c r="D179" s="2" t="s">
        <v>6179</v>
      </c>
      <c r="E179" s="2" t="s">
        <v>6180</v>
      </c>
      <c r="F179" s="2" t="s">
        <v>1789</v>
      </c>
      <c r="G179" s="2" t="s">
        <v>6181</v>
      </c>
      <c r="H179" s="2" t="s">
        <v>299</v>
      </c>
      <c r="I179" s="2" t="s">
        <v>5076</v>
      </c>
      <c r="J179" s="2" t="s">
        <v>5077</v>
      </c>
      <c r="K179" s="2" t="s">
        <v>5078</v>
      </c>
    </row>
    <row r="180" spans="1:11" ht="43.5" customHeight="1" x14ac:dyDescent="0.5">
      <c r="A180" s="2" t="s">
        <v>1242</v>
      </c>
      <c r="B180" s="2" t="s">
        <v>3085</v>
      </c>
      <c r="C180" s="2" t="s">
        <v>297</v>
      </c>
      <c r="D180" s="2" t="s">
        <v>6182</v>
      </c>
      <c r="E180" s="2" t="s">
        <v>6183</v>
      </c>
      <c r="F180" s="2" t="s">
        <v>1789</v>
      </c>
      <c r="G180" s="2" t="s">
        <v>6184</v>
      </c>
      <c r="H180" s="2" t="s">
        <v>309</v>
      </c>
      <c r="I180" s="2" t="s">
        <v>5076</v>
      </c>
      <c r="J180" s="2" t="s">
        <v>5077</v>
      </c>
      <c r="K180" s="2" t="s">
        <v>5078</v>
      </c>
    </row>
    <row r="181" spans="1:11" ht="43.5" customHeight="1" x14ac:dyDescent="0.5">
      <c r="A181" s="2" t="s">
        <v>1244</v>
      </c>
      <c r="B181" s="2" t="s">
        <v>3089</v>
      </c>
      <c r="C181" s="2" t="s">
        <v>297</v>
      </c>
      <c r="D181" s="2" t="s">
        <v>6185</v>
      </c>
      <c r="E181" s="2" t="s">
        <v>6186</v>
      </c>
      <c r="F181" s="2" t="s">
        <v>1789</v>
      </c>
      <c r="G181" s="2" t="s">
        <v>6187</v>
      </c>
      <c r="H181" s="2" t="s">
        <v>299</v>
      </c>
      <c r="I181" s="2" t="s">
        <v>5076</v>
      </c>
      <c r="J181" s="2" t="s">
        <v>5077</v>
      </c>
      <c r="K181" s="2" t="s">
        <v>5078</v>
      </c>
    </row>
    <row r="182" spans="1:11" ht="43.5" customHeight="1" x14ac:dyDescent="0.5">
      <c r="A182" s="2" t="s">
        <v>1251</v>
      </c>
      <c r="B182" s="2" t="s">
        <v>3101</v>
      </c>
      <c r="C182" s="2" t="s">
        <v>297</v>
      </c>
      <c r="D182" s="2" t="s">
        <v>6188</v>
      </c>
      <c r="E182" s="2" t="s">
        <v>6189</v>
      </c>
      <c r="F182" s="2" t="s">
        <v>1789</v>
      </c>
      <c r="G182" s="2" t="s">
        <v>6190</v>
      </c>
      <c r="H182" s="2" t="s">
        <v>309</v>
      </c>
      <c r="I182" s="2" t="s">
        <v>5076</v>
      </c>
      <c r="J182" s="2" t="s">
        <v>5077</v>
      </c>
      <c r="K182" s="2" t="s">
        <v>5078</v>
      </c>
    </row>
    <row r="183" spans="1:11" ht="43.5" customHeight="1" x14ac:dyDescent="0.5">
      <c r="A183" s="2" t="s">
        <v>1253</v>
      </c>
      <c r="B183" s="2" t="s">
        <v>3105</v>
      </c>
      <c r="C183" s="2" t="s">
        <v>297</v>
      </c>
      <c r="D183" s="2" t="s">
        <v>6191</v>
      </c>
      <c r="E183" s="2" t="s">
        <v>6192</v>
      </c>
      <c r="F183" s="2" t="s">
        <v>1789</v>
      </c>
      <c r="G183" s="2" t="s">
        <v>6193</v>
      </c>
      <c r="H183" s="2" t="s">
        <v>299</v>
      </c>
      <c r="I183" s="2" t="s">
        <v>5076</v>
      </c>
      <c r="J183" s="2" t="s">
        <v>5077</v>
      </c>
      <c r="K183" s="2" t="s">
        <v>5078</v>
      </c>
    </row>
    <row r="184" spans="1:11" ht="43.5" customHeight="1" x14ac:dyDescent="0.5">
      <c r="A184" s="2" t="s">
        <v>1260</v>
      </c>
      <c r="B184" s="2" t="s">
        <v>3119</v>
      </c>
      <c r="C184" s="2" t="s">
        <v>297</v>
      </c>
      <c r="D184" s="2" t="s">
        <v>6194</v>
      </c>
      <c r="E184" s="2" t="s">
        <v>6195</v>
      </c>
      <c r="F184" s="2" t="s">
        <v>1789</v>
      </c>
      <c r="G184" s="2" t="s">
        <v>6196</v>
      </c>
      <c r="H184" s="2" t="s">
        <v>309</v>
      </c>
      <c r="I184" s="2" t="s">
        <v>5076</v>
      </c>
      <c r="J184" s="2" t="s">
        <v>5077</v>
      </c>
      <c r="K184" s="2" t="s">
        <v>5078</v>
      </c>
    </row>
    <row r="185" spans="1:11" ht="43.5" customHeight="1" x14ac:dyDescent="0.5">
      <c r="A185" s="2" t="s">
        <v>1262</v>
      </c>
      <c r="B185" s="2" t="s">
        <v>3123</v>
      </c>
      <c r="C185" s="2" t="s">
        <v>297</v>
      </c>
      <c r="D185" s="2" t="s">
        <v>6197</v>
      </c>
      <c r="E185" s="2" t="s">
        <v>6198</v>
      </c>
      <c r="F185" s="2" t="s">
        <v>1789</v>
      </c>
      <c r="G185" s="2" t="s">
        <v>6199</v>
      </c>
      <c r="H185" s="2" t="s">
        <v>299</v>
      </c>
      <c r="I185" s="2" t="s">
        <v>5076</v>
      </c>
      <c r="J185" s="2" t="s">
        <v>5077</v>
      </c>
      <c r="K185" s="2" t="s">
        <v>5078</v>
      </c>
    </row>
    <row r="186" spans="1:11" ht="43.5" customHeight="1" x14ac:dyDescent="0.5">
      <c r="A186" s="2" t="s">
        <v>1276</v>
      </c>
      <c r="B186" s="2" t="s">
        <v>3139</v>
      </c>
      <c r="C186" s="2" t="s">
        <v>297</v>
      </c>
      <c r="D186" s="2" t="s">
        <v>6200</v>
      </c>
      <c r="E186" s="2" t="s">
        <v>6201</v>
      </c>
      <c r="F186" s="2" t="s">
        <v>1789</v>
      </c>
      <c r="G186" s="2" t="s">
        <v>6202</v>
      </c>
      <c r="H186" s="2" t="s">
        <v>309</v>
      </c>
      <c r="I186" s="2" t="s">
        <v>5076</v>
      </c>
      <c r="J186" s="2" t="s">
        <v>5077</v>
      </c>
      <c r="K186" s="2" t="s">
        <v>5078</v>
      </c>
    </row>
    <row r="187" spans="1:11" ht="43.5" customHeight="1" x14ac:dyDescent="0.5">
      <c r="A187" s="2" t="s">
        <v>1280</v>
      </c>
      <c r="B187" s="2" t="s">
        <v>3143</v>
      </c>
      <c r="C187" s="2" t="s">
        <v>297</v>
      </c>
      <c r="D187" s="2" t="s">
        <v>6203</v>
      </c>
      <c r="E187" s="2" t="s">
        <v>6204</v>
      </c>
      <c r="F187" s="2" t="s">
        <v>1789</v>
      </c>
      <c r="G187" s="2" t="s">
        <v>6205</v>
      </c>
      <c r="H187" s="2" t="s">
        <v>299</v>
      </c>
      <c r="I187" s="2" t="s">
        <v>5076</v>
      </c>
      <c r="J187" s="2" t="s">
        <v>5077</v>
      </c>
      <c r="K187" s="2" t="s">
        <v>5078</v>
      </c>
    </row>
    <row r="188" spans="1:11" ht="43.5" customHeight="1" x14ac:dyDescent="0.5">
      <c r="A188" s="2" t="s">
        <v>1289</v>
      </c>
      <c r="B188" s="2" t="s">
        <v>3155</v>
      </c>
      <c r="C188" s="2" t="s">
        <v>297</v>
      </c>
      <c r="D188" s="2" t="s">
        <v>6206</v>
      </c>
      <c r="E188" s="2" t="s">
        <v>6207</v>
      </c>
      <c r="F188" s="2" t="s">
        <v>1789</v>
      </c>
      <c r="G188" s="2" t="s">
        <v>6208</v>
      </c>
      <c r="H188" s="2" t="s">
        <v>309</v>
      </c>
      <c r="I188" s="2" t="s">
        <v>5076</v>
      </c>
      <c r="J188" s="2" t="s">
        <v>5077</v>
      </c>
      <c r="K188" s="2" t="s">
        <v>5078</v>
      </c>
    </row>
    <row r="189" spans="1:11" ht="43.5" customHeight="1" x14ac:dyDescent="0.5">
      <c r="A189" s="2" t="s">
        <v>1291</v>
      </c>
      <c r="B189" s="2" t="s">
        <v>3159</v>
      </c>
      <c r="C189" s="2" t="s">
        <v>297</v>
      </c>
      <c r="D189" s="2" t="s">
        <v>6209</v>
      </c>
      <c r="E189" s="2" t="s">
        <v>6210</v>
      </c>
      <c r="F189" s="2" t="s">
        <v>1789</v>
      </c>
      <c r="G189" s="2" t="s">
        <v>6211</v>
      </c>
      <c r="H189" s="2" t="s">
        <v>299</v>
      </c>
      <c r="I189" s="2" t="s">
        <v>5076</v>
      </c>
      <c r="J189" s="2" t="s">
        <v>5077</v>
      </c>
      <c r="K189" s="2" t="s">
        <v>5078</v>
      </c>
    </row>
    <row r="190" spans="1:11" ht="43.5" customHeight="1" x14ac:dyDescent="0.5">
      <c r="A190" s="2" t="s">
        <v>1298</v>
      </c>
      <c r="B190" s="2" t="s">
        <v>3171</v>
      </c>
      <c r="C190" s="2" t="s">
        <v>297</v>
      </c>
      <c r="D190" s="2" t="s">
        <v>6212</v>
      </c>
      <c r="E190" s="2" t="s">
        <v>6213</v>
      </c>
      <c r="F190" s="2" t="s">
        <v>1789</v>
      </c>
      <c r="G190" s="2" t="s">
        <v>6214</v>
      </c>
      <c r="H190" s="2" t="s">
        <v>309</v>
      </c>
      <c r="I190" s="2" t="s">
        <v>5076</v>
      </c>
      <c r="J190" s="2" t="s">
        <v>5077</v>
      </c>
      <c r="K190" s="2" t="s">
        <v>5078</v>
      </c>
    </row>
    <row r="191" spans="1:11" ht="43.5" customHeight="1" x14ac:dyDescent="0.5">
      <c r="A191" s="2" t="s">
        <v>1300</v>
      </c>
      <c r="B191" s="2" t="s">
        <v>3175</v>
      </c>
      <c r="C191" s="2" t="s">
        <v>297</v>
      </c>
      <c r="D191" s="2" t="s">
        <v>6215</v>
      </c>
      <c r="E191" s="2" t="s">
        <v>6216</v>
      </c>
      <c r="F191" s="2" t="s">
        <v>1789</v>
      </c>
      <c r="G191" s="2" t="s">
        <v>6217</v>
      </c>
      <c r="H191" s="2" t="s">
        <v>299</v>
      </c>
      <c r="I191" s="2" t="s">
        <v>5076</v>
      </c>
      <c r="J191" s="2" t="s">
        <v>5077</v>
      </c>
      <c r="K191" s="2" t="s">
        <v>5078</v>
      </c>
    </row>
    <row r="192" spans="1:11" ht="43.5" customHeight="1" x14ac:dyDescent="0.5">
      <c r="A192" s="2" t="s">
        <v>1310</v>
      </c>
      <c r="B192" s="2" t="s">
        <v>3183</v>
      </c>
      <c r="C192" s="2" t="s">
        <v>297</v>
      </c>
      <c r="D192" s="2" t="s">
        <v>6218</v>
      </c>
      <c r="E192" s="2" t="s">
        <v>6219</v>
      </c>
      <c r="F192" s="2" t="s">
        <v>1789</v>
      </c>
      <c r="G192" s="2" t="s">
        <v>6220</v>
      </c>
      <c r="H192" s="2" t="s">
        <v>309</v>
      </c>
      <c r="I192" s="2" t="s">
        <v>5076</v>
      </c>
      <c r="J192" s="2" t="s">
        <v>5077</v>
      </c>
      <c r="K192" s="2" t="s">
        <v>5078</v>
      </c>
    </row>
    <row r="193" spans="1:11" ht="43.5" customHeight="1" x14ac:dyDescent="0.5">
      <c r="A193" s="2" t="s">
        <v>1324</v>
      </c>
      <c r="B193" s="2" t="s">
        <v>3191</v>
      </c>
      <c r="C193" s="2" t="s">
        <v>297</v>
      </c>
      <c r="D193" s="2" t="s">
        <v>6221</v>
      </c>
      <c r="E193" s="2" t="s">
        <v>6222</v>
      </c>
      <c r="F193" s="2" t="s">
        <v>1789</v>
      </c>
      <c r="G193" s="2" t="s">
        <v>6223</v>
      </c>
      <c r="H193" s="2" t="s">
        <v>309</v>
      </c>
      <c r="I193" s="2" t="s">
        <v>5076</v>
      </c>
      <c r="J193" s="2" t="s">
        <v>5077</v>
      </c>
      <c r="K193" s="2" t="s">
        <v>5078</v>
      </c>
    </row>
    <row r="194" spans="1:11" ht="43.5" customHeight="1" x14ac:dyDescent="0.5">
      <c r="A194" s="2" t="s">
        <v>1344</v>
      </c>
      <c r="B194" s="2" t="s">
        <v>3203</v>
      </c>
      <c r="C194" s="2" t="s">
        <v>297</v>
      </c>
      <c r="D194" s="2" t="s">
        <v>6224</v>
      </c>
      <c r="E194" s="2" t="s">
        <v>6225</v>
      </c>
      <c r="F194" s="2" t="s">
        <v>1789</v>
      </c>
      <c r="G194" s="2" t="s">
        <v>6226</v>
      </c>
      <c r="H194" s="2" t="s">
        <v>309</v>
      </c>
      <c r="I194" s="2" t="s">
        <v>5076</v>
      </c>
      <c r="J194" s="2" t="s">
        <v>5077</v>
      </c>
      <c r="K194" s="2" t="s">
        <v>5078</v>
      </c>
    </row>
    <row r="195" spans="1:11" ht="43.5" customHeight="1" x14ac:dyDescent="0.5">
      <c r="A195" s="2" t="s">
        <v>1353</v>
      </c>
      <c r="B195" s="2" t="s">
        <v>3211</v>
      </c>
      <c r="C195" s="2" t="s">
        <v>297</v>
      </c>
      <c r="D195" s="2" t="s">
        <v>6227</v>
      </c>
      <c r="E195" s="2" t="s">
        <v>6228</v>
      </c>
      <c r="F195" s="2" t="s">
        <v>1789</v>
      </c>
      <c r="G195" s="2" t="s">
        <v>6229</v>
      </c>
      <c r="H195" s="2" t="s">
        <v>309</v>
      </c>
      <c r="I195" s="2" t="s">
        <v>5076</v>
      </c>
      <c r="J195" s="2" t="s">
        <v>5077</v>
      </c>
      <c r="K195" s="2" t="s">
        <v>5078</v>
      </c>
    </row>
    <row r="196" spans="1:11" ht="43.5" customHeight="1" x14ac:dyDescent="0.5">
      <c r="A196" s="2" t="s">
        <v>1359</v>
      </c>
      <c r="B196" s="2" t="s">
        <v>3219</v>
      </c>
      <c r="C196" s="2" t="s">
        <v>297</v>
      </c>
      <c r="D196" s="2" t="s">
        <v>6230</v>
      </c>
      <c r="E196" s="2" t="s">
        <v>6231</v>
      </c>
      <c r="F196" s="2" t="s">
        <v>1789</v>
      </c>
      <c r="G196" s="2" t="s">
        <v>6232</v>
      </c>
      <c r="H196" s="2" t="s">
        <v>309</v>
      </c>
      <c r="I196" s="2" t="s">
        <v>5076</v>
      </c>
      <c r="J196" s="2" t="s">
        <v>5077</v>
      </c>
      <c r="K196" s="2" t="s">
        <v>5078</v>
      </c>
    </row>
    <row r="197" spans="1:11" ht="43.5" customHeight="1" x14ac:dyDescent="0.5">
      <c r="A197" s="2" t="s">
        <v>1469</v>
      </c>
      <c r="B197" s="2" t="s">
        <v>3361</v>
      </c>
      <c r="C197" s="2" t="s">
        <v>297</v>
      </c>
      <c r="D197" s="2" t="s">
        <v>6233</v>
      </c>
      <c r="E197" s="2" t="s">
        <v>6234</v>
      </c>
      <c r="F197" s="2" t="s">
        <v>1789</v>
      </c>
      <c r="G197" s="2" t="s">
        <v>6235</v>
      </c>
      <c r="H197" s="2" t="s">
        <v>309</v>
      </c>
      <c r="I197" s="2" t="s">
        <v>5076</v>
      </c>
      <c r="J197" s="2" t="s">
        <v>5077</v>
      </c>
      <c r="K197" s="2" t="s">
        <v>5078</v>
      </c>
    </row>
    <row r="198" spans="1:11" ht="43.5" customHeight="1" x14ac:dyDescent="0.5">
      <c r="A198" s="2" t="s">
        <v>1477</v>
      </c>
      <c r="B198" s="2" t="s">
        <v>3365</v>
      </c>
      <c r="C198" s="2" t="s">
        <v>297</v>
      </c>
      <c r="D198" s="2" t="s">
        <v>6236</v>
      </c>
      <c r="E198" s="2" t="s">
        <v>6237</v>
      </c>
      <c r="F198" s="2" t="s">
        <v>1789</v>
      </c>
      <c r="G198" s="2" t="s">
        <v>6238</v>
      </c>
      <c r="H198" s="2" t="s">
        <v>309</v>
      </c>
      <c r="I198" s="2" t="s">
        <v>5076</v>
      </c>
      <c r="J198" s="2" t="s">
        <v>5077</v>
      </c>
      <c r="K198" s="2" t="s">
        <v>5078</v>
      </c>
    </row>
    <row r="199" spans="1:11" ht="43.5" customHeight="1" x14ac:dyDescent="0.5">
      <c r="A199" s="2" t="s">
        <v>1485</v>
      </c>
      <c r="B199" s="2" t="s">
        <v>3369</v>
      </c>
      <c r="C199" s="2" t="s">
        <v>297</v>
      </c>
      <c r="D199" s="2" t="s">
        <v>6239</v>
      </c>
      <c r="E199" s="2" t="s">
        <v>6240</v>
      </c>
      <c r="F199" s="2" t="s">
        <v>1789</v>
      </c>
      <c r="G199" s="2" t="s">
        <v>6241</v>
      </c>
      <c r="H199" s="2" t="s">
        <v>309</v>
      </c>
      <c r="I199" s="2" t="s">
        <v>5076</v>
      </c>
      <c r="J199" s="2" t="s">
        <v>5077</v>
      </c>
      <c r="K199" s="2" t="s">
        <v>5078</v>
      </c>
    </row>
    <row r="200" spans="1:11" ht="43.5" customHeight="1" x14ac:dyDescent="0.5">
      <c r="A200" s="2" t="s">
        <v>1493</v>
      </c>
      <c r="B200" s="2" t="s">
        <v>3373</v>
      </c>
      <c r="C200" s="2" t="s">
        <v>297</v>
      </c>
      <c r="D200" s="2" t="s">
        <v>6242</v>
      </c>
      <c r="E200" s="2" t="s">
        <v>6243</v>
      </c>
      <c r="F200" s="2" t="s">
        <v>1789</v>
      </c>
      <c r="G200" s="2" t="s">
        <v>6244</v>
      </c>
      <c r="H200" s="2" t="s">
        <v>309</v>
      </c>
      <c r="I200" s="2" t="s">
        <v>5076</v>
      </c>
      <c r="J200" s="2" t="s">
        <v>5077</v>
      </c>
      <c r="K200" s="2" t="s">
        <v>5078</v>
      </c>
    </row>
    <row r="201" spans="1:11" ht="43.5" customHeight="1" x14ac:dyDescent="0.5">
      <c r="A201" s="2" t="s">
        <v>1502</v>
      </c>
      <c r="B201" s="2" t="s">
        <v>3377</v>
      </c>
      <c r="C201" s="2" t="s">
        <v>297</v>
      </c>
      <c r="D201" s="2" t="s">
        <v>6245</v>
      </c>
      <c r="E201" s="2" t="s">
        <v>6246</v>
      </c>
      <c r="F201" s="2" t="s">
        <v>1789</v>
      </c>
      <c r="G201" s="2" t="s">
        <v>6247</v>
      </c>
      <c r="H201" s="2" t="s">
        <v>299</v>
      </c>
      <c r="I201" s="2" t="s">
        <v>5076</v>
      </c>
      <c r="J201" s="2" t="s">
        <v>5077</v>
      </c>
      <c r="K201" s="2" t="s">
        <v>5078</v>
      </c>
    </row>
    <row r="202" spans="1:11" ht="43.5" customHeight="1" x14ac:dyDescent="0.5">
      <c r="A202" s="2" t="s">
        <v>1517</v>
      </c>
      <c r="B202" s="2" t="s">
        <v>3385</v>
      </c>
      <c r="C202" s="2" t="s">
        <v>297</v>
      </c>
      <c r="D202" s="2" t="s">
        <v>6248</v>
      </c>
      <c r="E202" s="2" t="s">
        <v>6249</v>
      </c>
      <c r="F202" s="2" t="s">
        <v>1789</v>
      </c>
      <c r="G202" s="2" t="s">
        <v>6250</v>
      </c>
      <c r="H202" s="2" t="s">
        <v>309</v>
      </c>
      <c r="I202" s="2" t="s">
        <v>5076</v>
      </c>
      <c r="J202" s="2" t="s">
        <v>5077</v>
      </c>
      <c r="K202" s="2" t="s">
        <v>5078</v>
      </c>
    </row>
    <row r="203" spans="1:11" ht="43.5" customHeight="1" x14ac:dyDescent="0.5">
      <c r="A203" s="2" t="s">
        <v>1526</v>
      </c>
      <c r="B203" s="2" t="s">
        <v>3389</v>
      </c>
      <c r="C203" s="2" t="s">
        <v>297</v>
      </c>
      <c r="D203" s="2" t="s">
        <v>6251</v>
      </c>
      <c r="E203" s="2" t="s">
        <v>6252</v>
      </c>
      <c r="F203" s="2" t="s">
        <v>1789</v>
      </c>
      <c r="G203" s="2" t="s">
        <v>6253</v>
      </c>
      <c r="H203" s="2" t="s">
        <v>309</v>
      </c>
      <c r="I203" s="2" t="s">
        <v>5076</v>
      </c>
      <c r="J203" s="2" t="s">
        <v>5077</v>
      </c>
      <c r="K203" s="2" t="s">
        <v>5078</v>
      </c>
    </row>
    <row r="204" spans="1:11" ht="43.5" customHeight="1" x14ac:dyDescent="0.5">
      <c r="A204" s="2" t="s">
        <v>1550</v>
      </c>
      <c r="B204" s="2" t="s">
        <v>3407</v>
      </c>
      <c r="C204" s="2" t="s">
        <v>297</v>
      </c>
      <c r="D204" s="2" t="s">
        <v>6254</v>
      </c>
      <c r="E204" s="2" t="s">
        <v>6255</v>
      </c>
      <c r="F204" s="2" t="s">
        <v>1789</v>
      </c>
      <c r="G204" s="2" t="s">
        <v>6256</v>
      </c>
      <c r="H204" s="2" t="s">
        <v>299</v>
      </c>
      <c r="I204" s="2" t="s">
        <v>5076</v>
      </c>
      <c r="J204" s="2" t="s">
        <v>5077</v>
      </c>
      <c r="K204" s="2" t="s">
        <v>5078</v>
      </c>
    </row>
    <row r="205" spans="1:11" ht="43.5" customHeight="1" x14ac:dyDescent="0.5">
      <c r="A205" s="2" t="s">
        <v>1565</v>
      </c>
      <c r="B205" s="2" t="s">
        <v>3415</v>
      </c>
      <c r="C205" s="2" t="s">
        <v>297</v>
      </c>
      <c r="D205" s="2" t="s">
        <v>6257</v>
      </c>
      <c r="E205" s="2" t="s">
        <v>6258</v>
      </c>
      <c r="F205" s="2" t="s">
        <v>6259</v>
      </c>
      <c r="G205" s="2" t="s">
        <v>6260</v>
      </c>
      <c r="H205" s="2" t="s">
        <v>309</v>
      </c>
      <c r="I205" s="2" t="s">
        <v>5076</v>
      </c>
      <c r="J205" s="2" t="s">
        <v>5077</v>
      </c>
      <c r="K205" s="2" t="s">
        <v>5078</v>
      </c>
    </row>
    <row r="206" spans="1:11" ht="43.5" customHeight="1" x14ac:dyDescent="0.5">
      <c r="A206" s="2" t="s">
        <v>1571</v>
      </c>
      <c r="B206" s="2" t="s">
        <v>3421</v>
      </c>
      <c r="C206" s="2" t="s">
        <v>297</v>
      </c>
      <c r="D206" s="2" t="s">
        <v>6261</v>
      </c>
      <c r="E206" s="2" t="s">
        <v>6262</v>
      </c>
      <c r="F206" s="2" t="s">
        <v>1789</v>
      </c>
      <c r="G206" s="2" t="s">
        <v>6263</v>
      </c>
      <c r="H206" s="2" t="s">
        <v>299</v>
      </c>
      <c r="I206" s="2" t="s">
        <v>5076</v>
      </c>
      <c r="J206" s="2" t="s">
        <v>5077</v>
      </c>
      <c r="K206" s="2" t="s">
        <v>5078</v>
      </c>
    </row>
    <row r="207" spans="1:11" ht="43.5" customHeight="1" x14ac:dyDescent="0.5">
      <c r="A207" s="2" t="s">
        <v>1578</v>
      </c>
      <c r="B207" s="2" t="s">
        <v>3425</v>
      </c>
      <c r="C207" s="2" t="s">
        <v>297</v>
      </c>
      <c r="D207" s="2" t="s">
        <v>6264</v>
      </c>
      <c r="E207" s="2" t="s">
        <v>6265</v>
      </c>
      <c r="F207" s="2" t="s">
        <v>6266</v>
      </c>
      <c r="G207" s="2" t="s">
        <v>6267</v>
      </c>
      <c r="H207" s="2" t="s">
        <v>309</v>
      </c>
      <c r="I207" s="2" t="s">
        <v>5076</v>
      </c>
      <c r="J207" s="2" t="s">
        <v>5077</v>
      </c>
      <c r="K207" s="2" t="s">
        <v>5078</v>
      </c>
    </row>
    <row r="208" spans="1:11" ht="43.5" customHeight="1" x14ac:dyDescent="0.5">
      <c r="A208" s="2" t="s">
        <v>1618</v>
      </c>
      <c r="B208" s="2" t="s">
        <v>3446</v>
      </c>
      <c r="C208" s="2" t="s">
        <v>297</v>
      </c>
      <c r="D208" s="2" t="s">
        <v>6268</v>
      </c>
      <c r="E208" s="2" t="s">
        <v>6269</v>
      </c>
      <c r="F208" s="2" t="s">
        <v>1789</v>
      </c>
      <c r="G208" s="2" t="s">
        <v>6270</v>
      </c>
      <c r="H208" s="2" t="s">
        <v>299</v>
      </c>
      <c r="I208" s="2" t="s">
        <v>5076</v>
      </c>
      <c r="J208" s="2" t="s">
        <v>5077</v>
      </c>
      <c r="K208" s="2" t="s">
        <v>5078</v>
      </c>
    </row>
    <row r="209" spans="1:11" ht="43.5" customHeight="1" x14ac:dyDescent="0.5">
      <c r="A209" s="2" t="s">
        <v>1633</v>
      </c>
      <c r="B209" s="2" t="s">
        <v>3454</v>
      </c>
      <c r="C209" s="2" t="s">
        <v>297</v>
      </c>
      <c r="D209" s="2" t="s">
        <v>6271</v>
      </c>
      <c r="E209" s="2" t="s">
        <v>6272</v>
      </c>
      <c r="F209" s="2" t="s">
        <v>1789</v>
      </c>
      <c r="G209" s="2" t="s">
        <v>6273</v>
      </c>
      <c r="H209" s="2" t="s">
        <v>299</v>
      </c>
      <c r="I209" s="2" t="s">
        <v>5076</v>
      </c>
      <c r="J209" s="2" t="s">
        <v>5077</v>
      </c>
      <c r="K209" s="2" t="s">
        <v>5078</v>
      </c>
    </row>
  </sheetData>
  <autoFilter ref="A1:K209" xr:uid="{00000000-0009-0000-0000-000011000000}"/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1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03125" defaultRowHeight="14.35" x14ac:dyDescent="0.5"/>
  <cols>
    <col min="1" max="1" width="19" customWidth="1"/>
    <col min="2" max="2" width="64" customWidth="1"/>
    <col min="3" max="3" width="48" customWidth="1"/>
    <col min="4" max="4" width="84" customWidth="1"/>
    <col min="5" max="5" width="44" customWidth="1"/>
  </cols>
  <sheetData>
    <row r="1" spans="1:5" ht="30" customHeight="1" x14ac:dyDescent="0.5">
      <c r="A1" s="1" t="s">
        <v>6274</v>
      </c>
      <c r="B1" s="1" t="s">
        <v>6275</v>
      </c>
      <c r="C1" s="1" t="s">
        <v>6276</v>
      </c>
      <c r="D1" s="1" t="s">
        <v>6277</v>
      </c>
      <c r="E1" s="1" t="s">
        <v>6278</v>
      </c>
    </row>
    <row r="2" spans="1:5" ht="33.75" customHeight="1" x14ac:dyDescent="0.5">
      <c r="A2" s="2" t="s">
        <v>6279</v>
      </c>
      <c r="B2" s="2" t="s">
        <v>6280</v>
      </c>
      <c r="C2" s="2" t="s">
        <v>6281</v>
      </c>
      <c r="D2" s="2" t="s">
        <v>6282</v>
      </c>
      <c r="E2" s="2" t="s">
        <v>6283</v>
      </c>
    </row>
    <row r="3" spans="1:5" ht="33.75" customHeight="1" x14ac:dyDescent="0.5">
      <c r="A3" s="2" t="s">
        <v>6284</v>
      </c>
      <c r="B3" s="2" t="s">
        <v>6285</v>
      </c>
      <c r="C3" s="2" t="s">
        <v>6286</v>
      </c>
      <c r="D3" s="2" t="s">
        <v>6287</v>
      </c>
      <c r="E3" s="2" t="s">
        <v>6288</v>
      </c>
    </row>
    <row r="4" spans="1:5" ht="33.75" customHeight="1" x14ac:dyDescent="0.5">
      <c r="A4" s="2" t="s">
        <v>6289</v>
      </c>
      <c r="B4" s="2" t="s">
        <v>6290</v>
      </c>
      <c r="C4" s="2" t="s">
        <v>6286</v>
      </c>
      <c r="D4" s="2" t="s">
        <v>6291</v>
      </c>
      <c r="E4" s="2" t="s">
        <v>6288</v>
      </c>
    </row>
    <row r="5" spans="1:5" ht="33.75" customHeight="1" x14ac:dyDescent="0.5">
      <c r="A5" s="2" t="s">
        <v>6292</v>
      </c>
      <c r="B5" s="2" t="s">
        <v>6293</v>
      </c>
      <c r="C5" s="2" t="s">
        <v>6294</v>
      </c>
      <c r="D5" s="2" t="s">
        <v>6295</v>
      </c>
      <c r="E5" s="2" t="s">
        <v>6296</v>
      </c>
    </row>
    <row r="6" spans="1:5" ht="33.75" customHeight="1" x14ac:dyDescent="0.5">
      <c r="A6" s="2" t="s">
        <v>6297</v>
      </c>
      <c r="B6" s="2" t="s">
        <v>6298</v>
      </c>
      <c r="C6" s="2" t="s">
        <v>6299</v>
      </c>
      <c r="D6" s="2" t="s">
        <v>6300</v>
      </c>
      <c r="E6" s="2" t="s">
        <v>6301</v>
      </c>
    </row>
    <row r="7" spans="1:5" ht="33.75" customHeight="1" x14ac:dyDescent="0.5">
      <c r="A7" s="2" t="s">
        <v>6302</v>
      </c>
      <c r="B7" s="2" t="s">
        <v>6303</v>
      </c>
      <c r="C7" s="2" t="s">
        <v>6304</v>
      </c>
      <c r="D7" s="2" t="s">
        <v>6305</v>
      </c>
      <c r="E7" s="2" t="s">
        <v>6301</v>
      </c>
    </row>
    <row r="8" spans="1:5" ht="33.75" customHeight="1" x14ac:dyDescent="0.5">
      <c r="A8" s="2" t="s">
        <v>6306</v>
      </c>
      <c r="B8" s="2" t="s">
        <v>6307</v>
      </c>
      <c r="C8" s="2" t="s">
        <v>6308</v>
      </c>
      <c r="D8" s="2" t="s">
        <v>6309</v>
      </c>
      <c r="E8" s="2" t="s">
        <v>6310</v>
      </c>
    </row>
    <row r="9" spans="1:5" ht="33.75" customHeight="1" x14ac:dyDescent="0.5">
      <c r="A9" s="2" t="s">
        <v>6311</v>
      </c>
      <c r="B9" s="2" t="s">
        <v>6312</v>
      </c>
      <c r="C9" s="2" t="s">
        <v>6313</v>
      </c>
      <c r="D9" s="2" t="s">
        <v>6314</v>
      </c>
      <c r="E9" s="2" t="s">
        <v>6315</v>
      </c>
    </row>
    <row r="10" spans="1:5" ht="33.75" customHeight="1" x14ac:dyDescent="0.5">
      <c r="A10" s="2" t="s">
        <v>6316</v>
      </c>
      <c r="B10" s="2" t="s">
        <v>6317</v>
      </c>
      <c r="C10" s="2" t="s">
        <v>6318</v>
      </c>
      <c r="D10" s="2" t="s">
        <v>6319</v>
      </c>
      <c r="E10" s="2" t="s">
        <v>6320</v>
      </c>
    </row>
    <row r="11" spans="1:5" ht="33.75" customHeight="1" x14ac:dyDescent="0.5"/>
  </sheetData>
  <autoFilter ref="A1:E11" xr:uid="{00000000-0009-0000-0000-000012000000}"/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54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03125" defaultRowHeight="14.35" x14ac:dyDescent="0.5"/>
  <cols>
    <col min="1" max="1" width="27" customWidth="1"/>
    <col min="2" max="2" width="16" customWidth="1"/>
    <col min="3" max="3" width="15" customWidth="1"/>
    <col min="4" max="4" width="58" customWidth="1"/>
    <col min="5" max="5" width="20" customWidth="1"/>
    <col min="6" max="6" width="75" customWidth="1"/>
    <col min="7" max="7" width="90" customWidth="1"/>
  </cols>
  <sheetData>
    <row r="1" spans="1:7" ht="30" customHeight="1" x14ac:dyDescent="0.5">
      <c r="A1" s="1" t="s">
        <v>6321</v>
      </c>
      <c r="B1" s="1" t="s">
        <v>68</v>
      </c>
      <c r="C1" s="1" t="s">
        <v>6322</v>
      </c>
      <c r="D1" s="1" t="s">
        <v>245</v>
      </c>
      <c r="E1" s="1" t="s">
        <v>6323</v>
      </c>
      <c r="F1" s="1" t="s">
        <v>6324</v>
      </c>
      <c r="G1" s="1" t="s">
        <v>6325</v>
      </c>
    </row>
    <row r="2" spans="1:7" ht="33.75" customHeight="1" x14ac:dyDescent="0.5">
      <c r="A2" s="2" t="s">
        <v>6326</v>
      </c>
      <c r="B2" s="2" t="s">
        <v>75</v>
      </c>
      <c r="C2" s="2" t="s">
        <v>6327</v>
      </c>
      <c r="D2" s="2" t="s">
        <v>6328</v>
      </c>
      <c r="E2" s="2">
        <v>3</v>
      </c>
      <c r="F2" s="2" t="s">
        <v>6329</v>
      </c>
      <c r="G2" s="2" t="s">
        <v>6330</v>
      </c>
    </row>
    <row r="3" spans="1:7" ht="33.75" customHeight="1" x14ac:dyDescent="0.5">
      <c r="A3" s="2" t="s">
        <v>6331</v>
      </c>
      <c r="B3" s="2" t="s">
        <v>75</v>
      </c>
      <c r="C3" s="2" t="s">
        <v>6332</v>
      </c>
      <c r="D3" s="2" t="s">
        <v>6333</v>
      </c>
      <c r="E3" s="2">
        <v>4</v>
      </c>
      <c r="F3" s="2" t="s">
        <v>6334</v>
      </c>
      <c r="G3" s="2" t="s">
        <v>6335</v>
      </c>
    </row>
    <row r="4" spans="1:7" ht="33.75" customHeight="1" x14ac:dyDescent="0.5">
      <c r="A4" s="2" t="s">
        <v>6336</v>
      </c>
      <c r="B4" s="2" t="s">
        <v>75</v>
      </c>
      <c r="C4" s="2" t="s">
        <v>6337</v>
      </c>
      <c r="D4" s="2" t="s">
        <v>6338</v>
      </c>
      <c r="E4" s="2">
        <v>4</v>
      </c>
      <c r="F4" s="2" t="s">
        <v>6339</v>
      </c>
      <c r="G4" s="2" t="s">
        <v>6340</v>
      </c>
    </row>
    <row r="5" spans="1:7" ht="33.75" customHeight="1" x14ac:dyDescent="0.5">
      <c r="A5" s="2" t="s">
        <v>6341</v>
      </c>
      <c r="B5" s="2" t="s">
        <v>81</v>
      </c>
      <c r="C5" s="2" t="s">
        <v>6327</v>
      </c>
      <c r="D5" s="2" t="s">
        <v>6328</v>
      </c>
      <c r="E5" s="2">
        <v>3</v>
      </c>
      <c r="F5" s="2" t="s">
        <v>6342</v>
      </c>
      <c r="G5" s="2" t="s">
        <v>6343</v>
      </c>
    </row>
    <row r="6" spans="1:7" ht="33.75" customHeight="1" x14ac:dyDescent="0.5">
      <c r="A6" s="2" t="s">
        <v>6344</v>
      </c>
      <c r="B6" s="2" t="s">
        <v>81</v>
      </c>
      <c r="C6" s="2" t="s">
        <v>6332</v>
      </c>
      <c r="D6" s="2" t="s">
        <v>6333</v>
      </c>
      <c r="E6" s="2">
        <v>4</v>
      </c>
      <c r="F6" s="2" t="s">
        <v>6345</v>
      </c>
      <c r="G6" s="2" t="s">
        <v>6346</v>
      </c>
    </row>
    <row r="7" spans="1:7" ht="33.75" customHeight="1" x14ac:dyDescent="0.5">
      <c r="A7" s="2" t="s">
        <v>6347</v>
      </c>
      <c r="B7" s="2" t="s">
        <v>81</v>
      </c>
      <c r="C7" s="2" t="s">
        <v>6348</v>
      </c>
      <c r="D7" s="2" t="s">
        <v>6349</v>
      </c>
      <c r="E7" s="2">
        <v>4</v>
      </c>
      <c r="F7" s="2" t="s">
        <v>6350</v>
      </c>
      <c r="G7" s="2" t="s">
        <v>6351</v>
      </c>
    </row>
    <row r="8" spans="1:7" ht="33.75" customHeight="1" x14ac:dyDescent="0.5">
      <c r="A8" s="2" t="s">
        <v>6352</v>
      </c>
      <c r="B8" s="2" t="s">
        <v>84</v>
      </c>
      <c r="C8" s="2" t="s">
        <v>6353</v>
      </c>
      <c r="D8" s="2" t="s">
        <v>6354</v>
      </c>
      <c r="E8" s="2">
        <v>3</v>
      </c>
      <c r="F8" s="2" t="s">
        <v>6355</v>
      </c>
      <c r="G8" s="2" t="s">
        <v>6356</v>
      </c>
    </row>
    <row r="9" spans="1:7" ht="33.75" customHeight="1" x14ac:dyDescent="0.5">
      <c r="A9" s="2" t="s">
        <v>6357</v>
      </c>
      <c r="B9" s="2" t="s">
        <v>88</v>
      </c>
      <c r="C9" s="2" t="s">
        <v>6358</v>
      </c>
      <c r="D9" s="2" t="s">
        <v>6359</v>
      </c>
      <c r="E9" s="2">
        <v>4</v>
      </c>
      <c r="F9" s="2" t="s">
        <v>6360</v>
      </c>
      <c r="G9" s="2" t="s">
        <v>6361</v>
      </c>
    </row>
    <row r="10" spans="1:7" ht="33.75" customHeight="1" x14ac:dyDescent="0.5">
      <c r="A10" s="2" t="s">
        <v>6362</v>
      </c>
      <c r="B10" s="2" t="s">
        <v>88</v>
      </c>
      <c r="C10" s="2" t="s">
        <v>6348</v>
      </c>
      <c r="D10" s="2" t="s">
        <v>6363</v>
      </c>
      <c r="E10" s="2">
        <v>4</v>
      </c>
      <c r="F10" s="2" t="s">
        <v>6364</v>
      </c>
      <c r="G10" s="2" t="s">
        <v>6365</v>
      </c>
    </row>
    <row r="11" spans="1:7" ht="33.75" customHeight="1" x14ac:dyDescent="0.5">
      <c r="A11" s="2" t="s">
        <v>6366</v>
      </c>
      <c r="B11" s="2" t="s">
        <v>88</v>
      </c>
      <c r="C11" s="2" t="s">
        <v>6367</v>
      </c>
      <c r="D11" s="2" t="s">
        <v>6368</v>
      </c>
      <c r="E11" s="2">
        <v>3</v>
      </c>
      <c r="F11" s="2" t="s">
        <v>6369</v>
      </c>
      <c r="G11" s="2" t="s">
        <v>6370</v>
      </c>
    </row>
    <row r="12" spans="1:7" ht="33.75" customHeight="1" x14ac:dyDescent="0.5">
      <c r="A12" s="2" t="s">
        <v>6371</v>
      </c>
      <c r="B12" s="2" t="s">
        <v>90</v>
      </c>
      <c r="C12" s="2" t="s">
        <v>6358</v>
      </c>
      <c r="D12" s="2" t="s">
        <v>6372</v>
      </c>
      <c r="E12" s="2">
        <v>4</v>
      </c>
      <c r="F12" s="2" t="s">
        <v>6373</v>
      </c>
      <c r="G12" s="2" t="s">
        <v>6374</v>
      </c>
    </row>
    <row r="13" spans="1:7" ht="33.75" customHeight="1" x14ac:dyDescent="0.5">
      <c r="A13" s="2" t="s">
        <v>6375</v>
      </c>
      <c r="B13" s="2" t="s">
        <v>90</v>
      </c>
      <c r="C13" s="2" t="s">
        <v>6337</v>
      </c>
      <c r="D13" s="2" t="s">
        <v>6376</v>
      </c>
      <c r="E13" s="2">
        <v>4</v>
      </c>
      <c r="F13" s="2" t="s">
        <v>6377</v>
      </c>
      <c r="G13" s="2" t="s">
        <v>6378</v>
      </c>
    </row>
    <row r="14" spans="1:7" ht="33.75" customHeight="1" x14ac:dyDescent="0.5">
      <c r="A14" s="2" t="s">
        <v>6379</v>
      </c>
      <c r="B14" s="2" t="s">
        <v>90</v>
      </c>
      <c r="C14" s="2" t="s">
        <v>6348</v>
      </c>
      <c r="D14" s="2" t="s">
        <v>6380</v>
      </c>
      <c r="E14" s="2">
        <v>4</v>
      </c>
      <c r="F14" s="2" t="s">
        <v>6381</v>
      </c>
      <c r="G14" s="2" t="s">
        <v>6382</v>
      </c>
    </row>
    <row r="15" spans="1:7" ht="33.75" customHeight="1" x14ac:dyDescent="0.5">
      <c r="A15" s="2" t="s">
        <v>6383</v>
      </c>
      <c r="B15" s="2" t="s">
        <v>90</v>
      </c>
      <c r="C15" s="2" t="s">
        <v>6384</v>
      </c>
      <c r="D15" s="2" t="s">
        <v>6385</v>
      </c>
      <c r="E15" s="2">
        <v>4</v>
      </c>
      <c r="F15" s="2" t="s">
        <v>6386</v>
      </c>
      <c r="G15" s="2" t="s">
        <v>6387</v>
      </c>
    </row>
    <row r="16" spans="1:7" ht="33.75" customHeight="1" x14ac:dyDescent="0.5">
      <c r="A16" s="2" t="s">
        <v>6388</v>
      </c>
      <c r="B16" s="2" t="s">
        <v>90</v>
      </c>
      <c r="C16" s="2" t="s">
        <v>6389</v>
      </c>
      <c r="D16" s="2" t="s">
        <v>6368</v>
      </c>
      <c r="E16" s="2">
        <v>3</v>
      </c>
      <c r="F16" s="2" t="s">
        <v>6390</v>
      </c>
      <c r="G16" s="2" t="s">
        <v>6391</v>
      </c>
    </row>
    <row r="17" spans="1:7" ht="33.75" customHeight="1" x14ac:dyDescent="0.5">
      <c r="A17" s="2" t="s">
        <v>6392</v>
      </c>
      <c r="B17" s="2" t="s">
        <v>93</v>
      </c>
      <c r="C17" s="2" t="s">
        <v>6358</v>
      </c>
      <c r="D17" s="2" t="s">
        <v>6372</v>
      </c>
      <c r="E17" s="2">
        <v>4</v>
      </c>
      <c r="F17" s="2" t="s">
        <v>6393</v>
      </c>
      <c r="G17" s="2" t="s">
        <v>6394</v>
      </c>
    </row>
    <row r="18" spans="1:7" ht="33.75" customHeight="1" x14ac:dyDescent="0.5">
      <c r="A18" s="2" t="s">
        <v>6395</v>
      </c>
      <c r="B18" s="2" t="s">
        <v>93</v>
      </c>
      <c r="C18" s="2" t="s">
        <v>6337</v>
      </c>
      <c r="D18" s="2" t="s">
        <v>6376</v>
      </c>
      <c r="E18" s="2">
        <v>4</v>
      </c>
      <c r="F18" s="2" t="s">
        <v>6396</v>
      </c>
      <c r="G18" s="2" t="s">
        <v>6397</v>
      </c>
    </row>
    <row r="19" spans="1:7" ht="33.75" customHeight="1" x14ac:dyDescent="0.5">
      <c r="A19" s="2" t="s">
        <v>6398</v>
      </c>
      <c r="B19" s="2" t="s">
        <v>93</v>
      </c>
      <c r="C19" s="2" t="s">
        <v>6348</v>
      </c>
      <c r="D19" s="2" t="s">
        <v>6380</v>
      </c>
      <c r="E19" s="2">
        <v>4</v>
      </c>
      <c r="F19" s="2" t="s">
        <v>6399</v>
      </c>
      <c r="G19" s="2" t="s">
        <v>6400</v>
      </c>
    </row>
    <row r="20" spans="1:7" ht="33.75" customHeight="1" x14ac:dyDescent="0.5">
      <c r="A20" s="2" t="s">
        <v>6401</v>
      </c>
      <c r="B20" s="2" t="s">
        <v>93</v>
      </c>
      <c r="C20" s="2" t="s">
        <v>6384</v>
      </c>
      <c r="D20" s="2" t="s">
        <v>6385</v>
      </c>
      <c r="E20" s="2">
        <v>4</v>
      </c>
      <c r="F20" s="2" t="s">
        <v>6402</v>
      </c>
      <c r="G20" s="2" t="s">
        <v>6403</v>
      </c>
    </row>
    <row r="21" spans="1:7" ht="33.75" customHeight="1" x14ac:dyDescent="0.5">
      <c r="A21" s="2" t="s">
        <v>6404</v>
      </c>
      <c r="B21" s="2" t="s">
        <v>96</v>
      </c>
      <c r="C21" s="2" t="s">
        <v>6358</v>
      </c>
      <c r="D21" s="2" t="s">
        <v>6405</v>
      </c>
      <c r="E21" s="2">
        <v>4</v>
      </c>
      <c r="F21" s="2" t="s">
        <v>6406</v>
      </c>
      <c r="G21" s="2" t="s">
        <v>6407</v>
      </c>
    </row>
    <row r="22" spans="1:7" ht="33.75" customHeight="1" x14ac:dyDescent="0.5">
      <c r="A22" s="2" t="s">
        <v>6408</v>
      </c>
      <c r="B22" s="2" t="s">
        <v>96</v>
      </c>
      <c r="C22" s="2" t="s">
        <v>6337</v>
      </c>
      <c r="D22" s="2" t="s">
        <v>6409</v>
      </c>
      <c r="E22" s="2">
        <v>4</v>
      </c>
      <c r="F22" s="2" t="s">
        <v>6410</v>
      </c>
      <c r="G22" s="2" t="s">
        <v>6411</v>
      </c>
    </row>
    <row r="23" spans="1:7" ht="33.75" customHeight="1" x14ac:dyDescent="0.5">
      <c r="A23" s="2" t="s">
        <v>6412</v>
      </c>
      <c r="B23" s="2" t="s">
        <v>96</v>
      </c>
      <c r="C23" s="2" t="s">
        <v>6384</v>
      </c>
      <c r="D23" s="2" t="s">
        <v>6368</v>
      </c>
      <c r="E23" s="2">
        <v>3</v>
      </c>
      <c r="F23" s="2" t="s">
        <v>6413</v>
      </c>
      <c r="G23" s="2" t="s">
        <v>6414</v>
      </c>
    </row>
    <row r="24" spans="1:7" ht="33.75" customHeight="1" x14ac:dyDescent="0.5">
      <c r="A24" s="2" t="s">
        <v>6415</v>
      </c>
      <c r="B24" s="2" t="s">
        <v>99</v>
      </c>
      <c r="C24" s="2" t="s">
        <v>6358</v>
      </c>
      <c r="D24" s="2" t="s">
        <v>6416</v>
      </c>
      <c r="E24" s="2">
        <v>4</v>
      </c>
      <c r="F24" s="2" t="s">
        <v>6417</v>
      </c>
      <c r="G24" s="2" t="s">
        <v>6418</v>
      </c>
    </row>
    <row r="25" spans="1:7" ht="33.75" customHeight="1" x14ac:dyDescent="0.5">
      <c r="A25" s="2" t="s">
        <v>6419</v>
      </c>
      <c r="B25" s="2" t="s">
        <v>102</v>
      </c>
      <c r="C25" s="2" t="s">
        <v>6358</v>
      </c>
      <c r="D25" s="2" t="s">
        <v>6420</v>
      </c>
      <c r="E25" s="2">
        <v>4</v>
      </c>
      <c r="F25" s="2" t="s">
        <v>6421</v>
      </c>
      <c r="G25" s="2" t="s">
        <v>6422</v>
      </c>
    </row>
    <row r="26" spans="1:7" ht="33.75" customHeight="1" x14ac:dyDescent="0.5">
      <c r="A26" s="2" t="s">
        <v>6423</v>
      </c>
      <c r="B26" s="2" t="s">
        <v>105</v>
      </c>
      <c r="C26" s="2" t="s">
        <v>6337</v>
      </c>
      <c r="D26" s="2" t="s">
        <v>6424</v>
      </c>
      <c r="E26" s="2">
        <v>3</v>
      </c>
      <c r="F26" s="2" t="s">
        <v>6425</v>
      </c>
      <c r="G26" s="2" t="s">
        <v>6426</v>
      </c>
    </row>
    <row r="27" spans="1:7" ht="33.75" customHeight="1" x14ac:dyDescent="0.5">
      <c r="A27" s="2" t="s">
        <v>6427</v>
      </c>
      <c r="B27" s="2" t="s">
        <v>105</v>
      </c>
      <c r="C27" s="2" t="s">
        <v>6428</v>
      </c>
      <c r="D27" s="2" t="s">
        <v>6429</v>
      </c>
      <c r="E27" s="2">
        <v>3</v>
      </c>
      <c r="F27" s="2" t="s">
        <v>6430</v>
      </c>
      <c r="G27" s="2" t="s">
        <v>6431</v>
      </c>
    </row>
    <row r="28" spans="1:7" ht="33.75" customHeight="1" x14ac:dyDescent="0.5">
      <c r="A28" s="2" t="s">
        <v>6432</v>
      </c>
      <c r="B28" s="2" t="s">
        <v>105</v>
      </c>
      <c r="C28" s="2" t="s">
        <v>6367</v>
      </c>
      <c r="D28" s="2" t="s">
        <v>6433</v>
      </c>
      <c r="E28" s="2">
        <v>3</v>
      </c>
      <c r="F28" s="2" t="s">
        <v>6434</v>
      </c>
      <c r="G28" s="2" t="s">
        <v>6435</v>
      </c>
    </row>
    <row r="29" spans="1:7" ht="33.75" customHeight="1" x14ac:dyDescent="0.5">
      <c r="A29" s="2" t="s">
        <v>6436</v>
      </c>
      <c r="B29" s="2" t="s">
        <v>105</v>
      </c>
      <c r="C29" s="2" t="s">
        <v>6437</v>
      </c>
      <c r="D29" s="2" t="s">
        <v>6438</v>
      </c>
      <c r="E29" s="2">
        <v>3</v>
      </c>
      <c r="F29" s="2" t="s">
        <v>6439</v>
      </c>
      <c r="G29" s="2" t="s">
        <v>6440</v>
      </c>
    </row>
    <row r="30" spans="1:7" ht="33.75" customHeight="1" x14ac:dyDescent="0.5">
      <c r="A30" s="2" t="s">
        <v>6441</v>
      </c>
      <c r="B30" s="2" t="s">
        <v>108</v>
      </c>
      <c r="C30" s="2" t="s">
        <v>6337</v>
      </c>
      <c r="D30" s="2" t="s">
        <v>6424</v>
      </c>
      <c r="E30" s="2">
        <v>3</v>
      </c>
      <c r="F30" s="2" t="s">
        <v>6442</v>
      </c>
      <c r="G30" s="2" t="s">
        <v>6443</v>
      </c>
    </row>
    <row r="31" spans="1:7" ht="33.75" customHeight="1" x14ac:dyDescent="0.5">
      <c r="A31" s="2" t="s">
        <v>6444</v>
      </c>
      <c r="B31" s="2" t="s">
        <v>108</v>
      </c>
      <c r="C31" s="2" t="s">
        <v>6428</v>
      </c>
      <c r="D31" s="2" t="s">
        <v>6429</v>
      </c>
      <c r="E31" s="2">
        <v>3</v>
      </c>
      <c r="F31" s="2" t="s">
        <v>6445</v>
      </c>
      <c r="G31" s="2" t="s">
        <v>6446</v>
      </c>
    </row>
    <row r="32" spans="1:7" ht="33.75" customHeight="1" x14ac:dyDescent="0.5">
      <c r="A32" s="2" t="s">
        <v>6447</v>
      </c>
      <c r="B32" s="2" t="s">
        <v>108</v>
      </c>
      <c r="C32" s="2" t="s">
        <v>6448</v>
      </c>
      <c r="D32" s="2" t="s">
        <v>6449</v>
      </c>
      <c r="E32" s="2">
        <v>3</v>
      </c>
      <c r="F32" s="2" t="s">
        <v>6450</v>
      </c>
      <c r="G32" s="2" t="s">
        <v>6451</v>
      </c>
    </row>
    <row r="33" spans="1:7" ht="33.75" customHeight="1" x14ac:dyDescent="0.5">
      <c r="A33" s="2" t="s">
        <v>6452</v>
      </c>
      <c r="B33" s="2" t="s">
        <v>108</v>
      </c>
      <c r="C33" s="2" t="s">
        <v>6367</v>
      </c>
      <c r="D33" s="2" t="s">
        <v>6453</v>
      </c>
      <c r="E33" s="2">
        <v>3</v>
      </c>
      <c r="F33" s="2" t="s">
        <v>6454</v>
      </c>
      <c r="G33" s="2" t="s">
        <v>6455</v>
      </c>
    </row>
    <row r="34" spans="1:7" ht="33.75" customHeight="1" x14ac:dyDescent="0.5">
      <c r="A34" s="2" t="s">
        <v>6456</v>
      </c>
      <c r="B34" s="2" t="s">
        <v>108</v>
      </c>
      <c r="C34" s="2" t="s">
        <v>6437</v>
      </c>
      <c r="D34" s="2" t="s">
        <v>6433</v>
      </c>
      <c r="E34" s="2">
        <v>3</v>
      </c>
      <c r="F34" s="2" t="s">
        <v>6457</v>
      </c>
      <c r="G34" s="2" t="s">
        <v>6458</v>
      </c>
    </row>
    <row r="35" spans="1:7" ht="33.75" customHeight="1" x14ac:dyDescent="0.5">
      <c r="A35" s="2" t="s">
        <v>6459</v>
      </c>
      <c r="B35" s="2" t="s">
        <v>108</v>
      </c>
      <c r="C35" s="2" t="s">
        <v>6460</v>
      </c>
      <c r="D35" s="2" t="s">
        <v>6438</v>
      </c>
      <c r="E35" s="2">
        <v>3</v>
      </c>
      <c r="F35" s="2" t="s">
        <v>6461</v>
      </c>
      <c r="G35" s="2" t="s">
        <v>6462</v>
      </c>
    </row>
    <row r="36" spans="1:7" ht="33.75" customHeight="1" x14ac:dyDescent="0.5">
      <c r="A36" s="2" t="s">
        <v>6463</v>
      </c>
      <c r="B36" s="2" t="s">
        <v>111</v>
      </c>
      <c r="C36" s="2" t="s">
        <v>6358</v>
      </c>
      <c r="D36" s="2" t="s">
        <v>6464</v>
      </c>
      <c r="E36" s="2">
        <v>3</v>
      </c>
      <c r="F36" s="2" t="s">
        <v>6465</v>
      </c>
      <c r="G36" s="2" t="s">
        <v>6466</v>
      </c>
    </row>
    <row r="37" spans="1:7" ht="33.75" customHeight="1" x14ac:dyDescent="0.5">
      <c r="A37" s="2" t="s">
        <v>6467</v>
      </c>
      <c r="B37" s="2" t="s">
        <v>111</v>
      </c>
      <c r="C37" s="2" t="s">
        <v>6348</v>
      </c>
      <c r="D37" s="2" t="s">
        <v>6468</v>
      </c>
      <c r="E37" s="2">
        <v>3</v>
      </c>
      <c r="F37" s="2" t="s">
        <v>6469</v>
      </c>
      <c r="G37" s="2" t="s">
        <v>6470</v>
      </c>
    </row>
    <row r="38" spans="1:7" ht="33.75" customHeight="1" x14ac:dyDescent="0.5">
      <c r="A38" s="2" t="s">
        <v>6471</v>
      </c>
      <c r="B38" s="2" t="s">
        <v>114</v>
      </c>
      <c r="C38" s="2" t="s">
        <v>6367</v>
      </c>
      <c r="D38" s="2" t="s">
        <v>6472</v>
      </c>
      <c r="E38" s="2">
        <v>3</v>
      </c>
      <c r="F38" s="2" t="s">
        <v>6473</v>
      </c>
      <c r="G38" s="2" t="s">
        <v>6474</v>
      </c>
    </row>
    <row r="39" spans="1:7" ht="33.75" customHeight="1" x14ac:dyDescent="0.5">
      <c r="A39" s="2" t="s">
        <v>6475</v>
      </c>
      <c r="B39" s="2" t="s">
        <v>114</v>
      </c>
      <c r="C39" s="2" t="s">
        <v>6437</v>
      </c>
      <c r="D39" s="2" t="s">
        <v>6476</v>
      </c>
      <c r="E39" s="2">
        <v>3</v>
      </c>
      <c r="F39" s="2" t="s">
        <v>6477</v>
      </c>
      <c r="G39" s="2" t="s">
        <v>6478</v>
      </c>
    </row>
    <row r="40" spans="1:7" ht="33.75" customHeight="1" x14ac:dyDescent="0.5">
      <c r="A40" s="2" t="s">
        <v>6479</v>
      </c>
      <c r="B40" s="2" t="s">
        <v>117</v>
      </c>
      <c r="C40" s="2" t="s">
        <v>6480</v>
      </c>
      <c r="D40" s="2" t="s">
        <v>6481</v>
      </c>
      <c r="E40" s="2">
        <v>3</v>
      </c>
      <c r="F40" s="2" t="s">
        <v>6482</v>
      </c>
      <c r="G40" s="2" t="s">
        <v>6483</v>
      </c>
    </row>
    <row r="41" spans="1:7" ht="33.75" customHeight="1" x14ac:dyDescent="0.5">
      <c r="A41" s="2" t="s">
        <v>6484</v>
      </c>
      <c r="B41" s="2" t="s">
        <v>117</v>
      </c>
      <c r="C41" s="2" t="s">
        <v>6448</v>
      </c>
      <c r="D41" s="2" t="s">
        <v>6485</v>
      </c>
      <c r="E41" s="2">
        <v>3</v>
      </c>
      <c r="F41" s="2" t="s">
        <v>6486</v>
      </c>
      <c r="G41" s="2" t="s">
        <v>6487</v>
      </c>
    </row>
    <row r="42" spans="1:7" ht="33.75" customHeight="1" x14ac:dyDescent="0.5">
      <c r="A42" s="2" t="s">
        <v>6488</v>
      </c>
      <c r="B42" s="2" t="s">
        <v>117</v>
      </c>
      <c r="C42" s="2" t="s">
        <v>6367</v>
      </c>
      <c r="D42" s="2" t="s">
        <v>6472</v>
      </c>
      <c r="E42" s="2">
        <v>3</v>
      </c>
      <c r="F42" s="2" t="s">
        <v>6489</v>
      </c>
      <c r="G42" s="2" t="s">
        <v>6490</v>
      </c>
    </row>
    <row r="43" spans="1:7" ht="33.75" customHeight="1" x14ac:dyDescent="0.5">
      <c r="A43" s="2" t="s">
        <v>6491</v>
      </c>
      <c r="B43" s="2" t="s">
        <v>117</v>
      </c>
      <c r="C43" s="2" t="s">
        <v>6437</v>
      </c>
      <c r="D43" s="2" t="s">
        <v>6476</v>
      </c>
      <c r="E43" s="2">
        <v>3</v>
      </c>
      <c r="F43" s="2" t="s">
        <v>6492</v>
      </c>
      <c r="G43" s="2" t="s">
        <v>6493</v>
      </c>
    </row>
    <row r="44" spans="1:7" ht="33.75" customHeight="1" x14ac:dyDescent="0.5">
      <c r="A44" s="2" t="s">
        <v>6494</v>
      </c>
      <c r="B44" s="2" t="s">
        <v>121</v>
      </c>
      <c r="C44" s="2" t="s">
        <v>6495</v>
      </c>
      <c r="D44" s="2" t="s">
        <v>6496</v>
      </c>
      <c r="E44" s="2">
        <v>4</v>
      </c>
      <c r="F44" s="2" t="s">
        <v>6497</v>
      </c>
      <c r="G44" s="2" t="s">
        <v>6498</v>
      </c>
    </row>
    <row r="45" spans="1:7" ht="33.75" customHeight="1" x14ac:dyDescent="0.5">
      <c r="A45" s="2" t="s">
        <v>6499</v>
      </c>
      <c r="B45" s="2" t="s">
        <v>126</v>
      </c>
      <c r="C45" s="2" t="s">
        <v>6495</v>
      </c>
      <c r="D45" s="2" t="s">
        <v>6496</v>
      </c>
      <c r="E45" s="2">
        <v>1</v>
      </c>
      <c r="F45" s="2" t="s">
        <v>6500</v>
      </c>
      <c r="G45" s="2" t="s">
        <v>6501</v>
      </c>
    </row>
    <row r="46" spans="1:7" ht="33.75" customHeight="1" x14ac:dyDescent="0.5">
      <c r="A46" s="2" t="s">
        <v>6502</v>
      </c>
      <c r="B46" s="2" t="s">
        <v>129</v>
      </c>
      <c r="C46" s="2" t="s">
        <v>6495</v>
      </c>
      <c r="D46" s="2" t="s">
        <v>6496</v>
      </c>
      <c r="E46" s="2">
        <v>1</v>
      </c>
      <c r="F46" s="2" t="s">
        <v>6503</v>
      </c>
      <c r="G46" s="2" t="s">
        <v>6504</v>
      </c>
    </row>
    <row r="47" spans="1:7" ht="33.75" customHeight="1" x14ac:dyDescent="0.5">
      <c r="A47" s="2" t="s">
        <v>6505</v>
      </c>
      <c r="B47" s="2" t="s">
        <v>131</v>
      </c>
      <c r="C47" s="2" t="s">
        <v>6495</v>
      </c>
      <c r="D47" s="2" t="s">
        <v>6496</v>
      </c>
      <c r="E47" s="2">
        <v>2</v>
      </c>
      <c r="F47" s="2" t="s">
        <v>6506</v>
      </c>
      <c r="G47" s="2" t="s">
        <v>6507</v>
      </c>
    </row>
    <row r="48" spans="1:7" ht="33.75" customHeight="1" x14ac:dyDescent="0.5">
      <c r="A48" s="2" t="s">
        <v>6508</v>
      </c>
      <c r="B48" s="2" t="s">
        <v>135</v>
      </c>
      <c r="C48" s="2" t="s">
        <v>6495</v>
      </c>
      <c r="D48" s="2" t="s">
        <v>6496</v>
      </c>
      <c r="E48" s="2">
        <v>1</v>
      </c>
      <c r="F48" s="2" t="s">
        <v>6509</v>
      </c>
      <c r="G48" s="2" t="s">
        <v>6510</v>
      </c>
    </row>
    <row r="49" spans="1:7" ht="33.75" customHeight="1" x14ac:dyDescent="0.5">
      <c r="A49" s="2" t="s">
        <v>6511</v>
      </c>
      <c r="B49" s="2" t="s">
        <v>137</v>
      </c>
      <c r="C49" s="2" t="s">
        <v>6495</v>
      </c>
      <c r="D49" s="2" t="s">
        <v>6496</v>
      </c>
      <c r="E49" s="2">
        <v>2</v>
      </c>
      <c r="F49" s="2" t="s">
        <v>6512</v>
      </c>
      <c r="G49" s="2" t="s">
        <v>6513</v>
      </c>
    </row>
    <row r="50" spans="1:7" ht="33.75" customHeight="1" x14ac:dyDescent="0.5">
      <c r="A50" s="2" t="s">
        <v>6514</v>
      </c>
      <c r="B50" s="2" t="s">
        <v>140</v>
      </c>
      <c r="C50" s="2" t="s">
        <v>6495</v>
      </c>
      <c r="D50" s="2" t="s">
        <v>6496</v>
      </c>
      <c r="E50" s="2">
        <v>3</v>
      </c>
      <c r="F50" s="2" t="s">
        <v>6515</v>
      </c>
      <c r="G50" s="2" t="s">
        <v>6516</v>
      </c>
    </row>
    <row r="51" spans="1:7" ht="33.75" customHeight="1" x14ac:dyDescent="0.5">
      <c r="A51" s="2" t="s">
        <v>6517</v>
      </c>
      <c r="B51" s="2" t="s">
        <v>142</v>
      </c>
      <c r="C51" s="2" t="s">
        <v>6495</v>
      </c>
      <c r="D51" s="2" t="s">
        <v>6496</v>
      </c>
      <c r="E51" s="2">
        <v>2</v>
      </c>
      <c r="F51" s="2" t="s">
        <v>6518</v>
      </c>
      <c r="G51" s="2" t="s">
        <v>6519</v>
      </c>
    </row>
    <row r="52" spans="1:7" ht="33.75" customHeight="1" x14ac:dyDescent="0.5">
      <c r="A52" s="2" t="s">
        <v>6520</v>
      </c>
      <c r="B52" s="2" t="s">
        <v>144</v>
      </c>
      <c r="C52" s="2" t="s">
        <v>6495</v>
      </c>
      <c r="D52" s="2" t="s">
        <v>6496</v>
      </c>
      <c r="E52" s="2">
        <v>2</v>
      </c>
      <c r="F52" s="2" t="s">
        <v>6521</v>
      </c>
      <c r="G52" s="2" t="s">
        <v>6522</v>
      </c>
    </row>
    <row r="53" spans="1:7" ht="33.75" customHeight="1" x14ac:dyDescent="0.5">
      <c r="A53" s="2" t="s">
        <v>6523</v>
      </c>
      <c r="B53" s="2" t="s">
        <v>147</v>
      </c>
      <c r="C53" s="2" t="s">
        <v>6495</v>
      </c>
      <c r="D53" s="2" t="s">
        <v>6496</v>
      </c>
      <c r="E53" s="2">
        <v>1</v>
      </c>
      <c r="F53" s="2" t="s">
        <v>6524</v>
      </c>
      <c r="G53" s="2" t="s">
        <v>6525</v>
      </c>
    </row>
    <row r="54" spans="1:7" ht="33.75" customHeight="1" x14ac:dyDescent="0.5">
      <c r="A54" s="2" t="s">
        <v>6526</v>
      </c>
      <c r="B54" s="2" t="s">
        <v>149</v>
      </c>
      <c r="C54" s="2" t="s">
        <v>6495</v>
      </c>
      <c r="D54" s="2" t="s">
        <v>6496</v>
      </c>
      <c r="E54" s="2">
        <v>1</v>
      </c>
      <c r="F54" s="2" t="s">
        <v>6527</v>
      </c>
      <c r="G54" s="2" t="s">
        <v>6528</v>
      </c>
    </row>
  </sheetData>
  <autoFilter ref="A1:G54" xr:uid="{00000000-0009-0000-0000-000013000000}"/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165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03125" defaultRowHeight="14.35" x14ac:dyDescent="0.5"/>
  <cols>
    <col min="1" max="1" width="14" customWidth="1"/>
    <col min="2" max="2" width="12" customWidth="1"/>
    <col min="3" max="3" width="48" customWidth="1"/>
    <col min="4" max="4" width="11" customWidth="1"/>
    <col min="5" max="5" width="16" customWidth="1"/>
    <col min="6" max="6" width="26" customWidth="1"/>
    <col min="7" max="7" width="22" customWidth="1"/>
    <col min="8" max="8" width="26" customWidth="1"/>
    <col min="9" max="9" width="68" customWidth="1"/>
    <col min="10" max="10" width="12" customWidth="1"/>
    <col min="11" max="11" width="70" customWidth="1"/>
    <col min="12" max="12" width="28" customWidth="1"/>
    <col min="13" max="13" width="33" customWidth="1"/>
    <col min="14" max="14" width="24" customWidth="1"/>
    <col min="15" max="15" width="38" customWidth="1"/>
  </cols>
  <sheetData>
    <row r="1" spans="1:15" ht="30" customHeight="1" x14ac:dyDescent="0.5">
      <c r="A1" s="1" t="s">
        <v>68</v>
      </c>
      <c r="B1" s="1" t="s">
        <v>6322</v>
      </c>
      <c r="C1" s="1" t="s">
        <v>245</v>
      </c>
      <c r="D1" s="1" t="s">
        <v>6529</v>
      </c>
      <c r="E1" s="1" t="s">
        <v>6530</v>
      </c>
      <c r="F1" s="1" t="s">
        <v>6531</v>
      </c>
      <c r="G1" s="1" t="s">
        <v>6532</v>
      </c>
      <c r="H1" s="1" t="s">
        <v>6533</v>
      </c>
      <c r="I1" s="1" t="s">
        <v>6534</v>
      </c>
      <c r="J1" s="1" t="s">
        <v>6535</v>
      </c>
      <c r="K1" s="1" t="s">
        <v>6325</v>
      </c>
      <c r="L1" s="1" t="s">
        <v>6536</v>
      </c>
      <c r="M1" s="1" t="s">
        <v>6537</v>
      </c>
      <c r="N1" s="1" t="s">
        <v>6538</v>
      </c>
      <c r="O1" s="1" t="s">
        <v>6539</v>
      </c>
    </row>
    <row r="2" spans="1:15" ht="43.5" customHeight="1" x14ac:dyDescent="0.5">
      <c r="A2" s="2" t="s">
        <v>75</v>
      </c>
      <c r="B2" s="2" t="s">
        <v>6327</v>
      </c>
      <c r="C2" s="2" t="s">
        <v>6328</v>
      </c>
      <c r="D2" s="2" t="s">
        <v>153</v>
      </c>
      <c r="E2" s="2" t="s">
        <v>6540</v>
      </c>
      <c r="F2" s="2" t="s">
        <v>6541</v>
      </c>
      <c r="G2" s="2" t="s">
        <v>6542</v>
      </c>
      <c r="H2" s="2" t="s">
        <v>6543</v>
      </c>
      <c r="I2" s="2" t="s">
        <v>1365</v>
      </c>
      <c r="J2" s="2" t="s">
        <v>307</v>
      </c>
      <c r="K2" s="2" t="s">
        <v>6544</v>
      </c>
      <c r="L2" s="2" t="s">
        <v>6545</v>
      </c>
      <c r="M2" s="2" t="s">
        <v>6546</v>
      </c>
      <c r="N2" s="2" t="s">
        <v>6547</v>
      </c>
      <c r="O2" s="2" t="s">
        <v>6548</v>
      </c>
    </row>
    <row r="3" spans="1:15" ht="43.5" customHeight="1" x14ac:dyDescent="0.5">
      <c r="A3" s="2" t="s">
        <v>75</v>
      </c>
      <c r="B3" s="2" t="s">
        <v>6327</v>
      </c>
      <c r="C3" s="2" t="s">
        <v>6328</v>
      </c>
      <c r="D3" s="2" t="s">
        <v>6549</v>
      </c>
      <c r="E3" s="2" t="s">
        <v>6540</v>
      </c>
      <c r="F3" s="2" t="s">
        <v>3472</v>
      </c>
      <c r="G3" s="2" t="s">
        <v>6542</v>
      </c>
      <c r="H3" s="2" t="s">
        <v>6543</v>
      </c>
      <c r="I3" s="2" t="s">
        <v>1427</v>
      </c>
      <c r="J3" s="2" t="s">
        <v>307</v>
      </c>
      <c r="K3" s="2" t="s">
        <v>6550</v>
      </c>
      <c r="L3" s="2" t="s">
        <v>6551</v>
      </c>
      <c r="M3" s="2" t="s">
        <v>6546</v>
      </c>
      <c r="N3" s="2" t="s">
        <v>6547</v>
      </c>
      <c r="O3" s="2" t="s">
        <v>6548</v>
      </c>
    </row>
    <row r="4" spans="1:15" ht="43.5" customHeight="1" x14ac:dyDescent="0.5">
      <c r="A4" s="2" t="s">
        <v>75</v>
      </c>
      <c r="B4" s="2" t="s">
        <v>6327</v>
      </c>
      <c r="C4" s="2" t="s">
        <v>6328</v>
      </c>
      <c r="D4" s="2" t="s">
        <v>128</v>
      </c>
      <c r="E4" s="2" t="s">
        <v>6540</v>
      </c>
      <c r="F4" s="2" t="s">
        <v>6552</v>
      </c>
      <c r="G4" s="2" t="s">
        <v>6553</v>
      </c>
      <c r="H4" s="2" t="s">
        <v>6543</v>
      </c>
      <c r="I4" s="2" t="s">
        <v>1427</v>
      </c>
      <c r="J4" s="2" t="s">
        <v>307</v>
      </c>
      <c r="K4" s="2" t="s">
        <v>6554</v>
      </c>
      <c r="L4" s="2" t="s">
        <v>6555</v>
      </c>
      <c r="M4" s="2" t="s">
        <v>6546</v>
      </c>
      <c r="N4" s="2" t="s">
        <v>6547</v>
      </c>
      <c r="O4" s="2" t="s">
        <v>6548</v>
      </c>
    </row>
    <row r="5" spans="1:15" ht="43.5" customHeight="1" x14ac:dyDescent="0.5">
      <c r="A5" s="2" t="s">
        <v>75</v>
      </c>
      <c r="B5" s="2" t="s">
        <v>6332</v>
      </c>
      <c r="C5" s="2" t="s">
        <v>6333</v>
      </c>
      <c r="D5" s="2" t="s">
        <v>153</v>
      </c>
      <c r="E5" s="2" t="s">
        <v>6540</v>
      </c>
      <c r="F5" s="2" t="s">
        <v>6541</v>
      </c>
      <c r="G5" s="2" t="s">
        <v>6542</v>
      </c>
      <c r="H5" s="2" t="s">
        <v>6543</v>
      </c>
      <c r="I5" s="2" t="s">
        <v>1365</v>
      </c>
      <c r="J5" s="2" t="s">
        <v>307</v>
      </c>
      <c r="K5" s="2" t="s">
        <v>6556</v>
      </c>
      <c r="L5" s="2" t="s">
        <v>6557</v>
      </c>
      <c r="M5" s="2" t="s">
        <v>6546</v>
      </c>
      <c r="N5" s="2" t="s">
        <v>6547</v>
      </c>
      <c r="O5" s="2" t="s">
        <v>6548</v>
      </c>
    </row>
    <row r="6" spans="1:15" ht="43.5" customHeight="1" x14ac:dyDescent="0.5">
      <c r="A6" s="2" t="s">
        <v>75</v>
      </c>
      <c r="B6" s="2" t="s">
        <v>6332</v>
      </c>
      <c r="C6" s="2" t="s">
        <v>6333</v>
      </c>
      <c r="D6" s="2" t="s">
        <v>6549</v>
      </c>
      <c r="E6" s="2" t="s">
        <v>6540</v>
      </c>
      <c r="F6" s="2" t="s">
        <v>3472</v>
      </c>
      <c r="G6" s="2" t="s">
        <v>6542</v>
      </c>
      <c r="H6" s="2" t="s">
        <v>6543</v>
      </c>
      <c r="I6" s="2" t="s">
        <v>1427</v>
      </c>
      <c r="J6" s="2" t="s">
        <v>307</v>
      </c>
      <c r="K6" s="2" t="s">
        <v>6558</v>
      </c>
      <c r="L6" s="2" t="s">
        <v>6559</v>
      </c>
      <c r="M6" s="2" t="s">
        <v>6546</v>
      </c>
      <c r="N6" s="2" t="s">
        <v>6547</v>
      </c>
      <c r="O6" s="2" t="s">
        <v>6548</v>
      </c>
    </row>
    <row r="7" spans="1:15" ht="43.5" customHeight="1" x14ac:dyDescent="0.5">
      <c r="A7" s="2" t="s">
        <v>75</v>
      </c>
      <c r="B7" s="2" t="s">
        <v>6332</v>
      </c>
      <c r="C7" s="2" t="s">
        <v>6333</v>
      </c>
      <c r="D7" s="2" t="s">
        <v>128</v>
      </c>
      <c r="E7" s="2" t="s">
        <v>6540</v>
      </c>
      <c r="F7" s="2" t="s">
        <v>6552</v>
      </c>
      <c r="G7" s="2" t="s">
        <v>6553</v>
      </c>
      <c r="H7" s="2" t="s">
        <v>6543</v>
      </c>
      <c r="I7" s="2" t="s">
        <v>1427</v>
      </c>
      <c r="J7" s="2" t="s">
        <v>307</v>
      </c>
      <c r="K7" s="2" t="s">
        <v>6560</v>
      </c>
      <c r="L7" s="2" t="s">
        <v>6561</v>
      </c>
      <c r="M7" s="2" t="s">
        <v>6546</v>
      </c>
      <c r="N7" s="2" t="s">
        <v>6547</v>
      </c>
      <c r="O7" s="2" t="s">
        <v>6548</v>
      </c>
    </row>
    <row r="8" spans="1:15" ht="43.5" customHeight="1" x14ac:dyDescent="0.5">
      <c r="A8" s="2" t="s">
        <v>75</v>
      </c>
      <c r="B8" s="2" t="s">
        <v>6332</v>
      </c>
      <c r="C8" s="2" t="s">
        <v>6333</v>
      </c>
      <c r="D8" s="2" t="s">
        <v>6562</v>
      </c>
      <c r="E8" s="2" t="s">
        <v>6540</v>
      </c>
      <c r="F8" s="2" t="s">
        <v>6563</v>
      </c>
      <c r="G8" s="2" t="s">
        <v>6542</v>
      </c>
      <c r="H8" s="2" t="s">
        <v>6543</v>
      </c>
      <c r="I8" s="2" t="s">
        <v>6564</v>
      </c>
      <c r="J8" s="2" t="s">
        <v>307</v>
      </c>
      <c r="K8" s="2" t="s">
        <v>6565</v>
      </c>
      <c r="L8" s="2" t="s">
        <v>6566</v>
      </c>
      <c r="M8" s="2" t="s">
        <v>6546</v>
      </c>
      <c r="N8" s="2" t="s">
        <v>6547</v>
      </c>
      <c r="O8" s="2" t="s">
        <v>6548</v>
      </c>
    </row>
    <row r="9" spans="1:15" ht="43.5" customHeight="1" x14ac:dyDescent="0.5">
      <c r="A9" s="2" t="s">
        <v>75</v>
      </c>
      <c r="B9" s="2" t="s">
        <v>6337</v>
      </c>
      <c r="C9" s="2" t="s">
        <v>6338</v>
      </c>
      <c r="D9" s="2" t="s">
        <v>153</v>
      </c>
      <c r="E9" s="2" t="s">
        <v>6567</v>
      </c>
      <c r="F9" s="2" t="s">
        <v>6541</v>
      </c>
      <c r="G9" s="2" t="s">
        <v>6542</v>
      </c>
      <c r="H9" s="2" t="s">
        <v>6543</v>
      </c>
      <c r="I9" s="2" t="s">
        <v>1365</v>
      </c>
      <c r="J9" s="2" t="s">
        <v>307</v>
      </c>
      <c r="K9" s="2" t="s">
        <v>6568</v>
      </c>
      <c r="L9" s="2" t="s">
        <v>6569</v>
      </c>
      <c r="M9" s="2" t="s">
        <v>6546</v>
      </c>
      <c r="N9" s="2" t="s">
        <v>6547</v>
      </c>
      <c r="O9" s="2" t="s">
        <v>6548</v>
      </c>
    </row>
    <row r="10" spans="1:15" ht="43.5" customHeight="1" x14ac:dyDescent="0.5">
      <c r="A10" s="2" t="s">
        <v>75</v>
      </c>
      <c r="B10" s="2" t="s">
        <v>6337</v>
      </c>
      <c r="C10" s="2" t="s">
        <v>6338</v>
      </c>
      <c r="D10" s="2" t="s">
        <v>6549</v>
      </c>
      <c r="E10" s="2" t="s">
        <v>6567</v>
      </c>
      <c r="F10" s="2" t="s">
        <v>3472</v>
      </c>
      <c r="G10" s="2" t="s">
        <v>6542</v>
      </c>
      <c r="H10" s="2" t="s">
        <v>6543</v>
      </c>
      <c r="I10" s="2" t="s">
        <v>1427</v>
      </c>
      <c r="J10" s="2" t="s">
        <v>307</v>
      </c>
      <c r="K10" s="2" t="s">
        <v>6570</v>
      </c>
      <c r="L10" s="2" t="s">
        <v>6571</v>
      </c>
      <c r="M10" s="2" t="s">
        <v>6546</v>
      </c>
      <c r="N10" s="2" t="s">
        <v>6547</v>
      </c>
      <c r="O10" s="2" t="s">
        <v>6548</v>
      </c>
    </row>
    <row r="11" spans="1:15" ht="43.5" customHeight="1" x14ac:dyDescent="0.5">
      <c r="A11" s="2" t="s">
        <v>75</v>
      </c>
      <c r="B11" s="2" t="s">
        <v>6337</v>
      </c>
      <c r="C11" s="2" t="s">
        <v>6338</v>
      </c>
      <c r="D11" s="2" t="s">
        <v>128</v>
      </c>
      <c r="E11" s="2" t="s">
        <v>6567</v>
      </c>
      <c r="F11" s="2" t="s">
        <v>6552</v>
      </c>
      <c r="G11" s="2" t="s">
        <v>6553</v>
      </c>
      <c r="H11" s="2" t="s">
        <v>6543</v>
      </c>
      <c r="I11" s="2" t="s">
        <v>1427</v>
      </c>
      <c r="J11" s="2" t="s">
        <v>307</v>
      </c>
      <c r="K11" s="2" t="s">
        <v>6572</v>
      </c>
      <c r="L11" s="2" t="s">
        <v>6573</v>
      </c>
      <c r="M11" s="2" t="s">
        <v>6546</v>
      </c>
      <c r="N11" s="2" t="s">
        <v>6547</v>
      </c>
      <c r="O11" s="2" t="s">
        <v>6548</v>
      </c>
    </row>
    <row r="12" spans="1:15" ht="43.5" customHeight="1" x14ac:dyDescent="0.5">
      <c r="A12" s="2" t="s">
        <v>75</v>
      </c>
      <c r="B12" s="2" t="s">
        <v>6337</v>
      </c>
      <c r="C12" s="2" t="s">
        <v>6338</v>
      </c>
      <c r="D12" s="2" t="s">
        <v>6562</v>
      </c>
      <c r="E12" s="2" t="s">
        <v>6567</v>
      </c>
      <c r="F12" s="2" t="s">
        <v>6563</v>
      </c>
      <c r="G12" s="2" t="s">
        <v>6542</v>
      </c>
      <c r="H12" s="2" t="s">
        <v>6543</v>
      </c>
      <c r="I12" s="2" t="s">
        <v>6564</v>
      </c>
      <c r="J12" s="2" t="s">
        <v>307</v>
      </c>
      <c r="K12" s="2" t="s">
        <v>6574</v>
      </c>
      <c r="L12" s="2" t="s">
        <v>6575</v>
      </c>
      <c r="M12" s="2" t="s">
        <v>6546</v>
      </c>
      <c r="N12" s="2" t="s">
        <v>6547</v>
      </c>
      <c r="O12" s="2" t="s">
        <v>6548</v>
      </c>
    </row>
    <row r="13" spans="1:15" ht="43.5" customHeight="1" x14ac:dyDescent="0.5">
      <c r="A13" s="2" t="s">
        <v>81</v>
      </c>
      <c r="B13" s="2" t="s">
        <v>6327</v>
      </c>
      <c r="C13" s="2" t="s">
        <v>6328</v>
      </c>
      <c r="D13" s="2" t="s">
        <v>153</v>
      </c>
      <c r="E13" s="2" t="s">
        <v>6540</v>
      </c>
      <c r="F13" s="2" t="s">
        <v>6541</v>
      </c>
      <c r="G13" s="2" t="s">
        <v>6553</v>
      </c>
      <c r="H13" s="2" t="s">
        <v>6543</v>
      </c>
      <c r="I13" s="2" t="s">
        <v>1365</v>
      </c>
      <c r="J13" s="2" t="s">
        <v>307</v>
      </c>
      <c r="K13" s="2" t="s">
        <v>6576</v>
      </c>
      <c r="L13" s="2" t="s">
        <v>6577</v>
      </c>
      <c r="M13" s="2" t="s">
        <v>6546</v>
      </c>
      <c r="N13" s="2" t="s">
        <v>6547</v>
      </c>
      <c r="O13" s="2" t="s">
        <v>6548</v>
      </c>
    </row>
    <row r="14" spans="1:15" ht="43.5" customHeight="1" x14ac:dyDescent="0.5">
      <c r="A14" s="2" t="s">
        <v>81</v>
      </c>
      <c r="B14" s="2" t="s">
        <v>6327</v>
      </c>
      <c r="C14" s="2" t="s">
        <v>6328</v>
      </c>
      <c r="D14" s="2" t="s">
        <v>6549</v>
      </c>
      <c r="E14" s="2" t="s">
        <v>6540</v>
      </c>
      <c r="F14" s="2" t="s">
        <v>3472</v>
      </c>
      <c r="G14" s="2" t="s">
        <v>6542</v>
      </c>
      <c r="H14" s="2" t="s">
        <v>6543</v>
      </c>
      <c r="I14" s="2" t="s">
        <v>1427</v>
      </c>
      <c r="J14" s="2" t="s">
        <v>307</v>
      </c>
      <c r="K14" s="2" t="s">
        <v>6578</v>
      </c>
      <c r="L14" s="2" t="s">
        <v>6579</v>
      </c>
      <c r="M14" s="2" t="s">
        <v>6546</v>
      </c>
      <c r="N14" s="2" t="s">
        <v>6547</v>
      </c>
      <c r="O14" s="2" t="s">
        <v>6548</v>
      </c>
    </row>
    <row r="15" spans="1:15" ht="43.5" customHeight="1" x14ac:dyDescent="0.5">
      <c r="A15" s="2" t="s">
        <v>81</v>
      </c>
      <c r="B15" s="2" t="s">
        <v>6327</v>
      </c>
      <c r="C15" s="2" t="s">
        <v>6328</v>
      </c>
      <c r="D15" s="2" t="s">
        <v>128</v>
      </c>
      <c r="E15" s="2" t="s">
        <v>6540</v>
      </c>
      <c r="F15" s="2" t="s">
        <v>6552</v>
      </c>
      <c r="G15" s="2" t="s">
        <v>6542</v>
      </c>
      <c r="H15" s="2" t="s">
        <v>6543</v>
      </c>
      <c r="I15" s="2" t="s">
        <v>1427</v>
      </c>
      <c r="J15" s="2" t="s">
        <v>307</v>
      </c>
      <c r="K15" s="2" t="s">
        <v>6580</v>
      </c>
      <c r="L15" s="2" t="s">
        <v>6581</v>
      </c>
      <c r="M15" s="2" t="s">
        <v>6546</v>
      </c>
      <c r="N15" s="2" t="s">
        <v>6547</v>
      </c>
      <c r="O15" s="2" t="s">
        <v>6548</v>
      </c>
    </row>
    <row r="16" spans="1:15" ht="43.5" customHeight="1" x14ac:dyDescent="0.5">
      <c r="A16" s="2" t="s">
        <v>81</v>
      </c>
      <c r="B16" s="2" t="s">
        <v>6332</v>
      </c>
      <c r="C16" s="2" t="s">
        <v>6333</v>
      </c>
      <c r="D16" s="2" t="s">
        <v>153</v>
      </c>
      <c r="E16" s="2" t="s">
        <v>6540</v>
      </c>
      <c r="F16" s="2" t="s">
        <v>6541</v>
      </c>
      <c r="G16" s="2" t="s">
        <v>6542</v>
      </c>
      <c r="H16" s="2" t="s">
        <v>6543</v>
      </c>
      <c r="I16" s="2" t="s">
        <v>1365</v>
      </c>
      <c r="J16" s="2" t="s">
        <v>307</v>
      </c>
      <c r="K16" s="2" t="s">
        <v>6582</v>
      </c>
      <c r="L16" s="2" t="s">
        <v>6583</v>
      </c>
      <c r="M16" s="2" t="s">
        <v>6546</v>
      </c>
      <c r="N16" s="2" t="s">
        <v>6547</v>
      </c>
      <c r="O16" s="2" t="s">
        <v>6548</v>
      </c>
    </row>
    <row r="17" spans="1:15" ht="43.5" customHeight="1" x14ac:dyDescent="0.5">
      <c r="A17" s="2" t="s">
        <v>81</v>
      </c>
      <c r="B17" s="2" t="s">
        <v>6332</v>
      </c>
      <c r="C17" s="2" t="s">
        <v>6333</v>
      </c>
      <c r="D17" s="2" t="s">
        <v>6549</v>
      </c>
      <c r="E17" s="2" t="s">
        <v>6540</v>
      </c>
      <c r="F17" s="2" t="s">
        <v>3472</v>
      </c>
      <c r="G17" s="2" t="s">
        <v>6542</v>
      </c>
      <c r="H17" s="2" t="s">
        <v>6543</v>
      </c>
      <c r="I17" s="2" t="s">
        <v>1427</v>
      </c>
      <c r="J17" s="2" t="s">
        <v>307</v>
      </c>
      <c r="K17" s="2" t="s">
        <v>6584</v>
      </c>
      <c r="L17" s="2" t="s">
        <v>6585</v>
      </c>
      <c r="M17" s="2" t="s">
        <v>6546</v>
      </c>
      <c r="N17" s="2" t="s">
        <v>6547</v>
      </c>
      <c r="O17" s="2" t="s">
        <v>6548</v>
      </c>
    </row>
    <row r="18" spans="1:15" ht="43.5" customHeight="1" x14ac:dyDescent="0.5">
      <c r="A18" s="2" t="s">
        <v>81</v>
      </c>
      <c r="B18" s="2" t="s">
        <v>6332</v>
      </c>
      <c r="C18" s="2" t="s">
        <v>6333</v>
      </c>
      <c r="D18" s="2" t="s">
        <v>128</v>
      </c>
      <c r="E18" s="2" t="s">
        <v>6540</v>
      </c>
      <c r="F18" s="2" t="s">
        <v>6552</v>
      </c>
      <c r="G18" s="2" t="s">
        <v>6553</v>
      </c>
      <c r="H18" s="2" t="s">
        <v>6543</v>
      </c>
      <c r="I18" s="2" t="s">
        <v>1427</v>
      </c>
      <c r="J18" s="2" t="s">
        <v>307</v>
      </c>
      <c r="K18" s="2" t="s">
        <v>6586</v>
      </c>
      <c r="L18" s="2" t="s">
        <v>6587</v>
      </c>
      <c r="M18" s="2" t="s">
        <v>6546</v>
      </c>
      <c r="N18" s="2" t="s">
        <v>6547</v>
      </c>
      <c r="O18" s="2" t="s">
        <v>6548</v>
      </c>
    </row>
    <row r="19" spans="1:15" ht="43.5" customHeight="1" x14ac:dyDescent="0.5">
      <c r="A19" s="2" t="s">
        <v>81</v>
      </c>
      <c r="B19" s="2" t="s">
        <v>6332</v>
      </c>
      <c r="C19" s="2" t="s">
        <v>6333</v>
      </c>
      <c r="D19" s="2" t="s">
        <v>6562</v>
      </c>
      <c r="E19" s="2" t="s">
        <v>6540</v>
      </c>
      <c r="F19" s="2" t="s">
        <v>6563</v>
      </c>
      <c r="G19" s="2" t="s">
        <v>6542</v>
      </c>
      <c r="H19" s="2" t="s">
        <v>6543</v>
      </c>
      <c r="I19" s="2" t="s">
        <v>6564</v>
      </c>
      <c r="J19" s="2" t="s">
        <v>307</v>
      </c>
      <c r="K19" s="2" t="s">
        <v>6588</v>
      </c>
      <c r="L19" s="2" t="s">
        <v>6589</v>
      </c>
      <c r="M19" s="2" t="s">
        <v>6546</v>
      </c>
      <c r="N19" s="2" t="s">
        <v>6547</v>
      </c>
      <c r="O19" s="2" t="s">
        <v>6548</v>
      </c>
    </row>
    <row r="20" spans="1:15" ht="43.5" customHeight="1" x14ac:dyDescent="0.5">
      <c r="A20" s="2" t="s">
        <v>81</v>
      </c>
      <c r="B20" s="2" t="s">
        <v>6348</v>
      </c>
      <c r="C20" s="2" t="s">
        <v>6349</v>
      </c>
      <c r="D20" s="2" t="s">
        <v>153</v>
      </c>
      <c r="E20" s="2" t="s">
        <v>6567</v>
      </c>
      <c r="F20" s="2" t="s">
        <v>6541</v>
      </c>
      <c r="G20" s="2" t="s">
        <v>6542</v>
      </c>
      <c r="H20" s="2" t="s">
        <v>6543</v>
      </c>
      <c r="I20" s="2" t="s">
        <v>1365</v>
      </c>
      <c r="J20" s="2" t="s">
        <v>307</v>
      </c>
      <c r="K20" s="2" t="s">
        <v>6590</v>
      </c>
      <c r="L20" s="2" t="s">
        <v>6591</v>
      </c>
      <c r="M20" s="2" t="s">
        <v>6546</v>
      </c>
      <c r="N20" s="2" t="s">
        <v>6547</v>
      </c>
      <c r="O20" s="2" t="s">
        <v>6548</v>
      </c>
    </row>
    <row r="21" spans="1:15" ht="43.5" customHeight="1" x14ac:dyDescent="0.5">
      <c r="A21" s="2" t="s">
        <v>81</v>
      </c>
      <c r="B21" s="2" t="s">
        <v>6348</v>
      </c>
      <c r="C21" s="2" t="s">
        <v>6349</v>
      </c>
      <c r="D21" s="2" t="s">
        <v>6549</v>
      </c>
      <c r="E21" s="2" t="s">
        <v>6567</v>
      </c>
      <c r="F21" s="2" t="s">
        <v>3472</v>
      </c>
      <c r="G21" s="2" t="s">
        <v>6542</v>
      </c>
      <c r="H21" s="2" t="s">
        <v>6543</v>
      </c>
      <c r="I21" s="2" t="s">
        <v>1427</v>
      </c>
      <c r="J21" s="2" t="s">
        <v>307</v>
      </c>
      <c r="K21" s="2" t="s">
        <v>6592</v>
      </c>
      <c r="L21" s="2" t="s">
        <v>6593</v>
      </c>
      <c r="M21" s="2" t="s">
        <v>6546</v>
      </c>
      <c r="N21" s="2" t="s">
        <v>6547</v>
      </c>
      <c r="O21" s="2" t="s">
        <v>6548</v>
      </c>
    </row>
    <row r="22" spans="1:15" ht="43.5" customHeight="1" x14ac:dyDescent="0.5">
      <c r="A22" s="2" t="s">
        <v>81</v>
      </c>
      <c r="B22" s="2" t="s">
        <v>6348</v>
      </c>
      <c r="C22" s="2" t="s">
        <v>6349</v>
      </c>
      <c r="D22" s="2" t="s">
        <v>128</v>
      </c>
      <c r="E22" s="2" t="s">
        <v>6567</v>
      </c>
      <c r="F22" s="2" t="s">
        <v>6552</v>
      </c>
      <c r="G22" s="2" t="s">
        <v>6542</v>
      </c>
      <c r="H22" s="2" t="s">
        <v>6543</v>
      </c>
      <c r="I22" s="2" t="s">
        <v>1427</v>
      </c>
      <c r="J22" s="2" t="s">
        <v>307</v>
      </c>
      <c r="K22" s="2" t="s">
        <v>6594</v>
      </c>
      <c r="L22" s="2" t="s">
        <v>6595</v>
      </c>
      <c r="M22" s="2" t="s">
        <v>6546</v>
      </c>
      <c r="N22" s="2" t="s">
        <v>6547</v>
      </c>
      <c r="O22" s="2" t="s">
        <v>6548</v>
      </c>
    </row>
    <row r="23" spans="1:15" ht="43.5" customHeight="1" x14ac:dyDescent="0.5">
      <c r="A23" s="2" t="s">
        <v>81</v>
      </c>
      <c r="B23" s="2" t="s">
        <v>6348</v>
      </c>
      <c r="C23" s="2" t="s">
        <v>6349</v>
      </c>
      <c r="D23" s="2" t="s">
        <v>6562</v>
      </c>
      <c r="E23" s="2" t="s">
        <v>6567</v>
      </c>
      <c r="F23" s="2" t="s">
        <v>6563</v>
      </c>
      <c r="G23" s="2" t="s">
        <v>6542</v>
      </c>
      <c r="H23" s="2" t="s">
        <v>6543</v>
      </c>
      <c r="I23" s="2" t="s">
        <v>6564</v>
      </c>
      <c r="J23" s="2" t="s">
        <v>307</v>
      </c>
      <c r="K23" s="2" t="s">
        <v>6596</v>
      </c>
      <c r="L23" s="2" t="s">
        <v>6597</v>
      </c>
      <c r="M23" s="2" t="s">
        <v>6546</v>
      </c>
      <c r="N23" s="2" t="s">
        <v>6547</v>
      </c>
      <c r="O23" s="2" t="s">
        <v>6548</v>
      </c>
    </row>
    <row r="24" spans="1:15" ht="43.5" customHeight="1" x14ac:dyDescent="0.5">
      <c r="A24" s="2" t="s">
        <v>84</v>
      </c>
      <c r="B24" s="2" t="s">
        <v>6353</v>
      </c>
      <c r="C24" s="2" t="s">
        <v>6354</v>
      </c>
      <c r="D24" s="2" t="s">
        <v>153</v>
      </c>
      <c r="E24" s="2" t="s">
        <v>6540</v>
      </c>
      <c r="F24" s="2" t="s">
        <v>6598</v>
      </c>
      <c r="G24" s="2" t="s">
        <v>6542</v>
      </c>
      <c r="H24" s="2" t="s">
        <v>6543</v>
      </c>
      <c r="I24" s="2" t="s">
        <v>1365</v>
      </c>
      <c r="J24" s="2" t="s">
        <v>307</v>
      </c>
      <c r="K24" s="2" t="s">
        <v>6599</v>
      </c>
      <c r="L24" s="2" t="s">
        <v>6600</v>
      </c>
      <c r="M24" s="2" t="s">
        <v>6546</v>
      </c>
      <c r="N24" s="2" t="s">
        <v>6547</v>
      </c>
      <c r="O24" s="2" t="s">
        <v>6548</v>
      </c>
    </row>
    <row r="25" spans="1:15" ht="43.5" customHeight="1" x14ac:dyDescent="0.5">
      <c r="A25" s="2" t="s">
        <v>84</v>
      </c>
      <c r="B25" s="2" t="s">
        <v>6353</v>
      </c>
      <c r="C25" s="2" t="s">
        <v>6354</v>
      </c>
      <c r="D25" s="2" t="s">
        <v>6549</v>
      </c>
      <c r="E25" s="2" t="s">
        <v>6540</v>
      </c>
      <c r="F25" s="2" t="s">
        <v>3472</v>
      </c>
      <c r="G25" s="2" t="s">
        <v>6542</v>
      </c>
      <c r="H25" s="2" t="s">
        <v>6543</v>
      </c>
      <c r="I25" s="2" t="s">
        <v>1427</v>
      </c>
      <c r="J25" s="2" t="s">
        <v>307</v>
      </c>
      <c r="K25" s="2" t="s">
        <v>6601</v>
      </c>
      <c r="L25" s="2" t="s">
        <v>6602</v>
      </c>
      <c r="M25" s="2" t="s">
        <v>6546</v>
      </c>
      <c r="N25" s="2" t="s">
        <v>6547</v>
      </c>
      <c r="O25" s="2" t="s">
        <v>6548</v>
      </c>
    </row>
    <row r="26" spans="1:15" ht="43.5" customHeight="1" x14ac:dyDescent="0.5">
      <c r="A26" s="2" t="s">
        <v>84</v>
      </c>
      <c r="B26" s="2" t="s">
        <v>6353</v>
      </c>
      <c r="C26" s="2" t="s">
        <v>6354</v>
      </c>
      <c r="D26" s="2" t="s">
        <v>128</v>
      </c>
      <c r="E26" s="2" t="s">
        <v>6540</v>
      </c>
      <c r="F26" s="2" t="s">
        <v>6603</v>
      </c>
      <c r="G26" s="2" t="s">
        <v>6553</v>
      </c>
      <c r="H26" s="2" t="s">
        <v>6543</v>
      </c>
      <c r="I26" s="2" t="s">
        <v>1427</v>
      </c>
      <c r="J26" s="2" t="s">
        <v>307</v>
      </c>
      <c r="K26" s="2" t="s">
        <v>6604</v>
      </c>
      <c r="L26" s="2" t="s">
        <v>6605</v>
      </c>
      <c r="M26" s="2" t="s">
        <v>6546</v>
      </c>
      <c r="N26" s="2" t="s">
        <v>6547</v>
      </c>
      <c r="O26" s="2" t="s">
        <v>6548</v>
      </c>
    </row>
    <row r="27" spans="1:15" ht="43.5" customHeight="1" x14ac:dyDescent="0.5">
      <c r="A27" s="2" t="s">
        <v>88</v>
      </c>
      <c r="B27" s="2" t="s">
        <v>6358</v>
      </c>
      <c r="C27" s="2" t="s">
        <v>6359</v>
      </c>
      <c r="D27" s="2" t="s">
        <v>153</v>
      </c>
      <c r="E27" s="2" t="s">
        <v>6540</v>
      </c>
      <c r="F27" s="2" t="s">
        <v>6541</v>
      </c>
      <c r="G27" s="2" t="s">
        <v>6542</v>
      </c>
      <c r="H27" s="2" t="s">
        <v>6543</v>
      </c>
      <c r="I27" s="2" t="s">
        <v>1365</v>
      </c>
      <c r="J27" s="2" t="s">
        <v>307</v>
      </c>
      <c r="K27" s="2" t="s">
        <v>6606</v>
      </c>
      <c r="L27" s="2" t="s">
        <v>6607</v>
      </c>
      <c r="M27" s="2" t="s">
        <v>6546</v>
      </c>
      <c r="N27" s="2" t="s">
        <v>6547</v>
      </c>
      <c r="O27" s="2" t="s">
        <v>6548</v>
      </c>
    </row>
    <row r="28" spans="1:15" ht="43.5" customHeight="1" x14ac:dyDescent="0.5">
      <c r="A28" s="2" t="s">
        <v>88</v>
      </c>
      <c r="B28" s="2" t="s">
        <v>6358</v>
      </c>
      <c r="C28" s="2" t="s">
        <v>6359</v>
      </c>
      <c r="D28" s="2" t="s">
        <v>6549</v>
      </c>
      <c r="E28" s="2" t="s">
        <v>6540</v>
      </c>
      <c r="F28" s="2" t="s">
        <v>3472</v>
      </c>
      <c r="G28" s="2" t="s">
        <v>6542</v>
      </c>
      <c r="H28" s="2" t="s">
        <v>6543</v>
      </c>
      <c r="I28" s="2" t="s">
        <v>1427</v>
      </c>
      <c r="J28" s="2" t="s">
        <v>6608</v>
      </c>
      <c r="K28" s="2" t="s">
        <v>6609</v>
      </c>
      <c r="L28" s="2" t="s">
        <v>6610</v>
      </c>
      <c r="M28" s="2" t="s">
        <v>6546</v>
      </c>
      <c r="N28" s="2" t="s">
        <v>6547</v>
      </c>
      <c r="O28" s="2" t="s">
        <v>6548</v>
      </c>
    </row>
    <row r="29" spans="1:15" ht="43.5" customHeight="1" x14ac:dyDescent="0.5">
      <c r="A29" s="2" t="s">
        <v>88</v>
      </c>
      <c r="B29" s="2" t="s">
        <v>6358</v>
      </c>
      <c r="C29" s="2" t="s">
        <v>6359</v>
      </c>
      <c r="D29" s="2" t="s">
        <v>128</v>
      </c>
      <c r="E29" s="2" t="s">
        <v>6540</v>
      </c>
      <c r="F29" s="2" t="s">
        <v>6552</v>
      </c>
      <c r="G29" s="2" t="s">
        <v>6553</v>
      </c>
      <c r="H29" s="2" t="s">
        <v>6543</v>
      </c>
      <c r="I29" s="2" t="s">
        <v>1427</v>
      </c>
      <c r="J29" s="2" t="s">
        <v>307</v>
      </c>
      <c r="K29" s="2" t="s">
        <v>6611</v>
      </c>
      <c r="L29" s="2" t="s">
        <v>6612</v>
      </c>
      <c r="M29" s="2" t="s">
        <v>6546</v>
      </c>
      <c r="N29" s="2" t="s">
        <v>6547</v>
      </c>
      <c r="O29" s="2" t="s">
        <v>6548</v>
      </c>
    </row>
    <row r="30" spans="1:15" ht="43.5" customHeight="1" x14ac:dyDescent="0.5">
      <c r="A30" s="2" t="s">
        <v>88</v>
      </c>
      <c r="B30" s="2" t="s">
        <v>6358</v>
      </c>
      <c r="C30" s="2" t="s">
        <v>6359</v>
      </c>
      <c r="D30" s="2" t="s">
        <v>6562</v>
      </c>
      <c r="E30" s="2" t="s">
        <v>6540</v>
      </c>
      <c r="F30" s="2" t="s">
        <v>6563</v>
      </c>
      <c r="G30" s="2" t="s">
        <v>6542</v>
      </c>
      <c r="H30" s="2" t="s">
        <v>6543</v>
      </c>
      <c r="I30" s="2" t="s">
        <v>6564</v>
      </c>
      <c r="J30" s="2" t="s">
        <v>307</v>
      </c>
      <c r="K30" s="2" t="s">
        <v>6613</v>
      </c>
      <c r="L30" s="2" t="s">
        <v>6614</v>
      </c>
      <c r="M30" s="2" t="s">
        <v>6546</v>
      </c>
      <c r="N30" s="2" t="s">
        <v>6547</v>
      </c>
      <c r="O30" s="2" t="s">
        <v>6548</v>
      </c>
    </row>
    <row r="31" spans="1:15" ht="43.5" customHeight="1" x14ac:dyDescent="0.5">
      <c r="A31" s="2" t="s">
        <v>88</v>
      </c>
      <c r="B31" s="2" t="s">
        <v>6348</v>
      </c>
      <c r="C31" s="2" t="s">
        <v>6363</v>
      </c>
      <c r="D31" s="2" t="s">
        <v>153</v>
      </c>
      <c r="E31" s="2" t="s">
        <v>6540</v>
      </c>
      <c r="F31" s="2" t="s">
        <v>6541</v>
      </c>
      <c r="G31" s="2" t="s">
        <v>6542</v>
      </c>
      <c r="H31" s="2" t="s">
        <v>6543</v>
      </c>
      <c r="I31" s="2" t="s">
        <v>1365</v>
      </c>
      <c r="J31" s="2" t="s">
        <v>307</v>
      </c>
      <c r="K31" s="2" t="s">
        <v>6615</v>
      </c>
      <c r="L31" s="2" t="s">
        <v>6616</v>
      </c>
      <c r="M31" s="2" t="s">
        <v>6546</v>
      </c>
      <c r="N31" s="2" t="s">
        <v>6547</v>
      </c>
      <c r="O31" s="2" t="s">
        <v>6548</v>
      </c>
    </row>
    <row r="32" spans="1:15" ht="43.5" customHeight="1" x14ac:dyDescent="0.5">
      <c r="A32" s="2" t="s">
        <v>88</v>
      </c>
      <c r="B32" s="2" t="s">
        <v>6348</v>
      </c>
      <c r="C32" s="2" t="s">
        <v>6363</v>
      </c>
      <c r="D32" s="2" t="s">
        <v>6549</v>
      </c>
      <c r="E32" s="2" t="s">
        <v>6540</v>
      </c>
      <c r="F32" s="2" t="s">
        <v>3472</v>
      </c>
      <c r="G32" s="2" t="s">
        <v>6542</v>
      </c>
      <c r="H32" s="2" t="s">
        <v>6543</v>
      </c>
      <c r="I32" s="2" t="s">
        <v>1427</v>
      </c>
      <c r="J32" s="2" t="s">
        <v>6608</v>
      </c>
      <c r="K32" s="2" t="s">
        <v>6617</v>
      </c>
      <c r="L32" s="2" t="s">
        <v>6618</v>
      </c>
      <c r="M32" s="2" t="s">
        <v>6546</v>
      </c>
      <c r="N32" s="2" t="s">
        <v>6547</v>
      </c>
      <c r="O32" s="2" t="s">
        <v>6548</v>
      </c>
    </row>
    <row r="33" spans="1:15" ht="43.5" customHeight="1" x14ac:dyDescent="0.5">
      <c r="A33" s="2" t="s">
        <v>88</v>
      </c>
      <c r="B33" s="2" t="s">
        <v>6348</v>
      </c>
      <c r="C33" s="2" t="s">
        <v>6363</v>
      </c>
      <c r="D33" s="2" t="s">
        <v>128</v>
      </c>
      <c r="E33" s="2" t="s">
        <v>6540</v>
      </c>
      <c r="F33" s="2" t="s">
        <v>6552</v>
      </c>
      <c r="G33" s="2" t="s">
        <v>6553</v>
      </c>
      <c r="H33" s="2" t="s">
        <v>6543</v>
      </c>
      <c r="I33" s="2" t="s">
        <v>1427</v>
      </c>
      <c r="J33" s="2" t="s">
        <v>307</v>
      </c>
      <c r="K33" s="2" t="s">
        <v>6619</v>
      </c>
      <c r="L33" s="2" t="s">
        <v>6620</v>
      </c>
      <c r="M33" s="2" t="s">
        <v>6546</v>
      </c>
      <c r="N33" s="2" t="s">
        <v>6547</v>
      </c>
      <c r="O33" s="2" t="s">
        <v>6548</v>
      </c>
    </row>
    <row r="34" spans="1:15" ht="43.5" customHeight="1" x14ac:dyDescent="0.5">
      <c r="A34" s="2" t="s">
        <v>88</v>
      </c>
      <c r="B34" s="2" t="s">
        <v>6348</v>
      </c>
      <c r="C34" s="2" t="s">
        <v>6363</v>
      </c>
      <c r="D34" s="2" t="s">
        <v>6562</v>
      </c>
      <c r="E34" s="2" t="s">
        <v>6540</v>
      </c>
      <c r="F34" s="2" t="s">
        <v>6563</v>
      </c>
      <c r="G34" s="2" t="s">
        <v>6542</v>
      </c>
      <c r="H34" s="2" t="s">
        <v>6543</v>
      </c>
      <c r="I34" s="2" t="s">
        <v>6564</v>
      </c>
      <c r="J34" s="2" t="s">
        <v>307</v>
      </c>
      <c r="K34" s="2" t="s">
        <v>6621</v>
      </c>
      <c r="L34" s="2" t="s">
        <v>6622</v>
      </c>
      <c r="M34" s="2" t="s">
        <v>6546</v>
      </c>
      <c r="N34" s="2" t="s">
        <v>6547</v>
      </c>
      <c r="O34" s="2" t="s">
        <v>6548</v>
      </c>
    </row>
    <row r="35" spans="1:15" ht="43.5" customHeight="1" x14ac:dyDescent="0.5">
      <c r="A35" s="2" t="s">
        <v>88</v>
      </c>
      <c r="B35" s="2" t="s">
        <v>6367</v>
      </c>
      <c r="C35" s="2" t="s">
        <v>6368</v>
      </c>
      <c r="D35" s="2" t="s">
        <v>153</v>
      </c>
      <c r="E35" s="2" t="s">
        <v>6540</v>
      </c>
      <c r="F35" s="2" t="s">
        <v>6541</v>
      </c>
      <c r="G35" s="2" t="s">
        <v>6542</v>
      </c>
      <c r="H35" s="2" t="s">
        <v>6543</v>
      </c>
      <c r="I35" s="2" t="s">
        <v>1365</v>
      </c>
      <c r="J35" s="2" t="s">
        <v>307</v>
      </c>
      <c r="K35" s="2" t="s">
        <v>6623</v>
      </c>
      <c r="L35" s="2" t="s">
        <v>6624</v>
      </c>
      <c r="M35" s="2" t="s">
        <v>6546</v>
      </c>
      <c r="N35" s="2" t="s">
        <v>6547</v>
      </c>
      <c r="O35" s="2" t="s">
        <v>6548</v>
      </c>
    </row>
    <row r="36" spans="1:15" ht="43.5" customHeight="1" x14ac:dyDescent="0.5">
      <c r="A36" s="2" t="s">
        <v>88</v>
      </c>
      <c r="B36" s="2" t="s">
        <v>6367</v>
      </c>
      <c r="C36" s="2" t="s">
        <v>6368</v>
      </c>
      <c r="D36" s="2" t="s">
        <v>6549</v>
      </c>
      <c r="E36" s="2" t="s">
        <v>6540</v>
      </c>
      <c r="F36" s="2" t="s">
        <v>3472</v>
      </c>
      <c r="G36" s="2" t="s">
        <v>6542</v>
      </c>
      <c r="H36" s="2" t="s">
        <v>6543</v>
      </c>
      <c r="I36" s="2" t="s">
        <v>1427</v>
      </c>
      <c r="J36" s="2" t="s">
        <v>6608</v>
      </c>
      <c r="K36" s="2" t="s">
        <v>6625</v>
      </c>
      <c r="L36" s="2" t="s">
        <v>6626</v>
      </c>
      <c r="M36" s="2" t="s">
        <v>6546</v>
      </c>
      <c r="N36" s="2" t="s">
        <v>6547</v>
      </c>
      <c r="O36" s="2" t="s">
        <v>6548</v>
      </c>
    </row>
    <row r="37" spans="1:15" ht="43.5" customHeight="1" x14ac:dyDescent="0.5">
      <c r="A37" s="2" t="s">
        <v>88</v>
      </c>
      <c r="B37" s="2" t="s">
        <v>6367</v>
      </c>
      <c r="C37" s="2" t="s">
        <v>6368</v>
      </c>
      <c r="D37" s="2" t="s">
        <v>128</v>
      </c>
      <c r="E37" s="2" t="s">
        <v>6540</v>
      </c>
      <c r="F37" s="2" t="s">
        <v>6552</v>
      </c>
      <c r="G37" s="2" t="s">
        <v>6553</v>
      </c>
      <c r="H37" s="2" t="s">
        <v>6543</v>
      </c>
      <c r="I37" s="2" t="s">
        <v>1427</v>
      </c>
      <c r="J37" s="2" t="s">
        <v>307</v>
      </c>
      <c r="K37" s="2" t="s">
        <v>6627</v>
      </c>
      <c r="L37" s="2" t="s">
        <v>6628</v>
      </c>
      <c r="M37" s="2" t="s">
        <v>6546</v>
      </c>
      <c r="N37" s="2" t="s">
        <v>6547</v>
      </c>
      <c r="O37" s="2" t="s">
        <v>6548</v>
      </c>
    </row>
    <row r="38" spans="1:15" ht="43.5" customHeight="1" x14ac:dyDescent="0.5">
      <c r="A38" s="2" t="s">
        <v>90</v>
      </c>
      <c r="B38" s="2" t="s">
        <v>6358</v>
      </c>
      <c r="C38" s="2" t="s">
        <v>6372</v>
      </c>
      <c r="D38" s="2" t="s">
        <v>153</v>
      </c>
      <c r="E38" s="2" t="s">
        <v>6567</v>
      </c>
      <c r="F38" s="2" t="s">
        <v>6541</v>
      </c>
      <c r="G38" s="2" t="s">
        <v>6542</v>
      </c>
      <c r="H38" s="2" t="s">
        <v>6543</v>
      </c>
      <c r="I38" s="2" t="s">
        <v>1365</v>
      </c>
      <c r="J38" s="2" t="s">
        <v>307</v>
      </c>
      <c r="K38" s="2" t="s">
        <v>6629</v>
      </c>
      <c r="L38" s="2" t="s">
        <v>6630</v>
      </c>
      <c r="M38" s="2" t="s">
        <v>6546</v>
      </c>
      <c r="N38" s="2" t="s">
        <v>6547</v>
      </c>
      <c r="O38" s="2" t="s">
        <v>6548</v>
      </c>
    </row>
    <row r="39" spans="1:15" ht="43.5" customHeight="1" x14ac:dyDescent="0.5">
      <c r="A39" s="2" t="s">
        <v>90</v>
      </c>
      <c r="B39" s="2" t="s">
        <v>6358</v>
      </c>
      <c r="C39" s="2" t="s">
        <v>6372</v>
      </c>
      <c r="D39" s="2" t="s">
        <v>6549</v>
      </c>
      <c r="E39" s="2" t="s">
        <v>6567</v>
      </c>
      <c r="F39" s="2" t="s">
        <v>3472</v>
      </c>
      <c r="G39" s="2" t="s">
        <v>6542</v>
      </c>
      <c r="H39" s="2" t="s">
        <v>6543</v>
      </c>
      <c r="I39" s="2" t="s">
        <v>1427</v>
      </c>
      <c r="J39" s="2" t="s">
        <v>6631</v>
      </c>
      <c r="K39" s="2" t="s">
        <v>6632</v>
      </c>
      <c r="L39" s="2" t="s">
        <v>6633</v>
      </c>
      <c r="M39" s="2" t="s">
        <v>6546</v>
      </c>
      <c r="N39" s="2" t="s">
        <v>6547</v>
      </c>
      <c r="O39" s="2" t="s">
        <v>6548</v>
      </c>
    </row>
    <row r="40" spans="1:15" ht="43.5" customHeight="1" x14ac:dyDescent="0.5">
      <c r="A40" s="2" t="s">
        <v>90</v>
      </c>
      <c r="B40" s="2" t="s">
        <v>6358</v>
      </c>
      <c r="C40" s="2" t="s">
        <v>6372</v>
      </c>
      <c r="D40" s="2" t="s">
        <v>128</v>
      </c>
      <c r="E40" s="2" t="s">
        <v>6567</v>
      </c>
      <c r="F40" s="2" t="s">
        <v>6552</v>
      </c>
      <c r="G40" s="2" t="s">
        <v>6553</v>
      </c>
      <c r="H40" s="2" t="s">
        <v>6543</v>
      </c>
      <c r="I40" s="2" t="s">
        <v>1427</v>
      </c>
      <c r="J40" s="2" t="s">
        <v>307</v>
      </c>
      <c r="K40" s="2" t="s">
        <v>6634</v>
      </c>
      <c r="L40" s="2" t="s">
        <v>6635</v>
      </c>
      <c r="M40" s="2" t="s">
        <v>6546</v>
      </c>
      <c r="N40" s="2" t="s">
        <v>6547</v>
      </c>
      <c r="O40" s="2" t="s">
        <v>6548</v>
      </c>
    </row>
    <row r="41" spans="1:15" ht="43.5" customHeight="1" x14ac:dyDescent="0.5">
      <c r="A41" s="2" t="s">
        <v>90</v>
      </c>
      <c r="B41" s="2" t="s">
        <v>6358</v>
      </c>
      <c r="C41" s="2" t="s">
        <v>6372</v>
      </c>
      <c r="D41" s="2" t="s">
        <v>6562</v>
      </c>
      <c r="E41" s="2" t="s">
        <v>6567</v>
      </c>
      <c r="F41" s="2" t="s">
        <v>6563</v>
      </c>
      <c r="G41" s="2" t="s">
        <v>6542</v>
      </c>
      <c r="H41" s="2" t="s">
        <v>6543</v>
      </c>
      <c r="I41" s="2" t="s">
        <v>6564</v>
      </c>
      <c r="J41" s="2" t="s">
        <v>307</v>
      </c>
      <c r="K41" s="2" t="s">
        <v>6636</v>
      </c>
      <c r="L41" s="2" t="s">
        <v>6637</v>
      </c>
      <c r="M41" s="2" t="s">
        <v>6546</v>
      </c>
      <c r="N41" s="2" t="s">
        <v>6547</v>
      </c>
      <c r="O41" s="2" t="s">
        <v>6548</v>
      </c>
    </row>
    <row r="42" spans="1:15" ht="43.5" customHeight="1" x14ac:dyDescent="0.5">
      <c r="A42" s="2" t="s">
        <v>90</v>
      </c>
      <c r="B42" s="2" t="s">
        <v>6337</v>
      </c>
      <c r="C42" s="2" t="s">
        <v>6376</v>
      </c>
      <c r="D42" s="2" t="s">
        <v>153</v>
      </c>
      <c r="E42" s="2" t="s">
        <v>6567</v>
      </c>
      <c r="F42" s="2" t="s">
        <v>6541</v>
      </c>
      <c r="G42" s="2" t="s">
        <v>6542</v>
      </c>
      <c r="H42" s="2" t="s">
        <v>6543</v>
      </c>
      <c r="I42" s="2" t="s">
        <v>1365</v>
      </c>
      <c r="J42" s="2" t="s">
        <v>307</v>
      </c>
      <c r="K42" s="2" t="s">
        <v>6638</v>
      </c>
      <c r="L42" s="2" t="s">
        <v>6639</v>
      </c>
      <c r="M42" s="2" t="s">
        <v>6546</v>
      </c>
      <c r="N42" s="2" t="s">
        <v>6547</v>
      </c>
      <c r="O42" s="2" t="s">
        <v>6548</v>
      </c>
    </row>
    <row r="43" spans="1:15" ht="43.5" customHeight="1" x14ac:dyDescent="0.5">
      <c r="A43" s="2" t="s">
        <v>90</v>
      </c>
      <c r="B43" s="2" t="s">
        <v>6337</v>
      </c>
      <c r="C43" s="2" t="s">
        <v>6376</v>
      </c>
      <c r="D43" s="2" t="s">
        <v>6549</v>
      </c>
      <c r="E43" s="2" t="s">
        <v>6567</v>
      </c>
      <c r="F43" s="2" t="s">
        <v>3472</v>
      </c>
      <c r="G43" s="2" t="s">
        <v>6542</v>
      </c>
      <c r="H43" s="2" t="s">
        <v>6543</v>
      </c>
      <c r="I43" s="2" t="s">
        <v>1427</v>
      </c>
      <c r="J43" s="2" t="s">
        <v>6631</v>
      </c>
      <c r="K43" s="2" t="s">
        <v>6640</v>
      </c>
      <c r="L43" s="2" t="s">
        <v>6641</v>
      </c>
      <c r="M43" s="2" t="s">
        <v>6546</v>
      </c>
      <c r="N43" s="2" t="s">
        <v>6547</v>
      </c>
      <c r="O43" s="2" t="s">
        <v>6548</v>
      </c>
    </row>
    <row r="44" spans="1:15" ht="43.5" customHeight="1" x14ac:dyDescent="0.5">
      <c r="A44" s="2" t="s">
        <v>90</v>
      </c>
      <c r="B44" s="2" t="s">
        <v>6337</v>
      </c>
      <c r="C44" s="2" t="s">
        <v>6376</v>
      </c>
      <c r="D44" s="2" t="s">
        <v>128</v>
      </c>
      <c r="E44" s="2" t="s">
        <v>6567</v>
      </c>
      <c r="F44" s="2" t="s">
        <v>6552</v>
      </c>
      <c r="G44" s="2" t="s">
        <v>6553</v>
      </c>
      <c r="H44" s="2" t="s">
        <v>6543</v>
      </c>
      <c r="I44" s="2" t="s">
        <v>1427</v>
      </c>
      <c r="J44" s="2" t="s">
        <v>307</v>
      </c>
      <c r="K44" s="2" t="s">
        <v>6642</v>
      </c>
      <c r="L44" s="2" t="s">
        <v>6643</v>
      </c>
      <c r="M44" s="2" t="s">
        <v>6546</v>
      </c>
      <c r="N44" s="2" t="s">
        <v>6547</v>
      </c>
      <c r="O44" s="2" t="s">
        <v>6548</v>
      </c>
    </row>
    <row r="45" spans="1:15" ht="43.5" customHeight="1" x14ac:dyDescent="0.5">
      <c r="A45" s="2" t="s">
        <v>90</v>
      </c>
      <c r="B45" s="2" t="s">
        <v>6337</v>
      </c>
      <c r="C45" s="2" t="s">
        <v>6376</v>
      </c>
      <c r="D45" s="2" t="s">
        <v>6562</v>
      </c>
      <c r="E45" s="2" t="s">
        <v>6567</v>
      </c>
      <c r="F45" s="2" t="s">
        <v>6563</v>
      </c>
      <c r="G45" s="2" t="s">
        <v>6542</v>
      </c>
      <c r="H45" s="2" t="s">
        <v>6543</v>
      </c>
      <c r="I45" s="2" t="s">
        <v>6564</v>
      </c>
      <c r="J45" s="2" t="s">
        <v>307</v>
      </c>
      <c r="K45" s="2" t="s">
        <v>6644</v>
      </c>
      <c r="L45" s="2" t="s">
        <v>6645</v>
      </c>
      <c r="M45" s="2" t="s">
        <v>6546</v>
      </c>
      <c r="N45" s="2" t="s">
        <v>6547</v>
      </c>
      <c r="O45" s="2" t="s">
        <v>6548</v>
      </c>
    </row>
    <row r="46" spans="1:15" ht="43.5" customHeight="1" x14ac:dyDescent="0.5">
      <c r="A46" s="2" t="s">
        <v>90</v>
      </c>
      <c r="B46" s="2" t="s">
        <v>6348</v>
      </c>
      <c r="C46" s="2" t="s">
        <v>6380</v>
      </c>
      <c r="D46" s="2" t="s">
        <v>153</v>
      </c>
      <c r="E46" s="2" t="s">
        <v>6567</v>
      </c>
      <c r="F46" s="2" t="s">
        <v>6541</v>
      </c>
      <c r="G46" s="2" t="s">
        <v>6542</v>
      </c>
      <c r="H46" s="2" t="s">
        <v>6543</v>
      </c>
      <c r="I46" s="2" t="s">
        <v>1365</v>
      </c>
      <c r="J46" s="2" t="s">
        <v>307</v>
      </c>
      <c r="K46" s="2" t="s">
        <v>6646</v>
      </c>
      <c r="L46" s="2" t="s">
        <v>6647</v>
      </c>
      <c r="M46" s="2" t="s">
        <v>6546</v>
      </c>
      <c r="N46" s="2" t="s">
        <v>6547</v>
      </c>
      <c r="O46" s="2" t="s">
        <v>6548</v>
      </c>
    </row>
    <row r="47" spans="1:15" ht="43.5" customHeight="1" x14ac:dyDescent="0.5">
      <c r="A47" s="2" t="s">
        <v>90</v>
      </c>
      <c r="B47" s="2" t="s">
        <v>6348</v>
      </c>
      <c r="C47" s="2" t="s">
        <v>6380</v>
      </c>
      <c r="D47" s="2" t="s">
        <v>6549</v>
      </c>
      <c r="E47" s="2" t="s">
        <v>6567</v>
      </c>
      <c r="F47" s="2" t="s">
        <v>3472</v>
      </c>
      <c r="G47" s="2" t="s">
        <v>6542</v>
      </c>
      <c r="H47" s="2" t="s">
        <v>6543</v>
      </c>
      <c r="I47" s="2" t="s">
        <v>1427</v>
      </c>
      <c r="J47" s="2" t="s">
        <v>6631</v>
      </c>
      <c r="K47" s="2" t="s">
        <v>6648</v>
      </c>
      <c r="L47" s="2" t="s">
        <v>6649</v>
      </c>
      <c r="M47" s="2" t="s">
        <v>6546</v>
      </c>
      <c r="N47" s="2" t="s">
        <v>6547</v>
      </c>
      <c r="O47" s="2" t="s">
        <v>6548</v>
      </c>
    </row>
    <row r="48" spans="1:15" ht="43.5" customHeight="1" x14ac:dyDescent="0.5">
      <c r="A48" s="2" t="s">
        <v>90</v>
      </c>
      <c r="B48" s="2" t="s">
        <v>6348</v>
      </c>
      <c r="C48" s="2" t="s">
        <v>6380</v>
      </c>
      <c r="D48" s="2" t="s">
        <v>128</v>
      </c>
      <c r="E48" s="2" t="s">
        <v>6567</v>
      </c>
      <c r="F48" s="2" t="s">
        <v>6552</v>
      </c>
      <c r="G48" s="2" t="s">
        <v>6553</v>
      </c>
      <c r="H48" s="2" t="s">
        <v>6543</v>
      </c>
      <c r="I48" s="2" t="s">
        <v>1427</v>
      </c>
      <c r="J48" s="2" t="s">
        <v>307</v>
      </c>
      <c r="K48" s="2" t="s">
        <v>6650</v>
      </c>
      <c r="L48" s="2" t="s">
        <v>6651</v>
      </c>
      <c r="M48" s="2" t="s">
        <v>6546</v>
      </c>
      <c r="N48" s="2" t="s">
        <v>6547</v>
      </c>
      <c r="O48" s="2" t="s">
        <v>6548</v>
      </c>
    </row>
    <row r="49" spans="1:15" ht="43.5" customHeight="1" x14ac:dyDescent="0.5">
      <c r="A49" s="2" t="s">
        <v>90</v>
      </c>
      <c r="B49" s="2" t="s">
        <v>6348</v>
      </c>
      <c r="C49" s="2" t="s">
        <v>6380</v>
      </c>
      <c r="D49" s="2" t="s">
        <v>6562</v>
      </c>
      <c r="E49" s="2" t="s">
        <v>6567</v>
      </c>
      <c r="F49" s="2" t="s">
        <v>6563</v>
      </c>
      <c r="G49" s="2" t="s">
        <v>6542</v>
      </c>
      <c r="H49" s="2" t="s">
        <v>6543</v>
      </c>
      <c r="I49" s="2" t="s">
        <v>6564</v>
      </c>
      <c r="J49" s="2" t="s">
        <v>307</v>
      </c>
      <c r="K49" s="2" t="s">
        <v>6652</v>
      </c>
      <c r="L49" s="2" t="s">
        <v>6653</v>
      </c>
      <c r="M49" s="2" t="s">
        <v>6546</v>
      </c>
      <c r="N49" s="2" t="s">
        <v>6547</v>
      </c>
      <c r="O49" s="2" t="s">
        <v>6548</v>
      </c>
    </row>
    <row r="50" spans="1:15" ht="43.5" customHeight="1" x14ac:dyDescent="0.5">
      <c r="A50" s="2" t="s">
        <v>90</v>
      </c>
      <c r="B50" s="2" t="s">
        <v>6384</v>
      </c>
      <c r="C50" s="2" t="s">
        <v>6385</v>
      </c>
      <c r="D50" s="2" t="s">
        <v>153</v>
      </c>
      <c r="E50" s="2" t="s">
        <v>6567</v>
      </c>
      <c r="F50" s="2" t="s">
        <v>6541</v>
      </c>
      <c r="G50" s="2" t="s">
        <v>6542</v>
      </c>
      <c r="H50" s="2" t="s">
        <v>6543</v>
      </c>
      <c r="I50" s="2" t="s">
        <v>1365</v>
      </c>
      <c r="J50" s="2" t="s">
        <v>307</v>
      </c>
      <c r="K50" s="2" t="s">
        <v>6654</v>
      </c>
      <c r="L50" s="2" t="s">
        <v>6655</v>
      </c>
      <c r="M50" s="2" t="s">
        <v>6546</v>
      </c>
      <c r="N50" s="2" t="s">
        <v>6547</v>
      </c>
      <c r="O50" s="2" t="s">
        <v>6548</v>
      </c>
    </row>
    <row r="51" spans="1:15" ht="43.5" customHeight="1" x14ac:dyDescent="0.5">
      <c r="A51" s="2" t="s">
        <v>90</v>
      </c>
      <c r="B51" s="2" t="s">
        <v>6384</v>
      </c>
      <c r="C51" s="2" t="s">
        <v>6385</v>
      </c>
      <c r="D51" s="2" t="s">
        <v>6549</v>
      </c>
      <c r="E51" s="2" t="s">
        <v>6567</v>
      </c>
      <c r="F51" s="2" t="s">
        <v>3472</v>
      </c>
      <c r="G51" s="2" t="s">
        <v>6542</v>
      </c>
      <c r="H51" s="2" t="s">
        <v>6543</v>
      </c>
      <c r="I51" s="2" t="s">
        <v>1427</v>
      </c>
      <c r="J51" s="2" t="s">
        <v>6631</v>
      </c>
      <c r="K51" s="2" t="s">
        <v>6656</v>
      </c>
      <c r="L51" s="2" t="s">
        <v>6657</v>
      </c>
      <c r="M51" s="2" t="s">
        <v>6546</v>
      </c>
      <c r="N51" s="2" t="s">
        <v>6547</v>
      </c>
      <c r="O51" s="2" t="s">
        <v>6548</v>
      </c>
    </row>
    <row r="52" spans="1:15" ht="43.5" customHeight="1" x14ac:dyDescent="0.5">
      <c r="A52" s="2" t="s">
        <v>90</v>
      </c>
      <c r="B52" s="2" t="s">
        <v>6384</v>
      </c>
      <c r="C52" s="2" t="s">
        <v>6385</v>
      </c>
      <c r="D52" s="2" t="s">
        <v>128</v>
      </c>
      <c r="E52" s="2" t="s">
        <v>6567</v>
      </c>
      <c r="F52" s="2" t="s">
        <v>6552</v>
      </c>
      <c r="G52" s="2" t="s">
        <v>6553</v>
      </c>
      <c r="H52" s="2" t="s">
        <v>6543</v>
      </c>
      <c r="I52" s="2" t="s">
        <v>1427</v>
      </c>
      <c r="J52" s="2" t="s">
        <v>307</v>
      </c>
      <c r="K52" s="2" t="s">
        <v>6658</v>
      </c>
      <c r="L52" s="2" t="s">
        <v>6659</v>
      </c>
      <c r="M52" s="2" t="s">
        <v>6546</v>
      </c>
      <c r="N52" s="2" t="s">
        <v>6547</v>
      </c>
      <c r="O52" s="2" t="s">
        <v>6548</v>
      </c>
    </row>
    <row r="53" spans="1:15" ht="43.5" customHeight="1" x14ac:dyDescent="0.5">
      <c r="A53" s="2" t="s">
        <v>90</v>
      </c>
      <c r="B53" s="2" t="s">
        <v>6384</v>
      </c>
      <c r="C53" s="2" t="s">
        <v>6385</v>
      </c>
      <c r="D53" s="2" t="s">
        <v>6562</v>
      </c>
      <c r="E53" s="2" t="s">
        <v>6567</v>
      </c>
      <c r="F53" s="2" t="s">
        <v>6563</v>
      </c>
      <c r="G53" s="2" t="s">
        <v>6542</v>
      </c>
      <c r="H53" s="2" t="s">
        <v>6543</v>
      </c>
      <c r="I53" s="2" t="s">
        <v>6564</v>
      </c>
      <c r="J53" s="2" t="s">
        <v>307</v>
      </c>
      <c r="K53" s="2" t="s">
        <v>6660</v>
      </c>
      <c r="L53" s="2" t="s">
        <v>6661</v>
      </c>
      <c r="M53" s="2" t="s">
        <v>6546</v>
      </c>
      <c r="N53" s="2" t="s">
        <v>6547</v>
      </c>
      <c r="O53" s="2" t="s">
        <v>6548</v>
      </c>
    </row>
    <row r="54" spans="1:15" ht="43.5" customHeight="1" x14ac:dyDescent="0.5">
      <c r="A54" s="2" t="s">
        <v>90</v>
      </c>
      <c r="B54" s="2" t="s">
        <v>6389</v>
      </c>
      <c r="C54" s="2" t="s">
        <v>6368</v>
      </c>
      <c r="D54" s="2" t="s">
        <v>153</v>
      </c>
      <c r="E54" s="2" t="s">
        <v>6567</v>
      </c>
      <c r="F54" s="2" t="s">
        <v>6541</v>
      </c>
      <c r="G54" s="2" t="s">
        <v>6542</v>
      </c>
      <c r="H54" s="2" t="s">
        <v>6543</v>
      </c>
      <c r="I54" s="2" t="s">
        <v>1365</v>
      </c>
      <c r="J54" s="2" t="s">
        <v>307</v>
      </c>
      <c r="K54" s="2" t="s">
        <v>6662</v>
      </c>
      <c r="L54" s="2" t="s">
        <v>6663</v>
      </c>
      <c r="M54" s="2" t="s">
        <v>6546</v>
      </c>
      <c r="N54" s="2" t="s">
        <v>6547</v>
      </c>
      <c r="O54" s="2" t="s">
        <v>6548</v>
      </c>
    </row>
    <row r="55" spans="1:15" ht="43.5" customHeight="1" x14ac:dyDescent="0.5">
      <c r="A55" s="2" t="s">
        <v>90</v>
      </c>
      <c r="B55" s="2" t="s">
        <v>6389</v>
      </c>
      <c r="C55" s="2" t="s">
        <v>6368</v>
      </c>
      <c r="D55" s="2" t="s">
        <v>6549</v>
      </c>
      <c r="E55" s="2" t="s">
        <v>6567</v>
      </c>
      <c r="F55" s="2" t="s">
        <v>3472</v>
      </c>
      <c r="G55" s="2" t="s">
        <v>6542</v>
      </c>
      <c r="H55" s="2" t="s">
        <v>6543</v>
      </c>
      <c r="I55" s="2" t="s">
        <v>1427</v>
      </c>
      <c r="J55" s="2" t="s">
        <v>6631</v>
      </c>
      <c r="K55" s="2" t="s">
        <v>6664</v>
      </c>
      <c r="L55" s="2" t="s">
        <v>6665</v>
      </c>
      <c r="M55" s="2" t="s">
        <v>6546</v>
      </c>
      <c r="N55" s="2" t="s">
        <v>6547</v>
      </c>
      <c r="O55" s="2" t="s">
        <v>6548</v>
      </c>
    </row>
    <row r="56" spans="1:15" ht="43.5" customHeight="1" x14ac:dyDescent="0.5">
      <c r="A56" s="2" t="s">
        <v>90</v>
      </c>
      <c r="B56" s="2" t="s">
        <v>6389</v>
      </c>
      <c r="C56" s="2" t="s">
        <v>6368</v>
      </c>
      <c r="D56" s="2" t="s">
        <v>128</v>
      </c>
      <c r="E56" s="2" t="s">
        <v>6567</v>
      </c>
      <c r="F56" s="2" t="s">
        <v>6552</v>
      </c>
      <c r="G56" s="2" t="s">
        <v>6553</v>
      </c>
      <c r="H56" s="2" t="s">
        <v>6543</v>
      </c>
      <c r="I56" s="2" t="s">
        <v>1427</v>
      </c>
      <c r="J56" s="2" t="s">
        <v>307</v>
      </c>
      <c r="K56" s="2" t="s">
        <v>6666</v>
      </c>
      <c r="L56" s="2" t="s">
        <v>6667</v>
      </c>
      <c r="M56" s="2" t="s">
        <v>6546</v>
      </c>
      <c r="N56" s="2" t="s">
        <v>6547</v>
      </c>
      <c r="O56" s="2" t="s">
        <v>6548</v>
      </c>
    </row>
    <row r="57" spans="1:15" ht="43.5" customHeight="1" x14ac:dyDescent="0.5">
      <c r="A57" s="2" t="s">
        <v>93</v>
      </c>
      <c r="B57" s="2" t="s">
        <v>6358</v>
      </c>
      <c r="C57" s="2" t="s">
        <v>6372</v>
      </c>
      <c r="D57" s="2" t="s">
        <v>153</v>
      </c>
      <c r="E57" s="2" t="s">
        <v>6567</v>
      </c>
      <c r="F57" s="2" t="s">
        <v>6541</v>
      </c>
      <c r="G57" s="2" t="s">
        <v>6542</v>
      </c>
      <c r="H57" s="2" t="s">
        <v>6543</v>
      </c>
      <c r="I57" s="2" t="s">
        <v>1365</v>
      </c>
      <c r="J57" s="2" t="s">
        <v>307</v>
      </c>
      <c r="K57" s="2" t="s">
        <v>6668</v>
      </c>
      <c r="L57" s="2" t="s">
        <v>6669</v>
      </c>
      <c r="M57" s="2" t="s">
        <v>6546</v>
      </c>
      <c r="N57" s="2" t="s">
        <v>6547</v>
      </c>
      <c r="O57" s="2" t="s">
        <v>6548</v>
      </c>
    </row>
    <row r="58" spans="1:15" ht="43.5" customHeight="1" x14ac:dyDescent="0.5">
      <c r="A58" s="2" t="s">
        <v>93</v>
      </c>
      <c r="B58" s="2" t="s">
        <v>6358</v>
      </c>
      <c r="C58" s="2" t="s">
        <v>6372</v>
      </c>
      <c r="D58" s="2" t="s">
        <v>6549</v>
      </c>
      <c r="E58" s="2" t="s">
        <v>6567</v>
      </c>
      <c r="F58" s="2" t="s">
        <v>3472</v>
      </c>
      <c r="G58" s="2" t="s">
        <v>6542</v>
      </c>
      <c r="H58" s="2" t="s">
        <v>6543</v>
      </c>
      <c r="I58" s="2" t="s">
        <v>1427</v>
      </c>
      <c r="J58" s="2" t="s">
        <v>6608</v>
      </c>
      <c r="K58" s="2" t="s">
        <v>6670</v>
      </c>
      <c r="L58" s="2" t="s">
        <v>6671</v>
      </c>
      <c r="M58" s="2" t="s">
        <v>6546</v>
      </c>
      <c r="N58" s="2" t="s">
        <v>6547</v>
      </c>
      <c r="O58" s="2" t="s">
        <v>6548</v>
      </c>
    </row>
    <row r="59" spans="1:15" ht="43.5" customHeight="1" x14ac:dyDescent="0.5">
      <c r="A59" s="2" t="s">
        <v>93</v>
      </c>
      <c r="B59" s="2" t="s">
        <v>6358</v>
      </c>
      <c r="C59" s="2" t="s">
        <v>6372</v>
      </c>
      <c r="D59" s="2" t="s">
        <v>128</v>
      </c>
      <c r="E59" s="2" t="s">
        <v>6567</v>
      </c>
      <c r="F59" s="2" t="s">
        <v>6552</v>
      </c>
      <c r="G59" s="2" t="s">
        <v>6553</v>
      </c>
      <c r="H59" s="2" t="s">
        <v>6543</v>
      </c>
      <c r="I59" s="2" t="s">
        <v>1427</v>
      </c>
      <c r="J59" s="2" t="s">
        <v>307</v>
      </c>
      <c r="K59" s="2" t="s">
        <v>6672</v>
      </c>
      <c r="L59" s="2" t="s">
        <v>6673</v>
      </c>
      <c r="M59" s="2" t="s">
        <v>6546</v>
      </c>
      <c r="N59" s="2" t="s">
        <v>6547</v>
      </c>
      <c r="O59" s="2" t="s">
        <v>6548</v>
      </c>
    </row>
    <row r="60" spans="1:15" ht="43.5" customHeight="1" x14ac:dyDescent="0.5">
      <c r="A60" s="2" t="s">
        <v>93</v>
      </c>
      <c r="B60" s="2" t="s">
        <v>6358</v>
      </c>
      <c r="C60" s="2" t="s">
        <v>6372</v>
      </c>
      <c r="D60" s="2" t="s">
        <v>6562</v>
      </c>
      <c r="E60" s="2" t="s">
        <v>6567</v>
      </c>
      <c r="F60" s="2" t="s">
        <v>6563</v>
      </c>
      <c r="G60" s="2" t="s">
        <v>6542</v>
      </c>
      <c r="H60" s="2" t="s">
        <v>6543</v>
      </c>
      <c r="I60" s="2" t="s">
        <v>6564</v>
      </c>
      <c r="J60" s="2" t="s">
        <v>307</v>
      </c>
      <c r="K60" s="2" t="s">
        <v>6674</v>
      </c>
      <c r="L60" s="2" t="s">
        <v>6675</v>
      </c>
      <c r="M60" s="2" t="s">
        <v>6546</v>
      </c>
      <c r="N60" s="2" t="s">
        <v>6547</v>
      </c>
      <c r="O60" s="2" t="s">
        <v>6548</v>
      </c>
    </row>
    <row r="61" spans="1:15" ht="43.5" customHeight="1" x14ac:dyDescent="0.5">
      <c r="A61" s="2" t="s">
        <v>93</v>
      </c>
      <c r="B61" s="2" t="s">
        <v>6337</v>
      </c>
      <c r="C61" s="2" t="s">
        <v>6376</v>
      </c>
      <c r="D61" s="2" t="s">
        <v>153</v>
      </c>
      <c r="E61" s="2" t="s">
        <v>6567</v>
      </c>
      <c r="F61" s="2" t="s">
        <v>6541</v>
      </c>
      <c r="G61" s="2" t="s">
        <v>6542</v>
      </c>
      <c r="H61" s="2" t="s">
        <v>6543</v>
      </c>
      <c r="I61" s="2" t="s">
        <v>1365</v>
      </c>
      <c r="J61" s="2" t="s">
        <v>307</v>
      </c>
      <c r="K61" s="2" t="s">
        <v>6676</v>
      </c>
      <c r="L61" s="2" t="s">
        <v>6677</v>
      </c>
      <c r="M61" s="2" t="s">
        <v>6546</v>
      </c>
      <c r="N61" s="2" t="s">
        <v>6547</v>
      </c>
      <c r="O61" s="2" t="s">
        <v>6548</v>
      </c>
    </row>
    <row r="62" spans="1:15" ht="43.5" customHeight="1" x14ac:dyDescent="0.5">
      <c r="A62" s="2" t="s">
        <v>93</v>
      </c>
      <c r="B62" s="2" t="s">
        <v>6337</v>
      </c>
      <c r="C62" s="2" t="s">
        <v>6376</v>
      </c>
      <c r="D62" s="2" t="s">
        <v>6549</v>
      </c>
      <c r="E62" s="2" t="s">
        <v>6567</v>
      </c>
      <c r="F62" s="2" t="s">
        <v>3472</v>
      </c>
      <c r="G62" s="2" t="s">
        <v>6542</v>
      </c>
      <c r="H62" s="2" t="s">
        <v>6543</v>
      </c>
      <c r="I62" s="2" t="s">
        <v>1427</v>
      </c>
      <c r="J62" s="2" t="s">
        <v>6608</v>
      </c>
      <c r="K62" s="2" t="s">
        <v>6678</v>
      </c>
      <c r="L62" s="2" t="s">
        <v>6679</v>
      </c>
      <c r="M62" s="2" t="s">
        <v>6546</v>
      </c>
      <c r="N62" s="2" t="s">
        <v>6547</v>
      </c>
      <c r="O62" s="2" t="s">
        <v>6548</v>
      </c>
    </row>
    <row r="63" spans="1:15" ht="43.5" customHeight="1" x14ac:dyDescent="0.5">
      <c r="A63" s="2" t="s">
        <v>93</v>
      </c>
      <c r="B63" s="2" t="s">
        <v>6337</v>
      </c>
      <c r="C63" s="2" t="s">
        <v>6376</v>
      </c>
      <c r="D63" s="2" t="s">
        <v>128</v>
      </c>
      <c r="E63" s="2" t="s">
        <v>6567</v>
      </c>
      <c r="F63" s="2" t="s">
        <v>6552</v>
      </c>
      <c r="G63" s="2" t="s">
        <v>6553</v>
      </c>
      <c r="H63" s="2" t="s">
        <v>6543</v>
      </c>
      <c r="I63" s="2" t="s">
        <v>1427</v>
      </c>
      <c r="J63" s="2" t="s">
        <v>307</v>
      </c>
      <c r="K63" s="2" t="s">
        <v>6680</v>
      </c>
      <c r="L63" s="2" t="s">
        <v>6681</v>
      </c>
      <c r="M63" s="2" t="s">
        <v>6546</v>
      </c>
      <c r="N63" s="2" t="s">
        <v>6547</v>
      </c>
      <c r="O63" s="2" t="s">
        <v>6548</v>
      </c>
    </row>
    <row r="64" spans="1:15" ht="43.5" customHeight="1" x14ac:dyDescent="0.5">
      <c r="A64" s="2" t="s">
        <v>93</v>
      </c>
      <c r="B64" s="2" t="s">
        <v>6337</v>
      </c>
      <c r="C64" s="2" t="s">
        <v>6376</v>
      </c>
      <c r="D64" s="2" t="s">
        <v>6562</v>
      </c>
      <c r="E64" s="2" t="s">
        <v>6567</v>
      </c>
      <c r="F64" s="2" t="s">
        <v>6563</v>
      </c>
      <c r="G64" s="2" t="s">
        <v>6542</v>
      </c>
      <c r="H64" s="2" t="s">
        <v>6543</v>
      </c>
      <c r="I64" s="2" t="s">
        <v>6564</v>
      </c>
      <c r="J64" s="2" t="s">
        <v>307</v>
      </c>
      <c r="K64" s="2" t="s">
        <v>6682</v>
      </c>
      <c r="L64" s="2" t="s">
        <v>6683</v>
      </c>
      <c r="M64" s="2" t="s">
        <v>6546</v>
      </c>
      <c r="N64" s="2" t="s">
        <v>6547</v>
      </c>
      <c r="O64" s="2" t="s">
        <v>6548</v>
      </c>
    </row>
    <row r="65" spans="1:15" ht="43.5" customHeight="1" x14ac:dyDescent="0.5">
      <c r="A65" s="2" t="s">
        <v>93</v>
      </c>
      <c r="B65" s="2" t="s">
        <v>6348</v>
      </c>
      <c r="C65" s="2" t="s">
        <v>6380</v>
      </c>
      <c r="D65" s="2" t="s">
        <v>153</v>
      </c>
      <c r="E65" s="2" t="s">
        <v>6567</v>
      </c>
      <c r="F65" s="2" t="s">
        <v>6541</v>
      </c>
      <c r="G65" s="2" t="s">
        <v>6542</v>
      </c>
      <c r="H65" s="2" t="s">
        <v>6543</v>
      </c>
      <c r="I65" s="2" t="s">
        <v>1365</v>
      </c>
      <c r="J65" s="2" t="s">
        <v>307</v>
      </c>
      <c r="K65" s="2" t="s">
        <v>6684</v>
      </c>
      <c r="L65" s="2" t="s">
        <v>6685</v>
      </c>
      <c r="M65" s="2" t="s">
        <v>6546</v>
      </c>
      <c r="N65" s="2" t="s">
        <v>6547</v>
      </c>
      <c r="O65" s="2" t="s">
        <v>6548</v>
      </c>
    </row>
    <row r="66" spans="1:15" ht="43.5" customHeight="1" x14ac:dyDescent="0.5">
      <c r="A66" s="2" t="s">
        <v>93</v>
      </c>
      <c r="B66" s="2" t="s">
        <v>6348</v>
      </c>
      <c r="C66" s="2" t="s">
        <v>6380</v>
      </c>
      <c r="D66" s="2" t="s">
        <v>6549</v>
      </c>
      <c r="E66" s="2" t="s">
        <v>6567</v>
      </c>
      <c r="F66" s="2" t="s">
        <v>3472</v>
      </c>
      <c r="G66" s="2" t="s">
        <v>6542</v>
      </c>
      <c r="H66" s="2" t="s">
        <v>6543</v>
      </c>
      <c r="I66" s="2" t="s">
        <v>1427</v>
      </c>
      <c r="J66" s="2" t="s">
        <v>6608</v>
      </c>
      <c r="K66" s="2" t="s">
        <v>6686</v>
      </c>
      <c r="L66" s="2" t="s">
        <v>6687</v>
      </c>
      <c r="M66" s="2" t="s">
        <v>6546</v>
      </c>
      <c r="N66" s="2" t="s">
        <v>6547</v>
      </c>
      <c r="O66" s="2" t="s">
        <v>6548</v>
      </c>
    </row>
    <row r="67" spans="1:15" ht="43.5" customHeight="1" x14ac:dyDescent="0.5">
      <c r="A67" s="2" t="s">
        <v>93</v>
      </c>
      <c r="B67" s="2" t="s">
        <v>6348</v>
      </c>
      <c r="C67" s="2" t="s">
        <v>6380</v>
      </c>
      <c r="D67" s="2" t="s">
        <v>128</v>
      </c>
      <c r="E67" s="2" t="s">
        <v>6567</v>
      </c>
      <c r="F67" s="2" t="s">
        <v>6552</v>
      </c>
      <c r="G67" s="2" t="s">
        <v>6553</v>
      </c>
      <c r="H67" s="2" t="s">
        <v>6543</v>
      </c>
      <c r="I67" s="2" t="s">
        <v>1427</v>
      </c>
      <c r="J67" s="2" t="s">
        <v>307</v>
      </c>
      <c r="K67" s="2" t="s">
        <v>6688</v>
      </c>
      <c r="L67" s="2" t="s">
        <v>6689</v>
      </c>
      <c r="M67" s="2" t="s">
        <v>6546</v>
      </c>
      <c r="N67" s="2" t="s">
        <v>6547</v>
      </c>
      <c r="O67" s="2" t="s">
        <v>6548</v>
      </c>
    </row>
    <row r="68" spans="1:15" ht="43.5" customHeight="1" x14ac:dyDescent="0.5">
      <c r="A68" s="2" t="s">
        <v>93</v>
      </c>
      <c r="B68" s="2" t="s">
        <v>6348</v>
      </c>
      <c r="C68" s="2" t="s">
        <v>6380</v>
      </c>
      <c r="D68" s="2" t="s">
        <v>6562</v>
      </c>
      <c r="E68" s="2" t="s">
        <v>6567</v>
      </c>
      <c r="F68" s="2" t="s">
        <v>6563</v>
      </c>
      <c r="G68" s="2" t="s">
        <v>6542</v>
      </c>
      <c r="H68" s="2" t="s">
        <v>6543</v>
      </c>
      <c r="I68" s="2" t="s">
        <v>6564</v>
      </c>
      <c r="J68" s="2" t="s">
        <v>307</v>
      </c>
      <c r="K68" s="2" t="s">
        <v>6690</v>
      </c>
      <c r="L68" s="2" t="s">
        <v>6691</v>
      </c>
      <c r="M68" s="2" t="s">
        <v>6546</v>
      </c>
      <c r="N68" s="2" t="s">
        <v>6547</v>
      </c>
      <c r="O68" s="2" t="s">
        <v>6548</v>
      </c>
    </row>
    <row r="69" spans="1:15" ht="43.5" customHeight="1" x14ac:dyDescent="0.5">
      <c r="A69" s="2" t="s">
        <v>93</v>
      </c>
      <c r="B69" s="2" t="s">
        <v>6384</v>
      </c>
      <c r="C69" s="2" t="s">
        <v>6385</v>
      </c>
      <c r="D69" s="2" t="s">
        <v>153</v>
      </c>
      <c r="E69" s="2" t="s">
        <v>6567</v>
      </c>
      <c r="F69" s="2" t="s">
        <v>6541</v>
      </c>
      <c r="G69" s="2" t="s">
        <v>6542</v>
      </c>
      <c r="H69" s="2" t="s">
        <v>6543</v>
      </c>
      <c r="I69" s="2" t="s">
        <v>1365</v>
      </c>
      <c r="J69" s="2" t="s">
        <v>307</v>
      </c>
      <c r="K69" s="2" t="s">
        <v>6692</v>
      </c>
      <c r="L69" s="2" t="s">
        <v>6693</v>
      </c>
      <c r="M69" s="2" t="s">
        <v>6546</v>
      </c>
      <c r="N69" s="2" t="s">
        <v>6547</v>
      </c>
      <c r="O69" s="2" t="s">
        <v>6548</v>
      </c>
    </row>
    <row r="70" spans="1:15" ht="43.5" customHeight="1" x14ac:dyDescent="0.5">
      <c r="A70" s="2" t="s">
        <v>93</v>
      </c>
      <c r="B70" s="2" t="s">
        <v>6384</v>
      </c>
      <c r="C70" s="2" t="s">
        <v>6385</v>
      </c>
      <c r="D70" s="2" t="s">
        <v>6549</v>
      </c>
      <c r="E70" s="2" t="s">
        <v>6567</v>
      </c>
      <c r="F70" s="2" t="s">
        <v>3472</v>
      </c>
      <c r="G70" s="2" t="s">
        <v>6542</v>
      </c>
      <c r="H70" s="2" t="s">
        <v>6543</v>
      </c>
      <c r="I70" s="2" t="s">
        <v>1427</v>
      </c>
      <c r="J70" s="2" t="s">
        <v>6608</v>
      </c>
      <c r="K70" s="2" t="s">
        <v>6694</v>
      </c>
      <c r="L70" s="2" t="s">
        <v>6695</v>
      </c>
      <c r="M70" s="2" t="s">
        <v>6546</v>
      </c>
      <c r="N70" s="2" t="s">
        <v>6547</v>
      </c>
      <c r="O70" s="2" t="s">
        <v>6548</v>
      </c>
    </row>
    <row r="71" spans="1:15" ht="43.5" customHeight="1" x14ac:dyDescent="0.5">
      <c r="A71" s="2" t="s">
        <v>93</v>
      </c>
      <c r="B71" s="2" t="s">
        <v>6384</v>
      </c>
      <c r="C71" s="2" t="s">
        <v>6385</v>
      </c>
      <c r="D71" s="2" t="s">
        <v>128</v>
      </c>
      <c r="E71" s="2" t="s">
        <v>6567</v>
      </c>
      <c r="F71" s="2" t="s">
        <v>6552</v>
      </c>
      <c r="G71" s="2" t="s">
        <v>6553</v>
      </c>
      <c r="H71" s="2" t="s">
        <v>6543</v>
      </c>
      <c r="I71" s="2" t="s">
        <v>1427</v>
      </c>
      <c r="J71" s="2" t="s">
        <v>307</v>
      </c>
      <c r="K71" s="2" t="s">
        <v>6696</v>
      </c>
      <c r="L71" s="2" t="s">
        <v>6697</v>
      </c>
      <c r="M71" s="2" t="s">
        <v>6546</v>
      </c>
      <c r="N71" s="2" t="s">
        <v>6547</v>
      </c>
      <c r="O71" s="2" t="s">
        <v>6548</v>
      </c>
    </row>
    <row r="72" spans="1:15" ht="43.5" customHeight="1" x14ac:dyDescent="0.5">
      <c r="A72" s="2" t="s">
        <v>93</v>
      </c>
      <c r="B72" s="2" t="s">
        <v>6384</v>
      </c>
      <c r="C72" s="2" t="s">
        <v>6385</v>
      </c>
      <c r="D72" s="2" t="s">
        <v>6562</v>
      </c>
      <c r="E72" s="2" t="s">
        <v>6567</v>
      </c>
      <c r="F72" s="2" t="s">
        <v>6563</v>
      </c>
      <c r="G72" s="2" t="s">
        <v>6542</v>
      </c>
      <c r="H72" s="2" t="s">
        <v>6543</v>
      </c>
      <c r="I72" s="2" t="s">
        <v>6564</v>
      </c>
      <c r="J72" s="2" t="s">
        <v>307</v>
      </c>
      <c r="K72" s="2" t="s">
        <v>6698</v>
      </c>
      <c r="L72" s="2" t="s">
        <v>6699</v>
      </c>
      <c r="M72" s="2" t="s">
        <v>6546</v>
      </c>
      <c r="N72" s="2" t="s">
        <v>6547</v>
      </c>
      <c r="O72" s="2" t="s">
        <v>6548</v>
      </c>
    </row>
    <row r="73" spans="1:15" ht="43.5" customHeight="1" x14ac:dyDescent="0.5">
      <c r="A73" s="2" t="s">
        <v>96</v>
      </c>
      <c r="B73" s="2" t="s">
        <v>6358</v>
      </c>
      <c r="C73" s="2" t="s">
        <v>6405</v>
      </c>
      <c r="D73" s="2" t="s">
        <v>153</v>
      </c>
      <c r="E73" s="2" t="s">
        <v>6567</v>
      </c>
      <c r="F73" s="2" t="s">
        <v>6541</v>
      </c>
      <c r="G73" s="2" t="s">
        <v>6542</v>
      </c>
      <c r="H73" s="2" t="s">
        <v>6543</v>
      </c>
      <c r="I73" s="2" t="s">
        <v>1365</v>
      </c>
      <c r="J73" s="2" t="s">
        <v>307</v>
      </c>
      <c r="K73" s="2" t="s">
        <v>6700</v>
      </c>
      <c r="L73" s="2" t="s">
        <v>6701</v>
      </c>
      <c r="M73" s="2" t="s">
        <v>6546</v>
      </c>
      <c r="N73" s="2" t="s">
        <v>6547</v>
      </c>
      <c r="O73" s="2" t="s">
        <v>6548</v>
      </c>
    </row>
    <row r="74" spans="1:15" ht="43.5" customHeight="1" x14ac:dyDescent="0.5">
      <c r="A74" s="2" t="s">
        <v>96</v>
      </c>
      <c r="B74" s="2" t="s">
        <v>6358</v>
      </c>
      <c r="C74" s="2" t="s">
        <v>6405</v>
      </c>
      <c r="D74" s="2" t="s">
        <v>6549</v>
      </c>
      <c r="E74" s="2" t="s">
        <v>6567</v>
      </c>
      <c r="F74" s="2" t="s">
        <v>3472</v>
      </c>
      <c r="G74" s="2" t="s">
        <v>6542</v>
      </c>
      <c r="H74" s="2" t="s">
        <v>6543</v>
      </c>
      <c r="I74" s="2" t="s">
        <v>1427</v>
      </c>
      <c r="J74" s="2" t="s">
        <v>6608</v>
      </c>
      <c r="K74" s="2" t="s">
        <v>6702</v>
      </c>
      <c r="L74" s="2" t="s">
        <v>6703</v>
      </c>
      <c r="M74" s="2" t="s">
        <v>6546</v>
      </c>
      <c r="N74" s="2" t="s">
        <v>6547</v>
      </c>
      <c r="O74" s="2" t="s">
        <v>6548</v>
      </c>
    </row>
    <row r="75" spans="1:15" ht="43.5" customHeight="1" x14ac:dyDescent="0.5">
      <c r="A75" s="2" t="s">
        <v>96</v>
      </c>
      <c r="B75" s="2" t="s">
        <v>6358</v>
      </c>
      <c r="C75" s="2" t="s">
        <v>6405</v>
      </c>
      <c r="D75" s="2" t="s">
        <v>128</v>
      </c>
      <c r="E75" s="2" t="s">
        <v>6567</v>
      </c>
      <c r="F75" s="2" t="s">
        <v>6552</v>
      </c>
      <c r="G75" s="2" t="s">
        <v>6553</v>
      </c>
      <c r="H75" s="2" t="s">
        <v>6543</v>
      </c>
      <c r="I75" s="2" t="s">
        <v>1427</v>
      </c>
      <c r="J75" s="2" t="s">
        <v>307</v>
      </c>
      <c r="K75" s="2" t="s">
        <v>6704</v>
      </c>
      <c r="L75" s="2" t="s">
        <v>6705</v>
      </c>
      <c r="M75" s="2" t="s">
        <v>6546</v>
      </c>
      <c r="N75" s="2" t="s">
        <v>6547</v>
      </c>
      <c r="O75" s="2" t="s">
        <v>6548</v>
      </c>
    </row>
    <row r="76" spans="1:15" ht="43.5" customHeight="1" x14ac:dyDescent="0.5">
      <c r="A76" s="2" t="s">
        <v>96</v>
      </c>
      <c r="B76" s="2" t="s">
        <v>6358</v>
      </c>
      <c r="C76" s="2" t="s">
        <v>6405</v>
      </c>
      <c r="D76" s="2" t="s">
        <v>6562</v>
      </c>
      <c r="E76" s="2" t="s">
        <v>6567</v>
      </c>
      <c r="F76" s="2" t="s">
        <v>6563</v>
      </c>
      <c r="G76" s="2" t="s">
        <v>6542</v>
      </c>
      <c r="H76" s="2" t="s">
        <v>6543</v>
      </c>
      <c r="I76" s="2" t="s">
        <v>6564</v>
      </c>
      <c r="J76" s="2" t="s">
        <v>307</v>
      </c>
      <c r="K76" s="2" t="s">
        <v>6706</v>
      </c>
      <c r="L76" s="2" t="s">
        <v>6707</v>
      </c>
      <c r="M76" s="2" t="s">
        <v>6546</v>
      </c>
      <c r="N76" s="2" t="s">
        <v>6547</v>
      </c>
      <c r="O76" s="2" t="s">
        <v>6548</v>
      </c>
    </row>
    <row r="77" spans="1:15" ht="43.5" customHeight="1" x14ac:dyDescent="0.5">
      <c r="A77" s="2" t="s">
        <v>96</v>
      </c>
      <c r="B77" s="2" t="s">
        <v>6337</v>
      </c>
      <c r="C77" s="2" t="s">
        <v>6409</v>
      </c>
      <c r="D77" s="2" t="s">
        <v>153</v>
      </c>
      <c r="E77" s="2" t="s">
        <v>6567</v>
      </c>
      <c r="F77" s="2" t="s">
        <v>6541</v>
      </c>
      <c r="G77" s="2" t="s">
        <v>6542</v>
      </c>
      <c r="H77" s="2" t="s">
        <v>6543</v>
      </c>
      <c r="I77" s="2" t="s">
        <v>1365</v>
      </c>
      <c r="J77" s="2" t="s">
        <v>307</v>
      </c>
      <c r="K77" s="2" t="s">
        <v>6708</v>
      </c>
      <c r="L77" s="2" t="s">
        <v>6709</v>
      </c>
      <c r="M77" s="2" t="s">
        <v>6546</v>
      </c>
      <c r="N77" s="2" t="s">
        <v>6547</v>
      </c>
      <c r="O77" s="2" t="s">
        <v>6548</v>
      </c>
    </row>
    <row r="78" spans="1:15" ht="43.5" customHeight="1" x14ac:dyDescent="0.5">
      <c r="A78" s="2" t="s">
        <v>96</v>
      </c>
      <c r="B78" s="2" t="s">
        <v>6337</v>
      </c>
      <c r="C78" s="2" t="s">
        <v>6409</v>
      </c>
      <c r="D78" s="2" t="s">
        <v>6549</v>
      </c>
      <c r="E78" s="2" t="s">
        <v>6567</v>
      </c>
      <c r="F78" s="2" t="s">
        <v>3472</v>
      </c>
      <c r="G78" s="2" t="s">
        <v>6542</v>
      </c>
      <c r="H78" s="2" t="s">
        <v>6543</v>
      </c>
      <c r="I78" s="2" t="s">
        <v>1427</v>
      </c>
      <c r="J78" s="2" t="s">
        <v>6608</v>
      </c>
      <c r="K78" s="2" t="s">
        <v>6710</v>
      </c>
      <c r="L78" s="2" t="s">
        <v>6711</v>
      </c>
      <c r="M78" s="2" t="s">
        <v>6546</v>
      </c>
      <c r="N78" s="2" t="s">
        <v>6547</v>
      </c>
      <c r="O78" s="2" t="s">
        <v>6548</v>
      </c>
    </row>
    <row r="79" spans="1:15" ht="43.5" customHeight="1" x14ac:dyDescent="0.5">
      <c r="A79" s="2" t="s">
        <v>96</v>
      </c>
      <c r="B79" s="2" t="s">
        <v>6337</v>
      </c>
      <c r="C79" s="2" t="s">
        <v>6409</v>
      </c>
      <c r="D79" s="2" t="s">
        <v>128</v>
      </c>
      <c r="E79" s="2" t="s">
        <v>6567</v>
      </c>
      <c r="F79" s="2" t="s">
        <v>6552</v>
      </c>
      <c r="G79" s="2" t="s">
        <v>6553</v>
      </c>
      <c r="H79" s="2" t="s">
        <v>6543</v>
      </c>
      <c r="I79" s="2" t="s">
        <v>1427</v>
      </c>
      <c r="J79" s="2" t="s">
        <v>307</v>
      </c>
      <c r="K79" s="2" t="s">
        <v>6712</v>
      </c>
      <c r="L79" s="2" t="s">
        <v>6713</v>
      </c>
      <c r="M79" s="2" t="s">
        <v>6546</v>
      </c>
      <c r="N79" s="2" t="s">
        <v>6547</v>
      </c>
      <c r="O79" s="2" t="s">
        <v>6548</v>
      </c>
    </row>
    <row r="80" spans="1:15" ht="43.5" customHeight="1" x14ac:dyDescent="0.5">
      <c r="A80" s="2" t="s">
        <v>96</v>
      </c>
      <c r="B80" s="2" t="s">
        <v>6337</v>
      </c>
      <c r="C80" s="2" t="s">
        <v>6409</v>
      </c>
      <c r="D80" s="2" t="s">
        <v>6562</v>
      </c>
      <c r="E80" s="2" t="s">
        <v>6567</v>
      </c>
      <c r="F80" s="2" t="s">
        <v>6563</v>
      </c>
      <c r="G80" s="2" t="s">
        <v>6542</v>
      </c>
      <c r="H80" s="2" t="s">
        <v>6543</v>
      </c>
      <c r="I80" s="2" t="s">
        <v>6564</v>
      </c>
      <c r="J80" s="2" t="s">
        <v>307</v>
      </c>
      <c r="K80" s="2" t="s">
        <v>6714</v>
      </c>
      <c r="L80" s="2" t="s">
        <v>6715</v>
      </c>
      <c r="M80" s="2" t="s">
        <v>6546</v>
      </c>
      <c r="N80" s="2" t="s">
        <v>6547</v>
      </c>
      <c r="O80" s="2" t="s">
        <v>6548</v>
      </c>
    </row>
    <row r="81" spans="1:15" ht="43.5" customHeight="1" x14ac:dyDescent="0.5">
      <c r="A81" s="2" t="s">
        <v>96</v>
      </c>
      <c r="B81" s="2" t="s">
        <v>6384</v>
      </c>
      <c r="C81" s="2" t="s">
        <v>6368</v>
      </c>
      <c r="D81" s="2" t="s">
        <v>153</v>
      </c>
      <c r="E81" s="2" t="s">
        <v>6567</v>
      </c>
      <c r="F81" s="2" t="s">
        <v>6541</v>
      </c>
      <c r="G81" s="2" t="s">
        <v>6542</v>
      </c>
      <c r="H81" s="2" t="s">
        <v>6543</v>
      </c>
      <c r="I81" s="2" t="s">
        <v>1365</v>
      </c>
      <c r="J81" s="2" t="s">
        <v>307</v>
      </c>
      <c r="K81" s="2" t="s">
        <v>6716</v>
      </c>
      <c r="L81" s="2" t="s">
        <v>6717</v>
      </c>
      <c r="M81" s="2" t="s">
        <v>6546</v>
      </c>
      <c r="N81" s="2" t="s">
        <v>6547</v>
      </c>
      <c r="O81" s="2" t="s">
        <v>6548</v>
      </c>
    </row>
    <row r="82" spans="1:15" ht="43.5" customHeight="1" x14ac:dyDescent="0.5">
      <c r="A82" s="2" t="s">
        <v>96</v>
      </c>
      <c r="B82" s="2" t="s">
        <v>6384</v>
      </c>
      <c r="C82" s="2" t="s">
        <v>6368</v>
      </c>
      <c r="D82" s="2" t="s">
        <v>6549</v>
      </c>
      <c r="E82" s="2" t="s">
        <v>6567</v>
      </c>
      <c r="F82" s="2" t="s">
        <v>3472</v>
      </c>
      <c r="G82" s="2" t="s">
        <v>6542</v>
      </c>
      <c r="H82" s="2" t="s">
        <v>6543</v>
      </c>
      <c r="I82" s="2" t="s">
        <v>1427</v>
      </c>
      <c r="J82" s="2" t="s">
        <v>6608</v>
      </c>
      <c r="K82" s="2" t="s">
        <v>6718</v>
      </c>
      <c r="L82" s="2" t="s">
        <v>6719</v>
      </c>
      <c r="M82" s="2" t="s">
        <v>6546</v>
      </c>
      <c r="N82" s="2" t="s">
        <v>6547</v>
      </c>
      <c r="O82" s="2" t="s">
        <v>6548</v>
      </c>
    </row>
    <row r="83" spans="1:15" ht="43.5" customHeight="1" x14ac:dyDescent="0.5">
      <c r="A83" s="2" t="s">
        <v>96</v>
      </c>
      <c r="B83" s="2" t="s">
        <v>6384</v>
      </c>
      <c r="C83" s="2" t="s">
        <v>6368</v>
      </c>
      <c r="D83" s="2" t="s">
        <v>128</v>
      </c>
      <c r="E83" s="2" t="s">
        <v>6567</v>
      </c>
      <c r="F83" s="2" t="s">
        <v>6552</v>
      </c>
      <c r="G83" s="2" t="s">
        <v>6553</v>
      </c>
      <c r="H83" s="2" t="s">
        <v>6543</v>
      </c>
      <c r="I83" s="2" t="s">
        <v>1427</v>
      </c>
      <c r="J83" s="2" t="s">
        <v>307</v>
      </c>
      <c r="K83" s="2" t="s">
        <v>6720</v>
      </c>
      <c r="L83" s="2" t="s">
        <v>6721</v>
      </c>
      <c r="M83" s="2" t="s">
        <v>6546</v>
      </c>
      <c r="N83" s="2" t="s">
        <v>6547</v>
      </c>
      <c r="O83" s="2" t="s">
        <v>6548</v>
      </c>
    </row>
    <row r="84" spans="1:15" ht="43.5" customHeight="1" x14ac:dyDescent="0.5">
      <c r="A84" s="2" t="s">
        <v>99</v>
      </c>
      <c r="B84" s="2" t="s">
        <v>6358</v>
      </c>
      <c r="C84" s="2" t="s">
        <v>6416</v>
      </c>
      <c r="D84" s="2" t="s">
        <v>153</v>
      </c>
      <c r="E84" s="2" t="s">
        <v>6567</v>
      </c>
      <c r="F84" s="2" t="s">
        <v>6541</v>
      </c>
      <c r="G84" s="2" t="s">
        <v>6542</v>
      </c>
      <c r="H84" s="2" t="s">
        <v>6543</v>
      </c>
      <c r="I84" s="2" t="s">
        <v>1365</v>
      </c>
      <c r="J84" s="2" t="s">
        <v>307</v>
      </c>
      <c r="K84" s="2" t="s">
        <v>6722</v>
      </c>
      <c r="L84" s="2" t="s">
        <v>6723</v>
      </c>
      <c r="M84" s="2" t="s">
        <v>6546</v>
      </c>
      <c r="N84" s="2" t="s">
        <v>6547</v>
      </c>
      <c r="O84" s="2" t="s">
        <v>6548</v>
      </c>
    </row>
    <row r="85" spans="1:15" ht="43.5" customHeight="1" x14ac:dyDescent="0.5">
      <c r="A85" s="2" t="s">
        <v>99</v>
      </c>
      <c r="B85" s="2" t="s">
        <v>6358</v>
      </c>
      <c r="C85" s="2" t="s">
        <v>6416</v>
      </c>
      <c r="D85" s="2" t="s">
        <v>6549</v>
      </c>
      <c r="E85" s="2" t="s">
        <v>6567</v>
      </c>
      <c r="F85" s="2" t="s">
        <v>3472</v>
      </c>
      <c r="G85" s="2" t="s">
        <v>6542</v>
      </c>
      <c r="H85" s="2" t="s">
        <v>6543</v>
      </c>
      <c r="I85" s="2" t="s">
        <v>1427</v>
      </c>
      <c r="J85" s="2" t="s">
        <v>195</v>
      </c>
      <c r="K85" s="2" t="s">
        <v>6724</v>
      </c>
      <c r="L85" s="2" t="s">
        <v>6725</v>
      </c>
      <c r="M85" s="2" t="s">
        <v>6546</v>
      </c>
      <c r="N85" s="2" t="s">
        <v>6547</v>
      </c>
      <c r="O85" s="2" t="s">
        <v>6548</v>
      </c>
    </row>
    <row r="86" spans="1:15" ht="43.5" customHeight="1" x14ac:dyDescent="0.5">
      <c r="A86" s="2" t="s">
        <v>99</v>
      </c>
      <c r="B86" s="2" t="s">
        <v>6358</v>
      </c>
      <c r="C86" s="2" t="s">
        <v>6416</v>
      </c>
      <c r="D86" s="2" t="s">
        <v>128</v>
      </c>
      <c r="E86" s="2" t="s">
        <v>6567</v>
      </c>
      <c r="F86" s="2" t="s">
        <v>6552</v>
      </c>
      <c r="G86" s="2" t="s">
        <v>6553</v>
      </c>
      <c r="H86" s="2" t="s">
        <v>6543</v>
      </c>
      <c r="I86" s="2" t="s">
        <v>1427</v>
      </c>
      <c r="J86" s="2" t="s">
        <v>307</v>
      </c>
      <c r="K86" s="2" t="s">
        <v>6726</v>
      </c>
      <c r="L86" s="2" t="s">
        <v>6727</v>
      </c>
      <c r="M86" s="2" t="s">
        <v>6546</v>
      </c>
      <c r="N86" s="2" t="s">
        <v>6547</v>
      </c>
      <c r="O86" s="2" t="s">
        <v>6548</v>
      </c>
    </row>
    <row r="87" spans="1:15" ht="43.5" customHeight="1" x14ac:dyDescent="0.5">
      <c r="A87" s="2" t="s">
        <v>99</v>
      </c>
      <c r="B87" s="2" t="s">
        <v>6358</v>
      </c>
      <c r="C87" s="2" t="s">
        <v>6416</v>
      </c>
      <c r="D87" s="2" t="s">
        <v>6562</v>
      </c>
      <c r="E87" s="2" t="s">
        <v>6567</v>
      </c>
      <c r="F87" s="2" t="s">
        <v>6563</v>
      </c>
      <c r="G87" s="2" t="s">
        <v>6542</v>
      </c>
      <c r="H87" s="2" t="s">
        <v>6543</v>
      </c>
      <c r="I87" s="2" t="s">
        <v>6564</v>
      </c>
      <c r="J87" s="2" t="s">
        <v>307</v>
      </c>
      <c r="K87" s="2" t="s">
        <v>6728</v>
      </c>
      <c r="L87" s="2" t="s">
        <v>6729</v>
      </c>
      <c r="M87" s="2" t="s">
        <v>6546</v>
      </c>
      <c r="N87" s="2" t="s">
        <v>6547</v>
      </c>
      <c r="O87" s="2" t="s">
        <v>6548</v>
      </c>
    </row>
    <row r="88" spans="1:15" ht="43.5" customHeight="1" x14ac:dyDescent="0.5">
      <c r="A88" s="2" t="s">
        <v>102</v>
      </c>
      <c r="B88" s="2" t="s">
        <v>6358</v>
      </c>
      <c r="C88" s="2" t="s">
        <v>6420</v>
      </c>
      <c r="D88" s="2" t="s">
        <v>153</v>
      </c>
      <c r="E88" s="2" t="s">
        <v>6567</v>
      </c>
      <c r="F88" s="2" t="s">
        <v>6541</v>
      </c>
      <c r="G88" s="2" t="s">
        <v>6542</v>
      </c>
      <c r="H88" s="2" t="s">
        <v>6543</v>
      </c>
      <c r="I88" s="2" t="s">
        <v>1365</v>
      </c>
      <c r="J88" s="2" t="s">
        <v>307</v>
      </c>
      <c r="K88" s="2" t="s">
        <v>6730</v>
      </c>
      <c r="L88" s="2" t="s">
        <v>6731</v>
      </c>
      <c r="M88" s="2" t="s">
        <v>6546</v>
      </c>
      <c r="N88" s="2" t="s">
        <v>6547</v>
      </c>
      <c r="O88" s="2" t="s">
        <v>6548</v>
      </c>
    </row>
    <row r="89" spans="1:15" ht="43.5" customHeight="1" x14ac:dyDescent="0.5">
      <c r="A89" s="2" t="s">
        <v>102</v>
      </c>
      <c r="B89" s="2" t="s">
        <v>6358</v>
      </c>
      <c r="C89" s="2" t="s">
        <v>6420</v>
      </c>
      <c r="D89" s="2" t="s">
        <v>6549</v>
      </c>
      <c r="E89" s="2" t="s">
        <v>6567</v>
      </c>
      <c r="F89" s="2" t="s">
        <v>3472</v>
      </c>
      <c r="G89" s="2" t="s">
        <v>6542</v>
      </c>
      <c r="H89" s="2" t="s">
        <v>6543</v>
      </c>
      <c r="I89" s="2" t="s">
        <v>1427</v>
      </c>
      <c r="J89" s="2" t="s">
        <v>6732</v>
      </c>
      <c r="K89" s="2" t="s">
        <v>6733</v>
      </c>
      <c r="L89" s="2" t="s">
        <v>6734</v>
      </c>
      <c r="M89" s="2" t="s">
        <v>6546</v>
      </c>
      <c r="N89" s="2" t="s">
        <v>6547</v>
      </c>
      <c r="O89" s="2" t="s">
        <v>6548</v>
      </c>
    </row>
    <row r="90" spans="1:15" ht="43.5" customHeight="1" x14ac:dyDescent="0.5">
      <c r="A90" s="2" t="s">
        <v>102</v>
      </c>
      <c r="B90" s="2" t="s">
        <v>6358</v>
      </c>
      <c r="C90" s="2" t="s">
        <v>6420</v>
      </c>
      <c r="D90" s="2" t="s">
        <v>128</v>
      </c>
      <c r="E90" s="2" t="s">
        <v>6567</v>
      </c>
      <c r="F90" s="2" t="s">
        <v>6552</v>
      </c>
      <c r="G90" s="2" t="s">
        <v>6553</v>
      </c>
      <c r="H90" s="2" t="s">
        <v>6543</v>
      </c>
      <c r="I90" s="2" t="s">
        <v>1427</v>
      </c>
      <c r="J90" s="2" t="s">
        <v>307</v>
      </c>
      <c r="K90" s="2" t="s">
        <v>6735</v>
      </c>
      <c r="L90" s="2" t="s">
        <v>6736</v>
      </c>
      <c r="M90" s="2" t="s">
        <v>6546</v>
      </c>
      <c r="N90" s="2" t="s">
        <v>6547</v>
      </c>
      <c r="O90" s="2" t="s">
        <v>6548</v>
      </c>
    </row>
    <row r="91" spans="1:15" ht="43.5" customHeight="1" x14ac:dyDescent="0.5">
      <c r="A91" s="2" t="s">
        <v>102</v>
      </c>
      <c r="B91" s="2" t="s">
        <v>6358</v>
      </c>
      <c r="C91" s="2" t="s">
        <v>6420</v>
      </c>
      <c r="D91" s="2" t="s">
        <v>6562</v>
      </c>
      <c r="E91" s="2" t="s">
        <v>6567</v>
      </c>
      <c r="F91" s="2" t="s">
        <v>6563</v>
      </c>
      <c r="G91" s="2" t="s">
        <v>6542</v>
      </c>
      <c r="H91" s="2" t="s">
        <v>6543</v>
      </c>
      <c r="I91" s="2" t="s">
        <v>6564</v>
      </c>
      <c r="J91" s="2" t="s">
        <v>307</v>
      </c>
      <c r="K91" s="2" t="s">
        <v>6737</v>
      </c>
      <c r="L91" s="2" t="s">
        <v>6738</v>
      </c>
      <c r="M91" s="2" t="s">
        <v>6546</v>
      </c>
      <c r="N91" s="2" t="s">
        <v>6547</v>
      </c>
      <c r="O91" s="2" t="s">
        <v>6548</v>
      </c>
    </row>
    <row r="92" spans="1:15" ht="43.5" customHeight="1" x14ac:dyDescent="0.5">
      <c r="A92" s="2" t="s">
        <v>105</v>
      </c>
      <c r="B92" s="2" t="s">
        <v>6337</v>
      </c>
      <c r="C92" s="2" t="s">
        <v>6424</v>
      </c>
      <c r="D92" s="2" t="s">
        <v>153</v>
      </c>
      <c r="E92" s="2" t="s">
        <v>6567</v>
      </c>
      <c r="F92" s="2" t="s">
        <v>6541</v>
      </c>
      <c r="G92" s="2" t="s">
        <v>6542</v>
      </c>
      <c r="H92" s="2" t="s">
        <v>6543</v>
      </c>
      <c r="I92" s="2" t="s">
        <v>1365</v>
      </c>
      <c r="J92" s="2" t="s">
        <v>6739</v>
      </c>
      <c r="K92" s="2" t="s">
        <v>6740</v>
      </c>
      <c r="L92" s="2" t="s">
        <v>6741</v>
      </c>
      <c r="M92" s="2" t="s">
        <v>6546</v>
      </c>
      <c r="N92" s="2" t="s">
        <v>6547</v>
      </c>
      <c r="O92" s="2" t="s">
        <v>6548</v>
      </c>
    </row>
    <row r="93" spans="1:15" ht="43.5" customHeight="1" x14ac:dyDescent="0.5">
      <c r="A93" s="2" t="s">
        <v>105</v>
      </c>
      <c r="B93" s="2" t="s">
        <v>6337</v>
      </c>
      <c r="C93" s="2" t="s">
        <v>6424</v>
      </c>
      <c r="D93" s="2" t="s">
        <v>6549</v>
      </c>
      <c r="E93" s="2" t="s">
        <v>6567</v>
      </c>
      <c r="F93" s="2" t="s">
        <v>3472</v>
      </c>
      <c r="G93" s="2" t="s">
        <v>6542</v>
      </c>
      <c r="H93" s="2" t="s">
        <v>6543</v>
      </c>
      <c r="I93" s="2" t="s">
        <v>1427</v>
      </c>
      <c r="J93" s="2" t="s">
        <v>6742</v>
      </c>
      <c r="K93" s="2" t="s">
        <v>6743</v>
      </c>
      <c r="L93" s="2" t="s">
        <v>6744</v>
      </c>
      <c r="M93" s="2" t="s">
        <v>6546</v>
      </c>
      <c r="N93" s="2" t="s">
        <v>6547</v>
      </c>
      <c r="O93" s="2" t="s">
        <v>6548</v>
      </c>
    </row>
    <row r="94" spans="1:15" ht="43.5" customHeight="1" x14ac:dyDescent="0.5">
      <c r="A94" s="2" t="s">
        <v>105</v>
      </c>
      <c r="B94" s="2" t="s">
        <v>6337</v>
      </c>
      <c r="C94" s="2" t="s">
        <v>6424</v>
      </c>
      <c r="D94" s="2" t="s">
        <v>128</v>
      </c>
      <c r="E94" s="2" t="s">
        <v>6567</v>
      </c>
      <c r="F94" s="2" t="s">
        <v>6552</v>
      </c>
      <c r="G94" s="2" t="s">
        <v>6553</v>
      </c>
      <c r="H94" s="2" t="s">
        <v>6543</v>
      </c>
      <c r="I94" s="2" t="s">
        <v>1427</v>
      </c>
      <c r="J94" s="2" t="s">
        <v>6739</v>
      </c>
      <c r="K94" s="2" t="s">
        <v>6745</v>
      </c>
      <c r="L94" s="2" t="s">
        <v>6746</v>
      </c>
      <c r="M94" s="2" t="s">
        <v>6546</v>
      </c>
      <c r="N94" s="2" t="s">
        <v>6547</v>
      </c>
      <c r="O94" s="2" t="s">
        <v>6548</v>
      </c>
    </row>
    <row r="95" spans="1:15" ht="43.5" customHeight="1" x14ac:dyDescent="0.5">
      <c r="A95" s="2" t="s">
        <v>105</v>
      </c>
      <c r="B95" s="2" t="s">
        <v>6428</v>
      </c>
      <c r="C95" s="2" t="s">
        <v>6429</v>
      </c>
      <c r="D95" s="2" t="s">
        <v>153</v>
      </c>
      <c r="E95" s="2" t="s">
        <v>6567</v>
      </c>
      <c r="F95" s="2" t="s">
        <v>6541</v>
      </c>
      <c r="G95" s="2" t="s">
        <v>6542</v>
      </c>
      <c r="H95" s="2" t="s">
        <v>6543</v>
      </c>
      <c r="I95" s="2" t="s">
        <v>1365</v>
      </c>
      <c r="J95" s="2" t="s">
        <v>6739</v>
      </c>
      <c r="K95" s="2" t="s">
        <v>6747</v>
      </c>
      <c r="L95" s="2" t="s">
        <v>6748</v>
      </c>
      <c r="M95" s="2" t="s">
        <v>6546</v>
      </c>
      <c r="N95" s="2" t="s">
        <v>6547</v>
      </c>
      <c r="O95" s="2" t="s">
        <v>6548</v>
      </c>
    </row>
    <row r="96" spans="1:15" ht="43.5" customHeight="1" x14ac:dyDescent="0.5">
      <c r="A96" s="2" t="s">
        <v>105</v>
      </c>
      <c r="B96" s="2" t="s">
        <v>6428</v>
      </c>
      <c r="C96" s="2" t="s">
        <v>6429</v>
      </c>
      <c r="D96" s="2" t="s">
        <v>6549</v>
      </c>
      <c r="E96" s="2" t="s">
        <v>6567</v>
      </c>
      <c r="F96" s="2" t="s">
        <v>3472</v>
      </c>
      <c r="G96" s="2" t="s">
        <v>6542</v>
      </c>
      <c r="H96" s="2" t="s">
        <v>6543</v>
      </c>
      <c r="I96" s="2" t="s">
        <v>1427</v>
      </c>
      <c r="J96" s="2" t="s">
        <v>6742</v>
      </c>
      <c r="K96" s="2" t="s">
        <v>6749</v>
      </c>
      <c r="L96" s="2" t="s">
        <v>6750</v>
      </c>
      <c r="M96" s="2" t="s">
        <v>6546</v>
      </c>
      <c r="N96" s="2" t="s">
        <v>6547</v>
      </c>
      <c r="O96" s="2" t="s">
        <v>6548</v>
      </c>
    </row>
    <row r="97" spans="1:15" ht="43.5" customHeight="1" x14ac:dyDescent="0.5">
      <c r="A97" s="2" t="s">
        <v>105</v>
      </c>
      <c r="B97" s="2" t="s">
        <v>6428</v>
      </c>
      <c r="C97" s="2" t="s">
        <v>6429</v>
      </c>
      <c r="D97" s="2" t="s">
        <v>128</v>
      </c>
      <c r="E97" s="2" t="s">
        <v>6567</v>
      </c>
      <c r="F97" s="2" t="s">
        <v>6552</v>
      </c>
      <c r="G97" s="2" t="s">
        <v>6553</v>
      </c>
      <c r="H97" s="2" t="s">
        <v>6543</v>
      </c>
      <c r="I97" s="2" t="s">
        <v>1427</v>
      </c>
      <c r="J97" s="2" t="s">
        <v>6739</v>
      </c>
      <c r="K97" s="2" t="s">
        <v>6751</v>
      </c>
      <c r="L97" s="2" t="s">
        <v>6752</v>
      </c>
      <c r="M97" s="2" t="s">
        <v>6546</v>
      </c>
      <c r="N97" s="2" t="s">
        <v>6547</v>
      </c>
      <c r="O97" s="2" t="s">
        <v>6548</v>
      </c>
    </row>
    <row r="98" spans="1:15" ht="43.5" customHeight="1" x14ac:dyDescent="0.5">
      <c r="A98" s="2" t="s">
        <v>105</v>
      </c>
      <c r="B98" s="2" t="s">
        <v>6367</v>
      </c>
      <c r="C98" s="2" t="s">
        <v>6433</v>
      </c>
      <c r="D98" s="2" t="s">
        <v>153</v>
      </c>
      <c r="E98" s="2" t="s">
        <v>6567</v>
      </c>
      <c r="F98" s="2" t="s">
        <v>6541</v>
      </c>
      <c r="G98" s="2" t="s">
        <v>6542</v>
      </c>
      <c r="H98" s="2" t="s">
        <v>6543</v>
      </c>
      <c r="I98" s="2" t="s">
        <v>1365</v>
      </c>
      <c r="J98" s="2" t="s">
        <v>6739</v>
      </c>
      <c r="K98" s="2" t="s">
        <v>6753</v>
      </c>
      <c r="L98" s="2" t="s">
        <v>6754</v>
      </c>
      <c r="M98" s="2" t="s">
        <v>6546</v>
      </c>
      <c r="N98" s="2" t="s">
        <v>6547</v>
      </c>
      <c r="O98" s="2" t="s">
        <v>6548</v>
      </c>
    </row>
    <row r="99" spans="1:15" ht="43.5" customHeight="1" x14ac:dyDescent="0.5">
      <c r="A99" s="2" t="s">
        <v>105</v>
      </c>
      <c r="B99" s="2" t="s">
        <v>6367</v>
      </c>
      <c r="C99" s="2" t="s">
        <v>6433</v>
      </c>
      <c r="D99" s="2" t="s">
        <v>6549</v>
      </c>
      <c r="E99" s="2" t="s">
        <v>6567</v>
      </c>
      <c r="F99" s="2" t="s">
        <v>3472</v>
      </c>
      <c r="G99" s="2" t="s">
        <v>6542</v>
      </c>
      <c r="H99" s="2" t="s">
        <v>6543</v>
      </c>
      <c r="I99" s="2" t="s">
        <v>1427</v>
      </c>
      <c r="J99" s="2" t="s">
        <v>6742</v>
      </c>
      <c r="K99" s="2" t="s">
        <v>6755</v>
      </c>
      <c r="L99" s="2" t="s">
        <v>6756</v>
      </c>
      <c r="M99" s="2" t="s">
        <v>6546</v>
      </c>
      <c r="N99" s="2" t="s">
        <v>6547</v>
      </c>
      <c r="O99" s="2" t="s">
        <v>6548</v>
      </c>
    </row>
    <row r="100" spans="1:15" ht="43.5" customHeight="1" x14ac:dyDescent="0.5">
      <c r="A100" s="2" t="s">
        <v>105</v>
      </c>
      <c r="B100" s="2" t="s">
        <v>6367</v>
      </c>
      <c r="C100" s="2" t="s">
        <v>6433</v>
      </c>
      <c r="D100" s="2" t="s">
        <v>128</v>
      </c>
      <c r="E100" s="2" t="s">
        <v>6567</v>
      </c>
      <c r="F100" s="2" t="s">
        <v>6552</v>
      </c>
      <c r="G100" s="2" t="s">
        <v>6542</v>
      </c>
      <c r="H100" s="2" t="s">
        <v>6543</v>
      </c>
      <c r="I100" s="2" t="s">
        <v>1427</v>
      </c>
      <c r="J100" s="2" t="s">
        <v>6739</v>
      </c>
      <c r="K100" s="2" t="s">
        <v>6757</v>
      </c>
      <c r="L100" s="2" t="s">
        <v>6758</v>
      </c>
      <c r="M100" s="2" t="s">
        <v>6546</v>
      </c>
      <c r="N100" s="2" t="s">
        <v>6547</v>
      </c>
      <c r="O100" s="2" t="s">
        <v>6548</v>
      </c>
    </row>
    <row r="101" spans="1:15" ht="43.5" customHeight="1" x14ac:dyDescent="0.5">
      <c r="A101" s="2" t="s">
        <v>105</v>
      </c>
      <c r="B101" s="2" t="s">
        <v>6437</v>
      </c>
      <c r="C101" s="2" t="s">
        <v>6438</v>
      </c>
      <c r="D101" s="2" t="s">
        <v>153</v>
      </c>
      <c r="E101" s="2" t="s">
        <v>6567</v>
      </c>
      <c r="F101" s="2" t="s">
        <v>6541</v>
      </c>
      <c r="G101" s="2" t="s">
        <v>6542</v>
      </c>
      <c r="H101" s="2" t="s">
        <v>6543</v>
      </c>
      <c r="I101" s="2" t="s">
        <v>1365</v>
      </c>
      <c r="J101" s="2" t="s">
        <v>6739</v>
      </c>
      <c r="K101" s="2" t="s">
        <v>6759</v>
      </c>
      <c r="L101" s="2" t="s">
        <v>6760</v>
      </c>
      <c r="M101" s="2" t="s">
        <v>6546</v>
      </c>
      <c r="N101" s="2" t="s">
        <v>6547</v>
      </c>
      <c r="O101" s="2" t="s">
        <v>6548</v>
      </c>
    </row>
    <row r="102" spans="1:15" ht="43.5" customHeight="1" x14ac:dyDescent="0.5">
      <c r="A102" s="2" t="s">
        <v>105</v>
      </c>
      <c r="B102" s="2" t="s">
        <v>6437</v>
      </c>
      <c r="C102" s="2" t="s">
        <v>6438</v>
      </c>
      <c r="D102" s="2" t="s">
        <v>6549</v>
      </c>
      <c r="E102" s="2" t="s">
        <v>6567</v>
      </c>
      <c r="F102" s="2" t="s">
        <v>3472</v>
      </c>
      <c r="G102" s="2" t="s">
        <v>6542</v>
      </c>
      <c r="H102" s="2" t="s">
        <v>6543</v>
      </c>
      <c r="I102" s="2" t="s">
        <v>1427</v>
      </c>
      <c r="J102" s="2" t="s">
        <v>6742</v>
      </c>
      <c r="K102" s="2" t="s">
        <v>6761</v>
      </c>
      <c r="L102" s="2" t="s">
        <v>6762</v>
      </c>
      <c r="M102" s="2" t="s">
        <v>6546</v>
      </c>
      <c r="N102" s="2" t="s">
        <v>6547</v>
      </c>
      <c r="O102" s="2" t="s">
        <v>6548</v>
      </c>
    </row>
    <row r="103" spans="1:15" ht="43.5" customHeight="1" x14ac:dyDescent="0.5">
      <c r="A103" s="2" t="s">
        <v>105</v>
      </c>
      <c r="B103" s="2" t="s">
        <v>6437</v>
      </c>
      <c r="C103" s="2" t="s">
        <v>6438</v>
      </c>
      <c r="D103" s="2" t="s">
        <v>128</v>
      </c>
      <c r="E103" s="2" t="s">
        <v>6567</v>
      </c>
      <c r="F103" s="2" t="s">
        <v>6552</v>
      </c>
      <c r="G103" s="2" t="s">
        <v>6542</v>
      </c>
      <c r="H103" s="2" t="s">
        <v>6543</v>
      </c>
      <c r="I103" s="2" t="s">
        <v>1427</v>
      </c>
      <c r="J103" s="2" t="s">
        <v>6739</v>
      </c>
      <c r="K103" s="2" t="s">
        <v>6763</v>
      </c>
      <c r="L103" s="2" t="s">
        <v>6764</v>
      </c>
      <c r="M103" s="2" t="s">
        <v>6546</v>
      </c>
      <c r="N103" s="2" t="s">
        <v>6547</v>
      </c>
      <c r="O103" s="2" t="s">
        <v>6548</v>
      </c>
    </row>
    <row r="104" spans="1:15" ht="43.5" customHeight="1" x14ac:dyDescent="0.5">
      <c r="A104" s="2" t="s">
        <v>108</v>
      </c>
      <c r="B104" s="2" t="s">
        <v>6337</v>
      </c>
      <c r="C104" s="2" t="s">
        <v>6424</v>
      </c>
      <c r="D104" s="2" t="s">
        <v>153</v>
      </c>
      <c r="E104" s="2" t="s">
        <v>6567</v>
      </c>
      <c r="F104" s="2" t="s">
        <v>6541</v>
      </c>
      <c r="G104" s="2" t="s">
        <v>6542</v>
      </c>
      <c r="H104" s="2" t="s">
        <v>6543</v>
      </c>
      <c r="I104" s="2" t="s">
        <v>1365</v>
      </c>
      <c r="J104" s="2" t="s">
        <v>6739</v>
      </c>
      <c r="K104" s="2" t="s">
        <v>6765</v>
      </c>
      <c r="L104" s="2" t="s">
        <v>6766</v>
      </c>
      <c r="M104" s="2" t="s">
        <v>6546</v>
      </c>
      <c r="N104" s="2" t="s">
        <v>6547</v>
      </c>
      <c r="O104" s="2" t="s">
        <v>6548</v>
      </c>
    </row>
    <row r="105" spans="1:15" ht="43.5" customHeight="1" x14ac:dyDescent="0.5">
      <c r="A105" s="2" t="s">
        <v>108</v>
      </c>
      <c r="B105" s="2" t="s">
        <v>6337</v>
      </c>
      <c r="C105" s="2" t="s">
        <v>6424</v>
      </c>
      <c r="D105" s="2" t="s">
        <v>6549</v>
      </c>
      <c r="E105" s="2" t="s">
        <v>6567</v>
      </c>
      <c r="F105" s="2" t="s">
        <v>3472</v>
      </c>
      <c r="G105" s="2" t="s">
        <v>6542</v>
      </c>
      <c r="H105" s="2" t="s">
        <v>6543</v>
      </c>
      <c r="I105" s="2" t="s">
        <v>1427</v>
      </c>
      <c r="J105" s="2" t="s">
        <v>6742</v>
      </c>
      <c r="K105" s="2" t="s">
        <v>6767</v>
      </c>
      <c r="L105" s="2" t="s">
        <v>6768</v>
      </c>
      <c r="M105" s="2" t="s">
        <v>6546</v>
      </c>
      <c r="N105" s="2" t="s">
        <v>6547</v>
      </c>
      <c r="O105" s="2" t="s">
        <v>6548</v>
      </c>
    </row>
    <row r="106" spans="1:15" ht="43.5" customHeight="1" x14ac:dyDescent="0.5">
      <c r="A106" s="2" t="s">
        <v>108</v>
      </c>
      <c r="B106" s="2" t="s">
        <v>6337</v>
      </c>
      <c r="C106" s="2" t="s">
        <v>6424</v>
      </c>
      <c r="D106" s="2" t="s">
        <v>128</v>
      </c>
      <c r="E106" s="2" t="s">
        <v>6567</v>
      </c>
      <c r="F106" s="2" t="s">
        <v>6552</v>
      </c>
      <c r="G106" s="2" t="s">
        <v>6553</v>
      </c>
      <c r="H106" s="2" t="s">
        <v>6543</v>
      </c>
      <c r="I106" s="2" t="s">
        <v>1427</v>
      </c>
      <c r="J106" s="2" t="s">
        <v>6739</v>
      </c>
      <c r="K106" s="2" t="s">
        <v>6769</v>
      </c>
      <c r="L106" s="2" t="s">
        <v>6770</v>
      </c>
      <c r="M106" s="2" t="s">
        <v>6546</v>
      </c>
      <c r="N106" s="2" t="s">
        <v>6547</v>
      </c>
      <c r="O106" s="2" t="s">
        <v>6548</v>
      </c>
    </row>
    <row r="107" spans="1:15" ht="43.5" customHeight="1" x14ac:dyDescent="0.5">
      <c r="A107" s="2" t="s">
        <v>108</v>
      </c>
      <c r="B107" s="2" t="s">
        <v>6428</v>
      </c>
      <c r="C107" s="2" t="s">
        <v>6429</v>
      </c>
      <c r="D107" s="2" t="s">
        <v>153</v>
      </c>
      <c r="E107" s="2" t="s">
        <v>6567</v>
      </c>
      <c r="F107" s="2" t="s">
        <v>6541</v>
      </c>
      <c r="G107" s="2" t="s">
        <v>6542</v>
      </c>
      <c r="H107" s="2" t="s">
        <v>6543</v>
      </c>
      <c r="I107" s="2" t="s">
        <v>1365</v>
      </c>
      <c r="J107" s="2" t="s">
        <v>6739</v>
      </c>
      <c r="K107" s="2" t="s">
        <v>6771</v>
      </c>
      <c r="L107" s="2" t="s">
        <v>6772</v>
      </c>
      <c r="M107" s="2" t="s">
        <v>6546</v>
      </c>
      <c r="N107" s="2" t="s">
        <v>6547</v>
      </c>
      <c r="O107" s="2" t="s">
        <v>6548</v>
      </c>
    </row>
    <row r="108" spans="1:15" ht="43.5" customHeight="1" x14ac:dyDescent="0.5">
      <c r="A108" s="2" t="s">
        <v>108</v>
      </c>
      <c r="B108" s="2" t="s">
        <v>6428</v>
      </c>
      <c r="C108" s="2" t="s">
        <v>6429</v>
      </c>
      <c r="D108" s="2" t="s">
        <v>6549</v>
      </c>
      <c r="E108" s="2" t="s">
        <v>6567</v>
      </c>
      <c r="F108" s="2" t="s">
        <v>3472</v>
      </c>
      <c r="G108" s="2" t="s">
        <v>6542</v>
      </c>
      <c r="H108" s="2" t="s">
        <v>6543</v>
      </c>
      <c r="I108" s="2" t="s">
        <v>1427</v>
      </c>
      <c r="J108" s="2" t="s">
        <v>6742</v>
      </c>
      <c r="K108" s="2" t="s">
        <v>6773</v>
      </c>
      <c r="L108" s="2" t="s">
        <v>6774</v>
      </c>
      <c r="M108" s="2" t="s">
        <v>6546</v>
      </c>
      <c r="N108" s="2" t="s">
        <v>6547</v>
      </c>
      <c r="O108" s="2" t="s">
        <v>6548</v>
      </c>
    </row>
    <row r="109" spans="1:15" ht="43.5" customHeight="1" x14ac:dyDescent="0.5">
      <c r="A109" s="2" t="s">
        <v>108</v>
      </c>
      <c r="B109" s="2" t="s">
        <v>6428</v>
      </c>
      <c r="C109" s="2" t="s">
        <v>6429</v>
      </c>
      <c r="D109" s="2" t="s">
        <v>128</v>
      </c>
      <c r="E109" s="2" t="s">
        <v>6567</v>
      </c>
      <c r="F109" s="2" t="s">
        <v>6552</v>
      </c>
      <c r="G109" s="2" t="s">
        <v>6553</v>
      </c>
      <c r="H109" s="2" t="s">
        <v>6543</v>
      </c>
      <c r="I109" s="2" t="s">
        <v>1427</v>
      </c>
      <c r="J109" s="2" t="s">
        <v>6739</v>
      </c>
      <c r="K109" s="2" t="s">
        <v>6775</v>
      </c>
      <c r="L109" s="2" t="s">
        <v>6776</v>
      </c>
      <c r="M109" s="2" t="s">
        <v>6546</v>
      </c>
      <c r="N109" s="2" t="s">
        <v>6547</v>
      </c>
      <c r="O109" s="2" t="s">
        <v>6548</v>
      </c>
    </row>
    <row r="110" spans="1:15" ht="43.5" customHeight="1" x14ac:dyDescent="0.5">
      <c r="A110" s="2" t="s">
        <v>108</v>
      </c>
      <c r="B110" s="2" t="s">
        <v>6448</v>
      </c>
      <c r="C110" s="2" t="s">
        <v>6449</v>
      </c>
      <c r="D110" s="2" t="s">
        <v>153</v>
      </c>
      <c r="E110" s="2" t="s">
        <v>6567</v>
      </c>
      <c r="F110" s="2" t="s">
        <v>6541</v>
      </c>
      <c r="G110" s="2" t="s">
        <v>6542</v>
      </c>
      <c r="H110" s="2" t="s">
        <v>6543</v>
      </c>
      <c r="I110" s="2" t="s">
        <v>1365</v>
      </c>
      <c r="J110" s="2" t="s">
        <v>6739</v>
      </c>
      <c r="K110" s="2" t="s">
        <v>6777</v>
      </c>
      <c r="L110" s="2" t="s">
        <v>6778</v>
      </c>
      <c r="M110" s="2" t="s">
        <v>6546</v>
      </c>
      <c r="N110" s="2" t="s">
        <v>6547</v>
      </c>
      <c r="O110" s="2" t="s">
        <v>6548</v>
      </c>
    </row>
    <row r="111" spans="1:15" ht="43.5" customHeight="1" x14ac:dyDescent="0.5">
      <c r="A111" s="2" t="s">
        <v>108</v>
      </c>
      <c r="B111" s="2" t="s">
        <v>6448</v>
      </c>
      <c r="C111" s="2" t="s">
        <v>6449</v>
      </c>
      <c r="D111" s="2" t="s">
        <v>6549</v>
      </c>
      <c r="E111" s="2" t="s">
        <v>6567</v>
      </c>
      <c r="F111" s="2" t="s">
        <v>3472</v>
      </c>
      <c r="G111" s="2" t="s">
        <v>6542</v>
      </c>
      <c r="H111" s="2" t="s">
        <v>6543</v>
      </c>
      <c r="I111" s="2" t="s">
        <v>1427</v>
      </c>
      <c r="J111" s="2" t="s">
        <v>6742</v>
      </c>
      <c r="K111" s="2" t="s">
        <v>6779</v>
      </c>
      <c r="L111" s="2" t="s">
        <v>6780</v>
      </c>
      <c r="M111" s="2" t="s">
        <v>6546</v>
      </c>
      <c r="N111" s="2" t="s">
        <v>6547</v>
      </c>
      <c r="O111" s="2" t="s">
        <v>6548</v>
      </c>
    </row>
    <row r="112" spans="1:15" ht="43.5" customHeight="1" x14ac:dyDescent="0.5">
      <c r="A112" s="2" t="s">
        <v>108</v>
      </c>
      <c r="B112" s="2" t="s">
        <v>6448</v>
      </c>
      <c r="C112" s="2" t="s">
        <v>6449</v>
      </c>
      <c r="D112" s="2" t="s">
        <v>128</v>
      </c>
      <c r="E112" s="2" t="s">
        <v>6567</v>
      </c>
      <c r="F112" s="2" t="s">
        <v>6552</v>
      </c>
      <c r="G112" s="2" t="s">
        <v>6553</v>
      </c>
      <c r="H112" s="2" t="s">
        <v>6543</v>
      </c>
      <c r="I112" s="2" t="s">
        <v>1427</v>
      </c>
      <c r="J112" s="2" t="s">
        <v>6739</v>
      </c>
      <c r="K112" s="2" t="s">
        <v>6781</v>
      </c>
      <c r="L112" s="2" t="s">
        <v>6782</v>
      </c>
      <c r="M112" s="2" t="s">
        <v>6546</v>
      </c>
      <c r="N112" s="2" t="s">
        <v>6547</v>
      </c>
      <c r="O112" s="2" t="s">
        <v>6548</v>
      </c>
    </row>
    <row r="113" spans="1:15" ht="43.5" customHeight="1" x14ac:dyDescent="0.5">
      <c r="A113" s="2" t="s">
        <v>108</v>
      </c>
      <c r="B113" s="2" t="s">
        <v>6367</v>
      </c>
      <c r="C113" s="2" t="s">
        <v>6453</v>
      </c>
      <c r="D113" s="2" t="s">
        <v>153</v>
      </c>
      <c r="E113" s="2" t="s">
        <v>6567</v>
      </c>
      <c r="F113" s="2" t="s">
        <v>6541</v>
      </c>
      <c r="G113" s="2" t="s">
        <v>6542</v>
      </c>
      <c r="H113" s="2" t="s">
        <v>6543</v>
      </c>
      <c r="I113" s="2" t="s">
        <v>1365</v>
      </c>
      <c r="J113" s="2" t="s">
        <v>6739</v>
      </c>
      <c r="K113" s="2" t="s">
        <v>6783</v>
      </c>
      <c r="L113" s="2" t="s">
        <v>6784</v>
      </c>
      <c r="M113" s="2" t="s">
        <v>6546</v>
      </c>
      <c r="N113" s="2" t="s">
        <v>6547</v>
      </c>
      <c r="O113" s="2" t="s">
        <v>6548</v>
      </c>
    </row>
    <row r="114" spans="1:15" ht="43.5" customHeight="1" x14ac:dyDescent="0.5">
      <c r="A114" s="2" t="s">
        <v>108</v>
      </c>
      <c r="B114" s="2" t="s">
        <v>6367</v>
      </c>
      <c r="C114" s="2" t="s">
        <v>6453</v>
      </c>
      <c r="D114" s="2" t="s">
        <v>6549</v>
      </c>
      <c r="E114" s="2" t="s">
        <v>6567</v>
      </c>
      <c r="F114" s="2" t="s">
        <v>3472</v>
      </c>
      <c r="G114" s="2" t="s">
        <v>6542</v>
      </c>
      <c r="H114" s="2" t="s">
        <v>6543</v>
      </c>
      <c r="I114" s="2" t="s">
        <v>1427</v>
      </c>
      <c r="J114" s="2" t="s">
        <v>6742</v>
      </c>
      <c r="K114" s="2" t="s">
        <v>6785</v>
      </c>
      <c r="L114" s="2" t="s">
        <v>6786</v>
      </c>
      <c r="M114" s="2" t="s">
        <v>6546</v>
      </c>
      <c r="N114" s="2" t="s">
        <v>6547</v>
      </c>
      <c r="O114" s="2" t="s">
        <v>6548</v>
      </c>
    </row>
    <row r="115" spans="1:15" ht="43.5" customHeight="1" x14ac:dyDescent="0.5">
      <c r="A115" s="2" t="s">
        <v>108</v>
      </c>
      <c r="B115" s="2" t="s">
        <v>6367</v>
      </c>
      <c r="C115" s="2" t="s">
        <v>6453</v>
      </c>
      <c r="D115" s="2" t="s">
        <v>128</v>
      </c>
      <c r="E115" s="2" t="s">
        <v>6567</v>
      </c>
      <c r="F115" s="2" t="s">
        <v>6552</v>
      </c>
      <c r="G115" s="2" t="s">
        <v>6553</v>
      </c>
      <c r="H115" s="2" t="s">
        <v>6543</v>
      </c>
      <c r="I115" s="2" t="s">
        <v>1427</v>
      </c>
      <c r="J115" s="2" t="s">
        <v>6739</v>
      </c>
      <c r="K115" s="2" t="s">
        <v>6787</v>
      </c>
      <c r="L115" s="2" t="s">
        <v>6788</v>
      </c>
      <c r="M115" s="2" t="s">
        <v>6546</v>
      </c>
      <c r="N115" s="2" t="s">
        <v>6547</v>
      </c>
      <c r="O115" s="2" t="s">
        <v>6548</v>
      </c>
    </row>
    <row r="116" spans="1:15" ht="43.5" customHeight="1" x14ac:dyDescent="0.5">
      <c r="A116" s="2" t="s">
        <v>108</v>
      </c>
      <c r="B116" s="2" t="s">
        <v>6437</v>
      </c>
      <c r="C116" s="2" t="s">
        <v>6433</v>
      </c>
      <c r="D116" s="2" t="s">
        <v>153</v>
      </c>
      <c r="E116" s="2" t="s">
        <v>6567</v>
      </c>
      <c r="F116" s="2" t="s">
        <v>6541</v>
      </c>
      <c r="G116" s="2" t="s">
        <v>6542</v>
      </c>
      <c r="H116" s="2" t="s">
        <v>6543</v>
      </c>
      <c r="I116" s="2" t="s">
        <v>1365</v>
      </c>
      <c r="J116" s="2" t="s">
        <v>6739</v>
      </c>
      <c r="K116" s="2" t="s">
        <v>6789</v>
      </c>
      <c r="L116" s="2" t="s">
        <v>6790</v>
      </c>
      <c r="M116" s="2" t="s">
        <v>6546</v>
      </c>
      <c r="N116" s="2" t="s">
        <v>6547</v>
      </c>
      <c r="O116" s="2" t="s">
        <v>6548</v>
      </c>
    </row>
    <row r="117" spans="1:15" ht="43.5" customHeight="1" x14ac:dyDescent="0.5">
      <c r="A117" s="2" t="s">
        <v>108</v>
      </c>
      <c r="B117" s="2" t="s">
        <v>6437</v>
      </c>
      <c r="C117" s="2" t="s">
        <v>6433</v>
      </c>
      <c r="D117" s="2" t="s">
        <v>6549</v>
      </c>
      <c r="E117" s="2" t="s">
        <v>6567</v>
      </c>
      <c r="F117" s="2" t="s">
        <v>3472</v>
      </c>
      <c r="G117" s="2" t="s">
        <v>6542</v>
      </c>
      <c r="H117" s="2" t="s">
        <v>6543</v>
      </c>
      <c r="I117" s="2" t="s">
        <v>1427</v>
      </c>
      <c r="J117" s="2" t="s">
        <v>6742</v>
      </c>
      <c r="K117" s="2" t="s">
        <v>6791</v>
      </c>
      <c r="L117" s="2" t="s">
        <v>6792</v>
      </c>
      <c r="M117" s="2" t="s">
        <v>6546</v>
      </c>
      <c r="N117" s="2" t="s">
        <v>6547</v>
      </c>
      <c r="O117" s="2" t="s">
        <v>6548</v>
      </c>
    </row>
    <row r="118" spans="1:15" ht="43.5" customHeight="1" x14ac:dyDescent="0.5">
      <c r="A118" s="2" t="s">
        <v>108</v>
      </c>
      <c r="B118" s="2" t="s">
        <v>6437</v>
      </c>
      <c r="C118" s="2" t="s">
        <v>6433</v>
      </c>
      <c r="D118" s="2" t="s">
        <v>128</v>
      </c>
      <c r="E118" s="2" t="s">
        <v>6567</v>
      </c>
      <c r="F118" s="2" t="s">
        <v>6552</v>
      </c>
      <c r="G118" s="2" t="s">
        <v>6542</v>
      </c>
      <c r="H118" s="2" t="s">
        <v>6543</v>
      </c>
      <c r="I118" s="2" t="s">
        <v>1427</v>
      </c>
      <c r="J118" s="2" t="s">
        <v>6739</v>
      </c>
      <c r="K118" s="2" t="s">
        <v>6793</v>
      </c>
      <c r="L118" s="2" t="s">
        <v>6794</v>
      </c>
      <c r="M118" s="2" t="s">
        <v>6546</v>
      </c>
      <c r="N118" s="2" t="s">
        <v>6547</v>
      </c>
      <c r="O118" s="2" t="s">
        <v>6548</v>
      </c>
    </row>
    <row r="119" spans="1:15" ht="43.5" customHeight="1" x14ac:dyDescent="0.5">
      <c r="A119" s="2" t="s">
        <v>108</v>
      </c>
      <c r="B119" s="2" t="s">
        <v>6460</v>
      </c>
      <c r="C119" s="2" t="s">
        <v>6438</v>
      </c>
      <c r="D119" s="2" t="s">
        <v>153</v>
      </c>
      <c r="E119" s="2" t="s">
        <v>6567</v>
      </c>
      <c r="F119" s="2" t="s">
        <v>6541</v>
      </c>
      <c r="G119" s="2" t="s">
        <v>6542</v>
      </c>
      <c r="H119" s="2" t="s">
        <v>6543</v>
      </c>
      <c r="I119" s="2" t="s">
        <v>1365</v>
      </c>
      <c r="J119" s="2" t="s">
        <v>6739</v>
      </c>
      <c r="K119" s="2" t="s">
        <v>6795</v>
      </c>
      <c r="L119" s="2" t="s">
        <v>6796</v>
      </c>
      <c r="M119" s="2" t="s">
        <v>6546</v>
      </c>
      <c r="N119" s="2" t="s">
        <v>6547</v>
      </c>
      <c r="O119" s="2" t="s">
        <v>6548</v>
      </c>
    </row>
    <row r="120" spans="1:15" ht="43.5" customHeight="1" x14ac:dyDescent="0.5">
      <c r="A120" s="2" t="s">
        <v>108</v>
      </c>
      <c r="B120" s="2" t="s">
        <v>6460</v>
      </c>
      <c r="C120" s="2" t="s">
        <v>6438</v>
      </c>
      <c r="D120" s="2" t="s">
        <v>6549</v>
      </c>
      <c r="E120" s="2" t="s">
        <v>6567</v>
      </c>
      <c r="F120" s="2" t="s">
        <v>3472</v>
      </c>
      <c r="G120" s="2" t="s">
        <v>6542</v>
      </c>
      <c r="H120" s="2" t="s">
        <v>6543</v>
      </c>
      <c r="I120" s="2" t="s">
        <v>1427</v>
      </c>
      <c r="J120" s="2" t="s">
        <v>6742</v>
      </c>
      <c r="K120" s="2" t="s">
        <v>6797</v>
      </c>
      <c r="L120" s="2" t="s">
        <v>6798</v>
      </c>
      <c r="M120" s="2" t="s">
        <v>6546</v>
      </c>
      <c r="N120" s="2" t="s">
        <v>6547</v>
      </c>
      <c r="O120" s="2" t="s">
        <v>6548</v>
      </c>
    </row>
    <row r="121" spans="1:15" ht="43.5" customHeight="1" x14ac:dyDescent="0.5">
      <c r="A121" s="2" t="s">
        <v>108</v>
      </c>
      <c r="B121" s="2" t="s">
        <v>6460</v>
      </c>
      <c r="C121" s="2" t="s">
        <v>6438</v>
      </c>
      <c r="D121" s="2" t="s">
        <v>128</v>
      </c>
      <c r="E121" s="2" t="s">
        <v>6567</v>
      </c>
      <c r="F121" s="2" t="s">
        <v>6552</v>
      </c>
      <c r="G121" s="2" t="s">
        <v>6542</v>
      </c>
      <c r="H121" s="2" t="s">
        <v>6543</v>
      </c>
      <c r="I121" s="2" t="s">
        <v>1427</v>
      </c>
      <c r="J121" s="2" t="s">
        <v>6739</v>
      </c>
      <c r="K121" s="2" t="s">
        <v>6799</v>
      </c>
      <c r="L121" s="2" t="s">
        <v>6800</v>
      </c>
      <c r="M121" s="2" t="s">
        <v>6546</v>
      </c>
      <c r="N121" s="2" t="s">
        <v>6547</v>
      </c>
      <c r="O121" s="2" t="s">
        <v>6548</v>
      </c>
    </row>
    <row r="122" spans="1:15" ht="43.5" customHeight="1" x14ac:dyDescent="0.5">
      <c r="A122" s="2" t="s">
        <v>111</v>
      </c>
      <c r="B122" s="2" t="s">
        <v>6358</v>
      </c>
      <c r="C122" s="2" t="s">
        <v>6464</v>
      </c>
      <c r="D122" s="2" t="s">
        <v>153</v>
      </c>
      <c r="E122" s="2" t="s">
        <v>6567</v>
      </c>
      <c r="F122" s="2" t="s">
        <v>6541</v>
      </c>
      <c r="G122" s="2" t="s">
        <v>6542</v>
      </c>
      <c r="H122" s="2" t="s">
        <v>6543</v>
      </c>
      <c r="I122" s="2" t="s">
        <v>1365</v>
      </c>
      <c r="J122" s="2" t="s">
        <v>307</v>
      </c>
      <c r="K122" s="2" t="s">
        <v>6801</v>
      </c>
      <c r="L122" s="2" t="s">
        <v>6802</v>
      </c>
      <c r="M122" s="2" t="s">
        <v>6546</v>
      </c>
      <c r="N122" s="2" t="s">
        <v>6547</v>
      </c>
      <c r="O122" s="2" t="s">
        <v>6548</v>
      </c>
    </row>
    <row r="123" spans="1:15" ht="43.5" customHeight="1" x14ac:dyDescent="0.5">
      <c r="A123" s="2" t="s">
        <v>111</v>
      </c>
      <c r="B123" s="2" t="s">
        <v>6358</v>
      </c>
      <c r="C123" s="2" t="s">
        <v>6464</v>
      </c>
      <c r="D123" s="2" t="s">
        <v>6549</v>
      </c>
      <c r="E123" s="2" t="s">
        <v>6567</v>
      </c>
      <c r="F123" s="2" t="s">
        <v>3472</v>
      </c>
      <c r="G123" s="2" t="s">
        <v>6542</v>
      </c>
      <c r="H123" s="2" t="s">
        <v>6543</v>
      </c>
      <c r="I123" s="2" t="s">
        <v>1427</v>
      </c>
      <c r="J123" s="2" t="s">
        <v>6631</v>
      </c>
      <c r="K123" s="2" t="s">
        <v>6803</v>
      </c>
      <c r="L123" s="2" t="s">
        <v>6804</v>
      </c>
      <c r="M123" s="2" t="s">
        <v>6546</v>
      </c>
      <c r="N123" s="2" t="s">
        <v>6547</v>
      </c>
      <c r="O123" s="2" t="s">
        <v>6548</v>
      </c>
    </row>
    <row r="124" spans="1:15" ht="43.5" customHeight="1" x14ac:dyDescent="0.5">
      <c r="A124" s="2" t="s">
        <v>111</v>
      </c>
      <c r="B124" s="2" t="s">
        <v>6358</v>
      </c>
      <c r="C124" s="2" t="s">
        <v>6464</v>
      </c>
      <c r="D124" s="2" t="s">
        <v>128</v>
      </c>
      <c r="E124" s="2" t="s">
        <v>6567</v>
      </c>
      <c r="F124" s="2" t="s">
        <v>6552</v>
      </c>
      <c r="G124" s="2" t="s">
        <v>6553</v>
      </c>
      <c r="H124" s="2" t="s">
        <v>6543</v>
      </c>
      <c r="I124" s="2" t="s">
        <v>1427</v>
      </c>
      <c r="J124" s="2" t="s">
        <v>6805</v>
      </c>
      <c r="K124" s="2" t="s">
        <v>6806</v>
      </c>
      <c r="L124" s="2" t="s">
        <v>6807</v>
      </c>
      <c r="M124" s="2" t="s">
        <v>6546</v>
      </c>
      <c r="N124" s="2" t="s">
        <v>6547</v>
      </c>
      <c r="O124" s="2" t="s">
        <v>6548</v>
      </c>
    </row>
    <row r="125" spans="1:15" ht="43.5" customHeight="1" x14ac:dyDescent="0.5">
      <c r="A125" s="2" t="s">
        <v>111</v>
      </c>
      <c r="B125" s="2" t="s">
        <v>6348</v>
      </c>
      <c r="C125" s="2" t="s">
        <v>6468</v>
      </c>
      <c r="D125" s="2" t="s">
        <v>153</v>
      </c>
      <c r="E125" s="2" t="s">
        <v>6567</v>
      </c>
      <c r="F125" s="2" t="s">
        <v>6541</v>
      </c>
      <c r="G125" s="2" t="s">
        <v>6542</v>
      </c>
      <c r="H125" s="2" t="s">
        <v>6543</v>
      </c>
      <c r="I125" s="2" t="s">
        <v>1365</v>
      </c>
      <c r="J125" s="2" t="s">
        <v>307</v>
      </c>
      <c r="K125" s="2" t="s">
        <v>6808</v>
      </c>
      <c r="L125" s="2" t="s">
        <v>6809</v>
      </c>
      <c r="M125" s="2" t="s">
        <v>6546</v>
      </c>
      <c r="N125" s="2" t="s">
        <v>6547</v>
      </c>
      <c r="O125" s="2" t="s">
        <v>6548</v>
      </c>
    </row>
    <row r="126" spans="1:15" ht="43.5" customHeight="1" x14ac:dyDescent="0.5">
      <c r="A126" s="2" t="s">
        <v>111</v>
      </c>
      <c r="B126" s="2" t="s">
        <v>6348</v>
      </c>
      <c r="C126" s="2" t="s">
        <v>6468</v>
      </c>
      <c r="D126" s="2" t="s">
        <v>6549</v>
      </c>
      <c r="E126" s="2" t="s">
        <v>6567</v>
      </c>
      <c r="F126" s="2" t="s">
        <v>3472</v>
      </c>
      <c r="G126" s="2" t="s">
        <v>6542</v>
      </c>
      <c r="H126" s="2" t="s">
        <v>6543</v>
      </c>
      <c r="I126" s="2" t="s">
        <v>1427</v>
      </c>
      <c r="J126" s="2" t="s">
        <v>6631</v>
      </c>
      <c r="K126" s="2" t="s">
        <v>6810</v>
      </c>
      <c r="L126" s="2" t="s">
        <v>6811</v>
      </c>
      <c r="M126" s="2" t="s">
        <v>6546</v>
      </c>
      <c r="N126" s="2" t="s">
        <v>6547</v>
      </c>
      <c r="O126" s="2" t="s">
        <v>6548</v>
      </c>
    </row>
    <row r="127" spans="1:15" ht="43.5" customHeight="1" x14ac:dyDescent="0.5">
      <c r="A127" s="2" t="s">
        <v>111</v>
      </c>
      <c r="B127" s="2" t="s">
        <v>6348</v>
      </c>
      <c r="C127" s="2" t="s">
        <v>6468</v>
      </c>
      <c r="D127" s="2" t="s">
        <v>128</v>
      </c>
      <c r="E127" s="2" t="s">
        <v>6567</v>
      </c>
      <c r="F127" s="2" t="s">
        <v>6552</v>
      </c>
      <c r="G127" s="2" t="s">
        <v>6553</v>
      </c>
      <c r="H127" s="2" t="s">
        <v>6543</v>
      </c>
      <c r="I127" s="2" t="s">
        <v>1427</v>
      </c>
      <c r="J127" s="2" t="s">
        <v>6805</v>
      </c>
      <c r="K127" s="2" t="s">
        <v>6812</v>
      </c>
      <c r="L127" s="2" t="s">
        <v>6813</v>
      </c>
      <c r="M127" s="2" t="s">
        <v>6546</v>
      </c>
      <c r="N127" s="2" t="s">
        <v>6547</v>
      </c>
      <c r="O127" s="2" t="s">
        <v>6548</v>
      </c>
    </row>
    <row r="128" spans="1:15" ht="43.5" customHeight="1" x14ac:dyDescent="0.5">
      <c r="A128" s="2" t="s">
        <v>114</v>
      </c>
      <c r="B128" s="2" t="s">
        <v>6367</v>
      </c>
      <c r="C128" s="2" t="s">
        <v>6472</v>
      </c>
      <c r="D128" s="2" t="s">
        <v>153</v>
      </c>
      <c r="E128" s="2" t="s">
        <v>6567</v>
      </c>
      <c r="F128" s="2" t="s">
        <v>6541</v>
      </c>
      <c r="G128" s="2" t="s">
        <v>6542</v>
      </c>
      <c r="H128" s="2" t="s">
        <v>6543</v>
      </c>
      <c r="I128" s="2" t="s">
        <v>1365</v>
      </c>
      <c r="J128" s="2" t="s">
        <v>307</v>
      </c>
      <c r="K128" s="2" t="s">
        <v>6814</v>
      </c>
      <c r="L128" s="2" t="s">
        <v>6815</v>
      </c>
      <c r="M128" s="2" t="s">
        <v>6546</v>
      </c>
      <c r="N128" s="2" t="s">
        <v>6547</v>
      </c>
      <c r="O128" s="2" t="s">
        <v>6548</v>
      </c>
    </row>
    <row r="129" spans="1:15" ht="43.5" customHeight="1" x14ac:dyDescent="0.5">
      <c r="A129" s="2" t="s">
        <v>114</v>
      </c>
      <c r="B129" s="2" t="s">
        <v>6367</v>
      </c>
      <c r="C129" s="2" t="s">
        <v>6472</v>
      </c>
      <c r="D129" s="2" t="s">
        <v>6549</v>
      </c>
      <c r="E129" s="2" t="s">
        <v>6567</v>
      </c>
      <c r="F129" s="2" t="s">
        <v>3472</v>
      </c>
      <c r="G129" s="2" t="s">
        <v>6542</v>
      </c>
      <c r="H129" s="2" t="s">
        <v>6543</v>
      </c>
      <c r="I129" s="2" t="s">
        <v>1427</v>
      </c>
      <c r="J129" s="2" t="s">
        <v>6732</v>
      </c>
      <c r="K129" s="2" t="s">
        <v>6816</v>
      </c>
      <c r="L129" s="2" t="s">
        <v>6817</v>
      </c>
      <c r="M129" s="2" t="s">
        <v>6546</v>
      </c>
      <c r="N129" s="2" t="s">
        <v>6547</v>
      </c>
      <c r="O129" s="2" t="s">
        <v>6548</v>
      </c>
    </row>
    <row r="130" spans="1:15" ht="43.5" customHeight="1" x14ac:dyDescent="0.5">
      <c r="A130" s="2" t="s">
        <v>114</v>
      </c>
      <c r="B130" s="2" t="s">
        <v>6367</v>
      </c>
      <c r="C130" s="2" t="s">
        <v>6472</v>
      </c>
      <c r="D130" s="2" t="s">
        <v>128</v>
      </c>
      <c r="E130" s="2" t="s">
        <v>6567</v>
      </c>
      <c r="F130" s="2" t="s">
        <v>6552</v>
      </c>
      <c r="G130" s="2" t="s">
        <v>6553</v>
      </c>
      <c r="H130" s="2" t="s">
        <v>6543</v>
      </c>
      <c r="I130" s="2" t="s">
        <v>1427</v>
      </c>
      <c r="J130" s="2" t="s">
        <v>307</v>
      </c>
      <c r="K130" s="2" t="s">
        <v>6818</v>
      </c>
      <c r="L130" s="2" t="s">
        <v>6819</v>
      </c>
      <c r="M130" s="2" t="s">
        <v>6546</v>
      </c>
      <c r="N130" s="2" t="s">
        <v>6547</v>
      </c>
      <c r="O130" s="2" t="s">
        <v>6548</v>
      </c>
    </row>
    <row r="131" spans="1:15" ht="43.5" customHeight="1" x14ac:dyDescent="0.5">
      <c r="A131" s="2" t="s">
        <v>114</v>
      </c>
      <c r="B131" s="2" t="s">
        <v>6437</v>
      </c>
      <c r="C131" s="2" t="s">
        <v>6476</v>
      </c>
      <c r="D131" s="2" t="s">
        <v>153</v>
      </c>
      <c r="E131" s="2" t="s">
        <v>6567</v>
      </c>
      <c r="F131" s="2" t="s">
        <v>6541</v>
      </c>
      <c r="G131" s="2" t="s">
        <v>6542</v>
      </c>
      <c r="H131" s="2" t="s">
        <v>6543</v>
      </c>
      <c r="I131" s="2" t="s">
        <v>1365</v>
      </c>
      <c r="J131" s="2" t="s">
        <v>307</v>
      </c>
      <c r="K131" s="2" t="s">
        <v>6820</v>
      </c>
      <c r="L131" s="2" t="s">
        <v>6821</v>
      </c>
      <c r="M131" s="2" t="s">
        <v>6546</v>
      </c>
      <c r="N131" s="2" t="s">
        <v>6547</v>
      </c>
      <c r="O131" s="2" t="s">
        <v>6548</v>
      </c>
    </row>
    <row r="132" spans="1:15" ht="43.5" customHeight="1" x14ac:dyDescent="0.5">
      <c r="A132" s="2" t="s">
        <v>114</v>
      </c>
      <c r="B132" s="2" t="s">
        <v>6437</v>
      </c>
      <c r="C132" s="2" t="s">
        <v>6476</v>
      </c>
      <c r="D132" s="2" t="s">
        <v>6549</v>
      </c>
      <c r="E132" s="2" t="s">
        <v>6567</v>
      </c>
      <c r="F132" s="2" t="s">
        <v>3472</v>
      </c>
      <c r="G132" s="2" t="s">
        <v>6542</v>
      </c>
      <c r="H132" s="2" t="s">
        <v>6543</v>
      </c>
      <c r="I132" s="2" t="s">
        <v>1427</v>
      </c>
      <c r="J132" s="2" t="s">
        <v>6732</v>
      </c>
      <c r="K132" s="2" t="s">
        <v>6822</v>
      </c>
      <c r="L132" s="2" t="s">
        <v>6823</v>
      </c>
      <c r="M132" s="2" t="s">
        <v>6546</v>
      </c>
      <c r="N132" s="2" t="s">
        <v>6547</v>
      </c>
      <c r="O132" s="2" t="s">
        <v>6548</v>
      </c>
    </row>
    <row r="133" spans="1:15" ht="43.5" customHeight="1" x14ac:dyDescent="0.5">
      <c r="A133" s="2" t="s">
        <v>114</v>
      </c>
      <c r="B133" s="2" t="s">
        <v>6437</v>
      </c>
      <c r="C133" s="2" t="s">
        <v>6476</v>
      </c>
      <c r="D133" s="2" t="s">
        <v>128</v>
      </c>
      <c r="E133" s="2" t="s">
        <v>6567</v>
      </c>
      <c r="F133" s="2" t="s">
        <v>6552</v>
      </c>
      <c r="G133" s="2" t="s">
        <v>6553</v>
      </c>
      <c r="H133" s="2" t="s">
        <v>6543</v>
      </c>
      <c r="I133" s="2" t="s">
        <v>1427</v>
      </c>
      <c r="J133" s="2" t="s">
        <v>307</v>
      </c>
      <c r="K133" s="2" t="s">
        <v>6824</v>
      </c>
      <c r="L133" s="2" t="s">
        <v>6825</v>
      </c>
      <c r="M133" s="2" t="s">
        <v>6546</v>
      </c>
      <c r="N133" s="2" t="s">
        <v>6547</v>
      </c>
      <c r="O133" s="2" t="s">
        <v>6548</v>
      </c>
    </row>
    <row r="134" spans="1:15" ht="43.5" customHeight="1" x14ac:dyDescent="0.5">
      <c r="A134" s="2" t="s">
        <v>117</v>
      </c>
      <c r="B134" s="2" t="s">
        <v>6480</v>
      </c>
      <c r="C134" s="2" t="s">
        <v>6481</v>
      </c>
      <c r="D134" s="2" t="s">
        <v>153</v>
      </c>
      <c r="E134" s="2" t="s">
        <v>6567</v>
      </c>
      <c r="F134" s="2" t="s">
        <v>6541</v>
      </c>
      <c r="G134" s="2" t="s">
        <v>6542</v>
      </c>
      <c r="H134" s="2" t="s">
        <v>6543</v>
      </c>
      <c r="I134" s="2" t="s">
        <v>1365</v>
      </c>
      <c r="J134" s="2" t="s">
        <v>307</v>
      </c>
      <c r="K134" s="2" t="s">
        <v>6826</v>
      </c>
      <c r="L134" s="2" t="s">
        <v>6827</v>
      </c>
      <c r="M134" s="2" t="s">
        <v>6546</v>
      </c>
      <c r="N134" s="2" t="s">
        <v>6547</v>
      </c>
      <c r="O134" s="2" t="s">
        <v>6548</v>
      </c>
    </row>
    <row r="135" spans="1:15" ht="43.5" customHeight="1" x14ac:dyDescent="0.5">
      <c r="A135" s="2" t="s">
        <v>117</v>
      </c>
      <c r="B135" s="2" t="s">
        <v>6480</v>
      </c>
      <c r="C135" s="2" t="s">
        <v>6481</v>
      </c>
      <c r="D135" s="2" t="s">
        <v>6549</v>
      </c>
      <c r="E135" s="2" t="s">
        <v>6567</v>
      </c>
      <c r="F135" s="2" t="s">
        <v>3472</v>
      </c>
      <c r="G135" s="2" t="s">
        <v>6542</v>
      </c>
      <c r="H135" s="2" t="s">
        <v>6543</v>
      </c>
      <c r="I135" s="2" t="s">
        <v>1427</v>
      </c>
      <c r="J135" s="2" t="s">
        <v>6732</v>
      </c>
      <c r="K135" s="2" t="s">
        <v>6828</v>
      </c>
      <c r="L135" s="2" t="s">
        <v>6829</v>
      </c>
      <c r="M135" s="2" t="s">
        <v>6546</v>
      </c>
      <c r="N135" s="2" t="s">
        <v>6547</v>
      </c>
      <c r="O135" s="2" t="s">
        <v>6548</v>
      </c>
    </row>
    <row r="136" spans="1:15" ht="43.5" customHeight="1" x14ac:dyDescent="0.5">
      <c r="A136" s="2" t="s">
        <v>117</v>
      </c>
      <c r="B136" s="2" t="s">
        <v>6480</v>
      </c>
      <c r="C136" s="2" t="s">
        <v>6481</v>
      </c>
      <c r="D136" s="2" t="s">
        <v>128</v>
      </c>
      <c r="E136" s="2" t="s">
        <v>6567</v>
      </c>
      <c r="F136" s="2" t="s">
        <v>6552</v>
      </c>
      <c r="G136" s="2" t="s">
        <v>6553</v>
      </c>
      <c r="H136" s="2" t="s">
        <v>6543</v>
      </c>
      <c r="I136" s="2" t="s">
        <v>1427</v>
      </c>
      <c r="J136" s="2" t="s">
        <v>307</v>
      </c>
      <c r="K136" s="2" t="s">
        <v>6830</v>
      </c>
      <c r="L136" s="2" t="s">
        <v>6831</v>
      </c>
      <c r="M136" s="2" t="s">
        <v>6546</v>
      </c>
      <c r="N136" s="2" t="s">
        <v>6547</v>
      </c>
      <c r="O136" s="2" t="s">
        <v>6548</v>
      </c>
    </row>
    <row r="137" spans="1:15" ht="43.5" customHeight="1" x14ac:dyDescent="0.5">
      <c r="A137" s="2" t="s">
        <v>117</v>
      </c>
      <c r="B137" s="2" t="s">
        <v>6448</v>
      </c>
      <c r="C137" s="2" t="s">
        <v>6485</v>
      </c>
      <c r="D137" s="2" t="s">
        <v>153</v>
      </c>
      <c r="E137" s="2" t="s">
        <v>6567</v>
      </c>
      <c r="F137" s="2" t="s">
        <v>6541</v>
      </c>
      <c r="G137" s="2" t="s">
        <v>6542</v>
      </c>
      <c r="H137" s="2" t="s">
        <v>6543</v>
      </c>
      <c r="I137" s="2" t="s">
        <v>1365</v>
      </c>
      <c r="J137" s="2" t="s">
        <v>307</v>
      </c>
      <c r="K137" s="2" t="s">
        <v>6832</v>
      </c>
      <c r="L137" s="2" t="s">
        <v>6833</v>
      </c>
      <c r="M137" s="2" t="s">
        <v>6546</v>
      </c>
      <c r="N137" s="2" t="s">
        <v>6547</v>
      </c>
      <c r="O137" s="2" t="s">
        <v>6548</v>
      </c>
    </row>
    <row r="138" spans="1:15" ht="43.5" customHeight="1" x14ac:dyDescent="0.5">
      <c r="A138" s="2" t="s">
        <v>117</v>
      </c>
      <c r="B138" s="2" t="s">
        <v>6448</v>
      </c>
      <c r="C138" s="2" t="s">
        <v>6485</v>
      </c>
      <c r="D138" s="2" t="s">
        <v>6549</v>
      </c>
      <c r="E138" s="2" t="s">
        <v>6567</v>
      </c>
      <c r="F138" s="2" t="s">
        <v>3472</v>
      </c>
      <c r="G138" s="2" t="s">
        <v>6542</v>
      </c>
      <c r="H138" s="2" t="s">
        <v>6543</v>
      </c>
      <c r="I138" s="2" t="s">
        <v>1427</v>
      </c>
      <c r="J138" s="2" t="s">
        <v>6732</v>
      </c>
      <c r="K138" s="2" t="s">
        <v>6834</v>
      </c>
      <c r="L138" s="2" t="s">
        <v>6835</v>
      </c>
      <c r="M138" s="2" t="s">
        <v>6546</v>
      </c>
      <c r="N138" s="2" t="s">
        <v>6547</v>
      </c>
      <c r="O138" s="2" t="s">
        <v>6548</v>
      </c>
    </row>
    <row r="139" spans="1:15" ht="43.5" customHeight="1" x14ac:dyDescent="0.5">
      <c r="A139" s="2" t="s">
        <v>117</v>
      </c>
      <c r="B139" s="2" t="s">
        <v>6448</v>
      </c>
      <c r="C139" s="2" t="s">
        <v>6485</v>
      </c>
      <c r="D139" s="2" t="s">
        <v>128</v>
      </c>
      <c r="E139" s="2" t="s">
        <v>6567</v>
      </c>
      <c r="F139" s="2" t="s">
        <v>6552</v>
      </c>
      <c r="G139" s="2" t="s">
        <v>6553</v>
      </c>
      <c r="H139" s="2" t="s">
        <v>6543</v>
      </c>
      <c r="I139" s="2" t="s">
        <v>1427</v>
      </c>
      <c r="J139" s="2" t="s">
        <v>307</v>
      </c>
      <c r="K139" s="2" t="s">
        <v>6836</v>
      </c>
      <c r="L139" s="2" t="s">
        <v>6837</v>
      </c>
      <c r="M139" s="2" t="s">
        <v>6546</v>
      </c>
      <c r="N139" s="2" t="s">
        <v>6547</v>
      </c>
      <c r="O139" s="2" t="s">
        <v>6548</v>
      </c>
    </row>
    <row r="140" spans="1:15" ht="43.5" customHeight="1" x14ac:dyDescent="0.5">
      <c r="A140" s="2" t="s">
        <v>117</v>
      </c>
      <c r="B140" s="2" t="s">
        <v>6367</v>
      </c>
      <c r="C140" s="2" t="s">
        <v>6472</v>
      </c>
      <c r="D140" s="2" t="s">
        <v>153</v>
      </c>
      <c r="E140" s="2" t="s">
        <v>6567</v>
      </c>
      <c r="F140" s="2" t="s">
        <v>6541</v>
      </c>
      <c r="G140" s="2" t="s">
        <v>6542</v>
      </c>
      <c r="H140" s="2" t="s">
        <v>6543</v>
      </c>
      <c r="I140" s="2" t="s">
        <v>1365</v>
      </c>
      <c r="J140" s="2" t="s">
        <v>307</v>
      </c>
      <c r="K140" s="2" t="s">
        <v>6838</v>
      </c>
      <c r="L140" s="2" t="s">
        <v>6839</v>
      </c>
      <c r="M140" s="2" t="s">
        <v>6546</v>
      </c>
      <c r="N140" s="2" t="s">
        <v>6547</v>
      </c>
      <c r="O140" s="2" t="s">
        <v>6548</v>
      </c>
    </row>
    <row r="141" spans="1:15" ht="43.5" customHeight="1" x14ac:dyDescent="0.5">
      <c r="A141" s="2" t="s">
        <v>117</v>
      </c>
      <c r="B141" s="2" t="s">
        <v>6367</v>
      </c>
      <c r="C141" s="2" t="s">
        <v>6472</v>
      </c>
      <c r="D141" s="2" t="s">
        <v>6549</v>
      </c>
      <c r="E141" s="2" t="s">
        <v>6567</v>
      </c>
      <c r="F141" s="2" t="s">
        <v>3472</v>
      </c>
      <c r="G141" s="2" t="s">
        <v>6542</v>
      </c>
      <c r="H141" s="2" t="s">
        <v>6543</v>
      </c>
      <c r="I141" s="2" t="s">
        <v>1427</v>
      </c>
      <c r="J141" s="2" t="s">
        <v>6732</v>
      </c>
      <c r="K141" s="2" t="s">
        <v>6840</v>
      </c>
      <c r="L141" s="2" t="s">
        <v>6841</v>
      </c>
      <c r="M141" s="2" t="s">
        <v>6546</v>
      </c>
      <c r="N141" s="2" t="s">
        <v>6547</v>
      </c>
      <c r="O141" s="2" t="s">
        <v>6548</v>
      </c>
    </row>
    <row r="142" spans="1:15" ht="43.5" customHeight="1" x14ac:dyDescent="0.5">
      <c r="A142" s="2" t="s">
        <v>117</v>
      </c>
      <c r="B142" s="2" t="s">
        <v>6367</v>
      </c>
      <c r="C142" s="2" t="s">
        <v>6472</v>
      </c>
      <c r="D142" s="2" t="s">
        <v>128</v>
      </c>
      <c r="E142" s="2" t="s">
        <v>6567</v>
      </c>
      <c r="F142" s="2" t="s">
        <v>6552</v>
      </c>
      <c r="G142" s="2" t="s">
        <v>6553</v>
      </c>
      <c r="H142" s="2" t="s">
        <v>6543</v>
      </c>
      <c r="I142" s="2" t="s">
        <v>1427</v>
      </c>
      <c r="J142" s="2" t="s">
        <v>307</v>
      </c>
      <c r="K142" s="2" t="s">
        <v>6842</v>
      </c>
      <c r="L142" s="2" t="s">
        <v>6843</v>
      </c>
      <c r="M142" s="2" t="s">
        <v>6546</v>
      </c>
      <c r="N142" s="2" t="s">
        <v>6547</v>
      </c>
      <c r="O142" s="2" t="s">
        <v>6548</v>
      </c>
    </row>
    <row r="143" spans="1:15" ht="43.5" customHeight="1" x14ac:dyDescent="0.5">
      <c r="A143" s="2" t="s">
        <v>117</v>
      </c>
      <c r="B143" s="2" t="s">
        <v>6437</v>
      </c>
      <c r="C143" s="2" t="s">
        <v>6476</v>
      </c>
      <c r="D143" s="2" t="s">
        <v>153</v>
      </c>
      <c r="E143" s="2" t="s">
        <v>6567</v>
      </c>
      <c r="F143" s="2" t="s">
        <v>6541</v>
      </c>
      <c r="G143" s="2" t="s">
        <v>6542</v>
      </c>
      <c r="H143" s="2" t="s">
        <v>6543</v>
      </c>
      <c r="I143" s="2" t="s">
        <v>1365</v>
      </c>
      <c r="J143" s="2" t="s">
        <v>307</v>
      </c>
      <c r="K143" s="2" t="s">
        <v>6844</v>
      </c>
      <c r="L143" s="2" t="s">
        <v>6845</v>
      </c>
      <c r="M143" s="2" t="s">
        <v>6546</v>
      </c>
      <c r="N143" s="2" t="s">
        <v>6547</v>
      </c>
      <c r="O143" s="2" t="s">
        <v>6548</v>
      </c>
    </row>
    <row r="144" spans="1:15" ht="43.5" customHeight="1" x14ac:dyDescent="0.5">
      <c r="A144" s="2" t="s">
        <v>117</v>
      </c>
      <c r="B144" s="2" t="s">
        <v>6437</v>
      </c>
      <c r="C144" s="2" t="s">
        <v>6476</v>
      </c>
      <c r="D144" s="2" t="s">
        <v>6549</v>
      </c>
      <c r="E144" s="2" t="s">
        <v>6567</v>
      </c>
      <c r="F144" s="2" t="s">
        <v>3472</v>
      </c>
      <c r="G144" s="2" t="s">
        <v>6542</v>
      </c>
      <c r="H144" s="2" t="s">
        <v>6543</v>
      </c>
      <c r="I144" s="2" t="s">
        <v>1427</v>
      </c>
      <c r="J144" s="2" t="s">
        <v>6732</v>
      </c>
      <c r="K144" s="2" t="s">
        <v>6846</v>
      </c>
      <c r="L144" s="2" t="s">
        <v>6847</v>
      </c>
      <c r="M144" s="2" t="s">
        <v>6546</v>
      </c>
      <c r="N144" s="2" t="s">
        <v>6547</v>
      </c>
      <c r="O144" s="2" t="s">
        <v>6548</v>
      </c>
    </row>
    <row r="145" spans="1:15" ht="43.5" customHeight="1" x14ac:dyDescent="0.5">
      <c r="A145" s="2" t="s">
        <v>117</v>
      </c>
      <c r="B145" s="2" t="s">
        <v>6437</v>
      </c>
      <c r="C145" s="2" t="s">
        <v>6476</v>
      </c>
      <c r="D145" s="2" t="s">
        <v>128</v>
      </c>
      <c r="E145" s="2" t="s">
        <v>6567</v>
      </c>
      <c r="F145" s="2" t="s">
        <v>6552</v>
      </c>
      <c r="G145" s="2" t="s">
        <v>6553</v>
      </c>
      <c r="H145" s="2" t="s">
        <v>6543</v>
      </c>
      <c r="I145" s="2" t="s">
        <v>1427</v>
      </c>
      <c r="J145" s="2" t="s">
        <v>307</v>
      </c>
      <c r="K145" s="2" t="s">
        <v>6848</v>
      </c>
      <c r="L145" s="2" t="s">
        <v>6849</v>
      </c>
      <c r="M145" s="2" t="s">
        <v>6546</v>
      </c>
      <c r="N145" s="2" t="s">
        <v>6547</v>
      </c>
      <c r="O145" s="2" t="s">
        <v>6548</v>
      </c>
    </row>
    <row r="146" spans="1:15" ht="43.5" customHeight="1" x14ac:dyDescent="0.5">
      <c r="A146" s="2" t="s">
        <v>121</v>
      </c>
      <c r="B146" s="2" t="s">
        <v>6495</v>
      </c>
      <c r="C146" s="2" t="s">
        <v>6496</v>
      </c>
      <c r="D146" s="2" t="s">
        <v>153</v>
      </c>
      <c r="E146" s="2" t="s">
        <v>6850</v>
      </c>
      <c r="F146" s="2" t="s">
        <v>6598</v>
      </c>
      <c r="G146" s="2" t="s">
        <v>6542</v>
      </c>
      <c r="H146" s="2" t="s">
        <v>6543</v>
      </c>
      <c r="I146" s="2" t="s">
        <v>1365</v>
      </c>
      <c r="J146" s="2" t="s">
        <v>175</v>
      </c>
      <c r="K146" s="2" t="s">
        <v>6851</v>
      </c>
      <c r="L146" s="2" t="s">
        <v>6852</v>
      </c>
      <c r="M146" s="2" t="s">
        <v>6546</v>
      </c>
      <c r="N146" s="2" t="s">
        <v>6547</v>
      </c>
      <c r="O146" s="2" t="s">
        <v>6548</v>
      </c>
    </row>
    <row r="147" spans="1:15" ht="43.5" customHeight="1" x14ac:dyDescent="0.5">
      <c r="A147" s="2" t="s">
        <v>121</v>
      </c>
      <c r="B147" s="2" t="s">
        <v>6495</v>
      </c>
      <c r="C147" s="2" t="s">
        <v>6496</v>
      </c>
      <c r="D147" s="2" t="s">
        <v>6853</v>
      </c>
      <c r="E147" s="2" t="s">
        <v>6850</v>
      </c>
      <c r="F147" s="2" t="s">
        <v>6854</v>
      </c>
      <c r="G147" s="2" t="s">
        <v>6542</v>
      </c>
      <c r="H147" s="2" t="s">
        <v>6543</v>
      </c>
      <c r="I147" s="2" t="s">
        <v>1427</v>
      </c>
      <c r="J147" s="2" t="s">
        <v>175</v>
      </c>
      <c r="K147" s="2" t="s">
        <v>6855</v>
      </c>
      <c r="L147" s="2" t="s">
        <v>6856</v>
      </c>
      <c r="M147" s="2" t="s">
        <v>6546</v>
      </c>
      <c r="N147" s="2" t="s">
        <v>6547</v>
      </c>
      <c r="O147" s="2" t="s">
        <v>6548</v>
      </c>
    </row>
    <row r="148" spans="1:15" ht="43.5" customHeight="1" x14ac:dyDescent="0.5">
      <c r="A148" s="2" t="s">
        <v>121</v>
      </c>
      <c r="B148" s="2" t="s">
        <v>6495</v>
      </c>
      <c r="C148" s="2" t="s">
        <v>6496</v>
      </c>
      <c r="D148" s="2" t="s">
        <v>128</v>
      </c>
      <c r="E148" s="2" t="s">
        <v>6857</v>
      </c>
      <c r="F148" s="2" t="s">
        <v>6858</v>
      </c>
      <c r="G148" s="2" t="s">
        <v>6542</v>
      </c>
      <c r="H148" s="2" t="s">
        <v>6543</v>
      </c>
      <c r="I148" s="2" t="s">
        <v>1427</v>
      </c>
      <c r="J148" s="2" t="s">
        <v>175</v>
      </c>
      <c r="K148" s="2" t="s">
        <v>6859</v>
      </c>
      <c r="L148" s="2" t="s">
        <v>6860</v>
      </c>
      <c r="M148" s="2" t="s">
        <v>6546</v>
      </c>
      <c r="N148" s="2" t="s">
        <v>6547</v>
      </c>
      <c r="O148" s="2" t="s">
        <v>6548</v>
      </c>
    </row>
    <row r="149" spans="1:15" ht="43.5" customHeight="1" x14ac:dyDescent="0.5">
      <c r="A149" s="2" t="s">
        <v>121</v>
      </c>
      <c r="B149" s="2" t="s">
        <v>6495</v>
      </c>
      <c r="C149" s="2" t="s">
        <v>6496</v>
      </c>
      <c r="D149" s="2" t="s">
        <v>6562</v>
      </c>
      <c r="E149" s="2" t="s">
        <v>6850</v>
      </c>
      <c r="F149" s="2" t="s">
        <v>6861</v>
      </c>
      <c r="G149" s="2" t="s">
        <v>6542</v>
      </c>
      <c r="H149" s="2" t="s">
        <v>166</v>
      </c>
      <c r="I149" s="2" t="s">
        <v>6564</v>
      </c>
      <c r="J149" s="2" t="s">
        <v>307</v>
      </c>
      <c r="K149" s="2" t="s">
        <v>6862</v>
      </c>
      <c r="L149" s="2" t="s">
        <v>6863</v>
      </c>
      <c r="M149" s="2" t="s">
        <v>6546</v>
      </c>
      <c r="N149" s="2" t="s">
        <v>6547</v>
      </c>
      <c r="O149" s="2" t="s">
        <v>6548</v>
      </c>
    </row>
    <row r="150" spans="1:15" ht="43.5" customHeight="1" x14ac:dyDescent="0.5">
      <c r="A150" s="2" t="s">
        <v>126</v>
      </c>
      <c r="B150" s="2" t="s">
        <v>6495</v>
      </c>
      <c r="C150" s="2" t="s">
        <v>6496</v>
      </c>
      <c r="D150" s="2" t="s">
        <v>128</v>
      </c>
      <c r="E150" s="2" t="s">
        <v>6857</v>
      </c>
      <c r="F150" s="2" t="s">
        <v>6858</v>
      </c>
      <c r="G150" s="2" t="s">
        <v>6542</v>
      </c>
      <c r="H150" s="2" t="s">
        <v>6543</v>
      </c>
      <c r="I150" s="2" t="s">
        <v>1427</v>
      </c>
      <c r="J150" s="2" t="s">
        <v>6864</v>
      </c>
      <c r="K150" s="2" t="s">
        <v>6501</v>
      </c>
      <c r="L150" s="2" t="s">
        <v>6500</v>
      </c>
      <c r="M150" s="2" t="s">
        <v>6546</v>
      </c>
      <c r="N150" s="2" t="s">
        <v>6547</v>
      </c>
      <c r="O150" s="2" t="s">
        <v>6548</v>
      </c>
    </row>
    <row r="151" spans="1:15" ht="43.5" customHeight="1" x14ac:dyDescent="0.5">
      <c r="A151" s="2" t="s">
        <v>129</v>
      </c>
      <c r="B151" s="2" t="s">
        <v>6495</v>
      </c>
      <c r="C151" s="2" t="s">
        <v>6496</v>
      </c>
      <c r="D151" s="2" t="s">
        <v>128</v>
      </c>
      <c r="E151" s="2" t="s">
        <v>6850</v>
      </c>
      <c r="F151" s="2" t="s">
        <v>6858</v>
      </c>
      <c r="G151" s="2" t="s">
        <v>6542</v>
      </c>
      <c r="H151" s="2" t="s">
        <v>6543</v>
      </c>
      <c r="I151" s="2" t="s">
        <v>1427</v>
      </c>
      <c r="J151" s="2" t="s">
        <v>307</v>
      </c>
      <c r="K151" s="2" t="s">
        <v>6504</v>
      </c>
      <c r="L151" s="2" t="s">
        <v>6503</v>
      </c>
      <c r="M151" s="2" t="s">
        <v>6546</v>
      </c>
      <c r="N151" s="2" t="s">
        <v>6547</v>
      </c>
      <c r="O151" s="2" t="s">
        <v>6548</v>
      </c>
    </row>
    <row r="152" spans="1:15" ht="43.5" customHeight="1" x14ac:dyDescent="0.5">
      <c r="A152" s="2" t="s">
        <v>131</v>
      </c>
      <c r="B152" s="2" t="s">
        <v>6495</v>
      </c>
      <c r="C152" s="2" t="s">
        <v>6496</v>
      </c>
      <c r="D152" s="2" t="s">
        <v>128</v>
      </c>
      <c r="E152" s="2" t="s">
        <v>6850</v>
      </c>
      <c r="F152" s="2" t="s">
        <v>6858</v>
      </c>
      <c r="G152" s="2" t="s">
        <v>6542</v>
      </c>
      <c r="H152" s="2" t="s">
        <v>6543</v>
      </c>
      <c r="I152" s="2" t="s">
        <v>1427</v>
      </c>
      <c r="J152" s="2" t="s">
        <v>307</v>
      </c>
      <c r="K152" s="2" t="s">
        <v>6865</v>
      </c>
      <c r="L152" s="2" t="s">
        <v>6866</v>
      </c>
      <c r="M152" s="2" t="s">
        <v>6546</v>
      </c>
      <c r="N152" s="2" t="s">
        <v>6547</v>
      </c>
      <c r="O152" s="2" t="s">
        <v>6548</v>
      </c>
    </row>
    <row r="153" spans="1:15" ht="43.5" customHeight="1" x14ac:dyDescent="0.5">
      <c r="A153" s="2" t="s">
        <v>131</v>
      </c>
      <c r="B153" s="2" t="s">
        <v>6495</v>
      </c>
      <c r="C153" s="2" t="s">
        <v>6496</v>
      </c>
      <c r="D153" s="2" t="s">
        <v>6562</v>
      </c>
      <c r="E153" s="2" t="s">
        <v>6857</v>
      </c>
      <c r="F153" s="2" t="s">
        <v>6861</v>
      </c>
      <c r="G153" s="2" t="s">
        <v>6542</v>
      </c>
      <c r="H153" s="2" t="s">
        <v>6867</v>
      </c>
      <c r="I153" s="2" t="s">
        <v>6868</v>
      </c>
      <c r="J153" s="2" t="s">
        <v>307</v>
      </c>
      <c r="K153" s="2" t="s">
        <v>6869</v>
      </c>
      <c r="L153" s="2" t="s">
        <v>6870</v>
      </c>
      <c r="M153" s="2" t="s">
        <v>6546</v>
      </c>
      <c r="N153" s="2" t="s">
        <v>223</v>
      </c>
      <c r="O153" s="2" t="s">
        <v>6871</v>
      </c>
    </row>
    <row r="154" spans="1:15" ht="43.5" customHeight="1" x14ac:dyDescent="0.5">
      <c r="A154" s="2" t="s">
        <v>135</v>
      </c>
      <c r="B154" s="2" t="s">
        <v>6495</v>
      </c>
      <c r="C154" s="2" t="s">
        <v>6496</v>
      </c>
      <c r="D154" s="2" t="s">
        <v>128</v>
      </c>
      <c r="E154" s="2" t="s">
        <v>6850</v>
      </c>
      <c r="F154" s="2" t="s">
        <v>6858</v>
      </c>
      <c r="G154" s="2" t="s">
        <v>6542</v>
      </c>
      <c r="H154" s="2" t="s">
        <v>6543</v>
      </c>
      <c r="I154" s="2" t="s">
        <v>1427</v>
      </c>
      <c r="J154" s="2" t="s">
        <v>307</v>
      </c>
      <c r="K154" s="2" t="s">
        <v>6510</v>
      </c>
      <c r="L154" s="2" t="s">
        <v>6509</v>
      </c>
      <c r="M154" s="2" t="s">
        <v>6546</v>
      </c>
      <c r="N154" s="2" t="s">
        <v>6547</v>
      </c>
      <c r="O154" s="2" t="s">
        <v>6548</v>
      </c>
    </row>
    <row r="155" spans="1:15" ht="43.5" customHeight="1" x14ac:dyDescent="0.5">
      <c r="A155" s="2" t="s">
        <v>137</v>
      </c>
      <c r="B155" s="2" t="s">
        <v>6495</v>
      </c>
      <c r="C155" s="2" t="s">
        <v>6496</v>
      </c>
      <c r="D155" s="2" t="s">
        <v>153</v>
      </c>
      <c r="E155" s="2" t="s">
        <v>6850</v>
      </c>
      <c r="F155" s="2" t="s">
        <v>6598</v>
      </c>
      <c r="G155" s="2" t="s">
        <v>6542</v>
      </c>
      <c r="H155" s="2" t="s">
        <v>6543</v>
      </c>
      <c r="I155" s="2" t="s">
        <v>1365</v>
      </c>
      <c r="J155" s="2" t="s">
        <v>307</v>
      </c>
      <c r="K155" s="2" t="s">
        <v>6872</v>
      </c>
      <c r="L155" s="2" t="s">
        <v>6873</v>
      </c>
      <c r="M155" s="2" t="s">
        <v>6546</v>
      </c>
      <c r="N155" s="2" t="s">
        <v>6547</v>
      </c>
      <c r="O155" s="2" t="s">
        <v>6548</v>
      </c>
    </row>
    <row r="156" spans="1:15" ht="43.5" customHeight="1" x14ac:dyDescent="0.5">
      <c r="A156" s="2" t="s">
        <v>137</v>
      </c>
      <c r="B156" s="2" t="s">
        <v>6495</v>
      </c>
      <c r="C156" s="2" t="s">
        <v>6496</v>
      </c>
      <c r="D156" s="2" t="s">
        <v>6853</v>
      </c>
      <c r="E156" s="2" t="s">
        <v>6850</v>
      </c>
      <c r="F156" s="2" t="s">
        <v>6854</v>
      </c>
      <c r="G156" s="2" t="s">
        <v>6542</v>
      </c>
      <c r="H156" s="2" t="s">
        <v>6543</v>
      </c>
      <c r="I156" s="2" t="s">
        <v>1427</v>
      </c>
      <c r="J156" s="2" t="s">
        <v>307</v>
      </c>
      <c r="K156" s="2" t="s">
        <v>6874</v>
      </c>
      <c r="L156" s="2" t="s">
        <v>6875</v>
      </c>
      <c r="M156" s="2" t="s">
        <v>6546</v>
      </c>
      <c r="N156" s="2" t="s">
        <v>6547</v>
      </c>
      <c r="O156" s="2" t="s">
        <v>6548</v>
      </c>
    </row>
    <row r="157" spans="1:15" ht="43.5" customHeight="1" x14ac:dyDescent="0.5">
      <c r="A157" s="2" t="s">
        <v>140</v>
      </c>
      <c r="B157" s="2" t="s">
        <v>6495</v>
      </c>
      <c r="C157" s="2" t="s">
        <v>6496</v>
      </c>
      <c r="D157" s="2" t="s">
        <v>153</v>
      </c>
      <c r="E157" s="2" t="s">
        <v>6850</v>
      </c>
      <c r="F157" s="2" t="s">
        <v>6876</v>
      </c>
      <c r="G157" s="2" t="s">
        <v>6542</v>
      </c>
      <c r="H157" s="2" t="s">
        <v>166</v>
      </c>
      <c r="I157" s="2" t="s">
        <v>6877</v>
      </c>
      <c r="J157" s="2" t="s">
        <v>195</v>
      </c>
      <c r="K157" s="2" t="s">
        <v>6878</v>
      </c>
      <c r="L157" s="2" t="s">
        <v>6879</v>
      </c>
      <c r="M157" s="2" t="s">
        <v>6546</v>
      </c>
      <c r="N157" s="2" t="s">
        <v>6547</v>
      </c>
      <c r="O157" s="2" t="s">
        <v>6548</v>
      </c>
    </row>
    <row r="158" spans="1:15" ht="43.5" customHeight="1" x14ac:dyDescent="0.5">
      <c r="A158" s="2" t="s">
        <v>140</v>
      </c>
      <c r="B158" s="2" t="s">
        <v>6495</v>
      </c>
      <c r="C158" s="2" t="s">
        <v>6496</v>
      </c>
      <c r="D158" s="2" t="s">
        <v>128</v>
      </c>
      <c r="E158" s="2" t="s">
        <v>6850</v>
      </c>
      <c r="F158" s="2" t="s">
        <v>6858</v>
      </c>
      <c r="G158" s="2" t="s">
        <v>6542</v>
      </c>
      <c r="H158" s="2" t="s">
        <v>6543</v>
      </c>
      <c r="I158" s="2" t="s">
        <v>1427</v>
      </c>
      <c r="J158" s="2" t="s">
        <v>195</v>
      </c>
      <c r="K158" s="2" t="s">
        <v>6880</v>
      </c>
      <c r="L158" s="2" t="s">
        <v>6881</v>
      </c>
      <c r="M158" s="2" t="s">
        <v>6546</v>
      </c>
      <c r="N158" s="2" t="s">
        <v>6547</v>
      </c>
      <c r="O158" s="2" t="s">
        <v>6548</v>
      </c>
    </row>
    <row r="159" spans="1:15" ht="43.5" customHeight="1" x14ac:dyDescent="0.5">
      <c r="A159" s="2" t="s">
        <v>140</v>
      </c>
      <c r="B159" s="2" t="s">
        <v>6495</v>
      </c>
      <c r="C159" s="2" t="s">
        <v>6496</v>
      </c>
      <c r="D159" s="2" t="s">
        <v>6562</v>
      </c>
      <c r="E159" s="2" t="s">
        <v>6857</v>
      </c>
      <c r="F159" s="2" t="s">
        <v>6861</v>
      </c>
      <c r="G159" s="2" t="s">
        <v>6542</v>
      </c>
      <c r="H159" s="2" t="s">
        <v>6867</v>
      </c>
      <c r="I159" s="2" t="s">
        <v>6868</v>
      </c>
      <c r="J159" s="2" t="s">
        <v>307</v>
      </c>
      <c r="K159" s="2" t="s">
        <v>6882</v>
      </c>
      <c r="L159" s="2" t="s">
        <v>6883</v>
      </c>
      <c r="M159" s="2" t="s">
        <v>6546</v>
      </c>
      <c r="N159" s="2" t="s">
        <v>229</v>
      </c>
      <c r="O159" s="2" t="s">
        <v>6871</v>
      </c>
    </row>
    <row r="160" spans="1:15" ht="43.5" customHeight="1" x14ac:dyDescent="0.5">
      <c r="A160" s="2" t="s">
        <v>142</v>
      </c>
      <c r="B160" s="2" t="s">
        <v>6495</v>
      </c>
      <c r="C160" s="2" t="s">
        <v>6496</v>
      </c>
      <c r="D160" s="2" t="s">
        <v>153</v>
      </c>
      <c r="E160" s="2" t="s">
        <v>6850</v>
      </c>
      <c r="F160" s="2" t="s">
        <v>6598</v>
      </c>
      <c r="G160" s="2" t="s">
        <v>6542</v>
      </c>
      <c r="H160" s="2" t="s">
        <v>6543</v>
      </c>
      <c r="I160" s="2" t="s">
        <v>1365</v>
      </c>
      <c r="J160" s="2" t="s">
        <v>307</v>
      </c>
      <c r="K160" s="2" t="s">
        <v>6884</v>
      </c>
      <c r="L160" s="2" t="s">
        <v>6885</v>
      </c>
      <c r="M160" s="2" t="s">
        <v>6546</v>
      </c>
      <c r="N160" s="2" t="s">
        <v>6547</v>
      </c>
      <c r="O160" s="2" t="s">
        <v>6548</v>
      </c>
    </row>
    <row r="161" spans="1:15" ht="43.5" customHeight="1" x14ac:dyDescent="0.5">
      <c r="A161" s="2" t="s">
        <v>142</v>
      </c>
      <c r="B161" s="2" t="s">
        <v>6495</v>
      </c>
      <c r="C161" s="2" t="s">
        <v>6496</v>
      </c>
      <c r="D161" s="2" t="s">
        <v>6853</v>
      </c>
      <c r="E161" s="2" t="s">
        <v>6850</v>
      </c>
      <c r="F161" s="2" t="s">
        <v>6854</v>
      </c>
      <c r="G161" s="2" t="s">
        <v>6542</v>
      </c>
      <c r="H161" s="2" t="s">
        <v>6543</v>
      </c>
      <c r="I161" s="2" t="s">
        <v>1427</v>
      </c>
      <c r="J161" s="2" t="s">
        <v>307</v>
      </c>
      <c r="K161" s="2" t="s">
        <v>6886</v>
      </c>
      <c r="L161" s="2" t="s">
        <v>6887</v>
      </c>
      <c r="M161" s="2" t="s">
        <v>6546</v>
      </c>
      <c r="N161" s="2" t="s">
        <v>6547</v>
      </c>
      <c r="O161" s="2" t="s">
        <v>6548</v>
      </c>
    </row>
    <row r="162" spans="1:15" ht="43.5" customHeight="1" x14ac:dyDescent="0.5">
      <c r="A162" s="2" t="s">
        <v>144</v>
      </c>
      <c r="B162" s="2" t="s">
        <v>6495</v>
      </c>
      <c r="C162" s="2" t="s">
        <v>6496</v>
      </c>
      <c r="D162" s="2" t="s">
        <v>6549</v>
      </c>
      <c r="E162" s="2" t="s">
        <v>6850</v>
      </c>
      <c r="F162" s="2" t="s">
        <v>3472</v>
      </c>
      <c r="G162" s="2" t="s">
        <v>6542</v>
      </c>
      <c r="H162" s="2" t="s">
        <v>6543</v>
      </c>
      <c r="I162" s="2" t="s">
        <v>1427</v>
      </c>
      <c r="J162" s="2" t="s">
        <v>307</v>
      </c>
      <c r="K162" s="2" t="s">
        <v>6888</v>
      </c>
      <c r="L162" s="2" t="s">
        <v>6889</v>
      </c>
      <c r="M162" s="2" t="s">
        <v>6546</v>
      </c>
      <c r="N162" s="2" t="s">
        <v>6547</v>
      </c>
      <c r="O162" s="2" t="s">
        <v>6548</v>
      </c>
    </row>
    <row r="163" spans="1:15" ht="43.5" customHeight="1" x14ac:dyDescent="0.5">
      <c r="A163" s="2" t="s">
        <v>144</v>
      </c>
      <c r="B163" s="2" t="s">
        <v>6495</v>
      </c>
      <c r="C163" s="2" t="s">
        <v>6496</v>
      </c>
      <c r="D163" s="2" t="s">
        <v>128</v>
      </c>
      <c r="E163" s="2" t="s">
        <v>6850</v>
      </c>
      <c r="F163" s="2" t="s">
        <v>6603</v>
      </c>
      <c r="G163" s="2" t="s">
        <v>6542</v>
      </c>
      <c r="H163" s="2" t="s">
        <v>6543</v>
      </c>
      <c r="I163" s="2" t="s">
        <v>1427</v>
      </c>
      <c r="J163" s="2" t="s">
        <v>307</v>
      </c>
      <c r="K163" s="2" t="s">
        <v>6890</v>
      </c>
      <c r="L163" s="2" t="s">
        <v>6891</v>
      </c>
      <c r="M163" s="2" t="s">
        <v>6546</v>
      </c>
      <c r="N163" s="2" t="s">
        <v>6547</v>
      </c>
      <c r="O163" s="2" t="s">
        <v>6548</v>
      </c>
    </row>
    <row r="164" spans="1:15" ht="43.5" customHeight="1" x14ac:dyDescent="0.5">
      <c r="A164" s="2" t="s">
        <v>147</v>
      </c>
      <c r="B164" s="2" t="s">
        <v>6495</v>
      </c>
      <c r="C164" s="2" t="s">
        <v>6496</v>
      </c>
      <c r="D164" s="2" t="s">
        <v>128</v>
      </c>
      <c r="E164" s="2" t="s">
        <v>6850</v>
      </c>
      <c r="F164" s="2" t="s">
        <v>6858</v>
      </c>
      <c r="G164" s="2" t="s">
        <v>6542</v>
      </c>
      <c r="H164" s="2" t="s">
        <v>6543</v>
      </c>
      <c r="I164" s="2" t="s">
        <v>1427</v>
      </c>
      <c r="J164" s="2" t="s">
        <v>6864</v>
      </c>
      <c r="K164" s="2" t="s">
        <v>6525</v>
      </c>
      <c r="L164" s="2" t="s">
        <v>6524</v>
      </c>
      <c r="M164" s="2" t="s">
        <v>6546</v>
      </c>
      <c r="N164" s="2" t="s">
        <v>6547</v>
      </c>
      <c r="O164" s="2" t="s">
        <v>6548</v>
      </c>
    </row>
    <row r="165" spans="1:15" ht="43.5" customHeight="1" x14ac:dyDescent="0.5">
      <c r="A165" s="2" t="s">
        <v>149</v>
      </c>
      <c r="B165" s="2" t="s">
        <v>6495</v>
      </c>
      <c r="C165" s="2" t="s">
        <v>6496</v>
      </c>
      <c r="D165" s="2" t="s">
        <v>128</v>
      </c>
      <c r="E165" s="2" t="s">
        <v>6850</v>
      </c>
      <c r="F165" s="2" t="s">
        <v>6858</v>
      </c>
      <c r="G165" s="2" t="s">
        <v>6542</v>
      </c>
      <c r="H165" s="2" t="s">
        <v>6543</v>
      </c>
      <c r="I165" s="2" t="s">
        <v>1427</v>
      </c>
      <c r="J165" s="2" t="s">
        <v>6892</v>
      </c>
      <c r="K165" s="2" t="s">
        <v>6528</v>
      </c>
      <c r="L165" s="2" t="s">
        <v>6527</v>
      </c>
      <c r="M165" s="2" t="s">
        <v>6546</v>
      </c>
      <c r="N165" s="2" t="s">
        <v>6547</v>
      </c>
      <c r="O165" s="2" t="s">
        <v>6548</v>
      </c>
    </row>
  </sheetData>
  <autoFilter ref="A1:O165" xr:uid="{00000000-0009-0000-0000-000014000000}"/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15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03125" defaultRowHeight="14.35" x14ac:dyDescent="0.5"/>
  <cols>
    <col min="1" max="1" width="24" customWidth="1"/>
    <col min="2" max="2" width="42" customWidth="1"/>
    <col min="3" max="3" width="62" customWidth="1"/>
    <col min="4" max="4" width="70" customWidth="1"/>
  </cols>
  <sheetData>
    <row r="1" spans="1:4" ht="30" customHeight="1" x14ac:dyDescent="0.5">
      <c r="A1" s="1" t="s">
        <v>6893</v>
      </c>
      <c r="B1" s="1" t="s">
        <v>199</v>
      </c>
      <c r="C1" s="1" t="s">
        <v>6894</v>
      </c>
      <c r="D1" s="1" t="s">
        <v>6895</v>
      </c>
    </row>
    <row r="2" spans="1:4" ht="33.75" customHeight="1" x14ac:dyDescent="0.5">
      <c r="A2" s="2" t="s">
        <v>6896</v>
      </c>
      <c r="B2" s="2" t="s">
        <v>6897</v>
      </c>
      <c r="C2" s="2" t="s">
        <v>6898</v>
      </c>
      <c r="D2" s="2" t="s">
        <v>6899</v>
      </c>
    </row>
    <row r="3" spans="1:4" ht="33.75" customHeight="1" x14ac:dyDescent="0.5">
      <c r="A3" s="2" t="s">
        <v>6896</v>
      </c>
      <c r="B3" s="2" t="s">
        <v>6900</v>
      </c>
      <c r="C3" s="2" t="s">
        <v>6901</v>
      </c>
      <c r="D3" s="2" t="s">
        <v>6902</v>
      </c>
    </row>
    <row r="4" spans="1:4" ht="33.75" customHeight="1" x14ac:dyDescent="0.5">
      <c r="A4" s="2" t="s">
        <v>6896</v>
      </c>
      <c r="B4" s="2" t="s">
        <v>6903</v>
      </c>
      <c r="C4" s="2" t="s">
        <v>6904</v>
      </c>
      <c r="D4" s="2" t="s">
        <v>6905</v>
      </c>
    </row>
    <row r="5" spans="1:4" ht="33.75" customHeight="1" x14ac:dyDescent="0.5">
      <c r="A5" s="2" t="s">
        <v>6896</v>
      </c>
      <c r="B5" s="2" t="s">
        <v>6906</v>
      </c>
      <c r="C5" s="2" t="s">
        <v>6907</v>
      </c>
      <c r="D5" s="2" t="s">
        <v>6908</v>
      </c>
    </row>
    <row r="6" spans="1:4" ht="33.75" customHeight="1" x14ac:dyDescent="0.5">
      <c r="A6" s="2" t="s">
        <v>6896</v>
      </c>
      <c r="B6" s="2" t="s">
        <v>6909</v>
      </c>
      <c r="C6" s="2" t="s">
        <v>6910</v>
      </c>
      <c r="D6" s="2" t="s">
        <v>6911</v>
      </c>
    </row>
    <row r="7" spans="1:4" ht="33.75" customHeight="1" x14ac:dyDescent="0.5">
      <c r="A7" s="2" t="s">
        <v>6896</v>
      </c>
      <c r="B7" s="2" t="s">
        <v>6912</v>
      </c>
      <c r="C7" s="2" t="s">
        <v>6913</v>
      </c>
      <c r="D7" s="2" t="s">
        <v>6914</v>
      </c>
    </row>
    <row r="8" spans="1:4" ht="33.75" customHeight="1" x14ac:dyDescent="0.5">
      <c r="A8" s="2" t="s">
        <v>6915</v>
      </c>
      <c r="B8" s="2" t="s">
        <v>6916</v>
      </c>
      <c r="C8" s="2" t="s">
        <v>6917</v>
      </c>
      <c r="D8" s="2" t="s">
        <v>6918</v>
      </c>
    </row>
    <row r="9" spans="1:4" ht="33.75" customHeight="1" x14ac:dyDescent="0.5">
      <c r="A9" s="2" t="s">
        <v>6919</v>
      </c>
      <c r="B9" s="2" t="s">
        <v>6920</v>
      </c>
      <c r="C9" s="2" t="s">
        <v>28</v>
      </c>
      <c r="D9" s="2" t="s">
        <v>6921</v>
      </c>
    </row>
    <row r="10" spans="1:4" ht="33.75" customHeight="1" x14ac:dyDescent="0.5">
      <c r="A10" s="2" t="s">
        <v>6896</v>
      </c>
      <c r="B10" s="2" t="s">
        <v>6922</v>
      </c>
      <c r="C10" s="2" t="s">
        <v>6923</v>
      </c>
      <c r="D10" s="2" t="s">
        <v>6924</v>
      </c>
    </row>
    <row r="11" spans="1:4" ht="33.75" customHeight="1" x14ac:dyDescent="0.5">
      <c r="A11" s="2" t="s">
        <v>6896</v>
      </c>
      <c r="B11" s="2" t="s">
        <v>6925</v>
      </c>
      <c r="C11" s="2" t="s">
        <v>6926</v>
      </c>
      <c r="D11" s="2" t="s">
        <v>6927</v>
      </c>
    </row>
    <row r="12" spans="1:4" ht="33.75" customHeight="1" x14ac:dyDescent="0.5">
      <c r="A12" s="2" t="s">
        <v>6896</v>
      </c>
      <c r="B12" s="2" t="s">
        <v>6928</v>
      </c>
      <c r="C12" s="2" t="s">
        <v>6929</v>
      </c>
      <c r="D12" s="2" t="s">
        <v>6930</v>
      </c>
    </row>
    <row r="13" spans="1:4" ht="33.75" customHeight="1" x14ac:dyDescent="0.5"/>
    <row r="14" spans="1:4" ht="33.75" customHeight="1" x14ac:dyDescent="0.5"/>
    <row r="15" spans="1:4" ht="33.75" customHeight="1" x14ac:dyDescent="0.5"/>
  </sheetData>
  <autoFilter ref="A1:D15" xr:uid="{00000000-0009-0000-0000-000015000000}"/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14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03125" defaultRowHeight="14.35" x14ac:dyDescent="0.5"/>
  <cols>
    <col min="1" max="1" width="54" customWidth="1"/>
    <col min="2" max="2" width="38" customWidth="1"/>
    <col min="3" max="3" width="68" customWidth="1"/>
    <col min="4" max="4" width="48" customWidth="1"/>
    <col min="5" max="5" width="65" customWidth="1"/>
  </cols>
  <sheetData>
    <row r="1" spans="1:5" ht="30" customHeight="1" x14ac:dyDescent="0.5">
      <c r="A1" s="1" t="s">
        <v>6931</v>
      </c>
      <c r="B1" s="1" t="s">
        <v>6932</v>
      </c>
      <c r="C1" s="1" t="s">
        <v>6933</v>
      </c>
      <c r="D1" s="1" t="s">
        <v>6934</v>
      </c>
      <c r="E1" s="1" t="s">
        <v>6935</v>
      </c>
    </row>
    <row r="2" spans="1:5" ht="33.75" customHeight="1" x14ac:dyDescent="0.5">
      <c r="A2" s="6" t="s">
        <v>6936</v>
      </c>
      <c r="B2" s="6" t="s">
        <v>6937</v>
      </c>
      <c r="C2" s="6" t="s">
        <v>6938</v>
      </c>
      <c r="D2" s="6" t="s">
        <v>6939</v>
      </c>
      <c r="E2" s="6" t="s">
        <v>6940</v>
      </c>
    </row>
    <row r="3" spans="1:5" ht="33.75" customHeight="1" x14ac:dyDescent="0.5">
      <c r="A3" s="2" t="s">
        <v>6941</v>
      </c>
      <c r="B3" s="2" t="s">
        <v>6942</v>
      </c>
      <c r="C3" s="2" t="s">
        <v>6943</v>
      </c>
      <c r="D3" s="2" t="s">
        <v>6944</v>
      </c>
      <c r="E3" s="2" t="s">
        <v>6945</v>
      </c>
    </row>
    <row r="4" spans="1:5" ht="33.75" customHeight="1" x14ac:dyDescent="0.5">
      <c r="A4" s="2" t="s">
        <v>6946</v>
      </c>
      <c r="B4" s="2" t="s">
        <v>6947</v>
      </c>
      <c r="C4" s="2" t="s">
        <v>6948</v>
      </c>
      <c r="D4" s="2" t="s">
        <v>6949</v>
      </c>
      <c r="E4" s="2" t="s">
        <v>6950</v>
      </c>
    </row>
    <row r="5" spans="1:5" ht="33.75" customHeight="1" x14ac:dyDescent="0.5">
      <c r="A5" s="2" t="s">
        <v>6951</v>
      </c>
      <c r="B5" s="2" t="s">
        <v>6947</v>
      </c>
      <c r="C5" s="2" t="s">
        <v>6952</v>
      </c>
      <c r="D5" s="2" t="s">
        <v>6953</v>
      </c>
      <c r="E5" s="2" t="s">
        <v>6954</v>
      </c>
    </row>
    <row r="6" spans="1:5" ht="33.75" customHeight="1" x14ac:dyDescent="0.5">
      <c r="A6" s="2" t="s">
        <v>6955</v>
      </c>
      <c r="B6" s="2" t="s">
        <v>6956</v>
      </c>
      <c r="C6" s="2" t="s">
        <v>6957</v>
      </c>
      <c r="D6" s="2" t="s">
        <v>6958</v>
      </c>
      <c r="E6" s="2" t="s">
        <v>6959</v>
      </c>
    </row>
    <row r="7" spans="1:5" ht="33.75" customHeight="1" x14ac:dyDescent="0.5">
      <c r="A7" s="2" t="s">
        <v>6960</v>
      </c>
      <c r="B7" s="2" t="s">
        <v>6947</v>
      </c>
      <c r="C7" s="2" t="s">
        <v>6961</v>
      </c>
      <c r="D7" s="2" t="s">
        <v>6962</v>
      </c>
      <c r="E7" s="2" t="s">
        <v>120</v>
      </c>
    </row>
    <row r="8" spans="1:5" ht="33.75" customHeight="1" x14ac:dyDescent="0.5">
      <c r="A8" s="2" t="s">
        <v>6963</v>
      </c>
      <c r="B8" s="2" t="s">
        <v>6947</v>
      </c>
      <c r="C8" s="2" t="s">
        <v>6964</v>
      </c>
      <c r="D8" s="2" t="s">
        <v>6965</v>
      </c>
      <c r="E8" s="2" t="s">
        <v>125</v>
      </c>
    </row>
    <row r="9" spans="1:5" ht="33.75" customHeight="1" x14ac:dyDescent="0.5">
      <c r="A9" s="2" t="s">
        <v>25</v>
      </c>
      <c r="B9" s="2" t="s">
        <v>6966</v>
      </c>
      <c r="C9" s="2" t="s">
        <v>6967</v>
      </c>
      <c r="D9" s="2" t="s">
        <v>6968</v>
      </c>
      <c r="E9" s="2" t="s">
        <v>6969</v>
      </c>
    </row>
    <row r="10" spans="1:5" ht="33.75" customHeight="1" x14ac:dyDescent="0.5">
      <c r="A10" s="2" t="s">
        <v>28</v>
      </c>
      <c r="B10" s="2" t="s">
        <v>6970</v>
      </c>
      <c r="C10" s="2" t="s">
        <v>6971</v>
      </c>
      <c r="D10" s="2" t="s">
        <v>6972</v>
      </c>
      <c r="E10" s="2" t="s">
        <v>6973</v>
      </c>
    </row>
    <row r="11" spans="1:5" ht="33.75" customHeight="1" x14ac:dyDescent="0.5">
      <c r="A11" s="2" t="s">
        <v>22</v>
      </c>
      <c r="B11" s="2" t="s">
        <v>6974</v>
      </c>
      <c r="C11" s="2" t="s">
        <v>6975</v>
      </c>
      <c r="D11" s="2" t="s">
        <v>6976</v>
      </c>
      <c r="E11" s="2" t="s">
        <v>6977</v>
      </c>
    </row>
    <row r="12" spans="1:5" ht="33.75" customHeight="1" x14ac:dyDescent="0.5">
      <c r="A12" s="2" t="s">
        <v>6978</v>
      </c>
      <c r="B12" s="2" t="s">
        <v>6979</v>
      </c>
      <c r="C12" s="2" t="s">
        <v>6980</v>
      </c>
      <c r="D12" s="2" t="s">
        <v>6981</v>
      </c>
      <c r="E12" s="2" t="s">
        <v>6982</v>
      </c>
    </row>
    <row r="13" spans="1:5" ht="33.75" customHeight="1" x14ac:dyDescent="0.5">
      <c r="A13" s="2" t="s">
        <v>6983</v>
      </c>
      <c r="B13" s="2" t="s">
        <v>6984</v>
      </c>
      <c r="C13" s="2" t="s">
        <v>6985</v>
      </c>
      <c r="D13" s="2" t="s">
        <v>6986</v>
      </c>
      <c r="E13" s="2" t="s">
        <v>6987</v>
      </c>
    </row>
    <row r="14" spans="1:5" ht="25.35" customHeight="1" x14ac:dyDescent="0.5">
      <c r="A14" s="2" t="s">
        <v>6988</v>
      </c>
      <c r="B14" s="2" t="s">
        <v>6989</v>
      </c>
      <c r="C14" s="2" t="s">
        <v>6990</v>
      </c>
      <c r="D14" s="2" t="s">
        <v>6991</v>
      </c>
      <c r="E14" s="2" t="s">
        <v>6992</v>
      </c>
    </row>
  </sheetData>
  <autoFilter ref="A1:E13" xr:uid="{00000000-0009-0000-0000-000016000000}"/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4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03125" defaultRowHeight="14.35" x14ac:dyDescent="0.5"/>
  <cols>
    <col min="1" max="1" width="14" customWidth="1"/>
    <col min="2" max="2" width="16" customWidth="1"/>
    <col min="3" max="3" width="30" customWidth="1"/>
    <col min="4" max="4" width="90" customWidth="1"/>
    <col min="5" max="5" width="55" customWidth="1"/>
  </cols>
  <sheetData>
    <row r="1" spans="1:5" ht="30" customHeight="1" x14ac:dyDescent="0.5">
      <c r="A1" s="1" t="s">
        <v>3481</v>
      </c>
      <c r="B1" s="1" t="s">
        <v>6993</v>
      </c>
      <c r="C1" s="1" t="s">
        <v>6</v>
      </c>
      <c r="D1" s="1" t="s">
        <v>6994</v>
      </c>
      <c r="E1" s="1" t="s">
        <v>6995</v>
      </c>
    </row>
    <row r="2" spans="1:5" ht="33.75" customHeight="1" x14ac:dyDescent="0.5">
      <c r="A2" s="2" t="s">
        <v>6996</v>
      </c>
      <c r="B2" s="2" t="s">
        <v>10</v>
      </c>
      <c r="C2" s="2" t="s">
        <v>6997</v>
      </c>
      <c r="D2" s="2" t="s">
        <v>6998</v>
      </c>
      <c r="E2" s="2" t="s">
        <v>6999</v>
      </c>
    </row>
    <row r="3" spans="1:5" ht="14.25" customHeight="1" x14ac:dyDescent="0.5">
      <c r="A3" s="6" t="s">
        <v>10</v>
      </c>
      <c r="B3" s="6" t="s">
        <v>7000</v>
      </c>
      <c r="C3" s="6" t="s">
        <v>7001</v>
      </c>
      <c r="D3" s="6" t="s">
        <v>7002</v>
      </c>
      <c r="E3" s="6" t="s">
        <v>7003</v>
      </c>
    </row>
    <row r="4" spans="1:5" x14ac:dyDescent="0.5">
      <c r="A4" s="6" t="s">
        <v>10</v>
      </c>
      <c r="B4" s="6" t="s">
        <v>7004</v>
      </c>
      <c r="C4" s="6" t="s">
        <v>7005</v>
      </c>
      <c r="D4" s="6" t="s">
        <v>7002</v>
      </c>
      <c r="E4" s="6" t="s">
        <v>7006</v>
      </c>
    </row>
  </sheetData>
  <autoFilter ref="A1:E2" xr:uid="{00000000-0009-0000-0000-000017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Document Control</vt:lpstr>
      <vt:lpstr>BA Ruling</vt:lpstr>
      <vt:lpstr>Scope</vt:lpstr>
      <vt:lpstr>Excluded Scope Decisions</vt:lpstr>
      <vt:lpstr>NVR Semantics</vt:lpstr>
      <vt:lpstr>BA Open Decisions</vt:lpstr>
      <vt:lpstr>TDD Cases</vt:lpstr>
      <vt:lpstr>Fixture Governance</vt:lpstr>
      <vt:lpstr>Coverage Ledger</vt:lpstr>
      <vt:lpstr>Reconciliation</vt:lpstr>
      <vt:lpstr>Fixture Manifest</vt:lpstr>
      <vt:lpstr>Bank Services</vt:lpstr>
      <vt:lpstr>SSI Fixtures</vt:lpstr>
      <vt:lpstr>Applicability Fixtures</vt:lpstr>
      <vt:lpstr>Nostro Fixtures</vt:lpstr>
      <vt:lpstr>RMA Fixtures</vt:lpstr>
      <vt:lpstr>Positive Seed</vt:lpstr>
      <vt:lpstr>Negative Manifest</vt:lpstr>
      <vt:lpstr>Evidence Controls</vt:lpstr>
      <vt:lpstr>Scenario Registry</vt:lpstr>
      <vt:lpstr>Confirmed Rules</vt:lpstr>
      <vt:lpstr>Data Gaps</vt:lpstr>
      <vt:lpstr>Source Register</vt:lpstr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MT347 SR2026 SSI TDD Controlled v1</dc:title>
  <dc:subject>Controlled TDD specification for approved MT3/MT4/MT7 SSI scope</dc:subject>
  <dc:creator>BA / QA controlled workbook</dc:creator>
  <dc:description>Not an execution report. MRG-confirmed FIN rules are separated from open BA, data and converter decisions.</dc:description>
  <cp:lastModifiedBy>Chris Tseng</cp:lastModifiedBy>
  <cp:revision>0</cp:revision>
  <dcterms:created xsi:type="dcterms:W3CDTF">2026-09-10T06:20:15Z</dcterms:created>
  <dcterms:modified xsi:type="dcterms:W3CDTF">2026-09-12T11:09:43Z</dcterms:modified>
  <dc:language>en-US</dc:language>
</cp:coreProperties>
</file>